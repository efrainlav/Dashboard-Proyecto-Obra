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Metadata/LabelInfo.xml" ContentType="application/vnd.ms-office.classificationlabel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microsoft.com/office/2011/relationships/webextensiontaskpanes" Target="xl/webextensions/taskpanes.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extended-properties" Target="docProps/app.xml"/><Relationship Id="rId4"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https://ecopetrol-my.sharepoint.com/personal/efrain_laverde_ecopetrol_com_co/Documents/2026/data/Dashboard-Proyecto-Obra/IWAKARI/"/>
    </mc:Choice>
  </mc:AlternateContent>
  <xr:revisionPtr revIDLastSave="7" documentId="8_{ABD9D545-8E45-4116-B8C6-AF6B0F37EAF1}" xr6:coauthVersionLast="47" xr6:coauthVersionMax="47" xr10:uidLastSave="{DD10DAA8-906B-47E0-802E-3466B95C31BC}"/>
  <bookViews>
    <workbookView xWindow="28680" yWindow="-120" windowWidth="29040" windowHeight="15720" xr2:uid="{4958AA06-00BA-47E5-B437-5EA485E0796A}"/>
  </bookViews>
  <sheets>
    <sheet name="Proyectado" sheetId="1" r:id="rId1"/>
  </sheets>
  <externalReferences>
    <externalReference r:id="rId2"/>
  </externalReferences>
  <definedNames>
    <definedName name="\0">#REF!</definedName>
    <definedName name="\A">#REF!</definedName>
    <definedName name="\B">#REF!</definedName>
    <definedName name="\c">#REF!</definedName>
    <definedName name="\D">#REF!</definedName>
    <definedName name="\f">#REF!</definedName>
    <definedName name="\g">#REF!</definedName>
    <definedName name="\k">#REF!</definedName>
    <definedName name="\n">#REF!</definedName>
    <definedName name="\P">#REF!</definedName>
    <definedName name="\Q">#REF!</definedName>
    <definedName name="\s">#REF!</definedName>
    <definedName name="\X">#REF!</definedName>
    <definedName name="\y">#REF!</definedName>
    <definedName name="\z">#REF!</definedName>
    <definedName name="_" hidden="1">#REF!</definedName>
    <definedName name="_.._The_Oaks">#REF!</definedName>
    <definedName name="_\A">#REF!</definedName>
    <definedName name="_\L">#REF!</definedName>
    <definedName name="_\P">#REF!</definedName>
    <definedName name="_\s">#REF!</definedName>
    <definedName name="_\w">#N/A</definedName>
    <definedName name="_\z">#REF!</definedName>
    <definedName name="__" hidden="1">#REF!</definedName>
    <definedName name="__\a">#REF!</definedName>
    <definedName name="__\b">#REF!</definedName>
    <definedName name="__\c">#REF!</definedName>
    <definedName name="__\m">#REF!</definedName>
    <definedName name="__\q">#REF!</definedName>
    <definedName name="__\w">#N/A</definedName>
    <definedName name="__\z">#REF!</definedName>
    <definedName name="___" hidden="1">#REF!</definedName>
    <definedName name="_________\a">#REF!</definedName>
    <definedName name="_________\b">#REF!</definedName>
    <definedName name="_________\c">#REF!</definedName>
    <definedName name="_________\m">#REF!</definedName>
    <definedName name="__________\z">#REF!</definedName>
    <definedName name="___________\q">#REF!</definedName>
    <definedName name="___________________\q">#REF!</definedName>
    <definedName name="__________________________________\a">#REF!</definedName>
    <definedName name="__________________________________\b">#REF!</definedName>
    <definedName name="_______________________________________\c">#REF!</definedName>
    <definedName name="_______________________________________\m">#REF!</definedName>
    <definedName name="_____________________________________________________________________________________________xl5" hidden="1">{"Actual Equipment",#N/A,FALSE,"BA D5"}</definedName>
    <definedName name="____________________________________________________________________________________________xl5" hidden="1">{"Actual Equipment",#N/A,FALSE,"BA D5"}</definedName>
    <definedName name="___________________________________________________________________________________________xl5" hidden="1">{"Actual Equipment",#N/A,FALSE,"BA D5"}</definedName>
    <definedName name="__________________________________________________________________________________________xl5" hidden="1">{"Actual Equipment",#N/A,FALSE,"BA D5"}</definedName>
    <definedName name="_________________________________________________________________________________________xl5" hidden="1">{"Actual Equipment",#N/A,FALSE,"BA D5"}</definedName>
    <definedName name="________________________________________________________________________________________xl5" hidden="1">{"Actual Equipment",#N/A,FALSE,"BA D5"}</definedName>
    <definedName name="_______________________________________________________________________________________xl5" hidden="1">{"Actual Equipment",#N/A,FALSE,"BA D5"}</definedName>
    <definedName name="______________________________________________________________________________________xl5" hidden="1">{"Actual Equipment",#N/A,FALSE,"BA D5"}</definedName>
    <definedName name="_____________________________________________________________________________________xl5" hidden="1">{"Actual Equipment",#N/A,FALSE,"BA D5"}</definedName>
    <definedName name="____________________________________________________________________________________xl5" hidden="1">{"Actual Equipment",#N/A,FALSE,"BA D5"}</definedName>
    <definedName name="___________________________________________________________________________________xl5" hidden="1">{"Actual Equipment",#N/A,FALSE,"BA D5"}</definedName>
    <definedName name="__________________________________________________________________________________xl5" hidden="1">{"Actual Equipment",#N/A,FALSE,"BA D5"}</definedName>
    <definedName name="_________________________________________________________________________________xl5" hidden="1">{"Actual Equipment",#N/A,FALSE,"BA D5"}</definedName>
    <definedName name="________________________________________________________________________________xl5" hidden="1">{"Actual Equipment",#N/A,FALSE,"BA D5"}</definedName>
    <definedName name="_______________________________________________________________________________xl5" hidden="1">{"Actual Equipment",#N/A,FALSE,"BA D5"}</definedName>
    <definedName name="______________________________________________________________________________xl5" hidden="1">{"Actual Equipment",#N/A,FALSE,"BA D5"}</definedName>
    <definedName name="_____________________________________________________________________________xl5" hidden="1">{"Actual Equipment",#N/A,FALSE,"BA D5"}</definedName>
    <definedName name="____________________________________________________________________________xl5" hidden="1">{"Actual Equipment",#N/A,FALSE,"BA D5"}</definedName>
    <definedName name="___________________________________________________________________________xl5" hidden="1">{"Actual Equipment",#N/A,FALSE,"BA D5"}</definedName>
    <definedName name="__________________________________________________________________________xl5" hidden="1">{"Actual Equipment",#N/A,FALSE,"BA D5"}</definedName>
    <definedName name="_________________________________________________________________________xl5" hidden="1">{"Actual Equipment",#N/A,FALSE,"BA D5"}</definedName>
    <definedName name="________________________________________________________________________xl5" hidden="1">{"Actual Equipment",#N/A,FALSE,"BA D5"}</definedName>
    <definedName name="_______________________________________________________________________xl5" hidden="1">{"Actual Equipment",#N/A,FALSE,"BA D5"}</definedName>
    <definedName name="______________________________________________________________________xl5" hidden="1">{"Actual Equipment",#N/A,FALSE,"BA D5"}</definedName>
    <definedName name="_____________________________________________________________________xl5" hidden="1">{"Actual Equipment",#N/A,FALSE,"BA D5"}</definedName>
    <definedName name="____________________________________________________________________xl5" hidden="1">{"Actual Equipment",#N/A,FALSE,"BA D5"}</definedName>
    <definedName name="___________________________________________________________________xl5" hidden="1">{"Actual Equipment",#N/A,FALSE,"BA D5"}</definedName>
    <definedName name="__________________________________________________________________xl5" hidden="1">{"Actual Equipment",#N/A,FALSE,"BA D5"}</definedName>
    <definedName name="_________________________________________________________________xl5" hidden="1">{"Actual Equipment",#N/A,FALSE,"BA D5"}</definedName>
    <definedName name="________________________________________________________________xl5" hidden="1">{"Actual Equipment",#N/A,FALSE,"BA D5"}</definedName>
    <definedName name="_______________________________________________________________xl5" hidden="1">{"Actual Equipment",#N/A,FALSE,"BA D5"}</definedName>
    <definedName name="______________________________________________________________xl5" hidden="1">{"Actual Equipment",#N/A,FALSE,"BA D5"}</definedName>
    <definedName name="_____________________________________________________________xl5" hidden="1">{"Actual Equipment",#N/A,FALSE,"BA D5"}</definedName>
    <definedName name="____________________________________________________________xl5" hidden="1">{"Actual Equipment",#N/A,FALSE,"BA D5"}</definedName>
    <definedName name="___________________________________________________________xl5" hidden="1">{"Actual Equipment",#N/A,FALSE,"BA D5"}</definedName>
    <definedName name="__________________________________________________________xl5" hidden="1">{"Actual Equipment",#N/A,FALSE,"BA D5"}</definedName>
    <definedName name="_________________________________________________________xl5" hidden="1">{"Actual Equipment",#N/A,FALSE,"BA D5"}</definedName>
    <definedName name="________________________________________________________xl5" hidden="1">{"Actual Equipment",#N/A,FALSE,"BA D5"}</definedName>
    <definedName name="_______________________________________________________xl5" hidden="1">{"Actual Equipment",#N/A,FALSE,"BA D5"}</definedName>
    <definedName name="______________________________________________________xl5" hidden="1">{"Actual Equipment",#N/A,FALSE,"BA D5"}</definedName>
    <definedName name="_____________________________________________________xl5" hidden="1">{"Actual Equipment",#N/A,FALSE,"BA D5"}</definedName>
    <definedName name="____________________________________________________xl5" hidden="1">{"Actual Equipment",#N/A,FALSE,"BA D5"}</definedName>
    <definedName name="___________________________________________________xl5" hidden="1">{"Actual Equipment",#N/A,FALSE,"BA D5"}</definedName>
    <definedName name="__________________________________________________xl5" hidden="1">{"Actual Equipment",#N/A,FALSE,"BA D5"}</definedName>
    <definedName name="_________________________________________________xl5" hidden="1">{"Actual Equipment",#N/A,FALSE,"BA D5"}</definedName>
    <definedName name="________________________________________________xl5" hidden="1">{"Actual Equipment",#N/A,FALSE,"BA D5"}</definedName>
    <definedName name="_______________________________________________xl5" hidden="1">{"Actual Equipment",#N/A,FALSE,"BA D5"}</definedName>
    <definedName name="______________________________________________xl5" hidden="1">{"Actual Equipment",#N/A,FALSE,"BA D5"}</definedName>
    <definedName name="_____________________________________________xl5" hidden="1">{"Actual Equipment",#N/A,FALSE,"BA D5"}</definedName>
    <definedName name="____________________________________________xl5" hidden="1">{"Actual Equipment",#N/A,FALSE,"BA D5"}</definedName>
    <definedName name="___________________________________________xl5" hidden="1">{"Actual Equipment",#N/A,FALSE,"BA D5"}</definedName>
    <definedName name="__________________________________________xl5" hidden="1">{"Actual Equipment",#N/A,FALSE,"BA D5"}</definedName>
    <definedName name="_________________________________________xl5" hidden="1">{"Actual Equipment",#N/A,FALSE,"BA D5"}</definedName>
    <definedName name="________________________________________xl5" hidden="1">{"Actual Equipment",#N/A,FALSE,"BA D5"}</definedName>
    <definedName name="_______________________________________xl5" hidden="1">{"Actual Equipment",#N/A,FALSE,"BA D5"}</definedName>
    <definedName name="______________________________________xl5" hidden="1">{"Actual Equipment",#N/A,FALSE,"BA D5"}</definedName>
    <definedName name="_____________________________________xl5" hidden="1">{"Actual Equipment",#N/A,FALSE,"BA D5"}</definedName>
    <definedName name="____________________________________xl5" hidden="1">{"Actual Equipment",#N/A,FALSE,"BA D5"}</definedName>
    <definedName name="___________________________________xl5" hidden="1">{"Actual Equipment",#N/A,FALSE,"BA D5"}</definedName>
    <definedName name="__________________________________xl5" hidden="1">{"Actual Equipment",#N/A,FALSE,"BA D5"}</definedName>
    <definedName name="_________________________________xl5" hidden="1">{"Actual Equipment",#N/A,FALSE,"BA D5"}</definedName>
    <definedName name="________________________________xl5" hidden="1">{"Actual Equipment",#N/A,FALSE,"BA D5"}</definedName>
    <definedName name="_______________________________r" hidden="1">{"ANAR",#N/A,FALSE,"Dist total";"MARGEN",#N/A,FALSE,"Dist total";"COMENTARIO",#N/A,FALSE,"Ficha CODICE";"CONSEJO",#N/A,FALSE,"Dist p0";"uno",#N/A,FALSE,"Dist total"}</definedName>
    <definedName name="_______________________________xl5" hidden="1">{"Actual Equipment",#N/A,FALSE,"BA D5"}</definedName>
    <definedName name="______________________________key3" hidden="1">#REF!</definedName>
    <definedName name="______________________________xl5" hidden="1">{"Actual Equipment",#N/A,FALSE,"BA D5"}</definedName>
    <definedName name="_____________________________key3" hidden="1">#REF!</definedName>
    <definedName name="_____________________________r" hidden="1">{"ANAR",#N/A,FALSE,"Dist total";"MARGEN",#N/A,FALSE,"Dist total";"COMENTARIO",#N/A,FALSE,"Ficha CODICE";"CONSEJO",#N/A,FALSE,"Dist p0";"uno",#N/A,FALSE,"Dist total"}</definedName>
    <definedName name="_____________________________xl5" hidden="1">{"Actual Equipment",#N/A,FALSE,"BA D5"}</definedName>
    <definedName name="____________________________v3" hidden="1">{"CONSEJO",#N/A,FALSE,"Dist p0";"CONSEJO",#N/A,FALSE,"Ficha CODICE"}</definedName>
    <definedName name="____________________________xl5" hidden="1">{"Actual Equipment",#N/A,FALSE,"BA D5"}</definedName>
    <definedName name="___________________________key2" hidden="1">#REF!</definedName>
    <definedName name="___________________________r" hidden="1">{"ANAR",#N/A,FALSE,"Dist total";"MARGEN",#N/A,FALSE,"Dist total";"COMENTARIO",#N/A,FALSE,"Ficha CODICE";"CONSEJO",#N/A,FALSE,"Dist p0";"uno",#N/A,FALSE,"Dist total"}</definedName>
    <definedName name="___________________________xl5" hidden="1">{"Actual Equipment",#N/A,FALSE,"BA D5"}</definedName>
    <definedName name="__________________________a1">#REF!</definedName>
    <definedName name="__________________________key2" hidden="1">#REF!</definedName>
    <definedName name="__________________________r" hidden="1">{"ANAR",#N/A,FALSE,"Dist total";"MARGEN",#N/A,FALSE,"Dist total";"COMENTARIO",#N/A,FALSE,"Ficha CODICE";"CONSEJO",#N/A,FALSE,"Dist p0";"uno",#N/A,FALSE,"Dist total"}</definedName>
    <definedName name="__________________________v3" hidden="1">{"CONSEJO",#N/A,FALSE,"Dist p0";"CONSEJO",#N/A,FALSE,"Ficha CODICE"}</definedName>
    <definedName name="__________________________xl5" hidden="1">{"Actual Equipment",#N/A,FALSE,"BA D5"}</definedName>
    <definedName name="_________________________a1">#REF!</definedName>
    <definedName name="_________________________r" hidden="1">{"ANAR",#N/A,FALSE,"Dist total";"MARGEN",#N/A,FALSE,"Dist total";"COMENTARIO",#N/A,FALSE,"Ficha CODICE";"CONSEJO",#N/A,FALSE,"Dist p0";"uno",#N/A,FALSE,"Dist total"}</definedName>
    <definedName name="_________________________xl5" hidden="1">{"Actual Equipment",#N/A,FALSE,"BA D5"}</definedName>
    <definedName name="________________________a1">#REF!</definedName>
    <definedName name="________________________r" hidden="1">{"ANAR",#N/A,FALSE,"Dist total";"MARGEN",#N/A,FALSE,"Dist total";"COMENTARIO",#N/A,FALSE,"Ficha CODICE";"CONSEJO",#N/A,FALSE,"Dist p0";"uno",#N/A,FALSE,"Dist total"}</definedName>
    <definedName name="________________________RET1">#REF!</definedName>
    <definedName name="________________________RET2">#REF!</definedName>
    <definedName name="________________________RET3">#REF!</definedName>
    <definedName name="________________________RET4">#REF!</definedName>
    <definedName name="________________________RET5">#REF!</definedName>
    <definedName name="________________________RET6">#REF!</definedName>
    <definedName name="________________________v3" hidden="1">{"CONSEJO",#N/A,FALSE,"Dist p0";"CONSEJO",#N/A,FALSE,"Ficha CODICE"}</definedName>
    <definedName name="________________________xl5" hidden="1">{"Actual Equipment",#N/A,FALSE,"BA D5"}</definedName>
    <definedName name="_______________________a1">#REF!</definedName>
    <definedName name="_______________________cp92000" hidden="1">{#N/A,#N/A,TRUE,"Caps1-5";#N/A,#N/A,TRUE,"Cap6";#N/A,#N/A,TRUE,"Caps7-8";#N/A,#N/A,TRUE,"Cap9-Resumo";#N/A,#N/A,TRUE,"Cap9-Det-2000";#N/A,#N/A,TRUE,"Cap9-Det-2001";#N/A,#N/A,TRUE,"Caps10-11"}</definedName>
    <definedName name="_______________________df2" hidden="1">{"CONSEJO",#N/A,FALSE,"Dist p0";"CONSEJO",#N/A,FALSE,"Ficha CODICE"}</definedName>
    <definedName name="_______________________r" hidden="1">{"ANAR",#N/A,FALSE,"Dist total";"MARGEN",#N/A,FALSE,"Dist total";"COMENTARIO",#N/A,FALSE,"Ficha CODICE";"CONSEJO",#N/A,FALSE,"Dist p0";"uno",#N/A,FALSE,"Dist total"}</definedName>
    <definedName name="_______________________RET1">#REF!</definedName>
    <definedName name="_______________________RET2">#REF!</definedName>
    <definedName name="_______________________RET3">#REF!</definedName>
    <definedName name="_______________________RET4">#REF!</definedName>
    <definedName name="_______________________RET5">#REF!</definedName>
    <definedName name="_______________________RET6">#REF!</definedName>
    <definedName name="_______________________xl5" hidden="1">{"Actual Equipment",#N/A,FALSE,"BA D5"}</definedName>
    <definedName name="______________________a1">#REF!</definedName>
    <definedName name="______________________i1">#REF!</definedName>
    <definedName name="______________________r" hidden="1">{"ANAR",#N/A,FALSE,"Dist total";"MARGEN",#N/A,FALSE,"Dist total";"COMENTARIO",#N/A,FALSE,"Ficha CODICE";"CONSEJO",#N/A,FALSE,"Dist p0";"uno",#N/A,FALSE,"Dist total"}</definedName>
    <definedName name="______________________RET1">#REF!</definedName>
    <definedName name="______________________RET2">#REF!</definedName>
    <definedName name="______________________RET3">#REF!</definedName>
    <definedName name="______________________RET4">#REF!</definedName>
    <definedName name="______________________RET5">#REF!</definedName>
    <definedName name="______________________RET6">#REF!</definedName>
    <definedName name="______________________v3" hidden="1">{"CONSEJO",#N/A,FALSE,"Dist p0";"CONSEJO",#N/A,FALSE,"Ficha CODICE"}</definedName>
    <definedName name="______________________xl5" hidden="1">{"Actual Equipment",#N/A,FALSE,"BA D5"}</definedName>
    <definedName name="_____________________a1">#REF!</definedName>
    <definedName name="_____________________A2" hidden="1">{#N/A,#N/A,FALSE,"Costos Productos 6A";#N/A,#N/A,FALSE,"Costo Unitario Total H-94-12"}</definedName>
    <definedName name="_____________________cp92000" hidden="1">{#N/A,#N/A,TRUE,"Caps1-5";#N/A,#N/A,TRUE,"Cap6";#N/A,#N/A,TRUE,"Caps7-8";#N/A,#N/A,TRUE,"Cap9-Resumo";#N/A,#N/A,TRUE,"Cap9-Det-2000";#N/A,#N/A,TRUE,"Cap9-Det-2001";#N/A,#N/A,TRUE,"Caps10-11"}</definedName>
    <definedName name="_____________________df2" hidden="1">{"CONSEJO",#N/A,FALSE,"Dist p0";"CONSEJO",#N/A,FALSE,"Ficha CODICE"}</definedName>
    <definedName name="_____________________f" hidden="1">{"EVA",#N/A,FALSE,"SMT2";#N/A,#N/A,FALSE,"Summary";#N/A,#N/A,FALSE,"Graphs";#N/A,#N/A,FALSE,"4 Panel"}</definedName>
    <definedName name="_____________________i1">#REF!</definedName>
    <definedName name="_____________________new1" hidden="1">{#N/A,#N/A,FALSE,"SMT1";#N/A,#N/A,FALSE,"SMT2";#N/A,#N/A,FALSE,"Summary";#N/A,#N/A,FALSE,"Graphs";#N/A,#N/A,FALSE,"4 Panel"}</definedName>
    <definedName name="_____________________new10" hidden="1">{#N/A,#N/A,FALSE,"SMT1";#N/A,#N/A,FALSE,"SMT2";#N/A,#N/A,FALSE,"Summary";#N/A,#N/A,FALSE,"Graphs";#N/A,#N/A,FALSE,"4 Panel"}</definedName>
    <definedName name="_____________________new2" hidden="1">{"EVA",#N/A,FALSE,"SMT2";#N/A,#N/A,FALSE,"Summary";#N/A,#N/A,FALSE,"Graphs";#N/A,#N/A,FALSE,"4 Panel"}</definedName>
    <definedName name="_____________________NEW3" hidden="1">{#N/A,#N/A,FALSE,"SMT1";#N/A,#N/A,FALSE,"SMT2";#N/A,#N/A,FALSE,"Summary";#N/A,#N/A,FALSE,"Graphs";#N/A,#N/A,FALSE,"4 Panel"}</definedName>
    <definedName name="_____________________NEW4" hidden="1">{#N/A,#N/A,FALSE,"Full";#N/A,#N/A,FALSE,"Half";#N/A,#N/A,FALSE,"Op Expenses";#N/A,#N/A,FALSE,"Cap Charge";#N/A,#N/A,FALSE,"Cost C";#N/A,#N/A,FALSE,"PP&amp;E";#N/A,#N/A,FALSE,"R&amp;D"}</definedName>
    <definedName name="_____________________no1" hidden="1">{#N/A,#N/A,FALSE,"SMT1";#N/A,#N/A,FALSE,"SMT2";#N/A,#N/A,FALSE,"Summary";#N/A,#N/A,FALSE,"Graphs";#N/A,#N/A,FALSE,"4 Panel"}</definedName>
    <definedName name="_____________________no10" hidden="1">{#N/A,#N/A,FALSE,"SMT1";#N/A,#N/A,FALSE,"SMT2";#N/A,#N/A,FALSE,"Summary";#N/A,#N/A,FALSE,"Graphs";#N/A,#N/A,FALSE,"4 Panel"}</definedName>
    <definedName name="_____________________no11" hidden="1">{#N/A,#N/A,FALSE,"Full";#N/A,#N/A,FALSE,"Half";#N/A,#N/A,FALSE,"Op Expenses";#N/A,#N/A,FALSE,"Cap Charge";#N/A,#N/A,FALSE,"Cost C";#N/A,#N/A,FALSE,"PP&amp;E";#N/A,#N/A,FALSE,"R&amp;D"}</definedName>
    <definedName name="_____________________no12" hidden="1">{#N/A,#N/A,FALSE,"SMT1";#N/A,#N/A,FALSE,"SMT2";#N/A,#N/A,FALSE,"Summary";#N/A,#N/A,FALSE,"Graphs";#N/A,#N/A,FALSE,"4 Panel"}</definedName>
    <definedName name="_____________________no13" hidden="1">{"EVA",#N/A,FALSE,"SMT2";#N/A,#N/A,FALSE,"Summary";#N/A,#N/A,FALSE,"Graphs";#N/A,#N/A,FALSE,"4 Panel"}</definedName>
    <definedName name="_____________________no14" hidden="1">{#N/A,#N/A,FALSE,"Full";#N/A,#N/A,FALSE,"Half";#N/A,#N/A,FALSE,"Op Expenses";#N/A,#N/A,FALSE,"Cap Charge";#N/A,#N/A,FALSE,"Cost C";#N/A,#N/A,FALSE,"PP&amp;E";#N/A,#N/A,FALSE,"R&amp;D"}</definedName>
    <definedName name="_____________________no2" hidden="1">{"EVA",#N/A,FALSE,"SMT2";#N/A,#N/A,FALSE,"Summary";#N/A,#N/A,FALSE,"Graphs";#N/A,#N/A,FALSE,"4 Panel"}</definedName>
    <definedName name="_____________________no3" hidden="1">{#N/A,#N/A,FALSE,"SMT1";#N/A,#N/A,FALSE,"SMT2";#N/A,#N/A,FALSE,"Summary";#N/A,#N/A,FALSE,"Graphs";#N/A,#N/A,FALSE,"4 Panel"}</definedName>
    <definedName name="_____________________no4" hidden="1">{#N/A,#N/A,FALSE,"SMT1";#N/A,#N/A,FALSE,"SMT2";#N/A,#N/A,FALSE,"Summary";#N/A,#N/A,FALSE,"Graphs";#N/A,#N/A,FALSE,"4 Panel"}</definedName>
    <definedName name="_____________________no5" hidden="1">{#N/A,#N/A,FALSE,"Full";#N/A,#N/A,FALSE,"Half";#N/A,#N/A,FALSE,"Op Expenses";#N/A,#N/A,FALSE,"Cap Charge";#N/A,#N/A,FALSE,"Cost C";#N/A,#N/A,FALSE,"PP&amp;E";#N/A,#N/A,FALSE,"R&amp;D"}</definedName>
    <definedName name="_____________________no6" hidden="1">{"EVA",#N/A,FALSE,"SMT2";#N/A,#N/A,FALSE,"Summary";#N/A,#N/A,FALSE,"Graphs";#N/A,#N/A,FALSE,"4 Panel"}</definedName>
    <definedName name="_____________________no7" hidden="1">{"EVA",#N/A,FALSE,"SMT2";#N/A,#N/A,FALSE,"Summary";#N/A,#N/A,FALSE,"Graphs";#N/A,#N/A,FALSE,"4 Panel"}</definedName>
    <definedName name="_____________________no8" hidden="1">{"EVA",#N/A,FALSE,"SMT2";#N/A,#N/A,FALSE,"Summary";#N/A,#N/A,FALSE,"Graphs";#N/A,#N/A,FALSE,"4 Panel"}</definedName>
    <definedName name="_____________________no9" hidden="1">{"EVA",#N/A,FALSE,"SMT2";#N/A,#N/A,FALSE,"Summary";#N/A,#N/A,FALSE,"Graphs";#N/A,#N/A,FALSE,"4 Panel"}</definedName>
    <definedName name="_____________________r" hidden="1">{"ANAR",#N/A,FALSE,"Dist total";"MARGEN",#N/A,FALSE,"Dist total";"COMENTARIO",#N/A,FALSE,"Ficha CODICE";"CONSEJO",#N/A,FALSE,"Dist p0";"uno",#N/A,FALSE,"Dist total"}</definedName>
    <definedName name="_____________________RET1">#REF!</definedName>
    <definedName name="_____________________RET2">#REF!</definedName>
    <definedName name="_____________________RET3">#REF!</definedName>
    <definedName name="_____________________RET4">#REF!</definedName>
    <definedName name="_____________________RET5">#REF!</definedName>
    <definedName name="_____________________RET6">#REF!</definedName>
    <definedName name="_____________________xl5" hidden="1">{"Actual Equipment",#N/A,FALSE,"BA D5"}</definedName>
    <definedName name="____________________a1">#REF!</definedName>
    <definedName name="____________________A2" hidden="1">{#N/A,#N/A,FALSE,"Costos Productos 6A";#N/A,#N/A,FALSE,"Costo Unitario Total H-94-12"}</definedName>
    <definedName name="____________________f" hidden="1">{"EVA",#N/A,FALSE,"SMT2";#N/A,#N/A,FALSE,"Summary";#N/A,#N/A,FALSE,"Graphs";#N/A,#N/A,FALSE,"4 Panel"}</definedName>
    <definedName name="____________________i1">#REF!</definedName>
    <definedName name="____________________new1" hidden="1">{#N/A,#N/A,FALSE,"SMT1";#N/A,#N/A,FALSE,"SMT2";#N/A,#N/A,FALSE,"Summary";#N/A,#N/A,FALSE,"Graphs";#N/A,#N/A,FALSE,"4 Panel"}</definedName>
    <definedName name="____________________new10" hidden="1">{#N/A,#N/A,FALSE,"SMT1";#N/A,#N/A,FALSE,"SMT2";#N/A,#N/A,FALSE,"Summary";#N/A,#N/A,FALSE,"Graphs";#N/A,#N/A,FALSE,"4 Panel"}</definedName>
    <definedName name="____________________new2" hidden="1">{"EVA",#N/A,FALSE,"SMT2";#N/A,#N/A,FALSE,"Summary";#N/A,#N/A,FALSE,"Graphs";#N/A,#N/A,FALSE,"4 Panel"}</definedName>
    <definedName name="____________________NEW3" hidden="1">{#N/A,#N/A,FALSE,"SMT1";#N/A,#N/A,FALSE,"SMT2";#N/A,#N/A,FALSE,"Summary";#N/A,#N/A,FALSE,"Graphs";#N/A,#N/A,FALSE,"4 Panel"}</definedName>
    <definedName name="____________________NEW4" hidden="1">{#N/A,#N/A,FALSE,"Full";#N/A,#N/A,FALSE,"Half";#N/A,#N/A,FALSE,"Op Expenses";#N/A,#N/A,FALSE,"Cap Charge";#N/A,#N/A,FALSE,"Cost C";#N/A,#N/A,FALSE,"PP&amp;E";#N/A,#N/A,FALSE,"R&amp;D"}</definedName>
    <definedName name="____________________no1" hidden="1">{#N/A,#N/A,FALSE,"SMT1";#N/A,#N/A,FALSE,"SMT2";#N/A,#N/A,FALSE,"Summary";#N/A,#N/A,FALSE,"Graphs";#N/A,#N/A,FALSE,"4 Panel"}</definedName>
    <definedName name="____________________no10" hidden="1">{#N/A,#N/A,FALSE,"SMT1";#N/A,#N/A,FALSE,"SMT2";#N/A,#N/A,FALSE,"Summary";#N/A,#N/A,FALSE,"Graphs";#N/A,#N/A,FALSE,"4 Panel"}</definedName>
    <definedName name="____________________no11" hidden="1">{#N/A,#N/A,FALSE,"Full";#N/A,#N/A,FALSE,"Half";#N/A,#N/A,FALSE,"Op Expenses";#N/A,#N/A,FALSE,"Cap Charge";#N/A,#N/A,FALSE,"Cost C";#N/A,#N/A,FALSE,"PP&amp;E";#N/A,#N/A,FALSE,"R&amp;D"}</definedName>
    <definedName name="____________________no12" hidden="1">{#N/A,#N/A,FALSE,"SMT1";#N/A,#N/A,FALSE,"SMT2";#N/A,#N/A,FALSE,"Summary";#N/A,#N/A,FALSE,"Graphs";#N/A,#N/A,FALSE,"4 Panel"}</definedName>
    <definedName name="____________________no13" hidden="1">{"EVA",#N/A,FALSE,"SMT2";#N/A,#N/A,FALSE,"Summary";#N/A,#N/A,FALSE,"Graphs";#N/A,#N/A,FALSE,"4 Panel"}</definedName>
    <definedName name="____________________no14" hidden="1">{#N/A,#N/A,FALSE,"Full";#N/A,#N/A,FALSE,"Half";#N/A,#N/A,FALSE,"Op Expenses";#N/A,#N/A,FALSE,"Cap Charge";#N/A,#N/A,FALSE,"Cost C";#N/A,#N/A,FALSE,"PP&amp;E";#N/A,#N/A,FALSE,"R&amp;D"}</definedName>
    <definedName name="____________________no2" hidden="1">{"EVA",#N/A,FALSE,"SMT2";#N/A,#N/A,FALSE,"Summary";#N/A,#N/A,FALSE,"Graphs";#N/A,#N/A,FALSE,"4 Panel"}</definedName>
    <definedName name="____________________no3" hidden="1">{#N/A,#N/A,FALSE,"SMT1";#N/A,#N/A,FALSE,"SMT2";#N/A,#N/A,FALSE,"Summary";#N/A,#N/A,FALSE,"Graphs";#N/A,#N/A,FALSE,"4 Panel"}</definedName>
    <definedName name="____________________no4" hidden="1">{#N/A,#N/A,FALSE,"SMT1";#N/A,#N/A,FALSE,"SMT2";#N/A,#N/A,FALSE,"Summary";#N/A,#N/A,FALSE,"Graphs";#N/A,#N/A,FALSE,"4 Panel"}</definedName>
    <definedName name="____________________no5" hidden="1">{#N/A,#N/A,FALSE,"Full";#N/A,#N/A,FALSE,"Half";#N/A,#N/A,FALSE,"Op Expenses";#N/A,#N/A,FALSE,"Cap Charge";#N/A,#N/A,FALSE,"Cost C";#N/A,#N/A,FALSE,"PP&amp;E";#N/A,#N/A,FALSE,"R&amp;D"}</definedName>
    <definedName name="____________________no6" hidden="1">{"EVA",#N/A,FALSE,"SMT2";#N/A,#N/A,FALSE,"Summary";#N/A,#N/A,FALSE,"Graphs";#N/A,#N/A,FALSE,"4 Panel"}</definedName>
    <definedName name="____________________no7" hidden="1">{"EVA",#N/A,FALSE,"SMT2";#N/A,#N/A,FALSE,"Summary";#N/A,#N/A,FALSE,"Graphs";#N/A,#N/A,FALSE,"4 Panel"}</definedName>
    <definedName name="____________________no8" hidden="1">{"EVA",#N/A,FALSE,"SMT2";#N/A,#N/A,FALSE,"Summary";#N/A,#N/A,FALSE,"Graphs";#N/A,#N/A,FALSE,"4 Panel"}</definedName>
    <definedName name="____________________no9" hidden="1">{"EVA",#N/A,FALSE,"SMT2";#N/A,#N/A,FALSE,"Summary";#N/A,#N/A,FALSE,"Graphs";#N/A,#N/A,FALSE,"4 Panel"}</definedName>
    <definedName name="____________________r" hidden="1">{"ANAR",#N/A,FALSE,"Dist total";"MARGEN",#N/A,FALSE,"Dist total";"COMENTARIO",#N/A,FALSE,"Ficha CODICE";"CONSEJO",#N/A,FALSE,"Dist p0";"uno",#N/A,FALSE,"Dist total"}</definedName>
    <definedName name="____________________RET1">#REF!</definedName>
    <definedName name="____________________RET2">#REF!</definedName>
    <definedName name="____________________RET3">#REF!</definedName>
    <definedName name="____________________RET4">#REF!</definedName>
    <definedName name="____________________RET5">#REF!</definedName>
    <definedName name="____________________RET6">#REF!</definedName>
    <definedName name="____________________v3" hidden="1">{"CONSEJO",#N/A,FALSE,"Dist p0";"CONSEJO",#N/A,FALSE,"Ficha CODICE"}</definedName>
    <definedName name="____________________xl5" hidden="1">{"Actual Equipment",#N/A,FALSE,"BA D5"}</definedName>
    <definedName name="___________________a1">#REF!</definedName>
    <definedName name="___________________A2" hidden="1">{#N/A,#N/A,FALSE,"Costos Productos 6A";#N/A,#N/A,FALSE,"Costo Unitario Total H-94-12"}</definedName>
    <definedName name="___________________cp92000" hidden="1">{#N/A,#N/A,TRUE,"Caps1-5";#N/A,#N/A,TRUE,"Cap6";#N/A,#N/A,TRUE,"Caps7-8";#N/A,#N/A,TRUE,"Cap9-Resumo";#N/A,#N/A,TRUE,"Cap9-Det-2000";#N/A,#N/A,TRUE,"Cap9-Det-2001";#N/A,#N/A,TRUE,"Caps10-11"}</definedName>
    <definedName name="___________________df2" hidden="1">{"CONSEJO",#N/A,FALSE,"Dist p0";"CONSEJO",#N/A,FALSE,"Ficha CODICE"}</definedName>
    <definedName name="___________________f" hidden="1">{"EVA",#N/A,FALSE,"SMT2";#N/A,#N/A,FALSE,"Summary";#N/A,#N/A,FALSE,"Graphs";#N/A,#N/A,FALSE,"4 Panel"}</definedName>
    <definedName name="___________________i1">#REF!</definedName>
    <definedName name="___________________new1" hidden="1">{#N/A,#N/A,FALSE,"SMT1";#N/A,#N/A,FALSE,"SMT2";#N/A,#N/A,FALSE,"Summary";#N/A,#N/A,FALSE,"Graphs";#N/A,#N/A,FALSE,"4 Panel"}</definedName>
    <definedName name="___________________new10" hidden="1">{#N/A,#N/A,FALSE,"SMT1";#N/A,#N/A,FALSE,"SMT2";#N/A,#N/A,FALSE,"Summary";#N/A,#N/A,FALSE,"Graphs";#N/A,#N/A,FALSE,"4 Panel"}</definedName>
    <definedName name="___________________new2" hidden="1">{"EVA",#N/A,FALSE,"SMT2";#N/A,#N/A,FALSE,"Summary";#N/A,#N/A,FALSE,"Graphs";#N/A,#N/A,FALSE,"4 Panel"}</definedName>
    <definedName name="___________________NEW3" hidden="1">{#N/A,#N/A,FALSE,"SMT1";#N/A,#N/A,FALSE,"SMT2";#N/A,#N/A,FALSE,"Summary";#N/A,#N/A,FALSE,"Graphs";#N/A,#N/A,FALSE,"4 Panel"}</definedName>
    <definedName name="___________________NEW4" hidden="1">{#N/A,#N/A,FALSE,"Full";#N/A,#N/A,FALSE,"Half";#N/A,#N/A,FALSE,"Op Expenses";#N/A,#N/A,FALSE,"Cap Charge";#N/A,#N/A,FALSE,"Cost C";#N/A,#N/A,FALSE,"PP&amp;E";#N/A,#N/A,FALSE,"R&amp;D"}</definedName>
    <definedName name="___________________no1" hidden="1">{#N/A,#N/A,FALSE,"SMT1";#N/A,#N/A,FALSE,"SMT2";#N/A,#N/A,FALSE,"Summary";#N/A,#N/A,FALSE,"Graphs";#N/A,#N/A,FALSE,"4 Panel"}</definedName>
    <definedName name="___________________no10" hidden="1">{#N/A,#N/A,FALSE,"SMT1";#N/A,#N/A,FALSE,"SMT2";#N/A,#N/A,FALSE,"Summary";#N/A,#N/A,FALSE,"Graphs";#N/A,#N/A,FALSE,"4 Panel"}</definedName>
    <definedName name="___________________no11" hidden="1">{#N/A,#N/A,FALSE,"Full";#N/A,#N/A,FALSE,"Half";#N/A,#N/A,FALSE,"Op Expenses";#N/A,#N/A,FALSE,"Cap Charge";#N/A,#N/A,FALSE,"Cost C";#N/A,#N/A,FALSE,"PP&amp;E";#N/A,#N/A,FALSE,"R&amp;D"}</definedName>
    <definedName name="___________________no12" hidden="1">{#N/A,#N/A,FALSE,"SMT1";#N/A,#N/A,FALSE,"SMT2";#N/A,#N/A,FALSE,"Summary";#N/A,#N/A,FALSE,"Graphs";#N/A,#N/A,FALSE,"4 Panel"}</definedName>
    <definedName name="___________________no13" hidden="1">{"EVA",#N/A,FALSE,"SMT2";#N/A,#N/A,FALSE,"Summary";#N/A,#N/A,FALSE,"Graphs";#N/A,#N/A,FALSE,"4 Panel"}</definedName>
    <definedName name="___________________no14" hidden="1">{#N/A,#N/A,FALSE,"Full";#N/A,#N/A,FALSE,"Half";#N/A,#N/A,FALSE,"Op Expenses";#N/A,#N/A,FALSE,"Cap Charge";#N/A,#N/A,FALSE,"Cost C";#N/A,#N/A,FALSE,"PP&amp;E";#N/A,#N/A,FALSE,"R&amp;D"}</definedName>
    <definedName name="___________________no2" hidden="1">{"EVA",#N/A,FALSE,"SMT2";#N/A,#N/A,FALSE,"Summary";#N/A,#N/A,FALSE,"Graphs";#N/A,#N/A,FALSE,"4 Panel"}</definedName>
    <definedName name="___________________no3" hidden="1">{#N/A,#N/A,FALSE,"SMT1";#N/A,#N/A,FALSE,"SMT2";#N/A,#N/A,FALSE,"Summary";#N/A,#N/A,FALSE,"Graphs";#N/A,#N/A,FALSE,"4 Panel"}</definedName>
    <definedName name="___________________no4" hidden="1">{#N/A,#N/A,FALSE,"SMT1";#N/A,#N/A,FALSE,"SMT2";#N/A,#N/A,FALSE,"Summary";#N/A,#N/A,FALSE,"Graphs";#N/A,#N/A,FALSE,"4 Panel"}</definedName>
    <definedName name="___________________no5" hidden="1">{#N/A,#N/A,FALSE,"Full";#N/A,#N/A,FALSE,"Half";#N/A,#N/A,FALSE,"Op Expenses";#N/A,#N/A,FALSE,"Cap Charge";#N/A,#N/A,FALSE,"Cost C";#N/A,#N/A,FALSE,"PP&amp;E";#N/A,#N/A,FALSE,"R&amp;D"}</definedName>
    <definedName name="___________________no6" hidden="1">{"EVA",#N/A,FALSE,"SMT2";#N/A,#N/A,FALSE,"Summary";#N/A,#N/A,FALSE,"Graphs";#N/A,#N/A,FALSE,"4 Panel"}</definedName>
    <definedName name="___________________no7" hidden="1">{"EVA",#N/A,FALSE,"SMT2";#N/A,#N/A,FALSE,"Summary";#N/A,#N/A,FALSE,"Graphs";#N/A,#N/A,FALSE,"4 Panel"}</definedName>
    <definedName name="___________________no8" hidden="1">{"EVA",#N/A,FALSE,"SMT2";#N/A,#N/A,FALSE,"Summary";#N/A,#N/A,FALSE,"Graphs";#N/A,#N/A,FALSE,"4 Panel"}</definedName>
    <definedName name="___________________no9" hidden="1">{"EVA",#N/A,FALSE,"SMT2";#N/A,#N/A,FALSE,"Summary";#N/A,#N/A,FALSE,"Graphs";#N/A,#N/A,FALSE,"4 Panel"}</definedName>
    <definedName name="___________________r" hidden="1">{"ANAR",#N/A,FALSE,"Dist total";"MARGEN",#N/A,FALSE,"Dist total";"COMENTARIO",#N/A,FALSE,"Ficha CODICE";"CONSEJO",#N/A,FALSE,"Dist p0";"uno",#N/A,FALSE,"Dist total"}</definedName>
    <definedName name="___________________RET1">#REF!</definedName>
    <definedName name="___________________RET2">#REF!</definedName>
    <definedName name="___________________RET3">#REF!</definedName>
    <definedName name="___________________RET4">#REF!</definedName>
    <definedName name="___________________RET5">#REF!</definedName>
    <definedName name="___________________RET6">#REF!</definedName>
    <definedName name="___________________xl5" hidden="1">{"Actual Equipment",#N/A,FALSE,"BA D5"}</definedName>
    <definedName name="__________________a1">#REF!</definedName>
    <definedName name="__________________f" hidden="1">{"EVA",#N/A,FALSE,"SMT2";#N/A,#N/A,FALSE,"Summary";#N/A,#N/A,FALSE,"Graphs";#N/A,#N/A,FALSE,"4 Panel"}</definedName>
    <definedName name="__________________i1">#REF!</definedName>
    <definedName name="__________________new1" hidden="1">{#N/A,#N/A,FALSE,"SMT1";#N/A,#N/A,FALSE,"SMT2";#N/A,#N/A,FALSE,"Summary";#N/A,#N/A,FALSE,"Graphs";#N/A,#N/A,FALSE,"4 Panel"}</definedName>
    <definedName name="__________________new10" hidden="1">{#N/A,#N/A,FALSE,"SMT1";#N/A,#N/A,FALSE,"SMT2";#N/A,#N/A,FALSE,"Summary";#N/A,#N/A,FALSE,"Graphs";#N/A,#N/A,FALSE,"4 Panel"}</definedName>
    <definedName name="__________________new2" hidden="1">{"EVA",#N/A,FALSE,"SMT2";#N/A,#N/A,FALSE,"Summary";#N/A,#N/A,FALSE,"Graphs";#N/A,#N/A,FALSE,"4 Panel"}</definedName>
    <definedName name="__________________NEW3" hidden="1">{#N/A,#N/A,FALSE,"SMT1";#N/A,#N/A,FALSE,"SMT2";#N/A,#N/A,FALSE,"Summary";#N/A,#N/A,FALSE,"Graphs";#N/A,#N/A,FALSE,"4 Panel"}</definedName>
    <definedName name="__________________NEW4" hidden="1">{#N/A,#N/A,FALSE,"Full";#N/A,#N/A,FALSE,"Half";#N/A,#N/A,FALSE,"Op Expenses";#N/A,#N/A,FALSE,"Cap Charge";#N/A,#N/A,FALSE,"Cost C";#N/A,#N/A,FALSE,"PP&amp;E";#N/A,#N/A,FALSE,"R&amp;D"}</definedName>
    <definedName name="__________________no1" hidden="1">{#N/A,#N/A,FALSE,"SMT1";#N/A,#N/A,FALSE,"SMT2";#N/A,#N/A,FALSE,"Summary";#N/A,#N/A,FALSE,"Graphs";#N/A,#N/A,FALSE,"4 Panel"}</definedName>
    <definedName name="__________________no10" hidden="1">{#N/A,#N/A,FALSE,"SMT1";#N/A,#N/A,FALSE,"SMT2";#N/A,#N/A,FALSE,"Summary";#N/A,#N/A,FALSE,"Graphs";#N/A,#N/A,FALSE,"4 Panel"}</definedName>
    <definedName name="__________________no11" hidden="1">{#N/A,#N/A,FALSE,"Full";#N/A,#N/A,FALSE,"Half";#N/A,#N/A,FALSE,"Op Expenses";#N/A,#N/A,FALSE,"Cap Charge";#N/A,#N/A,FALSE,"Cost C";#N/A,#N/A,FALSE,"PP&amp;E";#N/A,#N/A,FALSE,"R&amp;D"}</definedName>
    <definedName name="__________________no12" hidden="1">{#N/A,#N/A,FALSE,"SMT1";#N/A,#N/A,FALSE,"SMT2";#N/A,#N/A,FALSE,"Summary";#N/A,#N/A,FALSE,"Graphs";#N/A,#N/A,FALSE,"4 Panel"}</definedName>
    <definedName name="__________________no13" hidden="1">{"EVA",#N/A,FALSE,"SMT2";#N/A,#N/A,FALSE,"Summary";#N/A,#N/A,FALSE,"Graphs";#N/A,#N/A,FALSE,"4 Panel"}</definedName>
    <definedName name="__________________no14" hidden="1">{#N/A,#N/A,FALSE,"Full";#N/A,#N/A,FALSE,"Half";#N/A,#N/A,FALSE,"Op Expenses";#N/A,#N/A,FALSE,"Cap Charge";#N/A,#N/A,FALSE,"Cost C";#N/A,#N/A,FALSE,"PP&amp;E";#N/A,#N/A,FALSE,"R&amp;D"}</definedName>
    <definedName name="__________________no2" hidden="1">{"EVA",#N/A,FALSE,"SMT2";#N/A,#N/A,FALSE,"Summary";#N/A,#N/A,FALSE,"Graphs";#N/A,#N/A,FALSE,"4 Panel"}</definedName>
    <definedName name="__________________no3" hidden="1">{#N/A,#N/A,FALSE,"SMT1";#N/A,#N/A,FALSE,"SMT2";#N/A,#N/A,FALSE,"Summary";#N/A,#N/A,FALSE,"Graphs";#N/A,#N/A,FALSE,"4 Panel"}</definedName>
    <definedName name="__________________no4" hidden="1">{#N/A,#N/A,FALSE,"SMT1";#N/A,#N/A,FALSE,"SMT2";#N/A,#N/A,FALSE,"Summary";#N/A,#N/A,FALSE,"Graphs";#N/A,#N/A,FALSE,"4 Panel"}</definedName>
    <definedName name="__________________no5" hidden="1">{#N/A,#N/A,FALSE,"Full";#N/A,#N/A,FALSE,"Half";#N/A,#N/A,FALSE,"Op Expenses";#N/A,#N/A,FALSE,"Cap Charge";#N/A,#N/A,FALSE,"Cost C";#N/A,#N/A,FALSE,"PP&amp;E";#N/A,#N/A,FALSE,"R&amp;D"}</definedName>
    <definedName name="__________________no6" hidden="1">{"EVA",#N/A,FALSE,"SMT2";#N/A,#N/A,FALSE,"Summary";#N/A,#N/A,FALSE,"Graphs";#N/A,#N/A,FALSE,"4 Panel"}</definedName>
    <definedName name="__________________no7" hidden="1">{"EVA",#N/A,FALSE,"SMT2";#N/A,#N/A,FALSE,"Summary";#N/A,#N/A,FALSE,"Graphs";#N/A,#N/A,FALSE,"4 Panel"}</definedName>
    <definedName name="__________________no8" hidden="1">{"EVA",#N/A,FALSE,"SMT2";#N/A,#N/A,FALSE,"Summary";#N/A,#N/A,FALSE,"Graphs";#N/A,#N/A,FALSE,"4 Panel"}</definedName>
    <definedName name="__________________no9" hidden="1">{"EVA",#N/A,FALSE,"SMT2";#N/A,#N/A,FALSE,"Summary";#N/A,#N/A,FALSE,"Graphs";#N/A,#N/A,FALSE,"4 Panel"}</definedName>
    <definedName name="__________________r" hidden="1">{#N/A,#N/A,FALSE,"Full";#N/A,#N/A,FALSE,"Half";#N/A,#N/A,FALSE,"Op Expenses";#N/A,#N/A,FALSE,"Cap Charge";#N/A,#N/A,FALSE,"Cost C";#N/A,#N/A,FALSE,"PP&amp;E";#N/A,#N/A,FALSE,"R&amp;D"}</definedName>
    <definedName name="__________________v3" hidden="1">{"CONSEJO",#N/A,FALSE,"Dist p0";"CONSEJO",#N/A,FALSE,"Ficha CODICE"}</definedName>
    <definedName name="__________________xl5" hidden="1">{"Actual Equipment",#N/A,FALSE,"BA D5"}</definedName>
    <definedName name="_________________a1">#REF!</definedName>
    <definedName name="_________________A2" hidden="1">{#N/A,#N/A,FALSE,"Costos Productos 6A";#N/A,#N/A,FALSE,"Costo Unitario Total H-94-12"}</definedName>
    <definedName name="_________________Ant3" hidden="1">{"'banner (abr)'!$A$14:$G$22"}</definedName>
    <definedName name="_________________cp92000" hidden="1">{#N/A,#N/A,TRUE,"Caps1-5";#N/A,#N/A,TRUE,"Cap6";#N/A,#N/A,TRUE,"Caps7-8";#N/A,#N/A,TRUE,"Cap9-Resumo";#N/A,#N/A,TRUE,"Cap9-Det-2000";#N/A,#N/A,TRUE,"Cap9-Det-2001";#N/A,#N/A,TRUE,"Caps10-11"}</definedName>
    <definedName name="_________________df2" hidden="1">{"CONSEJO",#N/A,FALSE,"Dist p0";"CONSEJO",#N/A,FALSE,"Ficha CODICE"}</definedName>
    <definedName name="_________________f" hidden="1">{"EVA",#N/A,FALSE,"SMT2";#N/A,#N/A,FALSE,"Summary";#N/A,#N/A,FALSE,"Graphs";#N/A,#N/A,FALSE,"4 Panel"}</definedName>
    <definedName name="_________________i1">#REF!</definedName>
    <definedName name="_________________new1" hidden="1">{#N/A,#N/A,FALSE,"SMT1";#N/A,#N/A,FALSE,"SMT2";#N/A,#N/A,FALSE,"Summary";#N/A,#N/A,FALSE,"Graphs";#N/A,#N/A,FALSE,"4 Panel"}</definedName>
    <definedName name="_________________new10" hidden="1">{#N/A,#N/A,FALSE,"SMT1";#N/A,#N/A,FALSE,"SMT2";#N/A,#N/A,FALSE,"Summary";#N/A,#N/A,FALSE,"Graphs";#N/A,#N/A,FALSE,"4 Panel"}</definedName>
    <definedName name="_________________new2" hidden="1">{"EVA",#N/A,FALSE,"SMT2";#N/A,#N/A,FALSE,"Summary";#N/A,#N/A,FALSE,"Graphs";#N/A,#N/A,FALSE,"4 Panel"}</definedName>
    <definedName name="_________________NEW3" hidden="1">{#N/A,#N/A,FALSE,"SMT1";#N/A,#N/A,FALSE,"SMT2";#N/A,#N/A,FALSE,"Summary";#N/A,#N/A,FALSE,"Graphs";#N/A,#N/A,FALSE,"4 Panel"}</definedName>
    <definedName name="_________________NEW4" hidden="1">{#N/A,#N/A,FALSE,"Full";#N/A,#N/A,FALSE,"Half";#N/A,#N/A,FALSE,"Op Expenses";#N/A,#N/A,FALSE,"Cap Charge";#N/A,#N/A,FALSE,"Cost C";#N/A,#N/A,FALSE,"PP&amp;E";#N/A,#N/A,FALSE,"R&amp;D"}</definedName>
    <definedName name="_________________no1" hidden="1">{#N/A,#N/A,FALSE,"SMT1";#N/A,#N/A,FALSE,"SMT2";#N/A,#N/A,FALSE,"Summary";#N/A,#N/A,FALSE,"Graphs";#N/A,#N/A,FALSE,"4 Panel"}</definedName>
    <definedName name="_________________no10" hidden="1">{#N/A,#N/A,FALSE,"SMT1";#N/A,#N/A,FALSE,"SMT2";#N/A,#N/A,FALSE,"Summary";#N/A,#N/A,FALSE,"Graphs";#N/A,#N/A,FALSE,"4 Panel"}</definedName>
    <definedName name="_________________no11" hidden="1">{#N/A,#N/A,FALSE,"Full";#N/A,#N/A,FALSE,"Half";#N/A,#N/A,FALSE,"Op Expenses";#N/A,#N/A,FALSE,"Cap Charge";#N/A,#N/A,FALSE,"Cost C";#N/A,#N/A,FALSE,"PP&amp;E";#N/A,#N/A,FALSE,"R&amp;D"}</definedName>
    <definedName name="_________________no12" hidden="1">{#N/A,#N/A,FALSE,"SMT1";#N/A,#N/A,FALSE,"SMT2";#N/A,#N/A,FALSE,"Summary";#N/A,#N/A,FALSE,"Graphs";#N/A,#N/A,FALSE,"4 Panel"}</definedName>
    <definedName name="_________________no13" hidden="1">{"EVA",#N/A,FALSE,"SMT2";#N/A,#N/A,FALSE,"Summary";#N/A,#N/A,FALSE,"Graphs";#N/A,#N/A,FALSE,"4 Panel"}</definedName>
    <definedName name="_________________no14" hidden="1">{#N/A,#N/A,FALSE,"Full";#N/A,#N/A,FALSE,"Half";#N/A,#N/A,FALSE,"Op Expenses";#N/A,#N/A,FALSE,"Cap Charge";#N/A,#N/A,FALSE,"Cost C";#N/A,#N/A,FALSE,"PP&amp;E";#N/A,#N/A,FALSE,"R&amp;D"}</definedName>
    <definedName name="_________________no2" hidden="1">{"EVA",#N/A,FALSE,"SMT2";#N/A,#N/A,FALSE,"Summary";#N/A,#N/A,FALSE,"Graphs";#N/A,#N/A,FALSE,"4 Panel"}</definedName>
    <definedName name="_________________no3" hidden="1">{#N/A,#N/A,FALSE,"SMT1";#N/A,#N/A,FALSE,"SMT2";#N/A,#N/A,FALSE,"Summary";#N/A,#N/A,FALSE,"Graphs";#N/A,#N/A,FALSE,"4 Panel"}</definedName>
    <definedName name="_________________no4" hidden="1">{#N/A,#N/A,FALSE,"SMT1";#N/A,#N/A,FALSE,"SMT2";#N/A,#N/A,FALSE,"Summary";#N/A,#N/A,FALSE,"Graphs";#N/A,#N/A,FALSE,"4 Panel"}</definedName>
    <definedName name="_________________no5" hidden="1">{#N/A,#N/A,FALSE,"Full";#N/A,#N/A,FALSE,"Half";#N/A,#N/A,FALSE,"Op Expenses";#N/A,#N/A,FALSE,"Cap Charge";#N/A,#N/A,FALSE,"Cost C";#N/A,#N/A,FALSE,"PP&amp;E";#N/A,#N/A,FALSE,"R&amp;D"}</definedName>
    <definedName name="_________________no6" hidden="1">{"EVA",#N/A,FALSE,"SMT2";#N/A,#N/A,FALSE,"Summary";#N/A,#N/A,FALSE,"Graphs";#N/A,#N/A,FALSE,"4 Panel"}</definedName>
    <definedName name="_________________no7" hidden="1">{"EVA",#N/A,FALSE,"SMT2";#N/A,#N/A,FALSE,"Summary";#N/A,#N/A,FALSE,"Graphs";#N/A,#N/A,FALSE,"4 Panel"}</definedName>
    <definedName name="_________________no8" hidden="1">{"EVA",#N/A,FALSE,"SMT2";#N/A,#N/A,FALSE,"Summary";#N/A,#N/A,FALSE,"Graphs";#N/A,#N/A,FALSE,"4 Panel"}</definedName>
    <definedName name="_________________no9" hidden="1">{"EVA",#N/A,FALSE,"SMT2";#N/A,#N/A,FALSE,"Summary";#N/A,#N/A,FALSE,"Graphs";#N/A,#N/A,FALSE,"4 Panel"}</definedName>
    <definedName name="_________________r" hidden="1">{"ANAR",#N/A,FALSE,"Dist total";"MARGEN",#N/A,FALSE,"Dist total";"COMENTARIO",#N/A,FALSE,"Ficha CODICE";"CONSEJO",#N/A,FALSE,"Dist p0";"uno",#N/A,FALSE,"Dist total"}</definedName>
    <definedName name="_________________RET1">#REF!</definedName>
    <definedName name="_________________RET2">#REF!</definedName>
    <definedName name="_________________RET3">#REF!</definedName>
    <definedName name="_________________RET4">#REF!</definedName>
    <definedName name="_________________RET5">#REF!</definedName>
    <definedName name="_________________RET6">#REF!</definedName>
    <definedName name="_________________v3" hidden="1">{"CONSEJO",#N/A,FALSE,"Dist p0";"CONSEJO",#N/A,FALSE,"Ficha CODICE"}</definedName>
    <definedName name="_________________xl5" hidden="1">{"Actual Equipment",#N/A,FALSE,"BA D5"}</definedName>
    <definedName name="________________a1">#REF!</definedName>
    <definedName name="________________A2" hidden="1">{#N/A,#N/A,FALSE,"Costos Productos 6A";#N/A,#N/A,FALSE,"Costo Unitario Total H-94-12"}</definedName>
    <definedName name="________________Ant3" hidden="1">{"'banner (abr)'!$A$14:$G$22"}</definedName>
    <definedName name="________________f" hidden="1">{"vista 1",#N/A,FALSE,"CMP";"vista 2",#N/A,FALSE,"CMP"}</definedName>
    <definedName name="________________i1">#REF!</definedName>
    <definedName name="________________new1" hidden="1">{#N/A,#N/A,FALSE,"SMT1";#N/A,#N/A,FALSE,"SMT2";#N/A,#N/A,FALSE,"Summary";#N/A,#N/A,FALSE,"Graphs";#N/A,#N/A,FALSE,"4 Panel"}</definedName>
    <definedName name="________________new10" hidden="1">{#N/A,#N/A,FALSE,"SMT1";#N/A,#N/A,FALSE,"SMT2";#N/A,#N/A,FALSE,"Summary";#N/A,#N/A,FALSE,"Graphs";#N/A,#N/A,FALSE,"4 Panel"}</definedName>
    <definedName name="________________new2" hidden="1">{"EVA",#N/A,FALSE,"SMT2";#N/A,#N/A,FALSE,"Summary";#N/A,#N/A,FALSE,"Graphs";#N/A,#N/A,FALSE,"4 Panel"}</definedName>
    <definedName name="________________NEW3" hidden="1">{#N/A,#N/A,FALSE,"SMT1";#N/A,#N/A,FALSE,"SMT2";#N/A,#N/A,FALSE,"Summary";#N/A,#N/A,FALSE,"Graphs";#N/A,#N/A,FALSE,"4 Panel"}</definedName>
    <definedName name="________________NEW4" hidden="1">{#N/A,#N/A,FALSE,"Full";#N/A,#N/A,FALSE,"Half";#N/A,#N/A,FALSE,"Op Expenses";#N/A,#N/A,FALSE,"Cap Charge";#N/A,#N/A,FALSE,"Cost C";#N/A,#N/A,FALSE,"PP&amp;E";#N/A,#N/A,FALSE,"R&amp;D"}</definedName>
    <definedName name="________________no1" hidden="1">{#N/A,#N/A,FALSE,"SMT1";#N/A,#N/A,FALSE,"SMT2";#N/A,#N/A,FALSE,"Summary";#N/A,#N/A,FALSE,"Graphs";#N/A,#N/A,FALSE,"4 Panel"}</definedName>
    <definedName name="________________no10" hidden="1">{#N/A,#N/A,FALSE,"SMT1";#N/A,#N/A,FALSE,"SMT2";#N/A,#N/A,FALSE,"Summary";#N/A,#N/A,FALSE,"Graphs";#N/A,#N/A,FALSE,"4 Panel"}</definedName>
    <definedName name="________________no11" hidden="1">{#N/A,#N/A,FALSE,"Full";#N/A,#N/A,FALSE,"Half";#N/A,#N/A,FALSE,"Op Expenses";#N/A,#N/A,FALSE,"Cap Charge";#N/A,#N/A,FALSE,"Cost C";#N/A,#N/A,FALSE,"PP&amp;E";#N/A,#N/A,FALSE,"R&amp;D"}</definedName>
    <definedName name="________________no12" hidden="1">{#N/A,#N/A,FALSE,"SMT1";#N/A,#N/A,FALSE,"SMT2";#N/A,#N/A,FALSE,"Summary";#N/A,#N/A,FALSE,"Graphs";#N/A,#N/A,FALSE,"4 Panel"}</definedName>
    <definedName name="________________no13" hidden="1">{"EVA",#N/A,FALSE,"SMT2";#N/A,#N/A,FALSE,"Summary";#N/A,#N/A,FALSE,"Graphs";#N/A,#N/A,FALSE,"4 Panel"}</definedName>
    <definedName name="________________no14" hidden="1">{#N/A,#N/A,FALSE,"Full";#N/A,#N/A,FALSE,"Half";#N/A,#N/A,FALSE,"Op Expenses";#N/A,#N/A,FALSE,"Cap Charge";#N/A,#N/A,FALSE,"Cost C";#N/A,#N/A,FALSE,"PP&amp;E";#N/A,#N/A,FALSE,"R&amp;D"}</definedName>
    <definedName name="________________no2" hidden="1">{"EVA",#N/A,FALSE,"SMT2";#N/A,#N/A,FALSE,"Summary";#N/A,#N/A,FALSE,"Graphs";#N/A,#N/A,FALSE,"4 Panel"}</definedName>
    <definedName name="________________no3" hidden="1">{#N/A,#N/A,FALSE,"SMT1";#N/A,#N/A,FALSE,"SMT2";#N/A,#N/A,FALSE,"Summary";#N/A,#N/A,FALSE,"Graphs";#N/A,#N/A,FALSE,"4 Panel"}</definedName>
    <definedName name="________________no4" hidden="1">{#N/A,#N/A,FALSE,"SMT1";#N/A,#N/A,FALSE,"SMT2";#N/A,#N/A,FALSE,"Summary";#N/A,#N/A,FALSE,"Graphs";#N/A,#N/A,FALSE,"4 Panel"}</definedName>
    <definedName name="________________no5" hidden="1">{#N/A,#N/A,FALSE,"Full";#N/A,#N/A,FALSE,"Half";#N/A,#N/A,FALSE,"Op Expenses";#N/A,#N/A,FALSE,"Cap Charge";#N/A,#N/A,FALSE,"Cost C";#N/A,#N/A,FALSE,"PP&amp;E";#N/A,#N/A,FALSE,"R&amp;D"}</definedName>
    <definedName name="________________no6" hidden="1">{"EVA",#N/A,FALSE,"SMT2";#N/A,#N/A,FALSE,"Summary";#N/A,#N/A,FALSE,"Graphs";#N/A,#N/A,FALSE,"4 Panel"}</definedName>
    <definedName name="________________no7" hidden="1">{"EVA",#N/A,FALSE,"SMT2";#N/A,#N/A,FALSE,"Summary";#N/A,#N/A,FALSE,"Graphs";#N/A,#N/A,FALSE,"4 Panel"}</definedName>
    <definedName name="________________no8" hidden="1">{"EVA",#N/A,FALSE,"SMT2";#N/A,#N/A,FALSE,"Summary";#N/A,#N/A,FALSE,"Graphs";#N/A,#N/A,FALSE,"4 Panel"}</definedName>
    <definedName name="________________no9" hidden="1">{"EVA",#N/A,FALSE,"SMT2";#N/A,#N/A,FALSE,"Summary";#N/A,#N/A,FALSE,"Graphs";#N/A,#N/A,FALSE,"4 Panel"}</definedName>
    <definedName name="________________r" hidden="1">{"ANAR",#N/A,FALSE,"Dist total";"MARGEN",#N/A,FALSE,"Dist total";"COMENTARIO",#N/A,FALSE,"Ficha CODICE";"CONSEJO",#N/A,FALSE,"Dist p0";"uno",#N/A,FALSE,"Dist total"}</definedName>
    <definedName name="________________v3" hidden="1">{"CONSEJO",#N/A,FALSE,"Dist p0";"CONSEJO",#N/A,FALSE,"Ficha CODICE"}</definedName>
    <definedName name="________________xl5" hidden="1">{"Actual Equipment",#N/A,FALSE,"BA D5"}</definedName>
    <definedName name="_______________a1">#REF!</definedName>
    <definedName name="_______________A2" hidden="1">{#N/A,#N/A,FALSE,"Costos Productos 6A";#N/A,#N/A,FALSE,"Costo Unitario Total H-94-12"}</definedName>
    <definedName name="_______________AFC1">#REF!</definedName>
    <definedName name="_______________AFC3">#REF!</definedName>
    <definedName name="_______________AFC5">#REF!</definedName>
    <definedName name="_______________Ant3" hidden="1">{"'banner (abr)'!$A$14:$G$22"}</definedName>
    <definedName name="_______________BGC1">#REF!</definedName>
    <definedName name="_______________BGC3">#REF!</definedName>
    <definedName name="_______________BGC5">#REF!</definedName>
    <definedName name="_______________CAC1">#REF!</definedName>
    <definedName name="_______________CAC3">#REF!</definedName>
    <definedName name="_______________CAC5">#REF!</definedName>
    <definedName name="_______________cp92000" hidden="1">{#N/A,#N/A,TRUE,"Caps1-5";#N/A,#N/A,TRUE,"Cap6";#N/A,#N/A,TRUE,"Caps7-8";#N/A,#N/A,TRUE,"Cap9-Resumo";#N/A,#N/A,TRUE,"Cap9-Det-2000";#N/A,#N/A,TRUE,"Cap9-Det-2001";#N/A,#N/A,TRUE,"Caps10-11"}</definedName>
    <definedName name="_______________df2" hidden="1">{"CONSEJO",#N/A,FALSE,"Dist p0";"CONSEJO",#N/A,FALSE,"Ficha CODICE"}</definedName>
    <definedName name="_______________f" hidden="1">{"vista 1",#N/A,FALSE,"CMP";"vista 2",#N/A,FALSE,"CMP"}</definedName>
    <definedName name="_______________i1">#REF!</definedName>
    <definedName name="_______________new1" hidden="1">{#N/A,#N/A,FALSE,"SMT1";#N/A,#N/A,FALSE,"SMT2";#N/A,#N/A,FALSE,"Summary";#N/A,#N/A,FALSE,"Graphs";#N/A,#N/A,FALSE,"4 Panel"}</definedName>
    <definedName name="_______________new10" hidden="1">{#N/A,#N/A,FALSE,"SMT1";#N/A,#N/A,FALSE,"SMT2";#N/A,#N/A,FALSE,"Summary";#N/A,#N/A,FALSE,"Graphs";#N/A,#N/A,FALSE,"4 Panel"}</definedName>
    <definedName name="_______________new2" hidden="1">{"EVA",#N/A,FALSE,"SMT2";#N/A,#N/A,FALSE,"Summary";#N/A,#N/A,FALSE,"Graphs";#N/A,#N/A,FALSE,"4 Panel"}</definedName>
    <definedName name="_______________NEW3" hidden="1">{#N/A,#N/A,FALSE,"SMT1";#N/A,#N/A,FALSE,"SMT2";#N/A,#N/A,FALSE,"Summary";#N/A,#N/A,FALSE,"Graphs";#N/A,#N/A,FALSE,"4 Panel"}</definedName>
    <definedName name="_______________NEW4" hidden="1">{#N/A,#N/A,FALSE,"Full";#N/A,#N/A,FALSE,"Half";#N/A,#N/A,FALSE,"Op Expenses";#N/A,#N/A,FALSE,"Cap Charge";#N/A,#N/A,FALSE,"Cost C";#N/A,#N/A,FALSE,"PP&amp;E";#N/A,#N/A,FALSE,"R&amp;D"}</definedName>
    <definedName name="_______________no1" hidden="1">{#N/A,#N/A,FALSE,"SMT1";#N/A,#N/A,FALSE,"SMT2";#N/A,#N/A,FALSE,"Summary";#N/A,#N/A,FALSE,"Graphs";#N/A,#N/A,FALSE,"4 Panel"}</definedName>
    <definedName name="_______________no10" hidden="1">{#N/A,#N/A,FALSE,"SMT1";#N/A,#N/A,FALSE,"SMT2";#N/A,#N/A,FALSE,"Summary";#N/A,#N/A,FALSE,"Graphs";#N/A,#N/A,FALSE,"4 Panel"}</definedName>
    <definedName name="_______________no11" hidden="1">{#N/A,#N/A,FALSE,"Full";#N/A,#N/A,FALSE,"Half";#N/A,#N/A,FALSE,"Op Expenses";#N/A,#N/A,FALSE,"Cap Charge";#N/A,#N/A,FALSE,"Cost C";#N/A,#N/A,FALSE,"PP&amp;E";#N/A,#N/A,FALSE,"R&amp;D"}</definedName>
    <definedName name="_______________no12" hidden="1">{#N/A,#N/A,FALSE,"SMT1";#N/A,#N/A,FALSE,"SMT2";#N/A,#N/A,FALSE,"Summary";#N/A,#N/A,FALSE,"Graphs";#N/A,#N/A,FALSE,"4 Panel"}</definedName>
    <definedName name="_______________no13" hidden="1">{"EVA",#N/A,FALSE,"SMT2";#N/A,#N/A,FALSE,"Summary";#N/A,#N/A,FALSE,"Graphs";#N/A,#N/A,FALSE,"4 Panel"}</definedName>
    <definedName name="_______________no14" hidden="1">{#N/A,#N/A,FALSE,"Full";#N/A,#N/A,FALSE,"Half";#N/A,#N/A,FALSE,"Op Expenses";#N/A,#N/A,FALSE,"Cap Charge";#N/A,#N/A,FALSE,"Cost C";#N/A,#N/A,FALSE,"PP&amp;E";#N/A,#N/A,FALSE,"R&amp;D"}</definedName>
    <definedName name="_______________no2" hidden="1">{"EVA",#N/A,FALSE,"SMT2";#N/A,#N/A,FALSE,"Summary";#N/A,#N/A,FALSE,"Graphs";#N/A,#N/A,FALSE,"4 Panel"}</definedName>
    <definedName name="_______________no3" hidden="1">{#N/A,#N/A,FALSE,"SMT1";#N/A,#N/A,FALSE,"SMT2";#N/A,#N/A,FALSE,"Summary";#N/A,#N/A,FALSE,"Graphs";#N/A,#N/A,FALSE,"4 Panel"}</definedName>
    <definedName name="_______________no4" hidden="1">{#N/A,#N/A,FALSE,"SMT1";#N/A,#N/A,FALSE,"SMT2";#N/A,#N/A,FALSE,"Summary";#N/A,#N/A,FALSE,"Graphs";#N/A,#N/A,FALSE,"4 Panel"}</definedName>
    <definedName name="_______________no5" hidden="1">{#N/A,#N/A,FALSE,"Full";#N/A,#N/A,FALSE,"Half";#N/A,#N/A,FALSE,"Op Expenses";#N/A,#N/A,FALSE,"Cap Charge";#N/A,#N/A,FALSE,"Cost C";#N/A,#N/A,FALSE,"PP&amp;E";#N/A,#N/A,FALSE,"R&amp;D"}</definedName>
    <definedName name="_______________no6" hidden="1">{"EVA",#N/A,FALSE,"SMT2";#N/A,#N/A,FALSE,"Summary";#N/A,#N/A,FALSE,"Graphs";#N/A,#N/A,FALSE,"4 Panel"}</definedName>
    <definedName name="_______________no7" hidden="1">{"EVA",#N/A,FALSE,"SMT2";#N/A,#N/A,FALSE,"Summary";#N/A,#N/A,FALSE,"Graphs";#N/A,#N/A,FALSE,"4 Panel"}</definedName>
    <definedName name="_______________no8" hidden="1">{"EVA",#N/A,FALSE,"SMT2";#N/A,#N/A,FALSE,"Summary";#N/A,#N/A,FALSE,"Graphs";#N/A,#N/A,FALSE,"4 Panel"}</definedName>
    <definedName name="_______________no9" hidden="1">{"EVA",#N/A,FALSE,"SMT2";#N/A,#N/A,FALSE,"Summary";#N/A,#N/A,FALSE,"Graphs";#N/A,#N/A,FALSE,"4 Panel"}</definedName>
    <definedName name="_______________oa55">#REF!</definedName>
    <definedName name="_______________r" hidden="1">{"ANAR",#N/A,FALSE,"Dist total";"MARGEN",#N/A,FALSE,"Dist total";"COMENTARIO",#N/A,FALSE,"Ficha CODICE";"CONSEJO",#N/A,FALSE,"Dist p0";"uno",#N/A,FALSE,"Dist total"}</definedName>
    <definedName name="_______________RET1">#REF!</definedName>
    <definedName name="_______________RET2">#REF!</definedName>
    <definedName name="_______________RET3">#REF!</definedName>
    <definedName name="_______________RET4">#REF!</definedName>
    <definedName name="_______________RET5">#REF!</definedName>
    <definedName name="_______________RET6">#REF!</definedName>
    <definedName name="_______________SBC1">#REF!</definedName>
    <definedName name="_______________SBC3">#REF!</definedName>
    <definedName name="_______________SBC5">#REF!</definedName>
    <definedName name="_______________v3" hidden="1">{"CONSEJO",#N/A,FALSE,"Dist p0";"CONSEJO",#N/A,FALSE,"Ficha CODICE"}</definedName>
    <definedName name="_______________xl5" hidden="1">{"Actual Equipment",#N/A,FALSE,"BA D5"}</definedName>
    <definedName name="______________a1">#REF!</definedName>
    <definedName name="______________A2" hidden="1">{#N/A,#N/A,FALSE,"Costos Productos 6A";#N/A,#N/A,FALSE,"Costo Unitario Total H-94-12"}</definedName>
    <definedName name="______________AFC1">#REF!</definedName>
    <definedName name="______________AFC3">#REF!</definedName>
    <definedName name="______________AFC5">#REF!</definedName>
    <definedName name="______________Ant3" hidden="1">{"'banner (abr)'!$A$14:$G$22"}</definedName>
    <definedName name="______________BGC1">#REF!</definedName>
    <definedName name="______________BGC3">#REF!</definedName>
    <definedName name="______________BGC5">#REF!</definedName>
    <definedName name="______________CAC1">#REF!</definedName>
    <definedName name="______________CAC3">#REF!</definedName>
    <definedName name="______________CAC5">#REF!</definedName>
    <definedName name="______________f" hidden="1">{"vista 1",#N/A,FALSE,"CMP";"vista 2",#N/A,FALSE,"CMP"}</definedName>
    <definedName name="______________i1">#REF!</definedName>
    <definedName name="______________oa55">#REF!</definedName>
    <definedName name="______________r" hidden="1">{"ANAR",#N/A,FALSE,"Dist total";"MARGEN",#N/A,FALSE,"Dist total";"COMENTARIO",#N/A,FALSE,"Ficha CODICE";"CONSEJO",#N/A,FALSE,"Dist p0";"uno",#N/A,FALSE,"Dist total"}</definedName>
    <definedName name="______________RET1">#REF!</definedName>
    <definedName name="______________RET2">#REF!</definedName>
    <definedName name="______________RET3">#REF!</definedName>
    <definedName name="______________RET4">#REF!</definedName>
    <definedName name="______________RET5">#REF!</definedName>
    <definedName name="______________RET6">#REF!</definedName>
    <definedName name="______________SBC1">#REF!</definedName>
    <definedName name="______________SBC3">#REF!</definedName>
    <definedName name="______________SBC5">#REF!</definedName>
    <definedName name="______________v3" hidden="1">{"CONSEJO",#N/A,FALSE,"Dist p0";"CONSEJO",#N/A,FALSE,"Ficha CODICE"}</definedName>
    <definedName name="______________xl5" hidden="1">{"Actual Equipment",#N/A,FALSE,"BA D5"}</definedName>
    <definedName name="_____________a1">#REF!</definedName>
    <definedName name="_____________A2" hidden="1">{#N/A,#N/A,FALSE,"Costos Productos 6A";#N/A,#N/A,FALSE,"Costo Unitario Total H-94-12"}</definedName>
    <definedName name="_____________AFC1">#REF!</definedName>
    <definedName name="_____________AFC3">#REF!</definedName>
    <definedName name="_____________AFC5">#REF!</definedName>
    <definedName name="_____________Ant3" hidden="1">{"'banner (abr)'!$A$14:$G$22"}</definedName>
    <definedName name="_____________BGC1">#REF!</definedName>
    <definedName name="_____________BGC3">#REF!</definedName>
    <definedName name="_____________BGC5">#REF!</definedName>
    <definedName name="_____________CAC1">#REF!</definedName>
    <definedName name="_____________CAC3">#REF!</definedName>
    <definedName name="_____________CAC5">#REF!</definedName>
    <definedName name="_____________cp92000" hidden="1">{#N/A,#N/A,TRUE,"Caps1-5";#N/A,#N/A,TRUE,"Cap6";#N/A,#N/A,TRUE,"Caps7-8";#N/A,#N/A,TRUE,"Cap9-Resumo";#N/A,#N/A,TRUE,"Cap9-Det-2000";#N/A,#N/A,TRUE,"Cap9-Det-2001";#N/A,#N/A,TRUE,"Caps10-11"}</definedName>
    <definedName name="_____________df2" hidden="1">{"CONSEJO",#N/A,FALSE,"Dist p0";"CONSEJO",#N/A,FALSE,"Ficha CODICE"}</definedName>
    <definedName name="_____________f" hidden="1">{"vista 1",#N/A,FALSE,"CMP";"vista 2",#N/A,FALSE,"CMP"}</definedName>
    <definedName name="_____________i1">#REF!</definedName>
    <definedName name="_____________new1" hidden="1">{#N/A,#N/A,FALSE,"SMT1";#N/A,#N/A,FALSE,"SMT2";#N/A,#N/A,FALSE,"Summary";#N/A,#N/A,FALSE,"Graphs";#N/A,#N/A,FALSE,"4 Panel"}</definedName>
    <definedName name="_____________new10" hidden="1">{#N/A,#N/A,FALSE,"SMT1";#N/A,#N/A,FALSE,"SMT2";#N/A,#N/A,FALSE,"Summary";#N/A,#N/A,FALSE,"Graphs";#N/A,#N/A,FALSE,"4 Panel"}</definedName>
    <definedName name="_____________new2" hidden="1">{"EVA",#N/A,FALSE,"SMT2";#N/A,#N/A,FALSE,"Summary";#N/A,#N/A,FALSE,"Graphs";#N/A,#N/A,FALSE,"4 Panel"}</definedName>
    <definedName name="_____________NEW3" hidden="1">{#N/A,#N/A,FALSE,"SMT1";#N/A,#N/A,FALSE,"SMT2";#N/A,#N/A,FALSE,"Summary";#N/A,#N/A,FALSE,"Graphs";#N/A,#N/A,FALSE,"4 Panel"}</definedName>
    <definedName name="_____________NEW4" hidden="1">{#N/A,#N/A,FALSE,"Full";#N/A,#N/A,FALSE,"Half";#N/A,#N/A,FALSE,"Op Expenses";#N/A,#N/A,FALSE,"Cap Charge";#N/A,#N/A,FALSE,"Cost C";#N/A,#N/A,FALSE,"PP&amp;E";#N/A,#N/A,FALSE,"R&amp;D"}</definedName>
    <definedName name="_____________no1" hidden="1">{#N/A,#N/A,FALSE,"SMT1";#N/A,#N/A,FALSE,"SMT2";#N/A,#N/A,FALSE,"Summary";#N/A,#N/A,FALSE,"Graphs";#N/A,#N/A,FALSE,"4 Panel"}</definedName>
    <definedName name="_____________no10" hidden="1">{#N/A,#N/A,FALSE,"SMT1";#N/A,#N/A,FALSE,"SMT2";#N/A,#N/A,FALSE,"Summary";#N/A,#N/A,FALSE,"Graphs";#N/A,#N/A,FALSE,"4 Panel"}</definedName>
    <definedName name="_____________no11" hidden="1">{#N/A,#N/A,FALSE,"Full";#N/A,#N/A,FALSE,"Half";#N/A,#N/A,FALSE,"Op Expenses";#N/A,#N/A,FALSE,"Cap Charge";#N/A,#N/A,FALSE,"Cost C";#N/A,#N/A,FALSE,"PP&amp;E";#N/A,#N/A,FALSE,"R&amp;D"}</definedName>
    <definedName name="_____________no12" hidden="1">{#N/A,#N/A,FALSE,"SMT1";#N/A,#N/A,FALSE,"SMT2";#N/A,#N/A,FALSE,"Summary";#N/A,#N/A,FALSE,"Graphs";#N/A,#N/A,FALSE,"4 Panel"}</definedName>
    <definedName name="_____________no13" hidden="1">{"EVA",#N/A,FALSE,"SMT2";#N/A,#N/A,FALSE,"Summary";#N/A,#N/A,FALSE,"Graphs";#N/A,#N/A,FALSE,"4 Panel"}</definedName>
    <definedName name="_____________no14" hidden="1">{#N/A,#N/A,FALSE,"Full";#N/A,#N/A,FALSE,"Half";#N/A,#N/A,FALSE,"Op Expenses";#N/A,#N/A,FALSE,"Cap Charge";#N/A,#N/A,FALSE,"Cost C";#N/A,#N/A,FALSE,"PP&amp;E";#N/A,#N/A,FALSE,"R&amp;D"}</definedName>
    <definedName name="_____________no2" hidden="1">{"EVA",#N/A,FALSE,"SMT2";#N/A,#N/A,FALSE,"Summary";#N/A,#N/A,FALSE,"Graphs";#N/A,#N/A,FALSE,"4 Panel"}</definedName>
    <definedName name="_____________no3" hidden="1">{#N/A,#N/A,FALSE,"SMT1";#N/A,#N/A,FALSE,"SMT2";#N/A,#N/A,FALSE,"Summary";#N/A,#N/A,FALSE,"Graphs";#N/A,#N/A,FALSE,"4 Panel"}</definedName>
    <definedName name="_____________no4" hidden="1">{#N/A,#N/A,FALSE,"SMT1";#N/A,#N/A,FALSE,"SMT2";#N/A,#N/A,FALSE,"Summary";#N/A,#N/A,FALSE,"Graphs";#N/A,#N/A,FALSE,"4 Panel"}</definedName>
    <definedName name="_____________no5" hidden="1">{#N/A,#N/A,FALSE,"Full";#N/A,#N/A,FALSE,"Half";#N/A,#N/A,FALSE,"Op Expenses";#N/A,#N/A,FALSE,"Cap Charge";#N/A,#N/A,FALSE,"Cost C";#N/A,#N/A,FALSE,"PP&amp;E";#N/A,#N/A,FALSE,"R&amp;D"}</definedName>
    <definedName name="_____________no6" hidden="1">{"EVA",#N/A,FALSE,"SMT2";#N/A,#N/A,FALSE,"Summary";#N/A,#N/A,FALSE,"Graphs";#N/A,#N/A,FALSE,"4 Panel"}</definedName>
    <definedName name="_____________no7" hidden="1">{"EVA",#N/A,FALSE,"SMT2";#N/A,#N/A,FALSE,"Summary";#N/A,#N/A,FALSE,"Graphs";#N/A,#N/A,FALSE,"4 Panel"}</definedName>
    <definedName name="_____________no8" hidden="1">{"EVA",#N/A,FALSE,"SMT2";#N/A,#N/A,FALSE,"Summary";#N/A,#N/A,FALSE,"Graphs";#N/A,#N/A,FALSE,"4 Panel"}</definedName>
    <definedName name="_____________no9" hidden="1">{"EVA",#N/A,FALSE,"SMT2";#N/A,#N/A,FALSE,"Summary";#N/A,#N/A,FALSE,"Graphs";#N/A,#N/A,FALSE,"4 Panel"}</definedName>
    <definedName name="_____________oa55">#REF!</definedName>
    <definedName name="_____________r" hidden="1">{"ANAR",#N/A,FALSE,"Dist total";"MARGEN",#N/A,FALSE,"Dist total";"COMENTARIO",#N/A,FALSE,"Ficha CODICE";"CONSEJO",#N/A,FALSE,"Dist p0";"uno",#N/A,FALSE,"Dist total"}</definedName>
    <definedName name="_____________RET1">#REF!</definedName>
    <definedName name="_____________RET2">#REF!</definedName>
    <definedName name="_____________RET3">#REF!</definedName>
    <definedName name="_____________RET4">#REF!</definedName>
    <definedName name="_____________RET5">#REF!</definedName>
    <definedName name="_____________RET6">#REF!</definedName>
    <definedName name="_____________SBC1">#REF!</definedName>
    <definedName name="_____________SBC3">#REF!</definedName>
    <definedName name="_____________SBC5">#REF!</definedName>
    <definedName name="_____________v3" hidden="1">{"CONSEJO",#N/A,FALSE,"Dist p0";"CONSEJO",#N/A,FALSE,"Ficha CODICE"}</definedName>
    <definedName name="_____________xl5" hidden="1">{"Actual Equipment",#N/A,FALSE,"BA D5"}</definedName>
    <definedName name="____________a1">#REF!</definedName>
    <definedName name="____________A2" hidden="1">{#N/A,#N/A,FALSE,"Costos Productos 6A";#N/A,#N/A,FALSE,"Costo Unitario Total H-94-12"}</definedName>
    <definedName name="____________AFC1">#REF!</definedName>
    <definedName name="____________AFC3">#REF!</definedName>
    <definedName name="____________AFC5">#REF!</definedName>
    <definedName name="____________BGC1">#REF!</definedName>
    <definedName name="____________BGC3">#REF!</definedName>
    <definedName name="____________BGC5">#REF!</definedName>
    <definedName name="____________CAC1">#REF!</definedName>
    <definedName name="____________CAC3">#REF!</definedName>
    <definedName name="____________CAC5">#REF!</definedName>
    <definedName name="____________f" hidden="1">{"vista 1",#N/A,FALSE,"CMP";"vista 2",#N/A,FALSE,"CMP"}</definedName>
    <definedName name="____________i1">#REF!</definedName>
    <definedName name="____________new1" hidden="1">{#N/A,#N/A,FALSE,"SMT1";#N/A,#N/A,FALSE,"SMT2";#N/A,#N/A,FALSE,"Summary";#N/A,#N/A,FALSE,"Graphs";#N/A,#N/A,FALSE,"4 Panel"}</definedName>
    <definedName name="____________new10" hidden="1">{#N/A,#N/A,FALSE,"SMT1";#N/A,#N/A,FALSE,"SMT2";#N/A,#N/A,FALSE,"Summary";#N/A,#N/A,FALSE,"Graphs";#N/A,#N/A,FALSE,"4 Panel"}</definedName>
    <definedName name="____________new2" hidden="1">{"EVA",#N/A,FALSE,"SMT2";#N/A,#N/A,FALSE,"Summary";#N/A,#N/A,FALSE,"Graphs";#N/A,#N/A,FALSE,"4 Panel"}</definedName>
    <definedName name="____________NEW3" hidden="1">{#N/A,#N/A,FALSE,"SMT1";#N/A,#N/A,FALSE,"SMT2";#N/A,#N/A,FALSE,"Summary";#N/A,#N/A,FALSE,"Graphs";#N/A,#N/A,FALSE,"4 Panel"}</definedName>
    <definedName name="____________NEW4" hidden="1">{#N/A,#N/A,FALSE,"Full";#N/A,#N/A,FALSE,"Half";#N/A,#N/A,FALSE,"Op Expenses";#N/A,#N/A,FALSE,"Cap Charge";#N/A,#N/A,FALSE,"Cost C";#N/A,#N/A,FALSE,"PP&amp;E";#N/A,#N/A,FALSE,"R&amp;D"}</definedName>
    <definedName name="____________no1" hidden="1">{#N/A,#N/A,FALSE,"SMT1";#N/A,#N/A,FALSE,"SMT2";#N/A,#N/A,FALSE,"Summary";#N/A,#N/A,FALSE,"Graphs";#N/A,#N/A,FALSE,"4 Panel"}</definedName>
    <definedName name="____________no10" hidden="1">{#N/A,#N/A,FALSE,"SMT1";#N/A,#N/A,FALSE,"SMT2";#N/A,#N/A,FALSE,"Summary";#N/A,#N/A,FALSE,"Graphs";#N/A,#N/A,FALSE,"4 Panel"}</definedName>
    <definedName name="____________no11" hidden="1">{#N/A,#N/A,FALSE,"Full";#N/A,#N/A,FALSE,"Half";#N/A,#N/A,FALSE,"Op Expenses";#N/A,#N/A,FALSE,"Cap Charge";#N/A,#N/A,FALSE,"Cost C";#N/A,#N/A,FALSE,"PP&amp;E";#N/A,#N/A,FALSE,"R&amp;D"}</definedName>
    <definedName name="____________no12" hidden="1">{#N/A,#N/A,FALSE,"SMT1";#N/A,#N/A,FALSE,"SMT2";#N/A,#N/A,FALSE,"Summary";#N/A,#N/A,FALSE,"Graphs";#N/A,#N/A,FALSE,"4 Panel"}</definedName>
    <definedName name="____________no13" hidden="1">{"EVA",#N/A,FALSE,"SMT2";#N/A,#N/A,FALSE,"Summary";#N/A,#N/A,FALSE,"Graphs";#N/A,#N/A,FALSE,"4 Panel"}</definedName>
    <definedName name="____________no14" hidden="1">{#N/A,#N/A,FALSE,"Full";#N/A,#N/A,FALSE,"Half";#N/A,#N/A,FALSE,"Op Expenses";#N/A,#N/A,FALSE,"Cap Charge";#N/A,#N/A,FALSE,"Cost C";#N/A,#N/A,FALSE,"PP&amp;E";#N/A,#N/A,FALSE,"R&amp;D"}</definedName>
    <definedName name="____________no2" hidden="1">{"EVA",#N/A,FALSE,"SMT2";#N/A,#N/A,FALSE,"Summary";#N/A,#N/A,FALSE,"Graphs";#N/A,#N/A,FALSE,"4 Panel"}</definedName>
    <definedName name="____________no3" hidden="1">{#N/A,#N/A,FALSE,"SMT1";#N/A,#N/A,FALSE,"SMT2";#N/A,#N/A,FALSE,"Summary";#N/A,#N/A,FALSE,"Graphs";#N/A,#N/A,FALSE,"4 Panel"}</definedName>
    <definedName name="____________no4" hidden="1">{#N/A,#N/A,FALSE,"SMT1";#N/A,#N/A,FALSE,"SMT2";#N/A,#N/A,FALSE,"Summary";#N/A,#N/A,FALSE,"Graphs";#N/A,#N/A,FALSE,"4 Panel"}</definedName>
    <definedName name="____________no5" hidden="1">{#N/A,#N/A,FALSE,"Full";#N/A,#N/A,FALSE,"Half";#N/A,#N/A,FALSE,"Op Expenses";#N/A,#N/A,FALSE,"Cap Charge";#N/A,#N/A,FALSE,"Cost C";#N/A,#N/A,FALSE,"PP&amp;E";#N/A,#N/A,FALSE,"R&amp;D"}</definedName>
    <definedName name="____________no6" hidden="1">{"EVA",#N/A,FALSE,"SMT2";#N/A,#N/A,FALSE,"Summary";#N/A,#N/A,FALSE,"Graphs";#N/A,#N/A,FALSE,"4 Panel"}</definedName>
    <definedName name="____________no7" hidden="1">{"EVA",#N/A,FALSE,"SMT2";#N/A,#N/A,FALSE,"Summary";#N/A,#N/A,FALSE,"Graphs";#N/A,#N/A,FALSE,"4 Panel"}</definedName>
    <definedName name="____________no8" hidden="1">{"EVA",#N/A,FALSE,"SMT2";#N/A,#N/A,FALSE,"Summary";#N/A,#N/A,FALSE,"Graphs";#N/A,#N/A,FALSE,"4 Panel"}</definedName>
    <definedName name="____________no9" hidden="1">{"EVA",#N/A,FALSE,"SMT2";#N/A,#N/A,FALSE,"Summary";#N/A,#N/A,FALSE,"Graphs";#N/A,#N/A,FALSE,"4 Panel"}</definedName>
    <definedName name="____________oa55">#REF!</definedName>
    <definedName name="____________r" hidden="1">{"ANAR",#N/A,FALSE,"Dist total";"MARGEN",#N/A,FALSE,"Dist total";"COMENTARIO",#N/A,FALSE,"Ficha CODICE";"CONSEJO",#N/A,FALSE,"Dist p0";"uno",#N/A,FALSE,"Dist total"}</definedName>
    <definedName name="____________RET1">#REF!</definedName>
    <definedName name="____________RET2">#REF!</definedName>
    <definedName name="____________RET3">#REF!</definedName>
    <definedName name="____________RET4">#REF!</definedName>
    <definedName name="____________RET5">#REF!</definedName>
    <definedName name="____________RET6">#REF!</definedName>
    <definedName name="____________SBC1">#REF!</definedName>
    <definedName name="____________SBC3">#REF!</definedName>
    <definedName name="____________SBC5">#REF!</definedName>
    <definedName name="____________v3" hidden="1">{"CONSEJO",#N/A,FALSE,"Dist p0";"CONSEJO",#N/A,FALSE,"Ficha CODICE"}</definedName>
    <definedName name="____________xl5" hidden="1">{"Actual Equipment",#N/A,FALSE,"BA D5"}</definedName>
    <definedName name="___________a1">#REF!</definedName>
    <definedName name="___________A2" hidden="1">{#N/A,#N/A,FALSE,"Costos Productos 6A";#N/A,#N/A,FALSE,"Costo Unitario Total H-94-12"}</definedName>
    <definedName name="___________AFC1">#REF!</definedName>
    <definedName name="___________AFC3">#REF!</definedName>
    <definedName name="___________AFC5">#REF!</definedName>
    <definedName name="___________Ant3" hidden="1">{"'banner (abr)'!$A$14:$G$22"}</definedName>
    <definedName name="___________BGC1">#REF!</definedName>
    <definedName name="___________BGC3">#REF!</definedName>
    <definedName name="___________BGC5">#REF!</definedName>
    <definedName name="___________CAC1">#REF!</definedName>
    <definedName name="___________CAC3">#REF!</definedName>
    <definedName name="___________CAC5">#REF!</definedName>
    <definedName name="___________cp92000" hidden="1">{#N/A,#N/A,TRUE,"Caps1-5";#N/A,#N/A,TRUE,"Cap6";#N/A,#N/A,TRUE,"Caps7-8";#N/A,#N/A,TRUE,"Cap9-Resumo";#N/A,#N/A,TRUE,"Cap9-Det-2000";#N/A,#N/A,TRUE,"Cap9-Det-2001";#N/A,#N/A,TRUE,"Caps10-11"}</definedName>
    <definedName name="___________df2" hidden="1">{"CONSEJO",#N/A,FALSE,"Dist p0";"CONSEJO",#N/A,FALSE,"Ficha CODICE"}</definedName>
    <definedName name="___________f" hidden="1">{"vista 1",#N/A,FALSE,"CMP";"vista 2",#N/A,FALSE,"CMP"}</definedName>
    <definedName name="___________i1">#REF!</definedName>
    <definedName name="___________new1" hidden="1">{#N/A,#N/A,FALSE,"SMT1";#N/A,#N/A,FALSE,"SMT2";#N/A,#N/A,FALSE,"Summary";#N/A,#N/A,FALSE,"Graphs";#N/A,#N/A,FALSE,"4 Panel"}</definedName>
    <definedName name="___________new10" hidden="1">{#N/A,#N/A,FALSE,"SMT1";#N/A,#N/A,FALSE,"SMT2";#N/A,#N/A,FALSE,"Summary";#N/A,#N/A,FALSE,"Graphs";#N/A,#N/A,FALSE,"4 Panel"}</definedName>
    <definedName name="___________new2" hidden="1">{"EVA",#N/A,FALSE,"SMT2";#N/A,#N/A,FALSE,"Summary";#N/A,#N/A,FALSE,"Graphs";#N/A,#N/A,FALSE,"4 Panel"}</definedName>
    <definedName name="___________NEW3" hidden="1">{#N/A,#N/A,FALSE,"SMT1";#N/A,#N/A,FALSE,"SMT2";#N/A,#N/A,FALSE,"Summary";#N/A,#N/A,FALSE,"Graphs";#N/A,#N/A,FALSE,"4 Panel"}</definedName>
    <definedName name="___________NEW4" hidden="1">{#N/A,#N/A,FALSE,"Full";#N/A,#N/A,FALSE,"Half";#N/A,#N/A,FALSE,"Op Expenses";#N/A,#N/A,FALSE,"Cap Charge";#N/A,#N/A,FALSE,"Cost C";#N/A,#N/A,FALSE,"PP&amp;E";#N/A,#N/A,FALSE,"R&amp;D"}</definedName>
    <definedName name="___________no1" hidden="1">{#N/A,#N/A,FALSE,"SMT1";#N/A,#N/A,FALSE,"SMT2";#N/A,#N/A,FALSE,"Summary";#N/A,#N/A,FALSE,"Graphs";#N/A,#N/A,FALSE,"4 Panel"}</definedName>
    <definedName name="___________no10" hidden="1">{#N/A,#N/A,FALSE,"SMT1";#N/A,#N/A,FALSE,"SMT2";#N/A,#N/A,FALSE,"Summary";#N/A,#N/A,FALSE,"Graphs";#N/A,#N/A,FALSE,"4 Panel"}</definedName>
    <definedName name="___________no11" hidden="1">{#N/A,#N/A,FALSE,"Full";#N/A,#N/A,FALSE,"Half";#N/A,#N/A,FALSE,"Op Expenses";#N/A,#N/A,FALSE,"Cap Charge";#N/A,#N/A,FALSE,"Cost C";#N/A,#N/A,FALSE,"PP&amp;E";#N/A,#N/A,FALSE,"R&amp;D"}</definedName>
    <definedName name="___________no12" hidden="1">{#N/A,#N/A,FALSE,"SMT1";#N/A,#N/A,FALSE,"SMT2";#N/A,#N/A,FALSE,"Summary";#N/A,#N/A,FALSE,"Graphs";#N/A,#N/A,FALSE,"4 Panel"}</definedName>
    <definedName name="___________no13" hidden="1">{"EVA",#N/A,FALSE,"SMT2";#N/A,#N/A,FALSE,"Summary";#N/A,#N/A,FALSE,"Graphs";#N/A,#N/A,FALSE,"4 Panel"}</definedName>
    <definedName name="___________no14" hidden="1">{#N/A,#N/A,FALSE,"Full";#N/A,#N/A,FALSE,"Half";#N/A,#N/A,FALSE,"Op Expenses";#N/A,#N/A,FALSE,"Cap Charge";#N/A,#N/A,FALSE,"Cost C";#N/A,#N/A,FALSE,"PP&amp;E";#N/A,#N/A,FALSE,"R&amp;D"}</definedName>
    <definedName name="___________no2" hidden="1">{"EVA",#N/A,FALSE,"SMT2";#N/A,#N/A,FALSE,"Summary";#N/A,#N/A,FALSE,"Graphs";#N/A,#N/A,FALSE,"4 Panel"}</definedName>
    <definedName name="___________no3" hidden="1">{#N/A,#N/A,FALSE,"SMT1";#N/A,#N/A,FALSE,"SMT2";#N/A,#N/A,FALSE,"Summary";#N/A,#N/A,FALSE,"Graphs";#N/A,#N/A,FALSE,"4 Panel"}</definedName>
    <definedName name="___________no4" hidden="1">{#N/A,#N/A,FALSE,"SMT1";#N/A,#N/A,FALSE,"SMT2";#N/A,#N/A,FALSE,"Summary";#N/A,#N/A,FALSE,"Graphs";#N/A,#N/A,FALSE,"4 Panel"}</definedName>
    <definedName name="___________no5" hidden="1">{#N/A,#N/A,FALSE,"Full";#N/A,#N/A,FALSE,"Half";#N/A,#N/A,FALSE,"Op Expenses";#N/A,#N/A,FALSE,"Cap Charge";#N/A,#N/A,FALSE,"Cost C";#N/A,#N/A,FALSE,"PP&amp;E";#N/A,#N/A,FALSE,"R&amp;D"}</definedName>
    <definedName name="___________no6" hidden="1">{"EVA",#N/A,FALSE,"SMT2";#N/A,#N/A,FALSE,"Summary";#N/A,#N/A,FALSE,"Graphs";#N/A,#N/A,FALSE,"4 Panel"}</definedName>
    <definedName name="___________no7" hidden="1">{"EVA",#N/A,FALSE,"SMT2";#N/A,#N/A,FALSE,"Summary";#N/A,#N/A,FALSE,"Graphs";#N/A,#N/A,FALSE,"4 Panel"}</definedName>
    <definedName name="___________no8" hidden="1">{"EVA",#N/A,FALSE,"SMT2";#N/A,#N/A,FALSE,"Summary";#N/A,#N/A,FALSE,"Graphs";#N/A,#N/A,FALSE,"4 Panel"}</definedName>
    <definedName name="___________no9" hidden="1">{"EVA",#N/A,FALSE,"SMT2";#N/A,#N/A,FALSE,"Summary";#N/A,#N/A,FALSE,"Graphs";#N/A,#N/A,FALSE,"4 Panel"}</definedName>
    <definedName name="___________oa55">#REF!</definedName>
    <definedName name="___________r" hidden="1">{"ANAR",#N/A,FALSE,"Dist total";"MARGEN",#N/A,FALSE,"Dist total";"COMENTARIO",#N/A,FALSE,"Ficha CODICE";"CONSEJO",#N/A,FALSE,"Dist p0";"uno",#N/A,FALSE,"Dist total"}</definedName>
    <definedName name="___________RET1">#REF!</definedName>
    <definedName name="___________RET2">#REF!</definedName>
    <definedName name="___________RET3">#REF!</definedName>
    <definedName name="___________RET4">#REF!</definedName>
    <definedName name="___________RET5">#REF!</definedName>
    <definedName name="___________RET6">#REF!</definedName>
    <definedName name="___________SBC1">#REF!</definedName>
    <definedName name="___________SBC3">#REF!</definedName>
    <definedName name="___________SBC5">#REF!</definedName>
    <definedName name="___________v3" hidden="1">{"CONSEJO",#N/A,FALSE,"Dist p0";"CONSEJO",#N/A,FALSE,"Ficha CODICE"}</definedName>
    <definedName name="___________xl5" hidden="1">{"Actual Equipment",#N/A,FALSE,"BA D5"}</definedName>
    <definedName name="__________a1">#REF!</definedName>
    <definedName name="__________A2" hidden="1">{#N/A,#N/A,FALSE,"Costos Productos 6A";#N/A,#N/A,FALSE,"Costo Unitario Total H-94-12"}</definedName>
    <definedName name="__________AFC1">#REF!</definedName>
    <definedName name="__________AFC3">#REF!</definedName>
    <definedName name="__________AFC5">#REF!</definedName>
    <definedName name="__________BGC1">#REF!</definedName>
    <definedName name="__________BGC3">#REF!</definedName>
    <definedName name="__________BGC5">#REF!</definedName>
    <definedName name="__________CAC1">#REF!</definedName>
    <definedName name="__________CAC3">#REF!</definedName>
    <definedName name="__________CAC5">#REF!</definedName>
    <definedName name="__________f" hidden="1">{"vista 1",#N/A,FALSE,"CMP";"vista 2",#N/A,FALSE,"CMP"}</definedName>
    <definedName name="__________GW45" hidden="1">{"EVA",#N/A,FALSE,"SMT2";#N/A,#N/A,FALSE,"Summary";#N/A,#N/A,FALSE,"Graphs";#N/A,#N/A,FALSE,"4 Panel"}</definedName>
    <definedName name="__________i1">#REF!</definedName>
    <definedName name="__________key3" hidden="1">#REF!</definedName>
    <definedName name="__________new1" hidden="1">{#N/A,#N/A,FALSE,"SMT1";#N/A,#N/A,FALSE,"SMT2";#N/A,#N/A,FALSE,"Summary";#N/A,#N/A,FALSE,"Graphs";#N/A,#N/A,FALSE,"4 Panel"}</definedName>
    <definedName name="__________new10" hidden="1">{#N/A,#N/A,FALSE,"SMT1";#N/A,#N/A,FALSE,"SMT2";#N/A,#N/A,FALSE,"Summary";#N/A,#N/A,FALSE,"Graphs";#N/A,#N/A,FALSE,"4 Panel"}</definedName>
    <definedName name="__________new2" hidden="1">{"EVA",#N/A,FALSE,"SMT2";#N/A,#N/A,FALSE,"Summary";#N/A,#N/A,FALSE,"Graphs";#N/A,#N/A,FALSE,"4 Panel"}</definedName>
    <definedName name="__________NEW3" hidden="1">{#N/A,#N/A,FALSE,"SMT1";#N/A,#N/A,FALSE,"SMT2";#N/A,#N/A,FALSE,"Summary";#N/A,#N/A,FALSE,"Graphs";#N/A,#N/A,FALSE,"4 Panel"}</definedName>
    <definedName name="__________NEW4" hidden="1">{#N/A,#N/A,FALSE,"Full";#N/A,#N/A,FALSE,"Half";#N/A,#N/A,FALSE,"Op Expenses";#N/A,#N/A,FALSE,"Cap Charge";#N/A,#N/A,FALSE,"Cost C";#N/A,#N/A,FALSE,"PP&amp;E";#N/A,#N/A,FALSE,"R&amp;D"}</definedName>
    <definedName name="__________no1" hidden="1">{#N/A,#N/A,FALSE,"SMT1";#N/A,#N/A,FALSE,"SMT2";#N/A,#N/A,FALSE,"Summary";#N/A,#N/A,FALSE,"Graphs";#N/A,#N/A,FALSE,"4 Panel"}</definedName>
    <definedName name="__________no10" hidden="1">{#N/A,#N/A,FALSE,"SMT1";#N/A,#N/A,FALSE,"SMT2";#N/A,#N/A,FALSE,"Summary";#N/A,#N/A,FALSE,"Graphs";#N/A,#N/A,FALSE,"4 Panel"}</definedName>
    <definedName name="__________no11" hidden="1">{#N/A,#N/A,FALSE,"Full";#N/A,#N/A,FALSE,"Half";#N/A,#N/A,FALSE,"Op Expenses";#N/A,#N/A,FALSE,"Cap Charge";#N/A,#N/A,FALSE,"Cost C";#N/A,#N/A,FALSE,"PP&amp;E";#N/A,#N/A,FALSE,"R&amp;D"}</definedName>
    <definedName name="__________no12" hidden="1">{#N/A,#N/A,FALSE,"SMT1";#N/A,#N/A,FALSE,"SMT2";#N/A,#N/A,FALSE,"Summary";#N/A,#N/A,FALSE,"Graphs";#N/A,#N/A,FALSE,"4 Panel"}</definedName>
    <definedName name="__________no13" hidden="1">{"EVA",#N/A,FALSE,"SMT2";#N/A,#N/A,FALSE,"Summary";#N/A,#N/A,FALSE,"Graphs";#N/A,#N/A,FALSE,"4 Panel"}</definedName>
    <definedName name="__________no14" hidden="1">{#N/A,#N/A,FALSE,"Full";#N/A,#N/A,FALSE,"Half";#N/A,#N/A,FALSE,"Op Expenses";#N/A,#N/A,FALSE,"Cap Charge";#N/A,#N/A,FALSE,"Cost C";#N/A,#N/A,FALSE,"PP&amp;E";#N/A,#N/A,FALSE,"R&amp;D"}</definedName>
    <definedName name="__________no2" hidden="1">{"EVA",#N/A,FALSE,"SMT2";#N/A,#N/A,FALSE,"Summary";#N/A,#N/A,FALSE,"Graphs";#N/A,#N/A,FALSE,"4 Panel"}</definedName>
    <definedName name="__________no3" hidden="1">{#N/A,#N/A,FALSE,"SMT1";#N/A,#N/A,FALSE,"SMT2";#N/A,#N/A,FALSE,"Summary";#N/A,#N/A,FALSE,"Graphs";#N/A,#N/A,FALSE,"4 Panel"}</definedName>
    <definedName name="__________no4" hidden="1">{#N/A,#N/A,FALSE,"SMT1";#N/A,#N/A,FALSE,"SMT2";#N/A,#N/A,FALSE,"Summary";#N/A,#N/A,FALSE,"Graphs";#N/A,#N/A,FALSE,"4 Panel"}</definedName>
    <definedName name="__________no5" hidden="1">{#N/A,#N/A,FALSE,"Full";#N/A,#N/A,FALSE,"Half";#N/A,#N/A,FALSE,"Op Expenses";#N/A,#N/A,FALSE,"Cap Charge";#N/A,#N/A,FALSE,"Cost C";#N/A,#N/A,FALSE,"PP&amp;E";#N/A,#N/A,FALSE,"R&amp;D"}</definedName>
    <definedName name="__________no6" hidden="1">{"EVA",#N/A,FALSE,"SMT2";#N/A,#N/A,FALSE,"Summary";#N/A,#N/A,FALSE,"Graphs";#N/A,#N/A,FALSE,"4 Panel"}</definedName>
    <definedName name="__________no7" hidden="1">{"EVA",#N/A,FALSE,"SMT2";#N/A,#N/A,FALSE,"Summary";#N/A,#N/A,FALSE,"Graphs";#N/A,#N/A,FALSE,"4 Panel"}</definedName>
    <definedName name="__________no8" hidden="1">{"EVA",#N/A,FALSE,"SMT2";#N/A,#N/A,FALSE,"Summary";#N/A,#N/A,FALSE,"Graphs";#N/A,#N/A,FALSE,"4 Panel"}</definedName>
    <definedName name="__________no9" hidden="1">{"EVA",#N/A,FALSE,"SMT2";#N/A,#N/A,FALSE,"Summary";#N/A,#N/A,FALSE,"Graphs";#N/A,#N/A,FALSE,"4 Panel"}</definedName>
    <definedName name="__________oa55">#REF!</definedName>
    <definedName name="__________PJ50">#REF!</definedName>
    <definedName name="__________r" hidden="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________RAM1">#REF!</definedName>
    <definedName name="__________SBC1">#REF!</definedName>
    <definedName name="__________SBC3">#REF!</definedName>
    <definedName name="__________SBC5">#REF!</definedName>
    <definedName name="__________v3" hidden="1">{"CONSEJO",#N/A,FALSE,"Dist p0";"CONSEJO",#N/A,FALSE,"Ficha CODICE"}</definedName>
    <definedName name="__________xl5" hidden="1">{"Actual Equipment",#N/A,FALSE,"BA D5"}</definedName>
    <definedName name="_________a1">#REF!</definedName>
    <definedName name="_________A2" hidden="1">{#N/A,#N/A,FALSE,"Costos Productos 6A";#N/A,#N/A,FALSE,"Costo Unitario Total H-94-12"}</definedName>
    <definedName name="_________AFC1">#REF!</definedName>
    <definedName name="_________AFC3">#REF!</definedName>
    <definedName name="_________AFC5">#REF!</definedName>
    <definedName name="_________Ant3" hidden="1">{"'banner (abr)'!$A$14:$G$22"}</definedName>
    <definedName name="_________BGC1">#REF!</definedName>
    <definedName name="_________BGC3">#REF!</definedName>
    <definedName name="_________BGC5">#REF!</definedName>
    <definedName name="_________CAC1">#REF!</definedName>
    <definedName name="_________CAC3">#REF!</definedName>
    <definedName name="_________CAC5">#REF!</definedName>
    <definedName name="_________cp92000" hidden="1">{#N/A,#N/A,TRUE,"Caps1-5";#N/A,#N/A,TRUE,"Cap6";#N/A,#N/A,TRUE,"Caps7-8";#N/A,#N/A,TRUE,"Cap9-Resumo";#N/A,#N/A,TRUE,"Cap9-Det-2000";#N/A,#N/A,TRUE,"Cap9-Det-2001";#N/A,#N/A,TRUE,"Caps10-11"}</definedName>
    <definedName name="_________df2" hidden="1">{"CONSEJO",#N/A,FALSE,"Dist p0";"CONSEJO",#N/A,FALSE,"Ficha CODICE"}</definedName>
    <definedName name="_________f" hidden="1">{"EVA",#N/A,FALSE,"SMT2";#N/A,#N/A,FALSE,"Summary";#N/A,#N/A,FALSE,"Graphs";#N/A,#N/A,FALSE,"4 Panel"}</definedName>
    <definedName name="_________i1">#REF!</definedName>
    <definedName name="_________key2" hidden="1">#REF!</definedName>
    <definedName name="_________key3" hidden="1">#REF!</definedName>
    <definedName name="_________MA2">#REF!</definedName>
    <definedName name="_________new1" hidden="1">{#N/A,#N/A,FALSE,"SMT1";#N/A,#N/A,FALSE,"SMT2";#N/A,#N/A,FALSE,"Summary";#N/A,#N/A,FALSE,"Graphs";#N/A,#N/A,FALSE,"4 Panel"}</definedName>
    <definedName name="_________new10" hidden="1">{#N/A,#N/A,FALSE,"SMT1";#N/A,#N/A,FALSE,"SMT2";#N/A,#N/A,FALSE,"Summary";#N/A,#N/A,FALSE,"Graphs";#N/A,#N/A,FALSE,"4 Panel"}</definedName>
    <definedName name="_________new2" hidden="1">{"EVA",#N/A,FALSE,"SMT2";#N/A,#N/A,FALSE,"Summary";#N/A,#N/A,FALSE,"Graphs";#N/A,#N/A,FALSE,"4 Panel"}</definedName>
    <definedName name="_________NEW3" hidden="1">{#N/A,#N/A,FALSE,"SMT1";#N/A,#N/A,FALSE,"SMT2";#N/A,#N/A,FALSE,"Summary";#N/A,#N/A,FALSE,"Graphs";#N/A,#N/A,FALSE,"4 Panel"}</definedName>
    <definedName name="_________NEW4" hidden="1">{#N/A,#N/A,FALSE,"Full";#N/A,#N/A,FALSE,"Half";#N/A,#N/A,FALSE,"Op Expenses";#N/A,#N/A,FALSE,"Cap Charge";#N/A,#N/A,FALSE,"Cost C";#N/A,#N/A,FALSE,"PP&amp;E";#N/A,#N/A,FALSE,"R&amp;D"}</definedName>
    <definedName name="_________no1" hidden="1">{#N/A,#N/A,FALSE,"SMT1";#N/A,#N/A,FALSE,"SMT2";#N/A,#N/A,FALSE,"Summary";#N/A,#N/A,FALSE,"Graphs";#N/A,#N/A,FALSE,"4 Panel"}</definedName>
    <definedName name="_________no10" hidden="1">{#N/A,#N/A,FALSE,"SMT1";#N/A,#N/A,FALSE,"SMT2";#N/A,#N/A,FALSE,"Summary";#N/A,#N/A,FALSE,"Graphs";#N/A,#N/A,FALSE,"4 Panel"}</definedName>
    <definedName name="_________no11" hidden="1">{#N/A,#N/A,FALSE,"Full";#N/A,#N/A,FALSE,"Half";#N/A,#N/A,FALSE,"Op Expenses";#N/A,#N/A,FALSE,"Cap Charge";#N/A,#N/A,FALSE,"Cost C";#N/A,#N/A,FALSE,"PP&amp;E";#N/A,#N/A,FALSE,"R&amp;D"}</definedName>
    <definedName name="_________no12" hidden="1">{#N/A,#N/A,FALSE,"SMT1";#N/A,#N/A,FALSE,"SMT2";#N/A,#N/A,FALSE,"Summary";#N/A,#N/A,FALSE,"Graphs";#N/A,#N/A,FALSE,"4 Panel"}</definedName>
    <definedName name="_________no13" hidden="1">{"EVA",#N/A,FALSE,"SMT2";#N/A,#N/A,FALSE,"Summary";#N/A,#N/A,FALSE,"Graphs";#N/A,#N/A,FALSE,"4 Panel"}</definedName>
    <definedName name="_________no14" hidden="1">{#N/A,#N/A,FALSE,"Full";#N/A,#N/A,FALSE,"Half";#N/A,#N/A,FALSE,"Op Expenses";#N/A,#N/A,FALSE,"Cap Charge";#N/A,#N/A,FALSE,"Cost C";#N/A,#N/A,FALSE,"PP&amp;E";#N/A,#N/A,FALSE,"R&amp;D"}</definedName>
    <definedName name="_________no2" hidden="1">{"EVA",#N/A,FALSE,"SMT2";#N/A,#N/A,FALSE,"Summary";#N/A,#N/A,FALSE,"Graphs";#N/A,#N/A,FALSE,"4 Panel"}</definedName>
    <definedName name="_________no3" hidden="1">{#N/A,#N/A,FALSE,"SMT1";#N/A,#N/A,FALSE,"SMT2";#N/A,#N/A,FALSE,"Summary";#N/A,#N/A,FALSE,"Graphs";#N/A,#N/A,FALSE,"4 Panel"}</definedName>
    <definedName name="_________no4" hidden="1">{#N/A,#N/A,FALSE,"SMT1";#N/A,#N/A,FALSE,"SMT2";#N/A,#N/A,FALSE,"Summary";#N/A,#N/A,FALSE,"Graphs";#N/A,#N/A,FALSE,"4 Panel"}</definedName>
    <definedName name="_________no5" hidden="1">{#N/A,#N/A,FALSE,"Full";#N/A,#N/A,FALSE,"Half";#N/A,#N/A,FALSE,"Op Expenses";#N/A,#N/A,FALSE,"Cap Charge";#N/A,#N/A,FALSE,"Cost C";#N/A,#N/A,FALSE,"PP&amp;E";#N/A,#N/A,FALSE,"R&amp;D"}</definedName>
    <definedName name="_________no6" hidden="1">{"EVA",#N/A,FALSE,"SMT2";#N/A,#N/A,FALSE,"Summary";#N/A,#N/A,FALSE,"Graphs";#N/A,#N/A,FALSE,"4 Panel"}</definedName>
    <definedName name="_________no7" hidden="1">{"EVA",#N/A,FALSE,"SMT2";#N/A,#N/A,FALSE,"Summary";#N/A,#N/A,FALSE,"Graphs";#N/A,#N/A,FALSE,"4 Panel"}</definedName>
    <definedName name="_________no8" hidden="1">{"EVA",#N/A,FALSE,"SMT2";#N/A,#N/A,FALSE,"Summary";#N/A,#N/A,FALSE,"Graphs";#N/A,#N/A,FALSE,"4 Panel"}</definedName>
    <definedName name="_________no9" hidden="1">{"EVA",#N/A,FALSE,"SMT2";#N/A,#N/A,FALSE,"Summary";#N/A,#N/A,FALSE,"Graphs";#N/A,#N/A,FALSE,"4 Panel"}</definedName>
    <definedName name="_________oa55">#REF!</definedName>
    <definedName name="_________PJ50">#REF!</definedName>
    <definedName name="_________r" hidden="1">{"ANAR",#N/A,FALSE,"Dist total";"MARGEN",#N/A,FALSE,"Dist total";"COMENTARIO",#N/A,FALSE,"Ficha CODICE";"CONSEJO",#N/A,FALSE,"Dist p0";"uno",#N/A,FALSE,"Dist total"}</definedName>
    <definedName name="_________RAM1">#REF!</definedName>
    <definedName name="_________RET1">#REF!</definedName>
    <definedName name="_________RET2">#REF!</definedName>
    <definedName name="_________RET3">#REF!</definedName>
    <definedName name="_________RET4">#REF!</definedName>
    <definedName name="_________RET5">#REF!</definedName>
    <definedName name="_________RET6">#REF!</definedName>
    <definedName name="_________SBC1">#REF!</definedName>
    <definedName name="_________SBC3">#REF!</definedName>
    <definedName name="_________SBC5">#REF!</definedName>
    <definedName name="_________v3" hidden="1">{"CONSEJO",#N/A,FALSE,"Dist p0";"CONSEJO",#N/A,FALSE,"Ficha CODICE"}</definedName>
    <definedName name="_________xl5" hidden="1">{"Actual Equipment",#N/A,FALSE,"BA D5"}</definedName>
    <definedName name="________a1">#REF!</definedName>
    <definedName name="________A2" hidden="1">{#N/A,#N/A,FALSE,"Costos Productos 6A";#N/A,#N/A,FALSE,"Costo Unitario Total H-94-12"}</definedName>
    <definedName name="________AFC1">#REF!</definedName>
    <definedName name="________AFC3">#REF!</definedName>
    <definedName name="________AFC5">#REF!</definedName>
    <definedName name="________Ant3" hidden="1">{"'banner (abr)'!$A$14:$G$22"}</definedName>
    <definedName name="________BGC1">#REF!</definedName>
    <definedName name="________BGC3">#REF!</definedName>
    <definedName name="________BGC5">#REF!</definedName>
    <definedName name="________CAC1">#REF!</definedName>
    <definedName name="________CAC3">#REF!</definedName>
    <definedName name="________CAC5">#REF!</definedName>
    <definedName name="________f" hidden="1">{"EVA",#N/A,FALSE,"SMT2";#N/A,#N/A,FALSE,"Summary";#N/A,#N/A,FALSE,"Graphs";#N/A,#N/A,FALSE,"4 Panel"}</definedName>
    <definedName name="________GW45" hidden="1">{"EVA",#N/A,FALSE,"SMT2";#N/A,#N/A,FALSE,"Summary";#N/A,#N/A,FALSE,"Graphs";#N/A,#N/A,FALSE,"4 Panel"}</definedName>
    <definedName name="________i1">#REF!</definedName>
    <definedName name="________key3" hidden="1">#REF!</definedName>
    <definedName name="________MA2">#REF!</definedName>
    <definedName name="________new1" hidden="1">{#N/A,#N/A,FALSE,"SMT1";#N/A,#N/A,FALSE,"SMT2";#N/A,#N/A,FALSE,"Summary";#N/A,#N/A,FALSE,"Graphs";#N/A,#N/A,FALSE,"4 Panel"}</definedName>
    <definedName name="________new10" hidden="1">{#N/A,#N/A,FALSE,"SMT1";#N/A,#N/A,FALSE,"SMT2";#N/A,#N/A,FALSE,"Summary";#N/A,#N/A,FALSE,"Graphs";#N/A,#N/A,FALSE,"4 Panel"}</definedName>
    <definedName name="________new2" hidden="1">{"EVA",#N/A,FALSE,"SMT2";#N/A,#N/A,FALSE,"Summary";#N/A,#N/A,FALSE,"Graphs";#N/A,#N/A,FALSE,"4 Panel"}</definedName>
    <definedName name="________NEW3" hidden="1">{#N/A,#N/A,FALSE,"SMT1";#N/A,#N/A,FALSE,"SMT2";#N/A,#N/A,FALSE,"Summary";#N/A,#N/A,FALSE,"Graphs";#N/A,#N/A,FALSE,"4 Panel"}</definedName>
    <definedName name="________NEW4" hidden="1">{#N/A,#N/A,FALSE,"Full";#N/A,#N/A,FALSE,"Half";#N/A,#N/A,FALSE,"Op Expenses";#N/A,#N/A,FALSE,"Cap Charge";#N/A,#N/A,FALSE,"Cost C";#N/A,#N/A,FALSE,"PP&amp;E";#N/A,#N/A,FALSE,"R&amp;D"}</definedName>
    <definedName name="________no1" hidden="1">{#N/A,#N/A,FALSE,"SMT1";#N/A,#N/A,FALSE,"SMT2";#N/A,#N/A,FALSE,"Summary";#N/A,#N/A,FALSE,"Graphs";#N/A,#N/A,FALSE,"4 Panel"}</definedName>
    <definedName name="________no10" hidden="1">{#N/A,#N/A,FALSE,"SMT1";#N/A,#N/A,FALSE,"SMT2";#N/A,#N/A,FALSE,"Summary";#N/A,#N/A,FALSE,"Graphs";#N/A,#N/A,FALSE,"4 Panel"}</definedName>
    <definedName name="________no11" hidden="1">{#N/A,#N/A,FALSE,"Full";#N/A,#N/A,FALSE,"Half";#N/A,#N/A,FALSE,"Op Expenses";#N/A,#N/A,FALSE,"Cap Charge";#N/A,#N/A,FALSE,"Cost C";#N/A,#N/A,FALSE,"PP&amp;E";#N/A,#N/A,FALSE,"R&amp;D"}</definedName>
    <definedName name="________no12" hidden="1">{#N/A,#N/A,FALSE,"SMT1";#N/A,#N/A,FALSE,"SMT2";#N/A,#N/A,FALSE,"Summary";#N/A,#N/A,FALSE,"Graphs";#N/A,#N/A,FALSE,"4 Panel"}</definedName>
    <definedName name="________no13" hidden="1">{"EVA",#N/A,FALSE,"SMT2";#N/A,#N/A,FALSE,"Summary";#N/A,#N/A,FALSE,"Graphs";#N/A,#N/A,FALSE,"4 Panel"}</definedName>
    <definedName name="________no14" hidden="1">{#N/A,#N/A,FALSE,"Full";#N/A,#N/A,FALSE,"Half";#N/A,#N/A,FALSE,"Op Expenses";#N/A,#N/A,FALSE,"Cap Charge";#N/A,#N/A,FALSE,"Cost C";#N/A,#N/A,FALSE,"PP&amp;E";#N/A,#N/A,FALSE,"R&amp;D"}</definedName>
    <definedName name="________no2" hidden="1">{"EVA",#N/A,FALSE,"SMT2";#N/A,#N/A,FALSE,"Summary";#N/A,#N/A,FALSE,"Graphs";#N/A,#N/A,FALSE,"4 Panel"}</definedName>
    <definedName name="________no3" hidden="1">{#N/A,#N/A,FALSE,"SMT1";#N/A,#N/A,FALSE,"SMT2";#N/A,#N/A,FALSE,"Summary";#N/A,#N/A,FALSE,"Graphs";#N/A,#N/A,FALSE,"4 Panel"}</definedName>
    <definedName name="________no4" hidden="1">{#N/A,#N/A,FALSE,"SMT1";#N/A,#N/A,FALSE,"SMT2";#N/A,#N/A,FALSE,"Summary";#N/A,#N/A,FALSE,"Graphs";#N/A,#N/A,FALSE,"4 Panel"}</definedName>
    <definedName name="________no5" hidden="1">{#N/A,#N/A,FALSE,"Full";#N/A,#N/A,FALSE,"Half";#N/A,#N/A,FALSE,"Op Expenses";#N/A,#N/A,FALSE,"Cap Charge";#N/A,#N/A,FALSE,"Cost C";#N/A,#N/A,FALSE,"PP&amp;E";#N/A,#N/A,FALSE,"R&amp;D"}</definedName>
    <definedName name="________no6" hidden="1">{"EVA",#N/A,FALSE,"SMT2";#N/A,#N/A,FALSE,"Summary";#N/A,#N/A,FALSE,"Graphs";#N/A,#N/A,FALSE,"4 Panel"}</definedName>
    <definedName name="________no7" hidden="1">{"EVA",#N/A,FALSE,"SMT2";#N/A,#N/A,FALSE,"Summary";#N/A,#N/A,FALSE,"Graphs";#N/A,#N/A,FALSE,"4 Panel"}</definedName>
    <definedName name="________no8" hidden="1">{"EVA",#N/A,FALSE,"SMT2";#N/A,#N/A,FALSE,"Summary";#N/A,#N/A,FALSE,"Graphs";#N/A,#N/A,FALSE,"4 Panel"}</definedName>
    <definedName name="________no9" hidden="1">{"EVA",#N/A,FALSE,"SMT2";#N/A,#N/A,FALSE,"Summary";#N/A,#N/A,FALSE,"Graphs";#N/A,#N/A,FALSE,"4 Panel"}</definedName>
    <definedName name="________oa55">#REF!</definedName>
    <definedName name="________PJ50">#REF!</definedName>
    <definedName name="________r" hidden="1">{"ANAR",#N/A,FALSE,"Dist total";"MARGEN",#N/A,FALSE,"Dist total";"COMENTARIO",#N/A,FALSE,"Ficha CODICE";"CONSEJO",#N/A,FALSE,"Dist p0";"uno",#N/A,FALSE,"Dist total"}</definedName>
    <definedName name="________RAM1">#REF!</definedName>
    <definedName name="________RET1">#REF!</definedName>
    <definedName name="________RET2">#REF!</definedName>
    <definedName name="________RET3">#REF!</definedName>
    <definedName name="________RET4">#REF!</definedName>
    <definedName name="________RET5">#REF!</definedName>
    <definedName name="________RET6">#REF!</definedName>
    <definedName name="________SBC1">#REF!</definedName>
    <definedName name="________SBC3">#REF!</definedName>
    <definedName name="________SBC5">#REF!</definedName>
    <definedName name="________v3" hidden="1">{"CONSEJO",#N/A,FALSE,"Dist p0";"CONSEJO",#N/A,FALSE,"Ficha CODICE"}</definedName>
    <definedName name="________xl5" hidden="1">{"Actual Equipment",#N/A,FALSE,"BA D5"}</definedName>
    <definedName name="_______a1">#REF!</definedName>
    <definedName name="_______A2" hidden="1">{#N/A,#N/A,FALSE,"Costos Productos 6A";#N/A,#N/A,FALSE,"Costo Unitario Total H-94-12"}</definedName>
    <definedName name="_______AFC1">#REF!</definedName>
    <definedName name="_______AFC3">#REF!</definedName>
    <definedName name="_______AFC5">#REF!</definedName>
    <definedName name="_______Ant3" hidden="1">{"'banner (abr)'!$A$14:$G$22"}</definedName>
    <definedName name="_______BGC1">#REF!</definedName>
    <definedName name="_______BGC3">#REF!</definedName>
    <definedName name="_______BGC5">#REF!</definedName>
    <definedName name="_______CAC1">#REF!</definedName>
    <definedName name="_______CAC3">#REF!</definedName>
    <definedName name="_______CAC5">#REF!</definedName>
    <definedName name="_______cp92000" hidden="1">{#N/A,#N/A,TRUE,"Caps1-5";#N/A,#N/A,TRUE,"Cap6";#N/A,#N/A,TRUE,"Caps7-8";#N/A,#N/A,TRUE,"Cap9-Resumo";#N/A,#N/A,TRUE,"Cap9-Det-2000";#N/A,#N/A,TRUE,"Cap9-Det-2001";#N/A,#N/A,TRUE,"Caps10-11"}</definedName>
    <definedName name="_______df2" hidden="1">{"CONSEJO",#N/A,FALSE,"Dist p0";"CONSEJO",#N/A,FALSE,"Ficha CODICE"}</definedName>
    <definedName name="_______f" hidden="1">{#N/A,#N/A,TRUE,"INGENIERIA";#N/A,#N/A,TRUE,"COMPRAS";#N/A,#N/A,TRUE,"DIRECCION";#N/A,#N/A,TRUE,"RESUMEN"}</definedName>
    <definedName name="_______FC" hidden="1">{"DETALLE_1996",#N/A,FALSE,"flujo";"DETALLE_1997",#N/A,FALSE,"flujo";"GASTOS_INCURRIDOS_1996",#N/A,FALSE,"flujo";"GASTOS_PROGRAMADOS_PARA_1997",#N/A,FALSE,"flujo";#N/A,#N/A,FALSE,"comparat";#N/A,#N/A,FALSE,"costos";#N/A,#N/A,FALSE,"proyctrol"}</definedName>
    <definedName name="_______FHE7" hidden="1">{#N/A,#N/A,FALSE,"masez (10)";#N/A,#N/A,FALSE,"masez (7)";#N/A,#N/A,FALSE,"masez (6)";#N/A,#N/A,FALSE,"masez (5)";#N/A,#N/A,FALSE,"masez (4)";#N/A,#N/A,FALSE,"masez (3)";#N/A,#N/A,FALSE,"masez (2)";#N/A,#N/A,FALSE,"GME";#N/A,#N/A,FALSE,"masez"}</definedName>
    <definedName name="_______i1">#REF!</definedName>
    <definedName name="_______jy5" hidden="1">{#N/A,#N/A,FALSE,"masez (10)";#N/A,#N/A,FALSE,"masez (7)";#N/A,#N/A,FALSE,"masez (6)";#N/A,#N/A,FALSE,"masez (5)";#N/A,#N/A,FALSE,"masez (4)";#N/A,#N/A,FALSE,"masez (3)";#N/A,#N/A,FALSE,"masez (2)";#N/A,#N/A,FALSE,"GME";#N/A,#N/A,FALSE,"masez"}</definedName>
    <definedName name="_______key2" hidden="1">#REF!</definedName>
    <definedName name="_______key3" hidden="1">#REF!</definedName>
    <definedName name="_______MA2">#REF!</definedName>
    <definedName name="_______new1" hidden="1">{#N/A,#N/A,FALSE,"SMT1";#N/A,#N/A,FALSE,"SMT2";#N/A,#N/A,FALSE,"Summary";#N/A,#N/A,FALSE,"Graphs";#N/A,#N/A,FALSE,"4 Panel"}</definedName>
    <definedName name="_______new10" hidden="1">{#N/A,#N/A,FALSE,"SMT1";#N/A,#N/A,FALSE,"SMT2";#N/A,#N/A,FALSE,"Summary";#N/A,#N/A,FALSE,"Graphs";#N/A,#N/A,FALSE,"4 Panel"}</definedName>
    <definedName name="_______new2" hidden="1">{"EVA",#N/A,FALSE,"SMT2";#N/A,#N/A,FALSE,"Summary";#N/A,#N/A,FALSE,"Graphs";#N/A,#N/A,FALSE,"4 Panel"}</definedName>
    <definedName name="_______NEW3" hidden="1">{#N/A,#N/A,FALSE,"SMT1";#N/A,#N/A,FALSE,"SMT2";#N/A,#N/A,FALSE,"Summary";#N/A,#N/A,FALSE,"Graphs";#N/A,#N/A,FALSE,"4 Panel"}</definedName>
    <definedName name="_______NEW4" hidden="1">{#N/A,#N/A,FALSE,"Full";#N/A,#N/A,FALSE,"Half";#N/A,#N/A,FALSE,"Op Expenses";#N/A,#N/A,FALSE,"Cap Charge";#N/A,#N/A,FALSE,"Cost C";#N/A,#N/A,FALSE,"PP&amp;E";#N/A,#N/A,FALSE,"R&amp;D"}</definedName>
    <definedName name="_______no1" hidden="1">{#N/A,#N/A,FALSE,"SMT1";#N/A,#N/A,FALSE,"SMT2";#N/A,#N/A,FALSE,"Summary";#N/A,#N/A,FALSE,"Graphs";#N/A,#N/A,FALSE,"4 Panel"}</definedName>
    <definedName name="_______no10" hidden="1">{#N/A,#N/A,FALSE,"SMT1";#N/A,#N/A,FALSE,"SMT2";#N/A,#N/A,FALSE,"Summary";#N/A,#N/A,FALSE,"Graphs";#N/A,#N/A,FALSE,"4 Panel"}</definedName>
    <definedName name="_______no11" hidden="1">{#N/A,#N/A,FALSE,"Full";#N/A,#N/A,FALSE,"Half";#N/A,#N/A,FALSE,"Op Expenses";#N/A,#N/A,FALSE,"Cap Charge";#N/A,#N/A,FALSE,"Cost C";#N/A,#N/A,FALSE,"PP&amp;E";#N/A,#N/A,FALSE,"R&amp;D"}</definedName>
    <definedName name="_______no12" hidden="1">{#N/A,#N/A,FALSE,"SMT1";#N/A,#N/A,FALSE,"SMT2";#N/A,#N/A,FALSE,"Summary";#N/A,#N/A,FALSE,"Graphs";#N/A,#N/A,FALSE,"4 Panel"}</definedName>
    <definedName name="_______no13" hidden="1">{"EVA",#N/A,FALSE,"SMT2";#N/A,#N/A,FALSE,"Summary";#N/A,#N/A,FALSE,"Graphs";#N/A,#N/A,FALSE,"4 Panel"}</definedName>
    <definedName name="_______no14" hidden="1">{#N/A,#N/A,FALSE,"Full";#N/A,#N/A,FALSE,"Half";#N/A,#N/A,FALSE,"Op Expenses";#N/A,#N/A,FALSE,"Cap Charge";#N/A,#N/A,FALSE,"Cost C";#N/A,#N/A,FALSE,"PP&amp;E";#N/A,#N/A,FALSE,"R&amp;D"}</definedName>
    <definedName name="_______no2" hidden="1">{"EVA",#N/A,FALSE,"SMT2";#N/A,#N/A,FALSE,"Summary";#N/A,#N/A,FALSE,"Graphs";#N/A,#N/A,FALSE,"4 Panel"}</definedName>
    <definedName name="_______no3" hidden="1">{#N/A,#N/A,FALSE,"SMT1";#N/A,#N/A,FALSE,"SMT2";#N/A,#N/A,FALSE,"Summary";#N/A,#N/A,FALSE,"Graphs";#N/A,#N/A,FALSE,"4 Panel"}</definedName>
    <definedName name="_______no4" hidden="1">{#N/A,#N/A,FALSE,"SMT1";#N/A,#N/A,FALSE,"SMT2";#N/A,#N/A,FALSE,"Summary";#N/A,#N/A,FALSE,"Graphs";#N/A,#N/A,FALSE,"4 Panel"}</definedName>
    <definedName name="_______no5" hidden="1">{#N/A,#N/A,FALSE,"Full";#N/A,#N/A,FALSE,"Half";#N/A,#N/A,FALSE,"Op Expenses";#N/A,#N/A,FALSE,"Cap Charge";#N/A,#N/A,FALSE,"Cost C";#N/A,#N/A,FALSE,"PP&amp;E";#N/A,#N/A,FALSE,"R&amp;D"}</definedName>
    <definedName name="_______no6" hidden="1">{"EVA",#N/A,FALSE,"SMT2";#N/A,#N/A,FALSE,"Summary";#N/A,#N/A,FALSE,"Graphs";#N/A,#N/A,FALSE,"4 Panel"}</definedName>
    <definedName name="_______no7" hidden="1">{"EVA",#N/A,FALSE,"SMT2";#N/A,#N/A,FALSE,"Summary";#N/A,#N/A,FALSE,"Graphs";#N/A,#N/A,FALSE,"4 Panel"}</definedName>
    <definedName name="_______no8" hidden="1">{"EVA",#N/A,FALSE,"SMT2";#N/A,#N/A,FALSE,"Summary";#N/A,#N/A,FALSE,"Graphs";#N/A,#N/A,FALSE,"4 Panel"}</definedName>
    <definedName name="_______no9" hidden="1">{"EVA",#N/A,FALSE,"SMT2";#N/A,#N/A,FALSE,"Summary";#N/A,#N/A,FALSE,"Graphs";#N/A,#N/A,FALSE,"4 Panel"}</definedName>
    <definedName name="_______oa55">#REF!</definedName>
    <definedName name="_______PJ50">#REF!</definedName>
    <definedName name="_______pr01">#REF!</definedName>
    <definedName name="_______pr02">#REF!</definedName>
    <definedName name="_______pr03">#REF!</definedName>
    <definedName name="_______pr04">#REF!</definedName>
    <definedName name="_______pr05">#REF!</definedName>
    <definedName name="_______pr06">#REF!</definedName>
    <definedName name="_______pr07">#REF!</definedName>
    <definedName name="_______pr08">#REF!</definedName>
    <definedName name="_______pr09">#REF!</definedName>
    <definedName name="_______pr10">#REF!</definedName>
    <definedName name="_______pr11">#REF!</definedName>
    <definedName name="_______pr12">#REF!</definedName>
    <definedName name="_______pr13">#REF!</definedName>
    <definedName name="_______pr14">#REF!</definedName>
    <definedName name="_______pr15">#REF!</definedName>
    <definedName name="_______pr16">#REF!</definedName>
    <definedName name="_______pr17">#REF!</definedName>
    <definedName name="_______pr18">#REF!</definedName>
    <definedName name="_______pr19">#REF!</definedName>
    <definedName name="_______pr20">#REF!</definedName>
    <definedName name="_______pr21">#REF!</definedName>
    <definedName name="_______pr22">#REF!</definedName>
    <definedName name="_______pr23">#REF!</definedName>
    <definedName name="_______pr24">#REF!</definedName>
    <definedName name="_______pr25">#REF!</definedName>
    <definedName name="_______pr26">#REF!</definedName>
    <definedName name="_______pr27">#REF!</definedName>
    <definedName name="_______pr28">#REF!</definedName>
    <definedName name="_______pr29">#REF!</definedName>
    <definedName name="_______pr30">#REF!</definedName>
    <definedName name="_______pr31">#REF!</definedName>
    <definedName name="_______pr32">#REF!</definedName>
    <definedName name="_______pr33">#REF!</definedName>
    <definedName name="_______pr34">#REF!</definedName>
    <definedName name="_______pr35">#REF!</definedName>
    <definedName name="_______pr36">#REF!</definedName>
    <definedName name="_______pr37">#REF!</definedName>
    <definedName name="_______pr38">#REF!</definedName>
    <definedName name="_______pr39">#REF!</definedName>
    <definedName name="_______pr40">#REF!</definedName>
    <definedName name="_______pr41">#REF!</definedName>
    <definedName name="_______pr42">#REF!</definedName>
    <definedName name="_______pr43">#REF!</definedName>
    <definedName name="_______pr44">#REF!</definedName>
    <definedName name="_______pr45">#REF!</definedName>
    <definedName name="_______pr46">#REF!</definedName>
    <definedName name="_______pr47">#REF!</definedName>
    <definedName name="_______pr48">#REF!</definedName>
    <definedName name="_______pr49">#REF!</definedName>
    <definedName name="_______pr50">#REF!</definedName>
    <definedName name="_______pr51">#REF!</definedName>
    <definedName name="_______pr52">#REF!</definedName>
    <definedName name="_______pr53">#REF!</definedName>
    <definedName name="_______pr54">#REF!</definedName>
    <definedName name="_______pr55">#REF!</definedName>
    <definedName name="_______pr56">#REF!</definedName>
    <definedName name="_______pr57">#REF!</definedName>
    <definedName name="_______pr58">#REF!</definedName>
    <definedName name="_______pr59">#REF!</definedName>
    <definedName name="_______pr60">#REF!</definedName>
    <definedName name="_______pr61">#REF!</definedName>
    <definedName name="_______pr62">#REF!</definedName>
    <definedName name="_______pr63">#REF!</definedName>
    <definedName name="_______pr64">#REF!</definedName>
    <definedName name="_______pr65">#REF!</definedName>
    <definedName name="_______pr66">#REF!</definedName>
    <definedName name="_______pr67">#REF!</definedName>
    <definedName name="_______pr68">#REF!</definedName>
    <definedName name="_______pr69">#REF!</definedName>
    <definedName name="_______pr70">#REF!</definedName>
    <definedName name="_______pr71">#REF!</definedName>
    <definedName name="_______pr72">#REF!</definedName>
    <definedName name="_______r" hidden="1">{"ANAR",#N/A,FALSE,"Dist total";"MARGEN",#N/A,FALSE,"Dist total";"COMENTARIO",#N/A,FALSE,"Ficha CODICE";"CONSEJO",#N/A,FALSE,"Dist p0";"uno",#N/A,FALSE,"Dist total"}</definedName>
    <definedName name="_______RAM1">#REF!</definedName>
    <definedName name="_______RET1">#REF!</definedName>
    <definedName name="_______RET2">#REF!</definedName>
    <definedName name="_______RET3">#REF!</definedName>
    <definedName name="_______RET4">#REF!</definedName>
    <definedName name="_______RET5">#REF!</definedName>
    <definedName name="_______RET6">#REF!</definedName>
    <definedName name="_______SBC1">#REF!</definedName>
    <definedName name="_______SBC3">#REF!</definedName>
    <definedName name="_______SBC5">#REF!</definedName>
    <definedName name="_______tyl2" hidden="1">{#N/A,#N/A,FALSE,"masez (10)";#N/A,#N/A,FALSE,"masez (7)";#N/A,#N/A,FALSE,"masez (6)";#N/A,#N/A,FALSE,"masez (5)";#N/A,#N/A,FALSE,"masez (4)";#N/A,#N/A,FALSE,"masez (3)";#N/A,#N/A,FALSE,"masez (2)";#N/A,#N/A,FALSE,"GME";#N/A,#N/A,FALSE,"masez"}</definedName>
    <definedName name="_______v3" hidden="1">{"CONSEJO",#N/A,FALSE,"Dist p0";"CONSEJO",#N/A,FALSE,"Ficha CODICE"}</definedName>
    <definedName name="_______VEX1" hidden="1">{#N/A,#N/A,FALSE,"Costos Contables CIB A 12 1994";#N/A,#N/A,FALSE,"Cuadre Contab. y C. OP"}</definedName>
    <definedName name="_______xl5" hidden="1">{"Actual Equipment",#N/A,FALSE,"BA D5"}</definedName>
    <definedName name="_______zx2" hidden="1">{#N/A,#N/A,FALSE,"masez (10)";#N/A,#N/A,FALSE,"masez (7)";#N/A,#N/A,FALSE,"masez (6)";#N/A,#N/A,FALSE,"masez (5)";#N/A,#N/A,FALSE,"masez (4)";#N/A,#N/A,FALSE,"masez (3)";#N/A,#N/A,FALSE,"masez (2)";#N/A,#N/A,FALSE,"GME";#N/A,#N/A,FALSE,"masez"}</definedName>
    <definedName name="______a1">#REF!</definedName>
    <definedName name="______A2" hidden="1">{#N/A,#N/A,FALSE,"Costos Productos 6A";#N/A,#N/A,FALSE,"Costo Unitario Total H-94-12"}</definedName>
    <definedName name="______AFC1">#REF!</definedName>
    <definedName name="______AFC3">#REF!</definedName>
    <definedName name="______AFC5">#REF!</definedName>
    <definedName name="______Ant3" hidden="1">{"'banner (abr)'!$A$14:$G$22"}</definedName>
    <definedName name="______BGC1">#REF!</definedName>
    <definedName name="______BGC3">#REF!</definedName>
    <definedName name="______BGC5">#REF!</definedName>
    <definedName name="______CAC1">#REF!</definedName>
    <definedName name="______CAC3">#REF!</definedName>
    <definedName name="______CAC5">#REF!</definedName>
    <definedName name="______dc2" hidden="1">{"myview",#N/A,FALSE,"96T6"}</definedName>
    <definedName name="______f" hidden="1">{"EVA",#N/A,FALSE,"SMT2";#N/A,#N/A,FALSE,"Summary";#N/A,#N/A,FALSE,"Graphs";#N/A,#N/A,FALSE,"4 Panel"}</definedName>
    <definedName name="______FC" hidden="1">{"DETALLE_1996",#N/A,FALSE,"flujo";"DETALLE_1997",#N/A,FALSE,"flujo";"GASTOS_INCURRIDOS_1996",#N/A,FALSE,"flujo";"GASTOS_PROGRAMADOS_PARA_1997",#N/A,FALSE,"flujo";#N/A,#N/A,FALSE,"comparat";#N/A,#N/A,FALSE,"costos";#N/A,#N/A,FALSE,"proyctrol"}</definedName>
    <definedName name="______FHE7" hidden="1">{#N/A,#N/A,FALSE,"masez (10)";#N/A,#N/A,FALSE,"masez (7)";#N/A,#N/A,FALSE,"masez (6)";#N/A,#N/A,FALSE,"masez (5)";#N/A,#N/A,FALSE,"masez (4)";#N/A,#N/A,FALSE,"masez (3)";#N/A,#N/A,FALSE,"masez (2)";#N/A,#N/A,FALSE,"GME";#N/A,#N/A,FALSE,"masez"}</definedName>
    <definedName name="______GW45" hidden="1">{"EVA",#N/A,FALSE,"SMT2";#N/A,#N/A,FALSE,"Summary";#N/A,#N/A,FALSE,"Graphs";#N/A,#N/A,FALSE,"4 Panel"}</definedName>
    <definedName name="______i1">#REF!</definedName>
    <definedName name="______INF1">#REF!</definedName>
    <definedName name="______jy5" hidden="1">{#N/A,#N/A,FALSE,"masez (10)";#N/A,#N/A,FALSE,"masez (7)";#N/A,#N/A,FALSE,"masez (6)";#N/A,#N/A,FALSE,"masez (5)";#N/A,#N/A,FALSE,"masez (4)";#N/A,#N/A,FALSE,"masez (3)";#N/A,#N/A,FALSE,"masez (2)";#N/A,#N/A,FALSE,"GME";#N/A,#N/A,FALSE,"masez"}</definedName>
    <definedName name="______key3" hidden="1">#REF!</definedName>
    <definedName name="______MA2">#REF!</definedName>
    <definedName name="______new1" hidden="1">{#N/A,#N/A,FALSE,"SMT1";#N/A,#N/A,FALSE,"SMT2";#N/A,#N/A,FALSE,"Summary";#N/A,#N/A,FALSE,"Graphs";#N/A,#N/A,FALSE,"4 Panel"}</definedName>
    <definedName name="______new10" hidden="1">{#N/A,#N/A,FALSE,"SMT1";#N/A,#N/A,FALSE,"SMT2";#N/A,#N/A,FALSE,"Summary";#N/A,#N/A,FALSE,"Graphs";#N/A,#N/A,FALSE,"4 Panel"}</definedName>
    <definedName name="______new2" hidden="1">{"EVA",#N/A,FALSE,"SMT2";#N/A,#N/A,FALSE,"Summary";#N/A,#N/A,FALSE,"Graphs";#N/A,#N/A,FALSE,"4 Panel"}</definedName>
    <definedName name="______NEW3" hidden="1">{#N/A,#N/A,FALSE,"SMT1";#N/A,#N/A,FALSE,"SMT2";#N/A,#N/A,FALSE,"Summary";#N/A,#N/A,FALSE,"Graphs";#N/A,#N/A,FALSE,"4 Panel"}</definedName>
    <definedName name="______NEW4" hidden="1">{#N/A,#N/A,FALSE,"Full";#N/A,#N/A,FALSE,"Half";#N/A,#N/A,FALSE,"Op Expenses";#N/A,#N/A,FALSE,"Cap Charge";#N/A,#N/A,FALSE,"Cost C";#N/A,#N/A,FALSE,"PP&amp;E";#N/A,#N/A,FALSE,"R&amp;D"}</definedName>
    <definedName name="______no1" hidden="1">{#N/A,#N/A,FALSE,"SMT1";#N/A,#N/A,FALSE,"SMT2";#N/A,#N/A,FALSE,"Summary";#N/A,#N/A,FALSE,"Graphs";#N/A,#N/A,FALSE,"4 Panel"}</definedName>
    <definedName name="______no10" hidden="1">{#N/A,#N/A,FALSE,"SMT1";#N/A,#N/A,FALSE,"SMT2";#N/A,#N/A,FALSE,"Summary";#N/A,#N/A,FALSE,"Graphs";#N/A,#N/A,FALSE,"4 Panel"}</definedName>
    <definedName name="______no11" hidden="1">{#N/A,#N/A,FALSE,"Full";#N/A,#N/A,FALSE,"Half";#N/A,#N/A,FALSE,"Op Expenses";#N/A,#N/A,FALSE,"Cap Charge";#N/A,#N/A,FALSE,"Cost C";#N/A,#N/A,FALSE,"PP&amp;E";#N/A,#N/A,FALSE,"R&amp;D"}</definedName>
    <definedName name="______no12" hidden="1">{#N/A,#N/A,FALSE,"SMT1";#N/A,#N/A,FALSE,"SMT2";#N/A,#N/A,FALSE,"Summary";#N/A,#N/A,FALSE,"Graphs";#N/A,#N/A,FALSE,"4 Panel"}</definedName>
    <definedName name="______no13" hidden="1">{"EVA",#N/A,FALSE,"SMT2";#N/A,#N/A,FALSE,"Summary";#N/A,#N/A,FALSE,"Graphs";#N/A,#N/A,FALSE,"4 Panel"}</definedName>
    <definedName name="______no14" hidden="1">{#N/A,#N/A,FALSE,"Full";#N/A,#N/A,FALSE,"Half";#N/A,#N/A,FALSE,"Op Expenses";#N/A,#N/A,FALSE,"Cap Charge";#N/A,#N/A,FALSE,"Cost C";#N/A,#N/A,FALSE,"PP&amp;E";#N/A,#N/A,FALSE,"R&amp;D"}</definedName>
    <definedName name="______no2" hidden="1">{"EVA",#N/A,FALSE,"SMT2";#N/A,#N/A,FALSE,"Summary";#N/A,#N/A,FALSE,"Graphs";#N/A,#N/A,FALSE,"4 Panel"}</definedName>
    <definedName name="______no3" hidden="1">{#N/A,#N/A,FALSE,"SMT1";#N/A,#N/A,FALSE,"SMT2";#N/A,#N/A,FALSE,"Summary";#N/A,#N/A,FALSE,"Graphs";#N/A,#N/A,FALSE,"4 Panel"}</definedName>
    <definedName name="______no4" hidden="1">{#N/A,#N/A,FALSE,"SMT1";#N/A,#N/A,FALSE,"SMT2";#N/A,#N/A,FALSE,"Summary";#N/A,#N/A,FALSE,"Graphs";#N/A,#N/A,FALSE,"4 Panel"}</definedName>
    <definedName name="______no5" hidden="1">{#N/A,#N/A,FALSE,"Full";#N/A,#N/A,FALSE,"Half";#N/A,#N/A,FALSE,"Op Expenses";#N/A,#N/A,FALSE,"Cap Charge";#N/A,#N/A,FALSE,"Cost C";#N/A,#N/A,FALSE,"PP&amp;E";#N/A,#N/A,FALSE,"R&amp;D"}</definedName>
    <definedName name="______no6" hidden="1">{"EVA",#N/A,FALSE,"SMT2";#N/A,#N/A,FALSE,"Summary";#N/A,#N/A,FALSE,"Graphs";#N/A,#N/A,FALSE,"4 Panel"}</definedName>
    <definedName name="______no7" hidden="1">{"EVA",#N/A,FALSE,"SMT2";#N/A,#N/A,FALSE,"Summary";#N/A,#N/A,FALSE,"Graphs";#N/A,#N/A,FALSE,"4 Panel"}</definedName>
    <definedName name="______no8" hidden="1">{"EVA",#N/A,FALSE,"SMT2";#N/A,#N/A,FALSE,"Summary";#N/A,#N/A,FALSE,"Graphs";#N/A,#N/A,FALSE,"4 Panel"}</definedName>
    <definedName name="______no9" hidden="1">{"EVA",#N/A,FALSE,"SMT2";#N/A,#N/A,FALSE,"Summary";#N/A,#N/A,FALSE,"Graphs";#N/A,#N/A,FALSE,"4 Panel"}</definedName>
    <definedName name="______oa55">#REF!</definedName>
    <definedName name="______PJ50">#REF!</definedName>
    <definedName name="______pr01">#REF!</definedName>
    <definedName name="______pr02">#REF!</definedName>
    <definedName name="______pr03">#REF!</definedName>
    <definedName name="______pr04">#REF!</definedName>
    <definedName name="______pr05">#REF!</definedName>
    <definedName name="______pr06">#REF!</definedName>
    <definedName name="______pr07">#REF!</definedName>
    <definedName name="______pr08">#REF!</definedName>
    <definedName name="______pr09">#REF!</definedName>
    <definedName name="______pr10">#REF!</definedName>
    <definedName name="______pr11">#REF!</definedName>
    <definedName name="______pr12">#REF!</definedName>
    <definedName name="______pr13">#REF!</definedName>
    <definedName name="______pr14">#REF!</definedName>
    <definedName name="______pr15">#REF!</definedName>
    <definedName name="______pr16">#REF!</definedName>
    <definedName name="______pr17">#REF!</definedName>
    <definedName name="______pr18">#REF!</definedName>
    <definedName name="______pr19">#REF!</definedName>
    <definedName name="______pr20">#REF!</definedName>
    <definedName name="______pr21">#REF!</definedName>
    <definedName name="______pr22">#REF!</definedName>
    <definedName name="______pr23">#REF!</definedName>
    <definedName name="______pr24">#REF!</definedName>
    <definedName name="______pr25">#REF!</definedName>
    <definedName name="______pr26">#REF!</definedName>
    <definedName name="______pr27">#REF!</definedName>
    <definedName name="______pr28">#REF!</definedName>
    <definedName name="______pr29">#REF!</definedName>
    <definedName name="______pr30">#REF!</definedName>
    <definedName name="______pr31">#REF!</definedName>
    <definedName name="______pr32">#REF!</definedName>
    <definedName name="______pr33">#REF!</definedName>
    <definedName name="______pr34">#REF!</definedName>
    <definedName name="______pr35">#REF!</definedName>
    <definedName name="______pr36">#REF!</definedName>
    <definedName name="______pr37">#REF!</definedName>
    <definedName name="______pr38">#REF!</definedName>
    <definedName name="______pr39">#REF!</definedName>
    <definedName name="______pr40">#REF!</definedName>
    <definedName name="______pr41">#REF!</definedName>
    <definedName name="______pr42">#REF!</definedName>
    <definedName name="______pr43">#REF!</definedName>
    <definedName name="______pr44">#REF!</definedName>
    <definedName name="______pr45">#REF!</definedName>
    <definedName name="______pr46">#REF!</definedName>
    <definedName name="______pr47">#REF!</definedName>
    <definedName name="______pr48">#REF!</definedName>
    <definedName name="______pr49">#REF!</definedName>
    <definedName name="______pr50">#REF!</definedName>
    <definedName name="______pr51">#REF!</definedName>
    <definedName name="______pr52">#REF!</definedName>
    <definedName name="______pr53">#REF!</definedName>
    <definedName name="______pr54">#REF!</definedName>
    <definedName name="______pr55">#REF!</definedName>
    <definedName name="______pr56">#REF!</definedName>
    <definedName name="______pr57">#REF!</definedName>
    <definedName name="______pr58">#REF!</definedName>
    <definedName name="______pr59">#REF!</definedName>
    <definedName name="______pr60">#REF!</definedName>
    <definedName name="______pr61">#REF!</definedName>
    <definedName name="______pr62">#REF!</definedName>
    <definedName name="______pr63">#REF!</definedName>
    <definedName name="______pr64">#REF!</definedName>
    <definedName name="______pr65">#REF!</definedName>
    <definedName name="______pr66">#REF!</definedName>
    <definedName name="______pr67">#REF!</definedName>
    <definedName name="______pr68">#REF!</definedName>
    <definedName name="______pr69">#REF!</definedName>
    <definedName name="______pr70">#REF!</definedName>
    <definedName name="______pr71">#REF!</definedName>
    <definedName name="______pr72">#REF!</definedName>
    <definedName name="______r" hidden="1">{#N/A,#N/A,FALSE,"Full";#N/A,#N/A,FALSE,"Half";#N/A,#N/A,FALSE,"Op Expenses";#N/A,#N/A,FALSE,"Cap Charge";#N/A,#N/A,FALSE,"Cost C";#N/A,#N/A,FALSE,"PP&amp;E";#N/A,#N/A,FALSE,"R&amp;D"}</definedName>
    <definedName name="______RAM1">#REF!</definedName>
    <definedName name="______RET1">#REF!</definedName>
    <definedName name="______RET2">#REF!</definedName>
    <definedName name="______RET3">#REF!</definedName>
    <definedName name="______RET4">#REF!</definedName>
    <definedName name="______RET5">#REF!</definedName>
    <definedName name="______RET6">#REF!</definedName>
    <definedName name="______SBC1">#REF!</definedName>
    <definedName name="______SBC3">#REF!</definedName>
    <definedName name="______SBC5">#REF!</definedName>
    <definedName name="______TBG3" hidden="1">{#N/A,#N/A,FALSE,"CIBHA05A";#N/A,#N/A,FALSE,"CIBHA05B"}</definedName>
    <definedName name="______tyl2" hidden="1">{#N/A,#N/A,FALSE,"masez (10)";#N/A,#N/A,FALSE,"masez (7)";#N/A,#N/A,FALSE,"masez (6)";#N/A,#N/A,FALSE,"masez (5)";#N/A,#N/A,FALSE,"masez (4)";#N/A,#N/A,FALSE,"masez (3)";#N/A,#N/A,FALSE,"masez (2)";#N/A,#N/A,FALSE,"GME";#N/A,#N/A,FALSE,"masez"}</definedName>
    <definedName name="______v3" hidden="1">{"CONSEJO",#N/A,FALSE,"Dist p0";"CONSEJO",#N/A,FALSE,"Ficha CODICE"}</definedName>
    <definedName name="______VEX1" hidden="1">{#N/A,#N/A,FALSE,"Costos Contables CIB A 12 1994";#N/A,#N/A,FALSE,"Cuadre Contab. y C. OP"}</definedName>
    <definedName name="______xl5" hidden="1">{"Actual Equipment",#N/A,FALSE,"BA D5"}</definedName>
    <definedName name="______zx2" hidden="1">{#N/A,#N/A,FALSE,"masez (10)";#N/A,#N/A,FALSE,"masez (7)";#N/A,#N/A,FALSE,"masez (6)";#N/A,#N/A,FALSE,"masez (5)";#N/A,#N/A,FALSE,"masez (4)";#N/A,#N/A,FALSE,"masez (3)";#N/A,#N/A,FALSE,"masez (2)";#N/A,#N/A,FALSE,"GME";#N/A,#N/A,FALSE,"masez"}</definedName>
    <definedName name="_____a1">#REF!</definedName>
    <definedName name="_____A2" hidden="1">{#N/A,#N/A,FALSE,"Costos Productos 6A";#N/A,#N/A,FALSE,"Costo Unitario Total H-94-12"}</definedName>
    <definedName name="_____AAS1" hidden="1">{#N/A,#N/A,TRUE,"INGENIERIA";#N/A,#N/A,TRUE,"COMPRAS";#N/A,#N/A,TRUE,"DIRECCION";#N/A,#N/A,TRUE,"RESUMEN"}</definedName>
    <definedName name="_____ABC1" hidden="1">{#N/A,#N/A,TRUE,"1842CWN0"}</definedName>
    <definedName name="_____abc2" hidden="1">{#N/A,#N/A,TRUE,"1842CWN0"}</definedName>
    <definedName name="_____AFC1">#REF!</definedName>
    <definedName name="_____AFC3">#REF!</definedName>
    <definedName name="_____AFC5">#REF!</definedName>
    <definedName name="_____Ant3" hidden="1">{"'banner (abr)'!$A$14:$G$22"}</definedName>
    <definedName name="_____BGC1">#REF!</definedName>
    <definedName name="_____BGC3">#REF!</definedName>
    <definedName name="_____BGC5">#REF!</definedName>
    <definedName name="_____CAC1">#REF!</definedName>
    <definedName name="_____CAC3">#REF!</definedName>
    <definedName name="_____CAC5">#REF!</definedName>
    <definedName name="_____COD906">#REF!</definedName>
    <definedName name="_____cp92000" hidden="1">{#N/A,#N/A,TRUE,"Caps1-5";#N/A,#N/A,TRUE,"Cap6";#N/A,#N/A,TRUE,"Caps7-8";#N/A,#N/A,TRUE,"Cap9-Resumo";#N/A,#N/A,TRUE,"Cap9-Det-2000";#N/A,#N/A,TRUE,"Cap9-Det-2001";#N/A,#N/A,TRUE,"Caps10-11"}</definedName>
    <definedName name="_____d4" hidden="1">{#N/A,#N/A,TRUE,"1842CWN0"}</definedName>
    <definedName name="_____d8" hidden="1">{#N/A,#N/A,TRUE,"1842CWN0"}</definedName>
    <definedName name="_____DEC93">#REF!</definedName>
    <definedName name="_____df2" hidden="1">{"CONSEJO",#N/A,FALSE,"Dist p0";"CONSEJO",#N/A,FALSE,"Ficha CODICE"}</definedName>
    <definedName name="_____df8"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_____df9" hidden="1">{#N/A,#N/A,TRUE,"1842CWN0"}</definedName>
    <definedName name="_____EMP10">#REF!</definedName>
    <definedName name="_____EMP12">#REF!</definedName>
    <definedName name="_____EMP3">#REF!</definedName>
    <definedName name="_____EMP4">#REF!</definedName>
    <definedName name="_____EMP6">#REF!</definedName>
    <definedName name="_____EMP8">#REF!</definedName>
    <definedName name="_____ESP1">#REF!</definedName>
    <definedName name="_____ESP2">#REF!</definedName>
    <definedName name="_____ESP3">#REF!</definedName>
    <definedName name="_____ESP4">#REF!</definedName>
    <definedName name="_____f" hidden="1">{"EVA",#N/A,FALSE,"SMT2";#N/A,#N/A,FALSE,"Summary";#N/A,#N/A,FALSE,"Graphs";#N/A,#N/A,FALSE,"4 Panel"}</definedName>
    <definedName name="_____FC" hidden="1">{"DETALLE_1996",#N/A,FALSE,"flujo";"DETALLE_1997",#N/A,FALSE,"flujo";"GASTOS_INCURRIDOS_1996",#N/A,FALSE,"flujo";"GASTOS_PROGRAMADOS_PARA_1997",#N/A,FALSE,"flujo";#N/A,#N/A,FALSE,"comparat";#N/A,#N/A,FALSE,"costos";#N/A,#N/A,FALSE,"proyctrol"}</definedName>
    <definedName name="_____FHE7" hidden="1">{#N/A,#N/A,FALSE,"masez (10)";#N/A,#N/A,FALSE,"masez (7)";#N/A,#N/A,FALSE,"masez (6)";#N/A,#N/A,FALSE,"masez (5)";#N/A,#N/A,FALSE,"masez (4)";#N/A,#N/A,FALSE,"masez (3)";#N/A,#N/A,FALSE,"masez (2)";#N/A,#N/A,FALSE,"GME";#N/A,#N/A,FALSE,"masez"}</definedName>
    <definedName name="_____i1">#REF!</definedName>
    <definedName name="_____ipc2">#REF!</definedName>
    <definedName name="_____ipc3">#REF!</definedName>
    <definedName name="_____ipc4">#REF!</definedName>
    <definedName name="_____jy5" hidden="1">{#N/A,#N/A,FALSE,"masez (10)";#N/A,#N/A,FALSE,"masez (7)";#N/A,#N/A,FALSE,"masez (6)";#N/A,#N/A,FALSE,"masez (5)";#N/A,#N/A,FALSE,"masez (4)";#N/A,#N/A,FALSE,"masez (3)";#N/A,#N/A,FALSE,"masez (2)";#N/A,#N/A,FALSE,"GME";#N/A,#N/A,FALSE,"masez"}</definedName>
    <definedName name="_____key2" hidden="1">#REF!</definedName>
    <definedName name="_____key3" hidden="1">#REF!</definedName>
    <definedName name="_____lns72" hidden="1">{#N/A,#N/A,TRUE,"1842CWN0"}</definedName>
    <definedName name="_____MA2">#REF!</definedName>
    <definedName name="_____MOR15">#REF!</definedName>
    <definedName name="_____new1" hidden="1">{#N/A,#N/A,FALSE,"SMT1";#N/A,#N/A,FALSE,"SMT2";#N/A,#N/A,FALSE,"Summary";#N/A,#N/A,FALSE,"Graphs";#N/A,#N/A,FALSE,"4 Panel"}</definedName>
    <definedName name="_____new10" hidden="1">{#N/A,#N/A,FALSE,"SMT1";#N/A,#N/A,FALSE,"SMT2";#N/A,#N/A,FALSE,"Summary";#N/A,#N/A,FALSE,"Graphs";#N/A,#N/A,FALSE,"4 Panel"}</definedName>
    <definedName name="_____new2" hidden="1">{"EVA",#N/A,FALSE,"SMT2";#N/A,#N/A,FALSE,"Summary";#N/A,#N/A,FALSE,"Graphs";#N/A,#N/A,FALSE,"4 Panel"}</definedName>
    <definedName name="_____NEW3" hidden="1">{#N/A,#N/A,FALSE,"SMT1";#N/A,#N/A,FALSE,"SMT2";#N/A,#N/A,FALSE,"Summary";#N/A,#N/A,FALSE,"Graphs";#N/A,#N/A,FALSE,"4 Panel"}</definedName>
    <definedName name="_____NEW4" hidden="1">{#N/A,#N/A,FALSE,"Full";#N/A,#N/A,FALSE,"Half";#N/A,#N/A,FALSE,"Op Expenses";#N/A,#N/A,FALSE,"Cap Charge";#N/A,#N/A,FALSE,"Cost C";#N/A,#N/A,FALSE,"PP&amp;E";#N/A,#N/A,FALSE,"R&amp;D"}</definedName>
    <definedName name="_____no1" hidden="1">{#N/A,#N/A,FALSE,"SMT1";#N/A,#N/A,FALSE,"SMT2";#N/A,#N/A,FALSE,"Summary";#N/A,#N/A,FALSE,"Graphs";#N/A,#N/A,FALSE,"4 Panel"}</definedName>
    <definedName name="_____no10" hidden="1">{#N/A,#N/A,FALSE,"SMT1";#N/A,#N/A,FALSE,"SMT2";#N/A,#N/A,FALSE,"Summary";#N/A,#N/A,FALSE,"Graphs";#N/A,#N/A,FALSE,"4 Panel"}</definedName>
    <definedName name="_____no11" hidden="1">{#N/A,#N/A,FALSE,"Full";#N/A,#N/A,FALSE,"Half";#N/A,#N/A,FALSE,"Op Expenses";#N/A,#N/A,FALSE,"Cap Charge";#N/A,#N/A,FALSE,"Cost C";#N/A,#N/A,FALSE,"PP&amp;E";#N/A,#N/A,FALSE,"R&amp;D"}</definedName>
    <definedName name="_____no12" hidden="1">{#N/A,#N/A,FALSE,"SMT1";#N/A,#N/A,FALSE,"SMT2";#N/A,#N/A,FALSE,"Summary";#N/A,#N/A,FALSE,"Graphs";#N/A,#N/A,FALSE,"4 Panel"}</definedName>
    <definedName name="_____no13" hidden="1">{"EVA",#N/A,FALSE,"SMT2";#N/A,#N/A,FALSE,"Summary";#N/A,#N/A,FALSE,"Graphs";#N/A,#N/A,FALSE,"4 Panel"}</definedName>
    <definedName name="_____no14" hidden="1">{#N/A,#N/A,FALSE,"Full";#N/A,#N/A,FALSE,"Half";#N/A,#N/A,FALSE,"Op Expenses";#N/A,#N/A,FALSE,"Cap Charge";#N/A,#N/A,FALSE,"Cost C";#N/A,#N/A,FALSE,"PP&amp;E";#N/A,#N/A,FALSE,"R&amp;D"}</definedName>
    <definedName name="_____no2" hidden="1">{"EVA",#N/A,FALSE,"SMT2";#N/A,#N/A,FALSE,"Summary";#N/A,#N/A,FALSE,"Graphs";#N/A,#N/A,FALSE,"4 Panel"}</definedName>
    <definedName name="_____no3" hidden="1">{#N/A,#N/A,FALSE,"SMT1";#N/A,#N/A,FALSE,"SMT2";#N/A,#N/A,FALSE,"Summary";#N/A,#N/A,FALSE,"Graphs";#N/A,#N/A,FALSE,"4 Panel"}</definedName>
    <definedName name="_____no4" hidden="1">{#N/A,#N/A,FALSE,"SMT1";#N/A,#N/A,FALSE,"SMT2";#N/A,#N/A,FALSE,"Summary";#N/A,#N/A,FALSE,"Graphs";#N/A,#N/A,FALSE,"4 Panel"}</definedName>
    <definedName name="_____no5" hidden="1">{#N/A,#N/A,FALSE,"Full";#N/A,#N/A,FALSE,"Half";#N/A,#N/A,FALSE,"Op Expenses";#N/A,#N/A,FALSE,"Cap Charge";#N/A,#N/A,FALSE,"Cost C";#N/A,#N/A,FALSE,"PP&amp;E";#N/A,#N/A,FALSE,"R&amp;D"}</definedName>
    <definedName name="_____no6" hidden="1">{"EVA",#N/A,FALSE,"SMT2";#N/A,#N/A,FALSE,"Summary";#N/A,#N/A,FALSE,"Graphs";#N/A,#N/A,FALSE,"4 Panel"}</definedName>
    <definedName name="_____no7" hidden="1">{"EVA",#N/A,FALSE,"SMT2";#N/A,#N/A,FALSE,"Summary";#N/A,#N/A,FALSE,"Graphs";#N/A,#N/A,FALSE,"4 Panel"}</definedName>
    <definedName name="_____no8" hidden="1">{"EVA",#N/A,FALSE,"SMT2";#N/A,#N/A,FALSE,"Summary";#N/A,#N/A,FALSE,"Graphs";#N/A,#N/A,FALSE,"4 Panel"}</definedName>
    <definedName name="_____no9" hidden="1">{"EVA",#N/A,FALSE,"SMT2";#N/A,#N/A,FALSE,"Summary";#N/A,#N/A,FALSE,"Graphs";#N/A,#N/A,FALSE,"4 Panel"}</definedName>
    <definedName name="_____oa55">#REF!</definedName>
    <definedName name="_____PJ50">#REF!</definedName>
    <definedName name="_____pj51">#REF!</definedName>
    <definedName name="_____pr01">#REF!</definedName>
    <definedName name="_____pr02">#REF!</definedName>
    <definedName name="_____pr03">#REF!</definedName>
    <definedName name="_____pr04">#REF!</definedName>
    <definedName name="_____pr05">#REF!</definedName>
    <definedName name="_____pr06">#REF!</definedName>
    <definedName name="_____pr07">#REF!</definedName>
    <definedName name="_____pr08">#REF!</definedName>
    <definedName name="_____pr09">#REF!</definedName>
    <definedName name="_____pr10">#REF!</definedName>
    <definedName name="_____pr11">#REF!</definedName>
    <definedName name="_____pr12">#REF!</definedName>
    <definedName name="_____pr13">#REF!</definedName>
    <definedName name="_____pr14">#REF!</definedName>
    <definedName name="_____pr15">#REF!</definedName>
    <definedName name="_____pr16">#REF!</definedName>
    <definedName name="_____pr17">#REF!</definedName>
    <definedName name="_____pr18">#REF!</definedName>
    <definedName name="_____pr19">#REF!</definedName>
    <definedName name="_____pr20">#REF!</definedName>
    <definedName name="_____pr21">#REF!</definedName>
    <definedName name="_____pr22">#REF!</definedName>
    <definedName name="_____pr23">#REF!</definedName>
    <definedName name="_____pr24">#REF!</definedName>
    <definedName name="_____pr25">#REF!</definedName>
    <definedName name="_____pr26">#REF!</definedName>
    <definedName name="_____pr27">#REF!</definedName>
    <definedName name="_____pr28">#REF!</definedName>
    <definedName name="_____pr29">#REF!</definedName>
    <definedName name="_____pr30">#REF!</definedName>
    <definedName name="_____pr31">#REF!</definedName>
    <definedName name="_____pr32">#REF!</definedName>
    <definedName name="_____pr33">#REF!</definedName>
    <definedName name="_____pr34">#REF!</definedName>
    <definedName name="_____pr35">#REF!</definedName>
    <definedName name="_____pr36">#REF!</definedName>
    <definedName name="_____pr37">#REF!</definedName>
    <definedName name="_____pr38">#REF!</definedName>
    <definedName name="_____pr39">#REF!</definedName>
    <definedName name="_____pr40">#REF!</definedName>
    <definedName name="_____pr41">#REF!</definedName>
    <definedName name="_____pr42">#REF!</definedName>
    <definedName name="_____pr43">#REF!</definedName>
    <definedName name="_____pr44">#REF!</definedName>
    <definedName name="_____pr45">#REF!</definedName>
    <definedName name="_____pr46">#REF!</definedName>
    <definedName name="_____pr47">#REF!</definedName>
    <definedName name="_____pr48">#REF!</definedName>
    <definedName name="_____pr49">#REF!</definedName>
    <definedName name="_____pr50">#REF!</definedName>
    <definedName name="_____pr51">#REF!</definedName>
    <definedName name="_____pr52">#REF!</definedName>
    <definedName name="_____pr53">#REF!</definedName>
    <definedName name="_____pr54">#REF!</definedName>
    <definedName name="_____pr55">#REF!</definedName>
    <definedName name="_____pr56">#REF!</definedName>
    <definedName name="_____pr57">#REF!</definedName>
    <definedName name="_____pr58">#REF!</definedName>
    <definedName name="_____pr59">#REF!</definedName>
    <definedName name="_____pr60">#REF!</definedName>
    <definedName name="_____pr61">#REF!</definedName>
    <definedName name="_____pr62">#REF!</definedName>
    <definedName name="_____pr63">#REF!</definedName>
    <definedName name="_____pr64">#REF!</definedName>
    <definedName name="_____pr65">#REF!</definedName>
    <definedName name="_____pr66">#REF!</definedName>
    <definedName name="_____pr67">#REF!</definedName>
    <definedName name="_____pr68">#REF!</definedName>
    <definedName name="_____pr69">#REF!</definedName>
    <definedName name="_____pr70">#REF!</definedName>
    <definedName name="_____pr71">#REF!</definedName>
    <definedName name="_____pr72">#REF!</definedName>
    <definedName name="_____R" hidden="1">{#N/A,#N/A,FALSE,"T1N97";#N/A,#N/A,FALSE,"T2N97";#N/A,#N/A,FALSE,"T3N97(2)";#N/A,#N/A,FALSE,"T3AN97";#N/A,#N/A,FALSE,"T4N97(2)";#N/A,#N/A,FALSE,"T5N97";#N/A,#N/A,FALSE,"T6N967";#N/A,#N/A,FALSE,"T13N97";#N/A,#N/A,FALSE,"T7N97";#N/A,#N/A,FALSE,"T13AN97";#N/A,#N/A,FALSE,"T13N97G";#N/A,#N/A,FALSE,"T13BN97"}</definedName>
    <definedName name="_____RAM1">#REF!</definedName>
    <definedName name="_____RET1">#REF!</definedName>
    <definedName name="_____RET2">#REF!</definedName>
    <definedName name="_____RET3">#REF!</definedName>
    <definedName name="_____RET4">#REF!</definedName>
    <definedName name="_____RET5">#REF!</definedName>
    <definedName name="_____RET6">#REF!</definedName>
    <definedName name="_____SBC1">#REF!</definedName>
    <definedName name="_____SBC3">#REF!</definedName>
    <definedName name="_____SBC5">#REF!</definedName>
    <definedName name="_____skf45" hidden="1">{#N/A,#N/A,TRUE,"1842CWN0"}</definedName>
    <definedName name="_____sr51" hidden="1">{#N/A,#N/A,TRUE,"INGENIERIA";#N/A,#N/A,TRUE,"COMPRAS";#N/A,#N/A,TRUE,"DIRECCION";#N/A,#N/A,TRUE,"RESUMEN"}</definedName>
    <definedName name="_____TBG3" hidden="1">{#N/A,#N/A,FALSE,"CIBHA05A";#N/A,#N/A,FALSE,"CIBHA05B"}</definedName>
    <definedName name="_____TEE6">#REF!</definedName>
    <definedName name="_____tyl2" hidden="1">{#N/A,#N/A,FALSE,"masez (10)";#N/A,#N/A,FALSE,"masez (7)";#N/A,#N/A,FALSE,"masez (6)";#N/A,#N/A,FALSE,"masez (5)";#N/A,#N/A,FALSE,"masez (4)";#N/A,#N/A,FALSE,"masez (3)";#N/A,#N/A,FALSE,"masez (2)";#N/A,#N/A,FALSE,"GME";#N/A,#N/A,FALSE,"masez"}</definedName>
    <definedName name="_____v3" hidden="1">{"CONSEJO",#N/A,FALSE,"Dist p0";"CONSEJO",#N/A,FALSE,"Ficha CODICE"}</definedName>
    <definedName name="_____VEX1" hidden="1">{#N/A,#N/A,FALSE,"Costos Contables CIB A 12 1994";#N/A,#N/A,FALSE,"Cuadre Contab. y C. OP"}</definedName>
    <definedName name="_____wrn1" hidden="1">{#N/A,#N/A,TRUE,"Est. de Fact.";#N/A,#N/A,TRUE,"Capitulo 19";#N/A,#N/A,TRUE,"Proyecto P855"}</definedName>
    <definedName name="_____xl5" hidden="1">{"Actual Equipment",#N/A,FALSE,"BA D5"}</definedName>
    <definedName name="_____xs7" hidden="1">{#N/A,#N/A,TRUE,"INGENIERIA";#N/A,#N/A,TRUE,"COMPRAS";#N/A,#N/A,TRUE,"DIRECCION";#N/A,#N/A,TRUE,"RESUMEN"}</definedName>
    <definedName name="_____zx2" hidden="1">{#N/A,#N/A,FALSE,"masez (10)";#N/A,#N/A,FALSE,"masez (7)";#N/A,#N/A,FALSE,"masez (6)";#N/A,#N/A,FALSE,"masez (5)";#N/A,#N/A,FALSE,"masez (4)";#N/A,#N/A,FALSE,"masez (3)";#N/A,#N/A,FALSE,"masez (2)";#N/A,#N/A,FALSE,"GME";#N/A,#N/A,FALSE,"masez"}</definedName>
    <definedName name="____1__xl5" hidden="1">{"Actual Equipment",#N/A,FALSE,"BA D5"}</definedName>
    <definedName name="____a1">#REF!</definedName>
    <definedName name="____A2" hidden="1">{#N/A,#N/A,FALSE,"Costos Productos 6A";#N/A,#N/A,FALSE,"Costo Unitario Total H-94-12"}</definedName>
    <definedName name="____AAS1" hidden="1">{#N/A,#N/A,TRUE,"INGENIERIA";#N/A,#N/A,TRUE,"COMPRAS";#N/A,#N/A,TRUE,"DIRECCION";#N/A,#N/A,TRUE,"RESUMEN"}</definedName>
    <definedName name="____ABC1" hidden="1">{#N/A,#N/A,TRUE,"1842CWN0"}</definedName>
    <definedName name="____abc2" hidden="1">{#N/A,#N/A,TRUE,"1842CWN0"}</definedName>
    <definedName name="____AFC1">#REF!</definedName>
    <definedName name="____AFC3">#REF!</definedName>
    <definedName name="____AFC5">#REF!</definedName>
    <definedName name="____Ant3" hidden="1">{"'banner (abr)'!$A$14:$G$22"}</definedName>
    <definedName name="____APU221">#REF!</definedName>
    <definedName name="____APU465">#REF!</definedName>
    <definedName name="____BGC1">#REF!</definedName>
    <definedName name="____BGC3">#REF!</definedName>
    <definedName name="____BGC5">#REF!</definedName>
    <definedName name="____CAC1">#REF!</definedName>
    <definedName name="____CAC3">#REF!</definedName>
    <definedName name="____CAC5">#REF!</definedName>
    <definedName name="____COD906">#REF!</definedName>
    <definedName name="____d4" hidden="1">{#N/A,#N/A,TRUE,"1842CWN0"}</definedName>
    <definedName name="____d8" hidden="1">{#N/A,#N/A,TRUE,"1842CWN0"}</definedName>
    <definedName name="____dc2" hidden="1">{"myview",#N/A,FALSE,"96T6"}</definedName>
    <definedName name="____DEC93">#REF!</definedName>
    <definedName name="____df8"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____df9" hidden="1">{#N/A,#N/A,TRUE,"1842CWN0"}</definedName>
    <definedName name="____F" hidden="1">{"krl1",#N/A,FALSE,"kr";"krl2",#N/A,FALSE,"kr";"compara",#N/A,FALSE,"kr";"desconp1",#N/A,FALSE,"kr";"desconp12",#N/A,FALSE,"kr";"krnp1",#N/A,FALSE,"kr";"krnp2",#N/A,FALSE,"kr";"krp12avg",#N/A,FALSE,"kr";"krp1avg",#N/A,FALSE,"kr"}</definedName>
    <definedName name="____FC" hidden="1">{"DETALLE_1996",#N/A,FALSE,"flujo";"DETALLE_1997",#N/A,FALSE,"flujo";"GASTOS_INCURRIDOS_1996",#N/A,FALSE,"flujo";"GASTOS_PROGRAMADOS_PARA_1997",#N/A,FALSE,"flujo";#N/A,#N/A,FALSE,"comparat";#N/A,#N/A,FALSE,"costos";#N/A,#N/A,FALSE,"proyctrol"}</definedName>
    <definedName name="____FHE7" hidden="1">{#N/A,#N/A,FALSE,"masez (10)";#N/A,#N/A,FALSE,"masez (7)";#N/A,#N/A,FALSE,"masez (6)";#N/A,#N/A,FALSE,"masez (5)";#N/A,#N/A,FALSE,"masez (4)";#N/A,#N/A,FALSE,"masez (3)";#N/A,#N/A,FALSE,"masez (2)";#N/A,#N/A,FALSE,"GME";#N/A,#N/A,FALSE,"masez"}</definedName>
    <definedName name="____GW45" hidden="1">{"EVA",#N/A,FALSE,"SMT2";#N/A,#N/A,FALSE,"Summary";#N/A,#N/A,FALSE,"Graphs";#N/A,#N/A,FALSE,"4 Panel"}</definedName>
    <definedName name="____i1">#REF!</definedName>
    <definedName name="____jy5" hidden="1">{#N/A,#N/A,FALSE,"masez (10)";#N/A,#N/A,FALSE,"masez (7)";#N/A,#N/A,FALSE,"masez (6)";#N/A,#N/A,FALSE,"masez (5)";#N/A,#N/A,FALSE,"masez (4)";#N/A,#N/A,FALSE,"masez (3)";#N/A,#N/A,FALSE,"masez (2)";#N/A,#N/A,FALSE,"GME";#N/A,#N/A,FALSE,"masez"}</definedName>
    <definedName name="____key2" hidden="1">#REF!</definedName>
    <definedName name="____key3" hidden="1">#REF!</definedName>
    <definedName name="____lns72" hidden="1">{#N/A,#N/A,TRUE,"1842CWN0"}</definedName>
    <definedName name="____MA2">#REF!</definedName>
    <definedName name="____MOR15">#REF!</definedName>
    <definedName name="____new1" hidden="1">{#N/A,#N/A,FALSE,"SMT1";#N/A,#N/A,FALSE,"SMT2";#N/A,#N/A,FALSE,"Summary";#N/A,#N/A,FALSE,"Graphs";#N/A,#N/A,FALSE,"4 Panel"}</definedName>
    <definedName name="____new10" hidden="1">{#N/A,#N/A,FALSE,"SMT1";#N/A,#N/A,FALSE,"SMT2";#N/A,#N/A,FALSE,"Summary";#N/A,#N/A,FALSE,"Graphs";#N/A,#N/A,FALSE,"4 Panel"}</definedName>
    <definedName name="____new2" hidden="1">{"EVA",#N/A,FALSE,"SMT2";#N/A,#N/A,FALSE,"Summary";#N/A,#N/A,FALSE,"Graphs";#N/A,#N/A,FALSE,"4 Panel"}</definedName>
    <definedName name="____NEW3" hidden="1">{#N/A,#N/A,FALSE,"SMT1";#N/A,#N/A,FALSE,"SMT2";#N/A,#N/A,FALSE,"Summary";#N/A,#N/A,FALSE,"Graphs";#N/A,#N/A,FALSE,"4 Panel"}</definedName>
    <definedName name="____NEW4" hidden="1">{#N/A,#N/A,FALSE,"Full";#N/A,#N/A,FALSE,"Half";#N/A,#N/A,FALSE,"Op Expenses";#N/A,#N/A,FALSE,"Cap Charge";#N/A,#N/A,FALSE,"Cost C";#N/A,#N/A,FALSE,"PP&amp;E";#N/A,#N/A,FALSE,"R&amp;D"}</definedName>
    <definedName name="____no1" hidden="1">{#N/A,#N/A,FALSE,"SMT1";#N/A,#N/A,FALSE,"SMT2";#N/A,#N/A,FALSE,"Summary";#N/A,#N/A,FALSE,"Graphs";#N/A,#N/A,FALSE,"4 Panel"}</definedName>
    <definedName name="____no10" hidden="1">{#N/A,#N/A,FALSE,"SMT1";#N/A,#N/A,FALSE,"SMT2";#N/A,#N/A,FALSE,"Summary";#N/A,#N/A,FALSE,"Graphs";#N/A,#N/A,FALSE,"4 Panel"}</definedName>
    <definedName name="____no11" hidden="1">{#N/A,#N/A,FALSE,"Full";#N/A,#N/A,FALSE,"Half";#N/A,#N/A,FALSE,"Op Expenses";#N/A,#N/A,FALSE,"Cap Charge";#N/A,#N/A,FALSE,"Cost C";#N/A,#N/A,FALSE,"PP&amp;E";#N/A,#N/A,FALSE,"R&amp;D"}</definedName>
    <definedName name="____no12" hidden="1">{#N/A,#N/A,FALSE,"SMT1";#N/A,#N/A,FALSE,"SMT2";#N/A,#N/A,FALSE,"Summary";#N/A,#N/A,FALSE,"Graphs";#N/A,#N/A,FALSE,"4 Panel"}</definedName>
    <definedName name="____no13" hidden="1">{"EVA",#N/A,FALSE,"SMT2";#N/A,#N/A,FALSE,"Summary";#N/A,#N/A,FALSE,"Graphs";#N/A,#N/A,FALSE,"4 Panel"}</definedName>
    <definedName name="____no14" hidden="1">{#N/A,#N/A,FALSE,"Full";#N/A,#N/A,FALSE,"Half";#N/A,#N/A,FALSE,"Op Expenses";#N/A,#N/A,FALSE,"Cap Charge";#N/A,#N/A,FALSE,"Cost C";#N/A,#N/A,FALSE,"PP&amp;E";#N/A,#N/A,FALSE,"R&amp;D"}</definedName>
    <definedName name="____no2" hidden="1">{"EVA",#N/A,FALSE,"SMT2";#N/A,#N/A,FALSE,"Summary";#N/A,#N/A,FALSE,"Graphs";#N/A,#N/A,FALSE,"4 Panel"}</definedName>
    <definedName name="____no3" hidden="1">{#N/A,#N/A,FALSE,"SMT1";#N/A,#N/A,FALSE,"SMT2";#N/A,#N/A,FALSE,"Summary";#N/A,#N/A,FALSE,"Graphs";#N/A,#N/A,FALSE,"4 Panel"}</definedName>
    <definedName name="____no4" hidden="1">{#N/A,#N/A,FALSE,"SMT1";#N/A,#N/A,FALSE,"SMT2";#N/A,#N/A,FALSE,"Summary";#N/A,#N/A,FALSE,"Graphs";#N/A,#N/A,FALSE,"4 Panel"}</definedName>
    <definedName name="____no5" hidden="1">{#N/A,#N/A,FALSE,"Full";#N/A,#N/A,FALSE,"Half";#N/A,#N/A,FALSE,"Op Expenses";#N/A,#N/A,FALSE,"Cap Charge";#N/A,#N/A,FALSE,"Cost C";#N/A,#N/A,FALSE,"PP&amp;E";#N/A,#N/A,FALSE,"R&amp;D"}</definedName>
    <definedName name="____no6" hidden="1">{"EVA",#N/A,FALSE,"SMT2";#N/A,#N/A,FALSE,"Summary";#N/A,#N/A,FALSE,"Graphs";#N/A,#N/A,FALSE,"4 Panel"}</definedName>
    <definedName name="____no7" hidden="1">{"EVA",#N/A,FALSE,"SMT2";#N/A,#N/A,FALSE,"Summary";#N/A,#N/A,FALSE,"Graphs";#N/A,#N/A,FALSE,"4 Panel"}</definedName>
    <definedName name="____no8" hidden="1">{"EVA",#N/A,FALSE,"SMT2";#N/A,#N/A,FALSE,"Summary";#N/A,#N/A,FALSE,"Graphs";#N/A,#N/A,FALSE,"4 Panel"}</definedName>
    <definedName name="____no9" hidden="1">{"EVA",#N/A,FALSE,"SMT2";#N/A,#N/A,FALSE,"Summary";#N/A,#N/A,FALSE,"Graphs";#N/A,#N/A,FALSE,"4 Panel"}</definedName>
    <definedName name="____oa55">#REF!</definedName>
    <definedName name="____PJ50">#REF!</definedName>
    <definedName name="____pj51">#REF!</definedName>
    <definedName name="____pr01">#REF!</definedName>
    <definedName name="____pr02">#REF!</definedName>
    <definedName name="____pr03">#REF!</definedName>
    <definedName name="____pr04">#REF!</definedName>
    <definedName name="____pr05">#REF!</definedName>
    <definedName name="____pr06">#REF!</definedName>
    <definedName name="____pr07">#REF!</definedName>
    <definedName name="____pr08">#REF!</definedName>
    <definedName name="____pr09">#REF!</definedName>
    <definedName name="____pr10">#REF!</definedName>
    <definedName name="____pr11">#REF!</definedName>
    <definedName name="____pr12">#REF!</definedName>
    <definedName name="____pr13">#REF!</definedName>
    <definedName name="____pr14">#REF!</definedName>
    <definedName name="____pr15">#REF!</definedName>
    <definedName name="____pr16">#REF!</definedName>
    <definedName name="____pr17">#REF!</definedName>
    <definedName name="____pr18">#REF!</definedName>
    <definedName name="____pr19">#REF!</definedName>
    <definedName name="____pr20">#REF!</definedName>
    <definedName name="____pr21">#REF!</definedName>
    <definedName name="____pr22">#REF!</definedName>
    <definedName name="____pr23">#REF!</definedName>
    <definedName name="____pr24">#REF!</definedName>
    <definedName name="____pr25">#REF!</definedName>
    <definedName name="____pr26">#REF!</definedName>
    <definedName name="____pr27">#REF!</definedName>
    <definedName name="____pr28">#REF!</definedName>
    <definedName name="____pr29">#REF!</definedName>
    <definedName name="____pr30">#REF!</definedName>
    <definedName name="____pr31">#REF!</definedName>
    <definedName name="____pr32">#REF!</definedName>
    <definedName name="____pr33">#REF!</definedName>
    <definedName name="____pr34">#REF!</definedName>
    <definedName name="____pr35">#REF!</definedName>
    <definedName name="____pr36">#REF!</definedName>
    <definedName name="____pr37">#REF!</definedName>
    <definedName name="____pr38">#REF!</definedName>
    <definedName name="____pr39">#REF!</definedName>
    <definedName name="____pr40">#REF!</definedName>
    <definedName name="____pr41">#REF!</definedName>
    <definedName name="____pr42">#REF!</definedName>
    <definedName name="____pr43">#REF!</definedName>
    <definedName name="____pr44">#REF!</definedName>
    <definedName name="____pr45">#REF!</definedName>
    <definedName name="____pr46">#REF!</definedName>
    <definedName name="____pr47">#REF!</definedName>
    <definedName name="____pr48">#REF!</definedName>
    <definedName name="____pr49">#REF!</definedName>
    <definedName name="____pr50">#REF!</definedName>
    <definedName name="____pr51">#REF!</definedName>
    <definedName name="____pr52">#REF!</definedName>
    <definedName name="____pr53">#REF!</definedName>
    <definedName name="____pr54">#REF!</definedName>
    <definedName name="____pr55">#REF!</definedName>
    <definedName name="____pr56">#REF!</definedName>
    <definedName name="____pr57">#REF!</definedName>
    <definedName name="____pr58">#REF!</definedName>
    <definedName name="____pr59">#REF!</definedName>
    <definedName name="____pr60">#REF!</definedName>
    <definedName name="____pr61">#REF!</definedName>
    <definedName name="____pr62">#REF!</definedName>
    <definedName name="____pr63">#REF!</definedName>
    <definedName name="____pr64">#REF!</definedName>
    <definedName name="____pr65">#REF!</definedName>
    <definedName name="____pr66">#REF!</definedName>
    <definedName name="____pr67">#REF!</definedName>
    <definedName name="____pr68">#REF!</definedName>
    <definedName name="____pr69">#REF!</definedName>
    <definedName name="____pr70">#REF!</definedName>
    <definedName name="____pr71">#REF!</definedName>
    <definedName name="____pr72">#REF!</definedName>
    <definedName name="____QA1" hidden="1">#REF!</definedName>
    <definedName name="____R" hidden="1">{#N/A,#N/A,FALSE,"T1N97";#N/A,#N/A,FALSE,"T2N97";#N/A,#N/A,FALSE,"T3N97(2)";#N/A,#N/A,FALSE,"T3AN97";#N/A,#N/A,FALSE,"T4N97(2)";#N/A,#N/A,FALSE,"T5N97";#N/A,#N/A,FALSE,"T6N967";#N/A,#N/A,FALSE,"T13N97";#N/A,#N/A,FALSE,"T7N97";#N/A,#N/A,FALSE,"T13AN97";#N/A,#N/A,FALSE,"T13N97G";#N/A,#N/A,FALSE,"T13BN97"}</definedName>
    <definedName name="____RAM1">#REF!</definedName>
    <definedName name="____RET1">#REF!</definedName>
    <definedName name="____RET2">#REF!</definedName>
    <definedName name="____RET3">#REF!</definedName>
    <definedName name="____RET4">#REF!</definedName>
    <definedName name="____RET5">#REF!</definedName>
    <definedName name="____RET6">#REF!</definedName>
    <definedName name="____SBC1">#REF!</definedName>
    <definedName name="____SBC3">#REF!</definedName>
    <definedName name="____SBC5">#REF!</definedName>
    <definedName name="____skf45" hidden="1">{#N/A,#N/A,TRUE,"1842CWN0"}</definedName>
    <definedName name="____sr51" hidden="1">{#N/A,#N/A,TRUE,"INGENIERIA";#N/A,#N/A,TRUE,"COMPRAS";#N/A,#N/A,TRUE,"DIRECCION";#N/A,#N/A,TRUE,"RESUMEN"}</definedName>
    <definedName name="____TBG3" hidden="1">{#N/A,#N/A,FALSE,"CIBHA05A";#N/A,#N/A,FALSE,"CIBHA05B"}</definedName>
    <definedName name="____TEE6">#REF!</definedName>
    <definedName name="____tyl2" hidden="1">{#N/A,#N/A,FALSE,"masez (10)";#N/A,#N/A,FALSE,"masez (7)";#N/A,#N/A,FALSE,"masez (6)";#N/A,#N/A,FALSE,"masez (5)";#N/A,#N/A,FALSE,"masez (4)";#N/A,#N/A,FALSE,"masez (3)";#N/A,#N/A,FALSE,"masez (2)";#N/A,#N/A,FALSE,"GME";#N/A,#N/A,FALSE,"masez"}</definedName>
    <definedName name="____v3" hidden="1">{"CONSEJO",#N/A,FALSE,"Dist p0";"CONSEJO",#N/A,FALSE,"Ficha CODICE"}</definedName>
    <definedName name="____VEX1" hidden="1">{#N/A,#N/A,FALSE,"Costos Contables CIB A 12 1994";#N/A,#N/A,FALSE,"Cuadre Contab. y C. OP"}</definedName>
    <definedName name="____wrn1" hidden="1">{#N/A,#N/A,TRUE,"Est. de Fact.";#N/A,#N/A,TRUE,"Capitulo 19";#N/A,#N/A,TRUE,"Proyecto P855"}</definedName>
    <definedName name="____xl5" hidden="1">{"Actual Equipment",#N/A,FALSE,"BA D5"}</definedName>
    <definedName name="____xs7" hidden="1">{#N/A,#N/A,TRUE,"INGENIERIA";#N/A,#N/A,TRUE,"COMPRAS";#N/A,#N/A,TRUE,"DIRECCION";#N/A,#N/A,TRUE,"RESUMEN"}</definedName>
    <definedName name="____xz2">#REF!</definedName>
    <definedName name="____zx2" hidden="1">{#N/A,#N/A,FALSE,"masez (10)";#N/A,#N/A,FALSE,"masez (7)";#N/A,#N/A,FALSE,"masez (6)";#N/A,#N/A,FALSE,"masez (5)";#N/A,#N/A,FALSE,"masez (4)";#N/A,#N/A,FALSE,"masez (3)";#N/A,#N/A,FALSE,"masez (2)";#N/A,#N/A,FALSE,"GME";#N/A,#N/A,FALSE,"masez"}</definedName>
    <definedName name="___1__123Graph_A__200__BPF" hidden="1">#REF!</definedName>
    <definedName name="___1__xl5" hidden="1">{"Actual Equipment",#N/A,FALSE,"BA D5"}</definedName>
    <definedName name="___10__123Graph_C__200__D50" hidden="1">#REF!</definedName>
    <definedName name="___11__123Graph_CGRANULOMETRIA_1" hidden="1">#REF!</definedName>
    <definedName name="___12__123Graph_D__200__BPF" hidden="1">#REF!</definedName>
    <definedName name="___123graph_a" hidden="1">#REF!</definedName>
    <definedName name="___13__123Graph_D__200__D50" hidden="1">#REF!</definedName>
    <definedName name="___14__123Graph_E__200__BPF" hidden="1">#REF!</definedName>
    <definedName name="___15__123Graph_E__200__D50" hidden="1">#REF!</definedName>
    <definedName name="___16__123Graph_F__200__BPF" hidden="1">#REF!</definedName>
    <definedName name="___17__123Graph_F__200__D50" hidden="1">#REF!</definedName>
    <definedName name="___18__123Graph_X__200__BPF" hidden="1">#REF!</definedName>
    <definedName name="___19__123Graph_X__200__D50" hidden="1">#REF!</definedName>
    <definedName name="___2__123Graph_A__200__D50" hidden="1">#REF!</definedName>
    <definedName name="___20__123Graph_XEFICIENCIA_1" hidden="1">#REF!</definedName>
    <definedName name="___21__123Graph_XGRANULOMETRIA_1" hidden="1">#REF!</definedName>
    <definedName name="___3__123Graph_AEFICIENCIA_1" hidden="1">#REF!</definedName>
    <definedName name="___4__123Graph_AGRANULOMETRIA_1" hidden="1">#REF!</definedName>
    <definedName name="___5__123Graph_B__200__BPF" hidden="1">#REF!</definedName>
    <definedName name="___6__123Graph_B__200__D50" hidden="1">#REF!</definedName>
    <definedName name="___7__123Graph_BEFICIENCIA_1" hidden="1">#REF!</definedName>
    <definedName name="___8__123Graph_BGRANULOMETRIA_1" hidden="1">#REF!</definedName>
    <definedName name="___9__123Graph_C__200__BPF" hidden="1">#REF!</definedName>
    <definedName name="___A1">#N/A</definedName>
    <definedName name="___A17000">#REF!</definedName>
    <definedName name="___A2" hidden="1">{#N/A,#N/A,FALSE,"Costos Productos 6A";#N/A,#N/A,FALSE,"Costo Unitario Total H-94-12"}</definedName>
    <definedName name="___A20000">#REF!</definedName>
    <definedName name="___A30000">#REF!</definedName>
    <definedName name="___AAS1" hidden="1">{#N/A,#N/A,TRUE,"INGENIERIA";#N/A,#N/A,TRUE,"COMPRAS";#N/A,#N/A,TRUE,"DIRECCION";#N/A,#N/A,TRUE,"RESUMEN"}</definedName>
    <definedName name="___ABC1" hidden="1">{#N/A,#N/A,TRUE,"1842CWN0"}</definedName>
    <definedName name="___abc2" hidden="1">{#N/A,#N/A,TRUE,"1842CWN0"}</definedName>
    <definedName name="___AFC1">#REF!</definedName>
    <definedName name="___AFC3">#REF!</definedName>
    <definedName name="___AFC5">#REF!</definedName>
    <definedName name="___Ant3" hidden="1">{"'banner (abr)'!$A$14:$G$22"}</definedName>
    <definedName name="___BGC1">#REF!</definedName>
    <definedName name="___BGC3">#REF!</definedName>
    <definedName name="___BGC5">#REF!</definedName>
    <definedName name="___CAC1">#REF!</definedName>
    <definedName name="___CAC3">#REF!</definedName>
    <definedName name="___CAC5">#REF!</definedName>
    <definedName name="___cc1" hidden="1">{"DETALLE_1996",#N/A,FALSE,"flujo";"DETALLE_1997",#N/A,FALSE,"flujo";"GASTOS_INCURRIDOS_1996",#N/A,FALSE,"flujo";"GASTOS_PROGRAMADOS_PARA_1997",#N/A,FALSE,"flujo";#N/A,#N/A,FALSE,"comparat";#N/A,#N/A,FALSE,"costos";#N/A,#N/A,FALSE,"proyctrol"}</definedName>
    <definedName name="___COD906">#REF!</definedName>
    <definedName name="___cp92000" hidden="1">{#N/A,#N/A,TRUE,"Caps1-5";#N/A,#N/A,TRUE,"Cap6";#N/A,#N/A,TRUE,"Caps7-8";#N/A,#N/A,TRUE,"Cap9-Resumo";#N/A,#N/A,TRUE,"Cap9-Det-2000";#N/A,#N/A,TRUE,"Cap9-Det-2001";#N/A,#N/A,TRUE,"Caps10-11"}</definedName>
    <definedName name="___d4" hidden="1">{#N/A,#N/A,TRUE,"1842CWN0"}</definedName>
    <definedName name="___d8" hidden="1">{#N/A,#N/A,TRUE,"1842CWN0"}</definedName>
    <definedName name="___dc2" hidden="1">{"myview",#N/A,FALSE,"96T6"}</definedName>
    <definedName name="___DEC93">#REF!</definedName>
    <definedName name="___df2" hidden="1">{"CONSEJO",#N/A,FALSE,"Dist p0";"CONSEJO",#N/A,FALSE,"Ficha CODICE"}</definedName>
    <definedName name="___df8"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___df9" hidden="1">{#N/A,#N/A,TRUE,"1842CWN0"}</definedName>
    <definedName name="___ECA2" hidden="1">{"EVA",#N/A,FALSE,"SMT2";#N/A,#N/A,FALSE,"Summary";#N/A,#N/A,FALSE,"Graphs";#N/A,#N/A,FALSE,"4 Panel"}</definedName>
    <definedName name="___EMP10">#REF!</definedName>
    <definedName name="___EMP12">#REF!</definedName>
    <definedName name="___EMP3">#REF!</definedName>
    <definedName name="___EMP4">#REF!</definedName>
    <definedName name="___EMP6">#REF!</definedName>
    <definedName name="___EMP8">#REF!</definedName>
    <definedName name="___ESP1">#REF!</definedName>
    <definedName name="___ESP2">#REF!</definedName>
    <definedName name="___ESP3">#REF!</definedName>
    <definedName name="___ESP4">#REF!</definedName>
    <definedName name="___F" hidden="1">{"krl1",#N/A,FALSE,"kr";"krl2",#N/A,FALSE,"kr";"compara",#N/A,FALSE,"kr";"desconp1",#N/A,FALSE,"kr";"desconp12",#N/A,FALSE,"kr";"krnp1",#N/A,FALSE,"kr";"krnp2",#N/A,FALSE,"kr";"krp12avg",#N/A,FALSE,"kr";"krp1avg",#N/A,FALSE,"kr"}</definedName>
    <definedName name="___FC" hidden="1">{"DETALLE_1996",#N/A,FALSE,"flujo";"DETALLE_1997",#N/A,FALSE,"flujo";"GASTOS_INCURRIDOS_1996",#N/A,FALSE,"flujo";"GASTOS_PROGRAMADOS_PARA_1997",#N/A,FALSE,"flujo";#N/A,#N/A,FALSE,"comparat";#N/A,#N/A,FALSE,"costos";#N/A,#N/A,FALSE,"proyctrol"}</definedName>
    <definedName name="___FHE7" hidden="1">{#N/A,#N/A,FALSE,"masez (10)";#N/A,#N/A,FALSE,"masez (7)";#N/A,#N/A,FALSE,"masez (6)";#N/A,#N/A,FALSE,"masez (5)";#N/A,#N/A,FALSE,"masez (4)";#N/A,#N/A,FALSE,"masez (3)";#N/A,#N/A,FALSE,"masez (2)";#N/A,#N/A,FALSE,"GME";#N/A,#N/A,FALSE,"masez"}</definedName>
    <definedName name="___G1">#N/A</definedName>
    <definedName name="___i1">#REF!</definedName>
    <definedName name="___INF1">#REF!</definedName>
    <definedName name="___ipc2">#REF!</definedName>
    <definedName name="___IPC2002">#REF!</definedName>
    <definedName name="___ipc3">#REF!</definedName>
    <definedName name="___ipc4">#REF!</definedName>
    <definedName name="___ITME27" hidden="1">#REF!</definedName>
    <definedName name="___jy5" hidden="1">{#N/A,#N/A,FALSE,"masez (10)";#N/A,#N/A,FALSE,"masez (7)";#N/A,#N/A,FALSE,"masez (6)";#N/A,#N/A,FALSE,"masez (5)";#N/A,#N/A,FALSE,"masez (4)";#N/A,#N/A,FALSE,"masez (3)";#N/A,#N/A,FALSE,"masez (2)";#N/A,#N/A,FALSE,"GME";#N/A,#N/A,FALSE,"masez"}</definedName>
    <definedName name="___key2" hidden="1">#REF!</definedName>
    <definedName name="___key3" hidden="1">#REF!</definedName>
    <definedName name="___key31" hidden="1">#REF!</definedName>
    <definedName name="___lns72" hidden="1">{#N/A,#N/A,TRUE,"1842CWN0"}</definedName>
    <definedName name="___MA2">#REF!</definedName>
    <definedName name="___MOR15">#REF!</definedName>
    <definedName name="___new1" hidden="1">{#N/A,#N/A,FALSE,"SMT1";#N/A,#N/A,FALSE,"SMT2";#N/A,#N/A,FALSE,"Summary";#N/A,#N/A,FALSE,"Graphs";#N/A,#N/A,FALSE,"4 Panel"}</definedName>
    <definedName name="___new10" hidden="1">{#N/A,#N/A,FALSE,"SMT1";#N/A,#N/A,FALSE,"SMT2";#N/A,#N/A,FALSE,"Summary";#N/A,#N/A,FALSE,"Graphs";#N/A,#N/A,FALSE,"4 Panel"}</definedName>
    <definedName name="___new2" hidden="1">{"EVA",#N/A,FALSE,"SMT2";#N/A,#N/A,FALSE,"Summary";#N/A,#N/A,FALSE,"Graphs";#N/A,#N/A,FALSE,"4 Panel"}</definedName>
    <definedName name="___NEW3" hidden="1">{#N/A,#N/A,FALSE,"SMT1";#N/A,#N/A,FALSE,"SMT2";#N/A,#N/A,FALSE,"Summary";#N/A,#N/A,FALSE,"Graphs";#N/A,#N/A,FALSE,"4 Panel"}</definedName>
    <definedName name="___NEW4" hidden="1">{#N/A,#N/A,FALSE,"Full";#N/A,#N/A,FALSE,"Half";#N/A,#N/A,FALSE,"Op Expenses";#N/A,#N/A,FALSE,"Cap Charge";#N/A,#N/A,FALSE,"Cost C";#N/A,#N/A,FALSE,"PP&amp;E";#N/A,#N/A,FALSE,"R&amp;D"}</definedName>
    <definedName name="___no1" hidden="1">{#N/A,#N/A,FALSE,"SMT1";#N/A,#N/A,FALSE,"SMT2";#N/A,#N/A,FALSE,"Summary";#N/A,#N/A,FALSE,"Graphs";#N/A,#N/A,FALSE,"4 Panel"}</definedName>
    <definedName name="___no10" hidden="1">{#N/A,#N/A,FALSE,"SMT1";#N/A,#N/A,FALSE,"SMT2";#N/A,#N/A,FALSE,"Summary";#N/A,#N/A,FALSE,"Graphs";#N/A,#N/A,FALSE,"4 Panel"}</definedName>
    <definedName name="___no11" hidden="1">{#N/A,#N/A,FALSE,"Full";#N/A,#N/A,FALSE,"Half";#N/A,#N/A,FALSE,"Op Expenses";#N/A,#N/A,FALSE,"Cap Charge";#N/A,#N/A,FALSE,"Cost C";#N/A,#N/A,FALSE,"PP&amp;E";#N/A,#N/A,FALSE,"R&amp;D"}</definedName>
    <definedName name="___no12" hidden="1">{#N/A,#N/A,FALSE,"SMT1";#N/A,#N/A,FALSE,"SMT2";#N/A,#N/A,FALSE,"Summary";#N/A,#N/A,FALSE,"Graphs";#N/A,#N/A,FALSE,"4 Panel"}</definedName>
    <definedName name="___no13" hidden="1">{"EVA",#N/A,FALSE,"SMT2";#N/A,#N/A,FALSE,"Summary";#N/A,#N/A,FALSE,"Graphs";#N/A,#N/A,FALSE,"4 Panel"}</definedName>
    <definedName name="___no14" hidden="1">{#N/A,#N/A,FALSE,"Full";#N/A,#N/A,FALSE,"Half";#N/A,#N/A,FALSE,"Op Expenses";#N/A,#N/A,FALSE,"Cap Charge";#N/A,#N/A,FALSE,"Cost C";#N/A,#N/A,FALSE,"PP&amp;E";#N/A,#N/A,FALSE,"R&amp;D"}</definedName>
    <definedName name="___no2" hidden="1">{"EVA",#N/A,FALSE,"SMT2";#N/A,#N/A,FALSE,"Summary";#N/A,#N/A,FALSE,"Graphs";#N/A,#N/A,FALSE,"4 Panel"}</definedName>
    <definedName name="___no3" hidden="1">{#N/A,#N/A,FALSE,"SMT1";#N/A,#N/A,FALSE,"SMT2";#N/A,#N/A,FALSE,"Summary";#N/A,#N/A,FALSE,"Graphs";#N/A,#N/A,FALSE,"4 Panel"}</definedName>
    <definedName name="___no4" hidden="1">{#N/A,#N/A,FALSE,"SMT1";#N/A,#N/A,FALSE,"SMT2";#N/A,#N/A,FALSE,"Summary";#N/A,#N/A,FALSE,"Graphs";#N/A,#N/A,FALSE,"4 Panel"}</definedName>
    <definedName name="___no5" hidden="1">{#N/A,#N/A,FALSE,"Full";#N/A,#N/A,FALSE,"Half";#N/A,#N/A,FALSE,"Op Expenses";#N/A,#N/A,FALSE,"Cap Charge";#N/A,#N/A,FALSE,"Cost C";#N/A,#N/A,FALSE,"PP&amp;E";#N/A,#N/A,FALSE,"R&amp;D"}</definedName>
    <definedName name="___no6" hidden="1">{"EVA",#N/A,FALSE,"SMT2";#N/A,#N/A,FALSE,"Summary";#N/A,#N/A,FALSE,"Graphs";#N/A,#N/A,FALSE,"4 Panel"}</definedName>
    <definedName name="___no7" hidden="1">{"EVA",#N/A,FALSE,"SMT2";#N/A,#N/A,FALSE,"Summary";#N/A,#N/A,FALSE,"Graphs";#N/A,#N/A,FALSE,"4 Panel"}</definedName>
    <definedName name="___no8" hidden="1">{"EVA",#N/A,FALSE,"SMT2";#N/A,#N/A,FALSE,"Summary";#N/A,#N/A,FALSE,"Graphs";#N/A,#N/A,FALSE,"4 Panel"}</definedName>
    <definedName name="___no9" hidden="1">{"EVA",#N/A,FALSE,"SMT2";#N/A,#N/A,FALSE,"Summary";#N/A,#N/A,FALSE,"Graphs";#N/A,#N/A,FALSE,"4 Panel"}</definedName>
    <definedName name="___oa55">#REF!</definedName>
    <definedName name="___PJ50">#REF!</definedName>
    <definedName name="___pj51">#REF!</definedName>
    <definedName name="___QA1" hidden="1">#REF!</definedName>
    <definedName name="___r">#REF!</definedName>
    <definedName name="___RAM1">#REF!</definedName>
    <definedName name="___RET1">#REF!</definedName>
    <definedName name="___RET2">#REF!</definedName>
    <definedName name="___RET3">#REF!</definedName>
    <definedName name="___RET4">#REF!</definedName>
    <definedName name="___RET5">#REF!</definedName>
    <definedName name="___RET6">#REF!</definedName>
    <definedName name="___REV1" hidden="1">{"Graf_Carga Trab",#N/A,FALSE,"Grafi_Carga Trab";"Graf_Venta Flujo",#N/A,FALSE,"Grafi_Carga Trab"}</definedName>
    <definedName name="___REV11" hidden="1">{"Graf_Carga Trab",#N/A,FALSE,"Grafi_Carga Trab";"Graf_Venta Flujo",#N/A,FALSE,"Grafi_Carga Trab"}</definedName>
    <definedName name="___SBC1">#REF!</definedName>
    <definedName name="___SBC3">#REF!</definedName>
    <definedName name="___SBC5">#REF!</definedName>
    <definedName name="___skf45" hidden="1">{#N/A,#N/A,TRUE,"1842CWN0"}</definedName>
    <definedName name="___sr51" hidden="1">{#N/A,#N/A,TRUE,"INGENIERIA";#N/A,#N/A,TRUE,"COMPRAS";#N/A,#N/A,TRUE,"DIRECCION";#N/A,#N/A,TRUE,"RESUMEN"}</definedName>
    <definedName name="___TBG3" hidden="1">{#N/A,#N/A,FALSE,"CIBHA05A";#N/A,#N/A,FALSE,"CIBHA05B"}</definedName>
    <definedName name="___TEE6">#REF!</definedName>
    <definedName name="___tyl2" hidden="1">{#N/A,#N/A,FALSE,"masez (10)";#N/A,#N/A,FALSE,"masez (7)";#N/A,#N/A,FALSE,"masez (6)";#N/A,#N/A,FALSE,"masez (5)";#N/A,#N/A,FALSE,"masez (4)";#N/A,#N/A,FALSE,"masez (3)";#N/A,#N/A,FALSE,"masez (2)";#N/A,#N/A,FALSE,"GME";#N/A,#N/A,FALSE,"masez"}</definedName>
    <definedName name="___v1">#N/A</definedName>
    <definedName name="___v2">#N/A</definedName>
    <definedName name="___v3" hidden="1">{"CONSEJO",#N/A,FALSE,"Dist p0";"CONSEJO",#N/A,FALSE,"Ficha CODICE"}</definedName>
    <definedName name="___v4">#N/A</definedName>
    <definedName name="___v5">#N/A</definedName>
    <definedName name="___v6">#N/A</definedName>
    <definedName name="___v7" localSheetId="0">Scheduled_Payment+Extra_Payment</definedName>
    <definedName name="___v7">Scheduled_Payment+Extra_Payment</definedName>
    <definedName name="___v8">#N/A</definedName>
    <definedName name="___VEX1" hidden="1">{#N/A,#N/A,FALSE,"Costos Contables CIB A 12 1994";#N/A,#N/A,FALSE,"Cuadre Contab. y C. OP"}</definedName>
    <definedName name="___w1">#N/A</definedName>
    <definedName name="___w2">#N/A</definedName>
    <definedName name="___w3">#N/A</definedName>
    <definedName name="___w4">#N/A</definedName>
    <definedName name="___w5">#N/A</definedName>
    <definedName name="___w6" localSheetId="0">Scheduled_Payment+Extra_Payment</definedName>
    <definedName name="___w6">Scheduled_Payment+Extra_Payment</definedName>
    <definedName name="___w7">#N/A</definedName>
    <definedName name="___wrn1" hidden="1">{#N/A,#N/A,TRUE,"Est. de Fact.";#N/A,#N/A,TRUE,"Capitulo 19";#N/A,#N/A,TRUE,"Proyecto P855"}</definedName>
    <definedName name="___X1">#N/A</definedName>
    <definedName name="___X2">#N/A</definedName>
    <definedName name="___X3">#N/A</definedName>
    <definedName name="___X4">#N/A</definedName>
    <definedName name="___X5">#N/A</definedName>
    <definedName name="___X6" localSheetId="0">Scheduled_Payment+Extra_Payment</definedName>
    <definedName name="___X6">Scheduled_Payment+Extra_Payment</definedName>
    <definedName name="___X7">#N/A</definedName>
    <definedName name="___xl5" hidden="1">{"Actual Equipment",#N/A,FALSE,"BA D5"}</definedName>
    <definedName name="___xlcn.WorksheetConnection_Hoja2AE1" hidden="1">#REF!</definedName>
    <definedName name="___xlcn.WorksheetConnection_Hoja3AE1" hidden="1">#REF!</definedName>
    <definedName name="___xlcn.WorksheetConnection_Hoja3AE11" hidden="1">#REF!</definedName>
    <definedName name="___xlcn.WorksheetConnection_Hoja5AE1" hidden="1">#REF!</definedName>
    <definedName name="___xlcn.WorksheetConnection_OPERAI1" hidden="1">#REF!</definedName>
    <definedName name="___xlcn.WorksheetConnection_PACIFICAI1" hidden="1">#REF!</definedName>
    <definedName name="___xlcn.WorksheetConnection_PACIFICAI11" hidden="1">#REF!</definedName>
    <definedName name="___xlfn.BAHTTEXT" hidden="1">#NAME?</definedName>
    <definedName name="___xs7" hidden="1">{#N/A,#N/A,TRUE,"INGENIERIA";#N/A,#N/A,TRUE,"COMPRAS";#N/A,#N/A,TRUE,"DIRECCION";#N/A,#N/A,TRUE,"RESUMEN"}</definedName>
    <definedName name="___xz2">#REF!</definedName>
    <definedName name="___y1">#N/A</definedName>
    <definedName name="___y2">#N/A</definedName>
    <definedName name="___y3">#N/A</definedName>
    <definedName name="___y4">#N/A</definedName>
    <definedName name="___y5">#N/A</definedName>
    <definedName name="___y6" localSheetId="0">Scheduled_Payment+Extra_Payment</definedName>
    <definedName name="___y6">Scheduled_Payment+Extra_Payment</definedName>
    <definedName name="___y7">#N/A</definedName>
    <definedName name="___z1">#N/A</definedName>
    <definedName name="___z2">#N/A</definedName>
    <definedName name="___z4">#N/A</definedName>
    <definedName name="___z5">#N/A</definedName>
    <definedName name="___z6" localSheetId="0">Scheduled_Payment+Extra_Payment</definedName>
    <definedName name="___z6">Scheduled_Payment+Extra_Payment</definedName>
    <definedName name="___z7">#N/A</definedName>
    <definedName name="___zx2" hidden="1">{#N/A,#N/A,FALSE,"masez (10)";#N/A,#N/A,FALSE,"masez (7)";#N/A,#N/A,FALSE,"masez (6)";#N/A,#N/A,FALSE,"masez (5)";#N/A,#N/A,FALSE,"masez (4)";#N/A,#N/A,FALSE,"masez (3)";#N/A,#N/A,FALSE,"masez (2)";#N/A,#N/A,FALSE,"GME";#N/A,#N/A,FALSE,"masez"}</definedName>
    <definedName name="__1__123Graph_A__200__BPF" hidden="1">#REF!</definedName>
    <definedName name="__1__xl5" hidden="1">{"Actual Equipment",#N/A,FALSE,"BA D5"}</definedName>
    <definedName name="__10__123Graph_ACHART_1" hidden="1">#REF!</definedName>
    <definedName name="__10__123Graph_C__200__D50" hidden="1">#REF!</definedName>
    <definedName name="__11__123Graph_CGRANULOMETRIA_1" hidden="1">#REF!</definedName>
    <definedName name="__11_4_0__123Grap" hidden="1">#REF!</definedName>
    <definedName name="__12__123Graph_D__200__BPF" hidden="1">#REF!</definedName>
    <definedName name="__12_4_0__123Grap" hidden="1">#REF!</definedName>
    <definedName name="__123Graph_A" hidden="1">#REF!</definedName>
    <definedName name="__123Graph_AB" hidden="1">#REF!</definedName>
    <definedName name="__123Graph_Acaja" hidden="1">#REF!</definedName>
    <definedName name="__123Graph_ACart_AnticAdic" hidden="1">#REF!</definedName>
    <definedName name="__123Graph_ACF" hidden="1">#REF!</definedName>
    <definedName name="__123Graph_ACFCUM" hidden="1">#REF!</definedName>
    <definedName name="__123Graph_ACFINC" hidden="1">#REF!</definedName>
    <definedName name="__123Graph_AChart1" hidden="1">#REF!</definedName>
    <definedName name="__123Graph_AChart11" hidden="1">#REF!</definedName>
    <definedName name="__123Graph_AChart12" hidden="1">#REF!</definedName>
    <definedName name="__123Graph_AChart13" hidden="1">#REF!</definedName>
    <definedName name="__123Graph_AChart4" hidden="1">#REF!</definedName>
    <definedName name="__123Graph_ACOSTS" hidden="1">#REF!</definedName>
    <definedName name="__123Graph_ACurrent" hidden="1">#REF!</definedName>
    <definedName name="__123Graph_AFACTURAC" hidden="1">#REF!</definedName>
    <definedName name="__123Graph_AFRQACIRR" hidden="1">#REF!</definedName>
    <definedName name="__123Graph_AFRQACNPV" hidden="1">#REF!</definedName>
    <definedName name="__123Graph_AFRQACRES" hidden="1">#REF!</definedName>
    <definedName name="__123Graph_AGraph2" hidden="1">#REF!</definedName>
    <definedName name="__123Graph_AGRAPH3" hidden="1">#REF!</definedName>
    <definedName name="__123Graph_AGRAPH4" hidden="1">#REF!</definedName>
    <definedName name="__123Graph_AHSTGIRR" hidden="1">#REF!</definedName>
    <definedName name="__123Graph_AHSTGNPV" hidden="1">#REF!</definedName>
    <definedName name="__123Graph_AHSTGRES" hidden="1">#REF!</definedName>
    <definedName name="__123Graph_AIRR" hidden="1">#REF!</definedName>
    <definedName name="__123Graph_AJUN95" hidden="1">#REF!</definedName>
    <definedName name="__123Graph_AMAT95" hidden="1">#REF!</definedName>
    <definedName name="__123Graph_ANET" hidden="1">#REF!</definedName>
    <definedName name="__123Graph_ANONMAN" hidden="1">#REF!</definedName>
    <definedName name="__123Graph_ANPV" hidden="1">#REF!</definedName>
    <definedName name="__123Graph_APART2" hidden="1">#REF!</definedName>
    <definedName name="__123Graph_APARTI" hidden="1">#REF!</definedName>
    <definedName name="__123Graph_APROFILE" hidden="1">#REF!</definedName>
    <definedName name="__123Graph_AREVENUE" hidden="1">#REF!</definedName>
    <definedName name="__123Graph_ASE220" hidden="1">#REF!</definedName>
    <definedName name="__123Graph_ASE30" hidden="1">#REF!</definedName>
    <definedName name="__123Graph_ASISTEMAS" hidden="1">#REF!</definedName>
    <definedName name="__123Graph_AWINDOWS" hidden="1">#REF!</definedName>
    <definedName name="__123Graph_B" hidden="1">#REF!</definedName>
    <definedName name="__123Graph_Bcaja" hidden="1">#REF!</definedName>
    <definedName name="__123Graph_BCart_AnticAdic" hidden="1">#REF!</definedName>
    <definedName name="__123Graph_BCF" hidden="1">#REF!</definedName>
    <definedName name="__123Graph_BCFCUM" hidden="1">#REF!</definedName>
    <definedName name="__123Graph_BChart1" hidden="1">#REF!</definedName>
    <definedName name="__123Graph_BChart11" hidden="1">#REF!</definedName>
    <definedName name="__123Graph_BChart12" hidden="1">#REF!</definedName>
    <definedName name="__123Graph_BChart13" hidden="1">#REF!</definedName>
    <definedName name="__123Graph_BChart4" hidden="1">#REF!</definedName>
    <definedName name="__123Graph_BCOSTS" hidden="1">#REF!</definedName>
    <definedName name="__123Graph_BCurrent" hidden="1">#REF!</definedName>
    <definedName name="__123Graph_BGDPTRKRTM" hidden="1">#REF!</definedName>
    <definedName name="__123Graph_BGráfico1" hidden="1">#REF!</definedName>
    <definedName name="__123Graph_BGráfico2" hidden="1">#REF!</definedName>
    <definedName name="__123Graph_BGráfico3" hidden="1">#REF!</definedName>
    <definedName name="__123Graph_BGráfico4" hidden="1">#REF!</definedName>
    <definedName name="__123Graph_BIRR" hidden="1">#REF!</definedName>
    <definedName name="__123Graph_BJUN95" hidden="1">#REF!</definedName>
    <definedName name="__123Graph_BMAT95" hidden="1">#REF!</definedName>
    <definedName name="__123Graph_BNET" hidden="1">#REF!</definedName>
    <definedName name="__123Graph_BNONMAN" hidden="1">#REF!</definedName>
    <definedName name="__123Graph_BPART2" hidden="1">#REF!</definedName>
    <definedName name="__123Graph_BPARTI" hidden="1">#REF!</definedName>
    <definedName name="__123Graph_BPERFORMANCE" hidden="1">#REF!</definedName>
    <definedName name="__123Graph_BREVENUE" hidden="1">#REF!</definedName>
    <definedName name="__123Graph_BSE220" hidden="1">#REF!</definedName>
    <definedName name="__123Graph_BSE30" hidden="1">#REF!</definedName>
    <definedName name="__123Graph_C" hidden="1">#REF!</definedName>
    <definedName name="__123Graph_Ccaja" hidden="1">#REF!</definedName>
    <definedName name="__123Graph_CCart_AnticAdic" hidden="1">#REF!</definedName>
    <definedName name="__123Graph_CChart1" hidden="1">#REF!</definedName>
    <definedName name="__123Graph_CChart11" hidden="1">#REF!</definedName>
    <definedName name="__123Graph_CChart12" hidden="1">#REF!</definedName>
    <definedName name="__123Graph_CChart13" hidden="1">#REF!</definedName>
    <definedName name="__123Graph_CChart4" hidden="1">#REF!</definedName>
    <definedName name="__123Graph_CCONT" hidden="1">#REF!</definedName>
    <definedName name="__123Graph_CCOST" hidden="1">#REF!</definedName>
    <definedName name="__123Graph_CCurrent" hidden="1">#REF!</definedName>
    <definedName name="__123Graph_CGM" hidden="1">#REF!</definedName>
    <definedName name="__123Graph_CINDICES" hidden="1">#REF!</definedName>
    <definedName name="__123Graph_CMAT95" hidden="1">#REF!</definedName>
    <definedName name="__123Graph_CNET" hidden="1">#REF!</definedName>
    <definedName name="__123Graph_CREV" hidden="1">#REF!</definedName>
    <definedName name="__123Graph_CREVENUE" hidden="1">#REF!</definedName>
    <definedName name="__123Graph_CSE220" hidden="1">#REF!</definedName>
    <definedName name="__123Graph_CSE30" hidden="1">#REF!</definedName>
    <definedName name="__123Graph_D" hidden="1">#REF!</definedName>
    <definedName name="__123Graph_Dcaja" hidden="1">#REF!</definedName>
    <definedName name="__123Graph_DCart_AnticAdic" hidden="1">#REF!</definedName>
    <definedName name="__123Graph_DChart1" hidden="1">#REF!</definedName>
    <definedName name="__123Graph_DChart11" hidden="1">#REF!</definedName>
    <definedName name="__123Graph_DChart12" hidden="1">#REF!</definedName>
    <definedName name="__123Graph_DChart13" hidden="1">#REF!</definedName>
    <definedName name="__123Graph_DChart4" hidden="1">#REF!</definedName>
    <definedName name="__123Graph_DCurrent" hidden="1">#REF!</definedName>
    <definedName name="__123Graph_DGráfico1" hidden="1">#REF!</definedName>
    <definedName name="__123Graph_DGráfico2" hidden="1">#REF!</definedName>
    <definedName name="__123Graph_DGráfico3" hidden="1">#REF!</definedName>
    <definedName name="__123Graph_DGráfico4" hidden="1">#REF!</definedName>
    <definedName name="__123Graph_DNET" hidden="1">#REF!</definedName>
    <definedName name="__123Graph_DSE30" hidden="1">#REF!</definedName>
    <definedName name="__123Graph_E" hidden="1">#REF!</definedName>
    <definedName name="__123Graph_ECart_AnticAdic" hidden="1">#REF!</definedName>
    <definedName name="__123Graph_EChart1" hidden="1">#REF!</definedName>
    <definedName name="__123Graph_EChart11" hidden="1">#REF!</definedName>
    <definedName name="__123Graph_EChart12" hidden="1">#REF!</definedName>
    <definedName name="__123Graph_EChart13" hidden="1">#REF!</definedName>
    <definedName name="__123Graph_EChart4" hidden="1">#REF!</definedName>
    <definedName name="__123Graph_ECurrent" hidden="1">#REF!</definedName>
    <definedName name="__123Graph_ESE30" hidden="1">#REF!</definedName>
    <definedName name="__123Graph_F" hidden="1">#REF!</definedName>
    <definedName name="__123Graph_FChart1" hidden="1">#REF!</definedName>
    <definedName name="__123Graph_FChart11" hidden="1">#REF!</definedName>
    <definedName name="__123Graph_FChart12" hidden="1">#REF!</definedName>
    <definedName name="__123Graph_FChart13" hidden="1">#REF!</definedName>
    <definedName name="__123Graph_FChart4" hidden="1">#REF!</definedName>
    <definedName name="__123Graph_FCurrent" hidden="1">#REF!</definedName>
    <definedName name="__123Graph_FGráfico1" hidden="1">#REF!</definedName>
    <definedName name="__123Graph_FGráfico2" hidden="1">#REF!</definedName>
    <definedName name="__123Graph_FGráfico3" hidden="1">#REF!</definedName>
    <definedName name="__123Graph_FGráfico4" hidden="1">#REF!</definedName>
    <definedName name="__123Graph_FSE30" hidden="1">#REF!</definedName>
    <definedName name="__123Graph_LBL_A" hidden="1">#REF!</definedName>
    <definedName name="__123Graph_LBL_ACart_AnticAdic" hidden="1">#REF!</definedName>
    <definedName name="__123Graph_LBL_B" hidden="1">#REF!</definedName>
    <definedName name="__123Graph_LBL_C" hidden="1">#REF!</definedName>
    <definedName name="__123Graph_LBL_Ccaja" hidden="1">#REF!</definedName>
    <definedName name="__123Graph_LBL_CCONT" hidden="1">#REF!</definedName>
    <definedName name="__123Graph_LBL_CCOST" hidden="1">#REF!</definedName>
    <definedName name="__123Graph_LBL_CGM" hidden="1">#REF!</definedName>
    <definedName name="__123Graph_LBL_CREV" hidden="1">#REF!</definedName>
    <definedName name="__123Graph_LBL_DCart_AnticAdic" hidden="1">#REF!</definedName>
    <definedName name="__123Graph_X" hidden="1">#REF!</definedName>
    <definedName name="__123Graph_Xcaja" hidden="1">#REF!</definedName>
    <definedName name="__123Graph_XCF" hidden="1">#REF!</definedName>
    <definedName name="__123Graph_XCFCUM" hidden="1">#REF!</definedName>
    <definedName name="__123Graph_XCFINC" hidden="1">#REF!</definedName>
    <definedName name="__123Graph_XChart1" hidden="1">#REF!</definedName>
    <definedName name="__123Graph_XChart11" hidden="1">#REF!</definedName>
    <definedName name="__123Graph_XChart12" hidden="1">#REF!</definedName>
    <definedName name="__123Graph_XChart13" hidden="1">#REF!</definedName>
    <definedName name="__123Graph_XCONT" hidden="1">#REF!</definedName>
    <definedName name="__123Graph_XCOST" hidden="1">#REF!</definedName>
    <definedName name="__123Graph_XCurrent" hidden="1">#REF!</definedName>
    <definedName name="__123Graph_XFRQACNPV" hidden="1">#REF!</definedName>
    <definedName name="__123Graph_XFRQACRES" hidden="1">#REF!</definedName>
    <definedName name="__123Graph_XGM" hidden="1">#REF!</definedName>
    <definedName name="__123Graph_XGRAPH3" hidden="1">#REF!</definedName>
    <definedName name="__123Graph_XIRR" hidden="1">#REF!</definedName>
    <definedName name="__123Graph_XNET" hidden="1">#REF!</definedName>
    <definedName name="__123Graph_XPART2" hidden="1">#REF!</definedName>
    <definedName name="__123Graph_XPARTI" hidden="1">#REF!</definedName>
    <definedName name="__123Graph_XPROFILE" hidden="1">#REF!</definedName>
    <definedName name="__123Graph_XREV" hidden="1">#REF!</definedName>
    <definedName name="__123Graph_XREVENUE" hidden="1">#REF!</definedName>
    <definedName name="__124" hidden="1">#REF!</definedName>
    <definedName name="__13__123Graph_D__200__D50" hidden="1">#REF!</definedName>
    <definedName name="__14__123Graph_E__200__BPF" hidden="1">#REF!</definedName>
    <definedName name="__15__123Graph_E__200__D50" hidden="1">#REF!</definedName>
    <definedName name="__151_____________________________________________________________________________________________________________________________123Graph_AGráfico_4A" hidden="1">#REF!</definedName>
    <definedName name="__152_____________________________________________________________________________________________________________________________123Graph_BGráfico_4A" hidden="1">#REF!</definedName>
    <definedName name="__153_____________________________________________________________________________________________________________________________123Graph_XGráfico_4A" hidden="1">#REF!</definedName>
    <definedName name="__154____________________________________________________________________________________________________________________________123Graph_AGráfico_4A" hidden="1">#REF!</definedName>
    <definedName name="__155____________________________________________________________________________________________________________________________123Graph_BGráfico_4A" hidden="1">#REF!</definedName>
    <definedName name="__156____________________________________________________________________________________________________________________________123Graph_XGráfico_4A" hidden="1">#REF!</definedName>
    <definedName name="__157___________________________________________________________________________________________________________________________123Graph_AGráfico_4A" hidden="1">#REF!</definedName>
    <definedName name="__158___________________________________________________________________________________________________________________________123Graph_BGráfico_4A" hidden="1">#REF!</definedName>
    <definedName name="__159___________________________________________________________________________________________________________________________123Graph_XGráfico_4A" hidden="1">#REF!</definedName>
    <definedName name="__16__123Graph_ACHART_15" hidden="1">#REF!</definedName>
    <definedName name="__16__123Graph_F__200__BPF" hidden="1">#REF!</definedName>
    <definedName name="__16_B_0__123Graph_XGráfico" hidden="1">#REF!</definedName>
    <definedName name="__160__________________________________________________________________________________________________________________________123Graph_AGráfico_4A" hidden="1">#REF!</definedName>
    <definedName name="__161__________________________________________________________________________________________________________________________123Graph_BGráfico_4A" hidden="1">#REF!</definedName>
    <definedName name="__162__________________________________________________________________________________________________________________________123Graph_XGráfico_4A" hidden="1">#REF!</definedName>
    <definedName name="__163_________________________________________________________________________________________________________________________123Graph_AGráfico_4A" hidden="1">#REF!</definedName>
    <definedName name="__164_________________________________________________________________________________________________________________________123Graph_BGráfico_4A" hidden="1">#REF!</definedName>
    <definedName name="__165_________________________________________________________________________________________________________________________123Graph_XGráfico_4A" hidden="1">#REF!</definedName>
    <definedName name="__166________________________________________________________________________________________________________________________123Graph_AGráfico_4A" hidden="1">#REF!</definedName>
    <definedName name="__167________________________________________________________________________________________________________________________123Graph_BGráfico_4A" hidden="1">#REF!</definedName>
    <definedName name="__168________________________________________________________________________________________________________________________123Graph_XGráfico_4A" hidden="1">#REF!</definedName>
    <definedName name="__169_______________________________________________________________________________________________________________________123Graph_AGráfico_4A" hidden="1">#REF!</definedName>
    <definedName name="__17__123Graph_F__200__D50" hidden="1">#REF!</definedName>
    <definedName name="__170_______________________________________________________________________________________________________________________123Graph_BGráfico_4A" hidden="1">#REF!</definedName>
    <definedName name="__171_______________________________________________________________________________________________________________________123Graph_XGráfico_4A" hidden="1">#REF!</definedName>
    <definedName name="__172______________________________________________________________________________________________________________________123Graph_AGráfico_4A" hidden="1">#REF!</definedName>
    <definedName name="__173______________________________________________________________________________________________________________________123Graph_BGráfico_4A" hidden="1">#REF!</definedName>
    <definedName name="__174______________________________________________________________________________________________________________________123Graph_XGráfico_4A" hidden="1">#REF!</definedName>
    <definedName name="__175_____________________________________________________________________________________________________________________123Graph_AGráfico_4A" hidden="1">#REF!</definedName>
    <definedName name="__176_____________________________________________________________________________________________________________________123Graph_BGráfico_4A" hidden="1">#REF!</definedName>
    <definedName name="__177_____________________________________________________________________________________________________________________123Graph_XGráfico_4A" hidden="1">#REF!</definedName>
    <definedName name="__178____________________________________________________________________________________________________________________123Graph_AGráfico_4A" hidden="1">#REF!</definedName>
    <definedName name="__179____________________________________________________________________________________________________________________123Graph_BGráfico_4A" hidden="1">#REF!</definedName>
    <definedName name="__18__123Graph_X__200__BPF" hidden="1">#REF!</definedName>
    <definedName name="__180____________________________________________________________________________________________________________________123Graph_XGráfico_4A" hidden="1">#REF!</definedName>
    <definedName name="__181___________________________________________________________________________________________________________________123Graph_AGráfico_4A" hidden="1">#REF!</definedName>
    <definedName name="__182___________________________________________________________________________________________________________________123Graph_BGráfico_4A" hidden="1">#REF!</definedName>
    <definedName name="__183___________________________________________________________________________________________________________________123Graph_XGráfico_4A" hidden="1">#REF!</definedName>
    <definedName name="__184__________________________________________________________________________________________________________________123Graph_AGráfico_4A" hidden="1">#REF!</definedName>
    <definedName name="__185__________________________________________________________________________________________________________________123Graph_BGráfico_4A" hidden="1">#REF!</definedName>
    <definedName name="__186__________________________________________________________________________________________________________________123Graph_XGráfico_4A" hidden="1">#REF!</definedName>
    <definedName name="__187_________________________________________________________________________________________________________________123Graph_AGráfico_4A" hidden="1">#REF!</definedName>
    <definedName name="__188_________________________________________________________________________________________________________________123Graph_BGráfico_4A" hidden="1">#REF!</definedName>
    <definedName name="__189_________________________________________________________________________________________________________________123Graph_XGráfico_4A" hidden="1">#REF!</definedName>
    <definedName name="__19__123Graph_X__200__D50" hidden="1">#REF!</definedName>
    <definedName name="__19_4_0__123Grap" hidden="1">#REF!</definedName>
    <definedName name="__190________________________________________________________________________________________________________________123Graph_AGráfico_4A" hidden="1">#REF!</definedName>
    <definedName name="__191________________________________________________________________________________________________________________123Graph_BGráfico_4A" hidden="1">#REF!</definedName>
    <definedName name="__192________________________________________________________________________________________________________________123Graph_XGráfico_4A" hidden="1">#REF!</definedName>
    <definedName name="__193_______________________________________________________________________________________________________________123Graph_AGráfico_4A" hidden="1">#REF!</definedName>
    <definedName name="__194_______________________________________________________________________________________________________________123Graph_BGráfico_4A" hidden="1">#REF!</definedName>
    <definedName name="__195_______________________________________________________________________________________________________________123Graph_XGráfico_4A" hidden="1">#REF!</definedName>
    <definedName name="__196______________________________________________________________________________________________________________123Graph_AGráfico_4A" hidden="1">#REF!</definedName>
    <definedName name="__197______________________________________________________________________________________________________________123Graph_BGráfico_4A" hidden="1">#REF!</definedName>
    <definedName name="__198______________________________________________________________________________________________________________123Graph_XGráfico_4A" hidden="1">#REF!</definedName>
    <definedName name="__199_____________________________________________________________________________________________________________123Graph_AGráfico_4A" hidden="1">#REF!</definedName>
    <definedName name="__2__123Graph_A__200__D50" hidden="1">#REF!</definedName>
    <definedName name="__20__123Graph_XEFICIENCIA_1" hidden="1">#REF!</definedName>
    <definedName name="__200_____________________________________________________________________________________________________________123Graph_BGráfico_4A" hidden="1">#REF!</definedName>
    <definedName name="__201_____________________________________________________________________________________________________________123Graph_XGráfico_4A" hidden="1">#REF!</definedName>
    <definedName name="__202____________________________________________________________________________________________________________123Graph_AGráfico_4A" hidden="1">#REF!</definedName>
    <definedName name="__203____________________________________________________________________________________________________________123Graph_BGráfico_4A" hidden="1">#REF!</definedName>
    <definedName name="__204____________________________________________________________________________________________________________123Graph_XGráfico_4A" hidden="1">#REF!</definedName>
    <definedName name="__205___________________________________________________________________________________________________________123Graph_AGráfico_4A" hidden="1">#REF!</definedName>
    <definedName name="__206___________________________________________________________________________________________________________123Graph_BGráfico_4A" hidden="1">#REF!</definedName>
    <definedName name="__207___________________________________________________________________________________________________________123Graph_XGráfico_4A" hidden="1">#REF!</definedName>
    <definedName name="__208__________________________________________________________________________________________________________123Graph_AGráfico_4A" hidden="1">#REF!</definedName>
    <definedName name="__209__________________________________________________________________________________________________________123Graph_BGráfico_4A" hidden="1">#REF!</definedName>
    <definedName name="__21__123Graph_XGRANULOMETRIA_1" hidden="1">#REF!</definedName>
    <definedName name="__210__________________________________________________________________________________________________________123Graph_XGráfico_4A" hidden="1">#REF!</definedName>
    <definedName name="__211_________________________________________________________________________________________________________123Graph_AGráfico_4A" hidden="1">#REF!</definedName>
    <definedName name="__212_________________________________________________________________________________________________________123Graph_BGráfico_4A" hidden="1">#REF!</definedName>
    <definedName name="__213_________________________________________________________________________________________________________123Graph_XGráfico_4A" hidden="1">#REF!</definedName>
    <definedName name="__214________________________________________________________________________________________________________123Graph_AGráfico_4A" hidden="1">#REF!</definedName>
    <definedName name="__215________________________________________________________________________________________________________123Graph_BGráfico_4A" hidden="1">#REF!</definedName>
    <definedName name="__216________________________________________________________________________________________________________123Graph_XGráfico_4A" hidden="1">#REF!</definedName>
    <definedName name="__217_______________________________________________________________________________________________________123Graph_AGráfico_4A" hidden="1">#REF!</definedName>
    <definedName name="__218_______________________________________________________________________________________________________123Graph_BGráfico_4A" hidden="1">#REF!</definedName>
    <definedName name="__219_______________________________________________________________________________________________________123Graph_XGráfico_4A" hidden="1">#REF!</definedName>
    <definedName name="__220______________________________________________________________________________________________________123Graph_AGráfico_4A" hidden="1">#REF!</definedName>
    <definedName name="__221______________________________________________________________________________________________________123Graph_BGráfico_4A" hidden="1">#REF!</definedName>
    <definedName name="__222______________________________________________________________________________________________________123Graph_XGráfico_4A" hidden="1">#REF!</definedName>
    <definedName name="__223_____________________________________________________________________________________________________123Graph_AGráfico_4A" hidden="1">#REF!</definedName>
    <definedName name="__224_____________________________________________________________________________________________________123Graph_BGráfico_4A" hidden="1">#REF!</definedName>
    <definedName name="__225_____________________________________________________________________________________________________123Graph_XGráfico_4A" hidden="1">#REF!</definedName>
    <definedName name="__226____________________________________________________________________________________________________123Graph_AGráfico_4A" hidden="1">#REF!</definedName>
    <definedName name="__227____________________________________________________________________________________________________123Graph_BGráfico_4A" hidden="1">#REF!</definedName>
    <definedName name="__228____________________________________________________________________________________________________123Graph_XGráfico_4A" hidden="1">#REF!</definedName>
    <definedName name="__229___________________________________________________________________________________________________123Graph_AGráfico_4A" hidden="1">#REF!</definedName>
    <definedName name="__230___________________________________________________________________________________________________123Graph_BGráfico_4A" hidden="1">#REF!</definedName>
    <definedName name="__231___________________________________________________________________________________________________123Graph_XGráfico_4A" hidden="1">#REF!</definedName>
    <definedName name="__232__________________________________________________________________________________________________123Graph_AGráfico_4A" hidden="1">#REF!</definedName>
    <definedName name="__233__________________________________________________________________________________________________123Graph_BGráfico_4A" hidden="1">#REF!</definedName>
    <definedName name="__234__________________________________________________________________________________________________123Graph_XGráfico_4A" hidden="1">#REF!</definedName>
    <definedName name="__235_________________________________________________________________________________________________123Graph_AGráfico_4A" hidden="1">#REF!</definedName>
    <definedName name="__236_________________________________________________________________________________________________123Graph_BGráfico_4A" hidden="1">#REF!</definedName>
    <definedName name="__237_________________________________________________________________________________________________123Graph_XGráfico_4A" hidden="1">#REF!</definedName>
    <definedName name="__238________________________________________________________________________________________________123Graph_AGráfico_4A" hidden="1">#REF!</definedName>
    <definedName name="__239________________________________________________________________________________________________123Graph_BGráfico_4A" hidden="1">#REF!</definedName>
    <definedName name="__240________________________________________________________________________________________________123Graph_XGráfico_4A" hidden="1">#REF!</definedName>
    <definedName name="__241_______________________________________________________________________________________________123Graph_AGráfico_4A" hidden="1">#REF!</definedName>
    <definedName name="__242_______________________________________________________________________________________________123Graph_BGráfico_4A" hidden="1">#REF!</definedName>
    <definedName name="__243_______________________________________________________________________________________________123Graph_XGráfico_4A" hidden="1">#REF!</definedName>
    <definedName name="__244______________________________________________________________________________________________123Graph_AGráfico_4A" hidden="1">#REF!</definedName>
    <definedName name="__245______________________________________________________________________________________________123Graph_BGráfico_4A" hidden="1">#REF!</definedName>
    <definedName name="__246______________________________________________________________________________________________123Graph_XGráfico_4A" hidden="1">#REF!</definedName>
    <definedName name="__247_____________________________________________________________________________________________123Graph_AGráfico_4A" hidden="1">#REF!</definedName>
    <definedName name="__248_____________________________________________________________________________________________123Graph_BGráfico_4A" hidden="1">#REF!</definedName>
    <definedName name="__249_____________________________________________________________________________________________123Graph_XGráfico_4A" hidden="1">#REF!</definedName>
    <definedName name="__250____________________________________________________________________________________________123Graph_AGráfico_4A" hidden="1">#REF!</definedName>
    <definedName name="__251____________________________________________________________________________________________123Graph_BGráfico_4A" hidden="1">#REF!</definedName>
    <definedName name="__252____________________________________________________________________________________________123Graph_XGráfico_4A" hidden="1">#REF!</definedName>
    <definedName name="__253___________________________________________________________________________________________123Graph_AGráfico_4A" hidden="1">#REF!</definedName>
    <definedName name="__254___________________________________________________________________________________________123Graph_BGráfico_4A" hidden="1">#REF!</definedName>
    <definedName name="__255___________________________________________________________________________________________123Graph_XGráfico_4A" hidden="1">#REF!</definedName>
    <definedName name="__256__________________________________________________________________________________________123Graph_AGráfico_4A" hidden="1">#REF!</definedName>
    <definedName name="__257__________________________________________________________________________________________123Graph_BGráfico_4A" hidden="1">#REF!</definedName>
    <definedName name="__258__________________________________________________________________________________________123Graph_XGráfico_4A" hidden="1">#REF!</definedName>
    <definedName name="__259_________________________________________________________________________________________123Graph_AGráfico_4A" hidden="1">#REF!</definedName>
    <definedName name="__260_________________________________________________________________________________________123Graph_BGráfico_4A" hidden="1">#REF!</definedName>
    <definedName name="__261_________________________________________________________________________________________123Graph_XGráfico_4A" hidden="1">#REF!</definedName>
    <definedName name="__262________________________________________________________________________________________123Graph_AGráfico_4A" hidden="1">#REF!</definedName>
    <definedName name="__263________________________________________________________________________________________123Graph_BGráfico_4A" hidden="1">#REF!</definedName>
    <definedName name="__264________________________________________________________________________________________123Graph_XGráfico_4A" hidden="1">#REF!</definedName>
    <definedName name="__265_______________________________________________________________________________________123Graph_AGráfico_4A" hidden="1">#REF!</definedName>
    <definedName name="__266_______________________________________________________________________________________123Graph_BGráfico_4A" hidden="1">#REF!</definedName>
    <definedName name="__267_______________________________________________________________________________________123Graph_XGráfico_4A" hidden="1">#REF!</definedName>
    <definedName name="__268______________________________________________________________________________________123Graph_AGráfico_4A" hidden="1">#REF!</definedName>
    <definedName name="__269______________________________________________________________________________________123Graph_BGráfico_4A" hidden="1">#REF!</definedName>
    <definedName name="__270______________________________________________________________________________________123Graph_XGráfico_4A" hidden="1">#REF!</definedName>
    <definedName name="__271_____________________________________________________________________________________123Graph_AGráfico_4A" hidden="1">#REF!</definedName>
    <definedName name="__272_____________________________________________________________________________________123Graph_BGráfico_4A" hidden="1">#REF!</definedName>
    <definedName name="__273_____________________________________________________________________________________123Graph_XGráfico_4A" hidden="1">#REF!</definedName>
    <definedName name="__274____________________________________________________________________________________123Graph_AGráfico_4A" hidden="1">#REF!</definedName>
    <definedName name="__275____________________________________________________________________________________123Graph_BGráfico_4A" hidden="1">#REF!</definedName>
    <definedName name="__276____________________________________________________________________________________123Graph_XGráfico_4A" hidden="1">#REF!</definedName>
    <definedName name="__277___________________________________________________________________________________123Graph_AGráfico_4A" hidden="1">#REF!</definedName>
    <definedName name="__278___________________________________________________________________________________123Graph_BGráfico_4A" hidden="1">#REF!</definedName>
    <definedName name="__279___________________________________________________________________________________123Graph_XGráfico_4A" hidden="1">#REF!</definedName>
    <definedName name="__280__________________________________________________________________________________123Graph_AGráfico_4A" hidden="1">#REF!</definedName>
    <definedName name="__281__________________________________________________________________________________123Graph_BGráfico_4A" hidden="1">#REF!</definedName>
    <definedName name="__282__________________________________________________________________________________123Graph_XGráfico_4A" hidden="1">#REF!</definedName>
    <definedName name="__283_________________________________________________________________________________123Graph_AGráfico_4A" hidden="1">#REF!</definedName>
    <definedName name="__284_________________________________________________________________________________123Graph_BGráfico_4A" hidden="1">#REF!</definedName>
    <definedName name="__285_________________________________________________________________________________123Graph_XGráfico_4A" hidden="1">#REF!</definedName>
    <definedName name="__286________________________________________________________________________________123Graph_AGráfico_4A" hidden="1">#REF!</definedName>
    <definedName name="__287________________________________________________________________________________123Graph_BGráfico_4A" hidden="1">#REF!</definedName>
    <definedName name="__288________________________________________________________________________________123Graph_XGráfico_4A" hidden="1">#REF!</definedName>
    <definedName name="__289_______________________________________________________________________________123Graph_AGráfico_4A" hidden="1">#REF!</definedName>
    <definedName name="__290_______________________________________________________________________________123Graph_BGráfico_4A" hidden="1">#REF!</definedName>
    <definedName name="__291_______________________________________________________________________________123Graph_XGráfico_4A" hidden="1">#REF!</definedName>
    <definedName name="__292______________________________________________________________________________123Graph_AGráfico_4A" hidden="1">#REF!</definedName>
    <definedName name="__293______________________________________________________________________________123Graph_BGráfico_4A" hidden="1">#REF!</definedName>
    <definedName name="__294______________________________________________________________________________123Graph_XGráfico_4A" hidden="1">#REF!</definedName>
    <definedName name="__295_____________________________________________________________________________123Graph_AGráfico_4A" hidden="1">#REF!</definedName>
    <definedName name="__296_____________________________________________________________________________123Graph_BGráfico_4A" hidden="1">#REF!</definedName>
    <definedName name="__297_____________________________________________________________________________123Graph_XGráfico_4A" hidden="1">#REF!</definedName>
    <definedName name="__298____________________________________________________________________________123Graph_AGráfico_4A" hidden="1">#REF!</definedName>
    <definedName name="__299____________________________________________________________________________123Graph_BGráfico_4A" hidden="1">#REF!</definedName>
    <definedName name="__3__123Graph_AEFICIENCIA_1" hidden="1">#REF!</definedName>
    <definedName name="__300____________________________________________________________________________123Graph_XGráfico_4A" hidden="1">#REF!</definedName>
    <definedName name="__301___________________________________________________________________________123Graph_AGráfico_4A" hidden="1">#REF!</definedName>
    <definedName name="__302___________________________________________________________________________123Graph_BGráfico_4A" hidden="1">#REF!</definedName>
    <definedName name="__303___________________________________________________________________________123Graph_XGráfico_4A" hidden="1">#REF!</definedName>
    <definedName name="__304__________________________________________________________________________123Graph_AGráfico_4A" hidden="1">#REF!</definedName>
    <definedName name="__305__________________________________________________________________________123Graph_BGráfico_4A" hidden="1">#REF!</definedName>
    <definedName name="__306__________________________________________________________________________123Graph_XGráfico_4A" hidden="1">#REF!</definedName>
    <definedName name="__307_________________________________________________________________________123Graph_AGráfico_4A" hidden="1">#REF!</definedName>
    <definedName name="__308_________________________________________________________________________123Graph_BGráfico_4A" hidden="1">#REF!</definedName>
    <definedName name="__309_________________________________________________________________________123Graph_XGráfico_4A" hidden="1">#REF!</definedName>
    <definedName name="__310________________________________________________________________________123Graph_AGráfico_4A" hidden="1">#REF!</definedName>
    <definedName name="__311________________________________________________________________________123Graph_BGráfico_4A" hidden="1">#REF!</definedName>
    <definedName name="__312________________________________________________________________________123Graph_XGráfico_4A" hidden="1">#REF!</definedName>
    <definedName name="__313_______________________________________________________________________123Graph_AGráfico_4A" hidden="1">#REF!</definedName>
    <definedName name="__314_______________________________________________________________________123Graph_BGráfico_4A" hidden="1">#REF!</definedName>
    <definedName name="__315_______________________________________________________________________123Graph_XGráfico_4A" hidden="1">#REF!</definedName>
    <definedName name="__316______________________________________________________________________123Graph_AGráfico_4A" hidden="1">#REF!</definedName>
    <definedName name="__317______________________________________________________________________123Graph_BGráfico_4A" hidden="1">#REF!</definedName>
    <definedName name="__318______________________________________________________________________123Graph_XGráfico_4A" hidden="1">#REF!</definedName>
    <definedName name="__319_____________________________________________________________________123Graph_AGráfico_4A" hidden="1">#REF!</definedName>
    <definedName name="__32__123Graph_BCHART_10" hidden="1">#REF!</definedName>
    <definedName name="__320_____________________________________________________________________123Graph_BGráfico_4A" hidden="1">#REF!</definedName>
    <definedName name="__321_____________________________________________________________________123Graph_XGráfico_4A" hidden="1">#REF!</definedName>
    <definedName name="__323____________________________________________________________________123Graph_AGráfico_4A" hidden="1">#REF!</definedName>
    <definedName name="__324____________________________________________________________________123Graph_BGráfico_4A" hidden="1">#REF!</definedName>
    <definedName name="__325____________________________________________________________________123Graph_XGráfico_4A" hidden="1">#REF!</definedName>
    <definedName name="__326____________________________________________________________________4_0__123Grap" hidden="1">#REF!</definedName>
    <definedName name="__331____________________________________________________________________B_0__123Graph_XGráfico" hidden="1">#REF!</definedName>
    <definedName name="__334___________________________________________________________________123Graph_AGráfico_4A" hidden="1">#REF!</definedName>
    <definedName name="__335___________________________________________________________________123Graph_BGráfico_4A" hidden="1">#REF!</definedName>
    <definedName name="__336___________________________________________________________________123Graph_XGráfico_4A" hidden="1">#REF!</definedName>
    <definedName name="__337___________________________________________________________________4_0__123Grap" hidden="1">#REF!</definedName>
    <definedName name="__342___________________________________________________________________B_0__123Graph_XGráfico" hidden="1">#REF!</definedName>
    <definedName name="__345__________________________________________________________________123Graph_AGráfico_4A" hidden="1">#REF!</definedName>
    <definedName name="__346__________________________________________________________________123Graph_BGráfico_4A" hidden="1">#REF!</definedName>
    <definedName name="__347__________________________________________________________________123Graph_XGráfico_4A" hidden="1">#REF!</definedName>
    <definedName name="__348__________________________________________________________________4_0__123Grap" hidden="1">#REF!</definedName>
    <definedName name="__353__________________________________________________________________B_0__123Graph_XGráfico" hidden="1">#REF!</definedName>
    <definedName name="__356_________________________________________________________________123Graph_AGráfico_4A" hidden="1">#REF!</definedName>
    <definedName name="__357_________________________________________________________________123Graph_BGráfico_4A" hidden="1">#REF!</definedName>
    <definedName name="__358_________________________________________________________________123Graph_XGráfico_4A" hidden="1">#REF!</definedName>
    <definedName name="__359_________________________________________________________________4_0__123Grap" hidden="1">#REF!</definedName>
    <definedName name="__364_________________________________________________________________B_0__123Graph_XGráfico" hidden="1">#REF!</definedName>
    <definedName name="__367________________________________________________________________123Graph_AGráfico_4A" hidden="1">#REF!</definedName>
    <definedName name="__368________________________________________________________________123Graph_BGráfico_4A" hidden="1">#REF!</definedName>
    <definedName name="__369________________________________________________________________123Graph_XGráfico_4A" hidden="1">#REF!</definedName>
    <definedName name="__370________________________________________________________________4_0__123Grap" hidden="1">#REF!</definedName>
    <definedName name="__375________________________________________________________________B_0__123Graph_XGráfico" hidden="1">#REF!</definedName>
    <definedName name="__378_______________________________________________________________123Graph_AGráfico_4A" hidden="1">#REF!</definedName>
    <definedName name="__379_______________________________________________________________123Graph_BGráfico_4A" hidden="1">#REF!</definedName>
    <definedName name="__380_______________________________________________________________123Graph_XGráfico_4A" hidden="1">#REF!</definedName>
    <definedName name="__381_______________________________________________________________4_0__123Grap" hidden="1">#REF!</definedName>
    <definedName name="__386_______________________________________________________________B_0__123Graph_XGráfico" hidden="1">#REF!</definedName>
    <definedName name="__389______________________________________________________________123Graph_AGráfico_4A" hidden="1">#REF!</definedName>
    <definedName name="__390______________________________________________________________123Graph_BGráfico_4A" hidden="1">#REF!</definedName>
    <definedName name="__391______________________________________________________________123Graph_XGráfico_4A" hidden="1">#REF!</definedName>
    <definedName name="__392______________________________________________________________4_0__123Grap" hidden="1">#REF!</definedName>
    <definedName name="__397______________________________________________________________B_0__123Graph_XGráfico" hidden="1">#REF!</definedName>
    <definedName name="__4___123Graph_AGráfico_4A" hidden="1">#REF!</definedName>
    <definedName name="__4__123Graph_ACHART_1" hidden="1">#REF!</definedName>
    <definedName name="__4__123Graph_AGRANULOMETRIA_1" hidden="1">#REF!</definedName>
    <definedName name="__400_____________________________________________________________123Graph_AGráfico_4A" hidden="1">#REF!</definedName>
    <definedName name="__401_____________________________________________________________123Graph_BGráfico_4A" hidden="1">#REF!</definedName>
    <definedName name="__402_____________________________________________________________123Graph_XGráfico_4A" hidden="1">#REF!</definedName>
    <definedName name="__403_____________________________________________________________4_0__123Grap" hidden="1">#REF!</definedName>
    <definedName name="__408_____________________________________________________________B_0__123Graph_XGráfico" hidden="1">#REF!</definedName>
    <definedName name="__411____________________________________________________________123Graph_AGráfico_4A" hidden="1">#REF!</definedName>
    <definedName name="__412____________________________________________________________123Graph_BGráfico_4A" hidden="1">#REF!</definedName>
    <definedName name="__413____________________________________________________________123Graph_XGráfico_4A" hidden="1">#REF!</definedName>
    <definedName name="__414____________________________________________________________4_0__123Grap" hidden="1">#REF!</definedName>
    <definedName name="__419____________________________________________________________B_0__123Graph_XGráfico" hidden="1">#REF!</definedName>
    <definedName name="__42__123Graph_BCHART_15" hidden="1">#REF!</definedName>
    <definedName name="__422___________________________________________________________123Graph_AGráfico_4A" hidden="1">#REF!</definedName>
    <definedName name="__423___________________________________________________________123Graph_BGráfico_4A" hidden="1">#REF!</definedName>
    <definedName name="__424___________________________________________________________123Graph_XGráfico_4A" hidden="1">#REF!</definedName>
    <definedName name="__425___________________________________________________________4_0__123Grap" hidden="1">#REF!</definedName>
    <definedName name="__430___________________________________________________________B_0__123Graph_XGráfico" hidden="1">#REF!</definedName>
    <definedName name="__433__________________________________________________________123Graph_AGráfico_4A" hidden="1">#REF!</definedName>
    <definedName name="__434__________________________________________________________123Graph_BGráfico_4A" hidden="1">#REF!</definedName>
    <definedName name="__435__________________________________________________________123Graph_XGráfico_4A" hidden="1">#REF!</definedName>
    <definedName name="__436__________________________________________________________4_0__123Grap" hidden="1">#REF!</definedName>
    <definedName name="__441__________________________________________________________B_0__123Graph_XGráfico" hidden="1">#REF!</definedName>
    <definedName name="__444_________________________________________________________123Graph_AGráfico_4A" hidden="1">#REF!</definedName>
    <definedName name="__445_________________________________________________________123Graph_BGráfico_4A" hidden="1">#REF!</definedName>
    <definedName name="__446_________________________________________________________123Graph_XGráfico_4A" hidden="1">#REF!</definedName>
    <definedName name="__447_________________________________________________________4_0__123Grap" hidden="1">#REF!</definedName>
    <definedName name="__452_________________________________________________________B_0__123Graph_XGráfico" hidden="1">#REF!</definedName>
    <definedName name="__455________________________________________________________123Graph_AGráfico_4A" hidden="1">#REF!</definedName>
    <definedName name="__456________________________________________________________123Graph_BGráfico_4A" hidden="1">#REF!</definedName>
    <definedName name="__457________________________________________________________123Graph_XGráfico_4A" hidden="1">#REF!</definedName>
    <definedName name="__458________________________________________________________4_0__123Grap" hidden="1">#REF!</definedName>
    <definedName name="__463________________________________________________________B_0__123Graph_XGráfico" hidden="1">#REF!</definedName>
    <definedName name="__466_______________________________________________________123Graph_AGráfico_4A" hidden="1">#REF!</definedName>
    <definedName name="__467_______________________________________________________123Graph_BGráfico_4A" hidden="1">#REF!</definedName>
    <definedName name="__468_______________________________________________________123Graph_XGráfico_4A" hidden="1">#REF!</definedName>
    <definedName name="__469_______________________________________________________4_0__123Grap" hidden="1">#REF!</definedName>
    <definedName name="__474_______________________________________________________B_0__123Graph_XGráfico" hidden="1">#REF!</definedName>
    <definedName name="__477______________________________________________________123Graph_AGráfico_4A" hidden="1">#REF!</definedName>
    <definedName name="__478______________________________________________________123Graph_BGráfico_4A" hidden="1">#REF!</definedName>
    <definedName name="__479______________________________________________________123Graph_XGráfico_4A" hidden="1">#REF!</definedName>
    <definedName name="__480______________________________________________________4_0__123Grap" hidden="1">#REF!</definedName>
    <definedName name="__485______________________________________________________B_0__123Graph_XGráfico" hidden="1">#REF!</definedName>
    <definedName name="__488_____________________________________________________123Graph_AGráfico_4A" hidden="1">#REF!</definedName>
    <definedName name="__489_____________________________________________________123Graph_BGráfico_4A" hidden="1">#REF!</definedName>
    <definedName name="__490_____________________________________________________123Graph_XGráfico_4A" hidden="1">#REF!</definedName>
    <definedName name="__491_____________________________________________________4_0__123Grap" hidden="1">#REF!</definedName>
    <definedName name="__496_____________________________________________________B_0__123Graph_XGráfico" hidden="1">#REF!</definedName>
    <definedName name="__499____________________________________________________123Graph_AGráfico_4A" hidden="1">#REF!</definedName>
    <definedName name="__5___123Graph_BGráfico_4A" hidden="1">#REF!</definedName>
    <definedName name="__5__123Graph_B__200__BPF" hidden="1">#REF!</definedName>
    <definedName name="__500____________________________________________________123Graph_BGráfico_4A" hidden="1">#REF!</definedName>
    <definedName name="__501____________________________________________________123Graph_XGráfico_4A" hidden="1">#REF!</definedName>
    <definedName name="__502____________________________________________________4_0__123Grap" hidden="1">#REF!</definedName>
    <definedName name="__507____________________________________________________B_0__123Graph_XGráfico" hidden="1">#REF!</definedName>
    <definedName name="__510___________________________________________________123Graph_AGráfico_4A" hidden="1">#REF!</definedName>
    <definedName name="__511___________________________________________________123Graph_BGráfico_4A" hidden="1">#REF!</definedName>
    <definedName name="__512___________________________________________________123Graph_XGráfico_4A" hidden="1">#REF!</definedName>
    <definedName name="__513___________________________________________________4_0__123Grap" hidden="1">#REF!</definedName>
    <definedName name="__518___________________________________________________B_0__123Graph_XGráfico" hidden="1">#REF!</definedName>
    <definedName name="__521__________________________________________________123Graph_AGráfico_4A" hidden="1">#REF!</definedName>
    <definedName name="__522__________________________________________________123Graph_BGráfico_4A" hidden="1">#REF!</definedName>
    <definedName name="__523__________________________________________________123Graph_XGráfico_4A" hidden="1">#REF!</definedName>
    <definedName name="__524__________________________________________________4_0__123Grap" hidden="1">#REF!</definedName>
    <definedName name="__529__________________________________________________B_0__123Graph_XGráfico" hidden="1">#REF!</definedName>
    <definedName name="__532_________________________________________________123Graph_AGráfico_4A" hidden="1">#REF!</definedName>
    <definedName name="__533_________________________________________________123Graph_BGráfico_4A" hidden="1">#REF!</definedName>
    <definedName name="__534_________________________________________________123Graph_XGráfico_4A" hidden="1">#REF!</definedName>
    <definedName name="__535_________________________________________________4_0__123Grap" hidden="1">#REF!</definedName>
    <definedName name="__540_________________________________________________B_0__123Graph_XGráfico" hidden="1">#REF!</definedName>
    <definedName name="__543________________________________________________123Graph_AGráfico_4A" hidden="1">#REF!</definedName>
    <definedName name="__544________________________________________________123Graph_BGráfico_4A" hidden="1">#REF!</definedName>
    <definedName name="__545________________________________________________123Graph_XGráfico_4A" hidden="1">#REF!</definedName>
    <definedName name="__546________________________________________________4_0__123Grap" hidden="1">#REF!</definedName>
    <definedName name="__551________________________________________________B_0__123Graph_XGráfico" hidden="1">#REF!</definedName>
    <definedName name="__554_______________________________________________123Graph_AGráfico_4A" hidden="1">#REF!</definedName>
    <definedName name="__555_______________________________________________123Graph_BGráfico_4A" hidden="1">#REF!</definedName>
    <definedName name="__556_______________________________________________123Graph_XGráfico_4A" hidden="1">#REF!</definedName>
    <definedName name="__557_______________________________________________4_0__123Grap" hidden="1">#REF!</definedName>
    <definedName name="__562_______________________________________________B_0__123Graph_XGráfico" hidden="1">#REF!</definedName>
    <definedName name="__565______________________________________________123Graph_AGráfico_4A" hidden="1">#REF!</definedName>
    <definedName name="__566______________________________________________123Graph_BGráfico_4A" hidden="1">#REF!</definedName>
    <definedName name="__567______________________________________________123Graph_XGráfico_4A" hidden="1">#REF!</definedName>
    <definedName name="__568______________________________________________4_0__123Grap" hidden="1">#REF!</definedName>
    <definedName name="__573______________________________________________B_0__123Graph_XGráfico" hidden="1">#REF!</definedName>
    <definedName name="__576_____________________________________________123Graph_AGráfico_4A" hidden="1">#REF!</definedName>
    <definedName name="__577_____________________________________________123Graph_BGráfico_4A" hidden="1">#REF!</definedName>
    <definedName name="__578_____________________________________________123Graph_XGráfico_4A" hidden="1">#REF!</definedName>
    <definedName name="__579_____________________________________________4_0__123Grap" hidden="1">#REF!</definedName>
    <definedName name="__584_____________________________________________B_0__123Graph_XGráfico" hidden="1">#REF!</definedName>
    <definedName name="__587____________________________________________123Graph_AGráfico_4A" hidden="1">#REF!</definedName>
    <definedName name="__588____________________________________________123Graph_BGráfico_4A" hidden="1">#REF!</definedName>
    <definedName name="__589____________________________________________123Graph_XGráfico_4A" hidden="1">#REF!</definedName>
    <definedName name="__590____________________________________________4_0__123Grap" hidden="1">#REF!</definedName>
    <definedName name="__595____________________________________________B_0__123Graph_XGráfico" hidden="1">#REF!</definedName>
    <definedName name="__598___________________________________________123Graph_AGráfico_4A" hidden="1">#REF!</definedName>
    <definedName name="__599___________________________________________123Graph_BGráfico_4A" hidden="1">#REF!</definedName>
    <definedName name="__6___123Graph_XGráfico_4A" hidden="1">#REF!</definedName>
    <definedName name="__6__123Graph_ACHART_10" hidden="1">#REF!</definedName>
    <definedName name="__6__123Graph_B__200__D50" hidden="1">#REF!</definedName>
    <definedName name="__6__123Graph_BGráfico_4A" hidden="1">#REF!</definedName>
    <definedName name="__600___________________________________________123Graph_XGráfico_4A" hidden="1">#REF!</definedName>
    <definedName name="__601___________________________________________4_0__123Grap" hidden="1">#REF!</definedName>
    <definedName name="__606___________________________________________B_0__123Graph_XGráfico" hidden="1">#REF!</definedName>
    <definedName name="__609__________________________________________123Graph_AGráfico_4A" hidden="1">#REF!</definedName>
    <definedName name="__610__________________________________________123Graph_BGráfico_4A" hidden="1">#REF!</definedName>
    <definedName name="__611__________________________________________123Graph_XGráfico_4A" hidden="1">#REF!</definedName>
    <definedName name="__612__________________________________________4_0__123Grap" hidden="1">#REF!</definedName>
    <definedName name="__617__________________________________________B_0__123Graph_XGráfico" hidden="1">#REF!</definedName>
    <definedName name="__620_________________________________________123Graph_AGráfico_4A" hidden="1">#REF!</definedName>
    <definedName name="__621_________________________________________123Graph_BGráfico_4A" hidden="1">#REF!</definedName>
    <definedName name="__622_________________________________________123Graph_XGráfico_4A" hidden="1">#REF!</definedName>
    <definedName name="__623_________________________________________4_0__123Grap" hidden="1">#REF!</definedName>
    <definedName name="__628_________________________________________B_0__123Graph_XGráfico" hidden="1">#REF!</definedName>
    <definedName name="__631________________________________________123Graph_AGráfico_4A" hidden="1">#REF!</definedName>
    <definedName name="__632________________________________________123Graph_BGráfico_4A" hidden="1">#REF!</definedName>
    <definedName name="__633________________________________________123Graph_XGráfico_4A" hidden="1">#REF!</definedName>
    <definedName name="__634________________________________________4_0__123Grap" hidden="1">#REF!</definedName>
    <definedName name="__639________________________________________B_0__123Graph_XGráfico" hidden="1">#REF!</definedName>
    <definedName name="__642_______________________________________123Graph_AGráfico_4A" hidden="1">#REF!</definedName>
    <definedName name="__643_______________________________________123Graph_BGráfico_4A" hidden="1">#REF!</definedName>
    <definedName name="__644_______________________________________123Graph_XGráfico_4A" hidden="1">#REF!</definedName>
    <definedName name="__645_______________________________________4_0__123Grap" hidden="1">#REF!</definedName>
    <definedName name="__650_______________________________________B_0__123Graph_XGráfico" hidden="1">#REF!</definedName>
    <definedName name="__653______________________________________123Graph_AGráfico_4A" hidden="1">#REF!</definedName>
    <definedName name="__654______________________________________123Graph_BGráfico_4A" hidden="1">#REF!</definedName>
    <definedName name="__655______________________________________123Graph_XGráfico_4A" hidden="1">#REF!</definedName>
    <definedName name="__656______________________________________4_0__123Grap" hidden="1">#REF!</definedName>
    <definedName name="__661______________________________________B_0__123Graph_XGráfico" hidden="1">#REF!</definedName>
    <definedName name="__664_____________________________________123Graph_AGráfico_4A" hidden="1">#REF!</definedName>
    <definedName name="__665_____________________________________123Graph_BGráfico_4A" hidden="1">#REF!</definedName>
    <definedName name="__666_____________________________________123Graph_XGráfico_4A" hidden="1">#REF!</definedName>
    <definedName name="__667_____________________________________4_0__123Grap" hidden="1">#REF!</definedName>
    <definedName name="__67__123Graph_CCHART_15" hidden="1">#REF!</definedName>
    <definedName name="__672_____________________________________B_0__123Graph_XGráfico" hidden="1">#REF!</definedName>
    <definedName name="__675____________________________________123Graph_AGráfico_4A" hidden="1">#REF!</definedName>
    <definedName name="__676____________________________________123Graph_BGráfico_4A" hidden="1">#REF!</definedName>
    <definedName name="__677____________________________________123Graph_XGráfico_4A" hidden="1">#REF!</definedName>
    <definedName name="__678____________________________________4_0__123Grap" hidden="1">#REF!</definedName>
    <definedName name="__683____________________________________B_0__123Graph_XGráfico" hidden="1">#REF!</definedName>
    <definedName name="__686___________________________________123Graph_AGráfico_4A" hidden="1">#REF!</definedName>
    <definedName name="__687___________________________________123Graph_BGráfico_4A" hidden="1">#REF!</definedName>
    <definedName name="__688___________________________________123Graph_XGráfico_4A" hidden="1">#REF!</definedName>
    <definedName name="__689___________________________________4_0__123Grap" hidden="1">#REF!</definedName>
    <definedName name="__694___________________________________B_0__123Graph_XGráfico" hidden="1">#REF!</definedName>
    <definedName name="__697__________________________________123Graph_AGráfico_4A" hidden="1">#REF!</definedName>
    <definedName name="__698__________________________________123Graph_BGráfico_4A" hidden="1">#REF!</definedName>
    <definedName name="__699__________________________________123Graph_XGráfico_4A" hidden="1">#REF!</definedName>
    <definedName name="__7__123Graph_AGráfico_4A" hidden="1">#REF!</definedName>
    <definedName name="__7__123Graph_BEFICIENCIA_1" hidden="1">#REF!</definedName>
    <definedName name="__700__________________________________4_0__123Grap" hidden="1">#REF!</definedName>
    <definedName name="__705__________________________________B_0__123Graph_XGráfico" hidden="1">#REF!</definedName>
    <definedName name="__708_________________________________123Graph_AGráfico_4A" hidden="1">#REF!</definedName>
    <definedName name="__709_________________________________123Graph_BGráfico_4A" hidden="1">#REF!</definedName>
    <definedName name="__710_________________________________123Graph_XGráfico_4A" hidden="1">#REF!</definedName>
    <definedName name="__711_________________________________4_0__123Grap" hidden="1">#REF!</definedName>
    <definedName name="__716_________________________________B_0__123Graph_XGráfico" hidden="1">#REF!</definedName>
    <definedName name="__719________________________________123Graph_AGráfico_4A" hidden="1">#REF!</definedName>
    <definedName name="__720________________________________123Graph_BGráfico_4A" hidden="1">#REF!</definedName>
    <definedName name="__721________________________________123Graph_XGráfico_4A" hidden="1">#REF!</definedName>
    <definedName name="__722________________________________4_0__123Grap" hidden="1">#REF!</definedName>
    <definedName name="__727________________________________B_0__123Graph_XGráfico" hidden="1">#REF!</definedName>
    <definedName name="__730_______________________________123Graph_AGráfico_4A" hidden="1">#REF!</definedName>
    <definedName name="__731_______________________________123Graph_BGráfico_4A" hidden="1">#REF!</definedName>
    <definedName name="__732_______________________________123Graph_XGráfico_4A" hidden="1">#REF!</definedName>
    <definedName name="__733_______________________________4_0__123Grap" hidden="1">#REF!</definedName>
    <definedName name="__738_______________________________B_0__123Graph_XGráfico" hidden="1">#REF!</definedName>
    <definedName name="__741______________________________123Graph_AGráfico_4A" hidden="1">#REF!</definedName>
    <definedName name="__742______________________________123Graph_BGráfico_4A" hidden="1">#REF!</definedName>
    <definedName name="__743______________________________123Graph_XGráfico_4A" hidden="1">#REF!</definedName>
    <definedName name="__744______________________________4_0__123Grap" hidden="1">#REF!</definedName>
    <definedName name="__749______________________________B_0__123Graph_XGráfico" hidden="1">#REF!</definedName>
    <definedName name="__752_____________________________4_0__123Grap" hidden="1">#REF!</definedName>
    <definedName name="__757_____________________________B_0__123Graph_XGráfico" hidden="1">#REF!</definedName>
    <definedName name="__760____________________________4_0__123Grap" hidden="1">#REF!</definedName>
    <definedName name="__765____________________________B_0__123Graph_XGráfico" hidden="1">#REF!</definedName>
    <definedName name="__768___________________________4_0__123Grap" hidden="1">#REF!</definedName>
    <definedName name="__773___________________________B_0__123Graph_XGráfico" hidden="1">#REF!</definedName>
    <definedName name="__776__________________________4_0__123Grap" hidden="1">#REF!</definedName>
    <definedName name="__781__________________________B_0__123Graph_XGráfico" hidden="1">#REF!</definedName>
    <definedName name="__784_________________________4_0__123Grap" hidden="1">#REF!</definedName>
    <definedName name="__789_________________________B_0__123Graph_XGráfico" hidden="1">#REF!</definedName>
    <definedName name="__792________________________4_0__123Grap" hidden="1">#REF!</definedName>
    <definedName name="__797________________________B_0__123Graph_XGráfico" hidden="1">#REF!</definedName>
    <definedName name="__8__123Graph_ACHART_11" hidden="1">#REF!</definedName>
    <definedName name="__8__123Graph_BGráfico_4A" hidden="1">#REF!</definedName>
    <definedName name="__8__123Graph_BGRANULOMETRIA_1" hidden="1">#REF!</definedName>
    <definedName name="__800_______________________4_0__123Grap" hidden="1">#REF!</definedName>
    <definedName name="__805_______________________B_0__123Graph_XGráfico" hidden="1">#REF!</definedName>
    <definedName name="__808______________________4_0__123Grap" hidden="1">#REF!</definedName>
    <definedName name="__813______________________B_0__123Graph_XGráfico" hidden="1">#REF!</definedName>
    <definedName name="__816_____________________4_0__123Grap" hidden="1">#REF!</definedName>
    <definedName name="__821_____________________B_0__123Graph_XGráfico" hidden="1">#REF!</definedName>
    <definedName name="__824____________________4_0__123Grap" hidden="1">#REF!</definedName>
    <definedName name="__829____________________B_0__123Graph_XGráfico" hidden="1">#REF!</definedName>
    <definedName name="__832___________________4_0__123Grap" hidden="1">#REF!</definedName>
    <definedName name="__837___________________B_0__123Graph_XGráfico" hidden="1">#REF!</definedName>
    <definedName name="__840__________________4_0__123Grap" hidden="1">#REF!</definedName>
    <definedName name="__845__________________B_0__123Graph_XGráfico" hidden="1">#REF!</definedName>
    <definedName name="__848_________________4_0__123Grap" hidden="1">#REF!</definedName>
    <definedName name="__853_________________B_0__123Graph_XGráfico" hidden="1">#REF!</definedName>
    <definedName name="__856________________4_0__123Grap" hidden="1">#REF!</definedName>
    <definedName name="__861________________B_0__123Graph_XGráfico" hidden="1">#REF!</definedName>
    <definedName name="__864_______________4_0__123Grap" hidden="1">#REF!</definedName>
    <definedName name="__869_______________B_0__123Graph_XGráfico" hidden="1">#REF!</definedName>
    <definedName name="__9__123Graph_C__200__BPF" hidden="1">#REF!</definedName>
    <definedName name="__9__123Graph_XGráfico_4A" hidden="1">#REF!</definedName>
    <definedName name="__a1" hidden="1">{"TAB1",#N/A,TRUE,"GENERAL";"TAB2",#N/A,TRUE,"GENERAL";"TAB3",#N/A,TRUE,"GENERAL";"TAB4",#N/A,TRUE,"GENERAL";"TAB5",#N/A,TRUE,"GENERAL"}</definedName>
    <definedName name="__A17000">#REF!</definedName>
    <definedName name="__A2" hidden="1">{#N/A,#N/A,FALSE,"Costos Productos 6A";#N/A,#N/A,FALSE,"Costo Unitario Total H-94-12"}</definedName>
    <definedName name="__A20000">#REF!</definedName>
    <definedName name="__a3" hidden="1">{"TAB1",#N/A,TRUE,"GENERAL";"TAB2",#N/A,TRUE,"GENERAL";"TAB3",#N/A,TRUE,"GENERAL";"TAB4",#N/A,TRUE,"GENERAL";"TAB5",#N/A,TRUE,"GENERAL"}</definedName>
    <definedName name="__A30000">#REF!</definedName>
    <definedName name="__a4" hidden="1">{"via1",#N/A,TRUE,"general";"via2",#N/A,TRUE,"general";"via3",#N/A,TRUE,"general"}</definedName>
    <definedName name="__a5" hidden="1">{"TAB1",#N/A,TRUE,"GENERAL";"TAB2",#N/A,TRUE,"GENERAL";"TAB3",#N/A,TRUE,"GENERAL";"TAB4",#N/A,TRUE,"GENERAL";"TAB5",#N/A,TRUE,"GENERAL"}</definedName>
    <definedName name="__a6" hidden="1">{"TAB1",#N/A,TRUE,"GENERAL";"TAB2",#N/A,TRUE,"GENERAL";"TAB3",#N/A,TRUE,"GENERAL";"TAB4",#N/A,TRUE,"GENERAL";"TAB5",#N/A,TRUE,"GENERAL"}</definedName>
    <definedName name="__A7" hidden="1">{#N/A,#N/A,FALSE,"KMC최종회의(7월) 자료"}</definedName>
    <definedName name="__A8" hidden="1">{#N/A,#N/A,FALSE,"KMC최종회의(7월) 자료"}</definedName>
    <definedName name="__A9" hidden="1">{#N/A,#N/A,FALSE,"KMC최종회의(7월) 자료"}</definedName>
    <definedName name="__AA4" hidden="1">{#N/A,#N/A,FALSE,"신규dep";#N/A,#N/A,FALSE,"신규dep-금형상각후";#N/A,#N/A,FALSE,"신규dep-연구비상각후";#N/A,#N/A,FALSE,"신규dep-기계,공구상각후"}</definedName>
    <definedName name="__AAS1" hidden="1">{#N/A,#N/A,TRUE,"INGENIERIA";#N/A,#N/A,TRUE,"COMPRAS";#N/A,#N/A,TRUE,"DIRECCION";#N/A,#N/A,TRUE,"RESUMEN"}</definedName>
    <definedName name="__ABC1" hidden="1">{#N/A,#N/A,TRUE,"1842CWN0"}</definedName>
    <definedName name="__ABC12" hidden="1">{"EVA",#N/A,FALSE,"SMT2";#N/A,#N/A,FALSE,"Summary";#N/A,#N/A,FALSE,"Graphs";#N/A,#N/A,FALSE,"4 Panel"}</definedName>
    <definedName name="__abc2" hidden="1">{#N/A,#N/A,TRUE,"1842CWN0"}</definedName>
    <definedName name="__AFC1">#REF!</definedName>
    <definedName name="__AFC3">#REF!</definedName>
    <definedName name="__AFC5">#REF!</definedName>
    <definedName name="__ANO1">#REF!</definedName>
    <definedName name="__ANO10">#REF!</definedName>
    <definedName name="__ANO11">#REF!</definedName>
    <definedName name="__ANO12">#REF!</definedName>
    <definedName name="__ANO13">#REF!</definedName>
    <definedName name="__ANO14">#REF!</definedName>
    <definedName name="__ANO15">#REF!</definedName>
    <definedName name="__ANO16">#REF!</definedName>
    <definedName name="__ANO17">#REF!</definedName>
    <definedName name="__ANO18">#REF!</definedName>
    <definedName name="__ANO19">#REF!</definedName>
    <definedName name="__ANO2">#REF!</definedName>
    <definedName name="__ANO20">#REF!</definedName>
    <definedName name="__ANO21">#REF!</definedName>
    <definedName name="__ANO22">#REF!</definedName>
    <definedName name="__ANO23">#REF!</definedName>
    <definedName name="__ANO24">#REF!</definedName>
    <definedName name="__ANO3">#REF!</definedName>
    <definedName name="__ANO4">#REF!</definedName>
    <definedName name="__ANO5">#REF!</definedName>
    <definedName name="__ANO6">#REF!</definedName>
    <definedName name="__ANO7">#REF!</definedName>
    <definedName name="__ANO8">#REF!</definedName>
    <definedName name="__ANO9">#REF!</definedName>
    <definedName name="__Ant3" hidden="1">{"'banner (abr)'!$A$14:$G$22"}</definedName>
    <definedName name="__API93">#REF!</definedName>
    <definedName name="__APU221">#REF!</definedName>
    <definedName name="__APU465">#REF!</definedName>
    <definedName name="__b2" hidden="1">{"TAB1",#N/A,TRUE,"GENERAL";"TAB2",#N/A,TRUE,"GENERAL";"TAB3",#N/A,TRUE,"GENERAL";"TAB4",#N/A,TRUE,"GENERAL";"TAB5",#N/A,TRUE,"GENERAL"}</definedName>
    <definedName name="__b3" hidden="1">{"TAB1",#N/A,TRUE,"GENERAL";"TAB2",#N/A,TRUE,"GENERAL";"TAB3",#N/A,TRUE,"GENERAL";"TAB4",#N/A,TRUE,"GENERAL";"TAB5",#N/A,TRUE,"GENERAL"}</definedName>
    <definedName name="__b4" hidden="1">{"TAB1",#N/A,TRUE,"GENERAL";"TAB2",#N/A,TRUE,"GENERAL";"TAB3",#N/A,TRUE,"GENERAL";"TAB4",#N/A,TRUE,"GENERAL";"TAB5",#N/A,TRUE,"GENERAL"}</definedName>
    <definedName name="__b5" hidden="1">{"TAB1",#N/A,TRUE,"GENERAL";"TAB2",#N/A,TRUE,"GENERAL";"TAB3",#N/A,TRUE,"GENERAL";"TAB4",#N/A,TRUE,"GENERAL";"TAB5",#N/A,TRUE,"GENERAL"}</definedName>
    <definedName name="__b6" hidden="1">{"TAB1",#N/A,TRUE,"GENERAL";"TAB2",#N/A,TRUE,"GENERAL";"TAB3",#N/A,TRUE,"GENERAL";"TAB4",#N/A,TRUE,"GENERAL";"TAB5",#N/A,TRUE,"GENERAL"}</definedName>
    <definedName name="__b7" hidden="1">{"via1",#N/A,TRUE,"general";"via2",#N/A,TRUE,"general";"via3",#N/A,TRUE,"general"}</definedName>
    <definedName name="__b8" hidden="1">{"via1",#N/A,TRUE,"general";"via2",#N/A,TRUE,"general";"via3",#N/A,TRUE,"general"}</definedName>
    <definedName name="__bb9" hidden="1">{"TAB1",#N/A,TRUE,"GENERAL";"TAB2",#N/A,TRUE,"GENERAL";"TAB3",#N/A,TRUE,"GENERAL";"TAB4",#N/A,TRUE,"GENERAL";"TAB5",#N/A,TRUE,"GENERAL"}</definedName>
    <definedName name="__bgb5" hidden="1">{"TAB1",#N/A,TRUE,"GENERAL";"TAB2",#N/A,TRUE,"GENERAL";"TAB3",#N/A,TRUE,"GENERAL";"TAB4",#N/A,TRUE,"GENERAL";"TAB5",#N/A,TRUE,"GENERAL"}</definedName>
    <definedName name="__BGC1">#REF!</definedName>
    <definedName name="__BGC3">#REF!</definedName>
    <definedName name="__BGC5">#REF!</definedName>
    <definedName name="__BRI10">#REF!</definedName>
    <definedName name="__BRI12">#REF!</definedName>
    <definedName name="__BRI3">#REF!</definedName>
    <definedName name="__BRI4">#REF!</definedName>
    <definedName name="__BRI6">#REF!</definedName>
    <definedName name="__BRI8">#REF!</definedName>
    <definedName name="__CAC1">#REF!</definedName>
    <definedName name="__CAC3">#REF!</definedName>
    <definedName name="__CAC5">#REF!</definedName>
    <definedName name="__cc1" hidden="1">{"DETALLE_1996",#N/A,FALSE,"flujo";"DETALLE_1997",#N/A,FALSE,"flujo";"GASTOS_INCURRIDOS_1996",#N/A,FALSE,"flujo";"GASTOS_PROGRAMADOS_PARA_1997",#N/A,FALSE,"flujo";#N/A,#N/A,FALSE,"comparat";#N/A,#N/A,FALSE,"costos";#N/A,#N/A,FALSE,"proyctrol"}</definedName>
    <definedName name="__CMU005" hidden="1">#REF!</definedName>
    <definedName name="__CMY07">#REF!</definedName>
    <definedName name="__CMY08">#REF!</definedName>
    <definedName name="__CMY09">#REF!</definedName>
    <definedName name="__CMY10">#REF!</definedName>
    <definedName name="__CMY11">#REF!</definedName>
    <definedName name="__CMY12">#REF!</definedName>
    <definedName name="__CMY13">#REF!</definedName>
    <definedName name="__CMY14">#REF!</definedName>
    <definedName name="__CMY15">#REF!</definedName>
    <definedName name="__CMY16">#REF!</definedName>
    <definedName name="__CMY17">#REF!</definedName>
    <definedName name="__CMY18">#REF!</definedName>
    <definedName name="__CMY19">#REF!</definedName>
    <definedName name="__CMY20">#REF!</definedName>
    <definedName name="__COD906">#REF!</definedName>
    <definedName name="__cp92000" hidden="1">{#N/A,#N/A,TRUE,"Caps1-5";#N/A,#N/A,TRUE,"Cap6";#N/A,#N/A,TRUE,"Caps7-8";#N/A,#N/A,TRUE,"Cap9-Resumo";#N/A,#N/A,TRUE,"Cap9-Det-2000";#N/A,#N/A,TRUE,"Cap9-Det-2001";#N/A,#N/A,TRUE,"Caps10-11"}</definedName>
    <definedName name="__dc2" hidden="1">{"myview",#N/A,FALSE,"96T6"}</definedName>
    <definedName name="__DEC93">#REF!</definedName>
    <definedName name="__df2" hidden="1">{"CONSEJO",#N/A,FALSE,"Dist p0";"CONSEJO",#N/A,FALSE,"Ficha CODICE"}</definedName>
    <definedName name="__dvr4" hidden="1">{#N/A,#N/A,FALSE,"SMT1";#N/A,#N/A,FALSE,"SMT2";#N/A,#N/A,FALSE,"Summary";#N/A,#N/A,FALSE,"Graphs";#N/A,#N/A,FALSE,"4 Panel"}</definedName>
    <definedName name="__E1" hidden="1">{#N/A,#N/A,FALSE,"KMC최종회의(7월) 자료"}</definedName>
    <definedName name="__E2" hidden="1">{#N/A,#N/A,FALSE,"KMC최종회의(7월) 자료"}</definedName>
    <definedName name="__e3" hidden="1">{#N/A,#N/A,FALSE,"단축1";#N/A,#N/A,FALSE,"단축2";#N/A,#N/A,FALSE,"단축3";#N/A,#N/A,FALSE,"장축";#N/A,#N/A,FALSE,"4WD"}</definedName>
    <definedName name="__e4" hidden="1">{#N/A,#N/A,FALSE,"단축1";#N/A,#N/A,FALSE,"단축2";#N/A,#N/A,FALSE,"단축3";#N/A,#N/A,FALSE,"장축";#N/A,#N/A,FALSE,"4WD"}</definedName>
    <definedName name="__e5" hidden="1">{#N/A,#N/A,FALSE,"단축1";#N/A,#N/A,FALSE,"단축2";#N/A,#N/A,FALSE,"단축3";#N/A,#N/A,FALSE,"장축";#N/A,#N/A,FALSE,"4WD"}</definedName>
    <definedName name="__e6" hidden="1">{#N/A,#N/A,FALSE,"단축1";#N/A,#N/A,FALSE,"단축2";#N/A,#N/A,FALSE,"단축3";#N/A,#N/A,FALSE,"장축";#N/A,#N/A,FALSE,"4WD"}</definedName>
    <definedName name="__e7" hidden="1">{#N/A,#N/A,FALSE,"신규dep";#N/A,#N/A,FALSE,"신규dep-금형상각후";#N/A,#N/A,FALSE,"신규dep-연구비상각후";#N/A,#N/A,FALSE,"신규dep-기계,공구상각후"}</definedName>
    <definedName name="__e8" hidden="1">{#N/A,#N/A,FALSE,"신규dep";#N/A,#N/A,FALSE,"신규dep-금형상각후";#N/A,#N/A,FALSE,"신규dep-연구비상각후";#N/A,#N/A,FALSE,"신규dep-기계,공구상각후"}</definedName>
    <definedName name="__e9" hidden="1">{#N/A,#N/A,FALSE,"단축1";#N/A,#N/A,FALSE,"단축2";#N/A,#N/A,FALSE,"단축3";#N/A,#N/A,FALSE,"장축";#N/A,#N/A,FALSE,"4WD"}</definedName>
    <definedName name="__ECA2" hidden="1">{"EVA",#N/A,FALSE,"SMT2";#N/A,#N/A,FALSE,"Summary";#N/A,#N/A,FALSE,"Graphs";#N/A,#N/A,FALSE,"4 Panel"}</definedName>
    <definedName name="__EST1">#REF!</definedName>
    <definedName name="__EST10">#REF!</definedName>
    <definedName name="__EST11">#REF!</definedName>
    <definedName name="__EST12">#REF!</definedName>
    <definedName name="__EST13">#REF!</definedName>
    <definedName name="__EST14">#REF!</definedName>
    <definedName name="__EST15">#REF!</definedName>
    <definedName name="__EST16">#REF!</definedName>
    <definedName name="__EST17">#REF!</definedName>
    <definedName name="__EST18">#REF!</definedName>
    <definedName name="__EST19">#REF!</definedName>
    <definedName name="__EST2">#REF!</definedName>
    <definedName name="__EST3">#REF!</definedName>
    <definedName name="__EST4">#REF!</definedName>
    <definedName name="__EST5">#REF!</definedName>
    <definedName name="__EST6">#REF!</definedName>
    <definedName name="__EST7">#REF!</definedName>
    <definedName name="__EST8">#REF!</definedName>
    <definedName name="__EST9">#REF!</definedName>
    <definedName name="__EXC1">#REF!</definedName>
    <definedName name="__EXC10">#REF!</definedName>
    <definedName name="__EXC11">#REF!</definedName>
    <definedName name="__EXC12">#REF!</definedName>
    <definedName name="__EXC2">#REF!</definedName>
    <definedName name="__EXC3">#REF!</definedName>
    <definedName name="__EXC4">#REF!</definedName>
    <definedName name="__EXC5">#REF!</definedName>
    <definedName name="__EXC6">#REF!</definedName>
    <definedName name="__EXC7">#REF!</definedName>
    <definedName name="__EXC8">#REF!</definedName>
    <definedName name="__EXC9">#REF!</definedName>
    <definedName name="__F" hidden="1">{"krl1",#N/A,FALSE,"kr";"krl2",#N/A,FALSE,"kr";"compara",#N/A,FALSE,"kr";"desconp1",#N/A,FALSE,"kr";"desconp12",#N/A,FALSE,"kr";"krnp1",#N/A,FALSE,"kr";"krnp2",#N/A,FALSE,"kr";"krp12avg",#N/A,FALSE,"kr";"krp1avg",#N/A,FALSE,"kr"}</definedName>
    <definedName name="__F263k113">#REF!</definedName>
    <definedName name="__FC" hidden="1">{"DETALLE_1996",#N/A,FALSE,"flujo";"DETALLE_1997",#N/A,FALSE,"flujo";"GASTOS_INCURRIDOS_1996",#N/A,FALSE,"flujo";"GASTOS_PROGRAMADOS_PARA_1997",#N/A,FALSE,"flujo";#N/A,#N/A,FALSE,"comparat";#N/A,#N/A,FALSE,"costos";#N/A,#N/A,FALSE,"proyctrol"}</definedName>
    <definedName name="__FDS_HYPERLINK_TOGGLE_STATE__" hidden="1">"ON"</definedName>
    <definedName name="__FDS_UNIQUE_RANGE_ID_GENERATOR_COUNTER" hidden="1">79</definedName>
    <definedName name="__FHE7" hidden="1">{#N/A,#N/A,FALSE,"masez (10)";#N/A,#N/A,FALSE,"masez (7)";#N/A,#N/A,FALSE,"masez (6)";#N/A,#N/A,FALSE,"masez (5)";#N/A,#N/A,FALSE,"masez (4)";#N/A,#N/A,FALSE,"masez (3)";#N/A,#N/A,FALSE,"masez (2)";#N/A,#N/A,FALSE,"GME";#N/A,#N/A,FALSE,"masez"}</definedName>
    <definedName name="__G1">#N/A</definedName>
    <definedName name="__g2" hidden="1">{"TAB1",#N/A,TRUE,"GENERAL";"TAB2",#N/A,TRUE,"GENERAL";"TAB3",#N/A,TRUE,"GENERAL";"TAB4",#N/A,TRUE,"GENERAL";"TAB5",#N/A,TRUE,"GENERAL"}</definedName>
    <definedName name="__g3" hidden="1">{"via1",#N/A,TRUE,"general";"via2",#N/A,TRUE,"general";"via3",#N/A,TRUE,"general"}</definedName>
    <definedName name="__g4" hidden="1">{"via1",#N/A,TRUE,"general";"via2",#N/A,TRUE,"general";"via3",#N/A,TRUE,"general"}</definedName>
    <definedName name="__g5" hidden="1">{"via1",#N/A,TRUE,"general";"via2",#N/A,TRUE,"general";"via3",#N/A,TRUE,"general"}</definedName>
    <definedName name="__g6" hidden="1">{"via1",#N/A,TRUE,"general";"via2",#N/A,TRUE,"general";"via3",#N/A,TRUE,"general"}</definedName>
    <definedName name="__g7" hidden="1">{"TAB1",#N/A,TRUE,"GENERAL";"TAB2",#N/A,TRUE,"GENERAL";"TAB3",#N/A,TRUE,"GENERAL";"TAB4",#N/A,TRUE,"GENERAL";"TAB5",#N/A,TRUE,"GENERAL"}</definedName>
    <definedName name="__GAS11">#REF!</definedName>
    <definedName name="__GAS12">#REF!</definedName>
    <definedName name="__GAS13">#REF!</definedName>
    <definedName name="__GAS14">#REF!</definedName>
    <definedName name="__GAS15">#REF!</definedName>
    <definedName name="__GAS16">#REF!</definedName>
    <definedName name="__GAS17">#REF!</definedName>
    <definedName name="__GAS18">#REF!</definedName>
    <definedName name="__GAS19">#REF!</definedName>
    <definedName name="__GAS2">#REF!</definedName>
    <definedName name="__GAS20">#REF!</definedName>
    <definedName name="__GAS21">#REF!</definedName>
    <definedName name="__GAS22">#REF!</definedName>
    <definedName name="__GAS23">#REF!</definedName>
    <definedName name="__GAS24">#REF!</definedName>
    <definedName name="__GAS3">#REF!</definedName>
    <definedName name="__GAS4">#REF!</definedName>
    <definedName name="__GAS5">#REF!</definedName>
    <definedName name="__GAS6">#REF!</definedName>
    <definedName name="__GAS7">#REF!</definedName>
    <definedName name="__GAS8">#REF!</definedName>
    <definedName name="__GAS9">#REF!</definedName>
    <definedName name="__GR1" hidden="1">{"TAB1",#N/A,TRUE,"GENERAL";"TAB2",#N/A,TRUE,"GENERAL";"TAB3",#N/A,TRUE,"GENERAL";"TAB4",#N/A,TRUE,"GENERAL";"TAB5",#N/A,TRUE,"GENERAL"}</definedName>
    <definedName name="__gtr4" hidden="1">{"via1",#N/A,TRUE,"general";"via2",#N/A,TRUE,"general";"via3",#N/A,TRUE,"general"}</definedName>
    <definedName name="__GW45" hidden="1">{"EVA",#N/A,FALSE,"SMT2";#N/A,#N/A,FALSE,"Summary";#N/A,#N/A,FALSE,"Graphs";#N/A,#N/A,FALSE,"4 Panel"}</definedName>
    <definedName name="__h1" hidden="1">{"'표지'!$B$5"}</definedName>
    <definedName name="__h2" hidden="1">{"via1",#N/A,TRUE,"general";"via2",#N/A,TRUE,"general";"via3",#N/A,TRUE,"general"}</definedName>
    <definedName name="__h3" hidden="1">{"via1",#N/A,TRUE,"general";"via2",#N/A,TRUE,"general";"via3",#N/A,TRUE,"general"}</definedName>
    <definedName name="__h4" hidden="1">{"TAB1",#N/A,TRUE,"GENERAL";"TAB2",#N/A,TRUE,"GENERAL";"TAB3",#N/A,TRUE,"GENERAL";"TAB4",#N/A,TRUE,"GENERAL";"TAB5",#N/A,TRUE,"GENERAL"}</definedName>
    <definedName name="__h5" hidden="1">{"TAB1",#N/A,TRUE,"GENERAL";"TAB2",#N/A,TRUE,"GENERAL";"TAB3",#N/A,TRUE,"GENERAL";"TAB4",#N/A,TRUE,"GENERAL";"TAB5",#N/A,TRUE,"GENERAL"}</definedName>
    <definedName name="__h6" hidden="1">{"via1",#N/A,TRUE,"general";"via2",#N/A,TRUE,"general";"via3",#N/A,TRUE,"general"}</definedName>
    <definedName name="__h7" hidden="1">{"TAB1",#N/A,TRUE,"GENERAL";"TAB2",#N/A,TRUE,"GENERAL";"TAB3",#N/A,TRUE,"GENERAL";"TAB4",#N/A,TRUE,"GENERAL";"TAB5",#N/A,TRUE,"GENERAL"}</definedName>
    <definedName name="__h8" hidden="1">{"via1",#N/A,TRUE,"general";"via2",#N/A,TRUE,"general";"via3",#N/A,TRUE,"general"}</definedName>
    <definedName name="__hfh7" hidden="1">{"via1",#N/A,TRUE,"general";"via2",#N/A,TRUE,"general";"via3",#N/A,TRUE,"general"}</definedName>
    <definedName name="__hhg1" hidden="1">{#N/A,#N/A,TRUE,"1842CWN0"}</definedName>
    <definedName name="__htt1" hidden="1">{"'표지'!$B$5"}</definedName>
    <definedName name="__i1">#REF!</definedName>
    <definedName name="__i4" hidden="1">{"via1",#N/A,TRUE,"general";"via2",#N/A,TRUE,"general";"via3",#N/A,TRUE,"general"}</definedName>
    <definedName name="__i5" hidden="1">{"TAB1",#N/A,TRUE,"GENERAL";"TAB2",#N/A,TRUE,"GENERAL";"TAB3",#N/A,TRUE,"GENERAL";"TAB4",#N/A,TRUE,"GENERAL";"TAB5",#N/A,TRUE,"GENERAL"}</definedName>
    <definedName name="__i6" hidden="1">{"TAB1",#N/A,TRUE,"GENERAL";"TAB2",#N/A,TRUE,"GENERAL";"TAB3",#N/A,TRUE,"GENERAL";"TAB4",#N/A,TRUE,"GENERAL";"TAB5",#N/A,TRUE,"GENERAL"}</definedName>
    <definedName name="__i7" hidden="1">{"via1",#N/A,TRUE,"general";"via2",#N/A,TRUE,"general";"via3",#N/A,TRUE,"general"}</definedName>
    <definedName name="__i77" hidden="1">{"TAB1",#N/A,TRUE,"GENERAL";"TAB2",#N/A,TRUE,"GENERAL";"TAB3",#N/A,TRUE,"GENERAL";"TAB4",#N/A,TRUE,"GENERAL";"TAB5",#N/A,TRUE,"GENERAL"}</definedName>
    <definedName name="__i8" hidden="1">{"via1",#N/A,TRUE,"general";"via2",#N/A,TRUE,"general";"via3",#N/A,TRUE,"general"}</definedName>
    <definedName name="__i9" hidden="1">{"TAB1",#N/A,TRUE,"GENERAL";"TAB2",#N/A,TRUE,"GENERAL";"TAB3",#N/A,TRUE,"GENERAL";"TAB4",#N/A,TRUE,"GENERAL";"TAB5",#N/A,TRUE,"GENERAL"}</definedName>
    <definedName name="__IntlFixup" hidden="1">TRUE</definedName>
    <definedName name="__ipc1">#REF!</definedName>
    <definedName name="__IPC2002">#REF!</definedName>
    <definedName name="__jy5" hidden="1">{#N/A,#N/A,FALSE,"masez (10)";#N/A,#N/A,FALSE,"masez (7)";#N/A,#N/A,FALSE,"masez (6)";#N/A,#N/A,FALSE,"masez (5)";#N/A,#N/A,FALSE,"masez (4)";#N/A,#N/A,FALSE,"masez (3)";#N/A,#N/A,FALSE,"masez (2)";#N/A,#N/A,FALSE,"GME";#N/A,#N/A,FALSE,"masez"}</definedName>
    <definedName name="__k3" hidden="1">{"TAB1",#N/A,TRUE,"GENERAL";"TAB2",#N/A,TRUE,"GENERAL";"TAB3",#N/A,TRUE,"GENERAL";"TAB4",#N/A,TRUE,"GENERAL";"TAB5",#N/A,TRUE,"GENERAL"}</definedName>
    <definedName name="__k4" hidden="1">{"via1",#N/A,TRUE,"general";"via2",#N/A,TRUE,"general";"via3",#N/A,TRUE,"general"}</definedName>
    <definedName name="__k5" hidden="1">{"via1",#N/A,TRUE,"general";"via2",#N/A,TRUE,"general";"via3",#N/A,TRUE,"general"}</definedName>
    <definedName name="__k6" hidden="1">{"TAB1",#N/A,TRUE,"GENERAL";"TAB2",#N/A,TRUE,"GENERAL";"TAB3",#N/A,TRUE,"GENERAL";"TAB4",#N/A,TRUE,"GENERAL";"TAB5",#N/A,TRUE,"GENERAL"}</definedName>
    <definedName name="__k7" hidden="1">{"via1",#N/A,TRUE,"general";"via2",#N/A,TRUE,"general";"via3",#N/A,TRUE,"general"}</definedName>
    <definedName name="__k8" hidden="1">{"via1",#N/A,TRUE,"general";"via2",#N/A,TRUE,"general";"via3",#N/A,TRUE,"general"}</definedName>
    <definedName name="__k9" hidden="1">{"TAB1",#N/A,TRUE,"GENERAL";"TAB2",#N/A,TRUE,"GENERAL";"TAB3",#N/A,TRUE,"GENERAL";"TAB4",#N/A,TRUE,"GENERAL";"TAB5",#N/A,TRUE,"GENERAL"}</definedName>
    <definedName name="__key2" hidden="1">#REF!</definedName>
    <definedName name="__key21" hidden="1">#REF!</definedName>
    <definedName name="__key3" hidden="1">#REF!</definedName>
    <definedName name="__key31" hidden="1">#REF!</definedName>
    <definedName name="__kjk6" hidden="1">{"TAB1",#N/A,TRUE,"GENERAL";"TAB2",#N/A,TRUE,"GENERAL";"TAB3",#N/A,TRUE,"GENERAL";"TAB4",#N/A,TRUE,"GENERAL";"TAB5",#N/A,TRUE,"GENERAL"}</definedName>
    <definedName name="__LPS2" hidden="1">{#N/A,#N/A,FALSE,"단축1";#N/A,#N/A,FALSE,"단축2";#N/A,#N/A,FALSE,"단축3";#N/A,#N/A,FALSE,"장축";#N/A,#N/A,FALSE,"4WD"}</definedName>
    <definedName name="__m3" hidden="1">{"via1",#N/A,TRUE,"general";"via2",#N/A,TRUE,"general";"via3",#N/A,TRUE,"general"}</definedName>
    <definedName name="__m4" hidden="1">{"TAB1",#N/A,TRUE,"GENERAL";"TAB2",#N/A,TRUE,"GENERAL";"TAB3",#N/A,TRUE,"GENERAL";"TAB4",#N/A,TRUE,"GENERAL";"TAB5",#N/A,TRUE,"GENERAL"}</definedName>
    <definedName name="__m5" hidden="1">{"via1",#N/A,TRUE,"general";"via2",#N/A,TRUE,"general";"via3",#N/A,TRUE,"general"}</definedName>
    <definedName name="__m6" hidden="1">{"TAB1",#N/A,TRUE,"GENERAL";"TAB2",#N/A,TRUE,"GENERAL";"TAB3",#N/A,TRUE,"GENERAL";"TAB4",#N/A,TRUE,"GENERAL";"TAB5",#N/A,TRUE,"GENERAL"}</definedName>
    <definedName name="__m7" hidden="1">{"TAB1",#N/A,TRUE,"GENERAL";"TAB2",#N/A,TRUE,"GENERAL";"TAB3",#N/A,TRUE,"GENERAL";"TAB4",#N/A,TRUE,"GENERAL";"TAB5",#N/A,TRUE,"GENERAL"}</definedName>
    <definedName name="__m8" hidden="1">{"via1",#N/A,TRUE,"general";"via2",#N/A,TRUE,"general";"via3",#N/A,TRUE,"general"}</definedName>
    <definedName name="__m9" hidden="1">{"via1",#N/A,TRUE,"general";"via2",#N/A,TRUE,"general";"via3",#N/A,TRUE,"general"}</definedName>
    <definedName name="__MA2">#REF!</definedName>
    <definedName name="__MIP10" hidden="1">{#N/A,#N/A,FALSE,"단축1";#N/A,#N/A,FALSE,"단축2";#N/A,#N/A,FALSE,"단축3";#N/A,#N/A,FALSE,"장축";#N/A,#N/A,FALSE,"4WD"}</definedName>
    <definedName name="__MIP2" hidden="1">{#N/A,#N/A,FALSE,"단축1";#N/A,#N/A,FALSE,"단축2";#N/A,#N/A,FALSE,"단축3";#N/A,#N/A,FALSE,"장축";#N/A,#N/A,FALSE,"4WD"}</definedName>
    <definedName name="__mo1">#REF!</definedName>
    <definedName name="__MOR15">#REF!</definedName>
    <definedName name="__n3" hidden="1">{"TAB1",#N/A,TRUE,"GENERAL";"TAB2",#N/A,TRUE,"GENERAL";"TAB3",#N/A,TRUE,"GENERAL";"TAB4",#N/A,TRUE,"GENERAL";"TAB5",#N/A,TRUE,"GENERAL"}</definedName>
    <definedName name="__n4" hidden="1">{"via1",#N/A,TRUE,"general";"via2",#N/A,TRUE,"general";"via3",#N/A,TRUE,"general"}</definedName>
    <definedName name="__n5" hidden="1">{"TAB1",#N/A,TRUE,"GENERAL";"TAB2",#N/A,TRUE,"GENERAL";"TAB3",#N/A,TRUE,"GENERAL";"TAB4",#N/A,TRUE,"GENERAL";"TAB5",#N/A,TRUE,"GENERAL"}</definedName>
    <definedName name="__NA11" hidden="1">{#N/A,#N/A,FALSE,"단축1";#N/A,#N/A,FALSE,"단축2";#N/A,#N/A,FALSE,"단축3";#N/A,#N/A,FALSE,"장축";#N/A,#N/A,FALSE,"4WD"}</definedName>
    <definedName name="__new1" hidden="1">{#N/A,#N/A,FALSE,"SMT1";#N/A,#N/A,FALSE,"SMT2";#N/A,#N/A,FALSE,"Summary";#N/A,#N/A,FALSE,"Graphs";#N/A,#N/A,FALSE,"4 Panel"}</definedName>
    <definedName name="__new10" hidden="1">{#N/A,#N/A,FALSE,"SMT1";#N/A,#N/A,FALSE,"SMT2";#N/A,#N/A,FALSE,"Summary";#N/A,#N/A,FALSE,"Graphs";#N/A,#N/A,FALSE,"4 Panel"}</definedName>
    <definedName name="__new2" hidden="1">{"EVA",#N/A,FALSE,"SMT2";#N/A,#N/A,FALSE,"Summary";#N/A,#N/A,FALSE,"Graphs";#N/A,#N/A,FALSE,"4 Panel"}</definedName>
    <definedName name="__NEW3" hidden="1">{#N/A,#N/A,FALSE,"SMT1";#N/A,#N/A,FALSE,"SMT2";#N/A,#N/A,FALSE,"Summary";#N/A,#N/A,FALSE,"Graphs";#N/A,#N/A,FALSE,"4 Panel"}</definedName>
    <definedName name="__NEW4" hidden="1">{#N/A,#N/A,FALSE,"Full";#N/A,#N/A,FALSE,"Half";#N/A,#N/A,FALSE,"Op Expenses";#N/A,#N/A,FALSE,"Cap Charge";#N/A,#N/A,FALSE,"Cost C";#N/A,#N/A,FALSE,"PP&amp;E";#N/A,#N/A,FALSE,"R&amp;D"}</definedName>
    <definedName name="__no1" hidden="1">{#N/A,#N/A,FALSE,"SMT1";#N/A,#N/A,FALSE,"SMT2";#N/A,#N/A,FALSE,"Summary";#N/A,#N/A,FALSE,"Graphs";#N/A,#N/A,FALSE,"4 Panel"}</definedName>
    <definedName name="__no10" hidden="1">{#N/A,#N/A,FALSE,"SMT1";#N/A,#N/A,FALSE,"SMT2";#N/A,#N/A,FALSE,"Summary";#N/A,#N/A,FALSE,"Graphs";#N/A,#N/A,FALSE,"4 Panel"}</definedName>
    <definedName name="__no11" hidden="1">{#N/A,#N/A,FALSE,"Full";#N/A,#N/A,FALSE,"Half";#N/A,#N/A,FALSE,"Op Expenses";#N/A,#N/A,FALSE,"Cap Charge";#N/A,#N/A,FALSE,"Cost C";#N/A,#N/A,FALSE,"PP&amp;E";#N/A,#N/A,FALSE,"R&amp;D"}</definedName>
    <definedName name="__no12" hidden="1">{#N/A,#N/A,FALSE,"SMT1";#N/A,#N/A,FALSE,"SMT2";#N/A,#N/A,FALSE,"Summary";#N/A,#N/A,FALSE,"Graphs";#N/A,#N/A,FALSE,"4 Panel"}</definedName>
    <definedName name="__no13" hidden="1">{"EVA",#N/A,FALSE,"SMT2";#N/A,#N/A,FALSE,"Summary";#N/A,#N/A,FALSE,"Graphs";#N/A,#N/A,FALSE,"4 Panel"}</definedName>
    <definedName name="__no14" hidden="1">{#N/A,#N/A,FALSE,"Full";#N/A,#N/A,FALSE,"Half";#N/A,#N/A,FALSE,"Op Expenses";#N/A,#N/A,FALSE,"Cap Charge";#N/A,#N/A,FALSE,"Cost C";#N/A,#N/A,FALSE,"PP&amp;E";#N/A,#N/A,FALSE,"R&amp;D"}</definedName>
    <definedName name="__no2" hidden="1">{"EVA",#N/A,FALSE,"SMT2";#N/A,#N/A,FALSE,"Summary";#N/A,#N/A,FALSE,"Graphs";#N/A,#N/A,FALSE,"4 Panel"}</definedName>
    <definedName name="__no3" hidden="1">{#N/A,#N/A,FALSE,"SMT1";#N/A,#N/A,FALSE,"SMT2";#N/A,#N/A,FALSE,"Summary";#N/A,#N/A,FALSE,"Graphs";#N/A,#N/A,FALSE,"4 Panel"}</definedName>
    <definedName name="__no4" hidden="1">{#N/A,#N/A,FALSE,"SMT1";#N/A,#N/A,FALSE,"SMT2";#N/A,#N/A,FALSE,"Summary";#N/A,#N/A,FALSE,"Graphs";#N/A,#N/A,FALSE,"4 Panel"}</definedName>
    <definedName name="__no5" hidden="1">{#N/A,#N/A,FALSE,"Full";#N/A,#N/A,FALSE,"Half";#N/A,#N/A,FALSE,"Op Expenses";#N/A,#N/A,FALSE,"Cap Charge";#N/A,#N/A,FALSE,"Cost C";#N/A,#N/A,FALSE,"PP&amp;E";#N/A,#N/A,FALSE,"R&amp;D"}</definedName>
    <definedName name="__no6" hidden="1">{"EVA",#N/A,FALSE,"SMT2";#N/A,#N/A,FALSE,"Summary";#N/A,#N/A,FALSE,"Graphs";#N/A,#N/A,FALSE,"4 Panel"}</definedName>
    <definedName name="__no7" hidden="1">{"EVA",#N/A,FALSE,"SMT2";#N/A,#N/A,FALSE,"Summary";#N/A,#N/A,FALSE,"Graphs";#N/A,#N/A,FALSE,"4 Panel"}</definedName>
    <definedName name="__no8" hidden="1">{"EVA",#N/A,FALSE,"SMT2";#N/A,#N/A,FALSE,"Summary";#N/A,#N/A,FALSE,"Graphs";#N/A,#N/A,FALSE,"4 Panel"}</definedName>
    <definedName name="__no9" hidden="1">{"EVA",#N/A,FALSE,"SMT2";#N/A,#N/A,FALSE,"Summary";#N/A,#N/A,FALSE,"Graphs";#N/A,#N/A,FALSE,"4 Panel"}</definedName>
    <definedName name="__nyn7" hidden="1">{"via1",#N/A,TRUE,"general";"via2",#N/A,TRUE,"general";"via3",#N/A,TRUE,"general"}</definedName>
    <definedName name="__O11" hidden="1">{#N/A,#N/A,FALSE,"단축1";#N/A,#N/A,FALSE,"단축2";#N/A,#N/A,FALSE,"단축3";#N/A,#N/A,FALSE,"장축";#N/A,#N/A,FALSE,"4WD"}</definedName>
    <definedName name="__o4" hidden="1">{"via1",#N/A,TRUE,"general";"via2",#N/A,TRUE,"general";"via3",#N/A,TRUE,"general"}</definedName>
    <definedName name="__o5" hidden="1">{"TAB1",#N/A,TRUE,"GENERAL";"TAB2",#N/A,TRUE,"GENERAL";"TAB3",#N/A,TRUE,"GENERAL";"TAB4",#N/A,TRUE,"GENERAL";"TAB5",#N/A,TRUE,"GENERAL"}</definedName>
    <definedName name="__o6" hidden="1">{"TAB1",#N/A,TRUE,"GENERAL";"TAB2",#N/A,TRUE,"GENERAL";"TAB3",#N/A,TRUE,"GENERAL";"TAB4",#N/A,TRUE,"GENERAL";"TAB5",#N/A,TRUE,"GENERAL"}</definedName>
    <definedName name="__o7" hidden="1">{"TAB1",#N/A,TRUE,"GENERAL";"TAB2",#N/A,TRUE,"GENERAL";"TAB3",#N/A,TRUE,"GENERAL";"TAB4",#N/A,TRUE,"GENERAL";"TAB5",#N/A,TRUE,"GENERAL"}</definedName>
    <definedName name="__o8" hidden="1">{"via1",#N/A,TRUE,"general";"via2",#N/A,TRUE,"general";"via3",#N/A,TRUE,"general"}</definedName>
    <definedName name="__o9" hidden="1">{"TAB1",#N/A,TRUE,"GENERAL";"TAB2",#N/A,TRUE,"GENERAL";"TAB3",#N/A,TRUE,"GENERAL";"TAB4",#N/A,TRUE,"GENERAL";"TAB5",#N/A,TRUE,"GENERAL"}</definedName>
    <definedName name="__oa55">#REF!</definedName>
    <definedName name="__P2" hidden="1">{#N/A,#N/A,FALSE,"단축1";#N/A,#N/A,FALSE,"단축2";#N/A,#N/A,FALSE,"단축3";#N/A,#N/A,FALSE,"장축";#N/A,#N/A,FALSE,"4WD"}</definedName>
    <definedName name="__P3" hidden="1">{#N/A,#N/A,FALSE,"단축1";#N/A,#N/A,FALSE,"단축2";#N/A,#N/A,FALSE,"단축3";#N/A,#N/A,FALSE,"장축";#N/A,#N/A,FALSE,"4WD"}</definedName>
    <definedName name="__p6" hidden="1">{"via1",#N/A,TRUE,"general";"via2",#N/A,TRUE,"general";"via3",#N/A,TRUE,"general"}</definedName>
    <definedName name="__p7" hidden="1">{"via1",#N/A,TRUE,"general";"via2",#N/A,TRUE,"general";"via3",#N/A,TRUE,"general"}</definedName>
    <definedName name="__p8" hidden="1">{"TAB1",#N/A,TRUE,"GENERAL";"TAB2",#N/A,TRUE,"GENERAL";"TAB3",#N/A,TRUE,"GENERAL";"TAB4",#N/A,TRUE,"GENERAL";"TAB5",#N/A,TRUE,"GENERAL"}</definedName>
    <definedName name="__PJ50">#REF!</definedName>
    <definedName name="__pj51">#REF!</definedName>
    <definedName name="__Q1" hidden="1">{#N/A,#N/A,FALSE,"KMC최종회의(7월) 자료"}</definedName>
    <definedName name="__Q2" hidden="1">{#N/A,#N/A,FALSE,"KMC최종회의(7월) 자료"}</definedName>
    <definedName name="__Q3" hidden="1">{#N/A,#N/A,FALSE,"KMC최종회의(7월) 자료"}</definedName>
    <definedName name="__Q5" hidden="1">{#N/A,#N/A,FALSE,"KMC최종회의(7월) 자료"}</definedName>
    <definedName name="__q6" hidden="1">{#N/A,#N/A,FALSE,"신규dep";#N/A,#N/A,FALSE,"신규dep-금형상각후";#N/A,#N/A,FALSE,"신규dep-연구비상각후";#N/A,#N/A,FALSE,"신규dep-기계,공구상각후"}</definedName>
    <definedName name="__Q7" hidden="1">{#N/A,#N/A,FALSE,"KMC최종회의(7월) 자료"}</definedName>
    <definedName name="__Q8" hidden="1">{#N/A,#N/A,FALSE,"KMC최종회의(7월) 자료"}</definedName>
    <definedName name="__Q9" hidden="1">{#N/A,#N/A,FALSE,"KMC최종회의(7월) 자료"}</definedName>
    <definedName name="__QA1" hidden="1">#REF!</definedName>
    <definedName name="__r" hidden="1">{"TAB1",#N/A,TRUE,"GENERAL";"TAB2",#N/A,TRUE,"GENERAL";"TAB3",#N/A,TRUE,"GENERAL";"TAB4",#N/A,TRUE,"GENERAL";"TAB5",#N/A,TRUE,"GENERAL"}</definedName>
    <definedName name="__r4r" hidden="1">{"via1",#N/A,TRUE,"general";"via2",#N/A,TRUE,"general";"via3",#N/A,TRUE,"general"}</definedName>
    <definedName name="__RAM1">#REF!</definedName>
    <definedName name="__RET1">#REF!</definedName>
    <definedName name="__RET2">#REF!</definedName>
    <definedName name="__RET3">#REF!</definedName>
    <definedName name="__RET4">#REF!</definedName>
    <definedName name="__RET5">#REF!</definedName>
    <definedName name="__RET6">#REF!</definedName>
    <definedName name="__REV1" hidden="1">{"Graf_Carga Trab",#N/A,FALSE,"Grafi_Carga Trab";"Graf_Venta Flujo",#N/A,FALSE,"Grafi_Carga Trab"}</definedName>
    <definedName name="__REV11" hidden="1">{"Graf_Carga Trab",#N/A,FALSE,"Grafi_Carga Trab";"Graf_Venta Flujo",#N/A,FALSE,"Grafi_Carga Trab"}</definedName>
    <definedName name="__rtu6" hidden="1">{"via1",#N/A,TRUE,"general";"via2",#N/A,TRUE,"general";"via3",#N/A,TRUE,"general"}</definedName>
    <definedName name="__s1" hidden="1">{"via1",#N/A,TRUE,"general";"via2",#N/A,TRUE,"general";"via3",#N/A,TRUE,"general"}</definedName>
    <definedName name="__s2" hidden="1">{"TAB1",#N/A,TRUE,"GENERAL";"TAB2",#N/A,TRUE,"GENERAL";"TAB3",#N/A,TRUE,"GENERAL";"TAB4",#N/A,TRUE,"GENERAL";"TAB5",#N/A,TRUE,"GENERAL"}</definedName>
    <definedName name="__s3" hidden="1">{"TAB1",#N/A,TRUE,"GENERAL";"TAB2",#N/A,TRUE,"GENERAL";"TAB3",#N/A,TRUE,"GENERAL";"TAB4",#N/A,TRUE,"GENERAL";"TAB5",#N/A,TRUE,"GENERAL"}</definedName>
    <definedName name="__s4" hidden="1">{"via1",#N/A,TRUE,"general";"via2",#N/A,TRUE,"general";"via3",#N/A,TRUE,"general"}</definedName>
    <definedName name="__s5" hidden="1">{"via1",#N/A,TRUE,"general";"via2",#N/A,TRUE,"general";"via3",#N/A,TRUE,"general"}</definedName>
    <definedName name="__s6" hidden="1">{"TAB1",#N/A,TRUE,"GENERAL";"TAB2",#N/A,TRUE,"GENERAL";"TAB3",#N/A,TRUE,"GENERAL";"TAB4",#N/A,TRUE,"GENERAL";"TAB5",#N/A,TRUE,"GENERAL"}</definedName>
    <definedName name="__s7" hidden="1">{"via1",#N/A,TRUE,"general";"via2",#N/A,TRUE,"general";"via3",#N/A,TRUE,"general"}</definedName>
    <definedName name="__S8" hidden="1">{#N/A,#N/A,FALSE,"KMC최종회의(7월) 자료"}</definedName>
    <definedName name="__SBC1">#REF!</definedName>
    <definedName name="__SBC3">#REF!</definedName>
    <definedName name="__SBC5">#REF!</definedName>
    <definedName name="__T2" hidden="1">{#N/A,#N/A,FALSE,"단축1";#N/A,#N/A,FALSE,"단축2";#N/A,#N/A,FALSE,"단축3";#N/A,#N/A,FALSE,"장축";#N/A,#N/A,FALSE,"4WD"}</definedName>
    <definedName name="__t3" hidden="1">{"TAB1",#N/A,TRUE,"GENERAL";"TAB2",#N/A,TRUE,"GENERAL";"TAB3",#N/A,TRUE,"GENERAL";"TAB4",#N/A,TRUE,"GENERAL";"TAB5",#N/A,TRUE,"GENERAL"}</definedName>
    <definedName name="__t4" hidden="1">{"via1",#N/A,TRUE,"general";"via2",#N/A,TRUE,"general";"via3",#N/A,TRUE,"general"}</definedName>
    <definedName name="__t5" hidden="1">{"TAB1",#N/A,TRUE,"GENERAL";"TAB2",#N/A,TRUE,"GENERAL";"TAB3",#N/A,TRUE,"GENERAL";"TAB4",#N/A,TRUE,"GENERAL";"TAB5",#N/A,TRUE,"GENERAL"}</definedName>
    <definedName name="__t6" hidden="1">{"via1",#N/A,TRUE,"general";"via2",#N/A,TRUE,"general";"via3",#N/A,TRUE,"general"}</definedName>
    <definedName name="__t66" hidden="1">{"TAB1",#N/A,TRUE,"GENERAL";"TAB2",#N/A,TRUE,"GENERAL";"TAB3",#N/A,TRUE,"GENERAL";"TAB4",#N/A,TRUE,"GENERAL";"TAB5",#N/A,TRUE,"GENERAL"}</definedName>
    <definedName name="__t7" hidden="1">{"via1",#N/A,TRUE,"general";"via2",#N/A,TRUE,"general";"via3",#N/A,TRUE,"general"}</definedName>
    <definedName name="__t77" hidden="1">{"TAB1",#N/A,TRUE,"GENERAL";"TAB2",#N/A,TRUE,"GENERAL";"TAB3",#N/A,TRUE,"GENERAL";"TAB4",#N/A,TRUE,"GENERAL";"TAB5",#N/A,TRUE,"GENERAL"}</definedName>
    <definedName name="__t8" hidden="1">{"TAB1",#N/A,TRUE,"GENERAL";"TAB2",#N/A,TRUE,"GENERAL";"TAB3",#N/A,TRUE,"GENERAL";"TAB4",#N/A,TRUE,"GENERAL";"TAB5",#N/A,TRUE,"GENERAL"}</definedName>
    <definedName name="__t88" hidden="1">{"via1",#N/A,TRUE,"general";"via2",#N/A,TRUE,"general";"via3",#N/A,TRUE,"general"}</definedName>
    <definedName name="__t9" hidden="1">{"TAB1",#N/A,TRUE,"GENERAL";"TAB2",#N/A,TRUE,"GENERAL";"TAB3",#N/A,TRUE,"GENERAL";"TAB4",#N/A,TRUE,"GENERAL";"TAB5",#N/A,TRUE,"GENERAL"}</definedName>
    <definedName name="__t99" hidden="1">{"via1",#N/A,TRUE,"general";"via2",#N/A,TRUE,"general";"via3",#N/A,TRUE,"general"}</definedName>
    <definedName name="__tab1">#REF!</definedName>
    <definedName name="__tab2">#REF!</definedName>
    <definedName name="__tab3">#REF!</definedName>
    <definedName name="__TAB4">#REF!</definedName>
    <definedName name="__tb2" hidden="1">{#N/A,#N/A,FALSE,"단축1";#N/A,#N/A,FALSE,"단축2";#N/A,#N/A,FALSE,"단축3";#N/A,#N/A,FALSE,"장축";#N/A,#N/A,FALSE,"4WD"}</definedName>
    <definedName name="__TBG3" hidden="1">{#N/A,#N/A,FALSE,"CIBHA05A";#N/A,#N/A,FALSE,"CIBHA05B"}</definedName>
    <definedName name="__TEE10">#REF!</definedName>
    <definedName name="__TEE6">#REF!</definedName>
    <definedName name="__TOT1">#REF!</definedName>
    <definedName name="__TUB10">#REF!</definedName>
    <definedName name="__TUB12">#REF!</definedName>
    <definedName name="__TUB3">#REF!</definedName>
    <definedName name="__TUB6">#REF!</definedName>
    <definedName name="__TUB8">#REF!</definedName>
    <definedName name="__tyl2" hidden="1">{#N/A,#N/A,FALSE,"masez (10)";#N/A,#N/A,FALSE,"masez (7)";#N/A,#N/A,FALSE,"masez (6)";#N/A,#N/A,FALSE,"masez (5)";#N/A,#N/A,FALSE,"masez (4)";#N/A,#N/A,FALSE,"masez (3)";#N/A,#N/A,FALSE,"masez (2)";#N/A,#N/A,FALSE,"GME";#N/A,#N/A,FALSE,"masez"}</definedName>
    <definedName name="__u4" hidden="1">{"TAB1",#N/A,TRUE,"GENERAL";"TAB2",#N/A,TRUE,"GENERAL";"TAB3",#N/A,TRUE,"GENERAL";"TAB4",#N/A,TRUE,"GENERAL";"TAB5",#N/A,TRUE,"GENERAL"}</definedName>
    <definedName name="__u5" hidden="1">{"TAB1",#N/A,TRUE,"GENERAL";"TAB2",#N/A,TRUE,"GENERAL";"TAB3",#N/A,TRUE,"GENERAL";"TAB4",#N/A,TRUE,"GENERAL";"TAB5",#N/A,TRUE,"GENERAL"}</definedName>
    <definedName name="__u6" hidden="1">{"TAB1",#N/A,TRUE,"GENERAL";"TAB2",#N/A,TRUE,"GENERAL";"TAB3",#N/A,TRUE,"GENERAL";"TAB4",#N/A,TRUE,"GENERAL";"TAB5",#N/A,TRUE,"GENERAL"}</definedName>
    <definedName name="__u7" hidden="1">{"via1",#N/A,TRUE,"general";"via2",#N/A,TRUE,"general";"via3",#N/A,TRUE,"general"}</definedName>
    <definedName name="__u8" hidden="1">{"TAB1",#N/A,TRUE,"GENERAL";"TAB2",#N/A,TRUE,"GENERAL";"TAB3",#N/A,TRUE,"GENERAL";"TAB4",#N/A,TRUE,"GENERAL";"TAB5",#N/A,TRUE,"GENERAL"}</definedName>
    <definedName name="__u9" hidden="1">{"TAB1",#N/A,TRUE,"GENERAL";"TAB2",#N/A,TRUE,"GENERAL";"TAB3",#N/A,TRUE,"GENERAL";"TAB4",#N/A,TRUE,"GENERAL";"TAB5",#N/A,TRUE,"GENERAL"}</definedName>
    <definedName name="__UHO83" hidden="1">{#N/A,#N/A,TRUE,"T1"}</definedName>
    <definedName name="__ur7" hidden="1">{"TAB1",#N/A,TRUE,"GENERAL";"TAB2",#N/A,TRUE,"GENERAL";"TAB3",#N/A,TRUE,"GENERAL";"TAB4",#N/A,TRUE,"GENERAL";"TAB5",#N/A,TRUE,"GENERAL"}</definedName>
    <definedName name="__v1">#N/A</definedName>
    <definedName name="__v2" hidden="1">{"via1",#N/A,TRUE,"general";"via2",#N/A,TRUE,"general";"via3",#N/A,TRUE,"general"}</definedName>
    <definedName name="__v3" hidden="1">{"TAB1",#N/A,TRUE,"GENERAL";"TAB2",#N/A,TRUE,"GENERAL";"TAB3",#N/A,TRUE,"GENERAL";"TAB4",#N/A,TRUE,"GENERAL";"TAB5",#N/A,TRUE,"GENERAL"}</definedName>
    <definedName name="__v4" hidden="1">{"TAB1",#N/A,TRUE,"GENERAL";"TAB2",#N/A,TRUE,"GENERAL";"TAB3",#N/A,TRUE,"GENERAL";"TAB4",#N/A,TRUE,"GENERAL";"TAB5",#N/A,TRUE,"GENERAL"}</definedName>
    <definedName name="__v5" hidden="1">{"TAB1",#N/A,TRUE,"GENERAL";"TAB2",#N/A,TRUE,"GENERAL";"TAB3",#N/A,TRUE,"GENERAL";"TAB4",#N/A,TRUE,"GENERAL";"TAB5",#N/A,TRUE,"GENERAL"}</definedName>
    <definedName name="__v6" hidden="1">{"TAB1",#N/A,TRUE,"GENERAL";"TAB2",#N/A,TRUE,"GENERAL";"TAB3",#N/A,TRUE,"GENERAL";"TAB4",#N/A,TRUE,"GENERAL";"TAB5",#N/A,TRUE,"GENERAL"}</definedName>
    <definedName name="__v7" hidden="1">{"via1",#N/A,TRUE,"general";"via2",#N/A,TRUE,"general";"via3",#N/A,TRUE,"general"}</definedName>
    <definedName name="__v8" hidden="1">{"TAB1",#N/A,TRUE,"GENERAL";"TAB2",#N/A,TRUE,"GENERAL";"TAB3",#N/A,TRUE,"GENERAL";"TAB4",#N/A,TRUE,"GENERAL";"TAB5",#N/A,TRUE,"GENERAL"}</definedName>
    <definedName name="__v9" hidden="1">{"TAB1",#N/A,TRUE,"GENERAL";"TAB2",#N/A,TRUE,"GENERAL";"TAB3",#N/A,TRUE,"GENERAL";"TAB4",#N/A,TRUE,"GENERAL";"TAB5",#N/A,TRUE,"GENERAL"}</definedName>
    <definedName name="__VEX1" hidden="1">{#N/A,#N/A,FALSE,"Costos Contables CIB A 12 1994";#N/A,#N/A,FALSE,"Cuadre Contab. y C. OP"}</definedName>
    <definedName name="__vfv4" hidden="1">{"via1",#N/A,TRUE,"general";"via2",#N/A,TRUE,"general";"via3",#N/A,TRUE,"general"}</definedName>
    <definedName name="__w1">#N/A</definedName>
    <definedName name="__w2">#N/A</definedName>
    <definedName name="__w3">#N/A</definedName>
    <definedName name="__w4">#N/A</definedName>
    <definedName name="__w5">#N/A</definedName>
    <definedName name="__w6" localSheetId="0">Scheduled_Payment+Extra_Payment</definedName>
    <definedName name="__w6">Scheduled_Payment+Extra_Payment</definedName>
    <definedName name="__w7">#N/A</definedName>
    <definedName name="__W8" hidden="1">{#N/A,#N/A,FALSE,"KMC최종회의(7월) 자료"}</definedName>
    <definedName name="__W9" hidden="1">{#N/A,#N/A,FALSE,"KMC최종회의(7월) 자료"}</definedName>
    <definedName name="__WEL124">#REF!</definedName>
    <definedName name="__wrn1" hidden="1">{#N/A,#N/A,TRUE,"Est. de Fact.";#N/A,#N/A,TRUE,"Capitulo 19";#N/A,#N/A,TRUE,"Proyecto P855"}</definedName>
    <definedName name="__WRN2" hidden="1">{#N/A,#N/A,FALSE,"단축1";#N/A,#N/A,FALSE,"단축2";#N/A,#N/A,FALSE,"단축3";#N/A,#N/A,FALSE,"장축";#N/A,#N/A,FALSE,"4WD"}</definedName>
    <definedName name="__x1" hidden="1">{"TAB1",#N/A,TRUE,"GENERAL";"TAB2",#N/A,TRUE,"GENERAL";"TAB3",#N/A,TRUE,"GENERAL";"TAB4",#N/A,TRUE,"GENERAL";"TAB5",#N/A,TRUE,"GENERAL"}</definedName>
    <definedName name="__x2" hidden="1">{"via1",#N/A,TRUE,"general";"via2",#N/A,TRUE,"general";"via3",#N/A,TRUE,"general"}</definedName>
    <definedName name="__x3" hidden="1">{"via1",#N/A,TRUE,"general";"via2",#N/A,TRUE,"general";"via3",#N/A,TRUE,"general"}</definedName>
    <definedName name="__x4" hidden="1">{"via1",#N/A,TRUE,"general";"via2",#N/A,TRUE,"general";"via3",#N/A,TRUE,"general"}</definedName>
    <definedName name="__x5" hidden="1">{"TAB1",#N/A,TRUE,"GENERAL";"TAB2",#N/A,TRUE,"GENERAL";"TAB3",#N/A,TRUE,"GENERAL";"TAB4",#N/A,TRUE,"GENERAL";"TAB5",#N/A,TRUE,"GENERAL"}</definedName>
    <definedName name="__x6" hidden="1">{"TAB1",#N/A,TRUE,"GENERAL";"TAB2",#N/A,TRUE,"GENERAL";"TAB3",#N/A,TRUE,"GENERAL";"TAB4",#N/A,TRUE,"GENERAL";"TAB5",#N/A,TRUE,"GENERAL"}</definedName>
    <definedName name="__x7" hidden="1">{"TAB1",#N/A,TRUE,"GENERAL";"TAB2",#N/A,TRUE,"GENERAL";"TAB3",#N/A,TRUE,"GENERAL";"TAB4",#N/A,TRUE,"GENERAL";"TAB5",#N/A,TRUE,"GENERAL"}</definedName>
    <definedName name="__x8" hidden="1">{"via1",#N/A,TRUE,"general";"via2",#N/A,TRUE,"general";"via3",#N/A,TRUE,"general"}</definedName>
    <definedName name="__x9" hidden="1">{"TAB1",#N/A,TRUE,"GENERAL";"TAB2",#N/A,TRUE,"GENERAL";"TAB3",#N/A,TRUE,"GENERAL";"TAB4",#N/A,TRUE,"GENERAL";"TAB5",#N/A,TRUE,"GENERAL"}</definedName>
    <definedName name="__xl5" hidden="1">{"Actual Equipment",#N/A,FALSE,"BA D5"}</definedName>
    <definedName name="__xlcn.WorksheetConnection_Hoja2AE1" hidden="1">#REF!</definedName>
    <definedName name="__xlcn.WorksheetConnection_Hoja3AE1" hidden="1">#REF!</definedName>
    <definedName name="__xlcn.WorksheetConnection_Hoja3AE11" hidden="1">#REF!</definedName>
    <definedName name="__xlcn.WorksheetConnection_Hoja5AE1" hidden="1">#REF!</definedName>
    <definedName name="__xlcn.WorksheetConnection_OPERAI1" hidden="1">#REF!</definedName>
    <definedName name="__xlcn.WorksheetConnection_PACIFICAI1" hidden="1">#REF!</definedName>
    <definedName name="__xlcn.WorksheetConnection_PACIFICAI11" hidden="1">#REF!</definedName>
    <definedName name="__xlfn.BAHTTEXT" hidden="1">#NAME?</definedName>
    <definedName name="__xz2">#REF!</definedName>
    <definedName name="__y1">#N/A</definedName>
    <definedName name="__y2" hidden="1">{"TAB1",#N/A,TRUE,"GENERAL";"TAB2",#N/A,TRUE,"GENERAL";"TAB3",#N/A,TRUE,"GENERAL";"TAB4",#N/A,TRUE,"GENERAL";"TAB5",#N/A,TRUE,"GENERAL"}</definedName>
    <definedName name="__y3" hidden="1">{"via1",#N/A,TRUE,"general";"via2",#N/A,TRUE,"general";"via3",#N/A,TRUE,"general"}</definedName>
    <definedName name="__y4" hidden="1">{"via1",#N/A,TRUE,"general";"via2",#N/A,TRUE,"general";"via3",#N/A,TRUE,"general"}</definedName>
    <definedName name="__y5" hidden="1">{"TAB1",#N/A,TRUE,"GENERAL";"TAB2",#N/A,TRUE,"GENERAL";"TAB3",#N/A,TRUE,"GENERAL";"TAB4",#N/A,TRUE,"GENERAL";"TAB5",#N/A,TRUE,"GENERAL"}</definedName>
    <definedName name="__y6" hidden="1">{"via1",#N/A,TRUE,"general";"via2",#N/A,TRUE,"general";"via3",#N/A,TRUE,"general"}</definedName>
    <definedName name="__y7" hidden="1">{"via1",#N/A,TRUE,"general";"via2",#N/A,TRUE,"general";"via3",#N/A,TRUE,"general"}</definedName>
    <definedName name="__y8" hidden="1">{"via1",#N/A,TRUE,"general";"via2",#N/A,TRUE,"general";"via3",#N/A,TRUE,"general"}</definedName>
    <definedName name="__y9" hidden="1">{"TAB1",#N/A,TRUE,"GENERAL";"TAB2",#N/A,TRUE,"GENERAL";"TAB3",#N/A,TRUE,"GENERAL";"TAB4",#N/A,TRUE,"GENERAL";"TAB5",#N/A,TRUE,"GENERAL"}</definedName>
    <definedName name="__z1" hidden="1">{"TAB1",#N/A,TRUE,"GENERAL";"TAB2",#N/A,TRUE,"GENERAL";"TAB3",#N/A,TRUE,"GENERAL";"TAB4",#N/A,TRUE,"GENERAL";"TAB5",#N/A,TRUE,"GENERAL"}</definedName>
    <definedName name="__z2" hidden="1">{"via1",#N/A,TRUE,"general";"via2",#N/A,TRUE,"general";"via3",#N/A,TRUE,"general"}</definedName>
    <definedName name="__z3" hidden="1">{"via1",#N/A,TRUE,"general";"via2",#N/A,TRUE,"general";"via3",#N/A,TRUE,"general"}</definedName>
    <definedName name="__z4" hidden="1">{"TAB1",#N/A,TRUE,"GENERAL";"TAB2",#N/A,TRUE,"GENERAL";"TAB3",#N/A,TRUE,"GENERAL";"TAB4",#N/A,TRUE,"GENERAL";"TAB5",#N/A,TRUE,"GENERAL"}</definedName>
    <definedName name="__z5" hidden="1">{"via1",#N/A,TRUE,"general";"via2",#N/A,TRUE,"general";"via3",#N/A,TRUE,"general"}</definedName>
    <definedName name="__z6" hidden="1">{"TAB1",#N/A,TRUE,"GENERAL";"TAB2",#N/A,TRUE,"GENERAL";"TAB3",#N/A,TRUE,"GENERAL";"TAB4",#N/A,TRUE,"GENERAL";"TAB5",#N/A,TRUE,"GENERAL"}</definedName>
    <definedName name="__z7">#N/A</definedName>
    <definedName name="__Z8" hidden="1">{#N/A,#N/A,FALSE,"KMC최종회의(7월) 자료"}</definedName>
    <definedName name="__Z9" hidden="1">{#N/A,#N/A,FALSE,"KMC최종회의(7월) 자료"}</definedName>
    <definedName name="__zx2" hidden="1">{#N/A,#N/A,FALSE,"masez (10)";#N/A,#N/A,FALSE,"masez (7)";#N/A,#N/A,FALSE,"masez (6)";#N/A,#N/A,FALSE,"masez (5)";#N/A,#N/A,FALSE,"masez (4)";#N/A,#N/A,FALSE,"masez (3)";#N/A,#N/A,FALSE,"masez (2)";#N/A,#N/A,FALSE,"GME";#N/A,#N/A,FALSE,"masez"}</definedName>
    <definedName name="_02_DER_K13_000_–_K13_650">#REF!</definedName>
    <definedName name="_02_DER_K15_700_–_K16_100">#REF!</definedName>
    <definedName name="_03_K15_140_–_K20_540">#REF!</definedName>
    <definedName name="_04">#REF!</definedName>
    <definedName name="_05_DER_K35_250_–_K35_605.41">#REF!</definedName>
    <definedName name="_05_IZQ_K25_695_–_K35_327.62">#REF!</definedName>
    <definedName name="_05_IZQ_K35_420_–_K36_462.29">#REF!</definedName>
    <definedName name="_06_K41_785.67_–_K48_083.55">#REF!</definedName>
    <definedName name="_07_DER_K48_000_–_K49_563.19">#REF!</definedName>
    <definedName name="_07_IZQ_K49_320_–_K52_112.74">#REF!</definedName>
    <definedName name="_08_DER_K57_040_–_K61_476.50">#REF!</definedName>
    <definedName name="_08_IZQ_K52_300_–_K57_577.97">#REF!</definedName>
    <definedName name="_08_K24_723__A_K55_717.28">#REF!</definedName>
    <definedName name="_09_K61_520_A_K61_144">#REF!</definedName>
    <definedName name="_1">#REF!</definedName>
    <definedName name="_1____123Graph_A__200__BPF" hidden="1">#REF!</definedName>
    <definedName name="_1___123Graph_AGráfico_4A" hidden="1">#REF!</definedName>
    <definedName name="_1__123Graph_A__200__BPF" hidden="1">#REF!</definedName>
    <definedName name="_1__123Graph_ACart_Utilidad" hidden="1">#REF!</definedName>
    <definedName name="_1__123Graph_ACHART_1" hidden="1">#REF!</definedName>
    <definedName name="_1__123Graph_AChart_1A" hidden="1">#REF!</definedName>
    <definedName name="_1__123Graph_AGráfico_4A" hidden="1">#REF!</definedName>
    <definedName name="_1__123Graph_ASE60_1" hidden="1">#REF!</definedName>
    <definedName name="_1__123Graph_BEPS_CF" hidden="1">#REF!</definedName>
    <definedName name="_1__xl5" hidden="1">{"Actual Equipment",#N/A,FALSE,"BA D5"}</definedName>
    <definedName name="_10____123Graph_C__200__D50" hidden="1">#REF!</definedName>
    <definedName name="_10___0_0_F" hidden="1">#REF!</definedName>
    <definedName name="_10___123Graph_XGráfico_4A" hidden="1">#REF!</definedName>
    <definedName name="_10__123Graph_ACHART_1" hidden="1">#REF!</definedName>
    <definedName name="_10__123Graph_ACHART_12" hidden="1">#REF!</definedName>
    <definedName name="_10__123Graph_ACHART_13" hidden="1">#REF!</definedName>
    <definedName name="_10__123Graph_ACHART_14" hidden="1">#REF!</definedName>
    <definedName name="_10__123Graph_ACHART_15" hidden="1">#REF!</definedName>
    <definedName name="_10__123Graph_BCHART_1" hidden="1">#REF!</definedName>
    <definedName name="_10__123Graph_BCHART_5" hidden="1">#REF!</definedName>
    <definedName name="_10__123Graph_BSE60_2" hidden="1">#REF!</definedName>
    <definedName name="_10__123Graph_C__200__D50" hidden="1">#REF!</definedName>
    <definedName name="_10__123Graph_DSE60_2" hidden="1">#REF!</definedName>
    <definedName name="_10__123Graph_EChart_1A" hidden="1">#REF!</definedName>
    <definedName name="_10__123Graph_XCHART_2" hidden="1">#REF!</definedName>
    <definedName name="_10__123Graph_XGráfico_4A" hidden="1">#REF!</definedName>
    <definedName name="_10__xl5" hidden="1">{"Actual Equipment",#N/A,FALSE,"BA D5"}</definedName>
    <definedName name="_10_4____123Grap" hidden="1">#REF!</definedName>
    <definedName name="_10_B_0__123Graph_XGráfico" hidden="1">#REF!</definedName>
    <definedName name="_10_PR64_500_–_PR_69_541.49">#REF!</definedName>
    <definedName name="_101___________4_0__123Grap" hidden="1">#REF!</definedName>
    <definedName name="_101__123Graph_CCHART_9" hidden="1">#REF!</definedName>
    <definedName name="_103__123Graph_XCHART_10" hidden="1">#REF!</definedName>
    <definedName name="_105__123Graph_XCHART_11" hidden="1">#REF!</definedName>
    <definedName name="_106___________B_0__123Graph_XGráfico" hidden="1">#REF!</definedName>
    <definedName name="_106__123Graph_ACHART_16" hidden="1">#REF!</definedName>
    <definedName name="_107__123Graph_XCHART_12" hidden="1">#REF!</definedName>
    <definedName name="_109__________4_0__123Grap" hidden="1">#REF!</definedName>
    <definedName name="_109__123Graph_XCHART_13" hidden="1">#REF!</definedName>
    <definedName name="_10F" hidden="1">#REF!</definedName>
    <definedName name="_11" hidden="1">#REF!</definedName>
    <definedName name="_11____123Graph_CGRANULOMETRIA_1" hidden="1">#REF!</definedName>
    <definedName name="_11__123Graph_ACHART_10" hidden="1">#REF!</definedName>
    <definedName name="_11__123Graph_ACHART_13" hidden="1">#REF!</definedName>
    <definedName name="_11__123Graph_ACHART_14" hidden="1">#REF!</definedName>
    <definedName name="_11__123Graph_ACHART_15" hidden="1">#REF!</definedName>
    <definedName name="_11__123Graph_ACHART_16" hidden="1">#REF!</definedName>
    <definedName name="_11__123Graph_CGRANULOMETRIA_1" hidden="1">#REF!</definedName>
    <definedName name="_11__123Graph_DSE60_3" hidden="1">#REF!</definedName>
    <definedName name="_11__123Graph_XCHART_2" hidden="1">#REF!</definedName>
    <definedName name="_11__123Graph_XCHART_3" hidden="1">#REF!</definedName>
    <definedName name="_11_0__123Grap" hidden="1">#REF!</definedName>
    <definedName name="_11_0_0_F" hidden="1">#REF!</definedName>
    <definedName name="_11_4_0__123Grap" hidden="1">#REF!</definedName>
    <definedName name="_111__123Graph_XCHART_14" hidden="1">#REF!</definedName>
    <definedName name="_112__123Graph_CSE60_3" hidden="1">#REF!</definedName>
    <definedName name="_113__123Graph_BCHART_7" hidden="1">#REF!</definedName>
    <definedName name="_113__123Graph_XCHART_15" hidden="1">#REF!</definedName>
    <definedName name="_114__________B_0__123Graph_XGráfico" hidden="1">#REF!</definedName>
    <definedName name="_114_0_0_F" hidden="1">#REF!</definedName>
    <definedName name="_115__123Graph_BSE60_2" hidden="1">#REF!</definedName>
    <definedName name="_115__123Graph_XCHART_16" hidden="1">#REF!</definedName>
    <definedName name="_116__123Graph_XCHART_2" hidden="1">#REF!</definedName>
    <definedName name="_117_________4_0__123Grap" hidden="1">#REF!</definedName>
    <definedName name="_117__123Graph_BCHART_8" hidden="1">#REF!</definedName>
    <definedName name="_117__123Graph_XCHART_3" hidden="1">#REF!</definedName>
    <definedName name="_118__123Graph_XCHART_4" hidden="1">#REF!</definedName>
    <definedName name="_119__123Graph_ACHART_7" hidden="1">#REF!</definedName>
    <definedName name="_119__123Graph_XCHART_5" hidden="1">#REF!</definedName>
    <definedName name="_119_0_Dist_" hidden="1">#REF!</definedName>
    <definedName name="_11B____123Graph_XGráfico" hidden="1">#REF!</definedName>
    <definedName name="_11B_0__123Graph_XGráfico" hidden="1">#REF!</definedName>
    <definedName name="_12____123Graph_D__200__BPF" hidden="1">#REF!</definedName>
    <definedName name="_12___123Graph_AGráfico_4A" hidden="1">#REF!</definedName>
    <definedName name="_12___123Graph_BGráfico_4A" hidden="1">#REF!</definedName>
    <definedName name="_12__123Graph_ACHART_10" hidden="1">#REF!</definedName>
    <definedName name="_12__123Graph_ACHART_11" hidden="1">#REF!</definedName>
    <definedName name="_12__123Graph_ACHART_13" hidden="1">#REF!</definedName>
    <definedName name="_12__123Graph_ACHART_14" hidden="1">#REF!</definedName>
    <definedName name="_12__123Graph_ACHART_15" hidden="1">#REF!</definedName>
    <definedName name="_12__123Graph_ACHART_16" hidden="1">#REF!</definedName>
    <definedName name="_12__123Graph_ASE60_1" hidden="1">#REF!</definedName>
    <definedName name="_12__123Graph_ASE60_2" hidden="1">#REF!</definedName>
    <definedName name="_12__123Graph_BCHART_2" hidden="1">#REF!</definedName>
    <definedName name="_12__123Graph_BSE60_3" hidden="1">#REF!</definedName>
    <definedName name="_12__123Graph_D__200__BPF" hidden="1">#REF!</definedName>
    <definedName name="_12__123Graph_ESE60_2" hidden="1">#REF!</definedName>
    <definedName name="_12__123Graph_FChart_1A" hidden="1">#REF!</definedName>
    <definedName name="_12__123Graph_XCHART_3" hidden="1">#REF!</definedName>
    <definedName name="_12__123Graph_XCHART_4" hidden="1">#REF!</definedName>
    <definedName name="_12_0_0_F" hidden="1">#REF!</definedName>
    <definedName name="_12_0_Dist_" hidden="1">#REF!</definedName>
    <definedName name="_12_0_S" hidden="1">#REF!</definedName>
    <definedName name="_12_4____123Grap" hidden="1">#REF!</definedName>
    <definedName name="_12_4_0__123Grap" hidden="1">#REF!</definedName>
    <definedName name="_12_B_0__123Graph_XGráfico" hidden="1">#REF!</definedName>
    <definedName name="_120__123Graph_DSE60_2" hidden="1">#REF!</definedName>
    <definedName name="_121___0_0_F" hidden="1">#REF!</definedName>
    <definedName name="_121__123Graph_BCHART_9" hidden="1">#REF!</definedName>
    <definedName name="_121__123Graph_XCHART_8" hidden="1">#REF!</definedName>
    <definedName name="_122_________B_0__123Graph_XGráfico" hidden="1">#REF!</definedName>
    <definedName name="_123" hidden="1">#REF!</definedName>
    <definedName name="_123__123Graph_XCHART_9" hidden="1">#REF!</definedName>
    <definedName name="_1234" hidden="1">#REF!</definedName>
    <definedName name="_123gRAPH_a" hidden="1">#REF!</definedName>
    <definedName name="_123GRAPH_D" hidden="1">#REF!</definedName>
    <definedName name="_123graph_fee31" hidden="1">#REF!</definedName>
    <definedName name="_124Graph_DGráfico2" hidden="1">#REF!</definedName>
    <definedName name="_125________4_0__123Grap" hidden="1">#REF!</definedName>
    <definedName name="_126B____123Graph_XGráfico" hidden="1">#REF!</definedName>
    <definedName name="_128__123Graph_ACHART_8" hidden="1">#REF!</definedName>
    <definedName name="_128__123Graph_BCHART_7" hidden="1">#REF!</definedName>
    <definedName name="_128__123Graph_CCHART_10" hidden="1">#REF!</definedName>
    <definedName name="_129__123Graph_BCHART_8" hidden="1">#REF!</definedName>
    <definedName name="_12B_0__123Graph_XGráfico" hidden="1">#REF!</definedName>
    <definedName name="_13_________123Graph_AGráfico_4A" hidden="1">#REF!</definedName>
    <definedName name="_13____123Graph_D__200__D50" hidden="1">#REF!</definedName>
    <definedName name="_13__123Graph_ACHART_1" hidden="1">#REF!</definedName>
    <definedName name="_13__123Graph_ACHART_12" hidden="1">#REF!</definedName>
    <definedName name="_13__123Graph_ACHART_15" hidden="1">#REF!</definedName>
    <definedName name="_13__123Graph_ACHART_16" hidden="1">#REF!</definedName>
    <definedName name="_13__123Graph_ACHART_7" hidden="1">#REF!</definedName>
    <definedName name="_13__123Graph_D__200__D50" hidden="1">#REF!</definedName>
    <definedName name="_13__123Graph_ESE60_3" hidden="1">#REF!</definedName>
    <definedName name="_13__123Graph_XCHART_4" hidden="1">#REF!</definedName>
    <definedName name="_13__123Graph_XCHART_5" hidden="1">#REF!</definedName>
    <definedName name="_13_0_0_F" hidden="1">#REF!</definedName>
    <definedName name="_13_0_S" hidden="1">#REF!</definedName>
    <definedName name="_130________B_0__123Graph_XGráfico" hidden="1">#REF!</definedName>
    <definedName name="_130__123Graph_BCHART_9" hidden="1">#REF!</definedName>
    <definedName name="_130_0_0_F" hidden="1">#REF!</definedName>
    <definedName name="_132__123Graph_CCHART_11" hidden="1">#REF!</definedName>
    <definedName name="_132__123Graph_DSE60_3" hidden="1">#REF!</definedName>
    <definedName name="_133_______4_0__123Grap" hidden="1">#REF!</definedName>
    <definedName name="_133B_0__123Graph_XGráfico" hidden="1">#REF!</definedName>
    <definedName name="_136__123Graph_CCHART_12" hidden="1">#REF!</definedName>
    <definedName name="_137__123Graph_ACHART_9" hidden="1">#REF!</definedName>
    <definedName name="_138_______B_0__123Graph_XGráfico" hidden="1">#REF!</definedName>
    <definedName name="_138__123Graph_BSE60_3" hidden="1">#REF!</definedName>
    <definedName name="_13B____123Graph_XGráfico" hidden="1">#REF!</definedName>
    <definedName name="_14_________123Graph_BGráfico_4A" hidden="1">#REF!</definedName>
    <definedName name="_14____123Graph_E__200__BPF" hidden="1">#REF!</definedName>
    <definedName name="_14__123Graph_ACHART_11" hidden="1">#REF!</definedName>
    <definedName name="_14__123Graph_ACHART_13" hidden="1">#REF!</definedName>
    <definedName name="_14__123Graph_ACHART_14" hidden="1">#REF!</definedName>
    <definedName name="_14__123Graph_ACHART_16" hidden="1">#REF!</definedName>
    <definedName name="_14__123Graph_ACHART_8" hidden="1">#REF!</definedName>
    <definedName name="_14__123Graph_ASE60_1" hidden="1">#REF!</definedName>
    <definedName name="_14__123Graph_BCHART_3" hidden="1">#REF!</definedName>
    <definedName name="_14__123Graph_BSE60_2" hidden="1">#REF!</definedName>
    <definedName name="_14__123Graph_CSE60_2" hidden="1">#REF!</definedName>
    <definedName name="_14__123Graph_E__200__BPF" hidden="1">#REF!</definedName>
    <definedName name="_14__123Graph_FSE60_1" hidden="1">#REF!</definedName>
    <definedName name="_14__123Graph_XChart_1A" hidden="1">#REF!</definedName>
    <definedName name="_14__123Graph_XCHART_5" hidden="1">#REF!</definedName>
    <definedName name="_14__B_0__123Graph_XGráfico" hidden="1">#REF!</definedName>
    <definedName name="_14_4_0__123Grap" hidden="1">#REF!</definedName>
    <definedName name="_140__123Graph_CCHART_13" hidden="1">#REF!</definedName>
    <definedName name="_140__123Graph_DSE60_2" hidden="1">#REF!</definedName>
    <definedName name="_141______4_0__123Grap" hidden="1">#REF!</definedName>
    <definedName name="_142__123Graph_CCHART_10" hidden="1">#REF!</definedName>
    <definedName name="_143__0_0_F" hidden="1">#REF!</definedName>
    <definedName name="_143__123Graph_CCHART_11" hidden="1">#REF!</definedName>
    <definedName name="_144__123Graph_CCHART_12" hidden="1">#REF!</definedName>
    <definedName name="_144__123Graph_CCHART_14" hidden="1">#REF!</definedName>
    <definedName name="_144__123Graph_ESE60_2" hidden="1">#REF!</definedName>
    <definedName name="_146______B_0__123Graph_XGráfico" hidden="1">#REF!</definedName>
    <definedName name="_146__123Graph_CCHART_13" hidden="1">#REF!</definedName>
    <definedName name="_147__123Graph_CCHART_14" hidden="1">#REF!</definedName>
    <definedName name="_148__123Graph_AGráfico_4A" hidden="1">#REF!</definedName>
    <definedName name="_148__123Graph_CCHART_15" hidden="1">#REF!</definedName>
    <definedName name="_149__123Graph_BCHART_1" hidden="1">#REF!</definedName>
    <definedName name="_149__123Graph_BGráfico_4A" hidden="1">#REF!</definedName>
    <definedName name="_149__123Graph_CCHART_15" hidden="1">#REF!</definedName>
    <definedName name="_14B_0__123Graph_XGráfico" hidden="1">#REF!</definedName>
    <definedName name="_15_________123Graph_XGráfico_4A" hidden="1">#REF!</definedName>
    <definedName name="_15____123Graph_E__200__D50" hidden="1">#REF!</definedName>
    <definedName name="_15___123Graph_XGráfico_4A" hidden="1">#REF!</definedName>
    <definedName name="_15__123Graph_ACHART_1" hidden="1">#REF!</definedName>
    <definedName name="_15__123Graph_ACHART_14" hidden="1">#REF!</definedName>
    <definedName name="_15__123Graph_ACHART_9" hidden="1">#REF!</definedName>
    <definedName name="_15__123Graph_E__200__D50" hidden="1">#REF!</definedName>
    <definedName name="_15__123Graph_FSE60_2" hidden="1">#REF!</definedName>
    <definedName name="_15_4_0__123Grap" hidden="1">#REF!</definedName>
    <definedName name="_150__123Graph_CCHART_16" hidden="1">#REF!</definedName>
    <definedName name="_150__123Graph_XGráfico_4A" hidden="1">#REF!</definedName>
    <definedName name="_151_____________________________________________________________________________________________________________________________123Graph_AGráfico_4A" hidden="1">#REF!</definedName>
    <definedName name="_151__123Graph_CCHART_7" hidden="1">#REF!</definedName>
    <definedName name="_151_4____123Grap" hidden="1">#REF!</definedName>
    <definedName name="_152_____________________________________________________________________________________________________________________________123Graph_BGráfico_4A" hidden="1">#REF!</definedName>
    <definedName name="_152__123Graph_CCHART_16" hidden="1">#REF!</definedName>
    <definedName name="_152__123Graph_CCHART_8" hidden="1">#REF!</definedName>
    <definedName name="_153_____________________________________________________________________________________________________________________________123Graph_XGráfico_4A" hidden="1">#REF!</definedName>
    <definedName name="_153__123Graph_CCHART_9" hidden="1">#REF!</definedName>
    <definedName name="_153_0_0_F" hidden="1">#REF!</definedName>
    <definedName name="_154____________________________________________________________________________________________________________________________123Graph_AGráfico_4A" hidden="1">#REF!</definedName>
    <definedName name="_154__123Graph_DSE60_3" hidden="1">#REF!</definedName>
    <definedName name="_155____________________________________________________________________________________________________________________________123Graph_BGráfico_4A" hidden="1">#REF!</definedName>
    <definedName name="_155__123Graph_XCHART_10" hidden="1">#REF!</definedName>
    <definedName name="_156____________________________________________________________________________________________________________________________123Graph_XGráfico_4A" hidden="1">#REF!</definedName>
    <definedName name="_156__123Graph_CCHART_7" hidden="1">#REF!</definedName>
    <definedName name="_156__123Graph_ESE60_3" hidden="1">#REF!</definedName>
    <definedName name="_156__123Graph_XCHART_11" hidden="1">#REF!</definedName>
    <definedName name="_156B____123Graph_XGráfico" hidden="1">#REF!</definedName>
    <definedName name="_157___________________________________________________________________________________________________________________________123Graph_AGráfico_4A" hidden="1">#REF!</definedName>
    <definedName name="_157__123Graph_XCHART_12" hidden="1">#REF!</definedName>
    <definedName name="_158___________________________________________________________________________________________________________________________123Graph_BGráfico_4A" hidden="1">#REF!</definedName>
    <definedName name="_158__123Graph_BCHART_10" hidden="1">#REF!</definedName>
    <definedName name="_159___________________________________________________________________________________________________________________________123Graph_XGráfico_4A" hidden="1">#REF!</definedName>
    <definedName name="_159__123Graph_XCHART_13" hidden="1">#REF!</definedName>
    <definedName name="_16____123Graph_F__200__BPF" hidden="1">#REF!</definedName>
    <definedName name="_16___123Graph_BGráfico_4A" hidden="1">#REF!</definedName>
    <definedName name="_16__123Graph_ACHART_10" hidden="1">#REF!</definedName>
    <definedName name="_16__123Graph_ACHART_12" hidden="1">#REF!</definedName>
    <definedName name="_16__123Graph_ACHART_15" hidden="1">#REF!</definedName>
    <definedName name="_16__123Graph_ACHART_2" hidden="1">#REF!</definedName>
    <definedName name="_16__123Graph_ACHART_7" hidden="1">#REF!</definedName>
    <definedName name="_16__123Graph_BCHART_1" hidden="1">#REF!</definedName>
    <definedName name="_16__123Graph_BCHART_4" hidden="1">#REF!</definedName>
    <definedName name="_16__123Graph_CSE60_3" hidden="1">#REF!</definedName>
    <definedName name="_16__123Graph_F__200__BPF" hidden="1">#REF!</definedName>
    <definedName name="_16__123Graph_FSE60_3" hidden="1">#REF!</definedName>
    <definedName name="_16_B_0__123Graph_XGráfico" hidden="1">#REF!</definedName>
    <definedName name="_160__________________________________________________________________________________________________________________________123Graph_AGráfico_4A" hidden="1">#REF!</definedName>
    <definedName name="_160__123Graph_CCHART_8" hidden="1">#REF!</definedName>
    <definedName name="_160__123Graph_XCHART_14" hidden="1">#REF!</definedName>
    <definedName name="_161__________________________________________________________________________________________________________________________123Graph_BGráfico_4A" hidden="1">#REF!</definedName>
    <definedName name="_161__123Graph_CSE60_2" hidden="1">#REF!</definedName>
    <definedName name="_162__________________________________________________________________________________________________________________________123Graph_XGráfico_4A" hidden="1">#REF!</definedName>
    <definedName name="_162__123Graph_XCHART_15" hidden="1">#REF!</definedName>
    <definedName name="_163_________________________________________________________________________________________________________________________123Graph_AGráfico_4A" hidden="1">#REF!</definedName>
    <definedName name="_163__123Graph_XCHART_16" hidden="1">#REF!</definedName>
    <definedName name="_164_________________________________________________________________________________________________________________________123Graph_BGráfico_4A" hidden="1">#REF!</definedName>
    <definedName name="_164__123Graph_CCHART_9" hidden="1">#REF!</definedName>
    <definedName name="_164__123Graph_XCHART_2" hidden="1">#REF!</definedName>
    <definedName name="_165_________________________________________________________________________________________________________________________123Graph_XGráfico_4A" hidden="1">#REF!</definedName>
    <definedName name="_165__123Graph_XCHART_3" hidden="1">#REF!</definedName>
    <definedName name="_165_0_0_F" hidden="1">#REF!</definedName>
    <definedName name="_166________________________________________________________________________________________________________________________123Graph_AGráfico_4A" hidden="1">#REF!</definedName>
    <definedName name="_166__123Graph_XCHART_4" hidden="1">#REF!</definedName>
    <definedName name="_167________________________________________________________________________________________________________________________123Graph_BGráfico_4A" hidden="1">#REF!</definedName>
    <definedName name="_167__123Graph_BCHART_11" hidden="1">#REF!</definedName>
    <definedName name="_167__123Graph_XCHART_5" hidden="1">#REF!</definedName>
    <definedName name="_168________________________________________________________________________________________________________________________123Graph_XGráfico_4A" hidden="1">#REF!</definedName>
    <definedName name="_168__123Graph_ESE60_2" hidden="1">#REF!</definedName>
    <definedName name="_168__123Graph_FSE60_1" hidden="1">#REF!</definedName>
    <definedName name="_168__123Graph_XCHART_10" hidden="1">#REF!</definedName>
    <definedName name="_168__123Graph_XCHART_8" hidden="1">#REF!</definedName>
    <definedName name="_169_______________________________________________________________________________________________________________________123Graph_AGráfico_4A" hidden="1">#REF!</definedName>
    <definedName name="_169__123Graph_XCHART_9" hidden="1">#REF!</definedName>
    <definedName name="_16B_0__123Graph_XGráfico" hidden="1">#REF!</definedName>
    <definedName name="_17____123Graph_F__200__D50" hidden="1">#REF!</definedName>
    <definedName name="_17__123Graph_ACHART_10" hidden="1">#REF!</definedName>
    <definedName name="_17__123Graph_ACHART_11" hidden="1">#REF!</definedName>
    <definedName name="_17__123Graph_ACHART_16" hidden="1">#REF!</definedName>
    <definedName name="_17__123Graph_ACHART_7" hidden="1">#REF!</definedName>
    <definedName name="_17__123Graph_ACHART_8" hidden="1">#REF!</definedName>
    <definedName name="_17__123Graph_BCHART_10" hidden="1">#REF!</definedName>
    <definedName name="_17__123Graph_F__200__D50" hidden="1">#REF!</definedName>
    <definedName name="_17_4____123Grap" hidden="1">#REF!</definedName>
    <definedName name="_17_B_0__123Graph_XGráfico" hidden="1">#REF!</definedName>
    <definedName name="_170_______________________________________________________________________________________________________________________123Graph_BGráfico_4A" hidden="1">#REF!</definedName>
    <definedName name="_171_______________________________________________________________________________________________________________________123Graph_XGráfico_4A" hidden="1">#REF!</definedName>
    <definedName name="_172______________________________________________________________________________________________________________________123Graph_AGráfico_4A" hidden="1">#REF!</definedName>
    <definedName name="_172__123Graph_XCHART_11" hidden="1">#REF!</definedName>
    <definedName name="_173______________________________________________________________________________________________________________________123Graph_BGráfico_4A" hidden="1">#REF!</definedName>
    <definedName name="_174______________________________________________________________________________________________________________________123Graph_XGráfico_4A" hidden="1">#REF!</definedName>
    <definedName name="_174_0_0_F" hidden="1">#REF!</definedName>
    <definedName name="_175_____________________________________________________________________________________________________________________123Graph_AGráfico_4A" hidden="1">#REF!</definedName>
    <definedName name="_176_____________________________________________________________________________________________________________________123Graph_BGráfico_4A" hidden="1">#REF!</definedName>
    <definedName name="_176__123Graph_BCHART_12" hidden="1">#REF!</definedName>
    <definedName name="_176__123Graph_XCHART_12" hidden="1">#REF!</definedName>
    <definedName name="_177_____________________________________________________________________________________________________________________123Graph_XGráfico_4A" hidden="1">#REF!</definedName>
    <definedName name="_178____________________________________________________________________________________________________________________123Graph_AGráfico_4A" hidden="1">#REF!</definedName>
    <definedName name="_179____________________________________________________________________________________________________________________123Graph_BGráfico_4A" hidden="1">#REF!</definedName>
    <definedName name="_17B_0__123Graph_XGráfico" hidden="1">#REF!</definedName>
    <definedName name="_18____123Graph_X__200__BPF" hidden="1">#REF!</definedName>
    <definedName name="_18___123Graph_XGráfico_4A" hidden="1">#REF!</definedName>
    <definedName name="_18__123Graph_ACHART_12" hidden="1">#REF!</definedName>
    <definedName name="_18__123Graph_ACHART_13" hidden="1">#REF!</definedName>
    <definedName name="_18__123Graph_ACHART_16" hidden="1">#REF!</definedName>
    <definedName name="_18__123Graph_ACHART_3" hidden="1">#REF!</definedName>
    <definedName name="_18__123Graph_ACHART_7" hidden="1">#REF!</definedName>
    <definedName name="_18__123Graph_ACHART_8" hidden="1">#REF!</definedName>
    <definedName name="_18__123Graph_ACHART_9" hidden="1">#REF!</definedName>
    <definedName name="_18__123Graph_ASE60_3" hidden="1">#REF!</definedName>
    <definedName name="_18__123Graph_BCHART_11" hidden="1">#REF!</definedName>
    <definedName name="_18__123Graph_BCHART_5" hidden="1">#REF!</definedName>
    <definedName name="_18__123Graph_DSE60_1" hidden="1">#REF!</definedName>
    <definedName name="_18__123Graph_X__200__BPF" hidden="1">#REF!</definedName>
    <definedName name="_18__B____123Graph_XGráfico" hidden="1">#REF!</definedName>
    <definedName name="_18_0_0_F" hidden="1">#REF!</definedName>
    <definedName name="_18_4____123Grap" hidden="1">#REF!</definedName>
    <definedName name="_18_4_0__123Grap" hidden="1">#REF!</definedName>
    <definedName name="_180____________________________________________________________________________________________________________________123Graph_XGráfico_4A" hidden="1">#REF!</definedName>
    <definedName name="_180__123Graph_FSE60_2" hidden="1">#REF!</definedName>
    <definedName name="_180__123Graph_XCHART_13" hidden="1">#REF!</definedName>
    <definedName name="_181___________________________________________________________________________________________________________________123Graph_AGráfico_4A" hidden="1">#REF!</definedName>
    <definedName name="_182___________________________________________________________________________________________________________________123Graph_BGráfico_4A" hidden="1">#REF!</definedName>
    <definedName name="_182__123Graph_ESE60_3" hidden="1">#REF!</definedName>
    <definedName name="_183___________________________________________________________________________________________________________________123Graph_XGráfico_4A" hidden="1">#REF!</definedName>
    <definedName name="_184__________________________________________________________________________________________________________________123Graph_AGráfico_4A" hidden="1">#REF!</definedName>
    <definedName name="_184__123Graph_CSE60_3" hidden="1">#REF!</definedName>
    <definedName name="_184__123Graph_XCHART_14" hidden="1">#REF!</definedName>
    <definedName name="_185__________________________________________________________________________________________________________________123Graph_BGráfico_4A" hidden="1">#REF!</definedName>
    <definedName name="_185__123Graph_BCHART_13" hidden="1">#REF!</definedName>
    <definedName name="_186__________________________________________________________________________________________________________________123Graph_XGráfico_4A" hidden="1">#REF!</definedName>
    <definedName name="_187_________________________________________________________________________________________________________________123Graph_AGráfico_4A" hidden="1">#REF!</definedName>
    <definedName name="_188_________________________________________________________________________________________________________________123Graph_BGráfico_4A" hidden="1">#REF!</definedName>
    <definedName name="_188__123Graph_XCHART_15" hidden="1">#REF!</definedName>
    <definedName name="_189_________________________________________________________________________________________________________________123Graph_XGráfico_4A" hidden="1">#REF!</definedName>
    <definedName name="_189_0_0_F" hidden="1">#REF!</definedName>
    <definedName name="_18B____123Graph_XGráfico" hidden="1">#REF!</definedName>
    <definedName name="_18B_0__123Graph_XGráfico" hidden="1">#REF!</definedName>
    <definedName name="_19____123Graph_X__200__D50" hidden="1">#REF!</definedName>
    <definedName name="_19__123Graph_ACHART_13" hidden="1">#REF!</definedName>
    <definedName name="_19__123Graph_ACHART_8" hidden="1">#REF!</definedName>
    <definedName name="_19__123Graph_ACHART_9" hidden="1">#REF!</definedName>
    <definedName name="_19__123Graph_BCHART_12" hidden="1">#REF!</definedName>
    <definedName name="_19__123Graph_X__200__D50" hidden="1">#REF!</definedName>
    <definedName name="_19__123Graph_XCHART_2" hidden="1">#REF!</definedName>
    <definedName name="_19__B_0__123Graph_XGráfico" hidden="1">#REF!</definedName>
    <definedName name="_19_0_0_F" hidden="1">#REF!</definedName>
    <definedName name="_19_4_0__123Grap" hidden="1">#REF!</definedName>
    <definedName name="_190________________________________________________________________________________________________________________123Graph_AGráfico_4A" hidden="1">#REF!</definedName>
    <definedName name="_191________________________________________________________________________________________________________________123Graph_BGráfico_4A" hidden="1">#REF!</definedName>
    <definedName name="_192________________________________________________________________________________________________________________123Graph_XGráfico_4A" hidden="1">#REF!</definedName>
    <definedName name="_192__123Graph_FSE60_3" hidden="1">#REF!</definedName>
    <definedName name="_192__123Graph_XCHART_16" hidden="1">#REF!</definedName>
    <definedName name="_193_______________________________________________________________________________________________________________123Graph_AGráfico_4A" hidden="1">#REF!</definedName>
    <definedName name="_193__123Graph_XCHART_2" hidden="1">#REF!</definedName>
    <definedName name="_194_______________________________________________________________________________________________________________123Graph_BGráfico_4A" hidden="1">#REF!</definedName>
    <definedName name="_194__123Graph_BCHART_14" hidden="1">#REF!</definedName>
    <definedName name="_194__123Graph_XCHART_3" hidden="1">#REF!</definedName>
    <definedName name="_195_______________________________________________________________________________________________________________123Graph_XGráfico_4A" hidden="1">#REF!</definedName>
    <definedName name="_195__123Graph_XCHART_4" hidden="1">#REF!</definedName>
    <definedName name="_196______________________________________________________________________________________________________________123Graph_AGráfico_4A" hidden="1">#REF!</definedName>
    <definedName name="_196__123Graph_XCHART_5" hidden="1">#REF!</definedName>
    <definedName name="_197______________________________________________________________________________________________________________123Graph_BGráfico_4A" hidden="1">#REF!</definedName>
    <definedName name="_198______________________________________________________________________________________________________________123Graph_XGráfico_4A" hidden="1">#REF!</definedName>
    <definedName name="_199_____________________________________________________________________________________________________________123Graph_AGráfico_4A" hidden="1">#REF!</definedName>
    <definedName name="_19B_0__123Graph_XGráfico" hidden="1">#REF!</definedName>
    <definedName name="_2">#REF!</definedName>
    <definedName name="_2____123Graph_A__200__D50" hidden="1">#REF!</definedName>
    <definedName name="_2___123Graph_AGráfico_4A" hidden="1">#REF!</definedName>
    <definedName name="_2___123Graph_BGráfico_4A" hidden="1">#REF!</definedName>
    <definedName name="_2__123Graph_A__200__D50" hidden="1">#REF!</definedName>
    <definedName name="_2__123Graph_ACHART_10" hidden="1">#REF!</definedName>
    <definedName name="_2__123Graph_AChart_1A" hidden="1">#REF!</definedName>
    <definedName name="_2__123Graph_ACHART_2" hidden="1">#REF!</definedName>
    <definedName name="_2__123Graph_ACHART_3" hidden="1">#REF!</definedName>
    <definedName name="_2__123Graph_ASE60_1" hidden="1">#REF!</definedName>
    <definedName name="_2__123Graph_ASE60_2" hidden="1">#REF!</definedName>
    <definedName name="_2__123Graph_BCart_Utilidad" hidden="1">#REF!</definedName>
    <definedName name="_2__123Graph_BChart_1A" hidden="1">#REF!</definedName>
    <definedName name="_2__123Graph_BGráfico_4A" hidden="1">#REF!</definedName>
    <definedName name="_2__xl5" hidden="1">{"Actual Equipment",#N/A,FALSE,"BA D5"}</definedName>
    <definedName name="_2_0__123Grap" hidden="1">#REF!</definedName>
    <definedName name="_2_0_0_F" hidden="1">#REF!</definedName>
    <definedName name="_2_0_0_J" hidden="1">#REF!</definedName>
    <definedName name="_20_______123Graph_AGráfico_4A" hidden="1">#REF!</definedName>
    <definedName name="_20____123Graph_XEFICIENCIA_1" hidden="1">#REF!</definedName>
    <definedName name="_20___123Graph_XGráfico_4A" hidden="1">#REF!</definedName>
    <definedName name="_20__123Graph_ACHART_14" hidden="1">#REF!</definedName>
    <definedName name="_20__123Graph_ACHART_4" hidden="1">#REF!</definedName>
    <definedName name="_20__123Graph_ACHART_9" hidden="1">#REF!</definedName>
    <definedName name="_20__123Graph_BCHART_1" hidden="1">#REF!</definedName>
    <definedName name="_20__123Graph_BCHART_13" hidden="1">#REF!</definedName>
    <definedName name="_20__123Graph_CSE60_2" hidden="1">#REF!</definedName>
    <definedName name="_20__123Graph_DSE60_2" hidden="1">#REF!</definedName>
    <definedName name="_20__123Graph_XCHART_3" hidden="1">#REF!</definedName>
    <definedName name="_20__123Graph_XEFICIENCIA_1" hidden="1">#REF!</definedName>
    <definedName name="_20_0_0_F" hidden="1">#REF!</definedName>
    <definedName name="_20_4____123Grap" hidden="1">#REF!</definedName>
    <definedName name="_200_____________________________________________________________________________________________________________123Graph_BGráfico_4A" hidden="1">#REF!</definedName>
    <definedName name="_200__123Graph_XCHART_8" hidden="1">#REF!</definedName>
    <definedName name="_201_____________________________________________________________________________________________________________123Graph_XGráfico_4A" hidden="1">#REF!</definedName>
    <definedName name="_2010">#REF!</definedName>
    <definedName name="_202____________________________________________________________________________________________________________123Graph_AGráfico_4A" hidden="1">#REF!</definedName>
    <definedName name="_2020">#REF!</definedName>
    <definedName name="_203____________________________________________________________________________________________________________123Graph_BGráfico_4A" hidden="1">#REF!</definedName>
    <definedName name="_203__123Graph_BCHART_15" hidden="1">#REF!</definedName>
    <definedName name="_2030">#REF!</definedName>
    <definedName name="_204____________________________________________________________________________________________________________123Graph_XGráfico_4A" hidden="1">#REF!</definedName>
    <definedName name="_204__123Graph_XCHART_9" hidden="1">#REF!</definedName>
    <definedName name="_2040">#REF!</definedName>
    <definedName name="_205___________________________________________________________________________________________________________123Graph_AGráfico_4A" hidden="1">#REF!</definedName>
    <definedName name="_2050">#REF!</definedName>
    <definedName name="_206___________________________________________________________________________________________________________123Graph_BGráfico_4A" hidden="1">#REF!</definedName>
    <definedName name="_2060">#REF!</definedName>
    <definedName name="_207___________________________________________________________________________________________________________123Graph_XGráfico_4A" hidden="1">#REF!</definedName>
    <definedName name="_207__123Graph_DSE60_1" hidden="1">#REF!</definedName>
    <definedName name="_208__________________________________________________________________________________________________________123Graph_AGráfico_4A" hidden="1">#REF!</definedName>
    <definedName name="_209__________________________________________________________________________________________________________123Graph_BGráfico_4A" hidden="1">#REF!</definedName>
    <definedName name="_21_______123Graph_BGráfico_4A" hidden="1">#REF!</definedName>
    <definedName name="_21____123Graph_XGRANULOMETRIA_1" hidden="1">#REF!</definedName>
    <definedName name="_21___123Graph_AGráfico_4A" hidden="1">#REF!</definedName>
    <definedName name="_21__123Graph_ACHART_11" hidden="1">#REF!</definedName>
    <definedName name="_21__123Graph_ACHART_15" hidden="1">#REF!</definedName>
    <definedName name="_21__123Graph_BCHART_1" hidden="1">#REF!</definedName>
    <definedName name="_21__123Graph_BCHART_10" hidden="1">#REF!</definedName>
    <definedName name="_21__123Graph_BCHART_14" hidden="1">#REF!</definedName>
    <definedName name="_21__123Graph_XCHART_4" hidden="1">#REF!</definedName>
    <definedName name="_21__123Graph_XGRANULOMETRIA_1" hidden="1">#REF!</definedName>
    <definedName name="_21_0_0_F" hidden="1">#REF!</definedName>
    <definedName name="_21_4_0__123Grap" hidden="1">#REF!</definedName>
    <definedName name="_210__________________________________________________________________________________________________________123Graph_XGráfico_4A" hidden="1">#REF!</definedName>
    <definedName name="_210__123Graph_FSE60_2" hidden="1">#REF!</definedName>
    <definedName name="_211_________________________________________________________________________________________________________123Graph_AGráfico_4A" hidden="1">#REF!</definedName>
    <definedName name="_212_________________________________________________________________________________________________________123Graph_BGráfico_4A" hidden="1">#REF!</definedName>
    <definedName name="_212__123Graph_BCHART_16" hidden="1">#REF!</definedName>
    <definedName name="_213_________________________________________________________________________________________________________123Graph_XGráfico_4A" hidden="1">#REF!</definedName>
    <definedName name="_214________________________________________________________________________________________________________123Graph_AGráfico_4A" hidden="1">#REF!</definedName>
    <definedName name="_215________________________________________________________________________________________________________123Graph_BGráfico_4A" hidden="1">#REF!</definedName>
    <definedName name="_216________________________________________________________________________________________________________123Graph_XGráfico_4A" hidden="1">#REF!</definedName>
    <definedName name="_217_______________________________________________________________________________________________________123Graph_AGráfico_4A" hidden="1">#REF!</definedName>
    <definedName name="_218_______________________________________________________________________________________________________123Graph_BGráfico_4A" hidden="1">#REF!</definedName>
    <definedName name="_219_______________________________________________________________________________________________________123Graph_XGráfico_4A" hidden="1">#REF!</definedName>
    <definedName name="_22_______123Graph_XGráfico_4A" hidden="1">#REF!</definedName>
    <definedName name="_22___123Graph_A__200__BPF" hidden="1">#REF!</definedName>
    <definedName name="_22__123Graph_ACHART_15" hidden="1">#REF!</definedName>
    <definedName name="_22__123Graph_ACHART_16" hidden="1">#REF!</definedName>
    <definedName name="_22__123Graph_ACHART_5" hidden="1">#REF!</definedName>
    <definedName name="_22__123Graph_BCHART_1" hidden="1">#REF!</definedName>
    <definedName name="_22__123Graph_BCHART_10" hidden="1">#REF!</definedName>
    <definedName name="_22__123Graph_BCHART_11" hidden="1">#REF!</definedName>
    <definedName name="_22__123Graph_BCHART_15" hidden="1">#REF!</definedName>
    <definedName name="_22__123Graph_DSE60_3" hidden="1">#REF!</definedName>
    <definedName name="_22__123Graph_XCHART_5" hidden="1">#REF!</definedName>
    <definedName name="_22_0_0_F" hidden="1">#REF!</definedName>
    <definedName name="_220______________________________________________________________________________________________________123Graph_AGráfico_4A" hidden="1">#REF!</definedName>
    <definedName name="_221______________________________________________________________________________________________________123Graph_BGráfico_4A" hidden="1">#REF!</definedName>
    <definedName name="_222______________________________________________________________________________________________________123Graph_XGráfico_4A" hidden="1">#REF!</definedName>
    <definedName name="_2222" hidden="1">#REF!</definedName>
    <definedName name="_223_____________________________________________________________________________________________________123Graph_AGráfico_4A" hidden="1">#REF!</definedName>
    <definedName name="_224_____________________________________________________________________________________________________123Graph_BGráfico_4A" hidden="1">#REF!</definedName>
    <definedName name="_224__123Graph_FSE60_3" hidden="1">#REF!</definedName>
    <definedName name="_225_____________________________________________________________________________________________________123Graph_XGráfico_4A" hidden="1">#REF!</definedName>
    <definedName name="_225__123Graph_BCHART_7" hidden="1">#REF!</definedName>
    <definedName name="_226____________________________________________________________________________________________________123Graph_AGráfico_4A" hidden="1">#REF!</definedName>
    <definedName name="_227____________________________________________________________________________________________________123Graph_BGráfico_4A" hidden="1">#REF!</definedName>
    <definedName name="_228____________________________________________________________________________________________________123Graph_XGráfico_4A" hidden="1">#REF!</definedName>
    <definedName name="_229___________________________________________________________________________________________________123Graph_AGráfico_4A" hidden="1">#REF!</definedName>
    <definedName name="_22B____123Graph_XGráfico" hidden="1">#REF!</definedName>
    <definedName name="_22B_0__123Graph_XGráfico" hidden="1">#REF!</definedName>
    <definedName name="_23_______4_0__123Grap" hidden="1">#REF!</definedName>
    <definedName name="_23___123Graph_A__200__D50" hidden="1">#REF!</definedName>
    <definedName name="_23__123Graph_ACHART_7" hidden="1">#REF!</definedName>
    <definedName name="_23__123Graph_ASE60_1" hidden="1">#REF!</definedName>
    <definedName name="_23__123Graph_BCHART_10" hidden="1">#REF!</definedName>
    <definedName name="_23__123Graph_BCHART_11" hidden="1">#REF!</definedName>
    <definedName name="_23__123Graph_BCHART_12" hidden="1">#REF!</definedName>
    <definedName name="_23__123Graph_BCHART_16" hidden="1">#REF!</definedName>
    <definedName name="_230___________________________________________________________________________________________________123Graph_BGráfico_4A" hidden="1">#REF!</definedName>
    <definedName name="_230__123Graph_DSE60_2" hidden="1">#REF!</definedName>
    <definedName name="_231___________________________________________________________________________________________________123Graph_XGráfico_4A" hidden="1">#REF!</definedName>
    <definedName name="_232__________________________________________________________________________________________________123Graph_AGráfico_4A" hidden="1">#REF!</definedName>
    <definedName name="_233__________________________________________________________________________________________________123Graph_BGráfico_4A" hidden="1">#REF!</definedName>
    <definedName name="_234__________________________________________________________________________________________________123Graph_XGráfico_4A" hidden="1">#REF!</definedName>
    <definedName name="_234__123Graph_BCHART_8" hidden="1">#REF!</definedName>
    <definedName name="_235_________________________________________________________________________________________________123Graph_AGráfico_4A" hidden="1">#REF!</definedName>
    <definedName name="_236_________________________________________________________________________________________________123Graph_BGráfico_4A" hidden="1">#REF!</definedName>
    <definedName name="_237_________________________________________________________________________________________________123Graph_XGráfico_4A" hidden="1">#REF!</definedName>
    <definedName name="_238________________________________________________________________________________________________123Graph_AGráfico_4A" hidden="1">#REF!</definedName>
    <definedName name="_239________________________________________________________________________________________________123Graph_BGráfico_4A" hidden="1">#REF!</definedName>
    <definedName name="_23B_0__123Graph_XGráfico" hidden="1">#REF!</definedName>
    <definedName name="_24___123Graph_AEFICIENCIA_1" hidden="1">#REF!</definedName>
    <definedName name="_24__123Graph_ACHART_16" hidden="1">#REF!</definedName>
    <definedName name="_24__123Graph_ACHART_7" hidden="1">#REF!</definedName>
    <definedName name="_24__123Graph_ACHART_8" hidden="1">#REF!</definedName>
    <definedName name="_24__123Graph_AGráfico_4A" hidden="1">#REF!</definedName>
    <definedName name="_24__123Graph_BCHART_11" hidden="1">#REF!</definedName>
    <definedName name="_24__123Graph_BCHART_12" hidden="1">#REF!</definedName>
    <definedName name="_24__123Graph_BCHART_13" hidden="1">#REF!</definedName>
    <definedName name="_24__123Graph_BSE60_1" hidden="1">#REF!</definedName>
    <definedName name="_24__123Graph_ESE60_2" hidden="1">#REF!</definedName>
    <definedName name="_24_4_0__123Grap" hidden="1">#REF!</definedName>
    <definedName name="_24_B_0__123Graph_XGráfico" hidden="1">#REF!</definedName>
    <definedName name="_240________________________________________________________________________________________________123Graph_XGráfico_4A" hidden="1">#REF!</definedName>
    <definedName name="_241_______________________________________________________________________________________________123Graph_AGráfico_4A" hidden="1">#REF!</definedName>
    <definedName name="_242_______________________________________________________________________________________________123Graph_BGráfico_4A" hidden="1">#REF!</definedName>
    <definedName name="_243_______________________________________________________________________________________________123Graph_XGráfico_4A" hidden="1">#REF!</definedName>
    <definedName name="_243__123Graph_BCHART_9" hidden="1">#REF!</definedName>
    <definedName name="_244______________________________________________________________________________________________123Graph_AGráfico_4A" hidden="1">#REF!</definedName>
    <definedName name="_245______________________________________________________________________________________________123Graph_BGráfico_4A" hidden="1">#REF!</definedName>
    <definedName name="_246______________________________________________________________________________________________123Graph_XGráfico_4A" hidden="1">#REF!</definedName>
    <definedName name="_247_____________________________________________________________________________________________123Graph_AGráfico_4A" hidden="1">#REF!</definedName>
    <definedName name="_248_____________________________________________________________________________________________123Graph_BGráfico_4A" hidden="1">#REF!</definedName>
    <definedName name="_249_____________________________________________________________________________________________123Graph_XGráfico_4A" hidden="1">#REF!</definedName>
    <definedName name="_24B_0__123Graph_XGráfico" hidden="1">#REF!</definedName>
    <definedName name="_25___123Graph_AGRANULOMETRIA_1" hidden="1">#REF!</definedName>
    <definedName name="_25__123Graph_ACHART_12" hidden="1">#REF!</definedName>
    <definedName name="_25__123Graph_ACHART_9" hidden="1">#REF!</definedName>
    <definedName name="_25__123Graph_BCHART_12" hidden="1">#REF!</definedName>
    <definedName name="_25__123Graph_BCHART_13" hidden="1">#REF!</definedName>
    <definedName name="_25__123Graph_BCHART_14" hidden="1">#REF!</definedName>
    <definedName name="_250____________________________________________________________________________________________123Graph_AGráfico_4A" hidden="1">#REF!</definedName>
    <definedName name="_251____________________________________________________________________________________________123Graph_BGráfico_4A" hidden="1">#REF!</definedName>
    <definedName name="_252____________________________________________________________________________________________123Graph_XGráfico_4A" hidden="1">#REF!</definedName>
    <definedName name="_253___________________________________________________________________________________________123Graph_AGráfico_4A" hidden="1">#REF!</definedName>
    <definedName name="_253__123Graph_DSE60_3" hidden="1">#REF!</definedName>
    <definedName name="_254___________________________________________________________________________________________123Graph_BGráfico_4A" hidden="1">#REF!</definedName>
    <definedName name="_255___________________________________________________________________________________________123Graph_XGráfico_4A" hidden="1">#REF!</definedName>
    <definedName name="_256__________________________________________________________________________________________123Graph_AGráfico_4A" hidden="1">#REF!</definedName>
    <definedName name="_257__________________________________________________________________________________________123Graph_BGráfico_4A" hidden="1">#REF!</definedName>
    <definedName name="_258__________________________________________________________________________________________123Graph_XGráfico_4A" hidden="1">#REF!</definedName>
    <definedName name="_259_________________________________________________________________________________________123Graph_AGráfico_4A" hidden="1">#REF!</definedName>
    <definedName name="_25B____123Graph_XGráfico" hidden="1">#REF!</definedName>
    <definedName name="_26___123Graph_B__200__BPF" hidden="1">#REF!</definedName>
    <definedName name="_26__123Graph_ACHART_8" hidden="1">#REF!</definedName>
    <definedName name="_26__123Graph_BCHART_13" hidden="1">#REF!</definedName>
    <definedName name="_26__123Graph_BCHART_14" hidden="1">#REF!</definedName>
    <definedName name="_26__123Graph_BCHART_15" hidden="1">#REF!</definedName>
    <definedName name="_26__123Graph_DSE60_1" hidden="1">#REF!</definedName>
    <definedName name="_26__123Graph_ESE60_3" hidden="1">#REF!</definedName>
    <definedName name="_26_0_0_F" hidden="1">#REF!</definedName>
    <definedName name="_260_________________________________________________________________________________________123Graph_BGráfico_4A" hidden="1">#REF!</definedName>
    <definedName name="_261_________________________________________________________________________________________123Graph_XGráfico_4A" hidden="1">#REF!</definedName>
    <definedName name="_262________________________________________________________________________________________123Graph_AGráfico_4A" hidden="1">#REF!</definedName>
    <definedName name="_263________________________________________________________________________________________123Graph_BGráfico_4A" hidden="1">#REF!</definedName>
    <definedName name="_263__123Graph_CCHART_10" hidden="1">#REF!</definedName>
    <definedName name="_264________________________________________________________________________________________123Graph_XGráfico_4A" hidden="1">#REF!</definedName>
    <definedName name="_265_______________________________________________________________________________________123Graph_AGráfico_4A" hidden="1">#REF!</definedName>
    <definedName name="_266_______________________________________________________________________________________123Graph_BGráfico_4A" hidden="1">#REF!</definedName>
    <definedName name="_267_______________________________________________________________________________________123Graph_XGráfico_4A" hidden="1">#REF!</definedName>
    <definedName name="_268______________________________________________________________________________________123Graph_AGráfico_4A" hidden="1">#REF!</definedName>
    <definedName name="_269______________________________________________________________________________________123Graph_BGráfico_4A" hidden="1">#REF!</definedName>
    <definedName name="_26B_0__123Graph_XGráfico" hidden="1">#REF!</definedName>
    <definedName name="_27___123Graph_B__200__D50" hidden="1">#REF!</definedName>
    <definedName name="_27__123Graph_ACHART_7" hidden="1">#REF!</definedName>
    <definedName name="_27__123Graph_AGráfico_4A" hidden="1">#REF!</definedName>
    <definedName name="_27__123Graph_BCHART_14" hidden="1">#REF!</definedName>
    <definedName name="_27__123Graph_BCHART_15" hidden="1">#REF!</definedName>
    <definedName name="_27__123Graph_BCHART_16" hidden="1">#REF!</definedName>
    <definedName name="_27_B____123Graph_XGráfico" hidden="1">#REF!</definedName>
    <definedName name="_270______________________________________________________________________________________123Graph_XGráfico_4A" hidden="1">#REF!</definedName>
    <definedName name="_271_____________________________________________________________________________________123Graph_AGráfico_4A" hidden="1">#REF!</definedName>
    <definedName name="_272_____________________________________________________________________________________123Graph_BGráfico_4A" hidden="1">#REF!</definedName>
    <definedName name="_272__123Graph_CCHART_11" hidden="1">#REF!</definedName>
    <definedName name="_273_____________________________________________________________________________________123Graph_XGráfico_4A" hidden="1">#REF!</definedName>
    <definedName name="_274____________________________________________________________________________________123Graph_AGráfico_4A" hidden="1">#REF!</definedName>
    <definedName name="_275____________________________________________________________________________________123Graph_BGráfico_4A" hidden="1">#REF!</definedName>
    <definedName name="_276____________________________________________________________________________________123Graph_XGráfico_4A" hidden="1">#REF!</definedName>
    <definedName name="_276__123Graph_ESE60_2" hidden="1">#REF!</definedName>
    <definedName name="_277___________________________________________________________________________________123Graph_AGráfico_4A" hidden="1">#REF!</definedName>
    <definedName name="_278___________________________________________________________________________________123Graph_BGráfico_4A" hidden="1">#REF!</definedName>
    <definedName name="_279___________________________________________________________________________________123Graph_XGráfico_4A" hidden="1">#REF!</definedName>
    <definedName name="_27B_0__123Graph_XGráfico" hidden="1">#REF!</definedName>
    <definedName name="_28_____________________________123Graph_AGráfico_4A" hidden="1">#REF!</definedName>
    <definedName name="_28_______B_0__123Graph_XGráfico" hidden="1">#REF!</definedName>
    <definedName name="_28___123Graph_BEFICIENCIA_1" hidden="1">#REF!</definedName>
    <definedName name="_28___123Graph_BGráfico_4A" hidden="1">#REF!</definedName>
    <definedName name="_28__123Graph_ACHART_8" hidden="1">#REF!</definedName>
    <definedName name="_28__123Graph_ACHART_9" hidden="1">#REF!</definedName>
    <definedName name="_28__123Graph_AGráfico_4A" hidden="1">#REF!</definedName>
    <definedName name="_28__123Graph_ASE60_2" hidden="1">#REF!</definedName>
    <definedName name="_28__123Graph_BCHART_1" hidden="1">#REF!</definedName>
    <definedName name="_28__123Graph_BCHART_15" hidden="1">#REF!</definedName>
    <definedName name="_28__123Graph_BCHART_16" hidden="1">#REF!</definedName>
    <definedName name="_28__123Graph_BCHART_7" hidden="1">#REF!</definedName>
    <definedName name="_28__123Graph_FSE60_1" hidden="1">#REF!</definedName>
    <definedName name="_28_4__123GRA" hidden="1">#REF!</definedName>
    <definedName name="_28_4_0__123Grap" hidden="1">#REF!</definedName>
    <definedName name="_28_B_0__123Graph_XGráfico" hidden="1">#REF!</definedName>
    <definedName name="_280__________________________________________________________________________________123Graph_AGráfico_4A" hidden="1">#REF!</definedName>
    <definedName name="_281__________________________________________________________________________________123Graph_BGráfico_4A" hidden="1">#REF!</definedName>
    <definedName name="_281__123Graph_CCHART_12" hidden="1">#REF!</definedName>
    <definedName name="_282__________________________________________________________________________________123Graph_XGráfico_4A" hidden="1">#REF!</definedName>
    <definedName name="_283_________________________________________________________________________________123Graph_AGráfico_4A" hidden="1">#REF!</definedName>
    <definedName name="_284_________________________________________________________________________________123Graph_BGráfico_4A" hidden="1">#REF!</definedName>
    <definedName name="_285_________________________________________________________________________________123Graph_XGráfico_4A" hidden="1">#REF!</definedName>
    <definedName name="_286________________________________________________________________________________123Graph_AGráfico_4A" hidden="1">#REF!</definedName>
    <definedName name="_287________________________________________________________________________________123Graph_BGráfico_4A" hidden="1">#REF!</definedName>
    <definedName name="_288________________________________________________________________________________123Graph_XGráfico_4A" hidden="1">#REF!</definedName>
    <definedName name="_289_______________________________________________________________________________123Graph_AGráfico_4A" hidden="1">#REF!</definedName>
    <definedName name="_28B____123Graph_XGráfico" hidden="1">#REF!</definedName>
    <definedName name="_29_____________________________123Graph_BGráfico_4A" hidden="1">#REF!</definedName>
    <definedName name="_29___123Graph_BGRANULOMETRIA_1" hidden="1">#REF!</definedName>
    <definedName name="_29__123Graph_ACHART_13" hidden="1">#REF!</definedName>
    <definedName name="_29__123Graph_ACHART_9" hidden="1">#REF!</definedName>
    <definedName name="_29__123Graph_BCHART_10" hidden="1">#REF!</definedName>
    <definedName name="_29__123Graph_BCHART_16" hidden="1">#REF!</definedName>
    <definedName name="_29__123Graph_BCHART_8" hidden="1">#REF!</definedName>
    <definedName name="_290_______________________________________________________________________________123Graph_BGráfico_4A" hidden="1">#REF!</definedName>
    <definedName name="_290__123Graph_CCHART_13" hidden="1">#REF!</definedName>
    <definedName name="_291_______________________________________________________________________________123Graph_XGráfico_4A" hidden="1">#REF!</definedName>
    <definedName name="_292______________________________________________________________________________123Graph_AGráfico_4A" hidden="1">#REF!</definedName>
    <definedName name="_293______________________________________________________________________________123Graph_BGráfico_4A" hidden="1">#REF!</definedName>
    <definedName name="_294______________________________________________________________________________123Graph_XGráfico_4A" hidden="1">#REF!</definedName>
    <definedName name="_295_____________________________________________________________________________123Graph_AGráfico_4A" hidden="1">#REF!</definedName>
    <definedName name="_296_____________________________________________________________________________123Graph_BGráfico_4A" hidden="1">#REF!</definedName>
    <definedName name="_297_____________________________________________________________________________123Graph_XGráfico_4A" hidden="1">#REF!</definedName>
    <definedName name="_298____________________________________________________________________________123Graph_AGráfico_4A" hidden="1">#REF!</definedName>
    <definedName name="_299____________________________________________________________________________123Graph_BGráfico_4A" hidden="1">#REF!</definedName>
    <definedName name="_299__123Graph_CCHART_14" hidden="1">#REF!</definedName>
    <definedName name="_299__123Graph_ESE60_3" hidden="1">#REF!</definedName>
    <definedName name="_29B_0__123Graph_XGráfico" hidden="1">#REF!</definedName>
    <definedName name="_3" hidden="1">#REF!</definedName>
    <definedName name="_3____123Graph_AEFICIENCIA_1" hidden="1">#REF!</definedName>
    <definedName name="_3___123Graph_AGráfico_4A" hidden="1">#REF!</definedName>
    <definedName name="_3___123Graph_XGráfico_4A" hidden="1">#REF!</definedName>
    <definedName name="_3__123Graph_ACHART_11" hidden="1">#REF!</definedName>
    <definedName name="_3__123Graph_ACHART_2" hidden="1">#REF!</definedName>
    <definedName name="_3__123Graph_ACHART_3" hidden="1">#REF!</definedName>
    <definedName name="_3__123Graph_ACHART_4" hidden="1">#REF!</definedName>
    <definedName name="_3__123Graph_AEFICIENCIA_1" hidden="1">#REF!</definedName>
    <definedName name="_3__123Graph_AGráfico_4A" hidden="1">#REF!</definedName>
    <definedName name="_3__123Graph_ASE60_1" hidden="1">#REF!</definedName>
    <definedName name="_3__123Graph_ASE60_3" hidden="1">#REF!</definedName>
    <definedName name="_3__123Graph_CCart_Utilidad" hidden="1">#REF!</definedName>
    <definedName name="_3__123Graph_CChart_1A" hidden="1">#REF!</definedName>
    <definedName name="_3__123Graph_XGráfico_4A" hidden="1">#REF!</definedName>
    <definedName name="_3__xl5" hidden="1">{"Actual Equipment",#N/A,FALSE,"BA D5"}</definedName>
    <definedName name="_3_0__123Graph_A" hidden="1">#REF!</definedName>
    <definedName name="_3_0_0_F" hidden="1">#REF!</definedName>
    <definedName name="_3_123G_C_4" hidden="1">#REF!</definedName>
    <definedName name="_30_____________________________123Graph_XGráfico_4A" hidden="1">#REF!</definedName>
    <definedName name="_30___123Graph_C__200__BPF" hidden="1">#REF!</definedName>
    <definedName name="_30__123Graph_ACHART_7" hidden="1">#REF!</definedName>
    <definedName name="_30__123Graph_BCHART_1" hidden="1">#REF!</definedName>
    <definedName name="_30__123Graph_BCHART_11" hidden="1">#REF!</definedName>
    <definedName name="_30__123Graph_BCHART_9" hidden="1">#REF!</definedName>
    <definedName name="_30__123Graph_BSE60_2" hidden="1">#REF!</definedName>
    <definedName name="_30__123Graph_FSE60_2" hidden="1">#REF!</definedName>
    <definedName name="_30_B_0__123Graph_XGráfico" hidden="1">#REF!</definedName>
    <definedName name="_300____________________________________________________________________________123Graph_XGráfico_4A" hidden="1">#REF!</definedName>
    <definedName name="_301___________________________________________________________________________123Graph_AGráfico_4A" hidden="1">#REF!</definedName>
    <definedName name="_302___________________________________________________________________________123Graph_BGráfico_4A" hidden="1">#REF!</definedName>
    <definedName name="_303___________________________________________________________________________123Graph_XGráfico_4A" hidden="1">#REF!</definedName>
    <definedName name="_304__________________________________________________________________________123Graph_AGráfico_4A" hidden="1">#REF!</definedName>
    <definedName name="_305__________________________________________________________________________123Graph_BGráfico_4A" hidden="1">#REF!</definedName>
    <definedName name="_306__________________________________________________________________________123Graph_XGráfico_4A" hidden="1">#REF!</definedName>
    <definedName name="_307_________________________________________________________________________123Graph_AGráfico_4A" hidden="1">#REF!</definedName>
    <definedName name="_308_________________________________________________________________________123Graph_BGráfico_4A" hidden="1">#REF!</definedName>
    <definedName name="_308__123Graph_CCHART_15" hidden="1">#REF!</definedName>
    <definedName name="_309_________________________________________________________________________123Graph_XGráfico_4A" hidden="1">#REF!</definedName>
    <definedName name="_30B____123Graph_XGráfico" hidden="1">#REF!</definedName>
    <definedName name="_31____________________________123Graph_AGráfico_4A" hidden="1">#REF!</definedName>
    <definedName name="_31___123Graph_C__200__D50" hidden="1">#REF!</definedName>
    <definedName name="_31__123Graph_ACHART_8" hidden="1">#REF!</definedName>
    <definedName name="_31__123Graph_BCHART_1" hidden="1">#REF!</definedName>
    <definedName name="_31__123Graph_BCHART_12" hidden="1">#REF!</definedName>
    <definedName name="_31__123Graph_CCHART_10" hidden="1">#REF!</definedName>
    <definedName name="_31__123Graph_FSE60_3" hidden="1">#REF!</definedName>
    <definedName name="_310________________________________________________________________________123Graph_AGráfico_4A" hidden="1">#REF!</definedName>
    <definedName name="_311________________________________________________________________________123Graph_BGráfico_4A" hidden="1">#REF!</definedName>
    <definedName name="_312________________________________________________________________________123Graph_XGráfico_4A" hidden="1">#REF!</definedName>
    <definedName name="_313_______________________________________________________________________123Graph_AGráfico_4A" hidden="1">#REF!</definedName>
    <definedName name="_314_______________________________________________________________________123Graph_BGráfico_4A" hidden="1">#REF!</definedName>
    <definedName name="_315_______________________________________________________________________123Graph_XGráfico_4A" hidden="1">#REF!</definedName>
    <definedName name="_316______________________________________________________________________123Graph_AGráfico_4A" hidden="1">#REF!</definedName>
    <definedName name="_317______________________________________________________________________123Graph_BGráfico_4A" hidden="1">#REF!</definedName>
    <definedName name="_317__123Graph_CCHART_16" hidden="1">#REF!</definedName>
    <definedName name="_318______________________________________________________________________123Graph_XGráfico_4A" hidden="1">#REF!</definedName>
    <definedName name="_319_____________________________________________________________________123Graph_AGráfico_4A" hidden="1">#REF!</definedName>
    <definedName name="_31B_0__123Graph_XGráfico" hidden="1">#REF!</definedName>
    <definedName name="_32____________________________123Graph_BGráfico_4A" hidden="1">#REF!</definedName>
    <definedName name="_32___123Graph_CGRANULOMETRIA_1" hidden="1">#REF!</definedName>
    <definedName name="_32__123Graph_ACHART_9" hidden="1">#REF!</definedName>
    <definedName name="_32__123Graph_BCHART_10" hidden="1">#REF!</definedName>
    <definedName name="_32__123Graph_BCHART_13" hidden="1">#REF!</definedName>
    <definedName name="_32__123Graph_BCHART_7" hidden="1">#REF!</definedName>
    <definedName name="_32__123Graph_BGráfico_4A" hidden="1">#REF!</definedName>
    <definedName name="_32__123Graph_CCHART_11" hidden="1">#REF!</definedName>
    <definedName name="_32__123Graph_DSE60_3" hidden="1">#REF!</definedName>
    <definedName name="_32__123Graph_FSE60_3" hidden="1">#REF!</definedName>
    <definedName name="_320_____________________________________________________________________123Graph_BGráfico_4A" hidden="1">#REF!</definedName>
    <definedName name="_321_____________________________________________________________________123Graph_XGráfico_4A" hidden="1">#REF!</definedName>
    <definedName name="_322__123Graph_FSE60_1" hidden="1">#REF!</definedName>
    <definedName name="_323____________________________________________________________________123Graph_AGráfico_4A" hidden="1">#REF!</definedName>
    <definedName name="_324____________________________________________________________________123Graph_BGráfico_4A" hidden="1">#REF!</definedName>
    <definedName name="_325____________________________________________________________________123Graph_XGráfico_4A" hidden="1">#REF!</definedName>
    <definedName name="_326____________________________________________________________________4_0__123Grap" hidden="1">#REF!</definedName>
    <definedName name="_326__123Graph_CCHART_7" hidden="1">#REF!</definedName>
    <definedName name="_33____________________________123Graph_XGráfico_4A" hidden="1">#REF!</definedName>
    <definedName name="_33___123Graph_D__200__BPF" hidden="1">#REF!</definedName>
    <definedName name="_33__123Graph_ACHART_14" hidden="1">#REF!</definedName>
    <definedName name="_33__123Graph_BCHART_11" hidden="1">#REF!</definedName>
    <definedName name="_33__123Graph_BCHART_14" hidden="1">#REF!</definedName>
    <definedName name="_33__123Graph_BCHART_7" hidden="1">#REF!</definedName>
    <definedName name="_33__123Graph_BCHART_8" hidden="1">#REF!</definedName>
    <definedName name="_33__123Graph_CCHART_12" hidden="1">#REF!</definedName>
    <definedName name="_331____________________________________________________________________B_0__123Graph_XGráfico" hidden="1">#REF!</definedName>
    <definedName name="_334___________________________________________________________________123Graph_AGráfico_4A" hidden="1">#REF!</definedName>
    <definedName name="_335___________________________________________________________________123Graph_BGráfico_4A" hidden="1">#REF!</definedName>
    <definedName name="_335__123Graph_CCHART_8" hidden="1">#REF!</definedName>
    <definedName name="_336___________________________________________________________________123Graph_XGráfico_4A" hidden="1">#REF!</definedName>
    <definedName name="_337___________________________________________________________________4_0__123Grap" hidden="1">#REF!</definedName>
    <definedName name="_34___________________________123Graph_AGráfico_4A" hidden="1">#REF!</definedName>
    <definedName name="_34___123Graph_D__200__D50" hidden="1">#REF!</definedName>
    <definedName name="_34__123Graph_BCHART_11" hidden="1">#REF!</definedName>
    <definedName name="_34__123Graph_BCHART_12" hidden="1">#REF!</definedName>
    <definedName name="_34__123Graph_BCHART_15" hidden="1">#REF!</definedName>
    <definedName name="_34__123Graph_BCHART_7" hidden="1">#REF!</definedName>
    <definedName name="_34__123Graph_BCHART_8" hidden="1">#REF!</definedName>
    <definedName name="_34__123Graph_BCHART_9" hidden="1">#REF!</definedName>
    <definedName name="_34__123Graph_CCHART_13" hidden="1">#REF!</definedName>
    <definedName name="_342___________________________________________________________________B_0__123Graph_XGráfico" hidden="1">#REF!</definedName>
    <definedName name="_344__123Graph_CCHART_9" hidden="1">#REF!</definedName>
    <definedName name="_345__________________________________________________________________123Graph_AGráfico_4A" hidden="1">#REF!</definedName>
    <definedName name="_345__123Graph_FSE60_2" hidden="1">#REF!</definedName>
    <definedName name="_346__________________________________________________________________123Graph_BGráfico_4A" hidden="1">#REF!</definedName>
    <definedName name="_347__________________________________________________________________123Graph_XGráfico_4A" hidden="1">#REF!</definedName>
    <definedName name="_348__________________________________________________________________4_0__123Grap" hidden="1">#REF!</definedName>
    <definedName name="_35___________________________123Graph_BGráfico_4A" hidden="1">#REF!</definedName>
    <definedName name="_35___123Graph_E__200__BPF" hidden="1">#REF!</definedName>
    <definedName name="_35___123Graph_XGráfico_4A" hidden="1">#REF!</definedName>
    <definedName name="_35__123Graph_BCHART_13" hidden="1">#REF!</definedName>
    <definedName name="_35__123Graph_BCHART_16" hidden="1">#REF!</definedName>
    <definedName name="_35__123Graph_BCHART_8" hidden="1">#REF!</definedName>
    <definedName name="_35__123Graph_BCHART_9" hidden="1">#REF!</definedName>
    <definedName name="_35__123Graph_BGráfico_4A" hidden="1">#REF!</definedName>
    <definedName name="_35__123Graph_CCHART_14" hidden="1">#REF!</definedName>
    <definedName name="_35_0_0_F" hidden="1">#REF!</definedName>
    <definedName name="_353__________________________________________________________________B_0__123Graph_XGráfico" hidden="1">#REF!</definedName>
    <definedName name="_353__123Graph_XCHART_10" hidden="1">#REF!</definedName>
    <definedName name="_356_________________________________________________________________123Graph_AGráfico_4A" hidden="1">#REF!</definedName>
    <definedName name="_357_________________________________________________________________123Graph_BGráfico_4A" hidden="1">#REF!</definedName>
    <definedName name="_358_________________________________________________________________123Graph_XGráfico_4A" hidden="1">#REF!</definedName>
    <definedName name="_359_________________________________________________________________4_0__123Grap" hidden="1">#REF!</definedName>
    <definedName name="_36___________________________123Graph_XGráfico_4A" hidden="1">#REF!</definedName>
    <definedName name="_36___123Graph_E__200__D50" hidden="1">#REF!</definedName>
    <definedName name="_36__123Graph_BCHART_1" hidden="1">#REF!</definedName>
    <definedName name="_36__123Graph_BCHART_12" hidden="1">#REF!</definedName>
    <definedName name="_36__123Graph_BCHART_14" hidden="1">#REF!</definedName>
    <definedName name="_36__123Graph_BCHART_9" hidden="1">#REF!</definedName>
    <definedName name="_36__123Graph_BSE60_3" hidden="1">#REF!</definedName>
    <definedName name="_36__123Graph_CCHART_10" hidden="1">#REF!</definedName>
    <definedName name="_36__123Graph_CCHART_15" hidden="1">#REF!</definedName>
    <definedName name="_36_B_0__123Graph_XGráfico" hidden="1">#REF!</definedName>
    <definedName name="_36_B_0_234G_X" hidden="1">#REF!</definedName>
    <definedName name="_362__123Graph_XCHART_11" hidden="1">#REF!</definedName>
    <definedName name="_364_________________________________________________________________B_0__123Graph_XGráfico" hidden="1">#REF!</definedName>
    <definedName name="_365__123Graph_FSE60_3" hidden="1">#REF!</definedName>
    <definedName name="_367________________________________________________________________123Graph_AGráfico_4A" hidden="1">#REF!</definedName>
    <definedName name="_368________________________________________________________________123Graph_BGráfico_4A" hidden="1">#REF!</definedName>
    <definedName name="_369________________________________________________________________123Graph_XGráfico_4A" hidden="1">#REF!</definedName>
    <definedName name="_37__________________________123Graph_AGráfico_4A" hidden="1">#REF!</definedName>
    <definedName name="_37___123Graph_F__200__BPF" hidden="1">#REF!</definedName>
    <definedName name="_37__123Graph_ACHART_15" hidden="1">#REF!</definedName>
    <definedName name="_37__123Graph_BCHART_10" hidden="1">#REF!</definedName>
    <definedName name="_37__123Graph_BCHART_15" hidden="1">#REF!</definedName>
    <definedName name="_37__123Graph_BCHART_2" hidden="1">#REF!</definedName>
    <definedName name="_37__123Graph_CCHART_10" hidden="1">#REF!</definedName>
    <definedName name="_37__123Graph_CCHART_11" hidden="1">#REF!</definedName>
    <definedName name="_37__123Graph_CCHART_16" hidden="1">#REF!</definedName>
    <definedName name="_37_123Grap" hidden="1">#REF!</definedName>
    <definedName name="_370________________________________________________________________4_0__123Grap" hidden="1">#REF!</definedName>
    <definedName name="_371__123Graph_XCHART_12" hidden="1">#REF!</definedName>
    <definedName name="_375________________________________________________________________B_0__123Graph_XGráfico" hidden="1">#REF!</definedName>
    <definedName name="_378_______________________________________________________________123Graph_AGráfico_4A" hidden="1">#REF!</definedName>
    <definedName name="_379_______________________________________________________________123Graph_BGráfico_4A" hidden="1">#REF!</definedName>
    <definedName name="_38__________________________123Graph_BGráfico_4A" hidden="1">#REF!</definedName>
    <definedName name="_38___123Graph_F__200__D50" hidden="1">#REF!</definedName>
    <definedName name="_38__123Graph_ACHART_7" hidden="1">#REF!</definedName>
    <definedName name="_38__123Graph_BCHART_11" hidden="1">#REF!</definedName>
    <definedName name="_38__123Graph_BCHART_13" hidden="1">#REF!</definedName>
    <definedName name="_38__123Graph_BCHART_16" hidden="1">#REF!</definedName>
    <definedName name="_38__123Graph_CCHART_10" hidden="1">#REF!</definedName>
    <definedName name="_38__123Graph_CCHART_11" hidden="1">#REF!</definedName>
    <definedName name="_38__123Graph_CCHART_12" hidden="1">#REF!</definedName>
    <definedName name="_38__123Graph_CCHART_7" hidden="1">#REF!</definedName>
    <definedName name="_380_______________________________________________________________123Graph_XGráfico_4A" hidden="1">#REF!</definedName>
    <definedName name="_380__123Graph_XCHART_13" hidden="1">#REF!</definedName>
    <definedName name="_381_______________________________________________________________4_0__123Grap" hidden="1">#REF!</definedName>
    <definedName name="_386_______________________________________________________________B_0__123Graph_XGráfico" hidden="1">#REF!</definedName>
    <definedName name="_389______________________________________________________________123Graph_AGráfico_4A" hidden="1">#REF!</definedName>
    <definedName name="_389__123Graph_XCHART_14" hidden="1">#REF!</definedName>
    <definedName name="_39__________________________123Graph_XGráfico_4A" hidden="1">#REF!</definedName>
    <definedName name="_39___123Graph_X__200__BPF" hidden="1">#REF!</definedName>
    <definedName name="_39__123Graph_ACHART_1" hidden="1">#REF!</definedName>
    <definedName name="_39__123Graph_BCHART_12" hidden="1">#REF!</definedName>
    <definedName name="_39__123Graph_BCHART_3" hidden="1">#REF!</definedName>
    <definedName name="_39__123Graph_CCHART_11" hidden="1">#REF!</definedName>
    <definedName name="_39__123Graph_CCHART_12" hidden="1">#REF!</definedName>
    <definedName name="_39__123Graph_CCHART_13" hidden="1">#REF!</definedName>
    <definedName name="_39__123Graph_CCHART_8" hidden="1">#REF!</definedName>
    <definedName name="_390______________________________________________________________123Graph_BGráfico_4A" hidden="1">#REF!</definedName>
    <definedName name="_391______________________________________________________________123Graph_XGráfico_4A" hidden="1">#REF!</definedName>
    <definedName name="_392______________________________________________________________4_0__123Grap" hidden="1">#REF!</definedName>
    <definedName name="_397______________________________________________________________B_0__123Graph_XGráfico" hidden="1">#REF!</definedName>
    <definedName name="_398__123Graph_XCHART_15" hidden="1">#REF!</definedName>
    <definedName name="_3Años">#REF!</definedName>
    <definedName name="_3S" hidden="1">#REF!</definedName>
    <definedName name="_3S2" hidden="1">#REF!</definedName>
    <definedName name="_4" hidden="1">#REF!</definedName>
    <definedName name="_4____123Graph_AGráfico_4A" hidden="1">#REF!</definedName>
    <definedName name="_4____123Graph_AGRANULOMETRIA_1" hidden="1">#REF!</definedName>
    <definedName name="_4___123Graph_AGráfico_4A" hidden="1">#REF!</definedName>
    <definedName name="_4___123Graph_BGráfico_4A" hidden="1">#REF!</definedName>
    <definedName name="_4__123Graph_ACHART_1" hidden="1">#REF!</definedName>
    <definedName name="_4__123Graph_ACHART_12" hidden="1">#REF!</definedName>
    <definedName name="_4__123Graph_ACHART_4" hidden="1">#REF!</definedName>
    <definedName name="_4__123Graph_ACHART_5" hidden="1">#REF!</definedName>
    <definedName name="_4__123Graph_AGráfico_4A" hidden="1">#REF!</definedName>
    <definedName name="_4__123Graph_AGRANULOMETRIA_1" hidden="1">#REF!</definedName>
    <definedName name="_4__123Graph_ASE60_2" hidden="1">#REF!</definedName>
    <definedName name="_4__123Graph_BChart_1A" hidden="1">#REF!</definedName>
    <definedName name="_4__123Graph_BGráfico_4A" hidden="1">#REF!</definedName>
    <definedName name="_4__123Graph_BSE60_1" hidden="1">#REF!</definedName>
    <definedName name="_4__123Graph_DChart_1A" hidden="1">#REF!</definedName>
    <definedName name="_4__123Graph_LBL_ACart_Utilidad" hidden="1">#REF!</definedName>
    <definedName name="_4__xl5" hidden="1">{"Actual Equipment",#N/A,FALSE,"BA D5"}</definedName>
    <definedName name="_4_0__123Graph_BEPS" hidden="1">#REF!</definedName>
    <definedName name="_4_0_0_F" hidden="1">#REF!</definedName>
    <definedName name="_4_0_S" hidden="1">#REF!</definedName>
    <definedName name="_4_4____123Grap" hidden="1">#REF!</definedName>
    <definedName name="_4_4_0__123Grap" hidden="1">#REF!</definedName>
    <definedName name="_4_4_GRA_4" hidden="1">#REF!</definedName>
    <definedName name="_4_5" hidden="1">#REF!</definedName>
    <definedName name="_40_________________________123Graph_AGráfico_4A" hidden="1">#REF!</definedName>
    <definedName name="_40___123Graph_X__200__D50" hidden="1">#REF!</definedName>
    <definedName name="_40__123Graph_ACHART_10" hidden="1">#REF!</definedName>
    <definedName name="_40__123Graph_ACHART_8" hidden="1">#REF!</definedName>
    <definedName name="_40__123Graph_BCHART_13" hidden="1">#REF!</definedName>
    <definedName name="_40__123Graph_BCHART_14" hidden="1">#REF!</definedName>
    <definedName name="_40__123Graph_CCHART_12" hidden="1">#REF!</definedName>
    <definedName name="_40__123Graph_CCHART_13" hidden="1">#REF!</definedName>
    <definedName name="_40__123Graph_CCHART_14" hidden="1">#REF!</definedName>
    <definedName name="_40__123Graph_CCHART_9" hidden="1">#REF!</definedName>
    <definedName name="_40__123Graph_XGráfico_4A" hidden="1">#REF!</definedName>
    <definedName name="_400_____________________________________________________________123Graph_AGráfico_4A" hidden="1">#REF!</definedName>
    <definedName name="_401_____________________________________________________________123Graph_BGráfico_4A" hidden="1">#REF!</definedName>
    <definedName name="_402_____________________________________________________________123Graph_XGráfico_4A" hidden="1">#REF!</definedName>
    <definedName name="_403_____________________________________________________________4_0__123Grap" hidden="1">#REF!</definedName>
    <definedName name="_407__123Graph_XCHART_16" hidden="1">#REF!</definedName>
    <definedName name="_408_____________________________________________________________B_0__123Graph_XGráfico" hidden="1">#REF!</definedName>
    <definedName name="_408__123Graph_XCHART_2" hidden="1">#REF!</definedName>
    <definedName name="_409__123Graph_XCHART_3" hidden="1">#REF!</definedName>
    <definedName name="_41_________________________123Graph_BGráfico_4A" hidden="1">#REF!</definedName>
    <definedName name="_41___123Graph_XEFICIENCIA_1" hidden="1">#REF!</definedName>
    <definedName name="_41__123Graph_ACHART_11" hidden="1">#REF!</definedName>
    <definedName name="_41__123Graph_ACHART_16" hidden="1">#REF!</definedName>
    <definedName name="_41__123Graph_BCHART_14" hidden="1">#REF!</definedName>
    <definedName name="_41__123Graph_BCHART_4" hidden="1">#REF!</definedName>
    <definedName name="_41__123Graph_CCHART_13" hidden="1">#REF!</definedName>
    <definedName name="_41__123Graph_CCHART_14" hidden="1">#REF!</definedName>
    <definedName name="_41__123Graph_CCHART_15" hidden="1">#REF!</definedName>
    <definedName name="_41__123Graph_XCHART_10" hidden="1">#REF!</definedName>
    <definedName name="_410__123Graph_XCHART_4" hidden="1">#REF!</definedName>
    <definedName name="_411____________________________________________________________123Graph_AGráfico_4A" hidden="1">#REF!</definedName>
    <definedName name="_411__123Graph_XCHART_5" hidden="1">#REF!</definedName>
    <definedName name="_412____________________________________________________________123Graph_BGráfico_4A" hidden="1">#REF!</definedName>
    <definedName name="_413____________________________________________________________123Graph_XGráfico_4A" hidden="1">#REF!</definedName>
    <definedName name="_414____________________________________________________________4_0__123Grap" hidden="1">#REF!</definedName>
    <definedName name="_419____________________________________________________________B_0__123Graph_XGráfico" hidden="1">#REF!</definedName>
    <definedName name="_419_0_0_F" hidden="1">#REF!</definedName>
    <definedName name="_42_________________________123Graph_XGráfico_4A" hidden="1">#REF!</definedName>
    <definedName name="_42___123Graph_XGRANULOMETRIA_1" hidden="1">#REF!</definedName>
    <definedName name="_42__123Graph_ACHART_12" hidden="1">#REF!</definedName>
    <definedName name="_42__123Graph_ACHART_9" hidden="1">#REF!</definedName>
    <definedName name="_42__123Graph_ASE60_3" hidden="1">#REF!</definedName>
    <definedName name="_42__123Graph_BCHART_15" hidden="1">#REF!</definedName>
    <definedName name="_42__123Graph_CCHART_14" hidden="1">#REF!</definedName>
    <definedName name="_42__123Graph_CCHART_15" hidden="1">#REF!</definedName>
    <definedName name="_42__123Graph_CCHART_16" hidden="1">#REF!</definedName>
    <definedName name="_42__123Graph_CSE60_2" hidden="1">#REF!</definedName>
    <definedName name="_42__123Graph_XCHART_11" hidden="1">#REF!</definedName>
    <definedName name="_42__123Graph_XGráfico_4A" hidden="1">#REF!</definedName>
    <definedName name="_420__123Graph_XCHART_8" hidden="1">#REF!</definedName>
    <definedName name="_422___________________________________________________________123Graph_AGráfico_4A" hidden="1">#REF!</definedName>
    <definedName name="_423___________________________________________________________123Graph_BGráfico_4A" hidden="1">#REF!</definedName>
    <definedName name="_424___________________________________________________________123Graph_XGráfico_4A" hidden="1">#REF!</definedName>
    <definedName name="_425___________________________________________________________4_0__123Grap" hidden="1">#REF!</definedName>
    <definedName name="_429__123Graph_XCHART_9" hidden="1">#REF!</definedName>
    <definedName name="_43________________________123Graph_AGráfico_4A" hidden="1">#REF!</definedName>
    <definedName name="_43__123Graph_A__200__BPF" hidden="1">#REF!</definedName>
    <definedName name="_43__123Graph_ACHART_1" hidden="1">#REF!</definedName>
    <definedName name="_43__123Graph_ACHART_13" hidden="1">#REF!</definedName>
    <definedName name="_43__123Graph_BCHART_16" hidden="1">#REF!</definedName>
    <definedName name="_43__123Graph_BCHART_5" hidden="1">#REF!</definedName>
    <definedName name="_43__123Graph_BCHART_7" hidden="1">#REF!</definedName>
    <definedName name="_43__123Graph_CCHART_15" hidden="1">#REF!</definedName>
    <definedName name="_43__123Graph_CCHART_16" hidden="1">#REF!</definedName>
    <definedName name="_43__123Graph_CCHART_7" hidden="1">#REF!</definedName>
    <definedName name="_43__123Graph_XCHART_12" hidden="1">#REF!</definedName>
    <definedName name="_43_0_0_F" hidden="1">#REF!</definedName>
    <definedName name="_430___________________________________________________________B_0__123Graph_XGráfico" hidden="1">#REF!</definedName>
    <definedName name="_433__________________________________________________________123Graph_AGráfico_4A" hidden="1">#REF!</definedName>
    <definedName name="_434__________________________________________________________123Graph_BGráfico_4A" hidden="1">#REF!</definedName>
    <definedName name="_435__________________________________________________________123Graph_XGráfico_4A" hidden="1">#REF!</definedName>
    <definedName name="_436__________________________________________________________4_0__123Grap" hidden="1">#REF!</definedName>
    <definedName name="_44________________________123Graph_BGráfico_4A" hidden="1">#REF!</definedName>
    <definedName name="_44__123Graph_A__200__D50" hidden="1">#REF!</definedName>
    <definedName name="_44__123Graph_ACHART_14" hidden="1">#REF!</definedName>
    <definedName name="_44__123Graph_BCHART_16" hidden="1">#REF!</definedName>
    <definedName name="_44__123Graph_BCHART_7" hidden="1">#REF!</definedName>
    <definedName name="_44__123Graph_BCHART_8" hidden="1">#REF!</definedName>
    <definedName name="_44__123Graph_CCHART_16" hidden="1">#REF!</definedName>
    <definedName name="_44__123Graph_CCHART_7" hidden="1">#REF!</definedName>
    <definedName name="_44__123Graph_CCHART_8" hidden="1">#REF!</definedName>
    <definedName name="_44__123Graph_XCHART_13" hidden="1">#REF!</definedName>
    <definedName name="_441__________________________________________________________B_0__123Graph_XGráfico" hidden="1">#REF!</definedName>
    <definedName name="_444_________________________________________________________123Graph_AGráfico_4A" hidden="1">#REF!</definedName>
    <definedName name="_445_________________________________________________________123Graph_BGráfico_4A" hidden="1">#REF!</definedName>
    <definedName name="_446_________________________________________________________123Graph_XGráfico_4A" hidden="1">#REF!</definedName>
    <definedName name="_447_________________________________________________________4_0__123Grap" hidden="1">#REF!</definedName>
    <definedName name="_45________________________123Graph_XGráfico_4A" hidden="1">#REF!</definedName>
    <definedName name="_45__123Graph_AEFICIENCIA_1" hidden="1">#REF!</definedName>
    <definedName name="_45__123Graph_BCHART_8" hidden="1">#REF!</definedName>
    <definedName name="_45__123Graph_BCHART_9" hidden="1">#REF!</definedName>
    <definedName name="_45__123Graph_CCHART_7" hidden="1">#REF!</definedName>
    <definedName name="_45__123Graph_CCHART_8" hidden="1">#REF!</definedName>
    <definedName name="_45__123Graph_CCHART_9" hidden="1">#REF!</definedName>
    <definedName name="_45__123Graph_XCHART_14" hidden="1">#REF!</definedName>
    <definedName name="_45_0_0_F" hidden="1">#REF!</definedName>
    <definedName name="_451_0_0_F" hidden="1">#REF!</definedName>
    <definedName name="_452_________________________________________________________B_0__123Graph_XGráfico" hidden="1">#REF!</definedName>
    <definedName name="_455________________________________________________________123Graph_AGráfico_4A" hidden="1">#REF!</definedName>
    <definedName name="_456" hidden="1">#REF!</definedName>
    <definedName name="_456________________________________________________________123Graph_BGráfico_4A" hidden="1">#REF!</definedName>
    <definedName name="_457________________________________________________________123Graph_XGráfico_4A" hidden="1">#REF!</definedName>
    <definedName name="_458________________________________________________________4_0__123Grap" hidden="1">#REF!</definedName>
    <definedName name="_46_______________________123Graph_AGráfico_4A" hidden="1">#REF!</definedName>
    <definedName name="_46__123Graph_ACHART_15" hidden="1">#REF!</definedName>
    <definedName name="_46__123Graph_AGRANULOMETRIA_1" hidden="1">#REF!</definedName>
    <definedName name="_46__123Graph_ASE60_2" hidden="1">#REF!</definedName>
    <definedName name="_46__123Graph_BCHART_1" hidden="1">#REF!</definedName>
    <definedName name="_46__123Graph_BCHART_9" hidden="1">#REF!</definedName>
    <definedName name="_46__123Graph_CCHART_8" hidden="1">#REF!</definedName>
    <definedName name="_46__123Graph_CCHART_9" hidden="1">#REF!</definedName>
    <definedName name="_46__123Graph_XCHART_10" hidden="1">#REF!</definedName>
    <definedName name="_46__123Graph_XCHART_15" hidden="1">#REF!</definedName>
    <definedName name="_463________________________________________________________B_0__123Graph_XGráfico" hidden="1">#REF!</definedName>
    <definedName name="_466_______________________________________________________123Graph_AGráfico_4A" hidden="1">#REF!</definedName>
    <definedName name="_467_______________________________________________________123Graph_BGráfico_4A" hidden="1">#REF!</definedName>
    <definedName name="_468_______________________________________________________123Graph_XGráfico_4A" hidden="1">#REF!</definedName>
    <definedName name="_469_______________________________________________________4_0__123Grap" hidden="1">#REF!</definedName>
    <definedName name="_47_______________________123Graph_BGráfico_4A" hidden="1">#REF!</definedName>
    <definedName name="_47__123Graph_ACHART_16" hidden="1">#REF!</definedName>
    <definedName name="_47__123Graph_B__200__BPF" hidden="1">#REF!</definedName>
    <definedName name="_47__123Graph_CCHART_10" hidden="1">#REF!</definedName>
    <definedName name="_47__123Graph_CCHART_9" hidden="1">#REF!</definedName>
    <definedName name="_47__123Graph_XCHART_10" hidden="1">#REF!</definedName>
    <definedName name="_47__123Graph_XCHART_11" hidden="1">#REF!</definedName>
    <definedName name="_47__123Graph_XCHART_16" hidden="1">#REF!</definedName>
    <definedName name="_474_______________________________________________________B_0__123Graph_XGráfico" hidden="1">#REF!</definedName>
    <definedName name="_477______________________________________________________123Graph_AGráfico_4A" hidden="1">#REF!</definedName>
    <definedName name="_478______________________________________________________123Graph_BGráfico_4A" hidden="1">#REF!</definedName>
    <definedName name="_479______________________________________________________123Graph_XGráfico_4A" hidden="1">#REF!</definedName>
    <definedName name="_48_______________________123Graph_XGráfico_4A" hidden="1">#REF!</definedName>
    <definedName name="_48_____123Graph_AGráfico_4A" hidden="1">#REF!</definedName>
    <definedName name="_48__123Graph_B__200__D50" hidden="1">#REF!</definedName>
    <definedName name="_48__123Graph_BCHART_10" hidden="1">#REF!</definedName>
    <definedName name="_48__123Graph_BGráfico_4A" hidden="1">#REF!</definedName>
    <definedName name="_48__123Graph_BSE60_1" hidden="1">#REF!</definedName>
    <definedName name="_48__123Graph_CCHART_11" hidden="1">#REF!</definedName>
    <definedName name="_48__123Graph_CSE60_3" hidden="1">#REF!</definedName>
    <definedName name="_48__123Graph_XCHART_10" hidden="1">#REF!</definedName>
    <definedName name="_48__123Graph_XCHART_11" hidden="1">#REF!</definedName>
    <definedName name="_48__123Graph_XCHART_12" hidden="1">#REF!</definedName>
    <definedName name="_48__123Graph_XCHART_2" hidden="1">#REF!</definedName>
    <definedName name="_48_4____123Grap" hidden="1">#REF!</definedName>
    <definedName name="_48_B_0__123Graph_XGráfico" hidden="1">#REF!</definedName>
    <definedName name="_480______________________________________________________4_0__123Grap" hidden="1">#REF!</definedName>
    <definedName name="_485______________________________________________________B_0__123Graph_XGráfico" hidden="1">#REF!</definedName>
    <definedName name="_488_____________________________________________________123Graph_AGráfico_4A" hidden="1">#REF!</definedName>
    <definedName name="_489_____________________________________________________123Graph_BGráfico_4A" hidden="1">#REF!</definedName>
    <definedName name="_49______________________123Graph_AGráfico_4A" hidden="1">#REF!</definedName>
    <definedName name="_49_____123Graph_BGráfico_4A" hidden="1">#REF!</definedName>
    <definedName name="_49__123Graph_BEFICIENCIA_1" hidden="1">#REF!</definedName>
    <definedName name="_49__123Graph_CCHART_10" hidden="1">#REF!</definedName>
    <definedName name="_49__123Graph_CCHART_12" hidden="1">#REF!</definedName>
    <definedName name="_49__123Graph_XCHART_11" hidden="1">#REF!</definedName>
    <definedName name="_49__123Graph_XCHART_12" hidden="1">#REF!</definedName>
    <definedName name="_49__123Graph_XCHART_13" hidden="1">#REF!</definedName>
    <definedName name="_49__123Graph_XCHART_3" hidden="1">#REF!</definedName>
    <definedName name="_49_4_0__123Grap" hidden="1">#REF!</definedName>
    <definedName name="_490_____________________________________________________123Graph_XGráfico_4A" hidden="1">#REF!</definedName>
    <definedName name="_491_____________________________________________________4_0__123Grap" hidden="1">#REF!</definedName>
    <definedName name="_496_____________________________________________________B_0__123Graph_XGráfico" hidden="1">#REF!</definedName>
    <definedName name="_499____________________________________________________123Graph_AGráfico_4A" hidden="1">#REF!</definedName>
    <definedName name="_5" hidden="1">#REF!</definedName>
    <definedName name="_5____123Graph_B__200__BPF" hidden="1">#REF!</definedName>
    <definedName name="_5____123Graph_BGráfico_4A" hidden="1">#REF!</definedName>
    <definedName name="_5___123Graph_AGráfico_4A" hidden="1">#REF!</definedName>
    <definedName name="_5___123Graph_BGráfico_4A" hidden="1">#REF!</definedName>
    <definedName name="_5___123Graph_XGráfico_4A" hidden="1">#REF!</definedName>
    <definedName name="_5__123Graph_ACHART_1" hidden="1">#REF!</definedName>
    <definedName name="_5__123Graph_ACHART_10" hidden="1">#REF!</definedName>
    <definedName name="_5__123Graph_ACHART_13" hidden="1">#REF!</definedName>
    <definedName name="_5__123Graph_ACHART_3" hidden="1">#REF!</definedName>
    <definedName name="_5__123Graph_ACHART_5" hidden="1">#REF!</definedName>
    <definedName name="_5__123Graph_AGráfico_4A" hidden="1">#REF!</definedName>
    <definedName name="_5__123Graph_B__200__BPF" hidden="1">#REF!</definedName>
    <definedName name="_5__123Graph_BCHART_1" hidden="1">#REF!</definedName>
    <definedName name="_5__123Graph_BGráfico_4A" hidden="1">#REF!</definedName>
    <definedName name="_5__123Graph_BSE60_2" hidden="1">#REF!</definedName>
    <definedName name="_5__123Graph_EChart_1A" hidden="1">#REF!</definedName>
    <definedName name="_5__123Graph_LBL_BCart_Utilidad" hidden="1">#REF!</definedName>
    <definedName name="_5__123Graph_XGráfico_4A" hidden="1">#REF!</definedName>
    <definedName name="_5_0_0_F" hidden="1">#REF!</definedName>
    <definedName name="_5_123Grap" hidden="1">#REF!</definedName>
    <definedName name="_5_4_0__123Grap" hidden="1">#REF!</definedName>
    <definedName name="_5_555" hidden="1">#REF!</definedName>
    <definedName name="_50______________________123Graph_BGráfico_4A" hidden="1">#REF!</definedName>
    <definedName name="_50_____123Graph_XGráfico_4A" hidden="1">#REF!</definedName>
    <definedName name="_50__123Graph_BCHART_11" hidden="1">#REF!</definedName>
    <definedName name="_50__123Graph_BCHART_7" hidden="1">#REF!</definedName>
    <definedName name="_50__123Graph_BGRANULOMETRIA_1" hidden="1">#REF!</definedName>
    <definedName name="_50__123Graph_CCHART_11" hidden="1">#REF!</definedName>
    <definedName name="_50__123Graph_CCHART_13" hidden="1">#REF!</definedName>
    <definedName name="_50__123Graph_XCHART_12" hidden="1">#REF!</definedName>
    <definedName name="_50__123Graph_XCHART_13" hidden="1">#REF!</definedName>
    <definedName name="_50__123Graph_XCHART_14" hidden="1">#REF!</definedName>
    <definedName name="_50__123Graph_XCHART_4" hidden="1">#REF!</definedName>
    <definedName name="_500____________________________________________________123Graph_BGráfico_4A" hidden="1">#REF!</definedName>
    <definedName name="_501____________________________________________________123Graph_XGráfico_4A" hidden="1">#REF!</definedName>
    <definedName name="_502____________________________________________________4_0__123Grap" hidden="1">#REF!</definedName>
    <definedName name="_507____________________________________________________B_0__123Graph_XGráfico" hidden="1">#REF!</definedName>
    <definedName name="_51______________________123Graph_XGráfico_4A" hidden="1">#REF!</definedName>
    <definedName name="_51_____4_0__123Grap" hidden="1">#REF!</definedName>
    <definedName name="_51__123Graph_C__200__BPF" hidden="1">#REF!</definedName>
    <definedName name="_51__123Graph_CCHART_12" hidden="1">#REF!</definedName>
    <definedName name="_51__123Graph_CCHART_14" hidden="1">#REF!</definedName>
    <definedName name="_51__123Graph_XCHART_13" hidden="1">#REF!</definedName>
    <definedName name="_51__123Graph_XCHART_14" hidden="1">#REF!</definedName>
    <definedName name="_51__123Graph_XCHART_15" hidden="1">#REF!</definedName>
    <definedName name="_51__123Graph_XCHART_5" hidden="1">#REF!</definedName>
    <definedName name="_510___________________________________________________123Graph_AGráfico_4A" hidden="1">#REF!</definedName>
    <definedName name="_511___________________________________________________123Graph_BGráfico_4A" hidden="1">#REF!</definedName>
    <definedName name="_512___________________________________________________123Graph_XGráfico_4A" hidden="1">#REF!</definedName>
    <definedName name="_513___________________________________________________4_0__123Grap" hidden="1">#REF!</definedName>
    <definedName name="_518___________________________________________________B_0__123Graph_XGráfico" hidden="1">#REF!</definedName>
    <definedName name="_51Dist_" hidden="1">#REF!</definedName>
    <definedName name="_52_____________________123Graph_AGráfico_4A" hidden="1">#REF!</definedName>
    <definedName name="_52__123Graph_ACHART_10" hidden="1">#REF!</definedName>
    <definedName name="_52__123Graph_BCHART_12" hidden="1">#REF!</definedName>
    <definedName name="_52__123Graph_BCHART_8" hidden="1">#REF!</definedName>
    <definedName name="_52__123Graph_C__200__D50" hidden="1">#REF!</definedName>
    <definedName name="_52__123Graph_CCHART_13" hidden="1">#REF!</definedName>
    <definedName name="_52__123Graph_CCHART_15" hidden="1">#REF!</definedName>
    <definedName name="_52__123Graph_XCHART_14" hidden="1">#REF!</definedName>
    <definedName name="_52__123Graph_XCHART_15" hidden="1">#REF!</definedName>
    <definedName name="_52__123Graph_XCHART_16" hidden="1">#REF!</definedName>
    <definedName name="_52__123Graph_XCHART_8" hidden="1">#REF!</definedName>
    <definedName name="_521__________________________________________________123Graph_AGráfico_4A" hidden="1">#REF!</definedName>
    <definedName name="_522__________________________________________________123Graph_BGráfico_4A" hidden="1">#REF!</definedName>
    <definedName name="_523__________________________________________________123Graph_XGráfico_4A" hidden="1">#REF!</definedName>
    <definedName name="_524__________________________________________________4_0__123Grap" hidden="1">#REF!</definedName>
    <definedName name="_529__________________________________________________B_0__123Graph_XGráfico" hidden="1">#REF!</definedName>
    <definedName name="_53_____________________123Graph_BGráfico_4A" hidden="1">#REF!</definedName>
    <definedName name="_53__123Graph_CCHART_14" hidden="1">#REF!</definedName>
    <definedName name="_53__123Graph_CCHART_16" hidden="1">#REF!</definedName>
    <definedName name="_53__123Graph_CGRANULOMETRIA_1" hidden="1">#REF!</definedName>
    <definedName name="_53__123Graph_XCHART_15" hidden="1">#REF!</definedName>
    <definedName name="_53__123Graph_XCHART_16" hidden="1">#REF!</definedName>
    <definedName name="_53__123Graph_XCHART_2" hidden="1">#REF!</definedName>
    <definedName name="_53__123Graph_XCHART_9" hidden="1">#REF!</definedName>
    <definedName name="_532_________________________________________________123Graph_AGráfico_4A" hidden="1">#REF!</definedName>
    <definedName name="_533_________________________________________________123Graph_BGráfico_4A" hidden="1">#REF!</definedName>
    <definedName name="_534_________________________________________________123Graph_XGráfico_4A" hidden="1">#REF!</definedName>
    <definedName name="_535_________________________________________________4_0__123Grap" hidden="1">#REF!</definedName>
    <definedName name="_54_____________________123Graph_XGráfico_4A" hidden="1">#REF!</definedName>
    <definedName name="_54__123Graph_BCHART_13" hidden="1">#REF!</definedName>
    <definedName name="_54__123Graph_BCHART_9" hidden="1">#REF!</definedName>
    <definedName name="_54__123Graph_CCHART_15" hidden="1">#REF!</definedName>
    <definedName name="_54__123Graph_CCHART_7" hidden="1">#REF!</definedName>
    <definedName name="_54__123Graph_D__200__BPF" hidden="1">#REF!</definedName>
    <definedName name="_54__123Graph_DSE60_1" hidden="1">#REF!</definedName>
    <definedName name="_54__123Graph_XCHART_16" hidden="1">#REF!</definedName>
    <definedName name="_54__123Graph_XCHART_2" hidden="1">#REF!</definedName>
    <definedName name="_54__123Graph_XCHART_3" hidden="1">#REF!</definedName>
    <definedName name="_54_0_0_F" hidden="1">#REF!</definedName>
    <definedName name="_540_________________________________________________B_0__123Graph_XGráfico" hidden="1">#REF!</definedName>
    <definedName name="_543________________________________________________123Graph_AGráfico_4A" hidden="1">#REF!</definedName>
    <definedName name="_544________________________________________________123Graph_BGráfico_4A" hidden="1">#REF!</definedName>
    <definedName name="_545________________________________________________123Graph_XGráfico_4A" hidden="1">#REF!</definedName>
    <definedName name="_546________________________________________________4_0__123Grap" hidden="1">#REF!</definedName>
    <definedName name="_55____________________123Graph_AGráfico_4A" hidden="1">#REF!</definedName>
    <definedName name="_55______0_0_F" hidden="1">#REF!</definedName>
    <definedName name="_55__123Graph_CCHART_16" hidden="1">#REF!</definedName>
    <definedName name="_55__123Graph_CCHART_8" hidden="1">#REF!</definedName>
    <definedName name="_55__123Graph_D__200__D50" hidden="1">#REF!</definedName>
    <definedName name="_55__123Graph_XCHART_2" hidden="1">#REF!</definedName>
    <definedName name="_55__123Graph_XCHART_3" hidden="1">#REF!</definedName>
    <definedName name="_55__123Graph_XCHART_4" hidden="1">#REF!</definedName>
    <definedName name="_551________________________________________________B_0__123Graph_XGráfico" hidden="1">#REF!</definedName>
    <definedName name="_554_______________________________________________123Graph_AGráfico_4A" hidden="1">#REF!</definedName>
    <definedName name="_555_______________________________________________123Graph_BGráfico_4A" hidden="1">#REF!</definedName>
    <definedName name="_556_______________________________________________123Graph_XGráfico_4A" hidden="1">#REF!</definedName>
    <definedName name="_557_______________________________________________4_0__123Grap" hidden="1">#REF!</definedName>
    <definedName name="_56____________________123Graph_BGráfico_4A" hidden="1">#REF!</definedName>
    <definedName name="_56_____B_0__123Graph_XGráfico" hidden="1">#REF!</definedName>
    <definedName name="_56__123Graph_BCHART_14" hidden="1">#REF!</definedName>
    <definedName name="_56__123Graph_BCHART_7" hidden="1">#REF!</definedName>
    <definedName name="_56__123Graph_CCHART_7" hidden="1">#REF!</definedName>
    <definedName name="_56__123Graph_CCHART_9" hidden="1">#REF!</definedName>
    <definedName name="_56__123Graph_E__200__BPF" hidden="1">#REF!</definedName>
    <definedName name="_56__123Graph_XCHART_3" hidden="1">#REF!</definedName>
    <definedName name="_56__123Graph_XCHART_4" hidden="1">#REF!</definedName>
    <definedName name="_56__123Graph_XCHART_5" hidden="1">#REF!</definedName>
    <definedName name="_56_4____123Grap" hidden="1">#REF!</definedName>
    <definedName name="_562_______________________________________________B_0__123Graph_XGráfico" hidden="1">#REF!</definedName>
    <definedName name="_565______________________________________________123Graph_AGráfico_4A" hidden="1">#REF!</definedName>
    <definedName name="_566______________________________________________123Graph_BGráfico_4A" hidden="1">#REF!</definedName>
    <definedName name="_567______________________________________________123Graph_XGráfico_4A" hidden="1">#REF!</definedName>
    <definedName name="_568______________________________________________4_0__123Grap" hidden="1">#REF!</definedName>
    <definedName name="_57____________________123Graph_XGráfico_4A" hidden="1">#REF!</definedName>
    <definedName name="_57__123Graph_ACHART_7" hidden="1">#REF!</definedName>
    <definedName name="_57__123Graph_BCHART_8" hidden="1">#REF!</definedName>
    <definedName name="_57__123Graph_CCHART_10" hidden="1">#REF!</definedName>
    <definedName name="_57__123Graph_CCHART_8" hidden="1">#REF!</definedName>
    <definedName name="_57__123Graph_E__200__D50" hidden="1">#REF!</definedName>
    <definedName name="_57__123Graph_XCHART_10" hidden="1">#REF!</definedName>
    <definedName name="_57__123Graph_XCHART_4" hidden="1">#REF!</definedName>
    <definedName name="_57__123Graph_XCHART_5" hidden="1">#REF!</definedName>
    <definedName name="_57__123Graph_XCHART_8" hidden="1">#REF!</definedName>
    <definedName name="_573______________________________________________B_0__123Graph_XGráfico" hidden="1">#REF!</definedName>
    <definedName name="_576_____________________________________________123Graph_AGráfico_4A" hidden="1">#REF!</definedName>
    <definedName name="_577_____________________________________________123Graph_BGráfico_4A" hidden="1">#REF!</definedName>
    <definedName name="_578_____________________________________________123Graph_XGráfico_4A" hidden="1">#REF!</definedName>
    <definedName name="_579_____________________________________________4_0__123Grap" hidden="1">#REF!</definedName>
    <definedName name="_58___________________123Graph_AGráfico_4A" hidden="1">#REF!</definedName>
    <definedName name="_58__123Graph_BCHART_15" hidden="1">#REF!</definedName>
    <definedName name="_58__123Graph_BCHART_9" hidden="1">#REF!</definedName>
    <definedName name="_58__123Graph_CCHART_9" hidden="1">#REF!</definedName>
    <definedName name="_58__123Graph_F__200__BPF" hidden="1">#REF!</definedName>
    <definedName name="_58__123Graph_XCHART_11" hidden="1">#REF!</definedName>
    <definedName name="_58__123Graph_XCHART_5" hidden="1">#REF!</definedName>
    <definedName name="_58__123Graph_XCHART_8" hidden="1">#REF!</definedName>
    <definedName name="_58__123Graph_XCHART_9" hidden="1">#REF!</definedName>
    <definedName name="_584_____________________________________________B_0__123Graph_XGráfico" hidden="1">#REF!</definedName>
    <definedName name="_587____________________________________________123Graph_AGráfico_4A" hidden="1">#REF!</definedName>
    <definedName name="_588____________________________________________123Graph_BGráfico_4A" hidden="1">#REF!</definedName>
    <definedName name="_589____________________________________________123Graph_XGráfico_4A" hidden="1">#REF!</definedName>
    <definedName name="_59___________________123Graph_BGráfico_4A" hidden="1">#REF!</definedName>
    <definedName name="_59__123Graph_CCHART_11" hidden="1">#REF!</definedName>
    <definedName name="_59__123Graph_F__200__D50" hidden="1">#REF!</definedName>
    <definedName name="_59__123Graph_XCHART_10" hidden="1">#REF!</definedName>
    <definedName name="_59__123Graph_XCHART_12" hidden="1">#REF!</definedName>
    <definedName name="_59__123Graph_XCHART_8" hidden="1">#REF!</definedName>
    <definedName name="_59__123Graph_XCHART_9" hidden="1">#REF!</definedName>
    <definedName name="_590____________________________________________4_0__123Grap" hidden="1">#REF!</definedName>
    <definedName name="_595____________________________________________B_0__123Graph_XGráfico" hidden="1">#REF!</definedName>
    <definedName name="_598___________________________________________123Graph_AGráfico_4A" hidden="1">#REF!</definedName>
    <definedName name="_599___________________________________________123Graph_BGráfico_4A" hidden="1">#REF!</definedName>
    <definedName name="_59F" hidden="1">#REF!</definedName>
    <definedName name="_5B_0__123Graph_XGráfico" hidden="1">#REF!</definedName>
    <definedName name="_5wert" hidden="1">#REF!</definedName>
    <definedName name="_6" hidden="1">#REF!</definedName>
    <definedName name="_6____123Graph_B__200__D50" hidden="1">#REF!</definedName>
    <definedName name="_6____123Graph_XGráfico_4A" hidden="1">#REF!</definedName>
    <definedName name="_6___123Graph_AGráfico_4A" hidden="1">#REF!</definedName>
    <definedName name="_6___123Graph_BGráfico_4A" hidden="1">#REF!</definedName>
    <definedName name="_6___123Graph_XGráfico_4A" hidden="1">#REF!</definedName>
    <definedName name="_6__123Graph_ACHART_1" hidden="1">#REF!</definedName>
    <definedName name="_6__123Graph_ACHART_10" hidden="1">#REF!</definedName>
    <definedName name="_6__123Graph_ACHART_11" hidden="1">#REF!</definedName>
    <definedName name="_6__123Graph_ACHART_14" hidden="1">#REF!</definedName>
    <definedName name="_6__123Graph_AGráfico_4A" hidden="1">#REF!</definedName>
    <definedName name="_6__123Graph_ASE60_1" hidden="1">#REF!</definedName>
    <definedName name="_6__123Graph_ASE60_3" hidden="1">#REF!</definedName>
    <definedName name="_6__123Graph_B__200__D50" hidden="1">#REF!</definedName>
    <definedName name="_6__123Graph_BCHART_1" hidden="1">#REF!</definedName>
    <definedName name="_6__123Graph_BCHART_2" hidden="1">#REF!</definedName>
    <definedName name="_6__123Graph_BGráfico_4A" hidden="1">#REF!</definedName>
    <definedName name="_6__123Graph_BSE60_3" hidden="1">#REF!</definedName>
    <definedName name="_6__123Graph_CChart_1A" hidden="1">#REF!</definedName>
    <definedName name="_6__123Graph_FChart_1A" hidden="1">#REF!</definedName>
    <definedName name="_6__123Graph_LBL_CCart_Utilidad" hidden="1">#REF!</definedName>
    <definedName name="_6__123Graph_XGráfico_4A" hidden="1">#REF!</definedName>
    <definedName name="_6_0_0_F" hidden="1">#REF!</definedName>
    <definedName name="_6_4____123Grap" hidden="1">#REF!</definedName>
    <definedName name="_6_4_0__123Grap" hidden="1">#REF!</definedName>
    <definedName name="_60___________________123Graph_XGráfico_4A" hidden="1">#REF!</definedName>
    <definedName name="_60__123Graph_BCHART_16" hidden="1">#REF!</definedName>
    <definedName name="_60__123Graph_BSE60_2" hidden="1">#REF!</definedName>
    <definedName name="_60__123Graph_DSE60_2" hidden="1">#REF!</definedName>
    <definedName name="_60__123Graph_X__200__BPF" hidden="1">#REF!</definedName>
    <definedName name="_60__123Graph_XCHART_11" hidden="1">#REF!</definedName>
    <definedName name="_60__123Graph_XCHART_13" hidden="1">#REF!</definedName>
    <definedName name="_60__123Graph_XCHART_9" hidden="1">#REF!</definedName>
    <definedName name="_60_0_0_F" hidden="1">#REF!</definedName>
    <definedName name="_600___________________________________________123Graph_XGráfico_4A" hidden="1">#REF!</definedName>
    <definedName name="_601___________________________________________4_0__123Grap" hidden="1">#REF!</definedName>
    <definedName name="_606___________________________________________B_0__123Graph_XGráfico" hidden="1">#REF!</definedName>
    <definedName name="_609__________________________________________123Graph_AGráfico_4A" hidden="1">#REF!</definedName>
    <definedName name="_61__________________123Graph_AGráfico_4A" hidden="1">#REF!</definedName>
    <definedName name="_61__123Graph_ACHART_11" hidden="1">#REF!</definedName>
    <definedName name="_61__123Graph_ACHART_8" hidden="1">#REF!</definedName>
    <definedName name="_61__123Graph_CCHART_12" hidden="1">#REF!</definedName>
    <definedName name="_61__123Graph_X__200__D50" hidden="1">#REF!</definedName>
    <definedName name="_61__123Graph_XCHART_12" hidden="1">#REF!</definedName>
    <definedName name="_61__123Graph_XCHART_14" hidden="1">#REF!</definedName>
    <definedName name="_61_0_0_F" hidden="1">#REF!</definedName>
    <definedName name="_610__________________________________________123Graph_BGráfico_4A" hidden="1">#REF!</definedName>
    <definedName name="_611__________________________________________123Graph_XGráfico_4A" hidden="1">#REF!</definedName>
    <definedName name="_612__________________________________________4_0__123Grap" hidden="1">#REF!</definedName>
    <definedName name="_617__________________________________________B_0__123Graph_XGráfico" hidden="1">#REF!</definedName>
    <definedName name="_62__________________123Graph_BGráfico_4A" hidden="1">#REF!</definedName>
    <definedName name="_62__123Graph_CCHART_10" hidden="1">#REF!</definedName>
    <definedName name="_62__123Graph_XCHART_13" hidden="1">#REF!</definedName>
    <definedName name="_62__123Graph_XCHART_15" hidden="1">#REF!</definedName>
    <definedName name="_62__123Graph_XEFICIENCIA_1" hidden="1">#REF!</definedName>
    <definedName name="_620_________________________________________123Graph_AGráfico_4A" hidden="1">#REF!</definedName>
    <definedName name="_621_________________________________________123Graph_BGráfico_4A" hidden="1">#REF!</definedName>
    <definedName name="_622_________________________________________123Graph_XGráfico_4A" hidden="1">#REF!</definedName>
    <definedName name="_623_________________________________________4_0__123Grap" hidden="1">#REF!</definedName>
    <definedName name="_628_________________________________________B_0__123Graph_XGráfico" hidden="1">#REF!</definedName>
    <definedName name="_63__________________123Graph_XGráfico_4A" hidden="1">#REF!</definedName>
    <definedName name="_63__123Graph_CCHART_11" hidden="1">#REF!</definedName>
    <definedName name="_63__123Graph_CCHART_13" hidden="1">#REF!</definedName>
    <definedName name="_63__123Graph_XCHART_14" hidden="1">#REF!</definedName>
    <definedName name="_63__123Graph_XCHART_16" hidden="1">#REF!</definedName>
    <definedName name="_63__123Graph_XGRANULOMETRIA_1" hidden="1">#REF!</definedName>
    <definedName name="_63_4_0__123Grap" hidden="1">#REF!</definedName>
    <definedName name="_631________________________________________123Graph_AGráfico_4A" hidden="1">#REF!</definedName>
    <definedName name="_632________________________________________123Graph_BGráfico_4A" hidden="1">#REF!</definedName>
    <definedName name="_633________________________________________123Graph_XGráfico_4A" hidden="1">#REF!</definedName>
    <definedName name="_634________________________________________4_0__123Grap" hidden="1">#REF!</definedName>
    <definedName name="_639________________________________________B_0__123Graph_XGráfico" hidden="1">#REF!</definedName>
    <definedName name="_64_________________123Graph_AGráfico_4A" hidden="1">#REF!</definedName>
    <definedName name="_64__123Graph_CCHART_12" hidden="1">#REF!</definedName>
    <definedName name="_64__123Graph_XCHART_15" hidden="1">#REF!</definedName>
    <definedName name="_64__123Graph_XCHART_2" hidden="1">#REF!</definedName>
    <definedName name="_642_______________________________________123Graph_AGráfico_4A" hidden="1">#REF!</definedName>
    <definedName name="_643_______________________________________123Graph_BGráfico_4A" hidden="1">#REF!</definedName>
    <definedName name="_644_______________________________________123Graph_XGráfico_4A" hidden="1">#REF!</definedName>
    <definedName name="_645_______________________________________4_0__123Grap" hidden="1">#REF!</definedName>
    <definedName name="_65_________________123Graph_BGráfico_4A" hidden="1">#REF!</definedName>
    <definedName name="_65__123Graph_ACHART_9" hidden="1">#REF!</definedName>
    <definedName name="_65__123Graph_CCHART_13" hidden="1">#REF!</definedName>
    <definedName name="_65__123Graph_CCHART_14" hidden="1">#REF!</definedName>
    <definedName name="_65__123Graph_XCHART_16" hidden="1">#REF!</definedName>
    <definedName name="_65__123Graph_XCHART_3" hidden="1">#REF!</definedName>
    <definedName name="_650_______________________________________B_0__123Graph_XGráfico" hidden="1">#REF!</definedName>
    <definedName name="_653______________________________________123Graph_AGráfico_4A" hidden="1">#REF!</definedName>
    <definedName name="_654______________________________________123Graph_BGráfico_4A" hidden="1">#REF!</definedName>
    <definedName name="_655______________________________________123Graph_XGráfico_4A" hidden="1">#REF!</definedName>
    <definedName name="_656______________________________________4_0__123Grap" hidden="1">#REF!</definedName>
    <definedName name="_66_________________123Graph_XGráfico_4A" hidden="1">#REF!</definedName>
    <definedName name="_66__123Graph_CCHART_14" hidden="1">#REF!</definedName>
    <definedName name="_66__123Graph_DSE60_3" hidden="1">#REF!</definedName>
    <definedName name="_66__123Graph_XCHART_2" hidden="1">#REF!</definedName>
    <definedName name="_66__123Graph_XCHART_4" hidden="1">#REF!</definedName>
    <definedName name="_661______________________________________B_0__123Graph_XGráfico" hidden="1">#REF!</definedName>
    <definedName name="_664_____________________________________123Graph_AGráfico_4A" hidden="1">#REF!</definedName>
    <definedName name="_665_____________________________________123Graph_BGráfico_4A" hidden="1">#REF!</definedName>
    <definedName name="_666_____________________________________123Graph_XGráfico_4A" hidden="1">#REF!</definedName>
    <definedName name="_66666" hidden="1">#REF!</definedName>
    <definedName name="_667" hidden="1">#REF!</definedName>
    <definedName name="_667_____________________________________4_0__123Grap" hidden="1">#REF!</definedName>
    <definedName name="_67________________123Graph_AGráfico_4A" hidden="1">#REF!</definedName>
    <definedName name="_67__123Graph_CCHART_15" hidden="1">#REF!</definedName>
    <definedName name="_67__123Graph_XCHART_3" hidden="1">#REF!</definedName>
    <definedName name="_67__123Graph_XCHART_5" hidden="1">#REF!</definedName>
    <definedName name="_672_____________________________________B_0__123Graph_XGráfico" hidden="1">#REF!</definedName>
    <definedName name="_675____________________________________123Graph_AGráfico_4A" hidden="1">#REF!</definedName>
    <definedName name="_676____________________________________123Graph_BGráfico_4A" hidden="1">#REF!</definedName>
    <definedName name="_677____________________________________123Graph_XGráfico_4A" hidden="1">#REF!</definedName>
    <definedName name="_678____________________________________4_0__123Grap" hidden="1">#REF!</definedName>
    <definedName name="_68________________123Graph_BGráfico_4A" hidden="1">#REF!</definedName>
    <definedName name="_68__123Graph_CCHART_16" hidden="1">#REF!</definedName>
    <definedName name="_68__123Graph_XCHART_4" hidden="1">#REF!</definedName>
    <definedName name="_68__123Graph_XCHART_8" hidden="1">#REF!</definedName>
    <definedName name="_683____________________________________B_0__123Graph_XGráfico" hidden="1">#REF!</definedName>
    <definedName name="_686___________________________________123Graph_AGráfico_4A" hidden="1">#REF!</definedName>
    <definedName name="_687___________________________________123Graph_BGráfico_4A" hidden="1">#REF!</definedName>
    <definedName name="_688___________________________________123Graph_XGráfico_4A" hidden="1">#REF!</definedName>
    <definedName name="_689___________________________________4_0__123Grap" hidden="1">#REF!</definedName>
    <definedName name="_69________________123Graph_XGráfico_4A" hidden="1">#REF!</definedName>
    <definedName name="_69__123Graph_ASE60_3" hidden="1">#REF!</definedName>
    <definedName name="_69__123Graph_BCHART_1" hidden="1">#REF!</definedName>
    <definedName name="_69__123Graph_CCHART_16" hidden="1">#REF!</definedName>
    <definedName name="_69__123Graph_CCHART_7" hidden="1">#REF!</definedName>
    <definedName name="_69__123Graph_XCHART_5" hidden="1">#REF!</definedName>
    <definedName name="_69__123Graph_XCHART_9" hidden="1">#REF!</definedName>
    <definedName name="_694___________________________________B_0__123Graph_XGráfico" hidden="1">#REF!</definedName>
    <definedName name="_697__________________________________123Graph_AGráfico_4A" hidden="1">#REF!</definedName>
    <definedName name="_698__________________________________123Graph_BGráfico_4A" hidden="1">#REF!</definedName>
    <definedName name="_699__________________________________123Graph_XGráfico_4A" hidden="1">#REF!</definedName>
    <definedName name="_6B_0__123Graph_XGráfico" hidden="1">#REF!</definedName>
    <definedName name="_7______0_0_F" hidden="1">#REF!</definedName>
    <definedName name="_7____123Graph_BEFICIENCIA_1" hidden="1">#REF!</definedName>
    <definedName name="_7___123Graph_XGráfico_4A" hidden="1">#REF!</definedName>
    <definedName name="_7__123Graph_ACHART_1" hidden="1">#REF!</definedName>
    <definedName name="_7__123Graph_ACHART_10" hidden="1">#REF!</definedName>
    <definedName name="_7__123Graph_ACHART_11" hidden="1">#REF!</definedName>
    <definedName name="_7__123Graph_ACHART_12" hidden="1">#REF!</definedName>
    <definedName name="_7__123Graph_ACHART_15" hidden="1">#REF!</definedName>
    <definedName name="_7__123Graph_ACHART_4" hidden="1">#REF!</definedName>
    <definedName name="_7__123Graph_AGráfico_4A" hidden="1">#REF!</definedName>
    <definedName name="_7__123Graph_BCHART_2" hidden="1">#REF!</definedName>
    <definedName name="_7__123Graph_BCHART_3" hidden="1">#REF!</definedName>
    <definedName name="_7__123Graph_BEFICIENCIA_1" hidden="1">#REF!</definedName>
    <definedName name="_7__123Graph_BGráfico_4A" hidden="1">#REF!</definedName>
    <definedName name="_7__123Graph_CSE60_2" hidden="1">#REF!</definedName>
    <definedName name="_7__123Graph_XCart_Utilidad" hidden="1">#REF!</definedName>
    <definedName name="_7__123Graph_XChart_1A" hidden="1">#REF!</definedName>
    <definedName name="_7__123Graph_XGráfico_4A" hidden="1">#REF!</definedName>
    <definedName name="_7__xl5" hidden="1">{"Actual Equipment",#N/A,FALSE,"BA D5"}</definedName>
    <definedName name="_7_0_0_F" hidden="1">#REF!</definedName>
    <definedName name="_7_4_0__123Grap" hidden="1">#REF!</definedName>
    <definedName name="_70_______________123Graph_AGráfico_4A" hidden="1">#REF!</definedName>
    <definedName name="_70__123Graph_ACHART_12" hidden="1">#REF!</definedName>
    <definedName name="_70__123Graph_BSE60_2" hidden="1">#REF!</definedName>
    <definedName name="_70__123Graph_CCHART_8" hidden="1">#REF!</definedName>
    <definedName name="_70__123Graph_XCHART_8" hidden="1">#REF!</definedName>
    <definedName name="_700__________________________________4_0__123Grap" hidden="1">#REF!</definedName>
    <definedName name="_7000">#REF!</definedName>
    <definedName name="_7001">#REF!</definedName>
    <definedName name="_7002">#REF!</definedName>
    <definedName name="_7003">#REF!</definedName>
    <definedName name="_705__________________________________B_0__123Graph_XGráfico" hidden="1">#REF!</definedName>
    <definedName name="_708_________________________________123Graph_AGráfico_4A" hidden="1">#REF!</definedName>
    <definedName name="_709_________________________________123Graph_BGráfico_4A" hidden="1">#REF!</definedName>
    <definedName name="_71_______________123Graph_BGráfico_4A" hidden="1">#REF!</definedName>
    <definedName name="_71__123Graph_CCHART_7" hidden="1">#REF!</definedName>
    <definedName name="_71__123Graph_CCHART_9" hidden="1">#REF!</definedName>
    <definedName name="_71__123Graph_XCHART_9" hidden="1">#REF!</definedName>
    <definedName name="_710_________________________________123Graph_XGráfico_4A" hidden="1">#REF!</definedName>
    <definedName name="_711_________________________________4_0__123Grap" hidden="1">#REF!</definedName>
    <definedName name="_716_________________________________B_0__123Graph_XGráfico" hidden="1">#REF!</definedName>
    <definedName name="_719________________________________123Graph_AGráfico_4A" hidden="1">#REF!</definedName>
    <definedName name="_72_______________123Graph_XGráfico_4A" hidden="1">#REF!</definedName>
    <definedName name="_72__123Graph_BSE60_3" hidden="1">#REF!</definedName>
    <definedName name="_72__123Graph_ESE60_2" hidden="1">#REF!</definedName>
    <definedName name="_72__123Graph_XCHART_10" hidden="1">#REF!</definedName>
    <definedName name="_72_0_0_F" hidden="1">#REF!</definedName>
    <definedName name="_720________________________________123Graph_BGráfico_4A" hidden="1">#REF!</definedName>
    <definedName name="_721________________________________123Graph_XGráfico_4A" hidden="1">#REF!</definedName>
    <definedName name="_722________________________________4_0__123Grap" hidden="1">#REF!</definedName>
    <definedName name="_727________________________________B_0__123Graph_XGráfico" hidden="1">#REF!</definedName>
    <definedName name="_73__123Graph_BCHART_10" hidden="1">#REF!</definedName>
    <definedName name="_73__123Graph_CCHART_8" hidden="1">#REF!</definedName>
    <definedName name="_73__123Graph_XCHART_11" hidden="1">#REF!</definedName>
    <definedName name="_73__123Graph_XGráfico_4A" hidden="1">#REF!</definedName>
    <definedName name="_730_______________________________123Graph_AGráfico_4A" hidden="1">#REF!</definedName>
    <definedName name="_731_______________________________123Graph_BGráfico_4A" hidden="1">#REF!</definedName>
    <definedName name="_732_______________________________123Graph_XGráfico_4A" hidden="1">#REF!</definedName>
    <definedName name="_733_______________________________4_0__123Grap" hidden="1">#REF!</definedName>
    <definedName name="_738_______________________________B_0__123Graph_XGráfico" hidden="1">#REF!</definedName>
    <definedName name="_74______________123Graph_AGráfico_4A" hidden="1">#REF!</definedName>
    <definedName name="_74__123Graph_BCHART_7" hidden="1">#REF!</definedName>
    <definedName name="_74__123Graph_XCHART_12" hidden="1">#REF!</definedName>
    <definedName name="_741______________________________123Graph_AGráfico_4A" hidden="1">#REF!</definedName>
    <definedName name="_742______________________________123Graph_BGráfico_4A" hidden="1">#REF!</definedName>
    <definedName name="_743______________________________123Graph_XGráfico_4A" hidden="1">#REF!</definedName>
    <definedName name="_744______________________________4_0__123Grap" hidden="1">#REF!</definedName>
    <definedName name="_749______________________________B_0__123Graph_XGráfico" hidden="1">#REF!</definedName>
    <definedName name="_75______________123Graph_BGráfico_4A" hidden="1">#REF!</definedName>
    <definedName name="_75__123Graph_CCHART_9" hidden="1">#REF!</definedName>
    <definedName name="_75__123Graph_XCHART_13" hidden="1">#REF!</definedName>
    <definedName name="_75_0_0_F" hidden="1">#REF!</definedName>
    <definedName name="_752_____________________________4_0__123Grap" hidden="1">#REF!</definedName>
    <definedName name="_757_____________________________B_0__123Graph_XGráfico" hidden="1">#REF!</definedName>
    <definedName name="_76______________123Graph_XGráfico_4A" hidden="1">#REF!</definedName>
    <definedName name="_76___4_0__123Grap" hidden="1">#REF!</definedName>
    <definedName name="_76__123Graph_ACHART_7" hidden="1">#REF!</definedName>
    <definedName name="_76__123Graph_BCHART_8" hidden="1">#REF!</definedName>
    <definedName name="_76__123Graph_XCHART_14" hidden="1">#REF!</definedName>
    <definedName name="_760____________________________4_0__123Grap" hidden="1">#REF!</definedName>
    <definedName name="_765____________________________B_0__123Graph_XGráfico" hidden="1">#REF!</definedName>
    <definedName name="_768___________________________4_0__123Grap" hidden="1">#REF!</definedName>
    <definedName name="_77______________4_0__123Grap" hidden="1">#REF!</definedName>
    <definedName name="_77_____0_0_F" hidden="1">#REF!</definedName>
    <definedName name="_77__123Graph_ACHART_8" hidden="1">#REF!</definedName>
    <definedName name="_77__123Graph_BCHART_11" hidden="1">#REF!</definedName>
    <definedName name="_77__123Graph_XCHART_10" hidden="1">#REF!</definedName>
    <definedName name="_77__123Graph_XCHART_15" hidden="1">#REF!</definedName>
    <definedName name="_77_0_S" hidden="1">#REF!</definedName>
    <definedName name="_77_4_0__123Grap" hidden="1">#REF!</definedName>
    <definedName name="_773___________________________B_0__123Graph_XGráfico" hidden="1">#REF!</definedName>
    <definedName name="_776__________________________4_0__123Grap" hidden="1">#REF!</definedName>
    <definedName name="_777" hidden="1">#REF!</definedName>
    <definedName name="_78__123Graph_ACHART_9" hidden="1">#REF!</definedName>
    <definedName name="_78__123Graph_BCHART_9" hidden="1">#REF!</definedName>
    <definedName name="_78__123Graph_ESE60_3" hidden="1">#REF!</definedName>
    <definedName name="_78__123Graph_XCHART_16" hidden="1">#REF!</definedName>
    <definedName name="_78_0_S" hidden="1">#REF!</definedName>
    <definedName name="_781__________________________B_0__123Graph_XGráfico" hidden="1">#REF!</definedName>
    <definedName name="_784_________________________4_0__123Grap" hidden="1">#REF!</definedName>
    <definedName name="_789_________________________B_0__123Graph_XGráfico" hidden="1">#REF!</definedName>
    <definedName name="_79__123Graph_ACHART_13" hidden="1">#REF!</definedName>
    <definedName name="_79__123Graph_XCHART_11" hidden="1">#REF!</definedName>
    <definedName name="_79__123Graph_XCHART_2" hidden="1">#REF!</definedName>
    <definedName name="_792________________________4_0__123Grap" hidden="1">#REF!</definedName>
    <definedName name="_797________________________B_0__123Graph_XGráfico" hidden="1">#REF!</definedName>
    <definedName name="_7B_0__123Graph_XGráfico" hidden="1">#REF!</definedName>
    <definedName name="_8_____0_0_F" hidden="1">#REF!</definedName>
    <definedName name="_8____123Graph_BGRANULOMETRIA_1" hidden="1">#REF!</definedName>
    <definedName name="_8___123Graph_BGráfico_4A" hidden="1">#REF!</definedName>
    <definedName name="_8__123Graph_ACHART_10" hidden="1">#REF!</definedName>
    <definedName name="_8__123Graph_ACHART_11" hidden="1">#REF!</definedName>
    <definedName name="_8__123Graph_ACHART_12" hidden="1">#REF!</definedName>
    <definedName name="_8__123Graph_ACHART_13" hidden="1">#REF!</definedName>
    <definedName name="_8__123Graph_ACHART_16" hidden="1">#REF!</definedName>
    <definedName name="_8__123Graph_AGráfico_4A" hidden="1">#REF!</definedName>
    <definedName name="_8__123Graph_BCHART_3" hidden="1">#REF!</definedName>
    <definedName name="_8__123Graph_BCHART_4" hidden="1">#REF!</definedName>
    <definedName name="_8__123Graph_BGráfico_4A" hidden="1">#REF!</definedName>
    <definedName name="_8__123Graph_BGRANULOMETRIA_1" hidden="1">#REF!</definedName>
    <definedName name="_8__123Graph_BSE60_1" hidden="1">#REF!</definedName>
    <definedName name="_8__123Graph_CSE60_3" hidden="1">#REF!</definedName>
    <definedName name="_8__123Graph_DChart_1A" hidden="1">#REF!</definedName>
    <definedName name="_8__123Graph_XGráfico_4A" hidden="1">#REF!</definedName>
    <definedName name="_8__4____123Grap" hidden="1">#REF!</definedName>
    <definedName name="_8_0_0_F" hidden="1">#REF!</definedName>
    <definedName name="_8_4____123Grap" hidden="1">#REF!</definedName>
    <definedName name="_8_4_0__123Grap" hidden="1">#REF!</definedName>
    <definedName name="_8_B_0__123Graph_XGráfico" hidden="1">#REF!</definedName>
    <definedName name="_80__123Graph_XCHART_3" hidden="1">#REF!</definedName>
    <definedName name="_800_______________________4_0__123Grap" hidden="1">#REF!</definedName>
    <definedName name="_805_______________________B_0__123Graph_XGráfico" hidden="1">#REF!</definedName>
    <definedName name="_808______________________4_0__123Grap" hidden="1">#REF!</definedName>
    <definedName name="_81___B_0__123Graph_XGráfico" hidden="1">#REF!</definedName>
    <definedName name="_81__123Graph_BCHART_12" hidden="1">#REF!</definedName>
    <definedName name="_81__123Graph_XCHART_12" hidden="1">#REF!</definedName>
    <definedName name="_81__123Graph_XCHART_4" hidden="1">#REF!</definedName>
    <definedName name="_813______________________B_0__123Graph_XGráfico" hidden="1">#REF!</definedName>
    <definedName name="_816_____________________4_0__123Grap" hidden="1">#REF!</definedName>
    <definedName name="_82______________B_0__123Graph_XGráfico" hidden="1">#REF!</definedName>
    <definedName name="_82__123Graph_XCHART_5" hidden="1">#REF!</definedName>
    <definedName name="_82_0_0_F" hidden="1">#REF!</definedName>
    <definedName name="_821_____________________B_0__123Graph_XGráfico" hidden="1">#REF!</definedName>
    <definedName name="_824____________________4_0__123Grap" hidden="1">#REF!</definedName>
    <definedName name="_829____________________B_0__123Graph_XGráfico" hidden="1">#REF!</definedName>
    <definedName name="_83__123Graph_CCHART_10" hidden="1">#REF!</definedName>
    <definedName name="_83__123Graph_XCHART_13" hidden="1">#REF!</definedName>
    <definedName name="_83__123Graph_XCHART_8" hidden="1">#REF!</definedName>
    <definedName name="_832___________________4_0__123Grap" hidden="1">#REF!</definedName>
    <definedName name="_837___________________B_0__123Graph_XGráfico" hidden="1">#REF!</definedName>
    <definedName name="_84__123Graph_BSE60_3" hidden="1">#REF!</definedName>
    <definedName name="_84__123Graph_CSE60_2" hidden="1">#REF!</definedName>
    <definedName name="_84__123Graph_FSE60_1" hidden="1">#REF!</definedName>
    <definedName name="_84__123Graph_XCHART_9" hidden="1">#REF!</definedName>
    <definedName name="_84_B_0__123Graph_XGráfico" hidden="1">#REF!</definedName>
    <definedName name="_840__________________4_0__123Grap" hidden="1">#REF!</definedName>
    <definedName name="_845__________________B_0__123Graph_XGráfico" hidden="1">#REF!</definedName>
    <definedName name="_848_________________4_0__123Grap" hidden="1">#REF!</definedName>
    <definedName name="_85_____________4_0__123Grap" hidden="1">#REF!</definedName>
    <definedName name="_85__123Graph_BCHART_13" hidden="1">#REF!</definedName>
    <definedName name="_85__123Graph_CCHART_11" hidden="1">#REF!</definedName>
    <definedName name="_85__123Graph_XCHART_14" hidden="1">#REF!</definedName>
    <definedName name="_853_________________B_0__123Graph_XGráfico" hidden="1">#REF!</definedName>
    <definedName name="_856________________4_0__123Grap" hidden="1">#REF!</definedName>
    <definedName name="_861________________B_0__123Graph_XGráfico" hidden="1">#REF!</definedName>
    <definedName name="_864_______________4_0__123Grap" hidden="1">#REF!</definedName>
    <definedName name="_869_______________B_0__123Graph_XGráfico" hidden="1">#REF!</definedName>
    <definedName name="_87__123Graph_CCHART_12" hidden="1">#REF!</definedName>
    <definedName name="_87__123Graph_XCHART_15" hidden="1">#REF!</definedName>
    <definedName name="_87B_0__123Graph_XGráfico" hidden="1">#REF!</definedName>
    <definedName name="_88__123Graph_ACHART_14" hidden="1">#REF!</definedName>
    <definedName name="_88B____123Graph_XGráfico" hidden="1">#REF!</definedName>
    <definedName name="_89__123Graph_BCHART_1" hidden="1">#REF!</definedName>
    <definedName name="_89__123Graph_BCHART_14" hidden="1">#REF!</definedName>
    <definedName name="_89__123Graph_CCHART_13" hidden="1">#REF!</definedName>
    <definedName name="_89__123Graph_XCHART_16" hidden="1">#REF!</definedName>
    <definedName name="_9____0_0_F" hidden="1">#REF!</definedName>
    <definedName name="_9____123Graph_C__200__BPF" hidden="1">#REF!</definedName>
    <definedName name="_9___123Graph_AGráfico_4A" hidden="1">#REF!</definedName>
    <definedName name="_9__123Graph_ACHART_11" hidden="1">#REF!</definedName>
    <definedName name="_9__123Graph_ACHART_12" hidden="1">#REF!</definedName>
    <definedName name="_9__123Graph_ACHART_13" hidden="1">#REF!</definedName>
    <definedName name="_9__123Graph_ACHART_14" hidden="1">#REF!</definedName>
    <definedName name="_9__123Graph_ACHART_5" hidden="1">#REF!</definedName>
    <definedName name="_9__123Graph_BCHART_4" hidden="1">#REF!</definedName>
    <definedName name="_9__123Graph_BCHART_5" hidden="1">#REF!</definedName>
    <definedName name="_9__123Graph_BGráfico_4A" hidden="1">#REF!</definedName>
    <definedName name="_9__123Graph_C__200__BPF" hidden="1">#REF!</definedName>
    <definedName name="_9__123Graph_DSE60_1" hidden="1">#REF!</definedName>
    <definedName name="_9__123Graph_XGráfico_4A" hidden="1">#REF!</definedName>
    <definedName name="_9__4_0__123Grap" hidden="1">#REF!</definedName>
    <definedName name="_9_0_0_F" hidden="1">#REF!</definedName>
    <definedName name="_9_4____123Grap" hidden="1">#REF!</definedName>
    <definedName name="_9_4_0__123Grap" hidden="1">#REF!</definedName>
    <definedName name="_90_____________B_0__123Graph_XGráfico" hidden="1">#REF!</definedName>
    <definedName name="_90__123Graph_FSE60_2" hidden="1">#REF!</definedName>
    <definedName name="_90__123Graph_XCHART_2" hidden="1">#REF!</definedName>
    <definedName name="_90_0__123Grap" hidden="1">#REF!</definedName>
    <definedName name="_91__123Graph_BCHART_10" hidden="1">#REF!</definedName>
    <definedName name="_91__123Graph_CCHART_14" hidden="1">#REF!</definedName>
    <definedName name="_91__123Graph_XCHART_3" hidden="1">#REF!</definedName>
    <definedName name="_92__123Graph_BCHART_11" hidden="1">#REF!</definedName>
    <definedName name="_92__123Graph_BSE60_1" hidden="1">#REF!</definedName>
    <definedName name="_92__123Graph_XCHART_4" hidden="1">#REF!</definedName>
    <definedName name="_93____________4_0__123Grap" hidden="1">#REF!</definedName>
    <definedName name="_93__123Graph_BCHART_12" hidden="1">#REF!</definedName>
    <definedName name="_93__123Graph_BCHART_15" hidden="1">#REF!</definedName>
    <definedName name="_93__123Graph_CCHART_15" hidden="1">#REF!</definedName>
    <definedName name="_93__123Graph_XCHART_5" hidden="1">#REF!</definedName>
    <definedName name="_95__123Graph_BCHART_13" hidden="1">#REF!</definedName>
    <definedName name="_95__123Graph_CCHART_16" hidden="1">#REF!</definedName>
    <definedName name="_95__123Graph_XCHART_8" hidden="1">#REF!</definedName>
    <definedName name="_96__123Graph_BCHART_14" hidden="1">#REF!</definedName>
    <definedName name="_96__123Graph_CSE60_3" hidden="1">#REF!</definedName>
    <definedName name="_96__123Graph_FSE60_3" hidden="1">#REF!</definedName>
    <definedName name="_97__123Graph_ACHART_15" hidden="1">#REF!</definedName>
    <definedName name="_97__123Graph_BCHART_16" hidden="1">#REF!</definedName>
    <definedName name="_97__123Graph_CCHART_7" hidden="1">#REF!</definedName>
    <definedName name="_97__123Graph_XCHART_9" hidden="1">#REF!</definedName>
    <definedName name="_98____________B_0__123Graph_XGráfico" hidden="1">#REF!</definedName>
    <definedName name="_98__123Graph_BCHART_15" hidden="1">#REF!</definedName>
    <definedName name="_98__123Graph_CSE60_2" hidden="1">#REF!</definedName>
    <definedName name="_99____0_0_F" hidden="1">#REF!</definedName>
    <definedName name="_99__123Graph_BCHART_16" hidden="1">#REF!</definedName>
    <definedName name="_99__123Graph_CCHART_8" hidden="1">#REF!</definedName>
    <definedName name="_9B____123Graph_XGráfico" hidden="1">#REF!</definedName>
    <definedName name="_9Dist_" hidden="1">#REF!</definedName>
    <definedName name="_a">#REF!</definedName>
    <definedName name="_a1" hidden="1">{"TAB1",#N/A,TRUE,"GENERAL";"TAB2",#N/A,TRUE,"GENERAL";"TAB3",#N/A,TRUE,"GENERAL";"TAB4",#N/A,TRUE,"GENERAL";"TAB5",#N/A,TRUE,"GENERAL"}</definedName>
    <definedName name="_A17000">#REF!</definedName>
    <definedName name="_A2" hidden="1">{#N/A,#N/A,FALSE,"Costos Productos 6A";#N/A,#N/A,FALSE,"Costo Unitario Total H-94-12"}</definedName>
    <definedName name="_A20000">#REF!</definedName>
    <definedName name="_a3" hidden="1">{"TAB1",#N/A,TRUE,"GENERAL";"TAB2",#N/A,TRUE,"GENERAL";"TAB3",#N/A,TRUE,"GENERAL";"TAB4",#N/A,TRUE,"GENERAL";"TAB5",#N/A,TRUE,"GENERAL"}</definedName>
    <definedName name="_A30000">#REF!</definedName>
    <definedName name="_a4" hidden="1">{"via1",#N/A,TRUE,"general";"via2",#N/A,TRUE,"general";"via3",#N/A,TRUE,"general"}</definedName>
    <definedName name="_a5" hidden="1">{"TAB1",#N/A,TRUE,"GENERAL";"TAB2",#N/A,TRUE,"GENERAL";"TAB3",#N/A,TRUE,"GENERAL";"TAB4",#N/A,TRUE,"GENERAL";"TAB5",#N/A,TRUE,"GENERAL"}</definedName>
    <definedName name="_a6" hidden="1">{"TAB1",#N/A,TRUE,"GENERAL";"TAB2",#N/A,TRUE,"GENERAL";"TAB3",#N/A,TRUE,"GENERAL";"TAB4",#N/A,TRUE,"GENERAL";"TAB5",#N/A,TRUE,"GENERAL"}</definedName>
    <definedName name="_aa1" hidden="1">{#N/A,#N/A,FALSE,"Costos Productos 6A";#N/A,#N/A,FALSE,"Costo Unitario Total H-94-12"}</definedName>
    <definedName name="_aaa1" hidden="1">{#N/A,#N/A,FALSE,"Costos Productos 6A";#N/A,#N/A,FALSE,"Costo Unitario Total H-94-12"}</definedName>
    <definedName name="_AAS1" hidden="1">{#N/A,#N/A,TRUE,"INGENIERIA";#N/A,#N/A,TRUE,"COMPRAS";#N/A,#N/A,TRUE,"DIRECCION";#N/A,#N/A,TRUE,"RESUMEN"}</definedName>
    <definedName name="_ABC1" hidden="1">{#N/A,#N/A,TRUE,"1842CWN0"}</definedName>
    <definedName name="_abc2" hidden="1">{#N/A,#N/A,TRUE,"1842CWN0"}</definedName>
    <definedName name="_ACCURACY">#REF!</definedName>
    <definedName name="_act_air_sp">#REF!</definedName>
    <definedName name="_act_fail">#REF!</definedName>
    <definedName name="_act_mfr">#REF!</definedName>
    <definedName name="_act_model">#REF!</definedName>
    <definedName name="_act_mwap">#REF!</definedName>
    <definedName name="_act_orient">#REF!</definedName>
    <definedName name="_act_pts">#REF!</definedName>
    <definedName name="_act_size">#REF!</definedName>
    <definedName name="_act_type">#REF!</definedName>
    <definedName name="_ACTIVPASIV">#REF!</definedName>
    <definedName name="_ADJ_RNGE">#REF!</definedName>
    <definedName name="_AFC1">#REF!</definedName>
    <definedName name="_AFC3">#REF!</definedName>
    <definedName name="_AFC5">#REF!</definedName>
    <definedName name="_air_gauge">#REF!</definedName>
    <definedName name="_air_mfr">#REF!</definedName>
    <definedName name="_air_model">#REF!</definedName>
    <definedName name="_airfailvlv">#REF!</definedName>
    <definedName name="_AL_BPRESS">#REF!</definedName>
    <definedName name="_ALLOWED_DP">#REF!</definedName>
    <definedName name="_AMB_TEMP">#REF!</definedName>
    <definedName name="_ANO10">#REF!</definedName>
    <definedName name="_ANO11">#REF!</definedName>
    <definedName name="_ANO12">#REF!</definedName>
    <definedName name="_ANO13">#REF!</definedName>
    <definedName name="_ANO14">#REF!</definedName>
    <definedName name="_ANO15">#REF!</definedName>
    <definedName name="_ANO16">#REF!</definedName>
    <definedName name="_ANO17">#REF!</definedName>
    <definedName name="_ANO18">#REF!</definedName>
    <definedName name="_ANO19">#REF!</definedName>
    <definedName name="_ANO2">#REF!</definedName>
    <definedName name="_ANO20">#REF!</definedName>
    <definedName name="_ANO21">#REF!</definedName>
    <definedName name="_ANO22">#REF!</definedName>
    <definedName name="_ANO23">#REF!</definedName>
    <definedName name="_ANO24">#REF!</definedName>
    <definedName name="_ANO3">#REF!</definedName>
    <definedName name="_ANO4">#REF!</definedName>
    <definedName name="_ANO5">#REF!</definedName>
    <definedName name="_ANO6">#REF!</definedName>
    <definedName name="_ANO7">#REF!</definedName>
    <definedName name="_ANO8">#REF!</definedName>
    <definedName name="_ANO9">#REF!</definedName>
    <definedName name="_ansi_class">#REF!</definedName>
    <definedName name="_Ant3" hidden="1">{"'banner (abr)'!$A$14:$G$22"}</definedName>
    <definedName name="_API93">#REF!</definedName>
    <definedName name="_APU221">#REF!</definedName>
    <definedName name="_APU465">#REF!</definedName>
    <definedName name="_AREACLASS">#REF!</definedName>
    <definedName name="_asdfasd" hidden="1">#REF!</definedName>
    <definedName name="_Atp2">#REF!</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CorrelationEnabledState" hidden="1">1</definedName>
    <definedName name="_AtRisk_SimSetting_GoalSeekTargetValue" hidden="1">0</definedName>
    <definedName name="_AtRisk_SimSetting_LiveUpdate" hidden="1">TRUE</definedName>
    <definedName name="_AtRisk_SimSetting_LiveUpdatePeriod" hidden="1">-1</definedName>
    <definedName name="_AtRisk_SimSetting_MacroMode" hidden="1">0</definedName>
    <definedName name="_AtRisk_SimSetting_MacroRecalculationBehavior" hidden="1">0</definedName>
    <definedName name="_AtRisk_SimSetting_MaxAutoIterations" hidden="1">50000</definedName>
    <definedName name="_AtRisk_SimSetting_MultipleCPUCount" hidden="1">-1</definedName>
    <definedName name="_AtRisk_SimSetting_MultipleCPUManualCount" hidden="1">4</definedName>
    <definedName name="_AtRisk_SimSetting_MultipleCPUMode" hidden="1">2</definedName>
    <definedName name="_AtRisk_SimSetting_MultipleCPUModeV8" hidden="1">2</definedName>
    <definedName name="_AtRisk_SimSetting_RandomNumberGenerator" hidden="1">0</definedName>
    <definedName name="_AtRisk_SimSetting_ReportOptionCustomItemCumulativeOverlay01" hidden="1">0</definedName>
    <definedName name="_AtRisk_SimSetting_ReportOptionCustomItemCumulativeOverlay02" hidden="1">0</definedName>
    <definedName name="_AtRisk_SimSetting_ReportOptionCustomItemCumulativeOverlay03" hidden="1">0</definedName>
    <definedName name="_AtRisk_SimSetting_ReportOptionCustomItemCumulativeOverlay04" hidden="1">0</definedName>
    <definedName name="_AtRisk_SimSetting_ReportOptionCustomItemCumulativeOverlay05" hidden="1">0</definedName>
    <definedName name="_AtRisk_SimSetting_ReportOptionCustomItemCumulativeOverlay06" hidden="1">0</definedName>
    <definedName name="_AtRisk_SimSetting_ReportOptionCustomItemDistributionFormat01" hidden="1">1</definedName>
    <definedName name="_AtRisk_SimSetting_ReportOptionCustomItemDistributionFormat02" hidden="1">1</definedName>
    <definedName name="_AtRisk_SimSetting_ReportOptionCustomItemDistributionFormat03" hidden="1">4</definedName>
    <definedName name="_AtRisk_SimSetting_ReportOptionCustomItemDistributionFormat04" hidden="1">1</definedName>
    <definedName name="_AtRisk_SimSetting_ReportOptionCustomItemDistributionFormat05" hidden="1">1</definedName>
    <definedName name="_AtRisk_SimSetting_ReportOptionCustomItemDistributionFormat06" hidden="1">1</definedName>
    <definedName name="_AtRisk_SimSetting_ReportOptionCustomItemGraphFormat01" hidden="1">1</definedName>
    <definedName name="_AtRisk_SimSetting_ReportOptionCustomItemGraphFormat02" hidden="1">1</definedName>
    <definedName name="_AtRisk_SimSetting_ReportOptionCustomItemGraphFormat03" hidden="1">1</definedName>
    <definedName name="_AtRisk_SimSetting_ReportOptionCustomItemGraphFormat04" hidden="1">1</definedName>
    <definedName name="_AtRisk_SimSetting_ReportOptionCustomItemGraphFormat05" hidden="1">1</definedName>
    <definedName name="_AtRisk_SimSetting_ReportOptionCustomItemGraphFormat06" hidden="1">1</definedName>
    <definedName name="_AtRisk_SimSetting_ReportOptionCustomItemItemIndex01" hidden="1">0</definedName>
    <definedName name="_AtRisk_SimSetting_ReportOptionCustomItemItemIndex02" hidden="1">1</definedName>
    <definedName name="_AtRisk_SimSetting_ReportOptionCustomItemItemIndex03" hidden="1">2</definedName>
    <definedName name="_AtRisk_SimSetting_ReportOptionCustomItemItemIndex04" hidden="1">3</definedName>
    <definedName name="_AtRisk_SimSetting_ReportOptionCustomItemItemIndex05" hidden="1">4</definedName>
    <definedName name="_AtRisk_SimSetting_ReportOptionCustomItemItemIndex06" hidden="1">5</definedName>
    <definedName name="_AtRisk_SimSetting_ReportOptionCustomItemItemSize01" hidden="1">0</definedName>
    <definedName name="_AtRisk_SimSetting_ReportOptionCustomItemItemSize02" hidden="1">0</definedName>
    <definedName name="_AtRisk_SimSetting_ReportOptionCustomItemItemSize03" hidden="1">0</definedName>
    <definedName name="_AtRisk_SimSetting_ReportOptionCustomItemItemSize04" hidden="1">0</definedName>
    <definedName name="_AtRisk_SimSetting_ReportOptionCustomItemItemSize05" hidden="1">0</definedName>
    <definedName name="_AtRisk_SimSetting_ReportOptionCustomItemItemSize06" hidden="1">0</definedName>
    <definedName name="_AtRisk_SimSetting_ReportOptionCustomItemItemType01" hidden="1">1</definedName>
    <definedName name="_AtRisk_SimSetting_ReportOptionCustomItemItemType02" hidden="1">5</definedName>
    <definedName name="_AtRisk_SimSetting_ReportOptionCustomItemItemType03" hidden="1">1</definedName>
    <definedName name="_AtRisk_SimSetting_ReportOptionCustomItemItemType04" hidden="1">3</definedName>
    <definedName name="_AtRisk_SimSetting_ReportOptionCustomItemItemType05" hidden="1">2</definedName>
    <definedName name="_AtRisk_SimSetting_ReportOptionCustomItemItemType06" hidden="1">4</definedName>
    <definedName name="_AtRisk_SimSetting_ReportOptionCustomItemLegendType01" hidden="1">0</definedName>
    <definedName name="_AtRisk_SimSetting_ReportOptionCustomItemLegendType02" hidden="1">0</definedName>
    <definedName name="_AtRisk_SimSetting_ReportOptionCustomItemLegendType03" hidden="1">0</definedName>
    <definedName name="_AtRisk_SimSetting_ReportOptionCustomItemLegendType04" hidden="1">0</definedName>
    <definedName name="_AtRisk_SimSetting_ReportOptionCustomItemLegendType05" hidden="1">0</definedName>
    <definedName name="_AtRisk_SimSetting_ReportOptionCustomItemLegendType06" hidden="1">0</definedName>
    <definedName name="_AtRisk_SimSetting_ReportOptionCustomItemsCount" hidden="1">0</definedName>
    <definedName name="_AtRisk_SimSetting_ReportOptionCustomItemSensitivityFormat01" hidden="1">1</definedName>
    <definedName name="_AtRisk_SimSetting_ReportOptionCustomItemSensitivityFormat02" hidden="1">1</definedName>
    <definedName name="_AtRisk_SimSetting_ReportOptionCustomItemSensitivityFormat03" hidden="1">1</definedName>
    <definedName name="_AtRisk_SimSetting_ReportOptionCustomItemSensitivityFormat04" hidden="1">1</definedName>
    <definedName name="_AtRisk_SimSetting_ReportOptionCustomItemSensitivityFormat05" hidden="1">1</definedName>
    <definedName name="_AtRisk_SimSetting_ReportOptionCustomItemSensitivityFormat06" hidden="1">1</definedName>
    <definedName name="_AtRisk_SimSetting_ReportOptionCustomItemSummaryGraphType01" hidden="1">0</definedName>
    <definedName name="_AtRisk_SimSetting_ReportOptionCustomItemSummaryGraphType02" hidden="1">0</definedName>
    <definedName name="_AtRisk_SimSetting_ReportOptionCustomItemSummaryGraphType03" hidden="1">0</definedName>
    <definedName name="_AtRisk_SimSetting_ReportOptionCustomItemSummaryGraphType04" hidden="1">0</definedName>
    <definedName name="_AtRisk_SimSetting_ReportOptionCustomItemSummaryGraphType05" hidden="1">0</definedName>
    <definedName name="_AtRisk_SimSetting_ReportOptionCustomItemSummaryGraphType06" hidden="1">0</definedName>
    <definedName name="_AtRisk_SimSetting_ReportOptionDataMode" hidden="1">1</definedName>
    <definedName name="_AtRisk_SimSetting_ReportOptionReportMultiSimType" hidden="1">1</definedName>
    <definedName name="_AtRisk_SimSetting_ReportOptionReportPlacement" hidden="1">1</definedName>
    <definedName name="_AtRisk_SimSetting_ReportOptionReportSelection" hidden="1">0</definedName>
    <definedName name="_AtRisk_SimSetting_ReportOptionReportsFileType" hidden="1">1</definedName>
    <definedName name="_AtRisk_SimSetting_ReportOptionReportStyle" hidden="1">1</definedName>
    <definedName name="_AtRisk_SimSetting_ReportOptionSelectiveQR" hidden="1">FALSE</definedName>
    <definedName name="_AtRisk_SimSetting_ReportsList" hidden="1">28</definedName>
    <definedName name="_AtRisk_SimSetting_ShowSimulationProgressWindow" hidden="1">TRUE</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AUTO_RESET">#REF!</definedName>
    <definedName name="_B">#REF!</definedName>
    <definedName name="_b2" hidden="1">{"TAB1",#N/A,TRUE,"GENERAL";"TAB2",#N/A,TRUE,"GENERAL";"TAB3",#N/A,TRUE,"GENERAL";"TAB4",#N/A,TRUE,"GENERAL";"TAB5",#N/A,TRUE,"GENERAL"}</definedName>
    <definedName name="_b3" hidden="1">{"TAB1",#N/A,TRUE,"GENERAL";"TAB2",#N/A,TRUE,"GENERAL";"TAB3",#N/A,TRUE,"GENERAL";"TAB4",#N/A,TRUE,"GENERAL";"TAB5",#N/A,TRUE,"GENERAL"}</definedName>
    <definedName name="_b4" hidden="1">{"TAB1",#N/A,TRUE,"GENERAL";"TAB2",#N/A,TRUE,"GENERAL";"TAB3",#N/A,TRUE,"GENERAL";"TAB4",#N/A,TRUE,"GENERAL";"TAB5",#N/A,TRUE,"GENERAL"}</definedName>
    <definedName name="_b5" hidden="1">{"TAB1",#N/A,TRUE,"GENERAL";"TAB2",#N/A,TRUE,"GENERAL";"TAB3",#N/A,TRUE,"GENERAL";"TAB4",#N/A,TRUE,"GENERAL";"TAB5",#N/A,TRUE,"GENERAL"}</definedName>
    <definedName name="_b6" hidden="1">{"TAB1",#N/A,TRUE,"GENERAL";"TAB2",#N/A,TRUE,"GENERAL";"TAB3",#N/A,TRUE,"GENERAL";"TAB4",#N/A,TRUE,"GENERAL";"TAB5",#N/A,TRUE,"GENERAL"}</definedName>
    <definedName name="_b7" hidden="1">{"via1",#N/A,TRUE,"general";"via2",#N/A,TRUE,"general";"via3",#N/A,TRUE,"general"}</definedName>
    <definedName name="_b8" hidden="1">{"via1",#N/A,TRUE,"general";"via2",#N/A,TRUE,"general";"via3",#N/A,TRUE,"general"}</definedName>
    <definedName name="_BACK_PRESS">#REF!</definedName>
    <definedName name="_BAK_PRES">#REF!</definedName>
    <definedName name="_balanced">#REF!</definedName>
    <definedName name="_BAS_SELECT">#REF!</definedName>
    <definedName name="_Base_datos_a_filtrar" hidden="1">#REF!</definedName>
    <definedName name="_bb9" hidden="1">{"TAB1",#N/A,TRUE,"GENERAL";"TAB2",#N/A,TRUE,"GENERAL";"TAB3",#N/A,TRUE,"GENERAL";"TAB4",#N/A,TRUE,"GENERAL";"TAB5",#N/A,TRUE,"GENERAL"}</definedName>
    <definedName name="_BCKFLO_PRE">#REF!</definedName>
    <definedName name="_BDR1">#REF!</definedName>
    <definedName name="_BELL_MATL">#REF!</definedName>
    <definedName name="_bench_rnge">#REF!</definedName>
    <definedName name="_bgb5" hidden="1">{"TAB1",#N/A,TRUE,"GENERAL";"TAB2",#N/A,TRUE,"GENERAL";"TAB3",#N/A,TRUE,"GENERAL";"TAB4",#N/A,TRUE,"GENERAL";"TAB5",#N/A,TRUE,"GENERAL"}</definedName>
    <definedName name="_BGC1">#REF!</definedName>
    <definedName name="_BGC3">#REF!</definedName>
    <definedName name="_BGC5">#REF!</definedName>
    <definedName name="_BI_DIR_MSR">#REF!</definedName>
    <definedName name="_BLOWDNREQ">#REF!</definedName>
    <definedName name="_BLOWDNVAL">#REF!</definedName>
    <definedName name="_bob1" hidden="1">{#N/A,#N/A,FALSE,"Qtly Summ.";#N/A,#N/A,FALSE,"Cost Report";#N/A,#N/A,FALSE,"Sept Qtr";#N/A,#N/A,FALSE,"Report Summary";#N/A,#N/A,FALSE,"Cost Summary";#N/A,#N/A,FALSE,"Op Cost Summ";#N/A,#N/A,FALSE,"Central";#N/A,#N/A,FALSE,"Discovery";#N/A,#N/A,FALSE,"Total Production";#N/A,#N/A,FALSE,"UG Summary";#N/A,#N/A,FALSE,"UG Geology Rep.";#N/A,#N/A,FALSE,"Table 2.1";#N/A,#N/A,FALSE,"Plant Statistics";#N/A,#N/A,FALSE,"Advanced Dev.";#N/A,#N/A,FALSE,"Backfill Distrib.";#N/A,#N/A,FALSE,"Stockpile Adj.";#N/A,#N/A,FALSE,"Backfill Detail";#N/A,#N/A,FALSE,"CAPEX";#N/A,#N/A,FALSE,"Capital Detail";#N/A,#N/A,FALSE,"Advanced Dev."}</definedName>
    <definedName name="_bob2" hidden="1">{#N/A,#N/A,FALSE,"Qtly Summ.";#N/A,#N/A,FALSE,"Cost Report";#N/A,#N/A,FALSE,"Sept Qtr";#N/A,#N/A,FALSE,"Report Summary";#N/A,#N/A,FALSE,"Cost Summary";#N/A,#N/A,FALSE,"Op Cost Summ";#N/A,#N/A,FALSE,"Central";#N/A,#N/A,FALSE,"Discovery";#N/A,#N/A,FALSE,"Total Production";#N/A,#N/A,FALSE,"UG Summary";#N/A,#N/A,FALSE,"UG Geology Rep.";#N/A,#N/A,FALSE,"Table 2.1";#N/A,#N/A,FALSE,"Plant Statistics";#N/A,#N/A,FALSE,"Advanced Dev.";#N/A,#N/A,FALSE,"Backfill Distrib.";#N/A,#N/A,FALSE,"Stockpile Adj.";#N/A,#N/A,FALSE,"Backfill Detail";#N/A,#N/A,FALSE,"CAPEX";#N/A,#N/A,FALSE,"Capital Detail";#N/A,#N/A,FALSE,"Advanced Dev."}</definedName>
    <definedName name="_BODY_MATL">#REF!</definedName>
    <definedName name="_BOGOTA" hidden="1">#REF!</definedName>
    <definedName name="_bonet_type">#REF!</definedName>
    <definedName name="_BONT_TYPE">#REF!</definedName>
    <definedName name="_boq1">#REF!</definedName>
    <definedName name="_boq19">#REF!</definedName>
    <definedName name="_boq20">#REF!</definedName>
    <definedName name="_boq21">#REF!</definedName>
    <definedName name="_boq22">#REF!</definedName>
    <definedName name="_boq23">#REF!</definedName>
    <definedName name="_boq24">#REF!</definedName>
    <definedName name="_boq25">#REF!</definedName>
    <definedName name="_boq26">#REF!</definedName>
    <definedName name="_boq27">#REF!</definedName>
    <definedName name="_boq28">#REF!</definedName>
    <definedName name="_boq29">#REF!</definedName>
    <definedName name="_boq30">#REF!</definedName>
    <definedName name="_boq31">#REF!</definedName>
    <definedName name="_boq32">#REF!</definedName>
    <definedName name="_boq33">#REF!</definedName>
    <definedName name="_boq34">#REF!</definedName>
    <definedName name="_boq35">#REF!</definedName>
    <definedName name="_boq36">#REF!</definedName>
    <definedName name="_boq37">#REF!</definedName>
    <definedName name="_boq38">#REF!</definedName>
    <definedName name="_BORE">#REF!</definedName>
    <definedName name="_BRI10">#REF!</definedName>
    <definedName name="_BRI12">#REF!</definedName>
    <definedName name="_BRI3">#REF!</definedName>
    <definedName name="_BRI4">#REF!</definedName>
    <definedName name="_BRI6">#REF!</definedName>
    <definedName name="_BRI8">#REF!</definedName>
    <definedName name="_C" hidden="1">{#N/A,#N/A,TRUE,"1842CWN0"}</definedName>
    <definedName name="_C001">#REF!</definedName>
    <definedName name="_C050">#REF!</definedName>
    <definedName name="_C100">#REF!</definedName>
    <definedName name="_C150">#REF!</definedName>
    <definedName name="_CAC1">#REF!</definedName>
    <definedName name="_CAC3">#REF!</definedName>
    <definedName name="_CAC5">#REF!</definedName>
    <definedName name="_CALC_REF">#REF!</definedName>
    <definedName name="_CALI_RNGE">#REF!</definedName>
    <definedName name="_CAP">#REF!</definedName>
    <definedName name="_CAP1">#REF!</definedName>
    <definedName name="_CAP10">#REF!</definedName>
    <definedName name="_CAP11">#REF!</definedName>
    <definedName name="_CAP12">#REF!</definedName>
    <definedName name="_CAP13">#REF!</definedName>
    <definedName name="_CAP2">#REF!</definedName>
    <definedName name="_CAP3">#REF!</definedName>
    <definedName name="_CAP30">#REF!</definedName>
    <definedName name="_CAP4">#REF!</definedName>
    <definedName name="_CAP5">#REF!</definedName>
    <definedName name="_CAP6">#REF!</definedName>
    <definedName name="_CAP7">#REF!</definedName>
    <definedName name="_CAP8">#REF!</definedName>
    <definedName name="_CAP9">#REF!</definedName>
    <definedName name="_CAS_MATRL">#REF!</definedName>
    <definedName name="_cc1" hidden="1">{"DETALLE_1996",#N/A,FALSE,"flujo";"DETALLE_1997",#N/A,FALSE,"flujo";"GASTOS_INCURRIDOS_1996",#N/A,FALSE,"flujo";"GASTOS_PROGRAMADOS_PARA_1997",#N/A,FALSE,"flujo";#N/A,#N/A,FALSE,"comparat";#N/A,#N/A,FALSE,"costos";#N/A,#N/A,FALSE,"proyctrol"}</definedName>
    <definedName name="_ccc1" hidden="1">{#N/A,#N/A,FALSE,"Solids &amp; Flow"}</definedName>
    <definedName name="_CCT1">#REF!</definedName>
    <definedName name="_CCT2">#REF!</definedName>
    <definedName name="_CCT3">#REF!</definedName>
    <definedName name="_CCT4">#REF!</definedName>
    <definedName name="_CCT5">#REF!</definedName>
    <definedName name="_CCT6">#REF!</definedName>
    <definedName name="_cey" hidden="1">#REF!</definedName>
    <definedName name="_CLD_SET_PR">#REF!</definedName>
    <definedName name="_CLD_SET_PR1">#REF!</definedName>
    <definedName name="_CMU005" hidden="1">#REF!</definedName>
    <definedName name="_CMY07">#REF!</definedName>
    <definedName name="_CMY08">#REF!</definedName>
    <definedName name="_CMY09">#REF!</definedName>
    <definedName name="_CMY10">#REF!</definedName>
    <definedName name="_CMY11">#REF!</definedName>
    <definedName name="_CMY12">#REF!</definedName>
    <definedName name="_CMY13">#REF!</definedName>
    <definedName name="_CMY14">#REF!</definedName>
    <definedName name="_CMY15">#REF!</definedName>
    <definedName name="_CMY16">#REF!</definedName>
    <definedName name="_CMY17">#REF!</definedName>
    <definedName name="_CMY18">#REF!</definedName>
    <definedName name="_CMY19">#REF!</definedName>
    <definedName name="_CMY20">#REF!</definedName>
    <definedName name="_COD906">#REF!</definedName>
    <definedName name="_COMP_FACT">#REF!</definedName>
    <definedName name="_CON1" hidden="1">{#N/A,#N/A,FALSE,"T1C97";#N/A,#N/A,FALSE,"T2C97";#N/A,#N/A,FALSE,"T3AC97";#N/A,#N/A,FALSE,"T4C97";#N/A,#N/A,FALSE,"T5C97";#N/A,#N/A,FALSE,"T6C97";#N/A,#N/A,FALSE,"T3C97";#N/A,#N/A,FALSE,"T7C97";#N/A,#N/A,FALSE,"T8C97";#N/A,#N/A,FALSE,"T9C97";#N/A,#N/A,FALSE,"T13C97"}</definedName>
    <definedName name="_CON11" hidden="1">{#N/A,#N/A,FALSE,"T1C97";#N/A,#N/A,FALSE,"T2C97";#N/A,#N/A,FALSE,"T3AC97";#N/A,#N/A,FALSE,"T4C97";#N/A,#N/A,FALSE,"T5C97";#N/A,#N/A,FALSE,"T6C97";#N/A,#N/A,FALSE,"T3C97";#N/A,#N/A,FALSE,"T7C97";#N/A,#N/A,FALSE,"T8C97";#N/A,#N/A,FALSE,"T9C97";#N/A,#N/A,FALSE,"T13C97"}</definedName>
    <definedName name="_cont_rate">#REF!</definedName>
    <definedName name="_contacts">#REF!</definedName>
    <definedName name="_cort" hidden="1">#REF!</definedName>
    <definedName name="_cp92000" hidden="1">{#N/A,#N/A,TRUE,"Caps1-5";#N/A,#N/A,TRUE,"Cap6";#N/A,#N/A,TRUE,"Caps7-8";#N/A,#N/A,TRUE,"Cap9-Resumo";#N/A,#N/A,TRUE,"Cap9-Det-2000";#N/A,#N/A,TRUE,"Cap9-Det-2001";#N/A,#N/A,TRUE,"Caps10-11"}</definedName>
    <definedName name="_cri_p_unit">#REF!</definedName>
    <definedName name="_crit_press">#REF!</definedName>
    <definedName name="_d4" hidden="1">{#N/A,#N/A,TRUE,"1842CWN0"}</definedName>
    <definedName name="_d8" hidden="1">{#N/A,#N/A,TRUE,"1842CWN0"}</definedName>
    <definedName name="_DAT1">#REF!</definedName>
    <definedName name="_DAT10">#REF!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EC93">#REF!</definedName>
    <definedName name="_DES_CODE">#REF!</definedName>
    <definedName name="_df2" hidden="1">{"CONSEJO",#N/A,FALSE,"Dist p0";"CONSEJO",#N/A,FALSE,"Ficha CODICE"}</definedName>
    <definedName name="_df8"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_df9" hidden="1">{#N/A,#N/A,TRUE,"1842CWN0"}</definedName>
    <definedName name="_DIAL_COLOR">#REF!</definedName>
    <definedName name="_dial_dia">#REF!</definedName>
    <definedName name="_DIAL_RANGE">#REF!</definedName>
    <definedName name="_DIAPH_MATL">#REF!</definedName>
    <definedName name="_Dist_Bin" hidden="1">#REF!</definedName>
    <definedName name="_Dist_Values" hidden="1">#REF!</definedName>
    <definedName name="_DOC_NAME">#REF!</definedName>
    <definedName name="_DP_OVERNG">#REF!</definedName>
    <definedName name="_DSC_MATL">#REF!</definedName>
    <definedName name="_dvr4" hidden="1">{#N/A,#N/A,FALSE,"SMT1";#N/A,#N/A,FALSE,"SMT2";#N/A,#N/A,FALSE,"Summary";#N/A,#N/A,FALSE,"Graphs";#N/A,#N/A,FALSE,"4 Panel"}</definedName>
    <definedName name="_ECA2" hidden="1">{"EVA",#N/A,FALSE,"SMT2";#N/A,#N/A,FALSE,"Summary";#N/A,#N/A,FALSE,"Graphs";#N/A,#N/A,FALSE,"4 Panel"}</definedName>
    <definedName name="_eff_area">#REF!</definedName>
    <definedName name="_ELEC_APPR">#REF!</definedName>
    <definedName name="_ELEC_APR">#REF!</definedName>
    <definedName name="_EMP10">#REF!</definedName>
    <definedName name="_EMP12">#REF!</definedName>
    <definedName name="_EMP3">#REF!</definedName>
    <definedName name="_EMP4">#REF!</definedName>
    <definedName name="_EMP6">#REF!</definedName>
    <definedName name="_EMP8">#REF!</definedName>
    <definedName name="_END_CONN">#REF!</definedName>
    <definedName name="_endextmatl">#REF!</definedName>
    <definedName name="_ESP1">#REF!</definedName>
    <definedName name="_ESP2">#REF!</definedName>
    <definedName name="_ESP3">#REF!</definedName>
    <definedName name="_ESP4">#REF!</definedName>
    <definedName name="_EST1">#REF!</definedName>
    <definedName name="_EST10">#REF!</definedName>
    <definedName name="_EST11">#REF!</definedName>
    <definedName name="_EST12">#REF!</definedName>
    <definedName name="_EST13">#REF!</definedName>
    <definedName name="_EST14">#REF!</definedName>
    <definedName name="_EST15">#REF!</definedName>
    <definedName name="_EST16">#REF!</definedName>
    <definedName name="_EST17">#REF!</definedName>
    <definedName name="_EST18">#REF!</definedName>
    <definedName name="_EST19">#REF!</definedName>
    <definedName name="_EST2">#REF!</definedName>
    <definedName name="_EST3">#REF!</definedName>
    <definedName name="_EST4">#REF!</definedName>
    <definedName name="_EST5">#REF!</definedName>
    <definedName name="_EST6">#REF!</definedName>
    <definedName name="_EST7">#REF!</definedName>
    <definedName name="_EST8">#REF!</definedName>
    <definedName name="_EST9">#REF!</definedName>
    <definedName name="_EXC1">#REF!</definedName>
    <definedName name="_EXC10">#REF!</definedName>
    <definedName name="_EXC11">#REF!</definedName>
    <definedName name="_EXC12">#REF!</definedName>
    <definedName name="_EXC2">#REF!</definedName>
    <definedName name="_EXC3">#REF!</definedName>
    <definedName name="_EXC4">#REF!</definedName>
    <definedName name="_EXC5">#REF!</definedName>
    <definedName name="_EXC6">#REF!</definedName>
    <definedName name="_EXC7">#REF!</definedName>
    <definedName name="_EXC8">#REF!</definedName>
    <definedName name="_EXC9">#REF!</definedName>
    <definedName name="_EXT_CABLE">#REF!</definedName>
    <definedName name="_F" hidden="1">{"krl1",#N/A,FALSE,"kr";"krl2",#N/A,FALSE,"kr";"compara",#N/A,FALSE,"kr";"desconp1",#N/A,FALSE,"kr";"desconp12",#N/A,FALSE,"kr";"krnp1",#N/A,FALSE,"kr";"krnp2",#N/A,FALSE,"kr";"krp12avg",#N/A,FALSE,"kr";"krp1avg",#N/A,FALSE,"kr"}</definedName>
    <definedName name="_F263k113">#REF!</definedName>
    <definedName name="_f2f_dim">#REF!</definedName>
    <definedName name="_FAIL_ACT">#REF!</definedName>
    <definedName name="_FC" hidden="1">{"DETALLE_1996",#N/A,FALSE,"flujo";"DETALLE_1997",#N/A,FALSE,"flujo";"GASTOS_INCURRIDOS_1996",#N/A,FALSE,"flujo";"GASTOS_PROGRAMADOS_PARA_1997",#N/A,FALSE,"flujo";#N/A,#N/A,FALSE,"comparat";#N/A,#N/A,FALSE,"costos";#N/A,#N/A,FALSE,"proyctrol"}</definedName>
    <definedName name="_FHE7" hidden="1">{#N/A,#N/A,FALSE,"masez (10)";#N/A,#N/A,FALSE,"masez (7)";#N/A,#N/A,FALSE,"masez (6)";#N/A,#N/A,FALSE,"masez (5)";#N/A,#N/A,FALSE,"masez (4)";#N/A,#N/A,FALSE,"masez (3)";#N/A,#N/A,FALSE,"masez (2)";#N/A,#N/A,FALSE,"GME";#N/A,#N/A,FALSE,"masez"}</definedName>
    <definedName name="_Fil" hidden="1">#REF!</definedName>
    <definedName name="_Fill" hidden="1">#REF!</definedName>
    <definedName name="_FILL." hidden="1">#REF!</definedName>
    <definedName name="_FILTER">#REF!</definedName>
    <definedName name="_xlnm._FilterDatabase" localSheetId="0" hidden="1">Proyectado!$A$7:$BN$703</definedName>
    <definedName name="_xlnm._FilterDatabase" hidden="1">#REF!</definedName>
    <definedName name="_filtreg">#REF!</definedName>
    <definedName name="_flg_finish">#REF!</definedName>
    <definedName name="_FLG_RATING">#REF!</definedName>
    <definedName name="_FLG_TYPE">#REF!</definedName>
    <definedName name="_FLO_CERT">#REF!</definedName>
    <definedName name="_flow_dir">#REF!</definedName>
    <definedName name="_flow_max">#REF!</definedName>
    <definedName name="_flow_min">#REF!</definedName>
    <definedName name="_flow_norm">#REF!</definedName>
    <definedName name="_flow_unit">#REF!</definedName>
    <definedName name="_FLOWING">#REF!</definedName>
    <definedName name="_fluid">#REF!</definedName>
    <definedName name="_FLUIDSTATE">#REF!</definedName>
    <definedName name="_FORM">#REF!</definedName>
    <definedName name="_full" hidden="1">#REF!</definedName>
    <definedName name="_FULL_TRAVL">#REF!</definedName>
    <definedName name="_function">#REF!</definedName>
    <definedName name="_G1">#N/A</definedName>
    <definedName name="_g2" hidden="1">{"TAB1",#N/A,TRUE,"GENERAL";"TAB2",#N/A,TRUE,"GENERAL";"TAB3",#N/A,TRUE,"GENERAL";"TAB4",#N/A,TRUE,"GENERAL";"TAB5",#N/A,TRUE,"GENERAL"}</definedName>
    <definedName name="_g3" hidden="1">{"via1",#N/A,TRUE,"general";"via2",#N/A,TRUE,"general";"via3",#N/A,TRUE,"general"}</definedName>
    <definedName name="_g4" hidden="1">{"via1",#N/A,TRUE,"general";"via2",#N/A,TRUE,"general";"via3",#N/A,TRUE,"general"}</definedName>
    <definedName name="_g5" hidden="1">{"via1",#N/A,TRUE,"general";"via2",#N/A,TRUE,"general";"via3",#N/A,TRUE,"general"}</definedName>
    <definedName name="_g6" hidden="1">{"via1",#N/A,TRUE,"general";"via2",#N/A,TRUE,"general";"via3",#N/A,TRUE,"general"}</definedName>
    <definedName name="_g7" hidden="1">{"TAB1",#N/A,TRUE,"GENERAL";"TAB2",#N/A,TRUE,"GENERAL";"TAB3",#N/A,TRUE,"GENERAL";"TAB4",#N/A,TRUE,"GENERAL";"TAB5",#N/A,TRUE,"GENERAL"}</definedName>
    <definedName name="_GAS12">#REF!</definedName>
    <definedName name="_GAS13">#REF!</definedName>
    <definedName name="_GAS14">#REF!</definedName>
    <definedName name="_GAS15">#REF!</definedName>
    <definedName name="_GAS16">#REF!</definedName>
    <definedName name="_GAS17">#REF!</definedName>
    <definedName name="_GAS18">#REF!</definedName>
    <definedName name="_GAS19">#REF!</definedName>
    <definedName name="_GAS2">#REF!</definedName>
    <definedName name="_GAS20">#REF!</definedName>
    <definedName name="_GAS21">#REF!</definedName>
    <definedName name="_GAS22">#REF!</definedName>
    <definedName name="_GAS23">#REF!</definedName>
    <definedName name="_GAS24">#REF!</definedName>
    <definedName name="_GAS3">#REF!</definedName>
    <definedName name="_GAS4">#REF!</definedName>
    <definedName name="_GAS5">#REF!</definedName>
    <definedName name="_GAS6">#REF!</definedName>
    <definedName name="_GAS7">#REF!</definedName>
    <definedName name="_GAS8">#REF!</definedName>
    <definedName name="_GAS9">#REF!</definedName>
    <definedName name="_GIDE_MATL">#REF!</definedName>
    <definedName name="_GR1" hidden="1">{"TAB1",#N/A,TRUE,"GENERAL";"TAB2",#N/A,TRUE,"GENERAL";"TAB3",#N/A,TRUE,"GENERAL";"TAB4",#N/A,TRUE,"GENERAL";"TAB5",#N/A,TRUE,"GENERAL"}</definedName>
    <definedName name="_gtr4" hidden="1">{"via1",#N/A,TRUE,"general";"via2",#N/A,TRUE,"general";"via3",#N/A,TRUE,"general"}</definedName>
    <definedName name="_guide_matl">#REF!</definedName>
    <definedName name="_h2" hidden="1">{"via1",#N/A,TRUE,"general";"via2",#N/A,TRUE,"general";"via3",#N/A,TRUE,"general"}</definedName>
    <definedName name="_h3" hidden="1">{"via1",#N/A,TRUE,"general";"via2",#N/A,TRUE,"general";"via3",#N/A,TRUE,"general"}</definedName>
    <definedName name="_h4" hidden="1">{"TAB1",#N/A,TRUE,"GENERAL";"TAB2",#N/A,TRUE,"GENERAL";"TAB3",#N/A,TRUE,"GENERAL";"TAB4",#N/A,TRUE,"GENERAL";"TAB5",#N/A,TRUE,"GENERAL"}</definedName>
    <definedName name="_h5" hidden="1">{"TAB1",#N/A,TRUE,"GENERAL";"TAB2",#N/A,TRUE,"GENERAL";"TAB3",#N/A,TRUE,"GENERAL";"TAB4",#N/A,TRUE,"GENERAL";"TAB5",#N/A,TRUE,"GENERAL"}</definedName>
    <definedName name="_h6" hidden="1">{"via1",#N/A,TRUE,"general";"via2",#N/A,TRUE,"general";"via3",#N/A,TRUE,"general"}</definedName>
    <definedName name="_h7" hidden="1">{"TAB1",#N/A,TRUE,"GENERAL";"TAB2",#N/A,TRUE,"GENERAL";"TAB3",#N/A,TRUE,"GENERAL";"TAB4",#N/A,TRUE,"GENERAL";"TAB5",#N/A,TRUE,"GENERAL"}</definedName>
    <definedName name="_h8" hidden="1">{"via1",#N/A,TRUE,"general";"via2",#N/A,TRUE,"general";"via3",#N/A,TRUE,"general"}</definedName>
    <definedName name="_handwheel">#REF!</definedName>
    <definedName name="_hfh7" hidden="1">{"via1",#N/A,TRUE,"general";"via2",#N/A,TRUE,"general";"via3",#N/A,TRUE,"general"}</definedName>
    <definedName name="_hhg1" hidden="1">{#N/A,#N/A,TRUE,"1842CWN0"}</definedName>
    <definedName name="_HJK1" hidden="1">{#N/A,#N/A,FALSE,"PERSONAL"}</definedName>
    <definedName name="_HOMOGENITY">#REF!</definedName>
    <definedName name="_i1">#REF!</definedName>
    <definedName name="_i4" hidden="1">{"via1",#N/A,TRUE,"general";"via2",#N/A,TRUE,"general";"via3",#N/A,TRUE,"general"}</definedName>
    <definedName name="_i5" hidden="1">{"TAB1",#N/A,TRUE,"GENERAL";"TAB2",#N/A,TRUE,"GENERAL";"TAB3",#N/A,TRUE,"GENERAL";"TAB4",#N/A,TRUE,"GENERAL";"TAB5",#N/A,TRUE,"GENERAL"}</definedName>
    <definedName name="_i6" hidden="1">{"TAB1",#N/A,TRUE,"GENERAL";"TAB2",#N/A,TRUE,"GENERAL";"TAB3",#N/A,TRUE,"GENERAL";"TAB4",#N/A,TRUE,"GENERAL";"TAB5",#N/A,TRUE,"GENERAL"}</definedName>
    <definedName name="_i7" hidden="1">{"via1",#N/A,TRUE,"general";"via2",#N/A,TRUE,"general";"via3",#N/A,TRUE,"general"}</definedName>
    <definedName name="_i77" hidden="1">{"TAB1",#N/A,TRUE,"GENERAL";"TAB2",#N/A,TRUE,"GENERAL";"TAB3",#N/A,TRUE,"GENERAL";"TAB4",#N/A,TRUE,"GENERAL";"TAB5",#N/A,TRUE,"GENERAL"}</definedName>
    <definedName name="_i8" hidden="1">{"via1",#N/A,TRUE,"general";"via2",#N/A,TRUE,"general";"via3",#N/A,TRUE,"general"}</definedName>
    <definedName name="_i9" hidden="1">{"TAB1",#N/A,TRUE,"GENERAL";"TAB2",#N/A,TRUE,"GENERAL";"TAB3",#N/A,TRUE,"GENERAL";"TAB4",#N/A,TRUE,"GENERAL";"TAB5",#N/A,TRUE,"GENERAL"}</definedName>
    <definedName name="_IMP1013">#REF!</definedName>
    <definedName name="_imp111">#REF!</definedName>
    <definedName name="_imp1110">#REF!</definedName>
    <definedName name="_IMP1111">#REF!</definedName>
    <definedName name="_IMP1112">#REF!</definedName>
    <definedName name="_IMP1113">#REF!</definedName>
    <definedName name="_IMP1114">#REF!</definedName>
    <definedName name="_IMP1115">#REF!</definedName>
    <definedName name="_IMP1116">#REF!</definedName>
    <definedName name="_imp112">#REF!</definedName>
    <definedName name="_imp113">#REF!</definedName>
    <definedName name="_IMP1132">#REF!</definedName>
    <definedName name="_IMP1133">#REF!</definedName>
    <definedName name="_imp114">#REF!</definedName>
    <definedName name="_IMP115">#REF!</definedName>
    <definedName name="_IMP116">#REF!</definedName>
    <definedName name="_imp117">#REF!</definedName>
    <definedName name="_imp118">#REF!</definedName>
    <definedName name="_imp119">#REF!</definedName>
    <definedName name="_imp84">#REF!</definedName>
    <definedName name="_IN_CON_SIZ">#REF!</definedName>
    <definedName name="_in_conn">#REF!</definedName>
    <definedName name="_in_diam">#REF!</definedName>
    <definedName name="_IN_P_MAX">#REF!</definedName>
    <definedName name="_IN_P_MIN">#REF!</definedName>
    <definedName name="_IN_P_NORM">#REF!</definedName>
    <definedName name="_in_p_shut">#REF!</definedName>
    <definedName name="_IN_P_UNIT">#REF!</definedName>
    <definedName name="_INDICATOR">#REF!</definedName>
    <definedName name="_INF1">#REF!</definedName>
    <definedName name="_inst_type">#REF!</definedName>
    <definedName name="_INSTALL">#REF!</definedName>
    <definedName name="_Inversiones20101" hidden="1">#REF!</definedName>
    <definedName name="_ip_dir_rev">#REF!</definedName>
    <definedName name="_ip_in_sig">#REF!</definedName>
    <definedName name="_ip_model">#REF!</definedName>
    <definedName name="_ipc1">#REF!</definedName>
    <definedName name="_ipc2">#REF!</definedName>
    <definedName name="_IPC2002">#REF!</definedName>
    <definedName name="_ipc3">#REF!</definedName>
    <definedName name="_ipc4">#REF!</definedName>
    <definedName name="_IPC5">#REF!</definedName>
    <definedName name="_IPC6">#REF!</definedName>
    <definedName name="_j1" hidden="1">{#N/A,#N/A,FALSE,"E-1";#N/A,#N/A,FALSE,"E-2";#N/A,#N/A,FALSE,"F-1";#N/A,#N/A,FALSE,"F-2";#N/A,#N/A,FALSE,"F-3";#N/A,#N/A,FALSE,"F-4";#N/A,#N/A,FALSE,"F-5";#N/A,#N/A,FALSE,"F-6";#N/A,#N/A,FALSE,"Matrix"}</definedName>
    <definedName name="_jy5" hidden="1">{#N/A,#N/A,FALSE,"masez (10)";#N/A,#N/A,FALSE,"masez (7)";#N/A,#N/A,FALSE,"masez (6)";#N/A,#N/A,FALSE,"masez (5)";#N/A,#N/A,FALSE,"masez (4)";#N/A,#N/A,FALSE,"masez (3)";#N/A,#N/A,FALSE,"masez (2)";#N/A,#N/A,FALSE,"GME";#N/A,#N/A,FALSE,"masez"}</definedName>
    <definedName name="_k1" hidden="1">#REF!</definedName>
    <definedName name="_k3" hidden="1">{"TAB1",#N/A,TRUE,"GENERAL";"TAB2",#N/A,TRUE,"GENERAL";"TAB3",#N/A,TRUE,"GENERAL";"TAB4",#N/A,TRUE,"GENERAL";"TAB5",#N/A,TRUE,"GENERAL"}</definedName>
    <definedName name="_k4" hidden="1">{"via1",#N/A,TRUE,"general";"via2",#N/A,TRUE,"general";"via3",#N/A,TRUE,"general"}</definedName>
    <definedName name="_k5" hidden="1">{"via1",#N/A,TRUE,"general";"via2",#N/A,TRUE,"general";"via3",#N/A,TRUE,"general"}</definedName>
    <definedName name="_k6" hidden="1">{"TAB1",#N/A,TRUE,"GENERAL";"TAB2",#N/A,TRUE,"GENERAL";"TAB3",#N/A,TRUE,"GENERAL";"TAB4",#N/A,TRUE,"GENERAL";"TAB5",#N/A,TRUE,"GENERAL"}</definedName>
    <definedName name="_k7" hidden="1">{"via1",#N/A,TRUE,"general";"via2",#N/A,TRUE,"general";"via3",#N/A,TRUE,"general"}</definedName>
    <definedName name="_k8" hidden="1">{"via1",#N/A,TRUE,"general";"via2",#N/A,TRUE,"general";"via3",#N/A,TRUE,"general"}</definedName>
    <definedName name="_k9" hidden="1">{"TAB1",#N/A,TRUE,"GENERAL";"TAB2",#N/A,TRUE,"GENERAL";"TAB3",#N/A,TRUE,"GENERAL";"TAB4",#N/A,TRUE,"GENERAL";"TAB5",#N/A,TRUE,"GENERAL"}</definedName>
    <definedName name="_Key1" hidden="1">#REF!</definedName>
    <definedName name="_Key11" hidden="1">#REF!</definedName>
    <definedName name="_KEY2" hidden="1">#REF!</definedName>
    <definedName name="_Key21" hidden="1">#REF!</definedName>
    <definedName name="_key3" hidden="1">#REF!</definedName>
    <definedName name="_key31" hidden="1">#REF!</definedName>
    <definedName name="_key4" hidden="1">#REF!</definedName>
    <definedName name="_keyy1" hidden="1">#REF!</definedName>
    <definedName name="_KJASJDKq">#REF!</definedName>
    <definedName name="_kjk6" hidden="1">{"TAB1",#N/A,TRUE,"GENERAL";"TAB2",#N/A,TRUE,"GENERAL";"TAB3",#N/A,TRUE,"GENERAL";"TAB4",#N/A,TRUE,"GENERAL";"TAB5",#N/A,TRUE,"GENERAL"}</definedName>
    <definedName name="_LEVER">#REF!</definedName>
    <definedName name="_LINE_EQ_NO">#REF!</definedName>
    <definedName name="_liner_matl">#REF!</definedName>
    <definedName name="_lns72" hidden="1">{#N/A,#N/A,TRUE,"1842CWN0"}</definedName>
    <definedName name="_Logo_Civil_COA_Sumry">"Object 10"</definedName>
    <definedName name="_Logo_Civil_Item_Dets">"Object 131"</definedName>
    <definedName name="_Logo_Civil_Item_Sumry">"Object 53"</definedName>
    <definedName name="_Lub1">#REF!</definedName>
    <definedName name="_Lub2">#REF!</definedName>
    <definedName name="_Lub3">#REF!</definedName>
    <definedName name="_Lub4">#REF!</definedName>
    <definedName name="_Lub5">#REF!</definedName>
    <definedName name="_Lub6">#REF!</definedName>
    <definedName name="_lube">#REF!</definedName>
    <definedName name="_lube_iso">#REF!</definedName>
    <definedName name="_m3" hidden="1">{"via1",#N/A,TRUE,"general";"via2",#N/A,TRUE,"general";"via3",#N/A,TRUE,"general"}</definedName>
    <definedName name="_m4" hidden="1">{"TAB1",#N/A,TRUE,"GENERAL";"TAB2",#N/A,TRUE,"GENERAL";"TAB3",#N/A,TRUE,"GENERAL";"TAB4",#N/A,TRUE,"GENERAL";"TAB5",#N/A,TRUE,"GENERAL"}</definedName>
    <definedName name="_m5" hidden="1">{"via1",#N/A,TRUE,"general";"via2",#N/A,TRUE,"general";"via3",#N/A,TRUE,"general"}</definedName>
    <definedName name="_m6" hidden="1">{"TAB1",#N/A,TRUE,"GENERAL";"TAB2",#N/A,TRUE,"GENERAL";"TAB3",#N/A,TRUE,"GENERAL";"TAB4",#N/A,TRUE,"GENERAL";"TAB5",#N/A,TRUE,"GENERAL"}</definedName>
    <definedName name="_m7" hidden="1">{"TAB1",#N/A,TRUE,"GENERAL";"TAB2",#N/A,TRUE,"GENERAL";"TAB3",#N/A,TRUE,"GENERAL";"TAB4",#N/A,TRUE,"GENERAL";"TAB5",#N/A,TRUE,"GENERAL"}</definedName>
    <definedName name="_m8" hidden="1">{"via1",#N/A,TRUE,"general";"via2",#N/A,TRUE,"general";"via3",#N/A,TRUE,"general"}</definedName>
    <definedName name="_m9" hidden="1">{"via1",#N/A,TRUE,"general";"via2",#N/A,TRUE,"general";"via3",#N/A,TRUE,"general"}</definedName>
    <definedName name="_MA2">#REF!</definedName>
    <definedName name="_MANUFACTR">#REF!</definedName>
    <definedName name="_MAWP">#REF!</definedName>
    <definedName name="_max_avair">#REF!</definedName>
    <definedName name="_MAX_OP_P">#REF!</definedName>
    <definedName name="_MCC3" hidden="1">{#N/A,#N/A,FALSE,"CCTV"}</definedName>
    <definedName name="_MCEP">#REF!</definedName>
    <definedName name="_min_avair">#REF!</definedName>
    <definedName name="_min_req_p">#REF!</definedName>
    <definedName name="_mm2" hidden="1">{#N/A,#N/A,FALSE,"summary";#N/A,#N/A,FALSE,"SumGraph"}</definedName>
    <definedName name="_mo1">#REF!</definedName>
    <definedName name="_MODC">#REF!</definedName>
    <definedName name="_MODEL">#REF!</definedName>
    <definedName name="_MODULATE">#REF!</definedName>
    <definedName name="_MOR15">#REF!</definedName>
    <definedName name="_MOTORDATA">#REF!</definedName>
    <definedName name="_MOUNTING">#REF!</definedName>
    <definedName name="_MRG2" hidden="1">{"INCOME",#N/A,FALSE,"ProNet";"VALUE",#N/A,FALSE,"ProNet"}</definedName>
    <definedName name="_MS275" hidden="1">{#N/A,#N/A,FALSE,"TABLE"}</definedName>
    <definedName name="_mth1">#REF!</definedName>
    <definedName name="_n3" hidden="1">{"TAB1",#N/A,TRUE,"GENERAL";"TAB2",#N/A,TRUE,"GENERAL";"TAB3",#N/A,TRUE,"GENERAL";"TAB4",#N/A,TRUE,"GENERAL";"TAB5",#N/A,TRUE,"GENERAL"}</definedName>
    <definedName name="_n4" hidden="1">{"via1",#N/A,TRUE,"general";"via2",#N/A,TRUE,"general";"via3",#N/A,TRUE,"general"}</definedName>
    <definedName name="_n5" hidden="1">{"TAB1",#N/A,TRUE,"GENERAL";"TAB2",#N/A,TRUE,"GENERAL";"TAB3",#N/A,TRUE,"GENERAL";"TAB4",#N/A,TRUE,"GENERAL";"TAB5",#N/A,TRUE,"GENERAL"}</definedName>
    <definedName name="_New1" hidden="1">{#N/A,#N/A,FALSE,"QsumREG";#N/A,#N/A,FALSE,"Reg";#N/A,#N/A,FALSE,"QsumPSL";#N/A,#N/A,FALSE,"PSL";#N/A,#N/A,FALSE,"fcstsum";#N/A,#N/A,FALSE,"cntsprt"}</definedName>
    <definedName name="_new10" hidden="1">{#N/A,#N/A,FALSE,"SMT1";#N/A,#N/A,FALSE,"SMT2";#N/A,#N/A,FALSE,"Summary";#N/A,#N/A,FALSE,"Graphs";#N/A,#N/A,FALSE,"4 Panel"}</definedName>
    <definedName name="_new2" hidden="1">{"EVA",#N/A,FALSE,"SMT2";#N/A,#N/A,FALSE,"Summary";#N/A,#N/A,FALSE,"Graphs";#N/A,#N/A,FALSE,"4 Panel"}</definedName>
    <definedName name="_NEW3" hidden="1">{#N/A,#N/A,FALSE,"SMT1";#N/A,#N/A,FALSE,"SMT2";#N/A,#N/A,FALSE,"Summary";#N/A,#N/A,FALSE,"Graphs";#N/A,#N/A,FALSE,"4 Panel"}</definedName>
    <definedName name="_NEW4" hidden="1">{#N/A,#N/A,FALSE,"Full";#N/A,#N/A,FALSE,"Half";#N/A,#N/A,FALSE,"Op Expenses";#N/A,#N/A,FALSE,"Cap Charge";#N/A,#N/A,FALSE,"Cost C";#N/A,#N/A,FALSE,"PP&amp;E";#N/A,#N/A,FALSE,"R&amp;D"}</definedName>
    <definedName name="_no1" hidden="1">{#N/A,#N/A,FALSE,"SMT1";#N/A,#N/A,FALSE,"SMT2";#N/A,#N/A,FALSE,"Summary";#N/A,#N/A,FALSE,"Graphs";#N/A,#N/A,FALSE,"4 Panel"}</definedName>
    <definedName name="_no10" hidden="1">{#N/A,#N/A,FALSE,"SMT1";#N/A,#N/A,FALSE,"SMT2";#N/A,#N/A,FALSE,"Summary";#N/A,#N/A,FALSE,"Graphs";#N/A,#N/A,FALSE,"4 Panel"}</definedName>
    <definedName name="_no11" hidden="1">{#N/A,#N/A,FALSE,"Full";#N/A,#N/A,FALSE,"Half";#N/A,#N/A,FALSE,"Op Expenses";#N/A,#N/A,FALSE,"Cap Charge";#N/A,#N/A,FALSE,"Cost C";#N/A,#N/A,FALSE,"PP&amp;E";#N/A,#N/A,FALSE,"R&amp;D"}</definedName>
    <definedName name="_no12" hidden="1">{#N/A,#N/A,FALSE,"SMT1";#N/A,#N/A,FALSE,"SMT2";#N/A,#N/A,FALSE,"Summary";#N/A,#N/A,FALSE,"Graphs";#N/A,#N/A,FALSE,"4 Panel"}</definedName>
    <definedName name="_no13" hidden="1">{"EVA",#N/A,FALSE,"SMT2";#N/A,#N/A,FALSE,"Summary";#N/A,#N/A,FALSE,"Graphs";#N/A,#N/A,FALSE,"4 Panel"}</definedName>
    <definedName name="_no14" hidden="1">{#N/A,#N/A,FALSE,"Full";#N/A,#N/A,FALSE,"Half";#N/A,#N/A,FALSE,"Op Expenses";#N/A,#N/A,FALSE,"Cap Charge";#N/A,#N/A,FALSE,"Cost C";#N/A,#N/A,FALSE,"PP&amp;E";#N/A,#N/A,FALSE,"R&amp;D"}</definedName>
    <definedName name="_no2" hidden="1">{"EVA",#N/A,FALSE,"SMT2";#N/A,#N/A,FALSE,"Summary";#N/A,#N/A,FALSE,"Graphs";#N/A,#N/A,FALSE,"4 Panel"}</definedName>
    <definedName name="_no3" hidden="1">{#N/A,#N/A,FALSE,"SMT1";#N/A,#N/A,FALSE,"SMT2";#N/A,#N/A,FALSE,"Summary";#N/A,#N/A,FALSE,"Graphs";#N/A,#N/A,FALSE,"4 Panel"}</definedName>
    <definedName name="_no4" hidden="1">{#N/A,#N/A,FALSE,"SMT1";#N/A,#N/A,FALSE,"SMT2";#N/A,#N/A,FALSE,"Summary";#N/A,#N/A,FALSE,"Graphs";#N/A,#N/A,FALSE,"4 Panel"}</definedName>
    <definedName name="_no5" hidden="1">{#N/A,#N/A,FALSE,"Full";#N/A,#N/A,FALSE,"Half";#N/A,#N/A,FALSE,"Op Expenses";#N/A,#N/A,FALSE,"Cap Charge";#N/A,#N/A,FALSE,"Cost C";#N/A,#N/A,FALSE,"PP&amp;E";#N/A,#N/A,FALSE,"R&amp;D"}</definedName>
    <definedName name="_no6" hidden="1">{"EVA",#N/A,FALSE,"SMT2";#N/A,#N/A,FALSE,"Summary";#N/A,#N/A,FALSE,"Graphs";#N/A,#N/A,FALSE,"4 Panel"}</definedName>
    <definedName name="_no7" hidden="1">{"EVA",#N/A,FALSE,"SMT2";#N/A,#N/A,FALSE,"Summary";#N/A,#N/A,FALSE,"Graphs";#N/A,#N/A,FALSE,"4 Panel"}</definedName>
    <definedName name="_no8" hidden="1">{"EVA",#N/A,FALSE,"SMT2";#N/A,#N/A,FALSE,"Summary";#N/A,#N/A,FALSE,"Graphs";#N/A,#N/A,FALSE,"4 Panel"}</definedName>
    <definedName name="_no9" hidden="1">{"EVA",#N/A,FALSE,"SMT2";#N/A,#N/A,FALSE,"Summary";#N/A,#N/A,FALSE,"Graphs";#N/A,#N/A,FALSE,"4 Panel"}</definedName>
    <definedName name="_NOTE1">#REF!</definedName>
    <definedName name="_NOTE2">#REF!</definedName>
    <definedName name="_NOTE3">#REF!</definedName>
    <definedName name="_NOTE4">#REF!</definedName>
    <definedName name="_NOZZLE">#REF!</definedName>
    <definedName name="_NUM_DIGITS">#REF!</definedName>
    <definedName name="_nyn7" hidden="1">{"via1",#N/A,TRUE,"general";"via2",#N/A,TRUE,"general";"via3",#N/A,TRUE,"general"}</definedName>
    <definedName name="_o4" hidden="1">{"via1",#N/A,TRUE,"general";"via2",#N/A,TRUE,"general";"via3",#N/A,TRUE,"general"}</definedName>
    <definedName name="_o5" hidden="1">{"TAB1",#N/A,TRUE,"GENERAL";"TAB2",#N/A,TRUE,"GENERAL";"TAB3",#N/A,TRUE,"GENERAL";"TAB4",#N/A,TRUE,"GENERAL";"TAB5",#N/A,TRUE,"GENERAL"}</definedName>
    <definedName name="_o6" hidden="1">{"TAB1",#N/A,TRUE,"GENERAL";"TAB2",#N/A,TRUE,"GENERAL";"TAB3",#N/A,TRUE,"GENERAL";"TAB4",#N/A,TRUE,"GENERAL";"TAB5",#N/A,TRUE,"GENERAL"}</definedName>
    <definedName name="_o7" hidden="1">{"TAB1",#N/A,TRUE,"GENERAL";"TAB2",#N/A,TRUE,"GENERAL";"TAB3",#N/A,TRUE,"GENERAL";"TAB4",#N/A,TRUE,"GENERAL";"TAB5",#N/A,TRUE,"GENERAL"}</definedName>
    <definedName name="_o8" hidden="1">{"via1",#N/A,TRUE,"general";"via2",#N/A,TRUE,"general";"via3",#N/A,TRUE,"general"}</definedName>
    <definedName name="_o9" hidden="1">{"TAB1",#N/A,TRUE,"GENERAL";"TAB2",#N/A,TRUE,"GENERAL";"TAB3",#N/A,TRUE,"GENERAL";"TAB4",#N/A,TRUE,"GENERAL";"TAB5",#N/A,TRUE,"GENERAL"}</definedName>
    <definedName name="_oa55">#REF!</definedName>
    <definedName name="_OCE">#REF!</definedName>
    <definedName name="_ODC">#REF!</definedName>
    <definedName name="_ODC1">#REF!</definedName>
    <definedName name="_OF_SHEET">#REF!</definedName>
    <definedName name="_OP_SG">#REF!</definedName>
    <definedName name="_Order1" hidden="1">255</definedName>
    <definedName name="_Order2" hidden="1">255</definedName>
    <definedName name="_ORIF_CALC">#REF!</definedName>
    <definedName name="_ORIF_DESIG">#REF!</definedName>
    <definedName name="_ORIF_SEL">#REF!</definedName>
    <definedName name="_OUT_CON_SZ">#REF!</definedName>
    <definedName name="_out_conn">#REF!</definedName>
    <definedName name="_out_p_max">#REF!</definedName>
    <definedName name="_out_p_min">#REF!</definedName>
    <definedName name="_out_p_norm">#REF!</definedName>
    <definedName name="_out_p_unit">#REF!</definedName>
    <definedName name="_P_ORDER">#REF!</definedName>
    <definedName name="_p6" hidden="1">{"via1",#N/A,TRUE,"general";"via2",#N/A,TRUE,"general";"via3",#N/A,TRUE,"general"}</definedName>
    <definedName name="_p7" hidden="1">{"via1",#N/A,TRUE,"general";"via2",#N/A,TRUE,"general";"via3",#N/A,TRUE,"general"}</definedName>
    <definedName name="_p8" hidden="1">{"TAB1",#N/A,TRUE,"GENERAL";"TAB2",#N/A,TRUE,"GENERAL";"TAB3",#N/A,TRUE,"GENERAL";"TAB4",#N/A,TRUE,"GENERAL";"TAB5",#N/A,TRUE,"GENERAL"}</definedName>
    <definedName name="_pack_matl">#REF!</definedName>
    <definedName name="_pack_type">#REF!</definedName>
    <definedName name="_Parse_In" hidden="1">#REF!</definedName>
    <definedName name="_Parse_Out" hidden="1">#REF!</definedName>
    <definedName name="_PG1">#REF!</definedName>
    <definedName name="_PID_NO">#REF!</definedName>
    <definedName name="_pill" hidden="1">#REF!</definedName>
    <definedName name="_PILOT_SPRG">#REF!</definedName>
    <definedName name="_pipe_ansi">#REF!</definedName>
    <definedName name="_pipe_in">#REF!</definedName>
    <definedName name="_pipe_insu">#REF!</definedName>
    <definedName name="_pipe_matl">#REF!</definedName>
    <definedName name="_pipe_out">#REF!</definedName>
    <definedName name="_PJ50">#REF!</definedName>
    <definedName name="_pj51">#REF!</definedName>
    <definedName name="_pneu_out">#REF!</definedName>
    <definedName name="_pneu_rnge">#REF!</definedName>
    <definedName name="_port_size">#REF!</definedName>
    <definedName name="_pos_boost">#REF!</definedName>
    <definedName name="_pos_bypass">#REF!</definedName>
    <definedName name="_pos_comm">#REF!</definedName>
    <definedName name="_pos_gauges">#REF!</definedName>
    <definedName name="_pos_in_sig">#REF!</definedName>
    <definedName name="_pos_incsig">#REF!</definedName>
    <definedName name="_pos_mfr">#REF!</definedName>
    <definedName name="_pos_model">#REF!</definedName>
    <definedName name="_pos_port">#REF!</definedName>
    <definedName name="_pos_smart">#REF!</definedName>
    <definedName name="_pos_type">#REF!</definedName>
    <definedName name="_poscamchar">#REF!</definedName>
    <definedName name="_POWER_SPLY">#REF!</definedName>
    <definedName name="_PRE1">#REF!</definedName>
    <definedName name="_projectdescript">#REF!</definedName>
    <definedName name="_PUE2" hidden="1">{#N/A,#N/A,FALSE,"PERSONAL"}</definedName>
    <definedName name="_pue3" hidden="1">{#N/A,#N/A,FALSE,"PERSONAL"}</definedName>
    <definedName name="_PUE4" hidden="1">{#N/A,#N/A,FALSE,"PERSONAL"}</definedName>
    <definedName name="_PUE5" hidden="1">{#N/A,#N/A,FALSE,"PERSONAL"}</definedName>
    <definedName name="_PUE6" hidden="1">{#N/A,#N/A,FALSE,"PERSONAL"}</definedName>
    <definedName name="_PUE7" hidden="1">{#N/A,#N/A,FALSE,"PERSONAL"}</definedName>
    <definedName name="_QA1" hidden="1">#REF!</definedName>
    <definedName name="_QTY1">#N/A</definedName>
    <definedName name="_r" hidden="1">{#N/A,#N/A,FALSE,"Full";#N/A,#N/A,FALSE,"Half";#N/A,#N/A,FALSE,"Op Expenses";#N/A,#N/A,FALSE,"Cap Charge";#N/A,#N/A,FALSE,"Cost C";#N/A,#N/A,FALSE,"PP&amp;E";#N/A,#N/A,FALSE,"R&amp;D"}</definedName>
    <definedName name="_r4r" hidden="1">{"via1",#N/A,TRUE,"general";"via2",#N/A,TRUE,"general";"via3",#N/A,TRUE,"general"}</definedName>
    <definedName name="_RAM1">#REF!</definedName>
    <definedName name="_RAN1">#REF!</definedName>
    <definedName name="_rate_press">#REF!</definedName>
    <definedName name="_rate_temp">#REF!</definedName>
    <definedName name="_rate_trvel">#REF!</definedName>
    <definedName name="_rated_cv">#REF!</definedName>
    <definedName name="_rated_fl">#REF!</definedName>
    <definedName name="_rated_xt">#REF!</definedName>
    <definedName name="_RATMAXPRES">#REF!</definedName>
    <definedName name="_RATMAXTEMP">#REF!</definedName>
    <definedName name="_RD_COMB">#REF!</definedName>
    <definedName name="_Regression_Int" hidden="1">1</definedName>
    <definedName name="_Regression_Out" hidden="1">#REF!</definedName>
    <definedName name="_Regression_X" hidden="1">#REF!</definedName>
    <definedName name="_REGRESSION_XNJA" hidden="1">#REF!</definedName>
    <definedName name="_Regression_Y" hidden="1">#REF!</definedName>
    <definedName name="_REL_TEMP">#REF!</definedName>
    <definedName name="_rep" hidden="1">#REF!</definedName>
    <definedName name="_REPEATRATE">#REF!</definedName>
    <definedName name="_REQ_CAP">#REF!</definedName>
    <definedName name="_REQ_NO">#REF!</definedName>
    <definedName name="_reqcv_max">#REF!</definedName>
    <definedName name="_reqcv_min">#REF!</definedName>
    <definedName name="_reqcv_norm">#REF!</definedName>
    <definedName name="_RESIL_MATL">#REF!</definedName>
    <definedName name="_REV1">#REF!</definedName>
    <definedName name="_REV11" hidden="1">{"Graf_Carga Trab",#N/A,FALSE,"Grafi_Carga Trab";"Graf_Venta Flujo",#N/A,FALSE,"Grafi_Carga Trab"}</definedName>
    <definedName name="_RING_MATL">#REF!</definedName>
    <definedName name="_rtu6" hidden="1">{"via1",#N/A,TRUE,"general";"via2",#N/A,TRUE,"general";"via3",#N/A,TRUE,"general"}</definedName>
    <definedName name="_RV_COMB">#REF!</definedName>
    <definedName name="_s1" hidden="1">{"via1",#N/A,TRUE,"general";"via2",#N/A,TRUE,"general";"via3",#N/A,TRUE,"general"}</definedName>
    <definedName name="_s2" hidden="1">{"TAB1",#N/A,TRUE,"GENERAL";"TAB2",#N/A,TRUE,"GENERAL";"TAB3",#N/A,TRUE,"GENERAL";"TAB4",#N/A,TRUE,"GENERAL";"TAB5",#N/A,TRUE,"GENERAL"}</definedName>
    <definedName name="_s3" hidden="1">{"TAB1",#N/A,TRUE,"GENERAL";"TAB2",#N/A,TRUE,"GENERAL";"TAB3",#N/A,TRUE,"GENERAL";"TAB4",#N/A,TRUE,"GENERAL";"TAB5",#N/A,TRUE,"GENERAL"}</definedName>
    <definedName name="_s4" hidden="1">{"via1",#N/A,TRUE,"general";"via2",#N/A,TRUE,"general";"via3",#N/A,TRUE,"general"}</definedName>
    <definedName name="_s5" hidden="1">{"via1",#N/A,TRUE,"general";"via2",#N/A,TRUE,"general";"via3",#N/A,TRUE,"general"}</definedName>
    <definedName name="_s6" hidden="1">{"TAB1",#N/A,TRUE,"GENERAL";"TAB2",#N/A,TRUE,"GENERAL";"TAB3",#N/A,TRUE,"GENERAL";"TAB4",#N/A,TRUE,"GENERAL";"TAB5",#N/A,TRUE,"GENERAL"}</definedName>
    <definedName name="_s7" hidden="1">{"via1",#N/A,TRUE,"general";"via2",#N/A,TRUE,"general";"via3",#N/A,TRUE,"general"}</definedName>
    <definedName name="_SAFETYCRIT">#REF!</definedName>
    <definedName name="_SBC1">#REF!</definedName>
    <definedName name="_SBC3">#REF!</definedName>
    <definedName name="_SBC5">#REF!</definedName>
    <definedName name="_SCAL_COL">#REF!</definedName>
    <definedName name="_SCAL_LEN">#REF!</definedName>
    <definedName name="_SCAL_RANGE">#REF!</definedName>
    <definedName name="_sch_in">#REF!</definedName>
    <definedName name="_sch_out">#REF!</definedName>
    <definedName name="_SEAT_MATL">#REF!</definedName>
    <definedName name="_SENSR_FAB">#REF!</definedName>
    <definedName name="_SENSR_MATL">#REF!</definedName>
    <definedName name="_SENSR_NUMS">#REF!</definedName>
    <definedName name="_SENSR_RNGE">#REF!</definedName>
    <definedName name="_serial_num">#REF!</definedName>
    <definedName name="_SERVICE">#REF!</definedName>
    <definedName name="_SET_PRES">#REF!</definedName>
    <definedName name="_setpress">#REF!</definedName>
    <definedName name="_sg_mw_max">#REF!</definedName>
    <definedName name="_sg_mw_min">#REF!</definedName>
    <definedName name="_sg_mw_norm">#REF!</definedName>
    <definedName name="_SG_RELIF">#REF!</definedName>
    <definedName name="_SHEET_NO">#REF!</definedName>
    <definedName name="_SIG1_TYPE">#REF!</definedName>
    <definedName name="_SIGCBL_LEN">#REF!</definedName>
    <definedName name="_skf45" hidden="1">{#N/A,#N/A,TRUE,"1842CWN0"}</definedName>
    <definedName name="_SOLIDS">#REF!</definedName>
    <definedName name="_SOR1">#REF!</definedName>
    <definedName name="_SOR2">#REF!</definedName>
    <definedName name="_Sort" hidden="1">#REF!</definedName>
    <definedName name="_Sort1" hidden="1">#REF!</definedName>
    <definedName name="_sort2" hidden="1">#REF!</definedName>
    <definedName name="_SortNJA" hidden="1">#REF!</definedName>
    <definedName name="_sound_max">#REF!</definedName>
    <definedName name="_sound_min">#REF!</definedName>
    <definedName name="_sound_norm">#REF!</definedName>
    <definedName name="_SP_HEAT">#REF!</definedName>
    <definedName name="_SPRG_MATL">#REF!</definedName>
    <definedName name="_SR_NUMBER">#REF!</definedName>
    <definedName name="_sr51" hidden="1">{#N/A,#N/A,TRUE,"INGENIERIA";#N/A,#N/A,TRUE,"COMPRAS";#N/A,#N/A,TRUE,"DIRECCION";#N/A,#N/A,TRUE,"RESUMEN"}</definedName>
    <definedName name="_ss3" hidden="1">{#N/A,#N/A,FALSE,"Costos Productos 6A";#N/A,#N/A,FALSE,"Costo Unitario Total H-94-12"}</definedName>
    <definedName name="_sss1" hidden="1">{#N/A,#N/A,FALSE,"Solids Only"}</definedName>
    <definedName name="_stem_dia">#REF!</definedName>
    <definedName name="_STEM_LEN">#REF!</definedName>
    <definedName name="_stem_matl">#REF!</definedName>
    <definedName name="_STEM_THRD">#REF!</definedName>
    <definedName name="_STYLE">#REF!</definedName>
    <definedName name="_sw_mfr">#REF!</definedName>
    <definedName name="_sw_model">#REF!</definedName>
    <definedName name="_sw_quant">#REF!</definedName>
    <definedName name="_sw_type">#REF!</definedName>
    <definedName name="_SW1_SP">#REF!</definedName>
    <definedName name="_swtag_no">#REF!</definedName>
    <definedName name="_T" hidden="1">#REF!</definedName>
    <definedName name="_t3" hidden="1">{"TAB1",#N/A,TRUE,"GENERAL";"TAB2",#N/A,TRUE,"GENERAL";"TAB3",#N/A,TRUE,"GENERAL";"TAB4",#N/A,TRUE,"GENERAL";"TAB5",#N/A,TRUE,"GENERAL"}</definedName>
    <definedName name="_t4" hidden="1">{"via1",#N/A,TRUE,"general";"via2",#N/A,TRUE,"general";"via3",#N/A,TRUE,"general"}</definedName>
    <definedName name="_t5" hidden="1">{"TAB1",#N/A,TRUE,"GENERAL";"TAB2",#N/A,TRUE,"GENERAL";"TAB3",#N/A,TRUE,"GENERAL";"TAB4",#N/A,TRUE,"GENERAL";"TAB5",#N/A,TRUE,"GENERAL"}</definedName>
    <definedName name="_t6" hidden="1">{"via1",#N/A,TRUE,"general";"via2",#N/A,TRUE,"general";"via3",#N/A,TRUE,"general"}</definedName>
    <definedName name="_t66" hidden="1">{"TAB1",#N/A,TRUE,"GENERAL";"TAB2",#N/A,TRUE,"GENERAL";"TAB3",#N/A,TRUE,"GENERAL";"TAB4",#N/A,TRUE,"GENERAL";"TAB5",#N/A,TRUE,"GENERAL"}</definedName>
    <definedName name="_t7" hidden="1">{"via1",#N/A,TRUE,"general";"via2",#N/A,TRUE,"general";"via3",#N/A,TRUE,"general"}</definedName>
    <definedName name="_t77" hidden="1">{"TAB1",#N/A,TRUE,"GENERAL";"TAB2",#N/A,TRUE,"GENERAL";"TAB3",#N/A,TRUE,"GENERAL";"TAB4",#N/A,TRUE,"GENERAL";"TAB5",#N/A,TRUE,"GENERAL"}</definedName>
    <definedName name="_t8" hidden="1">{"TAB1",#N/A,TRUE,"GENERAL";"TAB2",#N/A,TRUE,"GENERAL";"TAB3",#N/A,TRUE,"GENERAL";"TAB4",#N/A,TRUE,"GENERAL";"TAB5",#N/A,TRUE,"GENERAL"}</definedName>
    <definedName name="_t88" hidden="1">{"via1",#N/A,TRUE,"general";"via2",#N/A,TRUE,"general";"via3",#N/A,TRUE,"general"}</definedName>
    <definedName name="_t9" hidden="1">{"TAB1",#N/A,TRUE,"GENERAL";"TAB2",#N/A,TRUE,"GENERAL";"TAB3",#N/A,TRUE,"GENERAL";"TAB4",#N/A,TRUE,"GENERAL";"TAB5",#N/A,TRUE,"GENERAL"}</definedName>
    <definedName name="_t99" hidden="1">{"via1",#N/A,TRUE,"general";"via2",#N/A,TRUE,"general";"via3",#N/A,TRUE,"general"}</definedName>
    <definedName name="_tab1">#REF!</definedName>
    <definedName name="_tab2">#REF!</definedName>
    <definedName name="_tab3">#REF!</definedName>
    <definedName name="_TAB4">#REF!</definedName>
    <definedName name="_Table1_In1" hidden="1">#REF!</definedName>
    <definedName name="_Table1_Out" hidden="1">#REF!</definedName>
    <definedName name="_Table2_In1" hidden="1">#REF!</definedName>
    <definedName name="_Table2_In2" hidden="1">#REF!</definedName>
    <definedName name="_Table2_Out" hidden="1">#REF!</definedName>
    <definedName name="_TAG_NO">#REF!</definedName>
    <definedName name="_TBG3" hidden="1">{#N/A,#N/A,FALSE,"CIBHA05A";#N/A,#N/A,FALSE,"CIBHA05B"}</definedName>
    <definedName name="_TEE10">#REF!</definedName>
    <definedName name="_TEE6">#REF!</definedName>
    <definedName name="_TEMP_COMP">#REF!</definedName>
    <definedName name="_TEMP_MAT">#REF!</definedName>
    <definedName name="_TEMP_MAX">#REF!</definedName>
    <definedName name="_TEMP_MIN">#REF!</definedName>
    <definedName name="_TEMP_NORM">#REF!</definedName>
    <definedName name="_TEMP_STEM">#REF!</definedName>
    <definedName name="_TEMP_UNIT">#REF!</definedName>
    <definedName name="_test_hydro">#REF!</definedName>
    <definedName name="_test_leak">#REF!</definedName>
    <definedName name="_TOT_BAK_PRE">#REF!</definedName>
    <definedName name="_TOTAL_UNIT">#REF!</definedName>
    <definedName name="_TRAVERNUMS">#REF!</definedName>
    <definedName name="_trim_char">#REF!</definedName>
    <definedName name="_trim_matl">#REF!</definedName>
    <definedName name="_trim_size">#REF!</definedName>
    <definedName name="_trim_type">#REF!</definedName>
    <definedName name="_trvel_max">#REF!</definedName>
    <definedName name="_trvel_min">#REF!</definedName>
    <definedName name="_trvel_norm">#REF!</definedName>
    <definedName name="_TUB10">#REF!</definedName>
    <definedName name="_TUB12">#REF!</definedName>
    <definedName name="_TUB3">#REF!</definedName>
    <definedName name="_TUB6">#REF!</definedName>
    <definedName name="_TUB8">#REF!</definedName>
    <definedName name="_tyl2" hidden="1">{#N/A,#N/A,FALSE,"masez (10)";#N/A,#N/A,FALSE,"masez (7)";#N/A,#N/A,FALSE,"masez (6)";#N/A,#N/A,FALSE,"masez (5)";#N/A,#N/A,FALSE,"masez (4)";#N/A,#N/A,FALSE,"masez (3)";#N/A,#N/A,FALSE,"masez (2)";#N/A,#N/A,FALSE,"GME";#N/A,#N/A,FALSE,"masez"}</definedName>
    <definedName name="_u4" hidden="1">{"TAB1",#N/A,TRUE,"GENERAL";"TAB2",#N/A,TRUE,"GENERAL";"TAB3",#N/A,TRUE,"GENERAL";"TAB4",#N/A,TRUE,"GENERAL";"TAB5",#N/A,TRUE,"GENERAL"}</definedName>
    <definedName name="_u5" hidden="1">{"TAB1",#N/A,TRUE,"GENERAL";"TAB2",#N/A,TRUE,"GENERAL";"TAB3",#N/A,TRUE,"GENERAL";"TAB4",#N/A,TRUE,"GENERAL";"TAB5",#N/A,TRUE,"GENERAL"}</definedName>
    <definedName name="_u6" hidden="1">{"TAB1",#N/A,TRUE,"GENERAL";"TAB2",#N/A,TRUE,"GENERAL";"TAB3",#N/A,TRUE,"GENERAL";"TAB4",#N/A,TRUE,"GENERAL";"TAB5",#N/A,TRUE,"GENERAL"}</definedName>
    <definedName name="_u7" hidden="1">{"via1",#N/A,TRUE,"general";"via2",#N/A,TRUE,"general";"via3",#N/A,TRUE,"general"}</definedName>
    <definedName name="_u8" hidden="1">{"TAB1",#N/A,TRUE,"GENERAL";"TAB2",#N/A,TRUE,"GENERAL";"TAB3",#N/A,TRUE,"GENERAL";"TAB4",#N/A,TRUE,"GENERAL";"TAB5",#N/A,TRUE,"GENERAL"}</definedName>
    <definedName name="_u9" hidden="1">{"TAB1",#N/A,TRUE,"GENERAL";"TAB2",#N/A,TRUE,"GENERAL";"TAB3",#N/A,TRUE,"GENERAL";"TAB4",#N/A,TRUE,"GENERAL";"TAB5",#N/A,TRUE,"GENERAL"}</definedName>
    <definedName name="_U92016">#REF!</definedName>
    <definedName name="_U92017">#REF!</definedName>
    <definedName name="_U92018">#REF!</definedName>
    <definedName name="_UNIT">#REF!</definedName>
    <definedName name="_unj1" hidden="1">#REF!</definedName>
    <definedName name="_ur7" hidden="1">{"TAB1",#N/A,TRUE,"GENERAL";"TAB2",#N/A,TRUE,"GENERAL";"TAB3",#N/A,TRUE,"GENERAL";"TAB4",#N/A,TRUE,"GENERAL";"TAB5",#N/A,TRUE,"GENERAL"}</definedName>
    <definedName name="_USER1">#REF!</definedName>
    <definedName name="_USER2">#REF!</definedName>
    <definedName name="_USER3">#REF!</definedName>
    <definedName name="_USER4">#REF!</definedName>
    <definedName name="_USER5">#REF!</definedName>
    <definedName name="_USER6">#REF!</definedName>
    <definedName name="_v1">#N/A</definedName>
    <definedName name="_v2" hidden="1">{"via1",#N/A,TRUE,"general";"via2",#N/A,TRUE,"general";"via3",#N/A,TRUE,"general"}</definedName>
    <definedName name="_v3" hidden="1">{"TAB1",#N/A,TRUE,"GENERAL";"TAB2",#N/A,TRUE,"GENERAL";"TAB3",#N/A,TRUE,"GENERAL";"TAB4",#N/A,TRUE,"GENERAL";"TAB5",#N/A,TRUE,"GENERAL"}</definedName>
    <definedName name="_v4" hidden="1">{"TAB1",#N/A,TRUE,"GENERAL";"TAB2",#N/A,TRUE,"GENERAL";"TAB3",#N/A,TRUE,"GENERAL";"TAB4",#N/A,TRUE,"GENERAL";"TAB5",#N/A,TRUE,"GENERAL"}</definedName>
    <definedName name="_v5" hidden="1">{"TAB1",#N/A,TRUE,"GENERAL";"TAB2",#N/A,TRUE,"GENERAL";"TAB3",#N/A,TRUE,"GENERAL";"TAB4",#N/A,TRUE,"GENERAL";"TAB5",#N/A,TRUE,"GENERAL"}</definedName>
    <definedName name="_v6" hidden="1">{"TAB1",#N/A,TRUE,"GENERAL";"TAB2",#N/A,TRUE,"GENERAL";"TAB3",#N/A,TRUE,"GENERAL";"TAB4",#N/A,TRUE,"GENERAL";"TAB5",#N/A,TRUE,"GENERAL"}</definedName>
    <definedName name="_v7" hidden="1">{"via1",#N/A,TRUE,"general";"via2",#N/A,TRUE,"general";"via3",#N/A,TRUE,"general"}</definedName>
    <definedName name="_v8" hidden="1">{"TAB1",#N/A,TRUE,"GENERAL";"TAB2",#N/A,TRUE,"GENERAL";"TAB3",#N/A,TRUE,"GENERAL";"TAB4",#N/A,TRUE,"GENERAL";"TAB5",#N/A,TRUE,"GENERAL"}</definedName>
    <definedName name="_v9" hidden="1">{"TAB1",#N/A,TRUE,"GENERAL";"TAB2",#N/A,TRUE,"GENERAL";"TAB3",#N/A,TRUE,"GENERAL";"TAB4",#N/A,TRUE,"GENERAL";"TAB5",#N/A,TRUE,"GENERAL"}</definedName>
    <definedName name="_valve_type">#REF!</definedName>
    <definedName name="_VEL_MAX">#REF!</definedName>
    <definedName name="_VEL_MIN">#REF!</definedName>
    <definedName name="_VEL_NORM">#REF!</definedName>
    <definedName name="_VEL_UNIT">#REF!</definedName>
    <definedName name="_VEX1" hidden="1">{#N/A,#N/A,FALSE,"Costos Contables CIB A 12 1994";#N/A,#N/A,FALSE,"Cuadre Contab. y C. OP"}</definedName>
    <definedName name="_vfv4" hidden="1">{"via1",#N/A,TRUE,"general";"via2",#N/A,TRUE,"general";"via3",#N/A,TRUE,"general"}</definedName>
    <definedName name="_visc_max">#REF!</definedName>
    <definedName name="_visc_min">#REF!</definedName>
    <definedName name="_visc_norm">#REF!</definedName>
    <definedName name="_visc_unit">#REF!</definedName>
    <definedName name="_VISCOSITY">#REF!</definedName>
    <definedName name="_vlv_size">#REF!</definedName>
    <definedName name="_vpr_p_max">#REF!</definedName>
    <definedName name="_vpr_p_min">#REF!</definedName>
    <definedName name="_vpr_p_norm">#REF!</definedName>
    <definedName name="_vpr_p_unit">#REF!</definedName>
    <definedName name="_w1">#N/A</definedName>
    <definedName name="_w2">#N/A</definedName>
    <definedName name="_w3">#N/A</definedName>
    <definedName name="_w4">#N/A</definedName>
    <definedName name="_w5">#N/A</definedName>
    <definedName name="_w6" localSheetId="0">Scheduled_Payment+Extra_Payment</definedName>
    <definedName name="_w6">Scheduled_Payment+Extra_Payment</definedName>
    <definedName name="_w7">#N/A</definedName>
    <definedName name="_WEL_MO_NO">#REF!</definedName>
    <definedName name="_WEL124">#REF!</definedName>
    <definedName name="_WELL">#REF!</definedName>
    <definedName name="_WELL_CON">#REF!</definedName>
    <definedName name="_WELL_LENT">#REF!</definedName>
    <definedName name="_WELL_LENU">#REF!</definedName>
    <definedName name="_WELL_MANU">#REF!</definedName>
    <definedName name="_WELL_MATL">#REF!</definedName>
    <definedName name="_WIN_MATRL">#REF!</definedName>
    <definedName name="_wrn1" hidden="1">{#N/A,#N/A,TRUE,"Est. de Fact.";#N/A,#N/A,TRUE,"Capitulo 19";#N/A,#N/A,TRUE,"Proyecto P855"}</definedName>
    <definedName name="_x1" hidden="1">{"TAB1",#N/A,TRUE,"GENERAL";"TAB2",#N/A,TRUE,"GENERAL";"TAB3",#N/A,TRUE,"GENERAL";"TAB4",#N/A,TRUE,"GENERAL";"TAB5",#N/A,TRUE,"GENERAL"}</definedName>
    <definedName name="_X10" hidden="1">{#N/A,#N/A,FALSE,"Costos Productos 6A";#N/A,#N/A,FALSE,"Costo Unitario Total H-94-12"}</definedName>
    <definedName name="_X11" hidden="1">{#N/A,#N/A,FALSE,"Costos Productos 6A";#N/A,#N/A,FALSE,"Costo Unitario Total H-94-12"}</definedName>
    <definedName name="_X12" hidden="1">{#N/A,#N/A,FALSE,"Costos Productos 6A";#N/A,#N/A,FALSE,"Costo Unitario Total H-94-12"}</definedName>
    <definedName name="_X13" hidden="1">{#N/A,#N/A,FALSE,"Costos Productos 6A";#N/A,#N/A,FALSE,"Costo Unitario Total H-94-12"}</definedName>
    <definedName name="_X14" hidden="1">{#N/A,#N/A,FALSE,"Costos Productos 6A";#N/A,#N/A,FALSE,"Costo Unitario Total H-94-12"}</definedName>
    <definedName name="_X15" hidden="1">{#N/A,#N/A,FALSE,"VOL695";#N/A,#N/A,FALSE,"anexo1";#N/A,#N/A,FALSE,"anexo2";#N/A,#N/A,FALSE,"anexo3";#N/A,#N/A,FALSE,"anexo4";#N/A,#N/A,FALSE,"anexo5a";#N/A,#N/A,FALSE,"anexo5b";#N/A,#N/A,FALSE,"anexo6a";#N/A,#N/A,FALSE,"anexo6a";#N/A,#N/A,FALSE,"anexo6c";#N/A,#N/A,FALSE,"anexo7a";#N/A,#N/A,FALSE,"anexo7b";#N/A,#N/A,FALSE,"anexo7c"}</definedName>
    <definedName name="_X16" hidden="1">{#N/A,#N/A,FALSE,"Costos Productos 6A";#N/A,#N/A,FALSE,"Costo Unitario Total H-94-12"}</definedName>
    <definedName name="_X17" hidden="1">{#N/A,#N/A,FALSE,"CIBHA05A";#N/A,#N/A,FALSE,"CIBHA05B"}</definedName>
    <definedName name="_X18" hidden="1">{#N/A,#N/A,FALSE,"CIBHA05A";#N/A,#N/A,FALSE,"CIBHA05B"}</definedName>
    <definedName name="_X19" hidden="1">{#N/A,#N/A,FALSE,"Costos Productos 6A";#N/A,#N/A,FALSE,"Costo Unitario Total H-94-12"}</definedName>
    <definedName name="_x2" hidden="1">{"via1",#N/A,TRUE,"general";"via2",#N/A,TRUE,"general";"via3",#N/A,TRUE,"general"}</definedName>
    <definedName name="_X20" hidden="1">{#N/A,#N/A,FALSE,"Costos Productos 6A";#N/A,#N/A,FALSE,"Costo Unitario Total H-94-12"}</definedName>
    <definedName name="_X21" hidden="1">{#N/A,#N/A,FALSE,"Costos Productos 6A";#N/A,#N/A,FALSE,"Costo Unitario Total H-94-12"}</definedName>
    <definedName name="_X22" hidden="1">{#N/A,#N/A,FALSE,"CIBHA05A";#N/A,#N/A,FALSE,"CIBHA05B"}</definedName>
    <definedName name="_X23" hidden="1">{#N/A,#N/A,FALSE,"Costos Productos 6A";#N/A,#N/A,FALSE,"Costo Unitario Total H-94-12"}</definedName>
    <definedName name="_X24" hidden="1">{#N/A,#N/A,FALSE,"DITCAR";#N/A,#N/A,FALSE,"a1";#N/A,#N/A,FALSE,"a2";#N/A,#N/A,FALSE,"a3";#N/A,#N/A,FALSE,"a4";#N/A,#N/A,FALSE,"a4a";#N/A,#N/A,FALSE,"a4B";#N/A,#N/A,FALSE,"a4C";#N/A,#N/A,FALSE,"A5a ";#N/A,#N/A,FALSE,"A5b";#N/A,#N/A,FALSE,"A6A";#N/A,#N/A,FALSE,"A6B";#N/A,#N/A,FALSE,"A6C";#N/A,#N/A,FALSE,"04PG12NB"}</definedName>
    <definedName name="_X25" hidden="1">{#N/A,#N/A,FALSE,"CIBHA05A";#N/A,#N/A,FALSE,"CIBHA05B"}</definedName>
    <definedName name="_X26" hidden="1">{#N/A,#N/A,FALSE,"Costos Productos 6A";#N/A,#N/A,FALSE,"Costo Unitario Total H-94-12"}</definedName>
    <definedName name="_X27" hidden="1">{#N/A,#N/A,FALSE,"Costos Productos 6A";#N/A,#N/A,FALSE,"Costo Unitario Total H-94-12"}</definedName>
    <definedName name="_X28" hidden="1">{#N/A,#N/A,FALSE,"CIBHA05A";#N/A,#N/A,FALSE,"CIBHA05B"}</definedName>
    <definedName name="_X29" hidden="1">{#N/A,#N/A,FALSE,"Costos Productos 6A";#N/A,#N/A,FALSE,"Costo Unitario Total H-94-12"}</definedName>
    <definedName name="_x3" hidden="1">{"via1",#N/A,TRUE,"general";"via2",#N/A,TRUE,"general";"via3",#N/A,TRUE,"general"}</definedName>
    <definedName name="_X30" hidden="1">{#N/A,#N/A,FALSE,"VOL695";#N/A,#N/A,FALSE,"anexo1";#N/A,#N/A,FALSE,"anexo2";#N/A,#N/A,FALSE,"anexo3";#N/A,#N/A,FALSE,"anexo4";#N/A,#N/A,FALSE,"anexo5a";#N/A,#N/A,FALSE,"anexo5b";#N/A,#N/A,FALSE,"anexo6a";#N/A,#N/A,FALSE,"anexo6a";#N/A,#N/A,FALSE,"anexo6c";#N/A,#N/A,FALSE,"anexo7a";#N/A,#N/A,FALSE,"anexo7b";#N/A,#N/A,FALSE,"anexo7c"}</definedName>
    <definedName name="_X31" hidden="1">{#N/A,#N/A,FALSE,"Costos Productos 6A";#N/A,#N/A,FALSE,"Costo Unitario Total H-94-12"}</definedName>
    <definedName name="_X32" hidden="1">{#N/A,#N/A,FALSE,"Costos Productos 6A";#N/A,#N/A,FALSE,"Costo Unitario Total H-94-12"}</definedName>
    <definedName name="_X33" hidden="1">{#N/A,#N/A,FALSE,"Costos Productos 6A";#N/A,#N/A,FALSE,"Costo Unitario Total H-94-12"}</definedName>
    <definedName name="_X34" hidden="1">{#N/A,#N/A,FALSE,"CIBHA05A";#N/A,#N/A,FALSE,"CIBHA05B"}</definedName>
    <definedName name="_X35" hidden="1">{#N/A,#N/A,FALSE,"Costos Productos 6A";#N/A,#N/A,FALSE,"Costo Unitario Total H-94-12"}</definedName>
    <definedName name="_X36" hidden="1">{#N/A,#N/A,FALSE,"VOL695";#N/A,#N/A,FALSE,"anexo1";#N/A,#N/A,FALSE,"anexo2";#N/A,#N/A,FALSE,"anexo3";#N/A,#N/A,FALSE,"anexo4";#N/A,#N/A,FALSE,"anexo5a";#N/A,#N/A,FALSE,"anexo5b";#N/A,#N/A,FALSE,"anexo6a";#N/A,#N/A,FALSE,"anexo6a";#N/A,#N/A,FALSE,"anexo6c";#N/A,#N/A,FALSE,"anexo7a";#N/A,#N/A,FALSE,"anexo7b";#N/A,#N/A,FALSE,"anexo7c"}</definedName>
    <definedName name="_X37" hidden="1">{#N/A,#N/A,FALSE,"Costos Productos 6A";#N/A,#N/A,FALSE,"Costo Unitario Total H-94-12"}</definedName>
    <definedName name="_X38" hidden="1">{#N/A,#N/A,FALSE,"Costos Productos 6A";#N/A,#N/A,FALSE,"Costo Unitario Total H-94-12"}</definedName>
    <definedName name="_X39" hidden="1">{#N/A,#N/A,FALSE,"Costos Productos 6A";#N/A,#N/A,FALSE,"Costo Unitario Total H-94-12"}</definedName>
    <definedName name="_x4" hidden="1">{"via1",#N/A,TRUE,"general";"via2",#N/A,TRUE,"general";"via3",#N/A,TRUE,"general"}</definedName>
    <definedName name="_X40" hidden="1">{#N/A,#N/A,FALSE,"Costos Productos 6A";#N/A,#N/A,FALSE,"Costo Unitario Total H-94-12"}</definedName>
    <definedName name="_X41" hidden="1">{#N/A,#N/A,FALSE,"Costos Productos 6A";#N/A,#N/A,FALSE,"Costo Unitario Total H-94-12"}</definedName>
    <definedName name="_X42" hidden="1">{#N/A,#N/A,FALSE,"Costos Productos 6A";#N/A,#N/A,FALSE,"Costo Unitario Total H-94-12"}</definedName>
    <definedName name="_X43" hidden="1">{#N/A,#N/A,FALSE,"VOL695";#N/A,#N/A,FALSE,"anexo1";#N/A,#N/A,FALSE,"anexo2";#N/A,#N/A,FALSE,"anexo3";#N/A,#N/A,FALSE,"anexo4";#N/A,#N/A,FALSE,"anexo5a";#N/A,#N/A,FALSE,"anexo5b";#N/A,#N/A,FALSE,"anexo6a";#N/A,#N/A,FALSE,"anexo6a";#N/A,#N/A,FALSE,"anexo6c";#N/A,#N/A,FALSE,"anexo7a";#N/A,#N/A,FALSE,"anexo7b";#N/A,#N/A,FALSE,"anexo7c"}</definedName>
    <definedName name="_X44" hidden="1">{#N/A,#N/A,FALSE,"CIBHA05A";#N/A,#N/A,FALSE,"CIBHA05B"}</definedName>
    <definedName name="_X45" hidden="1">{#N/A,#N/A,FALSE,"CIBHA05A";#N/A,#N/A,FALSE,"CIBHA05B"}</definedName>
    <definedName name="_X46" hidden="1">{#N/A,#N/A,FALSE,"VOL695";#N/A,#N/A,FALSE,"anexo1";#N/A,#N/A,FALSE,"anexo2";#N/A,#N/A,FALSE,"anexo3";#N/A,#N/A,FALSE,"anexo4";#N/A,#N/A,FALSE,"anexo5a";#N/A,#N/A,FALSE,"anexo5b";#N/A,#N/A,FALSE,"anexo6a";#N/A,#N/A,FALSE,"anexo6a";#N/A,#N/A,FALSE,"anexo6c";#N/A,#N/A,FALSE,"anexo7a";#N/A,#N/A,FALSE,"anexo7b";#N/A,#N/A,FALSE,"anexo7c"}</definedName>
    <definedName name="_X47" hidden="1">{#N/A,#N/A,FALSE,"Costos Productos 6A";#N/A,#N/A,FALSE,"Costo Unitario Total H-94-12"}</definedName>
    <definedName name="_X48" hidden="1">{#N/A,#N/A,FALSE,"Costos Contables CIB A 12 1994";#N/A,#N/A,FALSE,"Cuadre Contab. y C. OP"}</definedName>
    <definedName name="_X49" hidden="1">{#N/A,#N/A,FALSE,"CIBHA05A";#N/A,#N/A,FALSE,"CIBHA05B"}</definedName>
    <definedName name="_x5" hidden="1">{"TAB1",#N/A,TRUE,"GENERAL";"TAB2",#N/A,TRUE,"GENERAL";"TAB3",#N/A,TRUE,"GENERAL";"TAB4",#N/A,TRUE,"GENERAL";"TAB5",#N/A,TRUE,"GENERAL"}</definedName>
    <definedName name="_X50" hidden="1">{#N/A,#N/A,FALSE,"Costos Productos 6A";#N/A,#N/A,FALSE,"Costo Unitario Total H-94-12"}</definedName>
    <definedName name="_X51" hidden="1">{#N/A,#N/A,FALSE,"a1";#N/A,#N/A,FALSE,"a2";#N/A,#N/A,FALSE,"a3";#N/A,#N/A,FALSE,"a4a";#N/A,#N/A,FALSE,"a4B";#N/A,#N/A,FALSE,"a4C";#N/A,#N/A,FALSE,"a4D";#N/A,#N/A,FALSE,"A5a ";#N/A,#N/A,FALSE,"A5b";#N/A,#N/A,FALSE,"A6A";#N/A,#N/A,FALSE,"A6B";#N/A,#N/A,FALSE,"A6C";#N/A,#N/A,FALSE,"A6D";#N/A,#N/A,FALSE,"INV"}</definedName>
    <definedName name="_X52" hidden="1">{#N/A,#N/A,FALSE,"VOL695";#N/A,#N/A,FALSE,"anexo1";#N/A,#N/A,FALSE,"anexo2";#N/A,#N/A,FALSE,"anexo3";#N/A,#N/A,FALSE,"anexo4";#N/A,#N/A,FALSE,"anexo5a";#N/A,#N/A,FALSE,"anexo5b";#N/A,#N/A,FALSE,"anexo6a";#N/A,#N/A,FALSE,"anexo6a";#N/A,#N/A,FALSE,"anexo6c";#N/A,#N/A,FALSE,"anexo7a";#N/A,#N/A,FALSE,"anexo7b";#N/A,#N/A,FALSE,"anexo7c"}</definedName>
    <definedName name="_X53" hidden="1">{#N/A,#N/A,FALSE,"VOL695";#N/A,#N/A,FALSE,"anexo1";#N/A,#N/A,FALSE,"anexo2";#N/A,#N/A,FALSE,"anexo3";#N/A,#N/A,FALSE,"anexo4";#N/A,#N/A,FALSE,"anexo5a";#N/A,#N/A,FALSE,"anexo5b";#N/A,#N/A,FALSE,"anexo6a";#N/A,#N/A,FALSE,"anexo6a";#N/A,#N/A,FALSE,"anexo6c";#N/A,#N/A,FALSE,"anexo7a";#N/A,#N/A,FALSE,"anexo7b";#N/A,#N/A,FALSE,"anexo7c"}</definedName>
    <definedName name="_X54" hidden="1">{#N/A,#N/A,FALSE,"CIBHA05A";#N/A,#N/A,FALSE,"CIBHA05B"}</definedName>
    <definedName name="_X55" hidden="1">{#N/A,#N/A,FALSE,"CIBHA05A";#N/A,#N/A,FALSE,"CIBHA05B"}</definedName>
    <definedName name="_X56" hidden="1">{#N/A,#N/A,FALSE,"VOL695";#N/A,#N/A,FALSE,"anexo1";#N/A,#N/A,FALSE,"anexo2";#N/A,#N/A,FALSE,"anexo3";#N/A,#N/A,FALSE,"anexo4";#N/A,#N/A,FALSE,"anexo5a";#N/A,#N/A,FALSE,"anexo5b";#N/A,#N/A,FALSE,"anexo6a";#N/A,#N/A,FALSE,"anexo6a";#N/A,#N/A,FALSE,"anexo6c";#N/A,#N/A,FALSE,"anexo7a";#N/A,#N/A,FALSE,"anexo7b";#N/A,#N/A,FALSE,"anexo7c"}</definedName>
    <definedName name="_X57" hidden="1">{#N/A,#N/A,FALSE,"Costos Productos 6A";#N/A,#N/A,FALSE,"Costo Unitario Total H-94-12"}</definedName>
    <definedName name="_X58" hidden="1">{#N/A,#N/A,FALSE,"Costos Productos 6A";#N/A,#N/A,FALSE,"Costo Unitario Total H-94-12"}</definedName>
    <definedName name="_X59" hidden="1">{#N/A,#N/A,FALSE,"Costos Productos 6A";#N/A,#N/A,FALSE,"Costo Unitario Total H-94-12"}</definedName>
    <definedName name="_x6" hidden="1">{"TAB1",#N/A,TRUE,"GENERAL";"TAB2",#N/A,TRUE,"GENERAL";"TAB3",#N/A,TRUE,"GENERAL";"TAB4",#N/A,TRUE,"GENERAL";"TAB5",#N/A,TRUE,"GENERAL"}</definedName>
    <definedName name="_x7" hidden="1">{"TAB1",#N/A,TRUE,"GENERAL";"TAB2",#N/A,TRUE,"GENERAL";"TAB3",#N/A,TRUE,"GENERAL";"TAB4",#N/A,TRUE,"GENERAL";"TAB5",#N/A,TRUE,"GENERAL"}</definedName>
    <definedName name="_x8" hidden="1">{"via1",#N/A,TRUE,"general";"via2",#N/A,TRUE,"general";"via3",#N/A,TRUE,"general"}</definedName>
    <definedName name="_x9" hidden="1">{"TAB1",#N/A,TRUE,"GENERAL";"TAB2",#N/A,TRUE,"GENERAL";"TAB3",#N/A,TRUE,"GENERAL";"TAB4",#N/A,TRUE,"GENERAL";"TAB5",#N/A,TRUE,"GENERAL"}</definedName>
    <definedName name="_XC30" hidden="1">{"Actual Equipment",#N/A,FALSE,"BA D5"}</definedName>
    <definedName name="_XCASE_MATL">#REF!</definedName>
    <definedName name="_xl5" hidden="1">{"Actual Equipment",#N/A,FALSE,"BA D5"}</definedName>
    <definedName name="_xlcn.WorksheetConnection_Hoja2AE1" hidden="1">#REF!</definedName>
    <definedName name="_xlcn.WorksheetConnection_Hoja3AE1" hidden="1">#REF!</definedName>
    <definedName name="_xlcn.WorksheetConnection_Hoja3AE11" hidden="1">#REF!</definedName>
    <definedName name="_xlcn.WorksheetConnection_Hoja5AE1" hidden="1">#REF!</definedName>
    <definedName name="_xlcn.WorksheetConnection_OPERAI1" hidden="1">#REF!</definedName>
    <definedName name="_xlcn.WorksheetConnection_PACIFICAI1" hidden="1">#REF!</definedName>
    <definedName name="_xlcn.WorksheetConnection_PACIFICAI11" hidden="1">#REF!</definedName>
    <definedName name="_XMTR_COMM">#REF!</definedName>
    <definedName name="_XMTR_LOC">#REF!</definedName>
    <definedName name="_XMTR_MODEL">#REF!</definedName>
    <definedName name="_XMTR_OUT">#REF!</definedName>
    <definedName name="_XMTR_RATE">#REF!</definedName>
    <definedName name="_XMTR_SMART">#REF!</definedName>
    <definedName name="_xs7" hidden="1">{#N/A,#N/A,TRUE,"INGENIERIA";#N/A,#N/A,TRUE,"COMPRAS";#N/A,#N/A,TRUE,"DIRECCION";#N/A,#N/A,TRUE,"RESUMEN"}</definedName>
    <definedName name="_xz2">#REF!</definedName>
    <definedName name="_y1">#N/A</definedName>
    <definedName name="_y2" hidden="1">{"TAB1",#N/A,TRUE,"GENERAL";"TAB2",#N/A,TRUE,"GENERAL";"TAB3",#N/A,TRUE,"GENERAL";"TAB4",#N/A,TRUE,"GENERAL";"TAB5",#N/A,TRUE,"GENERAL"}</definedName>
    <definedName name="_y3" hidden="1">{"via1",#N/A,TRUE,"general";"via2",#N/A,TRUE,"general";"via3",#N/A,TRUE,"general"}</definedName>
    <definedName name="_y4" hidden="1">{"via1",#N/A,TRUE,"general";"via2",#N/A,TRUE,"general";"via3",#N/A,TRUE,"general"}</definedName>
    <definedName name="_y5" hidden="1">{"TAB1",#N/A,TRUE,"GENERAL";"TAB2",#N/A,TRUE,"GENERAL";"TAB3",#N/A,TRUE,"GENERAL";"TAB4",#N/A,TRUE,"GENERAL";"TAB5",#N/A,TRUE,"GENERAL"}</definedName>
    <definedName name="_y6" hidden="1">{"via1",#N/A,TRUE,"general";"via2",#N/A,TRUE,"general";"via3",#N/A,TRUE,"general"}</definedName>
    <definedName name="_y7" hidden="1">{"via1",#N/A,TRUE,"general";"via2",#N/A,TRUE,"general";"via3",#N/A,TRUE,"general"}</definedName>
    <definedName name="_y8" hidden="1">{"via1",#N/A,TRUE,"general";"via2",#N/A,TRUE,"general";"via3",#N/A,TRUE,"general"}</definedName>
    <definedName name="_y9" hidden="1">{"TAB1",#N/A,TRUE,"GENERAL";"TAB2",#N/A,TRUE,"GENERAL";"TAB3",#N/A,TRUE,"GENERAL";"TAB4",#N/A,TRUE,"GENERAL";"TAB5",#N/A,TRUE,"GENERAL"}</definedName>
    <definedName name="_z_max">#REF!</definedName>
    <definedName name="_z_min">#REF!</definedName>
    <definedName name="_z_norm">#REF!</definedName>
    <definedName name="_z1" hidden="1">{"TAB1",#N/A,TRUE,"GENERAL";"TAB2",#N/A,TRUE,"GENERAL";"TAB3",#N/A,TRUE,"GENERAL";"TAB4",#N/A,TRUE,"GENERAL";"TAB5",#N/A,TRUE,"GENERAL"}</definedName>
    <definedName name="_z2" hidden="1">{"via1",#N/A,TRUE,"general";"via2",#N/A,TRUE,"general";"via3",#N/A,TRUE,"general"}</definedName>
    <definedName name="_z3" hidden="1">{"via1",#N/A,TRUE,"general";"via2",#N/A,TRUE,"general";"via3",#N/A,TRUE,"general"}</definedName>
    <definedName name="_z4" hidden="1">{"TAB1",#N/A,TRUE,"GENERAL";"TAB2",#N/A,TRUE,"GENERAL";"TAB3",#N/A,TRUE,"GENERAL";"TAB4",#N/A,TRUE,"GENERAL";"TAB5",#N/A,TRUE,"GENERAL"}</definedName>
    <definedName name="_z5" hidden="1">{"via1",#N/A,TRUE,"general";"via2",#N/A,TRUE,"general";"via3",#N/A,TRUE,"general"}</definedName>
    <definedName name="_z6" hidden="1">{"TAB1",#N/A,TRUE,"GENERAL";"TAB2",#N/A,TRUE,"GENERAL";"TAB3",#N/A,TRUE,"GENERAL";"TAB4",#N/A,TRUE,"GENERAL";"TAB5",#N/A,TRUE,"GENERAL"}</definedName>
    <definedName name="_z7">#N/A</definedName>
    <definedName name="_zx2" hidden="1">{#N/A,#N/A,FALSE,"masez (10)";#N/A,#N/A,FALSE,"masez (7)";#N/A,#N/A,FALSE,"masez (6)";#N/A,#N/A,FALSE,"masez (5)";#N/A,#N/A,FALSE,"masez (4)";#N/A,#N/A,FALSE,"masez (3)";#N/A,#N/A,FALSE,"masez (2)";#N/A,#N/A,FALSE,"GME";#N/A,#N/A,FALSE,"masez"}</definedName>
    <definedName name="¡">#REF!</definedName>
    <definedName name="´cAE°eE¹" hidden="1">#REF!</definedName>
    <definedName name="´MQTEH´M" hidden="1">#REF!</definedName>
    <definedName name="￠￥cAE¡ÆeEⓒo" hidden="1">#REF!</definedName>
    <definedName name="a" hidden="1">{#N/A,#N/A,FALSE,"Costos Productos 6A";#N/A,#N/A,FALSE,"Costo Unitario Total H-94-12"}</definedName>
    <definedName name="A.COMB">#REF!</definedName>
    <definedName name="A.COMB1">#REF!</definedName>
    <definedName name="A.CONV1">#REF!</definedName>
    <definedName name="A.CONV2">#REF!</definedName>
    <definedName name="A.CONV4">#REF!</definedName>
    <definedName name="A.F.P">#REF!</definedName>
    <definedName name="A.I.U">#REF!</definedName>
    <definedName name="A.IPC1">#REF!</definedName>
    <definedName name="A.R.P">#REF!</definedName>
    <definedName name="A.SMML">#REF!</definedName>
    <definedName name="A_A">#REF!</definedName>
    <definedName name="A_impresión_IM">#REF!</definedName>
    <definedName name="A02M310" hidden="1">{"DETALLE_1996",#N/A,FALSE,"flujo";"DETALLE_1997",#N/A,FALSE,"flujo";"GASTOS_INCURRIDOS_1996",#N/A,FALSE,"flujo";"GASTOS_PROGRAMADOS_PARA_1997",#N/A,FALSE,"flujo";#N/A,#N/A,FALSE,"comparat";#N/A,#N/A,FALSE,"costos";#N/A,#N/A,FALSE,"proyctrol"}</definedName>
    <definedName name="A1_00근거" hidden="1">{#N/A,#N/A,FALSE,"단축1";#N/A,#N/A,FALSE,"단축2";#N/A,#N/A,FALSE,"단축3";#N/A,#N/A,FALSE,"장축";#N/A,#N/A,FALSE,"4WD"}</definedName>
    <definedName name="a2a" hidden="1">{"TAB1",#N/A,TRUE,"GENERAL";"TAB2",#N/A,TRUE,"GENERAL";"TAB3",#N/A,TRUE,"GENERAL";"TAB4",#N/A,TRUE,"GENERAL";"TAB5",#N/A,TRUE,"GENERAL"}</definedName>
    <definedName name="a6d" hidden="1">{#N/A,#N/A,FALSE,"DITCAR";#N/A,#N/A,FALSE,"a1";#N/A,#N/A,FALSE,"a2";#N/A,#N/A,FALSE,"a3";#N/A,#N/A,FALSE,"a4";#N/A,#N/A,FALSE,"a4a";#N/A,#N/A,FALSE,"a4B";#N/A,#N/A,FALSE,"a4C";#N/A,#N/A,FALSE,"A5a ";#N/A,#N/A,FALSE,"A5b";#N/A,#N/A,FALSE,"A6A";#N/A,#N/A,FALSE,"A6B";#N/A,#N/A,FALSE,"A6C";#N/A,#N/A,FALSE,"04PG12NB"}</definedName>
    <definedName name="a6d_1" hidden="1">{#N/A,#N/A,FALSE,"DITCAR";#N/A,#N/A,FALSE,"a1";#N/A,#N/A,FALSE,"a2";#N/A,#N/A,FALSE,"a3";#N/A,#N/A,FALSE,"a4";#N/A,#N/A,FALSE,"a4a";#N/A,#N/A,FALSE,"a4B";#N/A,#N/A,FALSE,"a4C";#N/A,#N/A,FALSE,"A5a ";#N/A,#N/A,FALSE,"A5b";#N/A,#N/A,FALSE,"A6A";#N/A,#N/A,FALSE,"A6B";#N/A,#N/A,FALSE,"A6C";#N/A,#N/A,FALSE,"04PG12NB"}</definedName>
    <definedName name="a6d1" hidden="1">{#N/A,#N/A,FALSE,"DITCAR";#N/A,#N/A,FALSE,"a1";#N/A,#N/A,FALSE,"a2";#N/A,#N/A,FALSE,"a3";#N/A,#N/A,FALSE,"a4";#N/A,#N/A,FALSE,"a4a";#N/A,#N/A,FALSE,"a4B";#N/A,#N/A,FALSE,"a4C";#N/A,#N/A,FALSE,"A5a ";#N/A,#N/A,FALSE,"A5b";#N/A,#N/A,FALSE,"A6A";#N/A,#N/A,FALSE,"A6B";#N/A,#N/A,FALSE,"A6C";#N/A,#N/A,FALSE,"04PG12NB"}</definedName>
    <definedName name="a6da" hidden="1">{#N/A,#N/A,FALSE,"DITCAR";#N/A,#N/A,FALSE,"a1";#N/A,#N/A,FALSE,"a2";#N/A,#N/A,FALSE,"a3";#N/A,#N/A,FALSE,"a4";#N/A,#N/A,FALSE,"a4a";#N/A,#N/A,FALSE,"a4B";#N/A,#N/A,FALSE,"a4C";#N/A,#N/A,FALSE,"A5a ";#N/A,#N/A,FALSE,"A5b";#N/A,#N/A,FALSE,"A6A";#N/A,#N/A,FALSE,"A6B";#N/A,#N/A,FALSE,"A6C";#N/A,#N/A,FALSE,"04PG12NB"}</definedName>
    <definedName name="A6E" hidden="1">{#N/A,#N/A,FALSE,"DITCAR";#N/A,#N/A,FALSE,"a1";#N/A,#N/A,FALSE,"a2";#N/A,#N/A,FALSE,"a3";#N/A,#N/A,FALSE,"a4";#N/A,#N/A,FALSE,"a4a";#N/A,#N/A,FALSE,"a4B";#N/A,#N/A,FALSE,"a4C";#N/A,#N/A,FALSE,"A5a ";#N/A,#N/A,FALSE,"A5b";#N/A,#N/A,FALSE,"A6A";#N/A,#N/A,FALSE,"A6B";#N/A,#N/A,FALSE,"A6C";#N/A,#N/A,FALSE,"04PG12NB"}</definedName>
    <definedName name="a7d" hidden="1">{#N/A,#N/A,FALSE,"DITCAR";#N/A,#N/A,FALSE,"a1";#N/A,#N/A,FALSE,"a2";#N/A,#N/A,FALSE,"a3";#N/A,#N/A,FALSE,"a4";#N/A,#N/A,FALSE,"a4a";#N/A,#N/A,FALSE,"a4B";#N/A,#N/A,FALSE,"a4C";#N/A,#N/A,FALSE,"A5a ";#N/A,#N/A,FALSE,"A5b";#N/A,#N/A,FALSE,"A6A";#N/A,#N/A,FALSE,"A6B";#N/A,#N/A,FALSE,"A6C";#N/A,#N/A,FALSE,"04PG12NB"}</definedName>
    <definedName name="a7d_1" hidden="1">{#N/A,#N/A,FALSE,"DITCAR";#N/A,#N/A,FALSE,"a1";#N/A,#N/A,FALSE,"a2";#N/A,#N/A,FALSE,"a3";#N/A,#N/A,FALSE,"a4";#N/A,#N/A,FALSE,"a4a";#N/A,#N/A,FALSE,"a4B";#N/A,#N/A,FALSE,"a4C";#N/A,#N/A,FALSE,"A5a ";#N/A,#N/A,FALSE,"A5b";#N/A,#N/A,FALSE,"A6A";#N/A,#N/A,FALSE,"A6B";#N/A,#N/A,FALSE,"A6C";#N/A,#N/A,FALSE,"04PG12NB"}</definedName>
    <definedName name="AA" hidden="1">{#N/A,#N/A,TRUE,"INGENIERIA";#N/A,#N/A,TRUE,"COMPRAS";#N/A,#N/A,TRUE,"DIRECCION";#N/A,#N/A,TRUE,"RESUMEN"}</definedName>
    <definedName name="AA.CONV1">#REF!</definedName>
    <definedName name="aaa" hidden="1">{#N/A,#N/A,FALSE,"Costos Productos 6A";#N/A,#N/A,FALSE,"Costo Unitario Total H-94-12"}</definedName>
    <definedName name="AAA_1" hidden="1">{#N/A,#N/A,FALSE,"a1";#N/A,#N/A,FALSE,"a2";#N/A,#N/A,FALSE,"a3";#N/A,#N/A,FALSE,"a4a";#N/A,#N/A,FALSE,"a4B";#N/A,#N/A,FALSE,"a4C";#N/A,#N/A,FALSE,"a4D";#N/A,#N/A,FALSE,"A5a ";#N/A,#N/A,FALSE,"A5b";#N/A,#N/A,FALSE,"A6A";#N/A,#N/A,FALSE,"A6B";#N/A,#N/A,FALSE,"A6C";#N/A,#N/A,FALSE,"A6D";#N/A,#N/A,FALSE,"INV"}</definedName>
    <definedName name="aaaa">#REF!</definedName>
    <definedName name="AAAAA">#REF!</definedName>
    <definedName name="aaaaa_1" hidden="1">{#N/A,#N/A,FALSE,"DITCAR";#N/A,#N/A,FALSE,"a1";#N/A,#N/A,FALSE,"a2";#N/A,#N/A,FALSE,"a3";#N/A,#N/A,FALSE,"a4";#N/A,#N/A,FALSE,"a4a";#N/A,#N/A,FALSE,"a4B";#N/A,#N/A,FALSE,"a4C";#N/A,#N/A,FALSE,"A5a ";#N/A,#N/A,FALSE,"A5b";#N/A,#N/A,FALSE,"A6A";#N/A,#N/A,FALSE,"A6B";#N/A,#N/A,FALSE,"A6C";#N/A,#N/A,FALSE,"04PG12NB"}</definedName>
    <definedName name="aaaaaa" hidden="1">#REF!</definedName>
    <definedName name="aaaaaaa" hidden="1">{#N/A,#N/A,FALSE,"type1";#N/A,#N/A,FALSE,"지지력";#N/A,#N/A,FALSE,"PILE계산";#N/A,#N/A,FALSE,"PILE ";#N/A,#N/A,FALSE,"철근량";#N/A,#N/A,FALSE,"균열검토";#N/A,#N/A,FALSE,"날개벽";#N/A,#N/A,FALSE,"주철근조립도";#N/A,#N/A,FALSE,"교좌"}</definedName>
    <definedName name="aaaaaaaa">#REF!</definedName>
    <definedName name="AAAAAAAAA" hidden="1">{"CONSEJO",#N/A,FALSE,"Dist p0";"CONSEJO",#N/A,FALSE,"Ficha CODICE"}</definedName>
    <definedName name="aaaaaaaaaaaa" hidden="1">#REF!</definedName>
    <definedName name="aaaaaaaaaaaw">#REF!</definedName>
    <definedName name="aaaaas" hidden="1">{"TAB1",#N/A,TRUE,"GENERAL";"TAB2",#N/A,TRUE,"GENERAL";"TAB3",#N/A,TRUE,"GENERAL";"TAB4",#N/A,TRUE,"GENERAL";"TAB5",#N/A,TRUE,"GENERAL"}</definedName>
    <definedName name="aaaas" hidden="1">#REF!</definedName>
    <definedName name="AAASS" hidden="1">{#N/A,#N/A,FALSE,"단축1";#N/A,#N/A,FALSE,"단축2";#N/A,#N/A,FALSE,"단축3";#N/A,#N/A,FALSE,"장축";#N/A,#N/A,FALSE,"4WD"}</definedName>
    <definedName name="AAC">#REF!</definedName>
    <definedName name="aaewe" hidden="1">{#N/A,#N/A,FALSE,"Solids Only"}</definedName>
    <definedName name="aaif" hidden="1">{#N/A,#N/A,FALSE,"단축1";#N/A,#N/A,FALSE,"단축2";#N/A,#N/A,FALSE,"단축3";#N/A,#N/A,FALSE,"장축";#N/A,#N/A,FALSE,"4WD"}</definedName>
    <definedName name="AAS" hidden="1">{#N/A,#N/A,TRUE,"INGENIERIA";#N/A,#N/A,TRUE,"COMPRAS";#N/A,#N/A,TRUE,"DIRECCION";#N/A,#N/A,TRUE,"RESUMEN"}</definedName>
    <definedName name="AASF" hidden="1">#REF!</definedName>
    <definedName name="AASSFF" hidden="1">#REF!</definedName>
    <definedName name="ab" hidden="1">{#N/A,#N/A,FALSE,"Costos Productos 6A";#N/A,#N/A,FALSE,"Costo Unitario Total H-94-12"}</definedName>
    <definedName name="abb" hidden="1">{#N/A,#N/A,FALSE,"TABLE"}</definedName>
    <definedName name="abc" hidden="1">{#N/A,#N/A,TRUE,"1842CWN0"}</definedName>
    <definedName name="ABCD" hidden="1">#REF!</definedName>
    <definedName name="ABCDE" hidden="1">#REF!</definedName>
    <definedName name="ABCDER" hidden="1">{"EVA",#N/A,FALSE,"SMT2";#N/A,#N/A,FALSE,"Summary";#N/A,#N/A,FALSE,"Graphs";#N/A,#N/A,FALSE,"4 Panel"}</definedName>
    <definedName name="ABDCCC" hidden="1">{#N/A,#N/A,FALSE,"VOL695";#N/A,#N/A,FALSE,"anexo1";#N/A,#N/A,FALSE,"anexo2";#N/A,#N/A,FALSE,"anexo3";#N/A,#N/A,FALSE,"anexo4";#N/A,#N/A,FALSE,"anexo5a";#N/A,#N/A,FALSE,"anexo5b";#N/A,#N/A,FALSE,"anexo6a";#N/A,#N/A,FALSE,"anexo6a";#N/A,#N/A,FALSE,"anexo6c";#N/A,#N/A,FALSE,"anexo7a";#N/A,#N/A,FALSE,"anexo7b";#N/A,#N/A,FALSE,"anexo7c"}</definedName>
    <definedName name="ABDD" hidden="1">{#N/A,#N/A,FALSE,"단축1";#N/A,#N/A,FALSE,"단축2";#N/A,#N/A,FALSE,"단축3";#N/A,#N/A,FALSE,"장축";#N/A,#N/A,FALSE,"4WD"}</definedName>
    <definedName name="ABG">#REF!</definedName>
    <definedName name="aBMGDSDLM" hidden="1">#REF!</definedName>
    <definedName name="abr" hidden="1">#REF!</definedName>
    <definedName name="abr_20">#REF!</definedName>
    <definedName name="abr_21">#REF!</definedName>
    <definedName name="ABRIL">#REF!</definedName>
    <definedName name="absc">#REF!</definedName>
    <definedName name="absc_">#REF!</definedName>
    <definedName name="absc_1">#REF!</definedName>
    <definedName name="absc1">#REF!</definedName>
    <definedName name="AC">#N/A</definedName>
    <definedName name="ACCESORIO_CODO">#REF!</definedName>
    <definedName name="Access_Button" hidden="1">"Maestro_Equipo_Lista"</definedName>
    <definedName name="Access_Button1" hidden="1">"업체현황_카드발송_List"</definedName>
    <definedName name="Access_Button2" hidden="1">"업체현황_카드발송_List"</definedName>
    <definedName name="Access_Button3" hidden="1">"카드발송_카드발송_List1"</definedName>
    <definedName name="Access_Button4" hidden="1">"업체현황_카드발송_List"</definedName>
    <definedName name="AccessDatabase" hidden="1">"A:\SAIN.mdb"</definedName>
    <definedName name="ACCLINK.XLS_Localization_Table_List" hidden="1">"$A$1:$B$11"</definedName>
    <definedName name="ACCLINK.XLS_Localization_Table_List1" hidden="1">"$A$13:$B$31"</definedName>
    <definedName name="ACCLINK.XLS_Localization_Table_List10" hidden="1">"$A$13:$B$33"</definedName>
    <definedName name="ACCLINK.XLS_Localization_Table_List11" hidden="1">"$A$13:$B$33"</definedName>
    <definedName name="ACCLINK.XLS_Localization_Table_List12" hidden="1">"$A$13:$B$33"</definedName>
    <definedName name="ACCLINK.XLS_Localization_Table_List13" hidden="1">"$A$13:$B$33"</definedName>
    <definedName name="ACCLINK.XLS_Localization_Table_List14" hidden="1">"$A$13:$B$33"</definedName>
    <definedName name="ACCLINK.XLS_Localization_Table_List15" hidden="1">"$A$13:$B$33"</definedName>
    <definedName name="ACCLINK.XLS_Localization_Table_List16" hidden="1">"$A$13:$B$33"</definedName>
    <definedName name="ACCLINK.XLS_Localization_Table_List17" hidden="1">"$A$13:$B$33"</definedName>
    <definedName name="ACCLINK.XLS_Localization_Table_List18" hidden="1">"$A$13:$B$33"</definedName>
    <definedName name="ACCLINK.XLS_Localization_Table_List19" hidden="1">"$A$13:$B$33"</definedName>
    <definedName name="ACCLINK.XLS_Localization_Table_List2" hidden="1">"$A$13:$B$31"</definedName>
    <definedName name="ACCLINK.XLS_Localization_Table_List3" hidden="1">"$A$13:$B$31"</definedName>
    <definedName name="ACCLINK.XLS_Localization_Table_List4" hidden="1">"$A$13:$B$31"</definedName>
    <definedName name="ACCLINK.XLS_Localization_Table_List5" hidden="1">"$A$13:$B$31"</definedName>
    <definedName name="ACCLINK.XLS_Localization_Table_List6" hidden="1">"$A$13:$B$31"</definedName>
    <definedName name="ACCLINK.XLS_Localization_Table_List7" hidden="1">"$A$13:$B$31"</definedName>
    <definedName name="ACCLINK.XLS_Localization_Table_List8" hidden="1">"$A$13:$B$31"</definedName>
    <definedName name="ACCLINK.XLS_Localization_Table_List9" hidden="1">"$A$13:$B$33"</definedName>
    <definedName name="ACERO_1_2">#REF!</definedName>
    <definedName name="ACERO_1_4">#REF!</definedName>
    <definedName name="acero_3">#REF!</definedName>
    <definedName name="ACERO_3_8">#REF!</definedName>
    <definedName name="acero_4">#REF!</definedName>
    <definedName name="ACERO_5_8">#REF!</definedName>
    <definedName name="ACONDICIONADOR_PARA_SILLA_Y">#REF!</definedName>
    <definedName name="ACPM">#REF!</definedName>
    <definedName name="acs" hidden="1">#REF!</definedName>
    <definedName name="acsr2">#REF!</definedName>
    <definedName name="ACSR2222">#REF!</definedName>
    <definedName name="ACT">#REF!</definedName>
    <definedName name="ACTA">#REF!</definedName>
    <definedName name="Action">#REF!</definedName>
    <definedName name="ACTIVAS">#REF!</definedName>
    <definedName name="Actividad">#REF!</definedName>
    <definedName name="actividadesmmto">#REF!</definedName>
    <definedName name="actividadesmtto">#REF!</definedName>
    <definedName name="ACTIVITY">#REF!</definedName>
    <definedName name="Actos_inseguros">#REF!</definedName>
    <definedName name="actual_rate">#REF!</definedName>
    <definedName name="ActualizaPrecios">#REF!</definedName>
    <definedName name="ACUM_TB">#REF!</definedName>
    <definedName name="ACUMULADO">#REF!</definedName>
    <definedName name="AcumularBalance">#REF!</definedName>
    <definedName name="ACwvu.normal." hidden="1">#REF!</definedName>
    <definedName name="ACwvu.short." hidden="1">#REF!</definedName>
    <definedName name="ACwvu.STANDARD." hidden="1">#REF!</definedName>
    <definedName name="ACwvu.TAB1." hidden="1">#REF!</definedName>
    <definedName name="ACwvu.TAB10." hidden="1">#REF!</definedName>
    <definedName name="ACwvu.TAB2." hidden="1">#REF!</definedName>
    <definedName name="ACwvu.TAB3." hidden="1">#REF!</definedName>
    <definedName name="ACwvu.TAB4." hidden="1">#REF!</definedName>
    <definedName name="ACwvu.TAB5." hidden="1">#REF!</definedName>
    <definedName name="ACwvu.week3." hidden="1">#REF!</definedName>
    <definedName name="ACwvu.week3short." hidden="1">#REF!</definedName>
    <definedName name="ad" hidden="1">{"CHART",#N/A,FALSE,"Arch Communications"}</definedName>
    <definedName name="ada" hidden="1">{#N/A,#N/A,FALSE,"이태원철근"}</definedName>
    <definedName name="adas" hidden="1">{#N/A,#N/A,FALSE,"masez (10)";#N/A,#N/A,FALSE,"masez (7)";#N/A,#N/A,FALSE,"masez (6)";#N/A,#N/A,FALSE,"masez (5)";#N/A,#N/A,FALSE,"masez (4)";#N/A,#N/A,FALSE,"masez (3)";#N/A,#N/A,FALSE,"masez (2)";#N/A,#N/A,FALSE,"GME";#N/A,#N/A,FALSE,"masez"}</definedName>
    <definedName name="adASD" hidden="1">{"'banner (abr)'!$A$14:$G$22"}</definedName>
    <definedName name="adasfd" hidden="1">{"'banner (abr)'!$A$14:$G$22"}</definedName>
    <definedName name="adds" hidden="1">{#N/A,#N/A,FALSE,"TEC-01";#N/A,#N/A,FALSE,"TEC - 02";#N/A,#N/A,FALSE,"TEC - 03";#N/A,#N/A,FALSE,"TEC - 04";#N/A,#N/A,FALSE,"TEC-07";#N/A,#N/A,FALSE,"TEC-08";#N/A,#N/A,FALSE,"TEC - 09A";#N/A,#N/A,FALSE,"TEC - 09B";#N/A,#N/A,FALSE,"TEC - 09C";#N/A,#N/A,FALSE,"TEC - 10";#N/A,#N/A,FALSE,"TEC-11"}</definedName>
    <definedName name="adf" hidden="1">{TRUE,TRUE,-0.8,-17,618,378,FALSE,FALSE,TRUE,TRUE,0,33,#N/A,89,#N/A,14.5641025641026,175.058823529412,1,FALSE,FALSE,3,TRUE,1,FALSE,75,"Swvu.oil.","ACwvu.oil.",#N/A,FALSE,FALSE,0.196850393700787,0.196850393700787,0.196850393700787,0.196850393700787,2,"","",TRUE,TRUE,FALSE,FALSE,1,#N/A,1,1,"=R1C1:R248C39",FALSE,"Rwvu.oil.","Cwvu.oil.",FALSE,FALSE,FALSE,1,600,600,FALSE,FALSE,TRUE,TRUE,TRUE}</definedName>
    <definedName name="ADFGSDB" hidden="1">{"via1",#N/A,TRUE,"general";"via2",#N/A,TRUE,"general";"via3",#N/A,TRUE,"general"}</definedName>
    <definedName name="ADHESIVO_PARA_SILLA_Y">#REF!</definedName>
    <definedName name="ADI">#REF!</definedName>
    <definedName name="ADIFLEX">#REF!</definedName>
    <definedName name="ADJH" hidden="1">#REF!</definedName>
    <definedName name="Adm">#REF!</definedName>
    <definedName name="ADMIN">#N/A</definedName>
    <definedName name="Admin_Caño_Lim">#REF!</definedName>
    <definedName name="Admin_Cov_Car">#REF!</definedName>
    <definedName name="Admin_Occ">#REF!</definedName>
    <definedName name="Admin_Ori_Cen_Llan">#REF!</definedName>
    <definedName name="ADMINISTRACION">#REF!</definedName>
    <definedName name="administrador">#REF!</definedName>
    <definedName name="ADMINISTRADOR_VIAL__ARMANDO_SANCHEZ_SANCHEZ">#REF!</definedName>
    <definedName name="admon_rango">#REF!</definedName>
    <definedName name="ADMONBING">#REF!</definedName>
    <definedName name="adoc1">#REF!</definedName>
    <definedName name="ADOC125">#REF!</definedName>
    <definedName name="adoq">#REF!</definedName>
    <definedName name="ADOQUIN_DE_CONCRETO">#REF!</definedName>
    <definedName name="ads">#REF!</definedName>
    <definedName name="ADSAD" hidden="1">{"TAB1",#N/A,TRUE,"GENERAL";"TAB2",#N/A,TRUE,"GENERAL";"TAB3",#N/A,TRUE,"GENERAL";"TAB4",#N/A,TRUE,"GENERAL";"TAB5",#N/A,TRUE,"GENERAL"}</definedName>
    <definedName name="ADSD" hidden="1">{#N/A,#N/A,FALSE,"Costos Productos 6A";#N/A,#N/A,FALSE,"Costo Unitario Total H-94-12"}</definedName>
    <definedName name="adsda" hidden="1">{#N/A,#N/A,FALSE,"masez (10)";#N/A,#N/A,FALSE,"masez (7)";#N/A,#N/A,FALSE,"masez (6)";#N/A,#N/A,FALSE,"masez (5)";#N/A,#N/A,FALSE,"masez (4)";#N/A,#N/A,FALSE,"masez (3)";#N/A,#N/A,FALSE,"masez (2)";#N/A,#N/A,FALSE,"GME";#N/A,#N/A,FALSE,"masez"}</definedName>
    <definedName name="ADSDF" hidden="1">{#N/A,#N/A,TRUE,"Y생산";#N/A,#N/A,TRUE,"Y판매";#N/A,#N/A,TRUE,"Y총물량";#N/A,#N/A,TRUE,"Y능력";#N/A,#N/A,TRUE,"YKD"}</definedName>
    <definedName name="adsfx" hidden="1">#REF!</definedName>
    <definedName name="ADSS" hidden="1">{#N/A,#N/A,FALSE,"단축1";#N/A,#N/A,FALSE,"단축2";#N/A,#N/A,FALSE,"단축3";#N/A,#N/A,FALSE,"장축";#N/A,#N/A,FALSE,"4WD"}</definedName>
    <definedName name="AE">#REF!</definedName>
    <definedName name="aec" hidden="1">{#N/A,#N/A,FALSE,"summary";#N/A,#N/A,FALSE,"SumGraph"}</definedName>
    <definedName name="aefa" hidden="1">{"via1",#N/A,TRUE,"general";"via2",#N/A,TRUE,"general";"via3",#N/A,TRUE,"general"}</definedName>
    <definedName name="aes" hidden="1">{"CONSEJO",#N/A,FALSE,"Dist p0";"CONSEJO",#N/A,FALSE,"Ficha CODICE"}</definedName>
    <definedName name="af" hidden="1">{#N/A,#N/A,FALSE,"이태원철근"}</definedName>
    <definedName name="afbdfbfb" hidden="1">#REF!</definedName>
    <definedName name="afdasgh" hidden="1">{#N/A,#N/A,FALSE,"CCTV"}</definedName>
    <definedName name="afdsfdg" hidden="1">{#N/A,#N/A,FALSE,"CCTV"}</definedName>
    <definedName name="afdsw" hidden="1">{"TAB1",#N/A,TRUE,"GENERAL";"TAB2",#N/A,TRUE,"GENERAL";"TAB3",#N/A,TRUE,"GENERAL";"TAB4",#N/A,TRUE,"GENERAL";"TAB5",#N/A,TRUE,"GENERAL"}</definedName>
    <definedName name="AFF">#REF!</definedName>
    <definedName name="afffgff" hidden="1">{#N/A,#N/A,FALSE,"CCTV"}</definedName>
    <definedName name="AffordabilityandFeasibility">#REF!</definedName>
    <definedName name="AFR">#REF!</definedName>
    <definedName name="AG">#REF!</definedName>
    <definedName name="agdsgg" hidden="1">{"via1",#N/A,TRUE,"general";"via2",#N/A,TRUE,"general";"via3",#N/A,TRUE,"general"}</definedName>
    <definedName name="Agente_accidente">#REF!</definedName>
    <definedName name="ago_20">#REF!</definedName>
    <definedName name="ago_21">#REF!</definedName>
    <definedName name="AGOSTO">#REF!</definedName>
    <definedName name="agp" hidden="1">{"'banner (abr)'!$A$14:$G$22"}</definedName>
    <definedName name="AGUA">#REF!</definedName>
    <definedName name="Agua_Fecha">#REF!</definedName>
    <definedName name="ah" hidden="1">{#N/A,#N/A,FALSE,"이태원철근"}</definedName>
    <definedName name="aheh" hidden="1">{#N/A,#N/A,FALSE,"이태원철근"}</definedName>
    <definedName name="AHI">#REF!</definedName>
    <definedName name="AHJANADSMNFIOE" hidden="1">#REF!</definedName>
    <definedName name="ai" hidden="1">{#N/A,#N/A,FALSE,"이태원철근"}</definedName>
    <definedName name="AIRCON" hidden="1">{#N/A,#N/A,FALSE,"단축1";#N/A,#N/A,FALSE,"단축2";#N/A,#N/A,FALSE,"단축3";#N/A,#N/A,FALSE,"장축";#N/A,#N/A,FALSE,"4WD"}</definedName>
    <definedName name="AIU">#REF!</definedName>
    <definedName name="aiu_mat">#REF!</definedName>
    <definedName name="AIU_Referencia">#REF!</definedName>
    <definedName name="aj" hidden="1">{#N/A,#N/A,FALSE,"이태원철근"}</definedName>
    <definedName name="AjustDelAIU">#REF!</definedName>
    <definedName name="Ajusteinf" hidden="1">{#N/A,#N/A,FALSE,"Costos Productos 6A";#N/A,#N/A,FALSE,"Costo Unitario Total H-94-12"}</definedName>
    <definedName name="Ajusteinf_1" hidden="1">{#N/A,#N/A,FALSE,"Costos Productos 6A";#N/A,#N/A,FALSE,"Costo Unitario Total H-94-12"}</definedName>
    <definedName name="ajusteinf1" hidden="1">{#N/A,#N/A,FALSE,"Costos Productos 6A";#N/A,#N/A,FALSE,"Costo Unitario Total H-94-12"}</definedName>
    <definedName name="AJUSTPTO" hidden="1">{#N/A,#N/A,FALSE,"Costos Productos 6A";#N/A,#N/A,FALSE,"Costo Unitario Total H-94-12"}</definedName>
    <definedName name="ak" hidden="1">{#N/A,#N/A,FALSE,"이태원철근"}</definedName>
    <definedName name="akfkd" hidden="1">{#N/A,#N/A,TRUE,"1842CWN0"}</definedName>
    <definedName name="AKLSPOAEIW" hidden="1">{#N/A,#N/A,FALSE,"TABLE"}</definedName>
    <definedName name="al" hidden="1">{#N/A,#N/A,FALSE,"이태원철근"}</definedName>
    <definedName name="ALAMBRE_GALVANIZADO">#REF!</definedName>
    <definedName name="alc">#REF!</definedName>
    <definedName name="ALCANCE4">#REF!</definedName>
    <definedName name="ALCANCE5">#REF!</definedName>
    <definedName name="ALCANPRO">#REF!</definedName>
    <definedName name="Alcohol_gasolina">#REF!</definedName>
    <definedName name="alcVE">#REF!</definedName>
    <definedName name="AlcVN">#REF!</definedName>
    <definedName name="alda">#REF!</definedName>
    <definedName name="alex"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ali" hidden="1">#REF!</definedName>
    <definedName name="All_Divisions" hidden="1">#REF!</definedName>
    <definedName name="allo">#REF!</definedName>
    <definedName name="ALP_Data">#REF!</definedName>
    <definedName name="ALP_Parameters">#REF!</definedName>
    <definedName name="Alt.2" hidden="1">{#N/A,#N/A,FALSE,"masez (10)";#N/A,#N/A,FALSE,"masez (7)";#N/A,#N/A,FALSE,"masez (6)";#N/A,#N/A,FALSE,"masez (5)";#N/A,#N/A,FALSE,"masez (4)";#N/A,#N/A,FALSE,"masez (3)";#N/A,#N/A,FALSE,"masez (2)";#N/A,#N/A,FALSE,"GME";#N/A,#N/A,FALSE,"masez"}</definedName>
    <definedName name="altern" hidden="1">{"AURES1",#N/A,FALSE,"GENERAL";"AURES2",#N/A,FALSE,"GENERAL";"AURES3",#N/A,FALSE,"GENERAL";"AURES4",#N/A,FALSE,"GENERAL";"AURES5",#N/A,FALSE,"GENERAL";"AURES6",#N/A,FALSE,"GENERAL";"AURES7",#N/A,FALSE,"GENERAL"}</definedName>
    <definedName name="aLTERNATIVA" hidden="1">#REF!</definedName>
    <definedName name="Alternatives">#REF!</definedName>
    <definedName name="AM">#REF!</definedName>
    <definedName name="AMB">#REF!</definedName>
    <definedName name="AMO">#REF!</definedName>
    <definedName name="amor" hidden="1">{"MO(BASE)",#N/A,FALSE,"MO(BASE)";"MO(BASE)1",#N/A,FALSE,"MO(BASE)";"MO(BASE)2",#N/A,FALSE,"MO(BASE)"}</definedName>
    <definedName name="AMORTABLE">#REF!</definedName>
    <definedName name="AMORTABLE2">#REF!</definedName>
    <definedName name="an" hidden="1">{#N/A,#N/A,FALSE,"CIBHA05A";#N/A,#N/A,FALSE,"CIBHA05B"}</definedName>
    <definedName name="ANALBSW">#REF!</definedName>
    <definedName name="ANALIS" hidden="1">{"ANAR",#N/A,FALSE,"Dist total";"MARGEN",#N/A,FALSE,"Dist total";"COMENTARIO",#N/A,FALSE,"Ficha CODICE";"CONSEJO",#N/A,FALSE,"Dist p0";"uno",#N/A,FALSE,"Dist total"}</definedName>
    <definedName name="Analyst" hidden="1">#REF!</definedName>
    <definedName name="analyzer_flg_001">#REF!</definedName>
    <definedName name="ANE">#REF!</definedName>
    <definedName name="ANEXO1" hidden="1">{#N/A,#N/A,FALSE,"Costos Contables CIB A 12 1994";#N/A,#N/A,FALSE,"Cuadre Contab. y C. OP"}</definedName>
    <definedName name="anscount" hidden="1">1</definedName>
    <definedName name="ANTEC"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ANTENA3" hidden="1">{"'banner (abr)'!$A$14:$G$22"}</definedName>
    <definedName name="ANTES">#REF!</definedName>
    <definedName name="Antic">#REF!</definedName>
    <definedName name="ANTICIPO">#REF!</definedName>
    <definedName name="ANTIGUA">#REF!</definedName>
    <definedName name="antii">#REF!</definedName>
    <definedName name="anual" hidden="1">{#N/A,#N/A,FALSE,"Costos Productos 6A";#N/A,#N/A,FALSE,"Costo Unitario Total H-94-12"}</definedName>
    <definedName name="anunciostext2" hidden="1">{"'banner (abr)'!$A$14:$G$22"}</definedName>
    <definedName name="AÑO">#REF!</definedName>
    <definedName name="AP">#REF!</definedName>
    <definedName name="apendice8" hidden="1">{#N/A,#N/A,FALSE,"Hoja1";#N/A,#N/A,FALSE,"Hoja2"}</definedName>
    <definedName name="APERTURA">#REF!</definedName>
    <definedName name="APL">#REF!</definedName>
    <definedName name="APP_NO">#REF!</definedName>
    <definedName name="APP_YES">#REF!</definedName>
    <definedName name="Apu">#REF!</definedName>
    <definedName name="APU.">#REF!</definedName>
    <definedName name="APU_1">#REF!</definedName>
    <definedName name="APU_2">#REF!</definedName>
    <definedName name="apu_civil">OFFSET(#REF!,,,COUNTA(#REF!)-1,7)</definedName>
    <definedName name="APU_ESCUELAS">#N/A</definedName>
    <definedName name="APU_MASATA_2018">#N/A</definedName>
    <definedName name="APU221.1">#REF!</definedName>
    <definedName name="APU221.2">#REF!</definedName>
    <definedName name="APUS">OFFSET(#REF!,,,COUNTA(#REF!)-1,8)</definedName>
    <definedName name="apusup">#REF!</definedName>
    <definedName name="aq" hidden="1">{#N/A,#N/A,FALSE,"이태원철근"}</definedName>
    <definedName name="aqaq" hidden="1">{"TAB1",#N/A,TRUE,"GENERAL";"TAB2",#N/A,TRUE,"GENERAL";"TAB3",#N/A,TRUE,"GENERAL";"TAB4",#N/A,TRUE,"GENERAL";"TAB5",#N/A,TRUE,"GENERAL"}</definedName>
    <definedName name="AQWS"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r" hidden="1">{#N/A,#N/A,FALSE,"이태원철근"}</definedName>
    <definedName name="arauca">#N/A</definedName>
    <definedName name="ARBOL">#REF!</definedName>
    <definedName name="ArchitecturalRequirements">#REF!</definedName>
    <definedName name="AREA">#REF!</definedName>
    <definedName name="_xlnm.Extract">#REF!</definedName>
    <definedName name="_xlnm.Print_Area">#N/A</definedName>
    <definedName name="area_id_001">#REF!</definedName>
    <definedName name="AREA3">#REF!</definedName>
    <definedName name="AREA3X">#REF!</definedName>
    <definedName name="Area6">#REF!</definedName>
    <definedName name="AreaEightThreeZero">#REF!</definedName>
    <definedName name="AreaFiveOneZero">#REF!</definedName>
    <definedName name="AreaFiveSevenZero">#REF!</definedName>
    <definedName name="AreaFiveTwoZero">#REF!</definedName>
    <definedName name="AreaFourFourZero">#REF!</definedName>
    <definedName name="AreaFourOneZero">#REF!</definedName>
    <definedName name="AreaFourTwoZero">#REF!</definedName>
    <definedName name="AreaNineEightFour">#REF!</definedName>
    <definedName name="AreaNineEightTwo">#REF!</definedName>
    <definedName name="AreaNineEightZero">#REF!</definedName>
    <definedName name="AreaNineFourZero">#REF!</definedName>
    <definedName name="AreaNineNineZero">#REF!</definedName>
    <definedName name="AreaNineSixZero">#REF!</definedName>
    <definedName name="AreaNineThreeZero">#REF!</definedName>
    <definedName name="AreaNineTwoZero">#REF!</definedName>
    <definedName name="AreaOneOneZero">#REF!</definedName>
    <definedName name="AreaOneThreeZero">#REF!</definedName>
    <definedName name="AreaOneTwoZero">#REF!</definedName>
    <definedName name="AREAPRIVADA">#REF!</definedName>
    <definedName name="AreaSevenFiveZero">#REF!</definedName>
    <definedName name="AreaSevenFourZero">#REF!</definedName>
    <definedName name="AreaThreeFiveFive">#REF!</definedName>
    <definedName name="AreaThreeFiveFour">#REF!</definedName>
    <definedName name="AreaThreeFiveOne">#REF!</definedName>
    <definedName name="AreaThreeFiveSeven">#REF!</definedName>
    <definedName name="AreaThreeFiveSix">#REF!</definedName>
    <definedName name="AreaThreeFiveThree">#REF!</definedName>
    <definedName name="AreaThreeFiveTwo">#REF!</definedName>
    <definedName name="AreaThreeNineZero">#REF!</definedName>
    <definedName name="AreaThreeSevenFive">#REF!</definedName>
    <definedName name="AreaThreeSevenFour">#REF!</definedName>
    <definedName name="AreaThreeSevenOne">#REF!</definedName>
    <definedName name="AreaThreeSevenThree">#REF!</definedName>
    <definedName name="AreaThreeThreeFive">#REF!</definedName>
    <definedName name="AreaThreeThreeFour">#REF!</definedName>
    <definedName name="AreaThreeThreeOne">#REF!</definedName>
    <definedName name="AreaThreeThreeSix">#REF!</definedName>
    <definedName name="AreaThreeThreeThree">#REF!</definedName>
    <definedName name="AreaThreeThreeTwo">#REF!</definedName>
    <definedName name="AreaThreeTwoOne">#REF!</definedName>
    <definedName name="AreaThreeTwoTwo">#REF!</definedName>
    <definedName name="AreaTitles">#REF!</definedName>
    <definedName name="AreaTwoEightZero">#REF!</definedName>
    <definedName name="AreaTwoFiveZero">#REF!</definedName>
    <definedName name="AreaTwoFourZero">#REF!</definedName>
    <definedName name="AreaTwoOneZero">#REF!</definedName>
    <definedName name="AreaTwoThreeZero">#REF!</definedName>
    <definedName name="AreaTwoTwoZero">#REF!</definedName>
    <definedName name="ARENA_BLANCA">#REF!</definedName>
    <definedName name="arer" hidden="1">{#N/A,#N/A,FALSE,"Solids Only"}</definedName>
    <definedName name="ARP_Data">#REF!</definedName>
    <definedName name="ARP_Parameters">#REF!</definedName>
    <definedName name="ARPASEVAN" hidden="1">{#N/A,#N/A,FALSE,"CCTV"}</definedName>
    <definedName name="as" hidden="1">{#N/A,#N/A,FALSE,"orthoflow";#N/A,#N/A,FALSE,"Miscelaneos";#N/A,#N/A,FALSE,"Instrumentacio";#N/A,#N/A,FALSE,"Electrico";#N/A,#N/A,FALSE,"Valv. Seguridad"}</definedName>
    <definedName name="AS2DocOpenMode" hidden="1">"AS2DocumentEdit"</definedName>
    <definedName name="AS2ReportLS" hidden="1">1</definedName>
    <definedName name="AS2SyncStepLS" hidden="1">0</definedName>
    <definedName name="AS2VersionLS" hidden="1">300</definedName>
    <definedName name="asa"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asad" hidden="1">{#N/A,#N/A,FALSE,"Solids &amp; Flow"}</definedName>
    <definedName name="asas" hidden="1">{#N/A,#N/A,FALSE,"Costos Productos 6A";#N/A,#N/A,FALSE,"Costo Unitario Total H-94-12"}</definedName>
    <definedName name="asasas" hidden="1">{"Sin detalle",#N/A,FALSE,"Flujo (redondeado)"}</definedName>
    <definedName name="ASASDA" hidden="1">{"cprgas",#N/A,FALSE,"CPR_E";"cprwat",#N/A,FALSE,"CPR_E";"oilcpr",#N/A,FALSE,"CPR_E";"norwat",#N/A,FALSE,"CPR_E";"norgas",#N/A,FALSE,"CPR_E";"noroil",#N/A,FALSE,"CPR_E";"surwat",#N/A,FALSE,"CPR_E";"surgas",#N/A,FALSE,"CPR_E";"suroil",#N/A,FALSE,"CPR_E";"puriwat",#N/A,FALSE,"CPR_E";"purigas",#N/A,FALSE,"CPR_E";"purioil",#N/A,FALSE,"CPR_E"}</definedName>
    <definedName name="asasdasd">#N/A</definedName>
    <definedName name="ASB">#REF!</definedName>
    <definedName name="asc" hidden="1">#REF!</definedName>
    <definedName name="ASD" hidden="1">{"via1",#N/A,TRUE,"general";"via2",#N/A,TRUE,"general";"via3",#N/A,TRUE,"general"}</definedName>
    <definedName name="ASDA" hidden="1">{#N/A,#N/A,FALSE,"CIBHA05A";#N/A,#N/A,FALSE,"CIBHA05B"}</definedName>
    <definedName name="asdaf" hidden="1">{"uno",#N/A,FALSE,"Dist total";"COMENTARIO",#N/A,FALSE,"Ficha CODICE"}</definedName>
    <definedName name="asdasas" hidden="1">{#N/A,#N/A,FALSE,"Solids Only"}</definedName>
    <definedName name="ASDASD" hidden="1">{#N/A,#N/A,FALSE,"Costos Productos 6A";#N/A,#N/A,FALSE,"Costo Unitario Total H-94-12"}</definedName>
    <definedName name="asdasdas" hidden="1">{#N/A,#N/A,FALSE,"Solids Only"}</definedName>
    <definedName name="ASDASDSD" hidden="1">{#N/A,#N/A,FALSE,"Solids Only"}</definedName>
    <definedName name="asdd" hidden="1">#REF!</definedName>
    <definedName name="asdf" hidden="1">{"via1",#N/A,TRUE,"general";"via2",#N/A,TRUE,"general";"via3",#N/A,TRUE,"general"}</definedName>
    <definedName name="asdfa" hidden="1">{"via1",#N/A,TRUE,"general";"via2",#N/A,TRUE,"general";"via3",#N/A,TRUE,"general"}</definedName>
    <definedName name="asdfasdfsadf" hidden="1">#REF!</definedName>
    <definedName name="asdfasfasf" hidden="1">#REF!</definedName>
    <definedName name="asdfde" hidden="1">{"myview",#N/A,FALSE,"96T6"}</definedName>
    <definedName name="asdga" hidden="1">{#N/A,#N/A,FALSE,"이태원철근"}</definedName>
    <definedName name="ASDL" hidden="1">{#N/A,#N/A,FALSE,"단축1";#N/A,#N/A,FALSE,"단축2";#N/A,#N/A,FALSE,"단축3";#N/A,#N/A,FALSE,"장축";#N/A,#N/A,FALSE,"4WD"}</definedName>
    <definedName name="asdrgy" hidden="1">{"'banner (abr)'!$A$14:$G$22"}</definedName>
    <definedName name="ASDSA" hidden="1">#REF!</definedName>
    <definedName name="ASDSAD" hidden="1">{#N/A,#N/A,FALSE,"단축1";#N/A,#N/A,FALSE,"단축2";#N/A,#N/A,FALSE,"단축3";#N/A,#N/A,FALSE,"장축";#N/A,#N/A,FALSE,"4WD"}</definedName>
    <definedName name="asdvasdvvvvv" hidden="1">{"PYGP",#N/A,TRUE,"PandL";"BALANCEP",#N/A,TRUE,"BS";"Estado Cash Flow",#N/A,TRUE,"CFlow";"debt",#N/A,TRUE,"Debt";"worcap",#N/A,TRUE,"WorCap";"Analisis Impuestos",#N/A,TRUE,"Tax"}</definedName>
    <definedName name="asea"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aseqweqwe" hidden="1">{#N/A,#N/A,FALSE,"Solids &amp; Flow"}</definedName>
    <definedName name="aserer" hidden="1">{#N/A,#N/A,FALSE,"Solids Only"}</definedName>
    <definedName name="Asesoria">#REF!</definedName>
    <definedName name="asf" hidden="1">{#N/A,#N/A,FALSE,"DMC schedule";#N/A,#N/A,FALSE,"DMC_THC Revenue";#N/A,#N/A,FALSE,"Personnel plan";#N/A,#N/A,FALSE,"Capex HW+SW";#N/A,#N/A,FALSE,"P&amp;L"}</definedName>
    <definedName name="ASFALTO">#REF!</definedName>
    <definedName name="asfasd" hidden="1">{"via1",#N/A,TRUE,"general";"via2",#N/A,TRUE,"general";"via3",#N/A,TRUE,"general"}</definedName>
    <definedName name="asfasdl" hidden="1">{"via1",#N/A,TRUE,"general";"via2",#N/A,TRUE,"general";"via3",#N/A,TRUE,"general"}</definedName>
    <definedName name="asfdfe" hidden="1">{#N/A,#N/A,TRUE,"INGENIERIA";#N/A,#N/A,TRUE,"COMPRAS";#N/A,#N/A,TRUE,"DIRECCION";#N/A,#N/A,TRUE,"RESUMEN"}</definedName>
    <definedName name="asff" hidden="1">{"TAB1",#N/A,TRUE,"GENERAL";"TAB2",#N/A,TRUE,"GENERAL";"TAB3",#N/A,TRUE,"GENERAL";"TAB4",#N/A,TRUE,"GENERAL";"TAB5",#N/A,TRUE,"GENERAL"}</definedName>
    <definedName name="asfff" hidden="1">#REF!</definedName>
    <definedName name="asfghjoi" hidden="1">{"via1",#N/A,TRUE,"general";"via2",#N/A,TRUE,"general";"via3",#N/A,TRUE,"general"}</definedName>
    <definedName name="asfgsdghserh">#REF!</definedName>
    <definedName name="asfwewr" hidden="1">{#N/A,#N/A,FALSE,"Solids Only"}</definedName>
    <definedName name="ASGFA" hidden="1">#REF!</definedName>
    <definedName name="Asis_Fecha">#REF!</definedName>
    <definedName name="ASISTENCIA_TECNICA">#REF!</definedName>
    <definedName name="ASKDHSD" hidden="1">{#N/A,#N/A,FALSE,"Costos Productos 6A";#N/A,#N/A,FALSE,"Costo Unitario Total H-94-12"}</definedName>
    <definedName name="asojkdr" hidden="1">{"TAB1",#N/A,TRUE,"GENERAL";"TAB2",#N/A,TRUE,"GENERAL";"TAB3",#N/A,TRUE,"GENERAL";"TAB4",#N/A,TRUE,"GENERAL";"TAB5",#N/A,TRUE,"GENERAL"}</definedName>
    <definedName name="ASP">#REF!</definedName>
    <definedName name="ASP_NUEVO">#REF!</definedName>
    <definedName name="ass" hidden="1">#REF!</definedName>
    <definedName name="Assignment_Trip_Condition">#REF!</definedName>
    <definedName name="ASSY" hidden="1">{#N/A,#N/A,FALSE,"단축1";#N/A,#N/A,FALSE,"단축2";#N/A,#N/A,FALSE,"단축3";#N/A,#N/A,FALSE,"장축";#N/A,#N/A,FALSE,"4WD"}</definedName>
    <definedName name="asxdg" hidden="1">{#N/A,#N/A,TRUE,"Y생산";#N/A,#N/A,TRUE,"Y판매";#N/A,#N/A,TRUE,"Y총물량";#N/A,#N/A,TRUE,"Y능력";#N/A,#N/A,TRUE,"YKD"}</definedName>
    <definedName name="AT">#REF!</definedName>
    <definedName name="ATR">#REF!</definedName>
    <definedName name="AUD">#REF!</definedName>
    <definedName name="AUM">#REF!</definedName>
    <definedName name="autobuses" hidden="1">{"'banner (abr)'!$A$14:$G$22"}</definedName>
    <definedName name="AUX">#REF!</definedName>
    <definedName name="AuxAlim">#REF!</definedName>
    <definedName name="AuxCom">#REF!</definedName>
    <definedName name="AuxDot">#REF!</definedName>
    <definedName name="AuxHab">#REF!</definedName>
    <definedName name="av" hidden="1">#REF!</definedName>
    <definedName name="avc" hidden="1">{#N/A,#N/A,FALSE,"Total_OC015";#N/A,#N/A,FALSE,"ADMIN";#N/A,#N/A,FALSE,"PROCES";#N/A,#N/A,FALSE,"mecan";#N/A,#N/A,FALSE,"civil";#N/A,#N/A,FALSE,"CAÑER";#N/A,#N/A,FALSE,"ELEC";#N/A,#N/A,FALSE,"INSTR"}</definedName>
    <definedName name="AWD" hidden="1">{#N/A,#N/A,FALSE,"PERSONAL"}</definedName>
    <definedName name="AX">#REF!</definedName>
    <definedName name="axyzqerojhvdakjdvasdas" hidden="1">{"via1",#N/A,TRUE,"general";"via2",#N/A,TRUE,"general";"via3",#N/A,TRUE,"general"}</definedName>
    <definedName name="AY">#REF!</definedName>
    <definedName name="AYU">#N/A</definedName>
    <definedName name="AYU_FBC">#N/A</definedName>
    <definedName name="Ayudante">#REF!</definedName>
    <definedName name="azaz" hidden="1">{"TAB1",#N/A,TRUE,"GENERAL";"TAB2",#N/A,TRUE,"GENERAL";"TAB3",#N/A,TRUE,"GENERAL";"TAB4",#N/A,TRUE,"GENERAL";"TAB5",#N/A,TRUE,"GENERAL"}</definedName>
    <definedName name="AZAZAZ" hidden="1">{"Sin detalle",#N/A,FALSE,"Flujo (redondeado)"}</definedName>
    <definedName name="B">#REF!</definedName>
    <definedName name="B_impresión_IM">#REF!</definedName>
    <definedName name="B3송" hidden="1">#REF!</definedName>
    <definedName name="B4450.">#N/A</definedName>
    <definedName name="BAC" hidden="1">{#N/A,#N/A,FALSE,"TABLE"}</definedName>
    <definedName name="backup_link_master_001">#REF!</definedName>
    <definedName name="BAL" hidden="1">{"CONSEJO",#N/A,FALSE,"Dist p0";"CONSEJO",#N/A,FALSE,"Ficha CODICE"}</definedName>
    <definedName name="Balance">#REF!</definedName>
    <definedName name="BAM" hidden="1">{#N/A,#N/A,FALSE,"Hoja1";#N/A,#N/A,FALSE,"Hoja2"}</definedName>
    <definedName name="BAMB" hidden="1">{#N/A,#N/A,FALSE,"Hoja1";#N/A,#N/A,FALSE,"Hoja2"}</definedName>
    <definedName name="BANADIA">#REF!</definedName>
    <definedName name="BARCAZA">#N/A</definedName>
    <definedName name="BARGE">#N/A</definedName>
    <definedName name="BARRA">#REF!</definedName>
    <definedName name="Barrancabermeja">#REF!</definedName>
    <definedName name="BARRAS">#REF!</definedName>
    <definedName name="base">#REF!</definedName>
    <definedName name="base_act">#REF!</definedName>
    <definedName name="base_admon">#REF!</definedName>
    <definedName name="BASE_DATOS">#REF!</definedName>
    <definedName name="Base_Equipos">OFFSET(#REF!,0,0,COUNTA(#REF!),COUNTA(#REF!))</definedName>
    <definedName name="Base_Horas">OFFSET(#REF!,0,0,COUNTA(#REF!),COUNTA(#REF!))</definedName>
    <definedName name="Base_OTs">OFFSET(#REF!,0,0,COUNTA(#REF!),COUNTA(#REF!))</definedName>
    <definedName name="BASE_STAFF">#REF!</definedName>
    <definedName name="BASE_TUMACO">#REF!</definedName>
    <definedName name="base_VaR">#REF!</definedName>
    <definedName name="BASEDATOS">#REF!</definedName>
    <definedName name="_xlnm.Database">#REF!</definedName>
    <definedName name="basenombres">OFFSET(#REF!,0,0,COUNTA(#REF!),9)</definedName>
    <definedName name="BaseP10">#REF!</definedName>
    <definedName name="BaseP50">#REF!</definedName>
    <definedName name="BaseP90">#REF!</definedName>
    <definedName name="Bases">#REF!</definedName>
    <definedName name="BB" hidden="1">{#N/A,#N/A,FALSE,"CIBHA05A";#N/A,#N/A,FALSE,"CIBHA05B"}</definedName>
    <definedName name="bbb" hidden="1">{#N/A,#N/A,FALSE,"Costos Productos 6A";#N/A,#N/A,FALSE,"Costo Unitario Total H-94-12"}</definedName>
    <definedName name="BBB_1" hidden="1">{#N/A,#N/A,FALSE,"Costos Productos 6A";#N/A,#N/A,FALSE,"Costo Unitario Total H-94-12"}</definedName>
    <definedName name="bbbb" hidden="1">{#N/A,#N/A,FALSE,"Costos Productos 6A";#N/A,#N/A,FALSE,"Costo Unitario Total H-94-12"}</definedName>
    <definedName name="BBBBB" hidden="1">{#N/A,#N/A,FALSE,"TABLE"}</definedName>
    <definedName name="bbbbbb" hidden="1">{#N/A,#N/A,FALSE,"Upía";#N/A,#N/A,FALSE,"CPR Espinal";#N/A,#N/A,FALSE,"Magangué"}</definedName>
    <definedName name="BBBBBBB" hidden="1">{"CONSEJO",#N/A,FALSE,"Dist p0";"CONSEJO",#N/A,FALSE,"Ficha CODICE"}</definedName>
    <definedName name="bbbbbbbbbb" hidden="1">{#N/A,#N/A,FALSE,"Solids &amp; Flow"}</definedName>
    <definedName name="BBBBBBBBBBBBBBBBBBBBBBBBBBBBBBBB">#REF!</definedName>
    <definedName name="bbbbbh" hidden="1">{"TAB1",#N/A,TRUE,"GENERAL";"TAB2",#N/A,TRUE,"GENERAL";"TAB3",#N/A,TRUE,"GENERAL";"TAB4",#N/A,TRUE,"GENERAL";"TAB5",#N/A,TRUE,"GENERAL"}</definedName>
    <definedName name="bbc" hidden="1">{#N/A,#N/A,TRUE,"1842CWN0"}</definedName>
    <definedName name="bbd" hidden="1">{"TAB1",#N/A,TRUE,"GENERAL";"TAB2",#N/A,TRUE,"GENERAL";"TAB3",#N/A,TRUE,"GENERAL";"TAB4",#N/A,TRUE,"GENERAL";"TAB5",#N/A,TRUE,"GENERAL"}</definedName>
    <definedName name="BC" hidden="1">{#N/A,#N/A,FALSE,"이태원철근"}</definedName>
    <definedName name="BCXBDFG" hidden="1">{"TAB1",#N/A,TRUE,"GENERAL";"TAB2",#N/A,TRUE,"GENERAL";"TAB3",#N/A,TRUE,"GENERAL";"TAB4",#N/A,TRUE,"GENERAL";"TAB5",#N/A,TRUE,"GENERAL"}</definedName>
    <definedName name="BD">#REF!</definedName>
    <definedName name="BDD">#REF!</definedName>
    <definedName name="BDFB" hidden="1">{"via1",#N/A,TRUE,"general";"via2",#N/A,TRUE,"general";"via3",#N/A,TRUE,"general"}</definedName>
    <definedName name="BDFGDG" hidden="1">{"TAB1",#N/A,TRUE,"GENERAL";"TAB2",#N/A,TRUE,"GENERAL";"TAB3",#N/A,TRUE,"GENERAL";"TAB4",#N/A,TRUE,"GENERAL";"TAB5",#N/A,TRUE,"GENERAL"}</definedName>
    <definedName name="be" hidden="1">{"TAB1",#N/A,TRUE,"GENERAL";"TAB2",#N/A,TRUE,"GENERAL";"TAB3",#N/A,TRUE,"GENERAL";"TAB4",#N/A,TRUE,"GENERAL";"TAB5",#N/A,TRUE,"GENERAL"}</definedName>
    <definedName name="Beg_Bal">#REF!</definedName>
    <definedName name="BELL" hidden="1">{#N/A,#N/A,TRUE,"Basic";#N/A,#N/A,TRUE,"EXT-TABLE";#N/A,#N/A,TRUE,"STEEL";#N/A,#N/A,TRUE,"INT-Table";#N/A,#N/A,TRUE,"STEEL";#N/A,#N/A,TRUE,"Door"}</definedName>
    <definedName name="bfbfdhfdhdfgh" hidden="1">{#N/A,#N/A,FALSE,"CCTV"}</definedName>
    <definedName name="bfdgh" hidden="1">{#N/A,#N/A,FALSE,"PERSONAL"}</definedName>
    <definedName name="bfnfv" hidden="1">{"TAB1",#N/A,TRUE,"GENERAL";"TAB2",#N/A,TRUE,"GENERAL";"TAB3",#N/A,TRUE,"GENERAL";"TAB4",#N/A,TRUE,"GENERAL";"TAB5",#N/A,TRUE,"GENERAL"}</definedName>
    <definedName name="BG" hidden="1">#REF!</definedName>
    <definedName name="BG_Del" hidden="1">15</definedName>
    <definedName name="BG_Ins" hidden="1">4</definedName>
    <definedName name="BG_Mod" hidden="1">6</definedName>
    <definedName name="bgb" hidden="1">{"TAB1",#N/A,TRUE,"GENERAL";"TAB2",#N/A,TRUE,"GENERAL";"TAB3",#N/A,TRUE,"GENERAL";"TAB4",#N/A,TRUE,"GENERAL";"TAB5",#N/A,TRUE,"GENERAL"}</definedName>
    <definedName name="BGDGFRT" hidden="1">{"via1",#N/A,TRUE,"general";"via2",#N/A,TRUE,"general";"via3",#N/A,TRUE,"general"}</definedName>
    <definedName name="BGFBFH" hidden="1">{"via1",#N/A,TRUE,"general";"via2",#N/A,TRUE,"general";"via3",#N/A,TRUE,"general"}</definedName>
    <definedName name="bghh" hidden="1">{"Informe 1_Consolidado",#N/A,FALSE,"Cons.";"Informe 1_Tunel",#N/A,FALSE,"Cons.";"Informe 1_Melip",#N/A,FALSE,"Cons.";"Informe 1_Guall",#N/A,FALSE,"Cons.";"Informe 1_Sara L",#N/A,FALSE,"Cons.";"Informe 1_Quellon",#N/A,FALSE,"Cons.";"Informe 1_Biolix",#N/A,FALSE,"Cons.";"Informe 1_Oficina",#N/A,FALSE,"Cons.";"Informe 1_Consorcio",#N/A,FALSE,"Cons."}</definedName>
    <definedName name="bgvfcdx" hidden="1">{"via1",#N/A,TRUE,"general";"via2",#N/A,TRUE,"general";"via3",#N/A,TRUE,"general"}</definedName>
    <definedName name="bhd"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BHH" hidden="1">#REF!</definedName>
    <definedName name="BI" hidden="1">{#N/A,#N/A,FALSE,"이태원철근"}</definedName>
    <definedName name="Bilans" hidden="1">{#N/A,#N/A,FALSE,"F-01";#N/A,#N/A,FALSE,"F-01";#N/A,#N/A,FALSE,"F-01"}</definedName>
    <definedName name="BILANS30.07.2002" hidden="1">{#N/A,#N/A,FALSE,"F-01";#N/A,#N/A,FALSE,"F-01";#N/A,#N/A,FALSE,"F-01"}</definedName>
    <definedName name="BIll2">#REF!</definedName>
    <definedName name="bimestre">#REF!</definedName>
    <definedName name="bing">#REF!</definedName>
    <definedName name="BISEL">#REF!</definedName>
    <definedName name="blackberry2" hidden="1">{"'banner (abr)'!$A$14:$G$22"}</definedName>
    <definedName name="BLADIMIR">#REF!</definedName>
    <definedName name="BLANK">#REF!</definedName>
    <definedName name="BLF" hidden="1">#REF!</definedName>
    <definedName name="BLPH1" hidden="1">#REF!</definedName>
    <definedName name="BLPH15" hidden="1">#REF!</definedName>
    <definedName name="BLPH16" hidden="1">#REF!</definedName>
    <definedName name="BLPH29" hidden="1">#REF!</definedName>
    <definedName name="BLPH30" hidden="1">#REF!</definedName>
    <definedName name="BLPH31" hidden="1">#REF!</definedName>
    <definedName name="BLPH32" hidden="1">#REF!</definedName>
    <definedName name="BLPH33" hidden="1">#REF!</definedName>
    <definedName name="BLPH34" hidden="1">#REF!</definedName>
    <definedName name="BLPH35" hidden="1">#REF!</definedName>
    <definedName name="BLPH36" hidden="1">#REF!</definedName>
    <definedName name="BLPH37" hidden="1">#REF!</definedName>
    <definedName name="BLPH38" hidden="1">#REF!</definedName>
    <definedName name="BLPH39" hidden="1">#REF!</definedName>
    <definedName name="BLPH40" hidden="1">#REF!</definedName>
    <definedName name="BM" hidden="1">{#N/A,#N/A,FALSE,"CCTV"}</definedName>
    <definedName name="BMMBN" hidden="1">#REF!</definedName>
    <definedName name="BN" hidden="1">{#N/A,#N/A,FALSE,"VOL695";#N/A,#N/A,FALSE,"anexo1";#N/A,#N/A,FALSE,"anexo2";#N/A,#N/A,FALSE,"anexo3";#N/A,#N/A,FALSE,"anexo4";#N/A,#N/A,FALSE,"anexo5a";#N/A,#N/A,FALSE,"anexo5b";#N/A,#N/A,FALSE,"anexo6a";#N/A,#N/A,FALSE,"anexo6a";#N/A,#N/A,FALSE,"anexo6c";#N/A,#N/A,FALSE,"anexo7a";#N/A,#N/A,FALSE,"anexo7b";#N/A,#N/A,FALSE,"anexo7c"}</definedName>
    <definedName name="BN_1" hidden="1">{#N/A,#N/A,FALSE,"VOL695";#N/A,#N/A,FALSE,"anexo1";#N/A,#N/A,FALSE,"anexo2";#N/A,#N/A,FALSE,"anexo3";#N/A,#N/A,FALSE,"anexo4";#N/A,#N/A,FALSE,"anexo5a";#N/A,#N/A,FALSE,"anexo5b";#N/A,#N/A,FALSE,"anexo6a";#N/A,#N/A,FALSE,"anexo6a";#N/A,#N/A,FALSE,"anexo6c";#N/A,#N/A,FALSE,"anexo7a";#N/A,#N/A,FALSE,"anexo7b";#N/A,#N/A,FALSE,"anexo7c"}</definedName>
    <definedName name="BNM" hidden="1">{#N/A,#N/A,FALSE,"Solids &amp; Flow"}</definedName>
    <definedName name="BNMDFGBAB" hidden="1">#REF!</definedName>
    <definedName name="bnmjh" hidden="1">{#N/A,#N/A,FALSE,"Solids &amp; Flow"}</definedName>
    <definedName name="bnmk" hidden="1">{#N/A,#N/A,FALSE,"단축1";#N/A,#N/A,FALSE,"단축2";#N/A,#N/A,FALSE,"단축3";#N/A,#N/A,FALSE,"장축";#N/A,#N/A,FALSE,"4WD"}</definedName>
    <definedName name="bob" hidden="1">{#N/A,#N/A,FALSE,"Report Summary";#N/A,#N/A,FALSE,"Op. Statement";#N/A,#N/A,FALSE,"Qtly Summ.";#N/A,#N/A,FALSE,"BZW Capital";#N/A,#N/A,FALSE,"Ammort &amp; Dep.";#N/A,#N/A,FALSE,"Op Cost Summ";#N/A,#N/A,FALSE,"Rev. GIC Summ.";#N/A,#N/A,FALSE,"Stockpile Adj.";#N/A,#N/A,FALSE,"Backfill Distrib.";#N/A,#N/A,FALSE,"Backfill Detail";#N/A,#N/A,FALSE,"Total Production";#N/A,#N/A,FALSE,"Central";#N/A,#N/A,FALSE,"Discovery";#N/A,#N/A,FALSE,"Contract Rates";#N/A,#N/A,FALSE,"UG Summary";#N/A,#N/A,FALSE,"Plant Statistics";#N/A,#N/A,FALSE,"Advanced Dev.";#N/A,#N/A,FALSE,"Geology Costs";#N/A,#N/A,FALSE,"Admin Costs";#N/A,#N/A,FALSE,"Accom &amp; Flights";#N/A,#N/A,FALSE,"Labour Cost";#N/A,#N/A,FALSE,"Personnel Schedule"}</definedName>
    <definedName name="boet">#REF!</definedName>
    <definedName name="BOGOTA">#REF!</definedName>
    <definedName name="BORDER1">#REF!</definedName>
    <definedName name="BORRA2">#REF!,#REF!,#REF!,#REF!,#REF!,#REF!,#REF!</definedName>
    <definedName name="BORRA3">#REF!,#REF!,#REF!,#REF!,#REF!,#REF!,#REF!,#REF!,#REF!,#REF!,#REF!</definedName>
    <definedName name="BORRAR">#REF!,#REF!,#REF!,#REF!,#REF!,#REF!,#REF!,#REF!,#REF!</definedName>
    <definedName name="borrar2">#REF!,#REF!,#REF!,#REF!,#REF!,#REF!,#REF!,#REF!,#REF!,#REF!,#REF!,#REF!,#REF!,#REF!,#REF!,#REF!,#REF!,#REF!,#REF!</definedName>
    <definedName name="BORRARO">#REF!,#REF!,#REF!,#REF!,#REF!,#REF!,#REF!,#REF!,#REF!,#REF!,#REF!,#REF!,#REF!,#REF!,#REF!,#REF!,#REF!,#REF!,#REF!,#REF!,#REF!</definedName>
    <definedName name="BORSHE">#REF!</definedName>
    <definedName name="BORSUM">#REF!</definedName>
    <definedName name="BOTA">#N/A</definedName>
    <definedName name="BOTA_DEP">#N/A</definedName>
    <definedName name="BOX__" hidden="1">#REF!</definedName>
    <definedName name="BQ">#REF!</definedName>
    <definedName name="br" hidden="1">{"TAB1",#N/A,TRUE,"GENERAL";"TAB2",#N/A,TRUE,"GENERAL";"TAB3",#N/A,TRUE,"GENERAL";"TAB4",#N/A,TRUE,"GENERAL";"TAB5",#N/A,TRUE,"GENERAL"}</definedName>
    <definedName name="BRAGA">#N/A</definedName>
    <definedName name="BRAGA_DEP">#N/A</definedName>
    <definedName name="BRBRBR" hidden="1">{#N/A,#N/A,FALSE,"TABLE"}</definedName>
    <definedName name="BRIC12">#REF!</definedName>
    <definedName name="brt" hidden="1">{"EVA",#N/A,FALSE,"SMT2";#N/A,#N/A,FALSE,"Summary";#N/A,#N/A,FALSE,"Graphs";#N/A,#N/A,FALSE,"4 Panel"}</definedName>
    <definedName name="brys" hidden="1">#REF!</definedName>
    <definedName name="BS_Data_Col" hidden="1">#REF!</definedName>
    <definedName name="bsb" hidden="1">{"via1",#N/A,TRUE,"general";"via2",#N/A,TRUE,"general";"via3",#N/A,TRUE,"general"}</definedName>
    <definedName name="BSG_01">#REF!</definedName>
    <definedName name="BSpb" hidden="1">#REF!</definedName>
    <definedName name="bspoi" hidden="1">{"TAB1",#N/A,TRUE,"GENERAL";"TAB2",#N/A,TRUE,"GENERAL";"TAB3",#N/A,TRUE,"GENERAL";"TAB4",#N/A,TRUE,"GENERAL";"TAB5",#N/A,TRUE,"GENERAL"}</definedName>
    <definedName name="bt" hidden="1">{"via1",#N/A,TRUE,"general";"via2",#N/A,TRUE,"general";"via3",#N/A,TRUE,"general"}</definedName>
    <definedName name="BTYJHTR" hidden="1">{"TAB1",#N/A,TRUE,"GENERAL";"TAB2",#N/A,TRUE,"GENERAL";"TAB3",#N/A,TRUE,"GENERAL";"TAB4",#N/A,TRUE,"GENERAL";"TAB5",#N/A,TRUE,"GENERAL"}</definedName>
    <definedName name="BU">#REF!</definedName>
    <definedName name="BUD_E">#REF!</definedName>
    <definedName name="Buenaventura">#REF!</definedName>
    <definedName name="BuiltIn_Print_Area">#REF!</definedName>
    <definedName name="BuiltIn_Print_Area___0">#REF!</definedName>
    <definedName name="BuiltIn_Print_Area___0___0">#REF!</definedName>
    <definedName name="BuiltIn_Print_Area___0___0___0">#REF!</definedName>
    <definedName name="BuiltIn_Print_Area___1">#REF!</definedName>
    <definedName name="BuiltIn_Print_Area___2">#REF!</definedName>
    <definedName name="BuiltIn_Print_Area___3">#REF!</definedName>
    <definedName name="BuiltIn_Print_Area___4">#REF!</definedName>
    <definedName name="BuiltIn_Print_Area___5">#REF!</definedName>
    <definedName name="BuiltIn_Print_Area___6">#REF!</definedName>
    <definedName name="BuiltIn_Print_Area___7">#REF!</definedName>
    <definedName name="BuiltIn_Print_Area___8">#REF!</definedName>
    <definedName name="BuiltIn_Print_Area___9">#REF!</definedName>
    <definedName name="BuiltIn_Print_Titles">NA()</definedName>
    <definedName name="BuiltIn_Print_Titles___0">#REF!</definedName>
    <definedName name="BuiltIn_Print_Titles___0___0">#REF!</definedName>
    <definedName name="BUSH">#REF!</definedName>
    <definedName name="business">#REF!</definedName>
    <definedName name="Button_1">"LIBRO99_Sheet6_List"</definedName>
    <definedName name="BUZOS">#N/A</definedName>
    <definedName name="BV" hidden="1">#REF!</definedName>
    <definedName name="bvbc" hidden="1">{"TAB1",#N/A,TRUE,"GENERAL";"TAB2",#N/A,TRUE,"GENERAL";"TAB3",#N/A,TRUE,"GENERAL";"TAB4",#N/A,TRUE,"GENERAL";"TAB5",#N/A,TRUE,"GENERAL"}</definedName>
    <definedName name="BVC" hidden="1">{#N/A,#N/A,FALSE,"TABLE"}</definedName>
    <definedName name="bvcb" hidden="1">{"via1",#N/A,TRUE,"general";"via2",#N/A,TRUE,"general";"via3",#N/A,TRUE,"general"}</definedName>
    <definedName name="bvn" hidden="1">{"via1",#N/A,TRUE,"general";"via2",#N/A,TRUE,"general";"via3",#N/A,TRUE,"general"}</definedName>
    <definedName name="bvnbf" hidden="1">{"'banner (abr)'!$A$14:$G$22"}</definedName>
    <definedName name="bvnvb" hidden="1">{#N/A,#N/A,FALSE,"Solids &amp; Flow"}</definedName>
    <definedName name="bvsdbnsrhgvbehbnjsrt" hidden="1">{#N/A,#N/A,FALSE,"Costos Productos 6A";#N/A,#N/A,FALSE,"Costo Unitario Total H-94-12"}</definedName>
    <definedName name="BWP">#REF!</definedName>
    <definedName name="by" hidden="1">{"via1",#N/A,TRUE,"general";"via2",#N/A,TRUE,"general";"via3",#N/A,TRUE,"general"}</definedName>
    <definedName name="C.ALIMENTACION">#N/A</definedName>
    <definedName name="C.ALOJAMIENTO">#N/A</definedName>
    <definedName name="C.C.F">#REF!</definedName>
    <definedName name="C.MISCELANEOS">#N/A</definedName>
    <definedName name="C.TRANSPORTES">#N/A</definedName>
    <definedName name="C?_1">#REF!</definedName>
    <definedName name="C?_2">#REF!</definedName>
    <definedName name="C?_3">#REF!</definedName>
    <definedName name="C?_4">#REF!</definedName>
    <definedName name="C?_5">#REF!</definedName>
    <definedName name="C?_6">#REF!</definedName>
    <definedName name="C?_7">#REF!</definedName>
    <definedName name="C?_8">#REF!</definedName>
    <definedName name="C?_9">#REF!</definedName>
    <definedName name="C_">#REF!</definedName>
    <definedName name="C_Client">#REF!</definedName>
    <definedName name="C_CurrentRev">#REF!</definedName>
    <definedName name="C_DataSheetNumber">#REF!</definedName>
    <definedName name="C_EquipManufacturer">#REF!</definedName>
    <definedName name="C_EquipmentNumber">#REF!</definedName>
    <definedName name="C_EquipmentService">#REF!</definedName>
    <definedName name="C_EstimateCase">#REF!</definedName>
    <definedName name="C_JobNumber">#REF!</definedName>
    <definedName name="C_MRNumber">#REF!</definedName>
    <definedName name="c_page_count_001">#REF!</definedName>
    <definedName name="c_page_num_001">#REF!</definedName>
    <definedName name="C_PageNo_01">#REF!</definedName>
    <definedName name="C_PageNo_02">#REF!</definedName>
    <definedName name="C_PageNo_03">#REF!</definedName>
    <definedName name="C_PageNo_04">#REF!</definedName>
    <definedName name="C_PageNo_05">#REF!</definedName>
    <definedName name="C_PageNo_06">#REF!</definedName>
    <definedName name="C_PageNo_07">#REF!</definedName>
    <definedName name="C_PageNo_08">#REF!</definedName>
    <definedName name="C_PageNo_09">#REF!</definedName>
    <definedName name="C_PageNo_10">#REF!</definedName>
    <definedName name="C_PageNo_11">#REF!</definedName>
    <definedName name="C_PageNo_12">#REF!</definedName>
    <definedName name="C_PageNo_13">#REF!</definedName>
    <definedName name="C_PageNo_Total">#REF!</definedName>
    <definedName name="C_Plant">#REF!</definedName>
    <definedName name="C_PROGRAMAS_SEMANA_PROXIMA_CRUDO">#REF!</definedName>
    <definedName name="C_ProjectLocation">#REF!</definedName>
    <definedName name="C_ProjectTitle">#REF!</definedName>
    <definedName name="C_Rev_01">#REF!</definedName>
    <definedName name="C_Rev_02">#REF!</definedName>
    <definedName name="C_Rev_03">#REF!</definedName>
    <definedName name="C_Rev_04">#REF!</definedName>
    <definedName name="C_Rev_05">#REF!</definedName>
    <definedName name="C_SerialNo">#REF!</definedName>
    <definedName name="C001.">#REF!</definedName>
    <definedName name="C050.">#REF!</definedName>
    <definedName name="C100.">#REF!</definedName>
    <definedName name="C150.">#REF!</definedName>
    <definedName name="CA" hidden="1">#REF!</definedName>
    <definedName name="CABCELAR" hidden="1">{#N/A,#N/A,FALSE,"Costos Productos 6A";#N/A,#N/A,FALSE,"Costo Unitario Total H-94-12"}</definedName>
    <definedName name="cable">#REF!</definedName>
    <definedName name="Cable_type">#REF!</definedName>
    <definedName name="CABLECU">#REF!</definedName>
    <definedName name="CABLES">#REF!</definedName>
    <definedName name="CAC" hidden="1">{"krl1",#N/A,FALSE,"kr";"krl2",#N/A,FALSE,"kr";"compara",#N/A,FALSE,"kr";"desconp1",#N/A,FALSE,"kr";"desconp12",#N/A,FALSE,"kr";"krnp1",#N/A,FALSE,"kr";"krnp2",#N/A,FALSE,"kr";"krp12avg",#N/A,FALSE,"kr";"krp1avg",#N/A,FALSE,"kr"}</definedName>
    <definedName name="caca">#REF!</definedName>
    <definedName name="CAD">#REF!</definedName>
    <definedName name="CADDRequirements">#REF!</definedName>
    <definedName name="CADS_Check">#REF!</definedName>
    <definedName name="CAE해석" hidden="1">{#N/A,#N/A,FALSE,"단축1";#N/A,#N/A,FALSE,"단축2";#N/A,#N/A,FALSE,"단축3";#N/A,#N/A,FALSE,"장축";#N/A,#N/A,FALSE,"4WD"}</definedName>
    <definedName name="CAJA1">#REF!</definedName>
    <definedName name="CAJA10">#REF!</definedName>
    <definedName name="CAJA11">#REF!</definedName>
    <definedName name="CAJA12">#REF!</definedName>
    <definedName name="CAJA13">#REF!</definedName>
    <definedName name="CAJA14">#REF!</definedName>
    <definedName name="CAJA15">#REF!</definedName>
    <definedName name="CAJA16">#REF!</definedName>
    <definedName name="CAJA17">#REF!</definedName>
    <definedName name="CAJA18">#REF!</definedName>
    <definedName name="CAJA19">#REF!</definedName>
    <definedName name="CAJA2">#REF!</definedName>
    <definedName name="CAJA20">#REF!</definedName>
    <definedName name="CAJA21">#REF!</definedName>
    <definedName name="CAJA22">#REF!</definedName>
    <definedName name="CAJA23">#REF!</definedName>
    <definedName name="CAJA24">#REF!</definedName>
    <definedName name="CAJA3">#REF!</definedName>
    <definedName name="CAJA4">#REF!</definedName>
    <definedName name="CAJA5">#REF!</definedName>
    <definedName name="CAJA6">#REF!</definedName>
    <definedName name="CAJA7">#REF!</definedName>
    <definedName name="CAJA8">#REF!</definedName>
    <definedName name="CAJA9">#REF!</definedName>
    <definedName name="cal" hidden="1">#REF!</definedName>
    <definedName name="calc_program_note_001">#REF!</definedName>
    <definedName name="calc_user_note_001">#REF!</definedName>
    <definedName name="calcumes">#REF!</definedName>
    <definedName name="cali" hidden="1">#REF!</definedName>
    <definedName name="calib_range_max">#REF!</definedName>
    <definedName name="calib_range_max_001">#REF!</definedName>
    <definedName name="calib_range_min">#REF!</definedName>
    <definedName name="calib_range_min_001">#REF!</definedName>
    <definedName name="calib_range_uflg_max_001">#REF!</definedName>
    <definedName name="calib_range_uflg_min_001">#REF!</definedName>
    <definedName name="calib_range_uom_max_001">#REF!</definedName>
    <definedName name="calib_range_uom_min_001">#REF!</definedName>
    <definedName name="calidad" hidden="1">{"CONSEJO",#N/A,FALSE,"Dist p0";"CONSEJO",#N/A,FALSE,"Ficha CODICE"}</definedName>
    <definedName name="CALIDAD3" hidden="1">{#N/A,#N/A,FALSE,"Costos Productos 6A";#N/A,#N/A,FALSE,"Costo Unitario Total H-94-12"}</definedName>
    <definedName name="call" hidden="1">{#N/A,#N/A,FALSE,"3mthsum.xls";#N/A,#N/A,FALSE,"fcstmth1.xls";#N/A,#N/A,FALSE,"fcstmth2.xls";#N/A,#N/A,FALSE,"fcstmth3.xls";#N/A,#N/A,FALSE,"cntsprt.xls";#N/A,#N/A,FALSE,"fldind.xls";#N/A,#N/A,FALSE,"epo.xls";#N/A,#N/A,FALSE,"tech.xls";#N/A,#N/A,FALSE,"train.xls";#N/A,#N/A,FALSE,"realest.xls";#N/A,#N/A,FALSE,"cfs.xls"}</definedName>
    <definedName name="callib_setting_id_001">#REF!</definedName>
    <definedName name="CALRGELEC" localSheetId="0">CALCULO #REF!</definedName>
    <definedName name="CALRGELEC">CALCULO #REF!</definedName>
    <definedName name="Camilo" hidden="1">#REF!</definedName>
    <definedName name="CANT">#REF!</definedName>
    <definedName name="CANT_IT_1">#REF!</definedName>
    <definedName name="CANT_IT_10">#REF!</definedName>
    <definedName name="CANT_IT_11">#REF!</definedName>
    <definedName name="CANT_IT_12">#REF!</definedName>
    <definedName name="CANT_IT_13">#REF!</definedName>
    <definedName name="CANT_IT_14">#REF!</definedName>
    <definedName name="CANT_IT_15">#REF!</definedName>
    <definedName name="CANT_IT_16">#REF!</definedName>
    <definedName name="CANT_IT_17">#REF!</definedName>
    <definedName name="CANT_IT_18">#REF!</definedName>
    <definedName name="CANT_IT_19">#REF!</definedName>
    <definedName name="CANT_IT_2">#REF!</definedName>
    <definedName name="CANT_IT_20">#REF!</definedName>
    <definedName name="CANT_IT_21">#REF!</definedName>
    <definedName name="CANT_IT_3">#REF!</definedName>
    <definedName name="CANT_IT_4">#REF!</definedName>
    <definedName name="CANT_IT_5">#REF!</definedName>
    <definedName name="CANT_IT_6">#REF!</definedName>
    <definedName name="CANT_IT_7">#REF!</definedName>
    <definedName name="CANT_IT_8">#REF!</definedName>
    <definedName name="CANT_IT_9">#REF!</definedName>
    <definedName name="Canteras">#REF!</definedName>
    <definedName name="Cantidades">#REF!</definedName>
    <definedName name="Cantidades2daFase">#REF!</definedName>
    <definedName name="capacitance_001">#REF!</definedName>
    <definedName name="capacitance_uom_001">#REF!</definedName>
    <definedName name="Capacities">#REF!</definedName>
    <definedName name="Capataz">#REF!</definedName>
    <definedName name="Capitalpb" hidden="1">#REF!</definedName>
    <definedName name="CapitalStructure" hidden="1">#REF!</definedName>
    <definedName name="CAPITULOS">#REF!</definedName>
    <definedName name="Caracter_efecto">#REF!</definedName>
    <definedName name="CARATS">#REF!</definedName>
    <definedName name="cargo">#REF!</definedName>
    <definedName name="cargo_adm">#REF!</definedName>
    <definedName name="cargo_admon">#REF!</definedName>
    <definedName name="cargos">#REF!</definedName>
    <definedName name="CARL" hidden="1">{#N/A,#N/A,FALSE,"CCTV"}</definedName>
    <definedName name="CARL1" hidden="1">{#N/A,#N/A,FALSE,"CCTV"}</definedName>
    <definedName name="CARL2" hidden="1">{#N/A,#N/A,FALSE,"CCTV"}</definedName>
    <definedName name="carlitron" hidden="1">{"CONSEJO",#N/A,FALSE,"Dist p0";"CONSEJO",#N/A,FALSE,"Ficha CODICE"}</definedName>
    <definedName name="CARLOSA" hidden="1">{#N/A,#N/A,FALSE,"Hoja1";#N/A,#N/A,FALSE,"Hoja2"}</definedName>
    <definedName name="CARLOSC" hidden="1">{"krl1",#N/A,FALSE,"kr";"krl2",#N/A,FALSE,"kr";"compara",#N/A,FALSE,"kr";"desconp1",#N/A,FALSE,"kr";"desconp12",#N/A,FALSE,"kr";"krnp1",#N/A,FALSE,"kr";"krnp2",#N/A,FALSE,"kr";"krp12avg",#N/A,FALSE,"kr";"krp1avg",#N/A,FALSE,"kr"}</definedName>
    <definedName name="CARLOSM" hidden="1">{#N/A,#N/A,FALSE,"Hoja1";#N/A,#N/A,FALSE,"Hoja2"}</definedName>
    <definedName name="caro" hidden="1">#REF!</definedName>
    <definedName name="CARRIER" hidden="1">{#N/A,#N/A,FALSE,"단축1";#N/A,#N/A,FALSE,"단축2";#N/A,#N/A,FALSE,"단축3";#N/A,#N/A,FALSE,"장축";#N/A,#N/A,FALSE,"4WD"}</definedName>
    <definedName name="CARSFA" hidden="1">{#N/A,#N/A,FALSE,"Hoja1";#N/A,#N/A,FALSE,"Hoja2"}</definedName>
    <definedName name="CART" hidden="1">{#N/A,#N/A,FALSE,"DMC schedule";#N/A,#N/A,FALSE,"DMC_THC Revenue";#N/A,#N/A,FALSE,"Personnel plan";#N/A,#N/A,FALSE,"Capex HW+SW";#N/A,#N/A,FALSE,"P&amp;L"}</definedName>
    <definedName name="carta" hidden="1">{"DETALLE_1996",#N/A,FALSE,"flujo";"DETALLE_1997",#N/A,FALSE,"flujo";"GASTOS_INCURRIDOS_1996",#N/A,FALSE,"flujo";"GASTOS_PROGRAMADOS_PARA_1997",#N/A,FALSE,"flujo";#N/A,#N/A,FALSE,"comparat";#N/A,#N/A,FALSE,"costos";#N/A,#N/A,FALSE,"proyctrol"}</definedName>
    <definedName name="CARTA5" hidden="1">{"DETALLE_1996",#N/A,FALSE,"flujo";"DETALLE_1997",#N/A,FALSE,"flujo";"GASTOS_INCURRIDOS_1996",#N/A,FALSE,"flujo";"GASTOS_PROGRAMADOS_PARA_1997",#N/A,FALSE,"flujo";#N/A,#N/A,FALSE,"comparat";#N/A,#N/A,FALSE,"costos";#N/A,#N/A,FALSE,"proyctrol"}</definedName>
    <definedName name="CARTAS" hidden="1">{"DETALLE_1996",#N/A,FALSE,"flujo";"DETALLE_1997",#N/A,FALSE,"flujo";"GASTOS_INCURRIDOS_1996",#N/A,FALSE,"flujo";"GASTOS_PROGRAMADOS_PARA_1997",#N/A,FALSE,"flujo";#N/A,#N/A,FALSE,"comparat";#N/A,#N/A,FALSE,"costos";#N/A,#N/A,FALSE,"proyctrol"}</definedName>
    <definedName name="cas" hidden="1">{"ANAR",#N/A,FALSE,"Dist total";"MARGEN",#N/A,FALSE,"Dist total";"COMENTARIO",#N/A,FALSE,"Ficha CODICE";"CONSEJO",#N/A,FALSE,"Dist p0";"uno",#N/A,FALSE,"Dist total"}</definedName>
    <definedName name="casa1" hidden="1">{#N/A,#N/A,FALSE,"masez (10)";#N/A,#N/A,FALSE,"masez (7)";#N/A,#N/A,FALSE,"masez (6)";#N/A,#N/A,FALSE,"masez (5)";#N/A,#N/A,FALSE,"masez (4)";#N/A,#N/A,FALSE,"masez (3)";#N/A,#N/A,FALSE,"masez (2)";#N/A,#N/A,FALSE,"GME";#N/A,#N/A,FALSE,"masez"}</definedName>
    <definedName name="CASCASCACAA">#REF!</definedName>
    <definedName name="CASCO">#N/A</definedName>
    <definedName name="CASCO_DEP">#N/A</definedName>
    <definedName name="CASE" hidden="1">{#N/A,#N/A,FALSE,"단축1";#N/A,#N/A,FALSE,"단축2";#N/A,#N/A,FALSE,"단축3";#N/A,#N/A,FALSE,"장축";#N/A,#N/A,FALSE,"4WD"}</definedName>
    <definedName name="case_id_001">#REF!</definedName>
    <definedName name="cash" hidden="1">{#N/A,#N/A,FALSE,"Ppto. Inv. por Proyectos";#N/A,#N/A,FALSE,"Ppto. Gastos por Asociación";#N/A,#N/A,FALSE,"Cravo Norte";#N/A,#N/A,FALSE,"Upía";#N/A,#N/A,FALSE,"CPR Espinal";#N/A,#N/A,FALSE,"Magangué";#N/A,#N/A,FALSE,"Casanare";#N/A,#N/A,FALSE,"Estero";#N/A,#N/A,FALSE,"Garcero";#N/A,#N/A,FALSE,"Orocué";#N/A,#N/A,FALSE,"Corocora";#N/A,#N/A,FALSE,"CPR Santana";#N/A,#N/A,FALSE,"Consolidado"}</definedName>
    <definedName name="CASH_PRINT">#REF!</definedName>
    <definedName name="Cashpb" hidden="1">#REF!</definedName>
    <definedName name="CASIMENA">#REF!</definedName>
    <definedName name="caso2" hidden="1">#REF!</definedName>
    <definedName name="casosWTI">#REF!</definedName>
    <definedName name="CASTOR">#REF!</definedName>
    <definedName name="CAT">#REF!</definedName>
    <definedName name="CAT_A">#N/A</definedName>
    <definedName name="CAT_B">#N/A</definedName>
    <definedName name="CATALL">#REF!</definedName>
    <definedName name="CATALL2">#REF!</definedName>
    <definedName name="CATEG">#N/A</definedName>
    <definedName name="CATEGORIA">#REF!</definedName>
    <definedName name="Categoría_INV">#REF!</definedName>
    <definedName name="CATEGORIAS">#REF!</definedName>
    <definedName name="Category">#REF!</definedName>
    <definedName name="CategoryArea">#REF!,#REF!,#REF!,#REF!,#REF!</definedName>
    <definedName name="CATL1" hidden="1">{"CONSEJO",#N/A,FALSE,"Dist p0";"CONSEJO",#N/A,FALSE,"Ficha CODICE"}</definedName>
    <definedName name="CAUCHO_PARA_SILLA_Y_160x110">#REF!</definedName>
    <definedName name="CAUCHO_PARA_SILLA_Y_200x110">#REF!</definedName>
    <definedName name="CAUCHO_PARA_SILLA_Y_250x110">#REF!</definedName>
    <definedName name="CAUCHO_PARA_SILLA_Y_250x160">#REF!</definedName>
    <definedName name="CAUCHO_PARA_SILLA_Y_315x110">#REF!</definedName>
    <definedName name="causa">#REF!</definedName>
    <definedName name="CAUSACION">OFFSET(#REF!,#REF!,0,#REF!,1)</definedName>
    <definedName name="CAUSACIONPROGRAMADA">OFFSET(#REF!,#REF!,0,#REF!,1)</definedName>
    <definedName name="CAUSACIONREAL">OFFSET(#REF!,#REF!,0,#REF!,1)</definedName>
    <definedName name="CB">#REF!</definedName>
    <definedName name="cb_data">#REF!</definedName>
    <definedName name="cbk" hidden="1">{"'표지'!$B$5"}</definedName>
    <definedName name="CBWorkbookPriority" hidden="1">-1385358669</definedName>
    <definedName name="CBWorkbookPriority_1" hidden="1">-1385358669</definedName>
    <definedName name="CC" hidden="1">{#N/A,#N/A,TRUE,"Budget";#N/A,#N/A,TRUE,"Balance Sheet";#N/A,#N/A,TRUE,"Cash Flow"}</definedName>
    <definedName name="CC5091_EE3270">#REF!</definedName>
    <definedName name="CC5091_EE3270_03">#REF!</definedName>
    <definedName name="CC5092_3890">#REF!</definedName>
    <definedName name="CC5092_EE3270">#REF!</definedName>
    <definedName name="CC5092_EE3390">#REF!</definedName>
    <definedName name="CC5092_EE3890">#REF!</definedName>
    <definedName name="CC5093_EE3270">#REF!</definedName>
    <definedName name="CC5094_EE2210">#REF!</definedName>
    <definedName name="CC5094_EE3270">#REF!</definedName>
    <definedName name="CC5094_EE3890">#REF!</definedName>
    <definedName name="CC5095_EE2420">#REF!</definedName>
    <definedName name="CC5095_EE3890">#REF!</definedName>
    <definedName name="CC5098_EE2030">#REF!</definedName>
    <definedName name="CC5098_EE2210">#REF!</definedName>
    <definedName name="CC5098_EE3270">#REF!</definedName>
    <definedName name="CC5098_EE3890">#REF!</definedName>
    <definedName name="CCC" hidden="1">{#N/A,#N/A,FALSE,"Costos Productos 6A";#N/A,#N/A,FALSE,"Costo Unitario Total H-94-12"}</definedName>
    <definedName name="cccc" hidden="1">#REF!</definedName>
    <definedName name="CCCCC" hidden="1">{"krl1",#N/A,FALSE,"kr";"krl2",#N/A,FALSE,"kr";"compara",#N/A,FALSE,"kr";"desconp1",#N/A,FALSE,"kr";"desconp12",#N/A,FALSE,"kr";"krnp1",#N/A,FALSE,"kr";"krnp2",#N/A,FALSE,"kr";"krp12avg",#N/A,FALSE,"kr";"krp1avg",#N/A,FALSE,"kr"}</definedName>
    <definedName name="CCCCCC">#REF!</definedName>
    <definedName name="ccccccccccccccc" hidden="1">{#N/A,#N/A,FALSE,"Costos Productos 6A";#N/A,#N/A,FALSE,"Costo Unitario Total H-94-12"}</definedName>
    <definedName name="cccddd" hidden="1">{#N/A,#N/A,FALSE,"단축1";#N/A,#N/A,FALSE,"단축2";#N/A,#N/A,FALSE,"단축3";#N/A,#N/A,FALSE,"장축";#N/A,#N/A,FALSE,"4WD"}</definedName>
    <definedName name="ccto210">#REF!</definedName>
    <definedName name="cd">#REF!</definedName>
    <definedName name="CD_1">#REF!</definedName>
    <definedName name="CD_10">#REF!</definedName>
    <definedName name="CD_2">#REF!</definedName>
    <definedName name="CD_3">#REF!</definedName>
    <definedName name="CD_4">#REF!</definedName>
    <definedName name="CD_5">#REF!</definedName>
    <definedName name="CD_6">#REF!</definedName>
    <definedName name="CD_7">#REF!</definedName>
    <definedName name="CD_8">#REF!</definedName>
    <definedName name="CD_9">#REF!</definedName>
    <definedName name="cdcdc" hidden="1">{"via1",#N/A,TRUE,"general";"via2",#N/A,TRUE,"general";"via3",#N/A,TRUE,"general"}</definedName>
    <definedName name="CDctrl">#REF!</definedName>
    <definedName name="cdfgrtfd" hidden="1">#REF!</definedName>
    <definedName name="CDIRECTO">#REF!</definedName>
    <definedName name="cdjklsldjls" hidden="1">#REF!</definedName>
    <definedName name="cds" hidden="1">{#N/A,#N/A,FALSE,"sumi ";#N/A,#N/A,FALSE,"RESUMEN"}</definedName>
    <definedName name="CEDULAS">#REF!</definedName>
    <definedName name="ceerf" hidden="1">{"TAB1",#N/A,TRUE,"GENERAL";"TAB2",#N/A,TRUE,"GENERAL";"TAB3",#N/A,TRUE,"GENERAL";"TAB4",#N/A,TRUE,"GENERAL";"TAB5",#N/A,TRUE,"GENERAL"}</definedName>
    <definedName name="CELDA_FASE">#REF!</definedName>
    <definedName name="celi" hidden="1">#REF!</definedName>
    <definedName name="cell_001">#REF!</definedName>
    <definedName name="CEMENTO">#REF!</definedName>
    <definedName name="CENT_MOV">#N/A</definedName>
    <definedName name="CENTO">#REF!</definedName>
    <definedName name="CENTRIF">#N/A</definedName>
    <definedName name="centro">#REF!</definedName>
    <definedName name="CENTROS_COSTOS_UNO">#REF!</definedName>
    <definedName name="CESAR" hidden="1">{#N/A,#N/A,FALSE,"Costos Productos 6A";#N/A,#N/A,FALSE,"Costo Unitario Total H-94-12"}</definedName>
    <definedName name="CFD" hidden="1">{#N/A,#N/A,FALSE,"Cravo Norte";#N/A,#N/A,FALSE,"Upía";#N/A,#N/A,FALSE,"CPR Espinal";#N/A,#N/A,FALSE,"Magangué";#N/A,#N/A,FALSE,"Casanare";#N/A,#N/A,FALSE,"Estero";#N/A,#N/A,FALSE,"Garcero";#N/A,#N/A,FALSE,"Orocué";#N/A,#N/A,FALSE,"Corocora";#N/A,#N/A,FALSE,"CPR Santana"}</definedName>
    <definedName name="ch_cv_valve_type_001">#REF!</definedName>
    <definedName name="ch_fm_bleed_hole_diam_uid_001">#REF!</definedName>
    <definedName name="ch_fm_meter_type_001">#REF!</definedName>
    <definedName name="ch_fm_orif_diam_uid_001">#REF!</definedName>
    <definedName name="ch_pd_calc_code_001">#REF!</definedName>
    <definedName name="ch_pd_failure_action_001">#REF!</definedName>
    <definedName name="ch_pd_fluid_phase_001">#REF!</definedName>
    <definedName name="ch_pd_seat_leak_001">#REF!</definedName>
    <definedName name="ch_rv_calc_standard_001">#REF!</definedName>
    <definedName name="ch_spec_udf_c02_001">#REF!</definedName>
    <definedName name="ch_spec_udf_c03_001">#REF!</definedName>
    <definedName name="ch_spec_udf_c11_001">#REF!</definedName>
    <definedName name="ch_spec_udf_c12_001">#REF!</definedName>
    <definedName name="ch_spec_udf_c29_001">#REF!</definedName>
    <definedName name="ch_spec_udf_c41_001">#REF!</definedName>
    <definedName name="ch_spec_udf_c53_001">#REF!</definedName>
    <definedName name="ch_spec_udf_c73_001">#REF!</definedName>
    <definedName name="ch_spec_udf_c86_001">#REF!</definedName>
    <definedName name="ch_spec_udf_c87_001">#REF!</definedName>
    <definedName name="CHACA" hidden="1">#REF!</definedName>
    <definedName name="CHAL">#N/A</definedName>
    <definedName name="CHAL_DEP">#N/A</definedName>
    <definedName name="chancay" hidden="1">{#N/A,#N/A,FALSE,"COMERCIAL";#N/A,#N/A,FALSE,"inversiones";#N/A,#N/A,FALSE,"pro5";#N/A,#N/A,FALSE,"mor -irre mes";#N/A,#N/A,FALSE,"irregulare"}</definedName>
    <definedName name="Change_in_Cash" hidden="1">#REF!</definedName>
    <definedName name="chart2">#REF!</definedName>
    <definedName name="chart3">#REF!</definedName>
    <definedName name="Check_to_Cash" hidden="1">#REF!</definedName>
    <definedName name="CHF">#REF!</definedName>
    <definedName name="chg_date_001">#REF!</definedName>
    <definedName name="chg_num_001">#REF!</definedName>
    <definedName name="chg_status_001">#REF!</definedName>
    <definedName name="CHK_PU">#REF!</definedName>
    <definedName name="chl" hidden="1">{#N/A,#N/A,TRUE,"Basic";#N/A,#N/A,TRUE,"EXT-TABLE";#N/A,#N/A,TRUE,"STEEL";#N/A,#N/A,TRUE,"INT-Table";#N/A,#N/A,TRUE,"STEEL";#N/A,#N/A,TRUE,"Door"}</definedName>
    <definedName name="chopa" hidden="1">{#N/A,#N/A,FALSE,"Costos Productos 6A";#N/A,#N/A,FALSE,"Costo Unitario Total H-94-12"}</definedName>
    <definedName name="christine" hidden="1">{#N/A,#N/A,FALSE,"3";#N/A,#N/A,FALSE,"5";#N/A,#N/A,FALSE,"6";#N/A,#N/A,FALSE,"8";#N/A,#N/A,FALSE,"10";#N/A,#N/A,FALSE,"13";#N/A,#N/A,FALSE,"14";#N/A,#N/A,FALSE,"15";#N/A,#N/A,FALSE,"16"}</definedName>
    <definedName name="CHSFH" hidden="1">{#N/A,#N/A,FALSE,"masez (10)";#N/A,#N/A,FALSE,"masez (7)";#N/A,#N/A,FALSE,"masez (6)";#N/A,#N/A,FALSE,"masez (5)";#N/A,#N/A,FALSE,"masez (4)";#N/A,#N/A,FALSE,"masez (3)";#N/A,#N/A,FALSE,"masez (2)";#N/A,#N/A,FALSE,"GME";#N/A,#N/A,FALSE,"masez"}</definedName>
    <definedName name="CHT_CASHFLOW">"Chart 5"</definedName>
    <definedName name="ci" hidden="1">{#N/A,#N/A,TRUE,"INGENIERIA";#N/A,#N/A,TRUE,"COMPRAS";#N/A,#N/A,TRUE,"DIRECCION";#N/A,#N/A,TRUE,"RESUMEN"}</definedName>
    <definedName name="CIERRE03INTERACTIVA" hidden="1">{"PYGP",#N/A,TRUE,"PandL";"BALANCEP",#N/A,TRUE,"BS";"Estado Cash Flow",#N/A,TRUE,"CFlow";"debt",#N/A,TRUE,"Debt";"worcap",#N/A,TRUE,"WorCap";"Analisis Impuestos",#N/A,TRUE,"Tax"}</definedName>
    <definedName name="cine" hidden="1">{"'banner (abr)'!$A$14:$G$22"}</definedName>
    <definedName name="cine2" hidden="1">{"'banner (abr)'!$A$14:$G$22"}</definedName>
    <definedName name="cinema4" hidden="1">{"'banner (abr)'!$A$14:$G$22"}</definedName>
    <definedName name="CIP">#REF!</definedName>
    <definedName name="CIQWBGuid" hidden="1">"c7a8f0ca-61cc-43f0-bd64-d0d7f530ff24"</definedName>
    <definedName name="circuit_001">#REF!</definedName>
    <definedName name="circuit_id_001">#REF!</definedName>
    <definedName name="Circuito" hidden="1">{"'banner (abr)'!$A$14:$G$22"}</definedName>
    <definedName name="CIRCUITOS">#REF!</definedName>
    <definedName name="CIUDADES2">#REF!</definedName>
    <definedName name="civ" hidden="1">{#N/A,#N/A,TRUE,"1842CWN0"}</definedName>
    <definedName name="CIVIL" hidden="1">#REF!</definedName>
    <definedName name="civilb" hidden="1">{#N/A,#N/A,FALSE,"DITCAR";#N/A,#N/A,FALSE,"a1";#N/A,#N/A,FALSE,"a2";#N/A,#N/A,FALSE,"a3";#N/A,#N/A,FALSE,"a4";#N/A,#N/A,FALSE,"a4a";#N/A,#N/A,FALSE,"a4B";#N/A,#N/A,FALSE,"a4C";#N/A,#N/A,FALSE,"A5a ";#N/A,#N/A,FALSE,"A5b";#N/A,#N/A,FALSE,"A6A";#N/A,#N/A,FALSE,"A6B";#N/A,#N/A,FALSE,"A6C";#N/A,#N/A,FALSE,"04PG12NB"}</definedName>
    <definedName name="CivilRequirements">#REF!</definedName>
    <definedName name="cjsa" hidden="1">#REF!</definedName>
    <definedName name="clas">#REF!</definedName>
    <definedName name="clase">#REF!</definedName>
    <definedName name="Clase_accidente">#REF!</definedName>
    <definedName name="CLASEA1">#REF!</definedName>
    <definedName name="CLASED1">#REF!</definedName>
    <definedName name="CLASIFICACION">#REF!</definedName>
    <definedName name="CLASIFICACION_2">#REF!</definedName>
    <definedName name="CLASIFICACION_3">#REF!</definedName>
    <definedName name="Client_Name">#REF!</definedName>
    <definedName name="clientes">#REF!</definedName>
    <definedName name="cmdSTATUS">"Button 43"</definedName>
    <definedName name="cmf">#REF!</definedName>
    <definedName name="cmpnt_certif_id_001">#REF!</definedName>
    <definedName name="cmpnt_critical_id_001">#REF!</definedName>
    <definedName name="cmpnt_find_rem_001">#REF!</definedName>
    <definedName name="cmpnt_func_type_id_001">#REF!</definedName>
    <definedName name="cmpnt_id_001">#REF!</definedName>
    <definedName name="cmpnt_is_circuite_type_id_001">#REF!</definedName>
    <definedName name="cmpnt_loc_id_001">#REF!</definedName>
    <definedName name="cmpnt_mfr_id_001">#REF!</definedName>
    <definedName name="cmpnt_mod_id_001">#REF!</definedName>
    <definedName name="cmpnt_name">#REF!</definedName>
    <definedName name="cmpnt_name_001">#REF!</definedName>
    <definedName name="cmpnt_serv">#REF!</definedName>
    <definedName name="cmpnt_serv_001">#REF!</definedName>
    <definedName name="cmpnt_sys_io_type_id_001">#REF!</definedName>
    <definedName name="cmpnt_type_id_001">#REF!</definedName>
    <definedName name="CN">#N/A</definedName>
    <definedName name="CO">#REF!</definedName>
    <definedName name="COASIN" hidden="1">{#N/A,#N/A,FALSE,"Graficos"}</definedName>
    <definedName name="cod">#REF!</definedName>
    <definedName name="COD.">#REF!</definedName>
    <definedName name="CodActEco">#REF!</definedName>
    <definedName name="Code" hidden="1">#REF!</definedName>
    <definedName name="codigo">#REF!,#REF!</definedName>
    <definedName name="CODIGO_OPERADOR">#REF!</definedName>
    <definedName name="CODIGO_OPERADORES">#REF!</definedName>
    <definedName name="Codigos">#REF!</definedName>
    <definedName name="CODO_PVC_4">#REF!</definedName>
    <definedName name="CODO_PVC_6">#REF!</definedName>
    <definedName name="CODO_SANITARIO_PVC_45x110">#REF!</definedName>
    <definedName name="CODO_SANITARIO_PVC_45x160">#REF!</definedName>
    <definedName name="CODO10">#REF!</definedName>
    <definedName name="CODO12">#REF!</definedName>
    <definedName name="CODO6">#REF!</definedName>
    <definedName name="CODO8">#REF!</definedName>
    <definedName name="CODO9012">#REF!</definedName>
    <definedName name="col" hidden="1">{#N/A,#N/A,FALSE,"DMC schedule";#N/A,#N/A,FALSE,"DMC_THC Revenue";#N/A,#N/A,FALSE,"Personnel plan";#N/A,#N/A,FALSE,"Capex HW+SW";#N/A,#N/A,FALSE,"P&amp;L"}</definedName>
    <definedName name="Col_CPI_DTF">#REF!</definedName>
    <definedName name="Col_CPI_Start">#REF!</definedName>
    <definedName name="Col_CPI_VPIP">#REF!</definedName>
    <definedName name="COL_VALORACUMULADO">#REF!</definedName>
    <definedName name="COL_VALORPERIODO">#REF!</definedName>
    <definedName name="colcibpql_">#REF!</definedName>
    <definedName name="colcibpqs_">#REF!</definedName>
    <definedName name="collec" hidden="1">{#N/A,#N/A,FALSE,"DMC schedule";#N/A,#N/A,FALSE,"DMC_THC Revenue";#N/A,#N/A,FALSE,"Personnel plan";#N/A,#N/A,FALSE,"Capex HW+SW";#N/A,#N/A,FALSE,"P&amp;L"}</definedName>
    <definedName name="com">#REF!</definedName>
    <definedName name="comb1">#REF!</definedName>
    <definedName name="comb2">#REF!</definedName>
    <definedName name="comb3">#REF!</definedName>
    <definedName name="comb4">#REF!</definedName>
    <definedName name="Combinas" hidden="1">{"'banner (abr)'!$A$14:$G$22"}</definedName>
    <definedName name="CombLiqProps">#REF!</definedName>
    <definedName name="COMISION10">#REF!</definedName>
    <definedName name="COMISION7">#REF!</definedName>
    <definedName name="COMISIONES10">#REF!</definedName>
    <definedName name="COMISIONES7">#REF!</definedName>
    <definedName name="COMISIONHORAST">#REF!</definedName>
    <definedName name="COMISIONHT">#REF!</definedName>
    <definedName name="comm">#REF!</definedName>
    <definedName name="CommisioningMU">#REF!</definedName>
    <definedName name="COMMIT">#REF!</definedName>
    <definedName name="Comp">#REF!</definedName>
    <definedName name="COMP.OCT8" hidden="1">{#N/A,#N/A,FALSE,"a1";#N/A,#N/A,FALSE,"a2";#N/A,#N/A,FALSE,"a3";#N/A,#N/A,FALSE,"a4a";#N/A,#N/A,FALSE,"a4B";#N/A,#N/A,FALSE,"a4C";#N/A,#N/A,FALSE,"a4D";#N/A,#N/A,FALSE,"A5a ";#N/A,#N/A,FALSE,"A5b";#N/A,#N/A,FALSE,"A6A";#N/A,#N/A,FALSE,"A6B";#N/A,#N/A,FALSE,"A6C";#N/A,#N/A,FALSE,"A6D";#N/A,#N/A,FALSE,"INV"}</definedName>
    <definedName name="comp_fire_case_001">#REF!</definedName>
    <definedName name="comp_flow_uom_001">#REF!</definedName>
    <definedName name="comp_pd_const_back_pres_001">#REF!</definedName>
    <definedName name="comp_pd_max_discharge_001">#REF!</definedName>
    <definedName name="comp_pd_press_uid_001">#REF!</definedName>
    <definedName name="comp_pd_temp_uid_001">#REF!</definedName>
    <definedName name="comp_pd_vap_press_uid_001">#REF!</definedName>
    <definedName name="comp_pd_var_back_pres_001">#REF!</definedName>
    <definedName name="comp_press_des_uom_001">#REF!</definedName>
    <definedName name="comp_press_uom_001">#REF!</definedName>
    <definedName name="comp_press_uom_1_001">#REF!</definedName>
    <definedName name="comp_rv_area_uom_001">#REF!</definedName>
    <definedName name="COMPA" hidden="1">{#N/A,#N/A,FALSE,"T1C97";#N/A,#N/A,FALSE,"T2C97";#N/A,#N/A,FALSE,"T3AC97";#N/A,#N/A,FALSE,"T4C97";#N/A,#N/A,FALSE,"T5C97";#N/A,#N/A,FALSE,"T6C97";#N/A,#N/A,FALSE,"T3C97";#N/A,#N/A,FALSE,"T7C97";#N/A,#N/A,FALSE,"T8C97";#N/A,#N/A,FALSE,"T9C97";#N/A,#N/A,FALSE,"T13C97"}</definedName>
    <definedName name="COMPAR" hidden="1">{#N/A,#N/A,FALSE,"T1C97";#N/A,#N/A,FALSE,"T2C97";#N/A,#N/A,FALSE,"T3AC97";#N/A,#N/A,FALSE,"T4C97";#N/A,#N/A,FALSE,"T5C97";#N/A,#N/A,FALSE,"T6C97";#N/A,#N/A,FALSE,"T3C97";#N/A,#N/A,FALSE,"T7C97";#N/A,#N/A,FALSE,"T8C97";#N/A,#N/A,FALSE,"T9C97";#N/A,#N/A,FALSE,"T13C97"}</definedName>
    <definedName name="COMPARA" hidden="1">{#N/A,#N/A,FALSE,"T1C97";#N/A,#N/A,FALSE,"T2C97";#N/A,#N/A,FALSE,"T3AC97";#N/A,#N/A,FALSE,"T4C97";#N/A,#N/A,FALSE,"T5C97";#N/A,#N/A,FALSE,"T6C97";#N/A,#N/A,FALSE,"T3C97";#N/A,#N/A,FALSE,"T7C97";#N/A,#N/A,FALSE,"T8C97";#N/A,#N/A,FALSE,"T9C97";#N/A,#N/A,FALSE,"T13C97"}</definedName>
    <definedName name="COMPARATIVO">!#REF!</definedName>
    <definedName name="COMPAS" hidden="1">{#N/A,#N/A,FALSE,"T1C97";#N/A,#N/A,FALSE,"T2C97";#N/A,#N/A,FALSE,"T3AC97";#N/A,#N/A,FALSE,"T4C97";#N/A,#N/A,FALSE,"T5C97";#N/A,#N/A,FALSE,"T6C97";#N/A,#N/A,FALSE,"T3C97";#N/A,#N/A,FALSE,"T7C97";#N/A,#N/A,FALSE,"T8C97";#N/A,#N/A,FALSE,"T9C97";#N/A,#N/A,FALSE,"T13C97"}</definedName>
    <definedName name="complejidad">#REF!</definedName>
    <definedName name="COMPROBANTE_DE_PAGO">#REF!</definedName>
    <definedName name="Comprometido">#REF!</definedName>
    <definedName name="COMPROMISOS" hidden="1">{#N/A,#N/A,FALSE,"VOL695";#N/A,#N/A,FALSE,"anexo1";#N/A,#N/A,FALSE,"anexo2";#N/A,#N/A,FALSE,"anexo3";#N/A,#N/A,FALSE,"anexo4";#N/A,#N/A,FALSE,"anexo5a";#N/A,#N/A,FALSE,"anexo5b";#N/A,#N/A,FALSE,"anexo6a";#N/A,#N/A,FALSE,"anexo6a";#N/A,#N/A,FALSE,"anexo6c";#N/A,#N/A,FALSE,"anexo7a";#N/A,#N/A,FALSE,"anexo7b";#N/A,#N/A,FALSE,"anexo7c"}</definedName>
    <definedName name="CompSocial">#REF!</definedName>
    <definedName name="CompTecnica">#REF!</definedName>
    <definedName name="COMPUERTA">#REF!</definedName>
    <definedName name="compute_1_001">#REF!</definedName>
    <definedName name="COMTOP">#REF!</definedName>
    <definedName name="COMUNIC">#REF!</definedName>
    <definedName name="con">#REF!</definedName>
    <definedName name="CONA" hidden="1">{#N/A,#N/A,FALSE,"T1C97";#N/A,#N/A,FALSE,"T2C97";#N/A,#N/A,FALSE,"T3AC97";#N/A,#N/A,FALSE,"T4C97";#N/A,#N/A,FALSE,"T5C97";#N/A,#N/A,FALSE,"T6C97";#N/A,#N/A,FALSE,"T3C97";#N/A,#N/A,FALSE,"T7C97";#N/A,#N/A,FALSE,"T8C97";#N/A,#N/A,FALSE,"T9C97";#N/A,#N/A,FALSE,"T13C97"}</definedName>
    <definedName name="Concepto">#REF!</definedName>
    <definedName name="CONCIC" hidden="1">{#N/A,#N/A,FALSE,"DMC schedule";#N/A,#N/A,FALSE,"DMC_THC Revenue";#N/A,#N/A,FALSE,"Personnel plan";#N/A,#N/A,FALSE,"Capex HW+SW";#N/A,#N/A,FALSE,"P&amp;L"}</definedName>
    <definedName name="cond_admon">#REF!</definedName>
    <definedName name="CONDEN11">#REF!</definedName>
    <definedName name="CONDEN12">#REF!</definedName>
    <definedName name="CONDEN13">#REF!</definedName>
    <definedName name="CONDEN14">#REF!</definedName>
    <definedName name="CONDEN15">#REF!</definedName>
    <definedName name="CONDEN16">#REF!</definedName>
    <definedName name="CONDEN17">#REF!</definedName>
    <definedName name="CONDEN18">#REF!</definedName>
    <definedName name="CONDEN19">#REF!</definedName>
    <definedName name="CONDEN2">#REF!</definedName>
    <definedName name="CONDEN20">#REF!</definedName>
    <definedName name="CONDEN21">#REF!</definedName>
    <definedName name="CONDEN22">#REF!</definedName>
    <definedName name="CONDEN23">#REF!</definedName>
    <definedName name="CONDEN24">#REF!</definedName>
    <definedName name="CONDEN3">#REF!</definedName>
    <definedName name="CONDEN4">#REF!</definedName>
    <definedName name="CONDEN5">#REF!</definedName>
    <definedName name="CONDEN6">#REF!</definedName>
    <definedName name="CONDEN7">#REF!</definedName>
    <definedName name="CONDEN8">#REF!</definedName>
    <definedName name="CONDEN9">#REF!</definedName>
    <definedName name="CONDICION">#REF!</definedName>
    <definedName name="Condiciones_inseguras">#REF!</definedName>
    <definedName name="Conductor_weight">#REF!</definedName>
    <definedName name="conequ">#REF!</definedName>
    <definedName name="CONFORMA">#REF!</definedName>
    <definedName name="CONMANIFOLD">#REF!</definedName>
    <definedName name="Connected_kVA">#REF!</definedName>
    <definedName name="conpaq">#REF!</definedName>
    <definedName name="CONSECUT2">#REF!</definedName>
    <definedName name="CONSECUT3">#REF!</definedName>
    <definedName name="ConseqCat">0</definedName>
    <definedName name="ConseqForMitRisk">3</definedName>
    <definedName name="ConsMaestro" hidden="1">#REF!</definedName>
    <definedName name="CONSO" hidden="1">{"MO(BASE)",#N/A,FALSE,"MO(BASE)";"MO(BASE)1",#N/A,FALSE,"MO(BASE)";"MO(BASE)2",#N/A,FALSE,"MO(BASE)"}</definedName>
    <definedName name="CONSOLIDADO" hidden="1">{#N/A,#N/A,FALSE,"T1C97";#N/A,#N/A,FALSE,"T2C97";#N/A,#N/A,FALSE,"T3AC97";#N/A,#N/A,FALSE,"T4C97";#N/A,#N/A,FALSE,"T5C97";#N/A,#N/A,FALSE,"T6C97";#N/A,#N/A,FALSE,"T3C97";#N/A,#N/A,FALSE,"T7C97";#N/A,#N/A,FALSE,"T8C97";#N/A,#N/A,FALSE,"T9C97";#N/A,#N/A,FALSE,"T13C97"}</definedName>
    <definedName name="ConsolidadoApus">OFFSET(#REF!,,,COUNTA(#REF!),6)</definedName>
    <definedName name="ConstCost">#REF!</definedName>
    <definedName name="constru">#REF!</definedName>
    <definedName name="CONSTRUCCION" hidden="1">{#N/A,#N/A,FALSE,"masez (10)";#N/A,#N/A,FALSE,"masez (7)";#N/A,#N/A,FALSE,"masez (6)";#N/A,#N/A,FALSE,"masez (5)";#N/A,#N/A,FALSE,"masez (4)";#N/A,#N/A,FALSE,"masez (3)";#N/A,#N/A,FALSE,"masez (2)";#N/A,#N/A,FALSE,"GME";#N/A,#N/A,FALSE,"masez"}</definedName>
    <definedName name="Constructability">#REF!</definedName>
    <definedName name="consulta">#REF!</definedName>
    <definedName name="consulta_mes">#N/A</definedName>
    <definedName name="consulta_mes2">#N/A</definedName>
    <definedName name="Consultor">#REF!</definedName>
    <definedName name="consum" hidden="1">{"'Sheet2'!$A$3:$B$17"}</definedName>
    <definedName name="CONSUMIBLES">#REF!</definedName>
    <definedName name="consumos">#REF!</definedName>
    <definedName name="CONT" hidden="1">{#N/A,#N/A,FALSE,"VOL695";#N/A,#N/A,FALSE,"anexo1";#N/A,#N/A,FALSE,"anexo2";#N/A,#N/A,FALSE,"anexo3";#N/A,#N/A,FALSE,"anexo4";#N/A,#N/A,FALSE,"anexo5a";#N/A,#N/A,FALSE,"anexo5b";#N/A,#N/A,FALSE,"anexo6a";#N/A,#N/A,FALSE,"anexo6a";#N/A,#N/A,FALSE,"anexo6c";#N/A,#N/A,FALSE,"anexo7a";#N/A,#N/A,FALSE,"anexo7b";#N/A,#N/A,FALSE,"anexo7c"}</definedName>
    <definedName name="cont_admon">#REF!</definedName>
    <definedName name="cont_admon_suc">#REF!</definedName>
    <definedName name="CONT1">#REF!</definedName>
    <definedName name="CONT2">#REF!</definedName>
    <definedName name="CONT3">#REF!</definedName>
    <definedName name="CONT4">#REF!</definedName>
    <definedName name="CONT5">#REF!</definedName>
    <definedName name="CONT6">#REF!</definedName>
    <definedName name="CONT7">#REF!</definedName>
    <definedName name="CONT8">#REF!</definedName>
    <definedName name="CONT9">#REF!</definedName>
    <definedName name="CONTABLE" hidden="1">{#N/A,#N/A,FALSE,"CIBHA05A";#N/A,#N/A,FALSE,"CIBHA05B"}</definedName>
    <definedName name="CONTABLES" hidden="1">{#N/A,#N/A,FALSE,"Costos Productos 6A";#N/A,#N/A,FALSE,"Costo Unitario Total H-94-12"}</definedName>
    <definedName name="contactor_size">#REF!</definedName>
    <definedName name="CONTI" hidden="1">{#N/A,#N/A,FALSE,"VOL695";#N/A,#N/A,FALSE,"anexo1";#N/A,#N/A,FALSE,"anexo2";#N/A,#N/A,FALSE,"anexo3";#N/A,#N/A,FALSE,"anexo4";#N/A,#N/A,FALSE,"anexo5a";#N/A,#N/A,FALSE,"anexo5b";#N/A,#N/A,FALSE,"anexo6a";#N/A,#N/A,FALSE,"anexo6a";#N/A,#N/A,FALSE,"anexo6c";#N/A,#N/A,FALSE,"anexo7a";#N/A,#N/A,FALSE,"anexo7b";#N/A,#N/A,FALSE,"anexo7c"}</definedName>
    <definedName name="ContractFormat">#REF!</definedName>
    <definedName name="ContractFormat1">#REF!</definedName>
    <definedName name="Contratante">#REF!</definedName>
    <definedName name="CONTRATISTA">#REF!</definedName>
    <definedName name="Contrato">#REF!</definedName>
    <definedName name="CONTRATOS">#REF!</definedName>
    <definedName name="CONTRIBU">#REF!</definedName>
    <definedName name="CONTROL">#REF!</definedName>
    <definedName name="CONTROL_LAKE">#N/A</definedName>
    <definedName name="ControlPhilosophy">#REF!</definedName>
    <definedName name="ConTub">#REF!</definedName>
    <definedName name="CONV">#N/A</definedName>
    <definedName name="CONV1">#REF!</definedName>
    <definedName name="conv2">#REF!</definedName>
    <definedName name="conv3">#REF!</definedName>
    <definedName name="conv4">#REF!</definedName>
    <definedName name="CONVEN">#REF!</definedName>
    <definedName name="COPI" hidden="1">#REF!</definedName>
    <definedName name="copia" hidden="1">{"CONSEJO",#N/A,FALSE,"Dist p0";"CONSEJO",#N/A,FALSE,"Ficha CODICE"}</definedName>
    <definedName name="COPIA_COE">#REF!</definedName>
    <definedName name="COPY" hidden="1">{#N/A,#N/A,FALSE,"단축1";#N/A,#N/A,FALSE,"단축2";#N/A,#N/A,FALSE,"단축3";#N/A,#N/A,FALSE,"장축";#N/A,#N/A,FALSE,"4WD"}</definedName>
    <definedName name="COPY1" hidden="1">{#N/A,#N/A,FALSE,"단축1";#N/A,#N/A,FALSE,"단축2";#N/A,#N/A,FALSE,"단축3";#N/A,#N/A,FALSE,"장축";#N/A,#N/A,FALSE,"4WD"}</definedName>
    <definedName name="CORCEL">#REF!</definedName>
    <definedName name="CORCEL_NE">#REF!</definedName>
    <definedName name="corte" hidden="1">{#N/A,#N/A,FALSE,"COMERCIAL";#N/A,#N/A,FALSE,"inversiones";#N/A,#N/A,FALSE,"pro5";#N/A,#N/A,FALSE,"mor -irre mes";#N/A,#N/A,FALSE,"irregulare"}</definedName>
    <definedName name="CORTE_Y_SELLO_DE_JUNTAS">#REF!</definedName>
    <definedName name="cosots" hidden="1">{"Graf_Carga Trab",#N/A,FALSE,"Grafi_Carga Trab";"Graf_Venta Flujo",#N/A,FALSE,"Grafi_Carga Trab"}</definedName>
    <definedName name="cost" hidden="1">{#N/A,#N/A,TRUE,"Basic";#N/A,#N/A,TRUE,"EXT-TABLE";#N/A,#N/A,TRUE,"STEEL";#N/A,#N/A,TRUE,"INT-Table";#N/A,#N/A,TRUE,"STEEL";#N/A,#N/A,TRUE,"Door"}</definedName>
    <definedName name="cost04" hidden="1">{#N/A,#N/A,FALSE,"Costos Productos 6A";#N/A,#N/A,FALSE,"Costo Unitario Total H-94-12"}</definedName>
    <definedName name="COST2" hidden="1">{#N/A,#N/A,TRUE,"Basic";#N/A,#N/A,TRUE,"EXT-TABLE";#N/A,#N/A,TRUE,"STEEL";#N/A,#N/A,TRUE,"INT-Table";#N/A,#N/A,TRUE,"STEEL";#N/A,#N/A,TRUE,"Door"}</definedName>
    <definedName name="COSTCONTAB" hidden="1">{#N/A,#N/A,FALSE,"Costos Productos 6A";#N/A,#N/A,FALSE,"Costo Unitario Total H-94-12"}</definedName>
    <definedName name="costivo" hidden="1">{#N/A,#N/A,FALSE,"Costos Productos 6A";#N/A,#N/A,FALSE,"Costo Unitario Total H-94-12"}</definedName>
    <definedName name="costivos" hidden="1">{#N/A,#N/A,FALSE,"Costos Productos 6A";#N/A,#N/A,FALSE,"Costo Unitario Total H-94-12"}</definedName>
    <definedName name="COSTO_ACPM">#REF!</definedName>
    <definedName name="Costo_Contrato">#REF!</definedName>
    <definedName name="Costo_Directo">#REF!</definedName>
    <definedName name="COSTO_DIRECTO_Z1">#REF!</definedName>
    <definedName name="COSTO_HORAS">#REF!</definedName>
    <definedName name="CostoBKmHist" hidden="1">{"EVA",#N/A,FALSE,"SMT2";#N/A,#N/A,FALSE,"Summary";#N/A,#N/A,FALSE,"Graphs";#N/A,#N/A,FALSE,"4 Panel"}</definedName>
    <definedName name="costoperativos" hidden="1">{#N/A,#N/A,FALSE,"Costos Productos 6A";#N/A,#N/A,FALSE,"Costo Unitario Total H-94-12"}</definedName>
    <definedName name="costos" hidden="1">{#N/A,#N/A,FALSE,"VOL695";#N/A,#N/A,FALSE,"anexo1";#N/A,#N/A,FALSE,"anexo2";#N/A,#N/A,FALSE,"anexo3";#N/A,#N/A,FALSE,"anexo4";#N/A,#N/A,FALSE,"anexo5a";#N/A,#N/A,FALSE,"anexo5b";#N/A,#N/A,FALSE,"anexo6a";#N/A,#N/A,FALSE,"anexo6a";#N/A,#N/A,FALSE,"anexo6c";#N/A,#N/A,FALSE,"anexo7a";#N/A,#N/A,FALSE,"anexo7b";#N/A,#N/A,FALSE,"anexo7c"}</definedName>
    <definedName name="COSTOS_H_T">#REF!</definedName>
    <definedName name="costos04" hidden="1">{#N/A,#N/A,FALSE,"Costos Productos 6A";#N/A,#N/A,FALSE,"Costo Unitario Total H-94-12"}</definedName>
    <definedName name="Costos1" hidden="1">{#N/A,#N/A,FALSE,"Full";#N/A,#N/A,FALSE,"Half";#N/A,#N/A,FALSE,"Op Expenses";#N/A,#N/A,FALSE,"Cap Charge";#N/A,#N/A,FALSE,"Cost C";#N/A,#N/A,FALSE,"PP&amp;E";#N/A,#N/A,FALSE,"R&amp;D"}</definedName>
    <definedName name="costos2" hidden="1">{"DETALLE_1996",#N/A,FALSE,"flujo";"DETALLE_1997",#N/A,FALSE,"flujo";"GASTOS_INCURRIDOS_1996",#N/A,FALSE,"flujo";"GASTOS_PROGRAMADOS_PARA_1997",#N/A,FALSE,"flujo";#N/A,#N/A,FALSE,"comparat";#N/A,#N/A,FALSE,"costos";#N/A,#N/A,FALSE,"proyctrol"}</definedName>
    <definedName name="cpf" hidden="1">{#N/A,#N/A,TRUE,"Basic";#N/A,#N/A,TRUE,"EXT-TABLE";#N/A,#N/A,TRUE,"STEEL";#N/A,#N/A,TRUE,"INT-Table";#N/A,#N/A,TRUE,"STEEL";#N/A,#N/A,TRUE,"Door"}</definedName>
    <definedName name="CPT">#N/A</definedName>
    <definedName name="CPT_MOV">#N/A</definedName>
    <definedName name="CRDIMP">#REF!</definedName>
    <definedName name="crit" hidden="1">#REF!</definedName>
    <definedName name="CRIT1">#REF!</definedName>
    <definedName name="CRIT2">#REF!</definedName>
    <definedName name="Criteria_MI">#REF!</definedName>
    <definedName name="CRITERIO">#REF!</definedName>
    <definedName name="CRITERIO_2">#REF!</definedName>
    <definedName name="_xlnm.Criteria">#REF!</definedName>
    <definedName name="Criterios_IM">#REF!</definedName>
    <definedName name="Criterios1">#REF!</definedName>
    <definedName name="Criticos">#REF!</definedName>
    <definedName name="Cross_section">#REF!</definedName>
    <definedName name="CRT">#REF!</definedName>
    <definedName name="CRUDO1">#REF!</definedName>
    <definedName name="CRUDO10">#REF!</definedName>
    <definedName name="CRUDO11">#REF!</definedName>
    <definedName name="CRUDO12">#REF!</definedName>
    <definedName name="CRUDO13">#REF!</definedName>
    <definedName name="CRUDO14">#REF!</definedName>
    <definedName name="CRUDO15">#REF!</definedName>
    <definedName name="CRUDO16">#REF!</definedName>
    <definedName name="CRUDO17">#REF!</definedName>
    <definedName name="CRUDO18">#REF!</definedName>
    <definedName name="CRUDO19">#REF!</definedName>
    <definedName name="CRUDO2">#REF!</definedName>
    <definedName name="CRUDO20">#REF!</definedName>
    <definedName name="CRUDO21">#REF!</definedName>
    <definedName name="CRUDO22">#REF!</definedName>
    <definedName name="CRUDO23">#REF!</definedName>
    <definedName name="CRUDO24">#REF!</definedName>
    <definedName name="CRUDO3">#REF!</definedName>
    <definedName name="CRUDO4">#REF!</definedName>
    <definedName name="CRUDO5">#REF!</definedName>
    <definedName name="CRUDO6">#REF!</definedName>
    <definedName name="CRUDO7">#REF!</definedName>
    <definedName name="CRUDO8">#REF!</definedName>
    <definedName name="CRUDO9">#REF!</definedName>
    <definedName name="CRUDOS" hidden="1">{#N/A,#N/A,FALSE,"CIBHA05A";#N/A,#N/A,FALSE,"CIBHA05B"}</definedName>
    <definedName name="cs">#REF!</definedName>
    <definedName name="ctos">#REF!</definedName>
    <definedName name="CTR">#REF!</definedName>
    <definedName name="CTRPAG">#REF!</definedName>
    <definedName name="CUA18A" hidden="1">{"trimestre",#N/A,FALSE,"TRIMESTRE";"empresa",#N/A,FALSE,"xEMPRESA";"eaab",#N/A,FALSE,"EAAB";"epma",#N/A,FALSE,"EPMA";"emca",#N/A,FALSE,"EMCA"}</definedName>
    <definedName name="cuad1">#REF!</definedName>
    <definedName name="cuad2">#REF!</definedName>
    <definedName name="cuad3">#REF!</definedName>
    <definedName name="cuad4">#REF!</definedName>
    <definedName name="CUAD5">#REF!</definedName>
    <definedName name="cuado">#REF!</definedName>
    <definedName name="CUADRILLA_011">#REF!</definedName>
    <definedName name="CUADRILLA_014">#REF!</definedName>
    <definedName name="CUADRILLA_102">#REF!</definedName>
    <definedName name="CUADRILLA_104">#REF!</definedName>
    <definedName name="CUADRILLA_112">#REF!</definedName>
    <definedName name="CUADRILLA_114">#REF!</definedName>
    <definedName name="CUADRILLA_1212">#REF!</definedName>
    <definedName name="CUADRO10">#REF!</definedName>
    <definedName name="CUADRO11">#REF!</definedName>
    <definedName name="CUADRO12">#REF!</definedName>
    <definedName name="CUADRO13">#REF!</definedName>
    <definedName name="CUADRO14">#REF!</definedName>
    <definedName name="CUADRO15">#REF!</definedName>
    <definedName name="CUADRO16">#REF!</definedName>
    <definedName name="CUADRO17">#REF!</definedName>
    <definedName name="CUADRO18">#REF!</definedName>
    <definedName name="CUADRO19">#REF!</definedName>
    <definedName name="CUADRO20">#REF!</definedName>
    <definedName name="CUADRO8">#REF!</definedName>
    <definedName name="CUADRO9">#REF!</definedName>
    <definedName name="CuadroCliente">#REF!</definedName>
    <definedName name="cuaII3A">#REF!</definedName>
    <definedName name="cuaII3B">#REF!</definedName>
    <definedName name="cuaII3C">#REF!</definedName>
    <definedName name="cuaII4A">#REF!</definedName>
    <definedName name="cuaII4B">#REF!</definedName>
    <definedName name="cuaII4C">#REF!</definedName>
    <definedName name="cuaII5A">#REF!</definedName>
    <definedName name="cuaII5B">#REF!</definedName>
    <definedName name="cuaII5C">#REF!</definedName>
    <definedName name="CUAL"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cualquiera" hidden="1">{"uno",#N/A,FALSE,"Dist total";"COMENTARIO",#N/A,FALSE,"Ficha CODICE"}</definedName>
    <definedName name="cub" hidden="1">{#N/A,#N/A,FALSE,"RESUMEN";#N/A,#N/A,FALSE,"GG-GI";#N/A,#N/A,FALSE,"AMB";#N/A,#N/A,FALSE,"EyR";#N/A,#N/A,FALSE,"UCP";#N/A,#N/A,FALSE,"IND";#N/A,#N/A,FALSE,"LR";#N/A,#N/A,FALSE,"PRV";#N/A,#N/A,FALSE,"TÚNELES";#N/A,#N/A,FALSE,"IDT";#N/A,#N/A,FALSE,"ING"}</definedName>
    <definedName name="CUBS">#REF!</definedName>
    <definedName name="CUCU" hidden="1">{#N/A,#N/A,FALSE,"Hoja1";#N/A,#N/A,FALSE,"Hoja2"}</definedName>
    <definedName name="cuects">#REF!</definedName>
    <definedName name="cuenta" hidden="1">{"CONSEJO",#N/A,FALSE,"Dist p0";"CONSEJO",#N/A,FALSE,"Ficha CODICE"}</definedName>
    <definedName name="CUENTA_MAYOR">#REF!</definedName>
    <definedName name="cump_Fecha">#REF!</definedName>
    <definedName name="CUNET" hidden="1">{"via1",#N/A,TRUE,"general";"via2",#N/A,TRUE,"general";"via3",#N/A,TRUE,"general"}</definedName>
    <definedName name="cunVE">#REF!</definedName>
    <definedName name="cunVN">#REF!</definedName>
    <definedName name="CUR_COST">#REF!</definedName>
    <definedName name="CUR_DATES">#REF!</definedName>
    <definedName name="CUR_DEBTOR">#REF!</definedName>
    <definedName name="CUR_FCST">#REF!</definedName>
    <definedName name="CUR_MHR">#REF!</definedName>
    <definedName name="CUR_OVERDUE">#REF!</definedName>
    <definedName name="CUR_RISK">#REF!</definedName>
    <definedName name="CUR_TIC">#REF!</definedName>
    <definedName name="curr_est">#REF!</definedName>
    <definedName name="currDates">#REF!</definedName>
    <definedName name="Currencies">#REF!</definedName>
    <definedName name="Currency">#REF!</definedName>
    <definedName name="CurrentData">#REF!</definedName>
    <definedName name="currMoData">#REF!</definedName>
    <definedName name="currUnrRev">#REF!</definedName>
    <definedName name="curva" hidden="1">{#N/A,#N/A,FALSE,"Hoja1";#N/A,#N/A,FALSE,"Hoja2"}</definedName>
    <definedName name="curva1" hidden="1">{#N/A,#N/A,FALSE,"Hoja1";#N/A,#N/A,FALSE,"Hoja2"}</definedName>
    <definedName name="curve" hidden="1">#N/A</definedName>
    <definedName name="cusum1" hidden="1">{"'Sheet2'!$A$3:$B$17"}</definedName>
    <definedName name="cv">#REF!</definedName>
    <definedName name="cv_05073" hidden="1">#REF!</definedName>
    <definedName name="cv_51">#REF!</definedName>
    <definedName name="CVB" hidden="1">{#N/A,#N/A,FALSE,"Solids Only"}</definedName>
    <definedName name="cvbcfbv" hidden="1">{#N/A,#N/A,FALSE,"Solids &amp; Flow"}</definedName>
    <definedName name="cvbcvbf" hidden="1">{#N/A,#N/A,TRUE,"INGENIERIA";#N/A,#N/A,TRUE,"COMPRAS";#N/A,#N/A,TRUE,"DIRECCION";#N/A,#N/A,TRUE,"RESUMEN"}</definedName>
    <definedName name="cvdlfbelbfvxl" hidden="1">{"CONSEJO",#N/A,FALSE,"Dist p0";"CONSEJO",#N/A,FALSE,"Ficha CODICE"}</definedName>
    <definedName name="cvfvd" hidden="1">{"via1",#N/A,TRUE,"general";"via2",#N/A,TRUE,"general";"via3",#N/A,TRUE,"general"}</definedName>
    <definedName name="cvgn" hidden="1">#REF!</definedName>
    <definedName name="cvn" hidden="1">{"TAB1",#N/A,TRUE,"GENERAL";"TAB2",#N/A,TRUE,"GENERAL";"TAB3",#N/A,TRUE,"GENERAL";"TAB4",#N/A,TRUE,"GENERAL";"TAB5",#N/A,TRUE,"GENERAL"}</definedName>
    <definedName name="CVXC" hidden="1">{"via1",#N/A,TRUE,"general";"via2",#N/A,TRUE,"general";"via3",#N/A,TRUE,"general"}</definedName>
    <definedName name="Cwvu.COMPRIMIDA." hidden="1">#REF!,#REF!</definedName>
    <definedName name="Cwvu.oil." hidden="1">#REF!,#REF!,#REF!,#REF!,#REF!,#REF!,#REF!,#REF!,#REF!,#REF!,#REF!,#REF!,#REF!,#REF!,#REF!</definedName>
    <definedName name="Cwvu.oilgasagua." hidden="1">#REF!,#REF!,#REF!,#REF!,#REF!,#REF!,#REF!,#REF!,#REF!,#REF!,#REF!,#REF!,#REF!,#REF!,#REF!,#REF!,#REF!,#REF!</definedName>
    <definedName name="Cwvu.RCEIBAS1." hidden="1">#REF!,#REF!,#REF!,#REF!,#REF!,#REF!,#REF!,#REF!,#REF!,#REF!,#REF!,#REF!,#REF!,#REF!,#REF!</definedName>
    <definedName name="Cwvu.STANDARD." hidden="1">#REF!,#REF!,#REF!</definedName>
    <definedName name="Cwvu.week3." hidden="1">#REF!</definedName>
    <definedName name="CxC">#N/A</definedName>
    <definedName name="CXV" hidden="1">{#N/A,#N/A,FALSE,"Solids &amp; Flow"}</definedName>
    <definedName name="cxxxx" hidden="1">{#N/A,#N/A,FALSE,"Full";#N/A,#N/A,FALSE,"Half";#N/A,#N/A,FALSE,"Op Expenses";#N/A,#N/A,FALSE,"Cap Charge";#N/A,#N/A,FALSE,"Cost C";#N/A,#N/A,FALSE,"PP&amp;E";#N/A,#N/A,FALSE,"R&amp;D"}</definedName>
    <definedName name="CZ" hidden="1">{#N/A,#N/A,FALSE,"TABLE"}</definedName>
    <definedName name="D" hidden="1">{#N/A,#N/A,TRUE,"Budget";#N/A,#N/A,TRUE,"Balance Sheet";#N/A,#N/A,TRUE,"Cash Flow"}</definedName>
    <definedName name="D.ALIMENTACION">#N/A</definedName>
    <definedName name="D.ALOJAMIENTO">#N/A</definedName>
    <definedName name="D.MISCELANEOS">#N/A</definedName>
    <definedName name="D.TRANSPORTES">#N/A</definedName>
    <definedName name="d_dddw_browse_fluid_stat__code_desc">#REF!</definedName>
    <definedName name="d_dddw_browse_fluid_stat__fld_id">#REF!</definedName>
    <definedName name="d_dddw_calib_uom__uom_code">#REF!</definedName>
    <definedName name="d_dddw_pd_area_uom__uom_code">#REF!</definedName>
    <definedName name="d_dddw_pd_dens_uom__uom_code">#REF!</definedName>
    <definedName name="d_dddw_pd_pressure_uom__uom_code">#REF!</definedName>
    <definedName name="d_dddw_pipe_orif_material__pipe_mat_name">#REF!</definedName>
    <definedName name="d_dddw_spec_cmpnt_mfr__cmpnt_mfr_id">#REF!</definedName>
    <definedName name="d_dddw_spec_cmpnt_mfr__cmpnt_mfr_name">#REF!</definedName>
    <definedName name="d_dddw_spec_cmpnt_mod__cmpnt_mod_id">#REF!</definedName>
    <definedName name="d_dddw_spec_cmpnt_mod__cmpnt_mod_name">#REF!</definedName>
    <definedName name="d_dddw_spec_line_num__line_num">#REF!</definedName>
    <definedName name="d_ex_sub_plus_name__sub_s">#REF!</definedName>
    <definedName name="D_Mitbewerb_Enwicklung" hidden="1">{"Q3 MARKET",#N/A,TRUE,"Q3";"Q3 MEMBER",#N/A,TRUE,"Q3"}</definedName>
    <definedName name="d_percápita">#REF!</definedName>
    <definedName name="dad" hidden="1">{#N/A,#N/A,FALSE,"Total_OC015";#N/A,#N/A,FALSE,"ADMIN";#N/A,#N/A,FALSE,"PROCES";#N/A,#N/A,FALSE,"mecan";#N/A,#N/A,FALSE,"civil";#N/A,#N/A,FALSE,"CAÑER";#N/A,#N/A,FALSE,"ELEC";#N/A,#N/A,FALSE,"INSTR"}</definedName>
    <definedName name="DADADAD" hidden="1">{#N/A,#N/A,TRUE,"CODIGO DEPENDENCIA"}</definedName>
    <definedName name="DALI" hidden="1">{"EVA",#N/A,FALSE,"SMT2";#N/A,#N/A,FALSE,"Summary";#N/A,#N/A,FALSE,"Graphs";#N/A,#N/A,FALSE,"4 Panel"}</definedName>
    <definedName name="dani" hidden="1">#REF!</definedName>
    <definedName name="danie" hidden="1">#REF!</definedName>
    <definedName name="dario">#REF!</definedName>
    <definedName name="das" hidden="1">{"ANAR",#N/A,FALSE,"Dist total";"MARGEN",#N/A,FALSE,"Dist total";"COMENTARIO",#N/A,FALSE,"Ficha CODICE";"CONSEJO",#N/A,FALSE,"Dist p0";"uno",#N/A,FALSE,"Dist total"}</definedName>
    <definedName name="DASD" hidden="1">{#N/A,#N/A,FALSE,"Costos Productos 6A";#N/A,#N/A,FALSE,"Costo Unitario Total H-94-12"}</definedName>
    <definedName name="DAT">#REF!</definedName>
    <definedName name="Data">#REF!</definedName>
    <definedName name="DATA_CUMULATIVE">#REF!</definedName>
    <definedName name="data1" hidden="1">#REF!</definedName>
    <definedName name="data2" hidden="1">#REF!</definedName>
    <definedName name="Data2003" hidden="1">{"Q3 MARKET",#N/A,TRUE,"Q3";"Q3 MEMBER",#N/A,TRUE,"Q3"}</definedName>
    <definedName name="data3" hidden="1">#REF!</definedName>
    <definedName name="databa">#REF!</definedName>
    <definedName name="Database">#REF!</definedName>
    <definedName name="Database_MI">#REF!</definedName>
    <definedName name="Database1">#REF!</definedName>
    <definedName name="Database2">#REF!</definedName>
    <definedName name="Database3">#REF!</definedName>
    <definedName name="Database4">#REF!</definedName>
    <definedName name="DataDate">#REF!</definedName>
    <definedName name="DataReal_COSTOS">#REF!</definedName>
    <definedName name="Date">#REF!</definedName>
    <definedName name="Datos">#REF!</definedName>
    <definedName name="Datos_aroma">#N/A</definedName>
    <definedName name="Datos_COSTOS">#REF!</definedName>
    <definedName name="DATOS_DIARIO">#REF!</definedName>
    <definedName name="Datos3">#REF!</definedName>
    <definedName name="Datos4">#REF!</definedName>
    <definedName name="DATOSB">#REF!</definedName>
    <definedName name="dbfdfbi" hidden="1">{"TAB1",#N/A,TRUE,"GENERAL";"TAB2",#N/A,TRUE,"GENERAL";"TAB3",#N/A,TRUE,"GENERAL";"TAB4",#N/A,TRUE,"GENERAL";"TAB5",#N/A,TRUE,"GENERAL"}</definedName>
    <definedName name="dc">#REF!</definedName>
    <definedName name="Dcm_2">#REF!</definedName>
    <definedName name="Dcorriente1">#REF!</definedName>
    <definedName name="dcs_range_max_001">#REF!</definedName>
    <definedName name="dcs_range_min_001">#REF!</definedName>
    <definedName name="dcs_range_uflg_001">#REF!</definedName>
    <definedName name="dcs_range_uom_001">#REF!</definedName>
    <definedName name="DCSDCTV" hidden="1">{"via1",#N/A,TRUE,"general";"via2",#N/A,TRUE,"general";"via3",#N/A,TRUE,"general"}</definedName>
    <definedName name="dd" hidden="1">{#N/A,#N/A,TRUE,"INGENIERIA";#N/A,#N/A,TRUE,"COMPRAS";#N/A,#N/A,TRUE,"DIRECCION";#N/A,#N/A,TRUE,"RESUMEN"}</definedName>
    <definedName name="DD_1">#REF!</definedName>
    <definedName name="DD_10">#REF!</definedName>
    <definedName name="DD_2">#REF!</definedName>
    <definedName name="DD_3">#REF!</definedName>
    <definedName name="DD_4">#REF!</definedName>
    <definedName name="DD_5">#REF!</definedName>
    <definedName name="DD_6">#REF!</definedName>
    <definedName name="DD_7">#REF!</definedName>
    <definedName name="DD_8">#REF!</definedName>
    <definedName name="DD_9">#REF!</definedName>
    <definedName name="DDD">#REF!</definedName>
    <definedName name="DDDD" hidden="1">{#N/A,#N/A,FALSE,"Costos Productos 6A";#N/A,#N/A,FALSE,"Costo Unitario Total H-94-12"}</definedName>
    <definedName name="ddddd" hidden="1">{#N/A,#N/A,FALSE,"PERSONAL"}</definedName>
    <definedName name="dddddd" hidden="1">{#N/A,#N/A,FALSE,"masez (10)";#N/A,#N/A,FALSE,"masez (7)";#N/A,#N/A,FALSE,"masez (6)";#N/A,#N/A,FALSE,"masez (5)";#N/A,#N/A,FALSE,"masez (4)";#N/A,#N/A,FALSE,"masez (3)";#N/A,#N/A,FALSE,"masez (2)";#N/A,#N/A,FALSE,"GME";#N/A,#N/A,FALSE,"masez"}</definedName>
    <definedName name="DDDDDDD" hidden="1">{#N/A,#N/A,FALSE,"orthoflow";#N/A,#N/A,FALSE,"Miscelaneos";#N/A,#N/A,FALSE,"Instrumentacio";#N/A,#N/A,FALSE,"Electrico";#N/A,#N/A,FALSE,"Valv. Seguridad"}</definedName>
    <definedName name="DDDDDDDDD" hidden="1">{#N/A,#N/A,FALSE,"32.R";#N/A,#N/A,FALSE,"32.1.R";#N/A,#N/A,FALSE,"32.1.1.R";#N/A,#N/A,FALSE,"32.1.2.R";#N/A,#N/A,FALSE,"32.1.3.R";#N/A,#N/A,FALSE,"32.2.R ";#N/A,#N/A,FALSE,"32.2.1.R";#N/A,#N/A,FALSE,"32.2.2.R";#N/A,#N/A,FALSE,"32.2.3.R ";#N/A,#N/A,FALSE,"32.3.R  ";#N/A,#N/A,FALSE,"32.3.1.R";#N/A,#N/A,FALSE,"32.3.2.R ";#N/A,#N/A,FALSE,"32.3.3.R ";#N/A,#N/A,FALSE,"32.4.R   ";#N/A,#N/A,FALSE,"32.4.1.R ";#N/A,#N/A,FALSE,"32.4.2.R  ";#N/A,#N/A,FALSE,"32.4.3.R  ";#N/A,#N/A,FALSE,"32.5.R    ";#N/A,#N/A,FALSE,"32.5.1.R  ";#N/A,#N/A,FALSE,"32.5.2.R   ";#N/A,#N/A,FALSE,"32.5.3.R   ";#N/A,#N/A,FALSE,"32.6.R    ";#N/A,#N/A,FALSE,"32.6.1.R   ";#N/A,#N/A,FALSE,"32.6.2.R   ";#N/A,#N/A,FALSE,"32.6.3.R "}</definedName>
    <definedName name="dddddddddd" hidden="1">{"ANAR",#N/A,FALSE,"Dist total";"MARGEN",#N/A,FALSE,"Dist total";"COMENTARIO",#N/A,FALSE,"Ficha CODICE";"CONSEJO",#N/A,FALSE,"Dist p0";"uno",#N/A,FALSE,"Dist total"}</definedName>
    <definedName name="dddddddddddddd" hidden="1">{#N/A,#N/A,TRUE,"Basic";#N/A,#N/A,TRUE,"EXT-TABLE";#N/A,#N/A,TRUE,"STEEL";#N/A,#N/A,TRUE,"INT-Table";#N/A,#N/A,TRUE,"STEEL";#N/A,#N/A,TRUE,"Door"}</definedName>
    <definedName name="dddddf" hidden="1">{#N/A,#N/A,FALSE,"단축1";#N/A,#N/A,FALSE,"단축2";#N/A,#N/A,FALSE,"단축3";#N/A,#N/A,FALSE,"장축";#N/A,#N/A,FALSE,"4WD"}</definedName>
    <definedName name="ddddt" hidden="1">{"via1",#N/A,TRUE,"general";"via2",#N/A,TRUE,"general";"via3",#N/A,TRUE,"general"}</definedName>
    <definedName name="DDE" hidden="1">{#N/A,#N/A,TRUE,"1842CWN0"}</definedName>
    <definedName name="ddee">#REF!</definedName>
    <definedName name="ddewdw" hidden="1">{"TAB1",#N/A,TRUE,"GENERAL";"TAB2",#N/A,TRUE,"GENERAL";"TAB3",#N/A,TRUE,"GENERAL";"TAB4",#N/A,TRUE,"GENERAL";"TAB5",#N/A,TRUE,"GENERAL"}</definedName>
    <definedName name="ddf" hidden="1">{#N/A,#N/A,TRUE,"INGENIERIA";#N/A,#N/A,TRUE,"COMPRAS";#N/A,#N/A,TRUE,"DIRECCION";#N/A,#N/A,TRUE,"RESUMEN"}</definedName>
    <definedName name="DDFD" hidden="1">{#N/A,#N/A,FALSE,"CCTV"}</definedName>
    <definedName name="ddfdh" hidden="1">{"TAB1",#N/A,TRUE,"GENERAL";"TAB2",#N/A,TRUE,"GENERAL";"TAB3",#N/A,TRUE,"GENERAL";"TAB4",#N/A,TRUE,"GENERAL";"TAB5",#N/A,TRUE,"GENERAL"}</definedName>
    <definedName name="DDGSDP" hidden="1">{"TAB1",#N/A,TRUE,"GENERAL";"TAB2",#N/A,TRUE,"GENERAL";"TAB3",#N/A,TRUE,"GENERAL";"TAB4",#N/A,TRUE,"GENERAL";"TAB5",#N/A,TRUE,"GENERAL"}</definedName>
    <definedName name="DDSA" hidden="1">#REF!</definedName>
    <definedName name="DDVFDV" hidden="1">{#N/A,#N/A,FALSE,"Costos Productos 6A";#N/A,#N/A,FALSE,"Costo Unitario Total H-94-12"}</definedName>
    <definedName name="ddvom" hidden="1">{#N/A,#N/A,TRUE,"1842CWN0"}</definedName>
    <definedName name="Dealpb" hidden="1">#REF!</definedName>
    <definedName name="DEBE_AUT_ADMON">#REF!</definedName>
    <definedName name="debe_autorizar">#REF!</definedName>
    <definedName name="DECIS1">#REF!</definedName>
    <definedName name="Decision">#REF!</definedName>
    <definedName name="deded" hidden="1">{"TAB1",#N/A,TRUE,"GENERAL";"TAB2",#N/A,TRUE,"GENERAL";"TAB3",#N/A,TRUE,"GENERAL";"TAB4",#N/A,TRUE,"GENERAL";"TAB5",#N/A,TRUE,"GENERAL"}</definedName>
    <definedName name="dedqe" hidden="1">{#N/A,#N/A,FALSE,"Casanare";#N/A,#N/A,FALSE,"Estero";#N/A,#N/A,FALSE,"Garcero";#N/A,#N/A,FALSE,"Orocué";#N/A,#N/A,FALSE,"Corocora"}</definedName>
    <definedName name="DEF" hidden="1">{#N/A,#N/A,FALSE,"TABLE"}</definedName>
    <definedName name="defd" hidden="1">{"via1",#N/A,TRUE,"general";"via2",#N/A,TRUE,"general";"via3",#N/A,TRUE,"general"}</definedName>
    <definedName name="Defest">#REF!</definedName>
    <definedName name="DEFLEXION_GG">TRUNC(ABS(#REF!))</definedName>
    <definedName name="DEFLEXION_ID">IF(#REF!&lt;0,"I","D")</definedName>
    <definedName name="DEFLEXION_MM">TRUNC(60*(ABS(#REF!)-DEFLEXION_GG))</definedName>
    <definedName name="DEFLEXION_SS">ROUND(3600*(ABS(#REF!)-DEFLEXION_GG-DEFLEXION_MM/60),0)</definedName>
    <definedName name="DEGB" hidden="1">{#N/A,#N/A,FALSE,"TABLE"}</definedName>
    <definedName name="DeliverablesDefined">#REF!</definedName>
    <definedName name="DEM">#REF!</definedName>
    <definedName name="DEMANDAS">#REF!</definedName>
    <definedName name="demanto">#REF!</definedName>
    <definedName name="demanto_51">#REF!</definedName>
    <definedName name="DensC7A">0.8719</definedName>
    <definedName name="DensC8A">0.8731</definedName>
    <definedName name="DensC9A">0.89</definedName>
    <definedName name="DEPARTAMENTO">#REF!</definedName>
    <definedName name="Department">#REF!</definedName>
    <definedName name="DEPENDEN">#REF!</definedName>
    <definedName name="DepreciationPB" hidden="1">#REF!</definedName>
    <definedName name="DEPTO">#REF!</definedName>
    <definedName name="DER">#REF!</definedName>
    <definedName name="DES">#REF!</definedName>
    <definedName name="desarrolladas">#REF!,#REF!,#REF!,#REF!</definedName>
    <definedName name="DESARROLLOSRIODELMEDIO" hidden="1">{#N/A,#N/A,FALSE,"summary";#N/A,#N/A,FALSE,"SumGraph"}</definedName>
    <definedName name="DESCRIÇÃO">#REF!</definedName>
    <definedName name="Descrip">#REF!</definedName>
    <definedName name="DESCRIPCION">#REF!</definedName>
    <definedName name="DESCRIPCION_PLAN_CALIDAD">#REF!</definedName>
    <definedName name="DESCRIPCION_REVISIONES">#REF!</definedName>
    <definedName name="DESCRIPCION_SDRL_ESPANOL">#REF!</definedName>
    <definedName name="DESCRIPTION_SDLR_ENGLISH">#REF!</definedName>
    <definedName name="DESCUENTOS">#REF!</definedName>
    <definedName name="DESECHO">#N/A</definedName>
    <definedName name="DesignMU">#REF!</definedName>
    <definedName name="DEST_ART">#REF!</definedName>
    <definedName name="DESTCOD">#REF!</definedName>
    <definedName name="DESTFG">#REF!</definedName>
    <definedName name="DESTQTY">#REF!</definedName>
    <definedName name="DETALLE" hidden="1">{#N/A,#N/A,FALSE,"3";#N/A,#N/A,FALSE,"5";#N/A,#N/A,FALSE,"6";#N/A,#N/A,FALSE,"8";#N/A,#N/A,FALSE,"10";#N/A,#N/A,FALSE,"13";#N/A,#N/A,FALSE,"14";#N/A,#N/A,FALSE,"15";#N/A,#N/A,FALSE,"16"}</definedName>
    <definedName name="DETALLES" hidden="1">#REF!</definedName>
    <definedName name="DEUDA" hidden="1">{"ANAR",#N/A,FALSE,"Dist total";"MARGEN",#N/A,FALSE,"Dist total";"COMENTARIO",#N/A,FALSE,"Ficha CODICE";"CONSEJO",#N/A,FALSE,"Dist p0";"uno",#N/A,FALSE,"Dist total"}</definedName>
    <definedName name="Development">#REF!</definedName>
    <definedName name="DEVENGADO">#REF!</definedName>
    <definedName name="df" hidden="1">{#N/A,#N/A,FALSE,"Estatico";#N/A,#N/A,FALSE,"Tuberia";#N/A,#N/A,FALSE,"Instrumentación";#N/A,#N/A,FALSE,"Mecanica";#N/A,#N/A,FALSE,"Electrico";#N/A,#N/A,FALSE,"Ofic.Civiles"}</definedName>
    <definedName name="dfa" hidden="1">{"TAB1",#N/A,TRUE,"GENERAL";"TAB2",#N/A,TRUE,"GENERAL";"TAB3",#N/A,TRUE,"GENERAL";"TAB4",#N/A,TRUE,"GENERAL";"TAB5",#N/A,TRUE,"GENERAL"}</definedName>
    <definedName name="dfasd" hidden="1">{"TAB1",#N/A,TRUE,"GENERAL";"TAB2",#N/A,TRUE,"GENERAL";"TAB3",#N/A,TRUE,"GENERAL";"TAB4",#N/A,TRUE,"GENERAL";"TAB5",#N/A,TRUE,"GENERAL"}</definedName>
    <definedName name="DFBNJ" hidden="1">{"via1",#N/A,TRUE,"general";"via2",#N/A,TRUE,"general";"via3",#N/A,TRUE,"general"}</definedName>
    <definedName name="dfd" hidden="1">{"krl1",#N/A,FALSE,"kr";"krl2",#N/A,FALSE,"kr";"compara",#N/A,FALSE,"kr";"desconp1",#N/A,FALSE,"kr";"desconp12",#N/A,FALSE,"kr";"krnp1",#N/A,FALSE,"kr";"krnp2",#N/A,FALSE,"kr";"krp12avg",#N/A,FALSE,"kr";"krp1avg",#N/A,FALSE,"kr"}</definedName>
    <definedName name="DFDE" hidden="1">{#N/A,#N/A,TRUE,"1842CWN0"}</definedName>
    <definedName name="DFDF" hidden="1">{#N/A,#N/A,FALSE,"CIBHA05A";#N/A,#N/A,FALSE,"CIBHA05B"}</definedName>
    <definedName name="DFDFD" hidden="1">{#N/A,#N/A,FALSE,"PERSONAL"}</definedName>
    <definedName name="DFDFDFDFD" hidden="1">{#N/A,#N/A,FALSE,"PERSONAL"}</definedName>
    <definedName name="dfds" hidden="1">{"TAB1",#N/A,TRUE,"GENERAL";"TAB2",#N/A,TRUE,"GENERAL";"TAB3",#N/A,TRUE,"GENERAL";"TAB4",#N/A,TRUE,"GENERAL";"TAB5",#N/A,TRUE,"GENERAL"}</definedName>
    <definedName name="dfdsfi" hidden="1">{"via1",#N/A,TRUE,"general";"via2",#N/A,TRUE,"general";"via3",#N/A,TRUE,"general"}</definedName>
    <definedName name="DFEET" hidden="1">{#N/A,#N/A,TRUE,"INGENIERIA";#N/A,#N/A,TRUE,"COMPRAS";#N/A,#N/A,TRUE,"DIRECCION";#N/A,#N/A,TRUE,"RESUMEN"}</definedName>
    <definedName name="DFF" hidden="1">{#N/A,#N/A,FALSE,"단축1";#N/A,#N/A,FALSE,"단축2";#N/A,#N/A,FALSE,"단축3";#N/A,#N/A,FALSE,"장축";#N/A,#N/A,FALSE,"4WD"}</definedName>
    <definedName name="DFFDF" hidden="1">{#N/A,#N/A,FALSE,"SOACHA"}</definedName>
    <definedName name="dffff" hidden="1">{#N/A,#N/A,FALSE,"Cravo Norte"}</definedName>
    <definedName name="dffffe" hidden="1">{"TAB1",#N/A,TRUE,"GENERAL";"TAB2",#N/A,TRUE,"GENERAL";"TAB3",#N/A,TRUE,"GENERAL";"TAB4",#N/A,TRUE,"GENERAL";"TAB5",#N/A,TRUE,"GENERAL"}</definedName>
    <definedName name="dfg" hidden="1">{#N/A,#N/A,TRUE,"Budget";#N/A,#N/A,TRUE,"Balance Sheet";#N/A,#N/A,TRUE,"Cash Flow"}</definedName>
    <definedName name="DFGBHJ" hidden="1">{"via1",#N/A,TRUE,"general";"via2",#N/A,TRUE,"general";"via3",#N/A,TRUE,"general"}</definedName>
    <definedName name="DFGDFG" hidden="1">{"via1",#N/A,TRUE,"general";"via2",#N/A,TRUE,"general";"via3",#N/A,TRUE,"general"}</definedName>
    <definedName name="dfgdfgdfg" hidden="1">{#N/A,#N/A,FALSE,"Cost Report";#N/A,#N/A,FALSE,"Qtly Summ.";#N/A,#N/A,FALSE,"Mar  Qtr";#N/A,#N/A,FALSE,"Report Summary"}</definedName>
    <definedName name="DFGDYYB" hidden="1">{"TAB1",#N/A,TRUE,"GENERAL";"TAB2",#N/A,TRUE,"GENERAL";"TAB3",#N/A,TRUE,"GENERAL";"TAB4",#N/A,TRUE,"GENERAL";"TAB5",#N/A,TRUE,"GENERAL"}</definedName>
    <definedName name="dfger" hidden="1">{#N/A,#N/A,FALSE,"Solids Only"}</definedName>
    <definedName name="dfgf" hidden="1">{"via1",#N/A,TRUE,"general";"via2",#N/A,TRUE,"general";"via3",#N/A,TRUE,"general"}</definedName>
    <definedName name="DFGFBOP" hidden="1">{"TAB1",#N/A,TRUE,"GENERAL";"TAB2",#N/A,TRUE,"GENERAL";"TAB3",#N/A,TRUE,"GENERAL";"TAB4",#N/A,TRUE,"GENERAL";"TAB5",#N/A,TRUE,"GENERAL"}</definedName>
    <definedName name="DFGFDG" hidden="1">{"TAB1",#N/A,TRUE,"GENERAL";"TAB2",#N/A,TRUE,"GENERAL";"TAB3",#N/A,TRUE,"GENERAL";"TAB4",#N/A,TRUE,"GENERAL";"TAB5",#N/A,TRUE,"GENERAL"}</definedName>
    <definedName name="DFGH" hidden="1">{"'banner (abr)'!$A$14:$G$22"}</definedName>
    <definedName name="dfgsdgf">#REF!</definedName>
    <definedName name="DFGV" hidden="1">{"TAB1",#N/A,TRUE,"GENERAL";"TAB2",#N/A,TRUE,"GENERAL";"TAB3",#N/A,TRUE,"GENERAL";"TAB4",#N/A,TRUE,"GENERAL";"TAB5",#N/A,TRUE,"GENERAL"}</definedName>
    <definedName name="dfgypuj" hidden="1">{"TAB1",#N/A,TRUE,"GENERAL";"TAB2",#N/A,TRUE,"GENERAL";"TAB3",#N/A,TRUE,"GENERAL";"TAB4",#N/A,TRUE,"GENERAL";"TAB5",#N/A,TRUE,"GENERAL"}</definedName>
    <definedName name="dfh" hidden="1">{"TAB1",#N/A,TRUE,"GENERAL";"TAB2",#N/A,TRUE,"GENERAL";"TAB3",#N/A,TRUE,"GENERAL";"TAB4",#N/A,TRUE,"GENERAL";"TAB5",#N/A,TRUE,"GENERAL"}</definedName>
    <definedName name="DFHDHGD" hidden="1">{#N/A,#N/A,FALSE,"Costos Productos 6A";#N/A,#N/A,FALSE,"Costo Unitario Total H-94-12"}</definedName>
    <definedName name="dfhdhgd1" hidden="1">{#N/A,#N/A,FALSE,"Costos Productos 6A";#N/A,#N/A,FALSE,"Costo Unitario Total H-94-12"}</definedName>
    <definedName name="dfhdr" hidden="1">{"via1",#N/A,TRUE,"general";"via2",#N/A,TRUE,"general";"via3",#N/A,TRUE,"general"}</definedName>
    <definedName name="dfhgdfh" hidden="1">{"'banner (abr)'!$A$14:$G$22"}</definedName>
    <definedName name="dfhgh" hidden="1">{"via1",#N/A,TRUE,"general";"via2",#N/A,TRUE,"general";"via3",#N/A,TRUE,"general"}</definedName>
    <definedName name="dfj" hidden="1">{"via1",#N/A,TRUE,"general";"via2",#N/A,TRUE,"general";"via3",#N/A,TRUE,"general"}</definedName>
    <definedName name="dfjdf" hidden="1">{"'banner (abr)'!$A$14:$G$22"}</definedName>
    <definedName name="dfjhhdsj" hidden="1">{"Crudos",#N/A,FALSE,"Gral";"Fondos",#N/A,FALSE,"Gral";"Petroq",#N/A,FALSE,"Gral";"CoBe",#N/A,FALSE,"C&amp;B";"Parti",#N/A,FALSE,"Res";"Resum",#N/A,FALSE,"Res";"MaTot",#N/A,FALSE,"Mat";"Sumi",#N/A,FALSE,"Sum";"ServT",#N/A,FALSE,"Serv"}</definedName>
    <definedName name="dfr" hidden="1">{#N/A,#N/A,FALSE,"PERSONAL"}</definedName>
    <definedName name="DFRFRF" hidden="1">{"via1",#N/A,TRUE,"general";"via2",#N/A,TRUE,"general";"via3",#N/A,TRUE,"general"}</definedName>
    <definedName name="dfsadf" hidden="1">{#N/A,#N/A,FALSE,"Solids Only"}</definedName>
    <definedName name="DFSARWE" hidden="1">{#N/A,#N/A,FALSE,"TABLE"}</definedName>
    <definedName name="DFVUI" hidden="1">{"via1",#N/A,TRUE,"general";"via2",#N/A,TRUE,"general";"via3",#N/A,TRUE,"general"}</definedName>
    <definedName name="dg" hidden="1">{"via1",#N/A,TRUE,"general";"via2",#N/A,TRUE,"general";"via3",#N/A,TRUE,"general"}</definedName>
    <definedName name="dgagd" hidden="1">{#N/A,#N/A,TRUE,"Basic";#N/A,#N/A,TRUE,"EXT-TABLE";#N/A,#N/A,TRUE,"STEEL";#N/A,#N/A,TRUE,"INT-Table";#N/A,#N/A,TRUE,"STEEL";#N/A,#N/A,TRUE,"Door"}</definedName>
    <definedName name="dgasd" hidden="1">{#N/A,#N/A,TRUE,"1842CWN0"}</definedName>
    <definedName name="dgasg" hidden="1">{#N/A,#N/A,TRUE,"INGENIERIA";#N/A,#N/A,TRUE,"COMPRAS";#N/A,#N/A,TRUE,"DIRECCION";#N/A,#N/A,TRUE,"RESUMEN"}</definedName>
    <definedName name="DGD"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dgdhdh" hidden="1">#REF!</definedName>
    <definedName name="dgdgr" hidden="1">{"via1",#N/A,TRUE,"general";"via2",#N/A,TRUE,"general";"via3",#N/A,TRUE,"general"}</definedName>
    <definedName name="dgf" hidden="1">{#N/A,#N/A,FALSE,"orthoflow";#N/A,#N/A,FALSE,"Miscelaneos";#N/A,#N/A,FALSE,"Instrumentacio";#N/A,#N/A,FALSE,"Electrico";#N/A,#N/A,FALSE,"Valv. Seguridad"}</definedName>
    <definedName name="dgfd" hidden="1">{"TAB1",#N/A,TRUE,"GENERAL";"TAB2",#N/A,TRUE,"GENERAL";"TAB3",#N/A,TRUE,"GENERAL";"TAB4",#N/A,TRUE,"GENERAL";"TAB5",#N/A,TRUE,"GENERAL"}</definedName>
    <definedName name="DGFDFVSDF" hidden="1">{"via1",#N/A,TRUE,"general";"via2",#N/A,TRUE,"general";"via3",#N/A,TRUE,"general"}</definedName>
    <definedName name="dgfdg" hidden="1">{"via1",#N/A,TRUE,"general";"via2",#N/A,TRUE,"general";"via3",#N/A,TRUE,"general"}</definedName>
    <definedName name="DGFEE" hidden="1">{#N/A,#N/A,TRUE,"1842CWN0"}</definedName>
    <definedName name="DGFG" hidden="1">{"via1",#N/A,TRUE,"general";"via2",#N/A,TRUE,"general";"via3",#N/A,TRUE,"general"}</definedName>
    <definedName name="DGFGGHF" hidden="1">{#N/A,#N/A,TRUE,"INGENIERIA";#N/A,#N/A,TRUE,"COMPRAS";#N/A,#N/A,TRUE,"DIRECCION";#N/A,#N/A,TRUE,"RESUMEN"}</definedName>
    <definedName name="dgfgjgj" hidden="1">{#N/A,#N/A,FALSE,"CCTV"}</definedName>
    <definedName name="DGFR" hidden="1">{#N/A,#N/A,TRUE,"1842CWN0"}</definedName>
    <definedName name="dgfsado" hidden="1">{"TAB1",#N/A,TRUE,"GENERAL";"TAB2",#N/A,TRUE,"GENERAL";"TAB3",#N/A,TRUE,"GENERAL";"TAB4",#N/A,TRUE,"GENERAL";"TAB5",#N/A,TRUE,"GENERAL"}</definedName>
    <definedName name="DGGGHHJT" hidden="1">{#N/A,#N/A,TRUE,"INGENIERIA";#N/A,#N/A,TRUE,"COMPRAS";#N/A,#N/A,TRUE,"DIRECCION";#N/A,#N/A,TRUE,"RESUMEN"}</definedName>
    <definedName name="dghd" hidden="1">#REF!</definedName>
    <definedName name="dgrdeb" hidden="1">{"TAB1",#N/A,TRUE,"GENERAL";"TAB2",#N/A,TRUE,"GENERAL";"TAB3",#N/A,TRUE,"GENERAL";"TAB4",#N/A,TRUE,"GENERAL";"TAB5",#N/A,TRUE,"GENERAL"}</definedName>
    <definedName name="dgreg" hidden="1">{"via1",#N/A,TRUE,"general";"via2",#N/A,TRUE,"general";"via3",#N/A,TRUE,"general"}</definedName>
    <definedName name="DGRR" hidden="1">{#N/A,#N/A,TRUE,"INGENIERIA";#N/A,#N/A,TRUE,"COMPRAS";#N/A,#N/A,TRUE,"DIRECCION";#N/A,#N/A,TRUE,"RESUMEN"}</definedName>
    <definedName name="dgsdggh">#REF!</definedName>
    <definedName name="DH" hidden="1">{"via1",#N/A,TRUE,"general";"via2",#N/A,TRUE,"general";"via3",#N/A,TRUE,"general"}</definedName>
    <definedName name="dhdh" hidden="1">{"'표지'!$B$5"}</definedName>
    <definedName name="dhdth" hidden="1">{"TAB1",#N/A,TRUE,"GENERAL";"TAB2",#N/A,TRUE,"GENERAL";"TAB3",#N/A,TRUE,"GENERAL";"TAB4",#N/A,TRUE,"GENERAL";"TAB5",#N/A,TRUE,"GENERAL"}</definedName>
    <definedName name="dhgh" hidden="1">{"via1",#N/A,TRUE,"general";"via2",#N/A,TRUE,"general";"via3",#N/A,TRUE,"general"}</definedName>
    <definedName name="DHHHGGF" hidden="1">{#N/A,#N/A,FALSE,"Costos Productos 6A";#N/A,#N/A,FALSE,"Costo Unitario Total H-94-12"}</definedName>
    <definedName name="dhhhggf1" hidden="1">{#N/A,#N/A,FALSE,"Costos Productos 6A";#N/A,#N/A,FALSE,"Costo Unitario Total H-94-12"}</definedName>
    <definedName name="dhjdb53" hidden="1">{#N/A,#N/A,TRUE,"1842CWN0"}</definedName>
    <definedName name="DHTOTAL">#REF!</definedName>
    <definedName name="DIA">#REF!</definedName>
    <definedName name="Dia_gas_fase_1">#REF!</definedName>
    <definedName name="dia16ex">#REF!</definedName>
    <definedName name="dia24ex">#REF!</definedName>
    <definedName name="dia24nue">#REF!</definedName>
    <definedName name="dia25ex">#REF!</definedName>
    <definedName name="dia26ex">#REF!</definedName>
    <definedName name="dia36ex">#REF!</definedName>
    <definedName name="dia36nue">#REF!</definedName>
    <definedName name="dia37ex">#REF!</definedName>
    <definedName name="Diametro">#REF!</definedName>
    <definedName name="DIAMETROS">#REF!</definedName>
    <definedName name="DIANA" hidden="1">{"COSOPE98",#N/A,FALSE,"COSOPE98";"COSOPE97",#N/A,FALSE,"COSOPE97";"GASECP98",#N/A,FALSE,"GASECP98";"GAS10098",#N/A,FALSE,"GAS10098";"GASECP97",#N/A,FALSE,"GASECP97";"GAS10097",#N/A,FALSE,"GAS10097";"INVECP98",#N/A,FALSE,"INVECP98";"INV10098",#N/A,FALSE,"INV10098";"INVECP97",#N/A,FALSE,"INVECP97";"INV10097",#N/A,FALSE,"INV10097"}</definedName>
    <definedName name="DIARIO">#REF!</definedName>
    <definedName name="Dic">#REF!</definedName>
    <definedName name="dic_19">#REF!</definedName>
    <definedName name="dic_20">#REF!</definedName>
    <definedName name="dic_21">#REF!</definedName>
    <definedName name="DIGN" hidden="1">{#N/A,#N/A,TRUE,"Basic";#N/A,#N/A,TRUE,"EXT-TABLE";#N/A,#N/A,TRUE,"STEEL";#N/A,#N/A,TRUE,"INT-Table";#N/A,#N/A,TRUE,"STEEL";#N/A,#N/A,TRUE,"Door"}</definedName>
    <definedName name="DIR">#REF!</definedName>
    <definedName name="direccion" hidden="1">{#N/A,#N/A,FALSE,"SOACHA"}</definedName>
    <definedName name="Direct">#REF!</definedName>
    <definedName name="DIS_CAMPO">#REF!</definedName>
    <definedName name="disc">#REF!</definedName>
    <definedName name="Disciplina">#REF!</definedName>
    <definedName name="Discipline">#REF!</definedName>
    <definedName name="DiscLookup">#REF!</definedName>
    <definedName name="Discount" hidden="1">#REF!</definedName>
    <definedName name="Dismantling">#REF!</definedName>
    <definedName name="Disp_Fecha">#REF!</definedName>
    <definedName name="Dispersion">#REF!</definedName>
    <definedName name="display_area_2" hidden="1">#REF!</definedName>
    <definedName name="DISTANCIA_ARENA">#REF!</definedName>
    <definedName name="DISTANCIA_CEMENTO">#REF!</definedName>
    <definedName name="DISTANCIA_TRITURADO">#REF!</definedName>
    <definedName name="DistributionMatrix">#REF!</definedName>
    <definedName name="Div_Inc_pb" hidden="1">#REF!</definedName>
    <definedName name="DivApb" hidden="1">#REF!</definedName>
    <definedName name="DivBpb" hidden="1">#REF!</definedName>
    <definedName name="DivCpb" hidden="1">#REF!</definedName>
    <definedName name="DivDpb" hidden="1">#REF!</definedName>
    <definedName name="DivEpb" hidden="1">#REF!</definedName>
    <definedName name="DJ" hidden="1">{#N/A,#N/A,FALSE,"단축1";#N/A,#N/A,FALSE,"단축2";#N/A,#N/A,FALSE,"단축3";#N/A,#N/A,FALSE,"장축";#N/A,#N/A,FALSE,"4WD"}</definedName>
    <definedName name="djdbsc" hidden="1">{#N/A,#N/A,TRUE,"1842CWN0"}</definedName>
    <definedName name="djdytj" hidden="1">{"TAB1",#N/A,TRUE,"GENERAL";"TAB2",#N/A,TRUE,"GENERAL";"TAB3",#N/A,TRUE,"GENERAL";"TAB4",#N/A,TRUE,"GENERAL";"TAB5",#N/A,TRUE,"GENERAL"}</definedName>
    <definedName name="DJGFIWET" hidden="1">{#N/A,#N/A,FALSE,"TABLE"}</definedName>
    <definedName name="djkdhbdv" hidden="1">{#N/A,#N/A,TRUE,"1842CWN0"}</definedName>
    <definedName name="dkdk"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DKDLFJKDS" hidden="1">{#N/A,#N/A,TRUE,"Basic";#N/A,#N/A,TRUE,"EXT-TABLE";#N/A,#N/A,TRUE,"STEEL";#N/A,#N/A,TRUE,"INT-Table";#N/A,#N/A,TRUE,"STEEL";#N/A,#N/A,TRUE,"Door"}</definedName>
    <definedName name="dkf" hidden="1">{#N/A,#N/A,FALSE,"단축1";#N/A,#N/A,FALSE,"단축2";#N/A,#N/A,FALSE,"단축3";#N/A,#N/A,FALSE,"장축";#N/A,#N/A,FALSE,"4WD"}</definedName>
    <definedName name="DKJFKSE" hidden="1">{#N/A,#N/A,FALSE,"TABLE"}</definedName>
    <definedName name="DLAKL" hidden="1">{#N/A,#N/A,TRUE,"Y생산";#N/A,#N/A,TRUE,"Y판매";#N/A,#N/A,TRUE,"Y총물량";#N/A,#N/A,TRUE,"Y능력";#N/A,#N/A,TRUE,"YKD"}</definedName>
    <definedName name="DLATL" hidden="1">{#N/A,#N/A,FALSE,"단축1";#N/A,#N/A,FALSE,"단축2";#N/A,#N/A,FALSE,"단축3";#N/A,#N/A,FALSE,"장축";#N/A,#N/A,FALSE,"4WD"}</definedName>
    <definedName name="dldjdb" hidden="1">{#N/A,#N/A,TRUE,"INGENIERIA";#N/A,#N/A,TRUE,"COMPRAS";#N/A,#N/A,TRUE,"DIRECCION";#N/A,#N/A,TRUE,"RESUMEN"}</definedName>
    <definedName name="DLDL" hidden="1">{#N/A,#N/A,FALSE,"단축1";#N/A,#N/A,FALSE,"단축2";#N/A,#N/A,FALSE,"단축3";#N/A,#N/A,FALSE,"장축";#N/A,#N/A,FALSE,"4WD"}</definedName>
    <definedName name="Dlluvia">#REF!</definedName>
    <definedName name="DME_BeforeCloseCompleted" hidden="1">"False"</definedName>
    <definedName name="DME_Dirty" hidden="1">"False"</definedName>
    <definedName name="DME_LocalFile" hidden="1">"True"</definedName>
    <definedName name="do">#REF!</definedName>
    <definedName name="Documento">#REF!</definedName>
    <definedName name="DOL">#REF!</definedName>
    <definedName name="DOLAR">#N/A</definedName>
    <definedName name="DÓLAR">2400</definedName>
    <definedName name="Dolares" hidden="1">#REF!</definedName>
    <definedName name="DOLLAR">#REF!</definedName>
    <definedName name="dos" hidden="1">#REF!</definedName>
    <definedName name="DOSSIER_CODE">#REF!</definedName>
    <definedName name="Down_Payment">#REF!</definedName>
    <definedName name="Download">#REF!</definedName>
    <definedName name="Downloads">#REF!</definedName>
    <definedName name="Dp">#REF!</definedName>
    <definedName name="DpFKDL" hidden="1">{#N/A,#N/A,FALSE,"이태원철근"}</definedName>
    <definedName name="Dptos">#REF!</definedName>
    <definedName name="dqedqef" hidden="1">{#N/A,#N/A,FALSE,"Upía";#N/A,#N/A,FALSE,"CPR Espinal";#N/A,#N/A,FALSE,"Magangué"}</definedName>
    <definedName name="DR" hidden="1">#REF!</definedName>
    <definedName name="DrawingTitles">#REF!</definedName>
    <definedName name="DrawTitle">#REF!</definedName>
    <definedName name="DRFDGH" hidden="1">{#N/A,#N/A,FALSE,"단축1";#N/A,#N/A,FALSE,"단축2";#N/A,#N/A,FALSE,"단축3";#N/A,#N/A,FALSE,"장축";#N/A,#N/A,FALSE,"4WD"}</definedName>
    <definedName name="DRIVEABILITY" hidden="1">{#N/A,#N/A,FALSE,"단축1";#N/A,#N/A,FALSE,"단축2";#N/A,#N/A,FALSE,"단축3";#N/A,#N/A,FALSE,"장축";#N/A,#N/A,FALSE,"4WD"}</definedName>
    <definedName name="DROCARACAS" hidden="1">{#N/A,#N/A,TRUE,"T1"}</definedName>
    <definedName name="dry" hidden="1">{"via1",#N/A,TRUE,"general";"via2",#N/A,TRUE,"general";"via3",#N/A,TRUE,"general"}</definedName>
    <definedName name="dry_weight_001">#REF!</definedName>
    <definedName name="DRYDOCK_D1015">#N/A</definedName>
    <definedName name="ds" hidden="1">{#N/A,#N/A,FALSE,"Cravo Norte"}</definedName>
    <definedName name="DSAD" hidden="1">{"via1",#N/A,TRUE,"general";"via2",#N/A,TRUE,"general";"via3",#N/A,TRUE,"general"}</definedName>
    <definedName name="dsadfp" hidden="1">{"TAB1",#N/A,TRUE,"GENERAL";"TAB2",#N/A,TRUE,"GENERAL";"TAB3",#N/A,TRUE,"GENERAL";"TAB4",#N/A,TRUE,"GENERAL";"TAB5",#N/A,TRUE,"GENERAL"}</definedName>
    <definedName name="DSAF" hidden="1">{"'banner (abr)'!$A$14:$G$22"}</definedName>
    <definedName name="DSCDD" hidden="1">#REF!</definedName>
    <definedName name="DSD" hidden="1">{"via1",#N/A,TRUE,"general";"via2",#N/A,TRUE,"general";"via3",#N/A,TRUE,"general"}</definedName>
    <definedName name="dsdads4" hidden="1">{"TAB1",#N/A,TRUE,"GENERAL";"TAB2",#N/A,TRUE,"GENERAL";"TAB3",#N/A,TRUE,"GENERAL";"TAB4",#N/A,TRUE,"GENERAL";"TAB5",#N/A,TRUE,"GENERAL"}</definedName>
    <definedName name="DSDS" hidden="1">{#N/A,#N/A,FALSE,"PERSONAL"}</definedName>
    <definedName name="DSDSD" hidden="1">{#N/A,#N/A,FALSE,"PERSONAL"}</definedName>
    <definedName name="DSDSDS" hidden="1">{#N/A,#N/A,FALSE,"PERSONAL"}</definedName>
    <definedName name="DSDSDSD" hidden="1">{#N/A,#N/A,FALSE,"PERSONAL"}</definedName>
    <definedName name="dsf" hidden="1">{#N/A,#N/A,FALSE,"Ppto. Inv. por Proyectos";#N/A,#N/A,FALSE,"Ppto. Gastos por Asociación"}</definedName>
    <definedName name="DSFA" hidden="1">{#N/A,#N/A,FALSE,"PERSONAL"}</definedName>
    <definedName name="DSFCVTY" hidden="1">{"TAB1",#N/A,TRUE,"GENERAL";"TAB2",#N/A,TRUE,"GENERAL";"TAB3",#N/A,TRUE,"GENERAL";"TAB4",#N/A,TRUE,"GENERAL";"TAB5",#N/A,TRUE,"GENERAL"}</definedName>
    <definedName name="dsfg" hidden="1">{"via1",#N/A,TRUE,"general";"via2",#N/A,TRUE,"general";"via3",#N/A,TRUE,"general"}</definedName>
    <definedName name="dsfhgfdh" hidden="1">{"TAB1",#N/A,TRUE,"GENERAL";"TAB2",#N/A,TRUE,"GENERAL";"TAB3",#N/A,TRUE,"GENERAL";"TAB4",#N/A,TRUE,"GENERAL";"TAB5",#N/A,TRUE,"GENERAL"}</definedName>
    <definedName name="dsfsdf" hidden="1">{"via1",#N/A,TRUE,"general";"via2",#N/A,TRUE,"general";"via3",#N/A,TRUE,"general"}</definedName>
    <definedName name="DSFSDFCXV" hidden="1">{"TAB1",#N/A,TRUE,"GENERAL";"TAB2",#N/A,TRUE,"GENERAL";"TAB3",#N/A,TRUE,"GENERAL";"TAB4",#N/A,TRUE,"GENERAL";"TAB5",#N/A,TRUE,"GENERAL"}</definedName>
    <definedName name="dsfsvm" hidden="1">{"TAB1",#N/A,TRUE,"GENERAL";"TAB2",#N/A,TRUE,"GENERAL";"TAB3",#N/A,TRUE,"GENERAL";"TAB4",#N/A,TRUE,"GENERAL";"TAB5",#N/A,TRUE,"GENERAL"}</definedName>
    <definedName name="dsftbv" hidden="1">{"via1",#N/A,TRUE,"general";"via2",#N/A,TRUE,"general";"via3",#N/A,TRUE,"general"}</definedName>
    <definedName name="DSJFOWEU8923" hidden="1">{#N/A,#N/A,FALSE,"TABLE"}</definedName>
    <definedName name="dso" hidden="1">{#N/A,#N/A,FALSE,"DMC schedule";#N/A,#N/A,FALSE,"DMC_THC Revenue";#N/A,#N/A,FALSE,"Personnel plan";#N/A,#N/A,FALSE,"Capex HW+SW";#N/A,#N/A,FALSE,"P&amp;L"}</definedName>
    <definedName name="DSRA_Check">#REF!</definedName>
    <definedName name="DSS" hidden="1">#REF!</definedName>
    <definedName name="dssdf" hidden="1">{#N/A,#N/A,FALSE,"PERSONAL"}</definedName>
    <definedName name="dt_i_m">#REF!,#REF!</definedName>
    <definedName name="dtrhj" hidden="1">{"via1",#N/A,TRUE,"general";"via2",#N/A,TRUE,"general";"via3",#N/A,TRUE,"general"}</definedName>
    <definedName name="DUR">#REF!</definedName>
    <definedName name="DURACIONCONTRATO">#REF!</definedName>
    <definedName name="Dv">#REF!</definedName>
    <definedName name="dvklsbn" hidden="1">{#N/A,#N/A,TRUE,"INGENIERIA";#N/A,#N/A,TRUE,"COMPRAS";#N/A,#N/A,TRUE,"DIRECCION";#N/A,#N/A,TRUE,"RESUMEN"}</definedName>
    <definedName name="dw_uom_dn__uom_code">#REF!</definedName>
    <definedName name="dw_uom_fl__uom_code">#REF!</definedName>
    <definedName name="dw_uom_ln__uom_code">#REF!</definedName>
    <definedName name="dw_uom_pr__uom_code">#REF!</definedName>
    <definedName name="dw_uom_tm__uom_code">#REF!</definedName>
    <definedName name="dw_uom_vs__uom_code">#REF!</definedName>
    <definedName name="dwg_id_001">#REF!</definedName>
    <definedName name="dwg_name">#REF!</definedName>
    <definedName name="dwg_name_001">#REF!</definedName>
    <definedName name="dwg_schematic_id_001">#REF!</definedName>
    <definedName name="DWPRICE" hidden="1">#REF!</definedName>
    <definedName name="dwv" hidden="1">{#N/A,#N/A,TRUE,"Basic";#N/A,#N/A,TRUE,"EXT-TABLE";#N/A,#N/A,TRUE,"STEEL";#N/A,#N/A,TRUE,"INT-Table";#N/A,#N/A,TRUE,"STEEL";#N/A,#N/A,TRUE,"Door"}</definedName>
    <definedName name="dxfgg" hidden="1">{"via1",#N/A,TRUE,"general";"via2",#N/A,TRUE,"general";"via3",#N/A,TRUE,"general"}</definedName>
    <definedName name="dyhu" hidden="1">{"'banner (abr)'!$A$14:$G$22"}</definedName>
    <definedName name="dyu5yrt" hidden="1">#REF!</definedName>
    <definedName name="DZ.Main" hidden="1">#REF!</definedName>
    <definedName name="E" hidden="1">{"krl1",#N/A,FALSE,"kr";"krl2",#N/A,FALSE,"kr";"compara",#N/A,FALSE,"kr";"desconp1",#N/A,FALSE,"kr";"desconp12",#N/A,FALSE,"kr";"krnp1",#N/A,FALSE,"kr";"krnp2",#N/A,FALSE,"kr";"krp12avg",#N/A,FALSE,"kr";"krp1avg",#N/A,FALSE,"kr"}</definedName>
    <definedName name="E.ALIMENTACION">#N/A</definedName>
    <definedName name="E.ALOJAMIENTO">#N/A</definedName>
    <definedName name="E.MISCELANEOS">#N/A</definedName>
    <definedName name="E.P.S">#REF!</definedName>
    <definedName name="E.TRANSPORTES">#N/A</definedName>
    <definedName name="E_03">#REF!</definedName>
    <definedName name="E_d">#N/A</definedName>
    <definedName name="e3e33" hidden="1">{"via1",#N/A,TRUE,"general";"via2",#N/A,TRUE,"general";"via3",#N/A,TRUE,"general"}</definedName>
    <definedName name="EADAF" hidden="1">{#N/A,#N/A,FALSE,"단축1";#N/A,#N/A,FALSE,"단축2";#N/A,#N/A,FALSE,"단축3";#N/A,#N/A,FALSE,"장축";#N/A,#N/A,FALSE,"4WD"}</definedName>
    <definedName name="eb">#REF!</definedName>
    <definedName name="ec">#REF!</definedName>
    <definedName name="ECO"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ecuadro" hidden="1">{#N/A,#N/A,FALSE,"DMC schedule";#N/A,#N/A,FALSE,"DMC_THC Revenue";#N/A,#N/A,FALSE,"Personnel plan";#N/A,#N/A,FALSE,"Capex HW+SW";#N/A,#N/A,FALSE,"P&amp;L"}</definedName>
    <definedName name="ED" hidden="1">{#N/A,#N/A,FALSE,"CCTV"}</definedName>
    <definedName name="EDC" hidden="1">{#N/A,#N/A,FALSE,"Solids &amp; Flow"}</definedName>
    <definedName name="edeccsb">#REF!</definedName>
    <definedName name="EDEDWSWQA" hidden="1">{"TAB1",#N/A,TRUE,"GENERAL";"TAB2",#N/A,TRUE,"GENERAL";"TAB3",#N/A,TRUE,"GENERAL";"TAB4",#N/A,TRUE,"GENERAL";"TAB5",#N/A,TRUE,"GENERAL"}</definedName>
    <definedName name="edg" hidden="1">#REF!</definedName>
    <definedName name="edgfhmn" hidden="1">{"via1",#N/A,TRUE,"general";"via2",#N/A,TRUE,"general";"via3",#N/A,TRUE,"general"}</definedName>
    <definedName name="EDIFICIO_TIPO_A">#REF!</definedName>
    <definedName name="edq" hidden="1">{#N/A,#N/A,FALSE,"Solids Only"}</definedName>
    <definedName name="edr" hidden="1">{"DETALLE_1996",#N/A,FALSE,"flujo";"DETALLE_1997",#N/A,FALSE,"flujo";"GASTOS_INCURRIDOS_1996",#N/A,FALSE,"flujo";"GASTOS_PROGRAMADOS_PARA_1997",#N/A,FALSE,"flujo";#N/A,#N/A,FALSE,"comparat";#N/A,#N/A,FALSE,"costos";#N/A,#N/A,FALSE,"proyctrol"}</definedName>
    <definedName name="EE" hidden="1">{#N/A,#N/A,FALSE,"Costos Productos 6A";#N/A,#N/A,FALSE,"Costo Unitario Total H-94-12"}</definedName>
    <definedName name="eea" hidden="1">{#N/A,#N/A,FALSE,"masez (10)";#N/A,#N/A,FALSE,"masez (7)";#N/A,#N/A,FALSE,"masez (6)";#N/A,#N/A,FALSE,"masez (5)";#N/A,#N/A,FALSE,"masez (4)";#N/A,#N/A,FALSE,"masez (3)";#N/A,#N/A,FALSE,"masez (2)";#N/A,#N/A,FALSE,"GME";#N/A,#N/A,FALSE,"masez"}</definedName>
    <definedName name="eee" hidden="1">{#N/A,#N/A,FALSE,"DITCAR";#N/A,#N/A,FALSE,"a1";#N/A,#N/A,FALSE,"a2";#N/A,#N/A,FALSE,"a3";#N/A,#N/A,FALSE,"a4";#N/A,#N/A,FALSE,"a4a";#N/A,#N/A,FALSE,"a4B";#N/A,#N/A,FALSE,"a4C";#N/A,#N/A,FALSE,"A5a ";#N/A,#N/A,FALSE,"A5b";#N/A,#N/A,FALSE,"A6A";#N/A,#N/A,FALSE,"A6B";#N/A,#N/A,FALSE,"A6C";#N/A,#N/A,FALSE,"04PG12NB"}</definedName>
    <definedName name="eee_1" hidden="1">{#N/A,#N/A,FALSE,"DITCAR";#N/A,#N/A,FALSE,"a1";#N/A,#N/A,FALSE,"a2";#N/A,#N/A,FALSE,"a3";#N/A,#N/A,FALSE,"a4";#N/A,#N/A,FALSE,"a4a";#N/A,#N/A,FALSE,"a4B";#N/A,#N/A,FALSE,"a4C";#N/A,#N/A,FALSE,"A5a ";#N/A,#N/A,FALSE,"A5b";#N/A,#N/A,FALSE,"A6A";#N/A,#N/A,FALSE,"A6B";#N/A,#N/A,FALSE,"A6C";#N/A,#N/A,FALSE,"04PG12NB"}</definedName>
    <definedName name="eeedfr" hidden="1">{"TAB1",#N/A,TRUE,"GENERAL";"TAB2",#N/A,TRUE,"GENERAL";"TAB3",#N/A,TRUE,"GENERAL";"TAB4",#N/A,TRUE,"GENERAL";"TAB5",#N/A,TRUE,"GENERAL"}</definedName>
    <definedName name="eeee" hidden="1">{#N/A,#N/A,FALSE,"masez (10)";#N/A,#N/A,FALSE,"masez (7)";#N/A,#N/A,FALSE,"masez (6)";#N/A,#N/A,FALSE,"masez (5)";#N/A,#N/A,FALSE,"masez (4)";#N/A,#N/A,FALSE,"masez (3)";#N/A,#N/A,FALSE,"masez (2)";#N/A,#N/A,FALSE,"GME";#N/A,#N/A,FALSE,"masez"}</definedName>
    <definedName name="eeeee" hidden="1">{#N/A,#N/A,FALSE,"Full";#N/A,#N/A,FALSE,"Half";#N/A,#N/A,FALSE,"Op Expenses";#N/A,#N/A,FALSE,"Cap Charge";#N/A,#N/A,FALSE,"Cost C";#N/A,#N/A,FALSE,"PP&amp;E";#N/A,#N/A,FALSE,"R&amp;D"}</definedName>
    <definedName name="eeeeeee" hidden="1">{#N/A,#N/A,FALSE,"VOL695";#N/A,#N/A,FALSE,"anexo1";#N/A,#N/A,FALSE,"anexo2";#N/A,#N/A,FALSE,"anexo3";#N/A,#N/A,FALSE,"anexo4";#N/A,#N/A,FALSE,"anexo5a";#N/A,#N/A,FALSE,"anexo5b";#N/A,#N/A,FALSE,"anexo6a";#N/A,#N/A,FALSE,"anexo6a";#N/A,#N/A,FALSE,"anexo6c";#N/A,#N/A,FALSE,"anexo7a";#N/A,#N/A,FALSE,"anexo7b";#N/A,#N/A,FALSE,"anexo7c"}</definedName>
    <definedName name="eeeeer" hidden="1">{"TAB1",#N/A,TRUE,"GENERAL";"TAB2",#N/A,TRUE,"GENERAL";"TAB3",#N/A,TRUE,"GENERAL";"TAB4",#N/A,TRUE,"GENERAL";"TAB5",#N/A,TRUE,"GENERAL"}</definedName>
    <definedName name="eeerfd" hidden="1">{"via1",#N/A,TRUE,"general";"via2",#N/A,TRUE,"general";"via3",#N/A,TRUE,"general"}</definedName>
    <definedName name="eeert" hidden="1">{"CONSEJO",#N/A,FALSE,"Dist p0";"CONSEJO",#N/A,FALSE,"Ficha CODICE"}</definedName>
    <definedName name="eefaseIINCDIES" hidden="1">{#N/A,#N/A,FALSE,"DITCAR";#N/A,#N/A,FALSE,"a1";#N/A,#N/A,FALSE,"a2";#N/A,#N/A,FALSE,"a3";#N/A,#N/A,FALSE,"a4";#N/A,#N/A,FALSE,"a4a";#N/A,#N/A,FALSE,"a4B";#N/A,#N/A,FALSE,"a4C";#N/A,#N/A,FALSE,"A5a ";#N/A,#N/A,FALSE,"A5b";#N/A,#N/A,FALSE,"A6A";#N/A,#N/A,FALSE,"A6B";#N/A,#N/A,FALSE,"A6C";#N/A,#N/A,FALSE,"04PG12NB"}</definedName>
    <definedName name="eefaseIINCDIES_1" hidden="1">{#N/A,#N/A,FALSE,"DITCAR";#N/A,#N/A,FALSE,"a1";#N/A,#N/A,FALSE,"a2";#N/A,#N/A,FALSE,"a3";#N/A,#N/A,FALSE,"a4";#N/A,#N/A,FALSE,"a4a";#N/A,#N/A,FALSE,"a4B";#N/A,#N/A,FALSE,"a4C";#N/A,#N/A,FALSE,"A5a ";#N/A,#N/A,FALSE,"A5b";#N/A,#N/A,FALSE,"A6A";#N/A,#N/A,FALSE,"A6B";#N/A,#N/A,FALSE,"A6C";#N/A,#N/A,FALSE,"04PG12NB"}</definedName>
    <definedName name="EEPP">#REF!</definedName>
    <definedName name="ees" hidden="1">{#N/A,#N/A,FALSE,"masez (10)";#N/A,#N/A,FALSE,"masez (7)";#N/A,#N/A,FALSE,"masez (6)";#N/A,#N/A,FALSE,"masez (5)";#N/A,#N/A,FALSE,"masez (4)";#N/A,#N/A,FALSE,"masez (3)";#N/A,#N/A,FALSE,"masez (2)";#N/A,#N/A,FALSE,"GME";#N/A,#N/A,FALSE,"masez"}</definedName>
    <definedName name="eeww" hidden="1">{"uno",#N/A,FALSE,"Dist total";"COMENTARIO",#N/A,FALSE,"Ficha CODICE"}</definedName>
    <definedName name="efef" hidden="1">{"TAB1",#N/A,TRUE,"GENERAL";"TAB2",#N/A,TRUE,"GENERAL";"TAB3",#N/A,TRUE,"GENERAL";"TAB4",#N/A,TRUE,"GENERAL";"TAB5",#N/A,TRUE,"GENERAL"}</definedName>
    <definedName name="efer" hidden="1">{"via1",#N/A,TRUE,"general";"via2",#N/A,TRUE,"general";"via3",#N/A,TRUE,"general"}</definedName>
    <definedName name="EFFASEI_INC_DIESEL2" hidden="1">{#N/A,#N/A,FALSE,"DITCAR";#N/A,#N/A,FALSE,"a1";#N/A,#N/A,FALSE,"a2";#N/A,#N/A,FALSE,"a3";#N/A,#N/A,FALSE,"a4";#N/A,#N/A,FALSE,"a4a";#N/A,#N/A,FALSE,"a4B";#N/A,#N/A,FALSE,"a4C";#N/A,#N/A,FALSE,"A5a ";#N/A,#N/A,FALSE,"A5b";#N/A,#N/A,FALSE,"A6A";#N/A,#N/A,FALSE,"A6B";#N/A,#N/A,FALSE,"A6C";#N/A,#N/A,FALSE,"04PG12NB"}</definedName>
    <definedName name="EFFASEI_INC_DIESEL2_1" hidden="1">{#N/A,#N/A,FALSE,"DITCAR";#N/A,#N/A,FALSE,"a1";#N/A,#N/A,FALSE,"a2";#N/A,#N/A,FALSE,"a3";#N/A,#N/A,FALSE,"a4";#N/A,#N/A,FALSE,"a4a";#N/A,#N/A,FALSE,"a4B";#N/A,#N/A,FALSE,"a4C";#N/A,#N/A,FALSE,"A5a ";#N/A,#N/A,FALSE,"A5b";#N/A,#N/A,FALSE,"A6A";#N/A,#N/A,FALSE,"A6B";#N/A,#N/A,FALSE,"A6C";#N/A,#N/A,FALSE,"04PG12NB"}</definedName>
    <definedName name="Efi_Fecha">#REF!</definedName>
    <definedName name="EFINVER">#REF!</definedName>
    <definedName name="efwerf" hidden="1">{#N/A,#N/A,FALSE,"Graficos"}</definedName>
    <definedName name="efy" hidden="1">{"DETALLE_1996",#N/A,FALSE,"flujo";"DETALLE_1997",#N/A,FALSE,"flujo";"GASTOS_INCURRIDOS_1996",#N/A,FALSE,"flujo";"GASTOS_PROGRAMADOS_PARA_1997",#N/A,FALSE,"flujo";#N/A,#N/A,FALSE,"comparat";#N/A,#N/A,FALSE,"costos";#N/A,#N/A,FALSE,"proyctrol"}</definedName>
    <definedName name="EF제동" hidden="1">{#N/A,#N/A,FALSE,"단축1";#N/A,#N/A,FALSE,"단축2";#N/A,#N/A,FALSE,"단축3";#N/A,#N/A,FALSE,"장축";#N/A,#N/A,FALSE,"4WD"}</definedName>
    <definedName name="egeg" hidden="1">{"TAB1",#N/A,TRUE,"GENERAL";"TAB2",#N/A,TRUE,"GENERAL";"TAB3",#N/A,TRUE,"GENERAL";"TAB4",#N/A,TRUE,"GENERAL";"TAB5",#N/A,TRUE,"GENERAL"}</definedName>
    <definedName name="egtrgthrt" hidden="1">{"TAB1",#N/A,TRUE,"GENERAL";"TAB2",#N/A,TRUE,"GENERAL";"TAB3",#N/A,TRUE,"GENERAL";"TAB4",#N/A,TRUE,"GENERAL";"TAB5",#N/A,TRUE,"GENERAL"}</definedName>
    <definedName name="EIHD">#N/A</definedName>
    <definedName name="ejbd84" hidden="1">{#N/A,#N/A,TRUE,"1842CWN0"}</definedName>
    <definedName name="EJCUT">#REF!</definedName>
    <definedName name="Ejecutivo">#REF!</definedName>
    <definedName name="ekc" hidden="1">{#N/A,#N/A,TRUE,"INGENIERIA";#N/A,#N/A,TRUE,"COMPRAS";#N/A,#N/A,TRUE,"DIRECCION";#N/A,#N/A,TRUE,"RESUMEN"}</definedName>
    <definedName name="Elec" hidden="1">{#N/A,#N/A,TRUE,"0001";#N/A,#N/A,TRUE,"0002";#N/A,#N/A,TRUE,"0003";#N/A,#N/A,TRUE,"0004";#N/A,#N/A,TRUE,"0005";#N/A,#N/A,TRUE,"0006";#N/A,#N/A,TRUE,"0007";#N/A,#N/A,TRUE,"0008";#N/A,#N/A,TRUE,"0009";#N/A,#N/A,TRUE,"0010"}</definedName>
    <definedName name="ELEC_FBC">#N/A</definedName>
    <definedName name="elect_equip_id_001">#REF!</definedName>
    <definedName name="elect_load_equip_id_001">#REF!</definedName>
    <definedName name="ElectricalAreaClassifications">#REF!</definedName>
    <definedName name="ElectricalGroup">#REF!</definedName>
    <definedName name="ElectricLineDiagrams">#REF!</definedName>
    <definedName name="ElectricoPV2" hidden="1">{"via1",#N/A,TRUE,"general";"via2",#N/A,TRUE,"general";"via3",#N/A,TRUE,"general"}</definedName>
    <definedName name="Electricos" hidden="1">{"AURES1",#N/A,FALSE,"GENERAL";"AURES2",#N/A,FALSE,"GENERAL";"AURES3",#N/A,FALSE,"GENERAL";"AURES4",#N/A,FALSE,"GENERAL";"AURES5",#N/A,FALSE,"GENERAL";"AURES6",#N/A,FALSE,"GENERAL";"AURES7",#N/A,FALSE,"GENERAL"}</definedName>
    <definedName name="Electronic_Handover_Format">#REF!</definedName>
    <definedName name="elementos">#REF!</definedName>
    <definedName name="elementoshse">#REF!</definedName>
    <definedName name="ELLEN1" hidden="1">{#N/A,#N/A,FALSE,"CCTV"}</definedName>
    <definedName name="ELLEN10" hidden="1">{#N/A,#N/A,FALSE,"CCTV"}</definedName>
    <definedName name="ELLEN11" hidden="1">{#N/A,#N/A,FALSE,"CCTV"}</definedName>
    <definedName name="ELLEN12" hidden="1">{#N/A,#N/A,FALSE,"CCTV"}</definedName>
    <definedName name="ELLEN13" hidden="1">{#N/A,#N/A,FALSE,"CCTV"}</definedName>
    <definedName name="ELLEN14" hidden="1">{#N/A,#N/A,FALSE,"CCTV"}</definedName>
    <definedName name="ELLEN15" hidden="1">{#N/A,#N/A,FALSE,"CCTV"}</definedName>
    <definedName name="ELLEN16" hidden="1">{#N/A,#N/A,FALSE,"CCTV"}</definedName>
    <definedName name="ELLEN17" hidden="1">{#N/A,#N/A,FALSE,"CCTV"}</definedName>
    <definedName name="ELLEN18" hidden="1">{#N/A,#N/A,FALSE,"CCTV"}</definedName>
    <definedName name="ELLEN19" hidden="1">{#N/A,#N/A,FALSE,"CCTV"}</definedName>
    <definedName name="ELLEN2" hidden="1">{#N/A,#N/A,FALSE,"CCTV"}</definedName>
    <definedName name="ELLEN3" hidden="1">{#N/A,#N/A,FALSE,"CCTV"}</definedName>
    <definedName name="ELLEN4" hidden="1">{#N/A,#N/A,FALSE,"CCTV"}</definedName>
    <definedName name="ELLEN5" hidden="1">{#N/A,#N/A,FALSE,"CCTV"}</definedName>
    <definedName name="ELLEN6" hidden="1">{#N/A,#N/A,FALSE,"CCTV"}</definedName>
    <definedName name="ELLEN7" hidden="1">{#N/A,#N/A,FALSE,"CCTV"}</definedName>
    <definedName name="ELLEN8" hidden="1">{#N/A,#N/A,FALSE,"CCTV"}</definedName>
    <definedName name="ELLEN9" hidden="1">{#N/A,#N/A,FALSE,"CCTV"}</definedName>
    <definedName name="EM">#REF!</definedName>
    <definedName name="emanto">#REF!</definedName>
    <definedName name="emanto_51">#REF!</definedName>
    <definedName name="emc" hidden="1">#REF!</definedName>
    <definedName name="emca" hidden="1">#REF!</definedName>
    <definedName name="EMM" hidden="1">{#N/A,#N/A,TRUE,"Cover";#N/A,#N/A,TRUE,"Content";"Orders EMM",#N/A,TRUE,"Order Sales";"project EMM",#N/A,TRUE,"Project Control";"Cash EMM",#N/A,TRUE,"Cash Control";"KPI EMM",#N/A,TRUE,"KPI-EMM";"Empl EMM",#N/A,TRUE,"Employees"}</definedName>
    <definedName name="EMPLEADO">#REF!</definedName>
    <definedName name="EMPLEADOS">#REF!</definedName>
    <definedName name="Employee_Class">#REF!</definedName>
    <definedName name="Employee_Name">#REF!</definedName>
    <definedName name="EmployeeList">#REF!</definedName>
    <definedName name="EMPRESA">#REF!</definedName>
    <definedName name="End_Bal">#REF!</definedName>
    <definedName name="Endesaa" hidden="1">{#N/A,#N/A,FALSE,"COMERCIAL";#N/A,#N/A,FALSE,"inversiones";#N/A,#N/A,FALSE,"pro5";#N/A,#N/A,FALSE,"mor -irre mes";#N/A,#N/A,FALSE,"irregulare"}</definedName>
    <definedName name="ene">#REF!</definedName>
    <definedName name="ene_20">#REF!</definedName>
    <definedName name="ene_21">#REF!</definedName>
    <definedName name="ENERO" hidden="1">{#N/A,#N/A,FALSE,"DMC schedule";#N/A,#N/A,FALSE,"DMC_THC Revenue";#N/A,#N/A,FALSE,"Personnel plan";#N/A,#N/A,FALSE,"Capex HW+SW";#N/A,#N/A,FALSE,"P&amp;L"}</definedName>
    <definedName name="eng_proj_id_001">#REF!</definedName>
    <definedName name="eng_ref_id_001">#REF!</definedName>
    <definedName name="EngineeringPlan">#REF!</definedName>
    <definedName name="Ensayo" hidden="1">{"AURES1",#N/A,TRUE,"GENERAL";"AURES2",#N/A,TRUE,"GENERAL";"AURES3",#N/A,TRUE,"GENERAL";"AURES4",#N/A,TRUE,"GENERAL";"AURES5",#N/A,TRUE,"GENERAL";"AURES6",#N/A,TRUE,"GENERAL";"AURES7",#N/A,TRUE,"GENERAL"}</definedName>
    <definedName name="ENT">#REF!</definedName>
    <definedName name="ENTREGABLE">#REF!</definedName>
    <definedName name="environ">#REF!</definedName>
    <definedName name="EnvironAssmnt">#REF!</definedName>
    <definedName name="eo">#REF!</definedName>
    <definedName name="EOGH" hidden="1">{#N/A,#N/A,FALSE,"단축1";#N/A,#N/A,FALSE,"단축2";#N/A,#N/A,FALSE,"단축3";#N/A,#N/A,FALSE,"장축";#N/A,#N/A,FALSE,"4WD"}</definedName>
    <definedName name="EPSs">#REF!</definedName>
    <definedName name="EQ">#N/A</definedName>
    <definedName name="EQ_OBRA">#N/A</definedName>
    <definedName name="EQEQEQW">#REF!</definedName>
    <definedName name="EQTH" hidden="1">#REF!</definedName>
    <definedName name="equ" hidden="1">{#N/A,#N/A,TRUE,"Est. de Fact.";#N/A,#N/A,TRUE,"Capitulo 19";#N/A,#N/A,TRUE,"Proyecto P855"}</definedName>
    <definedName name="EQUI">#REF!</definedName>
    <definedName name="EQUIOF">#REF!</definedName>
    <definedName name="equip_id_001">#REF!</definedName>
    <definedName name="EquipmentList">#REF!</definedName>
    <definedName name="EquipmentLocationDrawings">#REF!</definedName>
    <definedName name="EquipmentMU">#REF!</definedName>
    <definedName name="EquipmentStatus">#REF!</definedName>
    <definedName name="EquipmentUtilityRequirements">#REF!</definedName>
    <definedName name="equipo">#REF!</definedName>
    <definedName name="EQUIPO_2">#REF!</definedName>
    <definedName name="EquipoActivi">#REF!,#REF!</definedName>
    <definedName name="EQUIPOS">#REF!</definedName>
    <definedName name="Equipos_Herramientas">#REF!</definedName>
    <definedName name="EQUIPOS_TANQUEO">#REF!</definedName>
    <definedName name="EQUPOSAVALUOS">#REF!</definedName>
    <definedName name="equu" hidden="1">{#N/A,#N/A,FALSE,"minas";#N/A,#N/A,FALSE,"Total_OC015";#N/A,#N/A,FALSE,"ADMIN";#N/A,#N/A,FALSE,"PROCES";#N/A,#N/A,FALSE,"civil";#N/A,#N/A,FALSE,"CAÑER";#N/A,#N/A,FALSE,"ELEC";#N/A,#N/A,FALSE,"INSTR";#N/A,#N/A,FALSE,"PDS";#N/A,#N/A,FALSE,"mecan"}</definedName>
    <definedName name="eqw" hidden="1">{"via1",#N/A,TRUE,"general";"via2",#N/A,TRUE,"general";"via3",#N/A,TRUE,"general"}</definedName>
    <definedName name="eqwe" hidden="1">{#N/A,#N/A,FALSE,"Solids Only"}</definedName>
    <definedName name="er" hidden="1">#REF!</definedName>
    <definedName name="erd" hidden="1">{#N/A,#N/A,FALSE,"IC_Global";#N/A,#N/A,FALSE,"IC_Global (98-f)";#N/A,#N/A,FALSE,"Inc";#N/A,#N/A,FALSE,"CAMBIOS (2)";#N/A,#N/A,FALSE,"EXPL Inc.";#N/A,#N/A,FALSE,"HITOS98";#N/A,#N/A,FALSE,"CURVA ""S"" GLOBAL ";#N/A,#N/A,FALSE,"CURVA ""S"" 1998 "}</definedName>
    <definedName name="ere" hidden="1">{#N/A,#N/A,FALSE,"Estatico";#N/A,#N/A,FALSE,"Tuberia";#N/A,#N/A,FALSE,"Instrumentación";#N/A,#N/A,FALSE,"Mecanica";#N/A,#N/A,FALSE,"Electrico";#N/A,#N/A,FALSE,"Ofic.Civiles"}</definedName>
    <definedName name="ERE_ART">#REF!</definedName>
    <definedName name="ererere">#REF!</definedName>
    <definedName name="ererrreer" hidden="1">{#N/A,#N/A,FALSE,"PERSONAL"}</definedName>
    <definedName name="erfg" hidden="1">{#N/A,#N/A,FALSE,"Hoja1";#N/A,#N/A,FALSE,"Hoja2"}</definedName>
    <definedName name="erg" hidden="1">{"TAB1",#N/A,TRUE,"GENERAL";"TAB2",#N/A,TRUE,"GENERAL";"TAB3",#N/A,TRUE,"GENERAL";"TAB4",#N/A,TRUE,"GENERAL";"TAB5",#N/A,TRUE,"GENERAL"}</definedName>
    <definedName name="erger" hidden="1">{"via1",#N/A,TRUE,"general";"via2",#N/A,TRUE,"general";"via3",#N/A,TRUE,"general"}</definedName>
    <definedName name="ergerg" hidden="1">{"via1",#N/A,TRUE,"general";"via2",#N/A,TRUE,"general";"via3",#N/A,TRUE,"general"}</definedName>
    <definedName name="ergfegr" hidden="1">{"via1",#N/A,TRUE,"general";"via2",#N/A,TRUE,"general";"via3",#N/A,TRUE,"general"}</definedName>
    <definedName name="ergge" hidden="1">{"TAB1",#N/A,TRUE,"GENERAL";"TAB2",#N/A,TRUE,"GENERAL";"TAB3",#N/A,TRUE,"GENERAL";"TAB4",#N/A,TRUE,"GENERAL";"TAB5",#N/A,TRUE,"GENERAL"}</definedName>
    <definedName name="erggewg" hidden="1">{"via1",#N/A,TRUE,"general";"via2",#N/A,TRUE,"general";"via3",#N/A,TRUE,"general"}</definedName>
    <definedName name="ergreg" hidden="1">{"TAB1",#N/A,TRUE,"GENERAL";"TAB2",#N/A,TRUE,"GENERAL";"TAB3",#N/A,TRUE,"GENERAL";"TAB4",#N/A,TRUE,"GENERAL";"TAB5",#N/A,TRUE,"GENERAL"}</definedName>
    <definedName name="ergregerg" hidden="1">{"via1",#N/A,TRUE,"general";"via2",#N/A,TRUE,"general";"via3",#N/A,TRUE,"general"}</definedName>
    <definedName name="ergrg" hidden="1">{"TAB1",#N/A,TRUE,"GENERAL";"TAB2",#N/A,TRUE,"GENERAL";"TAB3",#N/A,TRUE,"GENERAL";"TAB4",#N/A,TRUE,"GENERAL";"TAB5",#N/A,TRUE,"GENERAL"}</definedName>
    <definedName name="ergweg" hidden="1">{"TAB1",#N/A,TRUE,"GENERAL";"TAB2",#N/A,TRUE,"GENERAL";"TAB3",#N/A,TRUE,"GENERAL";"TAB4",#N/A,TRUE,"GENERAL";"TAB5",#N/A,TRUE,"GENERAL"}</definedName>
    <definedName name="ergwreg" hidden="1">{"via1",#N/A,TRUE,"general";"via2",#N/A,TRUE,"general";"via3",#N/A,TRUE,"general"}</definedName>
    <definedName name="erheyh" hidden="1">{"TAB1",#N/A,TRUE,"GENERAL";"TAB2",#N/A,TRUE,"GENERAL";"TAB3",#N/A,TRUE,"GENERAL";"TAB4",#N/A,TRUE,"GENERAL";"TAB5",#N/A,TRUE,"GENERAL"}</definedName>
    <definedName name="eririutriuthdc"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err" hidden="1">{"TAB1",#N/A,TRUE,"GENERAL";"TAB2",#N/A,TRUE,"GENERAL";"TAB3",#N/A,TRUE,"GENERAL";"TAB4",#N/A,TRUE,"GENERAL";"TAB5",#N/A,TRUE,"GENERAL"}</definedName>
    <definedName name="ERRE" hidden="1">{#N/A,#N/A,FALSE,"단축1";#N/A,#N/A,FALSE,"단축2";#N/A,#N/A,FALSE,"단축3";#N/A,#N/A,FALSE,"장축";#N/A,#N/A,FALSE,"4WD"}</definedName>
    <definedName name="ERROR">#REF!</definedName>
    <definedName name="ERROR1">#REF!</definedName>
    <definedName name="ERROR2">#REF!</definedName>
    <definedName name="ERROR3">#REF!</definedName>
    <definedName name="ERROR5">#REF!</definedName>
    <definedName name="ert" hidden="1">{"via1",#N/A,TRUE,"general";"via2",#N/A,TRUE,"general";"via3",#N/A,TRUE,"general"}</definedName>
    <definedName name="erte" hidden="1">{"via1",#N/A,TRUE,"general";"via2",#N/A,TRUE,"general";"via3",#N/A,TRUE,"general"}</definedName>
    <definedName name="erter" hidden="1">{"TAB1",#N/A,TRUE,"GENERAL";"TAB2",#N/A,TRUE,"GENERAL";"TAB3",#N/A,TRUE,"GENERAL";"TAB4",#N/A,TRUE,"GENERAL";"TAB5",#N/A,TRUE,"GENERAL"}</definedName>
    <definedName name="ertert" hidden="1">{"via1",#N/A,TRUE,"general";"via2",#N/A,TRUE,"general";"via3",#N/A,TRUE,"general"}</definedName>
    <definedName name="ertgyhik" hidden="1">{"TAB1",#N/A,TRUE,"GENERAL";"TAB2",#N/A,TRUE,"GENERAL";"TAB3",#N/A,TRUE,"GENERAL";"TAB4",#N/A,TRUE,"GENERAL";"TAB5",#N/A,TRUE,"GENERAL"}</definedName>
    <definedName name="ertreb" hidden="1">{"via1",#N/A,TRUE,"general";"via2",#N/A,TRUE,"general";"via3",#N/A,TRUE,"general"}</definedName>
    <definedName name="ertret" hidden="1">{"TAB1",#N/A,TRUE,"GENERAL";"TAB2",#N/A,TRUE,"GENERAL";"TAB3",#N/A,TRUE,"GENERAL";"TAB4",#N/A,TRUE,"GENERAL";"TAB5",#N/A,TRUE,"GENERAL"}</definedName>
    <definedName name="erttret" hidden="1">{"via1",#N/A,TRUE,"general";"via2",#N/A,TRUE,"general";"via3",#N/A,TRUE,"general"}</definedName>
    <definedName name="ertuiy" hidden="1">{"via1",#N/A,TRUE,"general";"via2",#N/A,TRUE,"general";"via3",#N/A,TRUE,"general"}</definedName>
    <definedName name="ertwert" hidden="1">{"TAB1",#N/A,TRUE,"GENERAL";"TAB2",#N/A,TRUE,"GENERAL";"TAB3",#N/A,TRUE,"GENERAL";"TAB4",#N/A,TRUE,"GENERAL";"TAB5",#N/A,TRUE,"GENERAL"}</definedName>
    <definedName name="ERTYYUU" hidden="1">#REF!</definedName>
    <definedName name="eru" hidden="1">{"TAB1",#N/A,TRUE,"GENERAL";"TAB2",#N/A,TRUE,"GENERAL";"TAB3",#N/A,TRUE,"GENERAL";"TAB4",#N/A,TRUE,"GENERAL";"TAB5",#N/A,TRUE,"GENERAL"}</definedName>
    <definedName name="ERV" hidden="1">{"via1",#N/A,TRUE,"general";"via2",#N/A,TRUE,"general";"via3",#N/A,TRUE,"general"}</definedName>
    <definedName name="erware" hidden="1">{"via1",#N/A,TRUE,"general";"via2",#N/A,TRUE,"general";"via3",#N/A,TRUE,"general"}</definedName>
    <definedName name="ERWER" hidden="1">{"via1",#N/A,TRUE,"general";"via2",#N/A,TRUE,"general";"via3",#N/A,TRUE,"general"}</definedName>
    <definedName name="erwertd" hidden="1">{"TAB1",#N/A,TRUE,"GENERAL";"TAB2",#N/A,TRUE,"GENERAL";"TAB3",#N/A,TRUE,"GENERAL";"TAB4",#N/A,TRUE,"GENERAL";"TAB5",#N/A,TRUE,"GENERAL"}</definedName>
    <definedName name="erwr" hidden="1">{"TAB1",#N/A,TRUE,"GENERAL";"TAB2",#N/A,TRUE,"GENERAL";"TAB3",#N/A,TRUE,"GENERAL";"TAB4",#N/A,TRUE,"GENERAL";"TAB5",#N/A,TRUE,"GENERAL"}</definedName>
    <definedName name="ERWRL" hidden="1">{"via1",#N/A,TRUE,"general";"via2",#N/A,TRUE,"general";"via3",#N/A,TRUE,"general"}</definedName>
    <definedName name="ery" hidden="1">{"via1",#N/A,TRUE,"general";"via2",#N/A,TRUE,"general";"via3",#N/A,TRUE,"general"}</definedName>
    <definedName name="eryhd" hidden="1">{"via1",#N/A,TRUE,"general";"via2",#N/A,TRUE,"general";"via3",#N/A,TRUE,"general"}</definedName>
    <definedName name="eryhdf" hidden="1">{"TAB1",#N/A,TRUE,"GENERAL";"TAB2",#N/A,TRUE,"GENERAL";"TAB3",#N/A,TRUE,"GENERAL";"TAB4",#N/A,TRUE,"GENERAL";"TAB5",#N/A,TRUE,"GENERAL"}</definedName>
    <definedName name="eryhk" hidden="1">{"TAB1",#N/A,TRUE,"GENERAL";"TAB2",#N/A,TRUE,"GENERAL";"TAB3",#N/A,TRUE,"GENERAL";"TAB4",#N/A,TRUE,"GENERAL";"TAB5",#N/A,TRUE,"GENERAL"}</definedName>
    <definedName name="eryhrf" hidden="1">{"TAB1",#N/A,TRUE,"GENERAL";"TAB2",#N/A,TRUE,"GENERAL";"TAB3",#N/A,TRUE,"GENERAL";"TAB4",#N/A,TRUE,"GENERAL";"TAB5",#N/A,TRUE,"GENERAL"}</definedName>
    <definedName name="eryre" hidden="1">{"TAB1",#N/A,TRUE,"GENERAL";"TAB2",#N/A,TRUE,"GENERAL";"TAB3",#N/A,TRUE,"GENERAL";"TAB4",#N/A,TRUE,"GENERAL";"TAB5",#N/A,TRUE,"GENERAL"}</definedName>
    <definedName name="erytd" hidden="1">{"via1",#N/A,TRUE,"general";"via2",#N/A,TRUE,"general";"via3",#N/A,TRUE,"general"}</definedName>
    <definedName name="eryty" hidden="1">{"via1",#N/A,TRUE,"general";"via2",#N/A,TRUE,"general";"via3",#N/A,TRUE,"general"}</definedName>
    <definedName name="eryy" hidden="1">{"via1",#N/A,TRUE,"general";"via2",#N/A,TRUE,"general";"via3",#N/A,TRUE,"general"}</definedName>
    <definedName name="es">#REF!</definedName>
    <definedName name="esc">#REF!</definedName>
    <definedName name="ESE" hidden="1">{#N/A,#N/A,FALSE,"TABLE"}</definedName>
    <definedName name="ESPECIALIDAD">#REF!</definedName>
    <definedName name="ESPECIALIDAD_2">#REF!</definedName>
    <definedName name="ESPECIALIDADES">#REF!</definedName>
    <definedName name="ESPECIALIDADES_1">#REF!</definedName>
    <definedName name="ESPECIALIDADES_3">#REF!</definedName>
    <definedName name="Especialista" hidden="1">{#N/A,#N/A,FALSE,"Costos Productos 6A";#N/A,#N/A,FALSE,"Costo Unitario Total H-94-12"}</definedName>
    <definedName name="ESPECIFICACION">#REF!</definedName>
    <definedName name="Especificación">#REF!</definedName>
    <definedName name="ESPOP">#REF!</definedName>
    <definedName name="ESTADO">#REF!</definedName>
    <definedName name="ESTADO_CIVIL">#REF!</definedName>
    <definedName name="ESTADO_EN_EL_SISTEMA">#REF!</definedName>
    <definedName name="ESTADOS">#REF!</definedName>
    <definedName name="Estimate_Factor">1</definedName>
    <definedName name="EstimateBasis">#REF!</definedName>
    <definedName name="ESTOLON">#REF!</definedName>
    <definedName name="ESTRAE">#REF!</definedName>
    <definedName name="Estrategia_de_contratación">#REF!</definedName>
    <definedName name="ESTRUCT">#REF!</definedName>
    <definedName name="ESTRUCTURA" hidden="1">{#N/A,#N/A,TRUE,"INGENIERIA";#N/A,#N/A,TRUE,"COMPRAS";#N/A,#N/A,TRUE,"DIRECCION";#N/A,#N/A,TRUE,"RESUMEN"}</definedName>
    <definedName name="ETE" hidden="1">{#N/A,#N/A,FALSE,"TABLE"}</definedName>
    <definedName name="etertgg" hidden="1">{"via1",#N/A,TRUE,"general";"via2",#N/A,TRUE,"general";"via3",#N/A,TRUE,"general"}</definedName>
    <definedName name="etertt" hidden="1">{#N/A,#N/A,TRUE,"1842CWN0"}</definedName>
    <definedName name="etewt" hidden="1">{"TAB1",#N/A,TRUE,"GENERAL";"TAB2",#N/A,TRUE,"GENERAL";"TAB3",#N/A,TRUE,"GENERAL";"TAB4",#N/A,TRUE,"GENERAL";"TAB5",#N/A,TRUE,"GENERAL"}</definedName>
    <definedName name="etgb" hidden="1">#REF!</definedName>
    <definedName name="etp" hidden="1">{#N/A,#N/A,FALSE,"TEC-01";#N/A,#N/A,FALSE,"TEC - 02";#N/A,#N/A,FALSE,"TEC - 03";#N/A,#N/A,FALSE,"TEC - 04";#N/A,#N/A,FALSE,"TEC-07";#N/A,#N/A,FALSE,"TEC-08";#N/A,#N/A,FALSE,"TEC - 09A";#N/A,#N/A,FALSE,"TEC - 09B";#N/A,#N/A,FALSE,"TEC - 09C";#N/A,#N/A,FALSE,"TEC - 10";#N/A,#N/A,FALSE,"TEC-11"}</definedName>
    <definedName name="ETQHMEQTHM" hidden="1">#REF!</definedName>
    <definedName name="etu" hidden="1">{"via1",#N/A,TRUE,"general";"via2",#N/A,TRUE,"general";"via3",#N/A,TRUE,"general"}</definedName>
    <definedName name="etueh" hidden="1">{"via1",#N/A,TRUE,"general";"via2",#N/A,TRUE,"general";"via3",#N/A,TRUE,"general"}</definedName>
    <definedName name="etyty" hidden="1">{"via1",#N/A,TRUE,"general";"via2",#N/A,TRUE,"general";"via3",#N/A,TRUE,"general"}</definedName>
    <definedName name="etyu" hidden="1">{"TAB1",#N/A,TRUE,"GENERAL";"TAB2",#N/A,TRUE,"GENERAL";"TAB3",#N/A,TRUE,"GENERAL";"TAB4",#N/A,TRUE,"GENERAL";"TAB5",#N/A,TRUE,"GENERAL"}</definedName>
    <definedName name="eu" hidden="1">{"via1",#N/A,TRUE,"general";"via2",#N/A,TRUE,"general";"via3",#N/A,TRUE,"general"}</definedName>
    <definedName name="EUR">#REF!</definedName>
    <definedName name="euro">#REF!</definedName>
    <definedName name="EURSELL">#REF!</definedName>
    <definedName name="eut" hidden="1">{"via1",#N/A,TRUE,"general";"via2",#N/A,TRUE,"general";"via3",#N/A,TRUE,"general"}</definedName>
    <definedName name="euyt" hidden="1">{"TAB1",#N/A,TRUE,"GENERAL";"TAB2",#N/A,TRUE,"GENERAL";"TAB3",#N/A,TRUE,"GENERAL";"TAB4",#N/A,TRUE,"GENERAL";"TAB5",#N/A,TRUE,"GENERAL"}</definedName>
    <definedName name="ev.Calculation" hidden="1">-4135</definedName>
    <definedName name="ev.Initialized" hidden="1">FALSE</definedName>
    <definedName name="EV__LASTREFTIME__" hidden="1">38555.5292708333</definedName>
    <definedName name="EWE" hidden="1">{#N/A,#N/A,FALSE,"PERSONAL"}</definedName>
    <definedName name="ewegt" hidden="1">{"TAB1",#N/A,TRUE,"GENERAL";"TAB2",#N/A,TRUE,"GENERAL";"TAB3",#N/A,TRUE,"GENERAL";"TAB4",#N/A,TRUE,"GENERAL";"TAB5",#N/A,TRUE,"GENERAL"}</definedName>
    <definedName name="EWERE" hidden="1">{#N/A,#N/A,FALSE,"PERSONAL"}</definedName>
    <definedName name="EWEWE" hidden="1">{#N/A,#N/A,FALSE,"PERSONAL"}</definedName>
    <definedName name="EWEWEWE" hidden="1">{#N/A,#N/A,FALSE,"PERSONAL"}</definedName>
    <definedName name="ewfewfg" hidden="1">{"TAB1",#N/A,TRUE,"GENERAL";"TAB2",#N/A,TRUE,"GENERAL";"TAB3",#N/A,TRUE,"GENERAL";"TAB4",#N/A,TRUE,"GENERAL";"TAB5",#N/A,TRUE,"GENERAL"}</definedName>
    <definedName name="ewre" hidden="1">{"TAB1",#N/A,TRUE,"GENERAL";"TAB2",#N/A,TRUE,"GENERAL";"TAB3",#N/A,TRUE,"GENERAL";"TAB4",#N/A,TRUE,"GENERAL";"TAB5",#N/A,TRUE,"GENERAL"}</definedName>
    <definedName name="ewrewf" hidden="1">{"TAB1",#N/A,TRUE,"GENERAL";"TAB2",#N/A,TRUE,"GENERAL";"TAB3",#N/A,TRUE,"GENERAL";"TAB4",#N/A,TRUE,"GENERAL";"TAB5",#N/A,TRUE,"GENERAL"}</definedName>
    <definedName name="ewrr" hidden="1">{"TAB1",#N/A,TRUE,"GENERAL";"TAB2",#N/A,TRUE,"GENERAL";"TAB3",#N/A,TRUE,"GENERAL";"TAB4",#N/A,TRUE,"GENERAL";"TAB5",#N/A,TRUE,"GENERAL"}</definedName>
    <definedName name="ewrt" hidden="1">{"TAB1",#N/A,TRUE,"GENERAL";"TAB2",#N/A,TRUE,"GENERAL";"TAB3",#N/A,TRUE,"GENERAL";"TAB4",#N/A,TRUE,"GENERAL";"TAB5",#N/A,TRUE,"GENERAL"}</definedName>
    <definedName name="ewrterert" hidden="1">{#N/A,#N/A,FALSE,"Solids Only"}</definedName>
    <definedName name="ewrwer" hidden="1">{"TAB1",#N/A,TRUE,"GENERAL";"TAB2",#N/A,TRUE,"GENERAL";"TAB3",#N/A,TRUE,"GENERAL";"TAB4",#N/A,TRUE,"GENERAL";"TAB5",#N/A,TRUE,"GENERAL"}</definedName>
    <definedName name="EWTWET" hidden="1">{#N/A,#N/A,FALSE,"TABLE"}</definedName>
    <definedName name="EWW" hidden="1">{#N/A,#N/A,FALSE,"a1";#N/A,#N/A,FALSE,"a2";#N/A,#N/A,FALSE,"a3";#N/A,#N/A,FALSE,"a4a";#N/A,#N/A,FALSE,"a4B";#N/A,#N/A,FALSE,"a4C";#N/A,#N/A,FALSE,"a4D";#N/A,#N/A,FALSE,"A5a ";#N/A,#N/A,FALSE,"A5b";#N/A,#N/A,FALSE,"A6A";#N/A,#N/A,FALSE,"A6B";#N/A,#N/A,FALSE,"A6C";#N/A,#N/A,FALSE,"A6D";#N/A,#N/A,FALSE,"INV"}</definedName>
    <definedName name="EWW_1" hidden="1">{#N/A,#N/A,FALSE,"a1";#N/A,#N/A,FALSE,"a2";#N/A,#N/A,FALSE,"a3";#N/A,#N/A,FALSE,"a4a";#N/A,#N/A,FALSE,"a4B";#N/A,#N/A,FALSE,"a4C";#N/A,#N/A,FALSE,"a4D";#N/A,#N/A,FALSE,"A5a ";#N/A,#N/A,FALSE,"A5b";#N/A,#N/A,FALSE,"A6A";#N/A,#N/A,FALSE,"A6B";#N/A,#N/A,FALSE,"A6C";#N/A,#N/A,FALSE,"A6D";#N/A,#N/A,FALSE,"INV"}</definedName>
    <definedName name="Ex">#REF!</definedName>
    <definedName name="EX_1" hidden="1">#REF!</definedName>
    <definedName name="EXAMENES">#REF!</definedName>
    <definedName name="EXC">#REF!</definedName>
    <definedName name="exCEL">#REF!</definedName>
    <definedName name="exCEL_51">#REF!</definedName>
    <definedName name="Excel_BuiltIn_Print_Area_3">#REF!</definedName>
    <definedName name="Excel_BuiltIn_Print_Area_3_51">#REF!</definedName>
    <definedName name="Excel_BuiltIn_Print_Area_3_X">#REF!</definedName>
    <definedName name="Excel_BuiltIn_Print_Area_3_X_51">#REF!</definedName>
    <definedName name="Excel_BuiltIn_Print_Area_4">#REF!</definedName>
    <definedName name="Excel_BuiltIn_Print_Titles_10">#REF!,#REF!</definedName>
    <definedName name="Excel_BuiltIn_Print_Titles_10_51">#REF!</definedName>
    <definedName name="Excel_BuiltIn_Print_Titles_11">#REF!,#REF!</definedName>
    <definedName name="Excel_BuiltIn_Print_Titles_11_51">#REF!</definedName>
    <definedName name="Excel_BuiltIn_Print_Titles_12">#REF!</definedName>
    <definedName name="Excel_BuiltIn_Print_Titles_12_51">#REF!</definedName>
    <definedName name="Excel_BuiltIn_Print_Titles_13">#REF!,#REF!</definedName>
    <definedName name="Excel_BuiltIn_Print_Titles_13_51">#REF!</definedName>
    <definedName name="Excel_BuiltIn_Print_Titles_14">#REF!,#REF!</definedName>
    <definedName name="Excel_BuiltIn_Print_Titles_14_51">#REF!</definedName>
    <definedName name="Excel_BuiltIn_Print_Titles_15">#REF!,#REF!</definedName>
    <definedName name="Excel_BuiltIn_Print_Titles_15_51">#REF!</definedName>
    <definedName name="Excel_BuiltIn_Print_Titles_16">#REF!,#REF!</definedName>
    <definedName name="Excel_BuiltIn_Print_Titles_16_51">#REF!</definedName>
    <definedName name="Excel_BuiltIn_Print_Titles_17">#REF!,#REF!</definedName>
    <definedName name="Excel_BuiltIn_Print_Titles_17_51">#REF!</definedName>
    <definedName name="Excel_BuiltIn_Print_Titles_18">#REF!,#REF!</definedName>
    <definedName name="Excel_BuiltIn_Print_Titles_18_51">#REF!</definedName>
    <definedName name="Excel_BuiltIn_Print_Titles_19">#REF!,#REF!</definedName>
    <definedName name="Excel_BuiltIn_Print_Titles_19_51">#REF!</definedName>
    <definedName name="Excel_BuiltIn_Print_Titles_2">#REF!</definedName>
    <definedName name="Excel_BuiltIn_Print_Titles_20">#REF!,#REF!</definedName>
    <definedName name="Excel_BuiltIn_Print_Titles_20_51">#REF!</definedName>
    <definedName name="Excel_BuiltIn_Print_Titles_21">#REF!</definedName>
    <definedName name="Excel_BuiltIn_Print_Titles_21_51">#REF!</definedName>
    <definedName name="Excel_BuiltIn_Print_Titles_23">#REF!</definedName>
    <definedName name="Excel_BuiltIn_Print_Titles_23_51">#REF!</definedName>
    <definedName name="Excel_BuiltIn_Print_Titles_3">#REF!</definedName>
    <definedName name="Excel_BuiltIn_Print_Titles_3_51">#REF!</definedName>
    <definedName name="Excel_BuiltIn_Print_Titles_5">#REF!</definedName>
    <definedName name="Excel_BuiltIn_Print_Titles_5_51">#REF!</definedName>
    <definedName name="Excel_BuiltIn_Print_Titles_5_XX">#REF!</definedName>
    <definedName name="Excel_BuiltIn_Print_Titles_5_XX_51">#REF!</definedName>
    <definedName name="Excel_BuiltIn_Print_Titles_6">#REF!,#REF!</definedName>
    <definedName name="Excel_BuiltIn_Print_Titles_6_51">#REF!</definedName>
    <definedName name="Excel_BuiltIn_Print_Titles_7">#REF!,#REF!</definedName>
    <definedName name="Excel_BuiltIn_Print_Titles_7_51">#REF!</definedName>
    <definedName name="Excel_BuiltIn_Print_Titles_8">#REF!,#REF!</definedName>
    <definedName name="Excel_BuiltIn_Print_Titles_8_51">#REF!</definedName>
    <definedName name="Excel_BuiltIn_Print_Titles_9">#REF!,#REF!</definedName>
    <definedName name="Excel_BuiltIn_Print_Titles_9_51">#REF!</definedName>
    <definedName name="Exch_Rate">#REF!</definedName>
    <definedName name="Exch_Rate1">#REF!</definedName>
    <definedName name="exec">#REF!</definedName>
    <definedName name="Executivepb" hidden="1">#REF!</definedName>
    <definedName name="exis" hidden="1">#REF!</definedName>
    <definedName name="exit" hidden="1">{#N/A,#N/A,FALSE,"FactSheet";#N/A,#N/A,FALSE,"Goals";#N/A,#N/A,FALSE,"IncCash";#N/A,#N/A,FALSE,"Production";#N/A,#N/A,FALSE,"Reserves";#N/A,#N/A,FALSE,"Inventory";#N/A,#N/A,FALSE,"HES"}</definedName>
    <definedName name="exit1" hidden="1">{#N/A,#N/A,FALSE,"FactSheet";#N/A,#N/A,FALSE,"Goals";#N/A,#N/A,FALSE,"IncCash";#N/A,#N/A,FALSE,"Production";#N/A,#N/A,FALSE,"Reserves";#N/A,#N/A,FALSE,"Inventory";#N/A,#N/A,FALSE,"HES"}</definedName>
    <definedName name="EXPCONFIS" hidden="1">{#N/A,#N/A,FALSE,"DITCAR";#N/A,#N/A,FALSE,"a1";#N/A,#N/A,FALSE,"a2";#N/A,#N/A,FALSE,"a3";#N/A,#N/A,FALSE,"a4";#N/A,#N/A,FALSE,"a4a";#N/A,#N/A,FALSE,"a4B";#N/A,#N/A,FALSE,"a4C";#N/A,#N/A,FALSE,"A5a ";#N/A,#N/A,FALSE,"A5b";#N/A,#N/A,FALSE,"A6A";#N/A,#N/A,FALSE,"A6B";#N/A,#N/A,FALSE,"A6C";#N/A,#N/A,FALSE,"04PG12NB"}</definedName>
    <definedName name="ExpeditingLevel">#REF!</definedName>
    <definedName name="EXPFIS" hidden="1">{"DETALLE_1996",#N/A,FALSE,"flujo";"DETALLE_1997",#N/A,FALSE,"flujo";"GASTOS_INCURRIDOS_1996",#N/A,FALSE,"flujo";"GASTOS_PROGRAMADOS_PARA_1997",#N/A,FALSE,"flujo";#N/A,#N/A,FALSE,"comparat";#N/A,#N/A,FALSE,"costos";#N/A,#N/A,FALSE,"proyctrol"}</definedName>
    <definedName name="expo" hidden="1">{"'banner (abr)'!$A$14:$G$22"}</definedName>
    <definedName name="EXPORT_FILE_TOTAL">#REF!</definedName>
    <definedName name="EXPOSURE_YES_NO">#REF!</definedName>
    <definedName name="ext" hidden="1">{"'banner (abr)'!$A$14:$G$22"}</definedName>
    <definedName name="Exterior" hidden="1">{"'banner (abr)'!$A$14:$G$22"}</definedName>
    <definedName name="exterior100" hidden="1">{"'banner (abr)'!$A$14:$G$22"}</definedName>
    <definedName name="exterior2" hidden="1">{"'banner (abr)'!$A$14:$G$22"}</definedName>
    <definedName name="exterior3" hidden="1">{"'banner (abr)'!$A$14:$G$22"}</definedName>
    <definedName name="exterior4ç" hidden="1">{"'banner (abr)'!$A$14:$G$22"}</definedName>
    <definedName name="exteriorre" hidden="1">{"'banner (abr)'!$A$14:$G$22"}</definedName>
    <definedName name="external">#REF!</definedName>
    <definedName name="Extra_Pay">#REF!</definedName>
    <definedName name="eyeyey" hidden="1">#REF!</definedName>
    <definedName name="eyteyt" hidden="1">{#N/A,#N/A,FALSE,"CCTV"}</definedName>
    <definedName name="F.M_Caño_Lim">#REF!</definedName>
    <definedName name="F.M_Cov_Car">#REF!</definedName>
    <definedName name="F.M_Occ">#REF!</definedName>
    <definedName name="F.M_Ori_Cen_Llan">#REF!</definedName>
    <definedName name="FA" hidden="1">{#N/A,#N/A,FALSE,"VOL695";#N/A,#N/A,FALSE,"anexo1";#N/A,#N/A,FALSE,"anexo2";#N/A,#N/A,FALSE,"anexo3";#N/A,#N/A,FALSE,"anexo4";#N/A,#N/A,FALSE,"anexo5a";#N/A,#N/A,FALSE,"anexo5b";#N/A,#N/A,FALSE,"anexo6a";#N/A,#N/A,FALSE,"anexo6a";#N/A,#N/A,FALSE,"anexo6c";#N/A,#N/A,FALSE,"anexo7a";#N/A,#N/A,FALSE,"anexo7b";#N/A,#N/A,FALSE,"anexo7c"}</definedName>
    <definedName name="fabio">#REF!</definedName>
    <definedName name="FAC" hidden="1">#REF!</definedName>
    <definedName name="FAC_PRU">#REF!</definedName>
    <definedName name="Facility">#REF!</definedName>
    <definedName name="FactComp">1</definedName>
    <definedName name="FACTOR_01">#REF!</definedName>
    <definedName name="FACTOR_DIS">#REF!</definedName>
    <definedName name="FACTOR_ENVEJ">#REF!</definedName>
    <definedName name="Factores_personales">#REF!</definedName>
    <definedName name="Factores_trabajo">#REF!</definedName>
    <definedName name="Factors">#REF!</definedName>
    <definedName name="Factpb" hidden="1">#REF!</definedName>
    <definedName name="Factpb2" hidden="1">#REF!</definedName>
    <definedName name="FACY" hidden="1">{#N/A,#N/A,FALSE,"masez (10)";#N/A,#N/A,FALSE,"masez (7)";#N/A,#N/A,FALSE,"masez (6)";#N/A,#N/A,FALSE,"masez (5)";#N/A,#N/A,FALSE,"masez (4)";#N/A,#N/A,FALSE,"masez (3)";#N/A,#N/A,FALSE,"masez (2)";#N/A,#N/A,FALSE,"GME";#N/A,#N/A,FALSE,"masez"}</definedName>
    <definedName name="fadsfasfas" hidden="1">{"Concep",#N/A,FALSE,"Exp";"Introd",#N/A,FALSE,"Exp";"Libro",#N/A,FALSE,"Exp";"CoBe",#N/A,FALSE,"C&amp;B";"Ptas",#N/A,FALSE,"Ptas";"EqT",#N/A,FALSE,"Eq";"EqU",#N/A,FALSE,"Eq";"VrE",#N/A,FALSE,"Eq";"NPer",#N/A,FALSE,"Per";"VrPer",#N/A,FALSE,"Per";"MaEq",#N/A,FALSE,"Mat";"MaEsp",#N/A,FALSE,"Mat";"MaEvR",#N/A,FALSE,"Mat";"MaRut",#N/A,FALSE,"Mat";"MaTot",#N/A,FALSE,"Mat";"Sumi",#N/A,FALSE,"Sum";"LavTra",#N/A,FALSE,"Bien";"ServEsp",#N/A,FALSE,"Serv";"ServGral",#N/A,FALSE,"Serv";"ServRuE",#N/A,FALSE,"Serv";"ServRuG",#N/A,FALSE,"Serv";"ServT",#N/A,FALSE,"Serv";"TraR",#N/A,FALSE,"WEq";"EqEsp",#N/A,FALSE,"WEsp";"EqEspT",#N/A,FALSE,"WEsp";"WEsp",#N/A,FALSE,"WEsp";"WRut",#N/A,FALSE,"WRut";"CompUI",#N/A,FALSE,"Comp";"EjPre",#N/A,FALSE,"Comp";"Crudos",#N/A,FALSE,"Gral";"Fondos",#N/A,FALSE,"Gral";"Petroq",#N/A,FALSE,"Gral";"Parti",#N/A,FALSE,"Res";"Resum",#N/A,FALSE,"Res";"ComPre",#N/A,FALSE,"9596";"GsI",#N/A,FALSE,"Salar";"GsII",#N/A,FALSE,"Salar";"GsIII",#N/A,FALSE,"Salar";"GsIV",#N/A,FALSE,"Salar";"Salar",#N/A,FALSE,"Salar";"Aseo",#N/A,FALSE,"As&amp;Tr";"Transp",#N/A,FALSE,"As&amp;Tr";"VrAsU",#N/A,FALSE,"As&amp;Tr";"PapVrT",#N/A,FALSE,"Papel";"PapVrU",#N/A,FALSE,"Papel";"Adq",#N/A,FALSE,"Ropa";"lav",#N/A,FALSE,"Ropa";"SegT",#N/A,FALSE,"Seg"}</definedName>
    <definedName name="FAL" hidden="1">{#N/A,#N/A,FALSE,"Hoja1";#N/A,#N/A,FALSE,"Hoja2"}</definedName>
    <definedName name="falat" hidden="1">{"'banner (abr)'!$A$14:$G$22"}</definedName>
    <definedName name="falb" hidden="1">{#N/A,#N/A,FALSE,"Hoja1";#N/A,#N/A,FALSE,"Hoja2"}</definedName>
    <definedName name="falsey" hidden="1">{"'banner (abr)'!$A$14:$G$22"}</definedName>
    <definedName name="FAN견적의뢰" hidden="1">{#N/A,#N/A,FALSE,"기안지";#N/A,#N/A,FALSE,"통신지"}</definedName>
    <definedName name="FAPR">#REF!</definedName>
    <definedName name="FASES">#REF!</definedName>
    <definedName name="fasfsdfsdfasdfsdfsd" hidden="1">{#N/A,#N/A,TRUE,"Basic";#N/A,#N/A,TRUE,"EXT-TABLE";#N/A,#N/A,TRUE,"STEEL";#N/A,#N/A,TRUE,"INT-Table";#N/A,#N/A,TRUE,"STEEL";#N/A,#N/A,TRUE,"Door"}</definedName>
    <definedName name="fb_dc_cur_001">#REF!</definedName>
    <definedName name="fb_dev_address_001">#REF!</definedName>
    <definedName name="fb_dev_id_001">#REF!</definedName>
    <definedName name="fb_max_volt_001">#REF!</definedName>
    <definedName name="fb_min_transmit_level_001">#REF!</definedName>
    <definedName name="fb_min_volt_001">#REF!</definedName>
    <definedName name="fb_standard_001">#REF!</definedName>
    <definedName name="fb_tag_no_001">#REF!</definedName>
    <definedName name="fbqmf" hidden="1">#REF!</definedName>
    <definedName name="FC." hidden="1">{#N/A,#N/A,FALSE,"단축1";#N/A,#N/A,FALSE,"단축2";#N/A,#N/A,FALSE,"단축3";#N/A,#N/A,FALSE,"장축";#N/A,#N/A,FALSE,"4WD"}</definedName>
    <definedName name="FC_COPIA" hidden="1">{"'Sheet1'!$A$1:$G$85"}</definedName>
    <definedName name="FCAT_MOV">#N/A</definedName>
    <definedName name="FCLINE2" hidden="1">{#N/A,#N/A,FALSE,"단축1";#N/A,#N/A,FALSE,"단축2";#N/A,#N/A,FALSE,"단축3";#N/A,#N/A,FALSE,"장축";#N/A,#N/A,FALSE,"4WD"}</definedName>
    <definedName name="FCode" hidden="1">#REF!</definedName>
    <definedName name="FCTCY">#REF!</definedName>
    <definedName name="fd">#REF!</definedName>
    <definedName name="fda" hidden="1">{"TAB1",#N/A,TRUE,"GENERAL";"TAB2",#N/A,TRUE,"GENERAL";"TAB3",#N/A,TRUE,"GENERAL";"TAB4",#N/A,TRUE,"GENERAL";"TAB5",#N/A,TRUE,"GENERAL"}</definedName>
    <definedName name="FDABML" hidden="1">#REF!</definedName>
    <definedName name="fdadsfa" hidden="1">{"PRES REHAB ARM-PER POR ITEMS  KM A KM",#N/A,TRUE,"Rehabilitacion Arm-Per"}</definedName>
    <definedName name="fdadsfa_1" hidden="1">{"PRES REHAB ARM-PER POR ITEMS  KM A KM",#N/A,TRUE,"Rehabilitacion Arm-Per"}</definedName>
    <definedName name="fdadsfa_1_1" hidden="1">{"PRES REHAB ARM-PER POR ITEMS  KM A KM",#N/A,TRUE,"Rehabilitacion Arm-Per"}</definedName>
    <definedName name="fdas" hidden="1">{"uno",#N/A,FALSE,"Dist total";"COMENTARIO",#N/A,FALSE,"Ficha CODICE"}</definedName>
    <definedName name="fdbjp" hidden="1">{"TAB1",#N/A,TRUE,"GENERAL";"TAB2",#N/A,TRUE,"GENERAL";"TAB3",#N/A,TRUE,"GENERAL";"TAB4",#N/A,TRUE,"GENERAL";"TAB5",#N/A,TRUE,"GENERAL"}</definedName>
    <definedName name="fddfhdfhdgh" hidden="1">{#N/A,#N/A,FALSE,"CCTV"}</definedName>
    <definedName name="fdf" hidden="1">{"TAB1",#N/A,TRUE,"GENERAL";"TAB2",#N/A,TRUE,"GENERAL";"TAB3",#N/A,TRUE,"GENERAL";"TAB4",#N/A,TRUE,"GENERAL";"TAB5",#N/A,TRUE,"GENERAL"}</definedName>
    <definedName name="FDFD" hidden="1">{#N/A,#N/A,FALSE,"PERSONAL"}</definedName>
    <definedName name="FDFDF" hidden="1">{#N/A,#N/A,FALSE,"CCTV"}</definedName>
    <definedName name="FDFDFD" hidden="1">{#N/A,#N/A,FALSE,"PERSONAL"}</definedName>
    <definedName name="FDFDFDFD" hidden="1">{#N/A,#N/A,FALSE,"PERSONAL"}</definedName>
    <definedName name="FDFDFDFDFDFDFDFDFDFDF" hidden="1">{#N/A,#N/A,FALSE,"PERSONAL"}</definedName>
    <definedName name="fdfjgd" hidden="1">{"Informe 2_Consolidado",#N/A,FALSE,"Cons.";"Informe 2_Tunel",#N/A,FALSE,"Cons.";"Informe 2_Melip",#N/A,FALSE,"Cons.";"Informe 2_Guall",#N/A,FALSE,"Cons.";"Informe 2_Sara L",#N/A,FALSE,"Cons.";"Informe 2_Quellon",#N/A,FALSE,"Cons.";"Informe 2_Biolix",#N/A,FALSE,"Cons.";"Informe 2_Oficina",#N/A,FALSE,"Cons.";"Informe 2_Consorcio",#N/A,FALSE,"Cons."}</definedName>
    <definedName name="fdg" hidden="1">{"via1",#N/A,TRUE,"general";"via2",#N/A,TRUE,"general";"via3",#N/A,TRUE,"general"}</definedName>
    <definedName name="FDGD" hidden="1">{"TAB1",#N/A,TRUE,"GENERAL";"TAB2",#N/A,TRUE,"GENERAL";"TAB3",#N/A,TRUE,"GENERAL";"TAB4",#N/A,TRUE,"GENERAL";"TAB5",#N/A,TRUE,"GENERAL"}</definedName>
    <definedName name="FDGFDBBP" hidden="1">{"TAB1",#N/A,TRUE,"GENERAL";"TAB2",#N/A,TRUE,"GENERAL";"TAB3",#N/A,TRUE,"GENERAL";"TAB4",#N/A,TRUE,"GENERAL";"TAB5",#N/A,TRUE,"GENERAL"}</definedName>
    <definedName name="fdh" hidden="1">{"TAB1",#N/A,TRUE,"GENERAL";"TAB2",#N/A,TRUE,"GENERAL";"TAB3",#N/A,TRUE,"GENERAL";"TAB4",#N/A,TRUE,"GENERAL";"TAB5",#N/A,TRUE,"GENERAL"}</definedName>
    <definedName name="fdhg" hidden="1">{#N/A,#N/A,FALSE,"이태원철근"}</definedName>
    <definedName name="fdkjkj" hidden="1">{#N/A,#N/A,FALSE,"단축1";#N/A,#N/A,FALSE,"단축2";#N/A,#N/A,FALSE,"단축3";#N/A,#N/A,FALSE,"장축";#N/A,#N/A,FALSE,"4WD"}</definedName>
    <definedName name="fds"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fdsa" hidden="1">{#N/A,#N/A,FALSE,"단축1";#N/A,#N/A,FALSE,"단축2";#N/A,#N/A,FALSE,"단축3";#N/A,#N/A,FALSE,"장축";#N/A,#N/A,FALSE,"4WD"}</definedName>
    <definedName name="fdsf" hidden="1">{"TAB1",#N/A,TRUE,"GENERAL";"TAB2",#N/A,TRUE,"GENERAL";"TAB3",#N/A,TRUE,"GENERAL";"TAB4",#N/A,TRUE,"GENERAL";"TAB5",#N/A,TRUE,"GENERAL"}</definedName>
    <definedName name="fdsfds" hidden="1">{"TAB1",#N/A,TRUE,"GENERAL";"TAB2",#N/A,TRUE,"GENERAL";"TAB3",#N/A,TRUE,"GENERAL";"TAB4",#N/A,TRUE,"GENERAL";"TAB5",#N/A,TRUE,"GENERAL"}</definedName>
    <definedName name="fdsfdsf" hidden="1">{"via1",#N/A,TRUE,"general";"via2",#N/A,TRUE,"general";"via3",#N/A,TRUE,"general"}</definedName>
    <definedName name="fdsfsdfdsfsd" hidden="1">{"DETALLE_1996",#N/A,FALSE,"flujo";"DETALLE_1997",#N/A,FALSE,"flujo";"GASTOS_INCURRIDOS_1996",#N/A,FALSE,"flujo";"GASTOS_PROGRAMADOS_PARA_1997",#N/A,FALSE,"flujo";#N/A,#N/A,FALSE,"comparat";#N/A,#N/A,FALSE,"costos";#N/A,#N/A,FALSE,"proyctrol"}</definedName>
    <definedName name="FDSFSDS" hidden="1">{#N/A,#N/A,FALSE,"PERSONAL"}</definedName>
    <definedName name="fdsgfds" hidden="1">{"via1",#N/A,TRUE,"general";"via2",#N/A,TRUE,"general";"via3",#N/A,TRUE,"general"}</definedName>
    <definedName name="fdsgsdfu" hidden="1">{"TAB1",#N/A,TRUE,"GENERAL";"TAB2",#N/A,TRUE,"GENERAL";"TAB3",#N/A,TRUE,"GENERAL";"TAB4",#N/A,TRUE,"GENERAL";"TAB5",#N/A,TRUE,"GENERAL"}</definedName>
    <definedName name="fdshfg" hidden="1">{#N/A,#N/A,FALSE,"masez (10)";#N/A,#N/A,FALSE,"masez (7)";#N/A,#N/A,FALSE,"masez (6)";#N/A,#N/A,FALSE,"masez (5)";#N/A,#N/A,FALSE,"masez (4)";#N/A,#N/A,FALSE,"masez (3)";#N/A,#N/A,FALSE,"masez (2)";#N/A,#N/A,FALSE,"GME";#N/A,#N/A,FALSE,"masez"}</definedName>
    <definedName name="FDSIO" hidden="1">{"TAB1",#N/A,TRUE,"GENERAL";"TAB2",#N/A,TRUE,"GENERAL";"TAB3",#N/A,TRUE,"GENERAL";"TAB4",#N/A,TRUE,"GENERAL";"TAB5",#N/A,TRUE,"GENERAL"}</definedName>
    <definedName name="fe_isize_anbsensor_001">#REF!</definedName>
    <definedName name="fe_isize_anbtype_001">#REF!</definedName>
    <definedName name="fe_isize_calctype_indx_001">#REF!</definedName>
    <definedName name="fe_isize_decplaces_001">#REF!</definedName>
    <definedName name="fe_isize_drainvent_indx_001">#REF!</definedName>
    <definedName name="fe_isize_elemmtl_indx_001">#REF!</definedName>
    <definedName name="fe_isize_ifoasize_001">#REF!</definedName>
    <definedName name="fe_isize_ifoatype_001">#REF!</definedName>
    <definedName name="fe_isize_instrtype_indx_001">#REF!</definedName>
    <definedName name="fe_isize_pipemtl_indx_001">#REF!</definedName>
    <definedName name="fe_isize_standard_indx_001">#REF!</definedName>
    <definedName name="fe_isize_wedgehdr_001">#REF!</definedName>
    <definedName name="fe_isize_wedgemodel_001">#REF!</definedName>
    <definedName name="fe_isize_wedgesize_001">#REF!</definedName>
    <definedName name="Feb">#REF!</definedName>
    <definedName name="feb_20">#REF!</definedName>
    <definedName name="feb_21">#REF!</definedName>
    <definedName name="FEBRERO">#REF!</definedName>
    <definedName name="FEC_VALUA">#REF!</definedName>
    <definedName name="Fecha">#REF!</definedName>
    <definedName name="FECHA.R1">#REF!</definedName>
    <definedName name="FECHA.R2">#REF!</definedName>
    <definedName name="FECHA.R3">#REF!</definedName>
    <definedName name="FECHA.R4">#REF!</definedName>
    <definedName name="FECHA.SMML">#REF!</definedName>
    <definedName name="Fecha_Equipo">OFFSET(#REF!,0,0,COUNTA(#REF!),1)</definedName>
    <definedName name="FECHA_INICIO_PROJECT">#REF!</definedName>
    <definedName name="Fecha_Movimiento">OFFSET(#REF!,0,0,COUNTA(#REF!),1)</definedName>
    <definedName name="FECHAS_C" comment="Sirve para traer el valor del CPTP entre un rango de fechas">#REF!</definedName>
    <definedName name="FECHAS_F">#REF!</definedName>
    <definedName name="FECHAS_HH">#REF!</definedName>
    <definedName name="FECINIPR">#REF!</definedName>
    <definedName name="FECTERPR">#REF!</definedName>
    <definedName name="FEEE" hidden="1">{#N/A,#N/A,FALSE,"PERSONAL"}</definedName>
    <definedName name="Fees">SUM(#REF!)</definedName>
    <definedName name="FEL" hidden="1">{#N/A,#N/A,FALSE,"Hoja1";#N/A,#N/A,FALSE,"Hoja2"}</definedName>
    <definedName name="felb" hidden="1">{#N/A,#N/A,FALSE,"Hoja1";#N/A,#N/A,FALSE,"Hoja2"}</definedName>
    <definedName name="felipe" hidden="1">{"CI+GG(BASE)",#N/A,FALSE,"CI+GG(BASE)";"GG",#N/A,FALSE,"CI+GG(BASE)";"CI",#N/A,FALSE,"CI+GG(BASE)"}</definedName>
    <definedName name="ferf" hidden="1">{#N/A,#N/A,FALSE,"orthoflow";#N/A,#N/A,FALSE,"Miscelaneos";#N/A,#N/A,FALSE,"Instrumentacio";#N/A,#N/A,FALSE,"Electrico";#N/A,#N/A,FALSE,"Valv. Seguridad"}</definedName>
    <definedName name="ferfer" hidden="1">{"via1",#N/A,TRUE,"general";"via2",#N/A,TRUE,"general";"via3",#N/A,TRUE,"general"}</definedName>
    <definedName name="Fernando" hidden="1">{"cuadro1",#N/A,FALSE,"Cam buz camión Opción 1";"cuadro2",#N/A,FALSE,"Cam buz camión Opción 1";"cuadro3",#N/A,FALSE,"Cam buz camión Opción 1";"cuadro4",#N/A,FALSE,"Cam buz camión Opción 1";"cuadro5",#N/A,FALSE,"Cam buz camión Opción 1"}</definedName>
    <definedName name="fess" hidden="1">#REF!</definedName>
    <definedName name="festivos">#REF!</definedName>
    <definedName name="FF">#REF!</definedName>
    <definedName name="FFAAFA" hidden="1">{#N/A,#N/A,FALSE,"Upía";#N/A,#N/A,FALSE,"CPR Espinal";#N/A,#N/A,FALSE,"Magangué"}</definedName>
    <definedName name="FFAF.EXE" hidden="1">{#N/A,#N/A,FALSE,"Casanare";#N/A,#N/A,FALSE,"Estero";#N/A,#N/A,FALSE,"Garcero";#N/A,#N/A,FALSE,"Orocué";#N/A,#N/A,FALSE,"Corocora"}</definedName>
    <definedName name="FFALD">#REF!</definedName>
    <definedName name="fff" hidden="1">{"via1",#N/A,TRUE,"general";"via2",#N/A,TRUE,"general";"via3",#N/A,TRUE,"general"}</definedName>
    <definedName name="FFFF" hidden="1">{#N/A,#N/A,FALSE,"VOL695";#N/A,#N/A,FALSE,"anexo1";#N/A,#N/A,FALSE,"anexo2";#N/A,#N/A,FALSE,"anexo3";#N/A,#N/A,FALSE,"anexo4";#N/A,#N/A,FALSE,"anexo5a";#N/A,#N/A,FALSE,"anexo5b";#N/A,#N/A,FALSE,"anexo6a";#N/A,#N/A,FALSE,"anexo6a";#N/A,#N/A,FALSE,"anexo6c";#N/A,#N/A,FALSE,"anexo7a";#N/A,#N/A,FALSE,"anexo7b";#N/A,#N/A,FALSE,"anexo7c"}</definedName>
    <definedName name="ffffd" hidden="1">{"via1",#N/A,TRUE,"general";"via2",#N/A,TRUE,"general";"via3",#N/A,TRUE,"general"}</definedName>
    <definedName name="fffff" hidden="1">{#N/A,#N/A,TRUE,"Basic";#N/A,#N/A,TRUE,"EXT-TABLE";#N/A,#N/A,TRUE,"STEEL";#N/A,#N/A,TRUE,"INT-Table";#N/A,#N/A,TRUE,"STEEL";#N/A,#N/A,TRUE,"Door"}</definedName>
    <definedName name="ffffff" hidden="1">{#N/A,#N/A,FALSE,"CCTV"}</definedName>
    <definedName name="fffffff" hidden="1">{#N/A,#N/A,FALSE,"PERSONAL"}</definedName>
    <definedName name="ffffffff" hidden="1">{"CONSEJO",#N/A,FALSE,"Dist p0";"CONSEJO",#N/A,FALSE,"Ficha CODICE"}</definedName>
    <definedName name="fffffffff" hidden="1">{"CONSEJO",#N/A,FALSE,"Dist p0";"CONSEJO",#N/A,FALSE,"Ficha CODICE"}</definedName>
    <definedName name="ffffffffff" hidden="1">{#N/A,#N/A,FALSE,"Solids Only"}</definedName>
    <definedName name="fffffft" hidden="1">{"TAB1",#N/A,TRUE,"GENERAL";"TAB2",#N/A,TRUE,"GENERAL";"TAB3",#N/A,TRUE,"GENERAL";"TAB4",#N/A,TRUE,"GENERAL";"TAB5",#N/A,TRUE,"GENERAL"}</definedName>
    <definedName name="fffffik" hidden="1">{"TAB1",#N/A,TRUE,"GENERAL";"TAB2",#N/A,TRUE,"GENERAL";"TAB3",#N/A,TRUE,"GENERAL";"TAB4",#N/A,TRUE,"GENERAL";"TAB5",#N/A,TRUE,"GENERAL"}</definedName>
    <definedName name="fffffj" hidden="1">{"TAB1",#N/A,TRUE,"GENERAL";"TAB2",#N/A,TRUE,"GENERAL";"TAB3",#N/A,TRUE,"GENERAL";"TAB4",#N/A,TRUE,"GENERAL";"TAB5",#N/A,TRUE,"GENERAL"}</definedName>
    <definedName name="ffffrd" hidden="1">{"via1",#N/A,TRUE,"general";"via2",#N/A,TRUE,"general";"via3",#N/A,TRUE,"general"}</definedName>
    <definedName name="ffffy" hidden="1">{"TAB1",#N/A,TRUE,"GENERAL";"TAB2",#N/A,TRUE,"GENERAL";"TAB3",#N/A,TRUE,"GENERAL";"TAB4",#N/A,TRUE,"GENERAL";"TAB5",#N/A,TRUE,"GENERAL"}</definedName>
    <definedName name="fffgfg" hidden="1">{#N/A,#N/A,FALSE,"단축1";#N/A,#N/A,FALSE,"단축2";#N/A,#N/A,FALSE,"단축3";#N/A,#N/A,FALSE,"장축";#N/A,#N/A,FALSE,"4WD"}</definedName>
    <definedName name="fffggg" hidden="1">{#N/A,#N/A,FALSE,"PERSONAL"}</definedName>
    <definedName name="fffrfr" hidden="1">{"TAB1",#N/A,TRUE,"GENERAL";"TAB2",#N/A,TRUE,"GENERAL";"TAB3",#N/A,TRUE,"GENERAL";"TAB4",#N/A,TRUE,"GENERAL";"TAB5",#N/A,TRUE,"GENERAL"}</definedName>
    <definedName name="fffs" hidden="1">{"TAB1",#N/A,TRUE,"GENERAL";"TAB2",#N/A,TRUE,"GENERAL";"TAB3",#N/A,TRUE,"GENERAL";"TAB4",#N/A,TRUE,"GENERAL";"TAB5",#N/A,TRUE,"GENERAL"}</definedName>
    <definedName name="ffgfgf" hidden="1">{"'banner (abr)'!$A$14:$G$22"}</definedName>
    <definedName name="ffgh" hidden="1">{#N/A,#N/A,TRUE,"1842CWN0"}</definedName>
    <definedName name="FFI">#REF!</definedName>
    <definedName name="ffnkl" hidden="1">{#N/A,#N/A,TRUE,"INGENIERIA";#N/A,#N/A,TRUE,"COMPRAS";#N/A,#N/A,TRUE,"DIRECCION";#N/A,#N/A,TRUE,"RESUMEN"}</definedName>
    <definedName name="fg" hidden="1">{#N/A,#N/A,TRUE,"Budget";#N/A,#N/A,TRUE,"Balance Sheet";#N/A,#N/A,TRUE,"Cash Flow"}</definedName>
    <definedName name="fgbas" hidden="1">{#N/A,#N/A,TRUE,"INGENIERIA";#N/A,#N/A,TRUE,"COMPRAS";#N/A,#N/A,TRUE,"DIRECCION";#N/A,#N/A,TRUE,"RESUMEN"}</definedName>
    <definedName name="fgch" hidden="1">{#N/A,#N/A,FALSE,"masez (10)";#N/A,#N/A,FALSE,"masez (7)";#N/A,#N/A,FALSE,"masez (6)";#N/A,#N/A,FALSE,"masez (5)";#N/A,#N/A,FALSE,"masez (4)";#N/A,#N/A,FALSE,"masez (3)";#N/A,#N/A,FALSE,"masez (2)";#N/A,#N/A,FALSE,"GME";#N/A,#N/A,FALSE,"masez"}</definedName>
    <definedName name="fgdfg" hidden="1">{"TAB1",#N/A,TRUE,"GENERAL";"TAB2",#N/A,TRUE,"GENERAL";"TAB3",#N/A,TRUE,"GENERAL";"TAB4",#N/A,TRUE,"GENERAL";"TAB5",#N/A,TRUE,"GENERAL"}</definedName>
    <definedName name="fgdfsgr" hidden="1">{"via1",#N/A,TRUE,"general";"via2",#N/A,TRUE,"general";"via3",#N/A,TRUE,"general"}</definedName>
    <definedName name="fgdsfg" hidden="1">{"TAB1",#N/A,TRUE,"GENERAL";"TAB2",#N/A,TRUE,"GENERAL";"TAB3",#N/A,TRUE,"GENERAL";"TAB4",#N/A,TRUE,"GENERAL";"TAB5",#N/A,TRUE,"GENERAL"}</definedName>
    <definedName name="FGF" hidden="1">{#N/A,#N/A,FALSE,"DITCAR";#N/A,#N/A,FALSE,"a1";#N/A,#N/A,FALSE,"a2";#N/A,#N/A,FALSE,"a3";#N/A,#N/A,FALSE,"a4";#N/A,#N/A,FALSE,"a4a";#N/A,#N/A,FALSE,"a4B";#N/A,#N/A,FALSE,"a4C";#N/A,#N/A,FALSE,"A5a ";#N/A,#N/A,FALSE,"A5b";#N/A,#N/A,FALSE,"A6A";#N/A,#N/A,FALSE,"A6B";#N/A,#N/A,FALSE,"A6C";#N/A,#N/A,FALSE,"04PG12NB"}</definedName>
    <definedName name="fgfdgrtet" hidden="1">{#N/A,#N/A,FALSE,"Solids &amp; Flow"}</definedName>
    <definedName name="FGFDH" hidden="1">{"via1",#N/A,TRUE,"general";"via2",#N/A,TRUE,"general";"via3",#N/A,TRUE,"general"}</definedName>
    <definedName name="fgfg" hidden="1">{"ResMN",#N/A,TRUE,"Res";"ResNegMN",#N/A,TRUE,"Res";"EEPMN",#N/A,TRUE,"EEP";"GasMN",#N/A,TRUE,"Gas";"AorGNMN",#N/A,TRUE,"Aorgas";"GenMN",#N/A,TRUE,"Gen";"AorGEMN",#N/A,TRUE,"Aorgen";"SerMN",#N/A,TRUE,"Serv";"ResME",#N/A,TRUE,"Res";"ResNegME",#N/A,TRUE,"Res";"EEPME",#N/A,TRUE,"EEP";"GasME",#N/A,TRUE,"Gas";"AorGNME",#N/A,TRUE,"Aorgas";"GenME",#N/A,TRUE,"Gen";"AorGEME",#N/A,TRUE,"Aorgen";"SerME",#N/A,TRUE,"Serv";"E_SGas",#N/A,TRUE,"Balgas";"Balenerg",#N/A,TRUE,"Balener";"Balance_MN",#N/A,TRUE,"Balance";"Balance_ME",#N/A,TRUE,"Balance"}</definedName>
    <definedName name="fgfgfg" hidden="1">{#N/A,#N/A,FALSE,"Solids Only"}</definedName>
    <definedName name="fgfgg" hidden="1">#REF!</definedName>
    <definedName name="fgghhj" hidden="1">{"via1",#N/A,TRUE,"general";"via2",#N/A,TRUE,"general";"via3",#N/A,TRUE,"general"}</definedName>
    <definedName name="fgh">#REF!</definedName>
    <definedName name="FGHFBC" hidden="1">{"via1",#N/A,TRUE,"general";"via2",#N/A,TRUE,"general";"via3",#N/A,TRUE,"general"}</definedName>
    <definedName name="fghfg" hidden="1">{"TAB1",#N/A,TRUE,"GENERAL";"TAB2",#N/A,TRUE,"GENERAL";"TAB3",#N/A,TRUE,"GENERAL";"TAB4",#N/A,TRUE,"GENERAL";"TAB5",#N/A,TRUE,"GENERAL"}</definedName>
    <definedName name="fghfgh" hidden="1">{"via1",#N/A,TRUE,"general";"via2",#N/A,TRUE,"general";"via3",#N/A,TRUE,"general"}</definedName>
    <definedName name="FGHFW" hidden="1">{"via1",#N/A,TRUE,"general";"via2",#N/A,TRUE,"general";"via3",#N/A,TRUE,"general"}</definedName>
    <definedName name="FGHG" hidden="1">{#N/A,#N/A,FALSE,"Solids &amp; Flow"}</definedName>
    <definedName name="fghhh" hidden="1">{"TAB1",#N/A,TRUE,"GENERAL";"TAB2",#N/A,TRUE,"GENERAL";"TAB3",#N/A,TRUE,"GENERAL";"TAB4",#N/A,TRUE,"GENERAL";"TAB5",#N/A,TRUE,"GENERAL"}</definedName>
    <definedName name="fghj" hidden="1">{#N/A,#N/A,FALSE,"PERSONAL"}</definedName>
    <definedName name="fghjtyujtyu" hidden="1">{#N/A,#N/A,FALSE,"Solids &amp; Flow"}</definedName>
    <definedName name="fghsfgh" hidden="1">{"via1",#N/A,TRUE,"general";"via2",#N/A,TRUE,"general";"via3",#N/A,TRUE,"general"}</definedName>
    <definedName name="fght" hidden="1">{"TAB1",#N/A,TRUE,"GENERAL";"TAB2",#N/A,TRUE,"GENERAL";"TAB3",#N/A,TRUE,"GENERAL";"TAB4",#N/A,TRUE,"GENERAL";"TAB5",#N/A,TRUE,"GENERAL"}</definedName>
    <definedName name="fgjgryi" hidden="1">{"TAB1",#N/A,TRUE,"GENERAL";"TAB2",#N/A,TRUE,"GENERAL";"TAB3",#N/A,TRUE,"GENERAL";"TAB4",#N/A,TRUE,"GENERAL";"TAB5",#N/A,TRUE,"GENERAL"}</definedName>
    <definedName name="fgjk" hidden="1">{#N/A,#N/A,TRUE,"INGENIERIA";#N/A,#N/A,TRUE,"COMPRAS";#N/A,#N/A,TRUE,"DIRECCION";#N/A,#N/A,TRUE,"RESUMEN"}</definedName>
    <definedName name="fgr" hidden="1">{#N/A,#N/A,FALSE,"Total_OC015";#N/A,#N/A,FALSE,"ADMIN";#N/A,#N/A,FALSE,"PROCES";#N/A,#N/A,FALSE,"mecan";#N/A,#N/A,FALSE,"civil";#N/A,#N/A,FALSE,"CAÑER";#N/A,#N/A,FALSE,"ELEC";#N/A,#N/A,FALSE,"INSTR"}</definedName>
    <definedName name="fgrf" hidden="1">{TRUE,TRUE,1,1,542,364,FALSE,FALSE,TRUE,FALSE,0,3,29,2,1,0.524,3,2,TRUE,TRUE,1,TRUE,1,FALSE,100,"Swvu.Q1._.1995.","ACwvu.Q1._.1995.",1,FALSE,FALSE,0,0,0.65,0.88,2,"&amp;C&amp;""Times""&amp;14&amp;BAnadrill Sales Plan  -  1995&amp;R&amp;""Times""&amp;9&amp;d     &amp;t","&amp;R&amp;""Times""Page &amp;p",TRUE,TRUE,FALSE,FALSE,2,100,#N/A,#N/A,"=R1C1:R112C32",FALSE,"Rwvu.Q1._.1995.",#N/A,FALSE,FALSE}</definedName>
    <definedName name="fgrf_1" hidden="1">{TRUE,TRUE,1,1,542,364,FALSE,FALSE,TRUE,FALSE,0,3,29,2,1,0.524,3,2,TRUE,TRUE,1,TRUE,1,FALSE,100,"Swvu.Q1._.1995.","ACwvu.Q1._.1995.",1,FALSE,FALSE,0,0,0.65,0.88,2,"&amp;C&amp;""Times""&amp;14&amp;BAnadrill Sales Plan  -  1995&amp;R&amp;""Times""&amp;9&amp;d     &amp;t","&amp;R&amp;""Times""Page &amp;p",TRUE,TRUE,FALSE,FALSE,2,100,#N/A,#N/A,"=R1C1:R112C32",FALSE,"Rwvu.Q1._.1995.",#N/A,FALSE,FALSE}</definedName>
    <definedName name="fgrf_2" hidden="1">{TRUE,TRUE,1,1,542,364,FALSE,FALSE,TRUE,FALSE,0,3,29,2,1,0.524,3,2,TRUE,TRUE,1,TRUE,1,FALSE,100,"Swvu.Q1._.1995.","ACwvu.Q1._.1995.",1,FALSE,FALSE,0,0,0.65,0.88,2,"&amp;C&amp;""Times""&amp;14&amp;BAnadrill Sales Plan  -  1995&amp;R&amp;""Times""&amp;9&amp;d     &amp;t","&amp;R&amp;""Times""Page &amp;p",TRUE,TRUE,FALSE,FALSE,2,100,#N/A,#N/A,"=R1C1:R112C32",FALSE,"Rwvu.Q1._.1995.",#N/A,FALSE,FALSE}</definedName>
    <definedName name="fgs" hidden="1">{#N/A,#N/A,TRUE,"1842CWN0"}</definedName>
    <definedName name="fgwegert" hidden="1">{#N/A,#N/A,FALSE,"Solids Only"}</definedName>
    <definedName name="fhf" hidden="1">{#N/A,#N/A,TRUE,"1842CWN0"}</definedName>
    <definedName name="fhfg" hidden="1">{"TAB1",#N/A,TRUE,"GENERAL";"TAB2",#N/A,TRUE,"GENERAL";"TAB3",#N/A,TRUE,"GENERAL";"TAB4",#N/A,TRUE,"GENERAL";"TAB5",#N/A,TRUE,"GENERAL"}</definedName>
    <definedName name="fhfgh" hidden="1">{"via1",#N/A,TRUE,"general";"via2",#N/A,TRUE,"general";"via3",#N/A,TRUE,"general"}</definedName>
    <definedName name="FHFH" hidden="1">{#N/A,#N/A,FALSE,"TABLE"}</definedName>
    <definedName name="fhg" hidden="1">{#N/A,#N/A,TRUE,"1842CWN0"}</definedName>
    <definedName name="fhgg" hidden="1">{#N/A,#N/A,TRUE,"1842CWN0"}</definedName>
    <definedName name="fhgh" hidden="1">{"via1",#N/A,TRUE,"general";"via2",#N/A,TRUE,"general";"via3",#N/A,TRUE,"general"}</definedName>
    <definedName name="fhgjfghfghgf" hidden="1">{#N/A,#N/A,FALSE,"CCTV"}</definedName>
    <definedName name="FHGLMNFB" hidden="1">#REF!</definedName>
    <definedName name="fhpltyunh" hidden="1">{"via1",#N/A,TRUE,"general";"via2",#N/A,TRUE,"general";"via3",#N/A,TRUE,"general"}</definedName>
    <definedName name="FHSFJKSG" hidden="1">{#N/A,#N/A,FALSE,"RESUMEN";#N/A,#N/A,FALSE,"GG-GI";#N/A,#N/A,FALSE,"AMB";#N/A,#N/A,FALSE,"EyR";#N/A,#N/A,FALSE,"UCP";#N/A,#N/A,FALSE,"IND";#N/A,#N/A,FALSE,"LR";#N/A,#N/A,FALSE,"PRV";#N/A,#N/A,FALSE,"TÚNELES";#N/A,#N/A,FALSE,"IDT";#N/A,#N/A,FALSE,"ING"}</definedName>
    <definedName name="fieldbus_device_rev_001">#REF!</definedName>
    <definedName name="fifty">#REF!</definedName>
    <definedName name="FIL">#REF!</definedName>
    <definedName name="FILB1">#REF!</definedName>
    <definedName name="FILB2">#REF!</definedName>
    <definedName name="FILB3">#REF!</definedName>
    <definedName name="FILC1">#REF!</definedName>
    <definedName name="FILC2">#REF!</definedName>
    <definedName name="FILCAR">#REF!</definedName>
    <definedName name="FILCO">#REF!</definedName>
    <definedName name="FILEX">#REF!</definedName>
    <definedName name="Fill" hidden="1">#REF!</definedName>
    <definedName name="fill1" hidden="1">#REF!</definedName>
    <definedName name="FILMO">#REF!</definedName>
    <definedName name="FILSOL">#REF!</definedName>
    <definedName name="FILV">#REF!</definedName>
    <definedName name="FILVOL">#REF!</definedName>
    <definedName name="FIN_PROJECT">#REF!</definedName>
    <definedName name="FINAL" hidden="1">{#N/A,#N/A,FALSE,"TABLE"}</definedName>
    <definedName name="Financialpb" hidden="1">#REF!</definedName>
    <definedName name="Financialpb2" hidden="1">#REF!</definedName>
    <definedName name="fine">#REF!</definedName>
    <definedName name="FIO" hidden="1">#REF!</definedName>
    <definedName name="FireProtection">#REF!</definedName>
    <definedName name="five">#REF!</definedName>
    <definedName name="FiveA">#REF!</definedName>
    <definedName name="FiveB">#REF!</definedName>
    <definedName name="FiveC">#REF!</definedName>
    <definedName name="FiveD">#REF!</definedName>
    <definedName name="FiveE">#REF!</definedName>
    <definedName name="FiveF">#REF!</definedName>
    <definedName name="FiveG">#REF!</definedName>
    <definedName name="FiveH">#REF!</definedName>
    <definedName name="FiveI">#REF!</definedName>
    <definedName name="FiveJ">#REF!</definedName>
    <definedName name="FiveK">#REF!</definedName>
    <definedName name="FiveL">#REF!</definedName>
    <definedName name="FiveM">#REF!</definedName>
    <definedName name="FJD" hidden="1">{#N/A,#N/A,FALSE,"단축1";#N/A,#N/A,FALSE,"단축2";#N/A,#N/A,FALSE,"단축3";#N/A,#N/A,FALSE,"장축";#N/A,#N/A,FALSE,"4WD"}</definedName>
    <definedName name="fjdkdk" hidden="1">{#N/A,#N/A,TRUE,"INGENIERIA";#N/A,#N/A,TRUE,"COMPRAS";#N/A,#N/A,TRUE,"DIRECCION";#N/A,#N/A,TRUE,"RESUMEN"}</definedName>
    <definedName name="FJFJ" hidden="1">{#N/A,#N/A,FALSE,"단축1";#N/A,#N/A,FALSE,"단축2";#N/A,#N/A,FALSE,"단축3";#N/A,#N/A,FALSE,"장축";#N/A,#N/A,FALSE,"4WD"}</definedName>
    <definedName name="FJKLSJ" hidden="1">{#N/A,#N/A,FALSE,"TABLE"}</definedName>
    <definedName name="fkfk" hidden="1">{"'5'!$A$1:$BB$147"}</definedName>
    <definedName name="FKJLSDJFK" hidden="1">{#N/A,#N/A,FALSE,"TABLE"}</definedName>
    <definedName name="fl"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FLANGE">#N/A</definedName>
    <definedName name="flhg" hidden="1">{#N/A,#N/A,TRUE,"1842CWN0"}</definedName>
    <definedName name="flios"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flow">#REF!</definedName>
    <definedName name="flow_flag_001">#REF!</definedName>
    <definedName name="flp" hidden="1">#REF!</definedName>
    <definedName name="fluid_id_001">#REF!</definedName>
    <definedName name="FLUJO1">#REF!</definedName>
    <definedName name="FLUJOB">#REF!</definedName>
    <definedName name="Flujos" hidden="1">{#N/A,#N/A,FALSE,"Graficos"}</definedName>
    <definedName name="Fluviales_Cartagena">#REF!</definedName>
    <definedName name="fm">#REF!</definedName>
    <definedName name="fm_amb_temp_001">#REF!</definedName>
    <definedName name="fm_amb_temp_uid_001">#REF!</definedName>
    <definedName name="fm_ann_coef_001">#REF!</definedName>
    <definedName name="fm_ann_exp_fac_001">#REF!</definedName>
    <definedName name="fm_ann_flow_coeff_001">#REF!</definedName>
    <definedName name="fm_ann_reyn_corr_fac_001">#REF!</definedName>
    <definedName name="fm_ann_unit_conv_001">#REF!</definedName>
    <definedName name="fm_beta">#REF!</definedName>
    <definedName name="fm_beta_001">#REF!</definedName>
    <definedName name="fm_beta_lim_001">#REF!</definedName>
    <definedName name="fm_bleed_hole_diam">#REF!</definedName>
    <definedName name="fm_bleed_hole_diam_001">#REF!</definedName>
    <definedName name="fm_bleed_hole_diam_uid_001">#REF!</definedName>
    <definedName name="fm_calc_type_001">#REF!</definedName>
    <definedName name="fm_calculate_gas_exp_fac_001">#REF!</definedName>
    <definedName name="fm_crit_001">#REF!</definedName>
    <definedName name="fm_crit_press_ratio_001">#REF!</definedName>
    <definedName name="fm_critical_flow_001">#REF!</definedName>
    <definedName name="fm_delta_001">#REF!</definedName>
    <definedName name="fm_diff_press_tr">#REF!</definedName>
    <definedName name="fm_diff_press_tr_001">#REF!</definedName>
    <definedName name="fm_diff_press_tr_uid_001">#REF!</definedName>
    <definedName name="fm_disch_coef_001">#REF!</definedName>
    <definedName name="fm_disch_coef_calc_001">#REF!</definedName>
    <definedName name="fm_downstream_len_1st_fit1_001">#REF!</definedName>
    <definedName name="fm_flow_max_001">#REF!</definedName>
    <definedName name="fm_flow_uflg_001">#REF!</definedName>
    <definedName name="fm_flow_uid_001">#REF!</definedName>
    <definedName name="fm_gas_exp_fac_001">#REF!</definedName>
    <definedName name="fm_meter_type_001">#REF!</definedName>
    <definedName name="fm_oper_flow_001">#REF!</definedName>
    <definedName name="fm_orif_diam">#REF!</definedName>
    <definedName name="fm_orif_diam_001">#REF!</definedName>
    <definedName name="fm_orif_diam_uid_001">#REF!</definedName>
    <definedName name="fm_orif_lim_001">#REF!</definedName>
    <definedName name="fm_orif_lin_exp_coef_001">#REF!</definedName>
    <definedName name="fm_orif_lin_exp_uid_001">#REF!</definedName>
    <definedName name="fm_orif_mat_001">#REF!</definedName>
    <definedName name="fm_orif_mat_id_001">#REF!</definedName>
    <definedName name="fm_pipe_lim_001">#REF!</definedName>
    <definedName name="fm_pipe_lin_exp_coef_001">#REF!</definedName>
    <definedName name="fm_pipe_lin_exp_uid_001">#REF!</definedName>
    <definedName name="fm_pipe_mat_001">#REF!</definedName>
    <definedName name="fm_press_loss_001">#REF!</definedName>
    <definedName name="fm_press_loss_max_001">#REF!</definedName>
    <definedName name="fm_press_loss_max_15_001">#REF!</definedName>
    <definedName name="fm_press_loss_nor_001">#REF!</definedName>
    <definedName name="fm_press_loss_nor_15_001">#REF!</definedName>
    <definedName name="fm_press_loss_uid_001">#REF!</definedName>
    <definedName name="fm_rad_quart_001">#REF!</definedName>
    <definedName name="fm_radius_001">#REF!</definedName>
    <definedName name="fm_radius_uid_001">#REF!</definedName>
    <definedName name="fm_rect_height_001">#REF!</definedName>
    <definedName name="fm_rect_uid_001">#REF!</definedName>
    <definedName name="fm_rect_width_001">#REF!</definedName>
    <definedName name="fm_reyn">#REF!</definedName>
    <definedName name="fm_reyn_001">#REF!</definedName>
    <definedName name="fm_reyn_lim_001">#REF!</definedName>
    <definedName name="fm_seg_height_001">#REF!</definedName>
    <definedName name="fm_seg_radius_001">#REF!</definedName>
    <definedName name="fm_seg_uid_001">#REF!</definedName>
    <definedName name="fm_steam_fac_001">#REF!</definedName>
    <definedName name="fm_steam_prcnt_001">#REF!</definedName>
    <definedName name="fm_sub_meter_type_001">#REF!</definedName>
    <definedName name="fm_true_flow_max_001">#REF!</definedName>
    <definedName name="fm_upstream_len_1st_fit1_001">#REF!</definedName>
    <definedName name="fm_upstream_len_1st_fit11_001">#REF!</definedName>
    <definedName name="fm_upstream_len_2nd_fit1_001">#REF!</definedName>
    <definedName name="fm_upstream_len_2nd_fit11_001">#REF!</definedName>
    <definedName name="fmblbmbmfba" hidden="1">#REF!</definedName>
    <definedName name="FMI">#REF!</definedName>
    <definedName name="fnic">#REF!</definedName>
    <definedName name="FO">#REF!</definedName>
    <definedName name="FO_MES">#REF!</definedName>
    <definedName name="FOABS_">#REF!</definedName>
    <definedName name="FOB가" hidden="1">{#N/A,#N/A,FALSE,"단축1";#N/A,#N/A,FALSE,"단축2";#N/A,#N/A,FALSE,"단축3";#N/A,#N/A,FALSE,"장축";#N/A,#N/A,FALSE,"4WD"}</definedName>
    <definedName name="FOR" hidden="1">{#N/A,#N/A,FALSE,"CCTV"}</definedName>
    <definedName name="FOR_APPROVAL">#REF!</definedName>
    <definedName name="FORDESCR">#REF!</definedName>
    <definedName name="forero">#N/A</definedName>
    <definedName name="FORM_C3">#REF!</definedName>
    <definedName name="forma96100" hidden="1">{#N/A,#N/A,FALSE,"CIBHA05A";#N/A,#N/A,FALSE,"CIBHA05B"}</definedName>
    <definedName name="fORMA9698" hidden="1">{#N/A,#N/A,FALSE,"CIBHA05A";#N/A,#N/A,FALSE,"CIBHA05B"}</definedName>
    <definedName name="fORMA9698_1" hidden="1">{#N/A,#N/A,FALSE,"CIBHA05A";#N/A,#N/A,FALSE,"CIBHA05B"}</definedName>
    <definedName name="forma96981" hidden="1">{#N/A,#N/A,FALSE,"CIBHA05A";#N/A,#N/A,FALSE,"CIBHA05B"}</definedName>
    <definedName name="forma9699" hidden="1">{#N/A,#N/A,FALSE,"CIBHA05A";#N/A,#N/A,FALSE,"CIBHA05B"}</definedName>
    <definedName name="FORMALETA">#REF!</definedName>
    <definedName name="Format">#REF!</definedName>
    <definedName name="Formato" hidden="1">{"Sin detalle",#N/A,FALSE,"Flujo (redondeado)";"Detallado",#N/A,FALSE,"Flujo (redondeado)"}</definedName>
    <definedName name="FORMAUNIT" hidden="1">{#N/A,#N/A,FALSE,"Costos Productos 6A";#N/A,#N/A,FALSE,"Costo Unitario Total H-94-12"}</definedName>
    <definedName name="FORMAUNIT_1" hidden="1">{#N/A,#N/A,FALSE,"Costos Productos 6A";#N/A,#N/A,FALSE,"Costo Unitario Total H-94-12"}</definedName>
    <definedName name="FORMOLT">#REF!</definedName>
    <definedName name="FORMULARIO" hidden="1">#REF!</definedName>
    <definedName name="FORSHE">#REF!</definedName>
    <definedName name="FORUNMIS">#REF!</definedName>
    <definedName name="FOTOGRAFIA1">#REF!</definedName>
    <definedName name="FOTOGRAFIA2">#REF!</definedName>
    <definedName name="FOTOGRAFIA3">#REF!</definedName>
    <definedName name="FOTOGRAFIA4">#REF!</definedName>
    <definedName name="Fotos" hidden="1">{#N/A,#N/A,FALSE,"Hoja1";#N/A,#N/A,FALSE,"Hoja2"}</definedName>
    <definedName name="FourA">#REF!</definedName>
    <definedName name="FourB">#REF!</definedName>
    <definedName name="FourC">#REF!</definedName>
    <definedName name="FourD">#REF!</definedName>
    <definedName name="FourE">#REF!</definedName>
    <definedName name="FourF">#REF!</definedName>
    <definedName name="FourG">#REF!</definedName>
    <definedName name="FourH">#REF!</definedName>
    <definedName name="FourI">#REF!</definedName>
    <definedName name="FourJ">#REF!</definedName>
    <definedName name="FourK">#REF!</definedName>
    <definedName name="FourL">#REF!</definedName>
    <definedName name="Fourm">#REF!</definedName>
    <definedName name="fovo" hidden="1">#REF!</definedName>
    <definedName name="FO투입시UPH조정" hidden="1">{#N/A,#N/A,FALSE,"단축1";#N/A,#N/A,FALSE,"단축2";#N/A,#N/A,FALSE,"단축3";#N/A,#N/A,FALSE,"장축";#N/A,#N/A,FALSE,"4WD"}</definedName>
    <definedName name="FP">#REF!</definedName>
    <definedName name="fple" hidden="1">{#N/A,#N/A,TRUE,"INGENIERIA";#N/A,#N/A,TRUE,"COMPRAS";#N/A,#N/A,TRUE,"DIRECCION";#N/A,#N/A,TRUE,"RESUMEN"}</definedName>
    <definedName name="FPMAS2">#REF!</definedName>
    <definedName name="FR">#N/A</definedName>
    <definedName name="FRACCAT">#N/A</definedName>
    <definedName name="FRACTANK">#N/A</definedName>
    <definedName name="FRACTANK_MOV">#N/A</definedName>
    <definedName name="FRAGUA">#N/A</definedName>
    <definedName name="frbgsd" hidden="1">{"TAB1",#N/A,TRUE,"GENERAL";"TAB2",#N/A,TRUE,"GENERAL";"TAB3",#N/A,TRUE,"GENERAL";"TAB4",#N/A,TRUE,"GENERAL";"TAB5",#N/A,TRUE,"GENERAL"}</definedName>
    <definedName name="FRDEASASa" hidden="1">{"DETALLE_1996",#N/A,FALSE,"flujo";"DETALLE_1997",#N/A,FALSE,"flujo";"GASTOS_INCURRIDOS_1996",#N/A,FALSE,"flujo";"GASTOS_PROGRAMADOS_PARA_1997",#N/A,FALSE,"flujo";#N/A,#N/A,FALSE,"comparat";#N/A,#N/A,FALSE,"costos";#N/A,#N/A,FALSE,"proyctrol"}</definedName>
    <definedName name="frefr" hidden="1">{"via1",#N/A,TRUE,"general";"via2",#N/A,TRUE,"general";"via3",#N/A,TRUE,"general"}</definedName>
    <definedName name="frequency_id_001">#REF!</definedName>
    <definedName name="FRF">#REF!</definedName>
    <definedName name="frfa" hidden="1">{"via1",#N/A,TRUE,"general";"via2",#N/A,TRUE,"general";"via3",#N/A,TRUE,"general"}</definedName>
    <definedName name="frfr" hidden="1">{"TAB1",#N/A,TRUE,"GENERAL";"TAB2",#N/A,TRUE,"GENERAL";"TAB3",#N/A,TRUE,"GENERAL";"TAB4",#N/A,TRUE,"GENERAL";"TAB5",#N/A,TRUE,"GENERAL"}</definedName>
    <definedName name="friendsgocamping">#REF!</definedName>
    <definedName name="fs" hidden="1">#REF!</definedName>
    <definedName name="fsd" hidden="1">{TRUE,TRUE,1,1,542,364,FALSE,FALSE,TRUE,FALSE,0,3,4,3,1,0.98,3,1,TRUE,TRUE,1,TRUE,1,FALSE,100,"Swvu.VIEW._.ALL.","ACwvu.VIEW._.ALL.",1,FALSE,FALSE,0,0,0.65,0.88,2,"&amp;C&amp;""Times""&amp;14&amp;BAnadrill Sales Plan  -  1995&amp;R&amp;""Times""&amp;9&amp;d     &amp;t","&amp;R&amp;""Times""Page &amp;p",TRUE,TRUE,FALSE,FALSE,2,100,#N/A,#N/A,"=R1C1:R112C32",FALSE,#N/A,#N/A,FALSE,FALSE}</definedName>
    <definedName name="fsda" hidden="1">{#N/A,#N/A,TRUE,"Basic";#N/A,#N/A,TRUE,"EXT-TABLE";#N/A,#N/A,TRUE,"STEEL";#N/A,#N/A,TRUE,"INT-Table";#N/A,#N/A,TRUE,"STEEL";#N/A,#N/A,TRUE,"Door"}</definedName>
    <definedName name="FSF" hidden="1">{#N/A,#N/A,FALSE,"masez (10)";#N/A,#N/A,FALSE,"masez (7)";#N/A,#N/A,FALSE,"masez (6)";#N/A,#N/A,FALSE,"masez (5)";#N/A,#N/A,FALSE,"masez (4)";#N/A,#N/A,FALSE,"masez (3)";#N/A,#N/A,FALSE,"masez (2)";#N/A,#N/A,FALSE,"GME";#N/A,#N/A,FALSE,"masez"}</definedName>
    <definedName name="fsfs" hidden="1">{#N/A,#N/A,FALSE,"masez (10)";#N/A,#N/A,FALSE,"masez (7)";#N/A,#N/A,FALSE,"masez (6)";#N/A,#N/A,FALSE,"masez (5)";#N/A,#N/A,FALSE,"masez (4)";#N/A,#N/A,FALSE,"masez (3)";#N/A,#N/A,FALSE,"masez (2)";#N/A,#N/A,FALSE,"GME";#N/A,#N/A,FALSE,"masez"}</definedName>
    <definedName name="FSOP">#REF!</definedName>
    <definedName name="FTO_EXPORTQQ">#REF!</definedName>
    <definedName name="FTPT">#REF!</definedName>
    <definedName name="Fuel_Units">#REF!</definedName>
    <definedName name="full_load_current_001">#REF!</definedName>
    <definedName name="Full_Print">#REF!</definedName>
    <definedName name="full_weight_001">#REF!</definedName>
    <definedName name="FutureExpansion">#REF!</definedName>
    <definedName name="FUYU" hidden="1">{#N/A,#N/A,FALSE,"단축1";#N/A,#N/A,FALSE,"단축2";#N/A,#N/A,FALSE,"단축3";#N/A,#N/A,FALSE,"장축";#N/A,#N/A,FALSE,"4WD"}</definedName>
    <definedName name="fvgh" hidden="1">{#N/A,#N/A,TRUE,"INGENIERIA";#N/A,#N/A,TRUE,"COMPRAS";#N/A,#N/A,TRUE,"DIRECCION";#N/A,#N/A,TRUE,"RESUMEN"}</definedName>
    <definedName name="fvghh" hidden="1">{#N/A,#N/A,TRUE,"1842CWN0"}</definedName>
    <definedName name="fvrj" hidden="1">{#N/A,#N/A,TRUE,"1842CWN0"}</definedName>
    <definedName name="fwff" hidden="1">{"via1",#N/A,TRUE,"general";"via2",#N/A,TRUE,"general";"via3",#N/A,TRUE,"general"}</definedName>
    <definedName name="fwwe" hidden="1">{"via1",#N/A,TRUE,"general";"via2",#N/A,TRUE,"general";"via3",#N/A,TRUE,"general"}</definedName>
    <definedName name="fyhtryr" hidden="1">{"'banner (abr)'!$A$14:$G$22"}</definedName>
    <definedName name="fzddgffdg" hidden="1">{#N/A,#N/A,FALSE,"Costos Contables CIB A 12 1994";#N/A,#N/A,FALSE,"Cuadre Contab. y C. OP"}</definedName>
    <definedName name="G" hidden="1">{"krl1",#N/A,FALSE,"kr";"krl2",#N/A,FALSE,"kr";"compara",#N/A,FALSE,"kr";"desconp1",#N/A,FALSE,"kr";"desconp12",#N/A,FALSE,"kr";"krnp1",#N/A,FALSE,"kr";"krnp2",#N/A,FALSE,"kr";"krp12avg",#N/A,FALSE,"kr";"krp1avg",#N/A,FALSE,"kr"}</definedName>
    <definedName name="ga">#REF!</definedName>
    <definedName name="gaag" hidden="1">{#N/A,#N/A,FALSE,"단축1";#N/A,#N/A,FALSE,"단축2";#N/A,#N/A,FALSE,"단축3";#N/A,#N/A,FALSE,"장축";#N/A,#N/A,FALSE,"4WD"}</definedName>
    <definedName name="GAB_TAN">#N/A</definedName>
    <definedName name="GAG">#REF!</definedName>
    <definedName name="GAJ">#REF!</definedName>
    <definedName name="GAMBIENT">#REF!</definedName>
    <definedName name="Gantt_2" hidden="1">{#N/A,#N/A,FALSE,"Total_OC015";#N/A,#N/A,FALSE,"ADMIN";#N/A,#N/A,FALSE,"PROCES";#N/A,#N/A,FALSE,"mecan";#N/A,#N/A,FALSE,"civil";#N/A,#N/A,FALSE,"CAÑER";#N/A,#N/A,FALSE,"ELEC";#N/A,#N/A,FALSE,"INSTR"}</definedName>
    <definedName name="GAS">#REF!</definedName>
    <definedName name="Gas_1" hidden="1">{"'TABLA 4.3'!$A$1:$O$41"}</definedName>
    <definedName name="GAS_UNT">#N/A</definedName>
    <definedName name="gasdad" hidden="1">{"PYGP",#N/A,TRUE,"PandL";"BALANCEP",#N/A,TRUE,"BS";"Estado Cash Flow",#N/A,TRUE,"CFlow";"debt",#N/A,TRUE,"Debt";"worcap",#N/A,TRUE,"WorCap";"Analisis Impuestos",#N/A,TRUE,"Tax"}</definedName>
    <definedName name="GASTO_ADM">#N/A</definedName>
    <definedName name="Gastón" hidden="1">{"CI+GG(BASE)",#N/A,FALSE,"CI+GG(BASE)";"GG",#N/A,FALSE,"CI+GG(BASE)";"CI",#N/A,FALSE,"CI+GG(BASE)"}</definedName>
    <definedName name="gastos_contrato">#REF!</definedName>
    <definedName name="gato" hidden="1">{#N/A,#N/A,FALSE,"masez (10)";#N/A,#N/A,FALSE,"masez (7)";#N/A,#N/A,FALSE,"masez (6)";#N/A,#N/A,FALSE,"masez (5)";#N/A,#N/A,FALSE,"masez (4)";#N/A,#N/A,FALSE,"masez (3)";#N/A,#N/A,FALSE,"masez (2)";#N/A,#N/A,FALSE,"GME";#N/A,#N/A,FALSE,"masez"}</definedName>
    <definedName name="gba" hidden="1">{#N/A,#N/A,FALSE,"orthoflow";#N/A,#N/A,FALSE,"Miscelaneos";#N/A,#N/A,FALSE,"Instrumentacio";#N/A,#N/A,FALSE,"Electrico";#N/A,#N/A,FALSE,"Valv. Seguridad"}</definedName>
    <definedName name="gbac" hidden="1">{#N/A,#N/A,FALSE,"Estatico";#N/A,#N/A,FALSE,"Tuberia";#N/A,#N/A,FALSE,"Instrumentación";#N/A,#N/A,FALSE,"Mecanica";#N/A,#N/A,FALSE,"Electrico";#N/A,#N/A,FALSE,"Ofic.Civiles"}</definedName>
    <definedName name="gbbfghghj" hidden="1">{"TAB1",#N/A,TRUE,"GENERAL";"TAB2",#N/A,TRUE,"GENERAL";"TAB3",#N/A,TRUE,"GENERAL";"TAB4",#N/A,TRUE,"GENERAL";"TAB5",#N/A,TRUE,"GENERAL"}</definedName>
    <definedName name="GBP">#REF!</definedName>
    <definedName name="gc" hidden="1">{#N/A,#N/A,FALSE,"SOACHA"}</definedName>
    <definedName name="gddfgdfgdf">#REF!</definedName>
    <definedName name="GDF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D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DMNA" hidden="1">#REF!</definedName>
    <definedName name="gdt" hidden="1">{"TAB1",#N/A,TRUE,"GENERAL";"TAB2",#N/A,TRUE,"GENERAL";"TAB3",#N/A,TRUE,"GENERAL";"TAB4",#N/A,TRUE,"GENERAL";"TAB5",#N/A,TRUE,"GENERAL"}</definedName>
    <definedName name="geddjy" hidden="1">#REF!</definedName>
    <definedName name="gef" hidden="1">#REF!</definedName>
    <definedName name="geg" hidden="1">{"via1",#N/A,TRUE,"general";"via2",#N/A,TRUE,"general";"via3",#N/A,TRUE,"general"}</definedName>
    <definedName name="GENERAL">#REF!</definedName>
    <definedName name="GENERO">#REF!</definedName>
    <definedName name="GER">#REF!</definedName>
    <definedName name="GERENCIAL" hidden="1">{#N/A,#N/A,FALSE,"DMC schedule";#N/A,#N/A,FALSE,"DMC_THC Revenue";#N/A,#N/A,FALSE,"Personnel plan";#N/A,#N/A,FALSE,"Capex HW+SW";#N/A,#N/A,FALSE,"P&amp;L"}</definedName>
    <definedName name="GERENCIAS">#REF!</definedName>
    <definedName name="Gerente">#REF!</definedName>
    <definedName name="gerf" hidden="1">#REF!</definedName>
    <definedName name="gerg" hidden="1">{"TAB1",#N/A,TRUE,"GENERAL";"TAB2",#N/A,TRUE,"GENERAL";"TAB3",#N/A,TRUE,"GENERAL";"TAB4",#N/A,TRUE,"GENERAL";"TAB5",#N/A,TRUE,"GENERAL"}</definedName>
    <definedName name="gerg54" hidden="1">{"via1",#N/A,TRUE,"general";"via2",#N/A,TRUE,"general";"via3",#N/A,TRUE,"general"}</definedName>
    <definedName name="gerger" hidden="1">#REF!</definedName>
    <definedName name="gergew" hidden="1">{"TAB1",#N/A,TRUE,"GENERAL";"TAB2",#N/A,TRUE,"GENERAL";"TAB3",#N/A,TRUE,"GENERAL";"TAB4",#N/A,TRUE,"GENERAL";"TAB5",#N/A,TRUE,"GENERAL"}</definedName>
    <definedName name="gergw" hidden="1">{"TAB1",#N/A,TRUE,"GENERAL";"TAB2",#N/A,TRUE,"GENERAL";"TAB3",#N/A,TRUE,"GENERAL";"TAB4",#N/A,TRUE,"GENERAL";"TAB5",#N/A,TRUE,"GENERAL"}</definedName>
    <definedName name="GERMAN" hidden="1">{"COSOPE98",#N/A,FALSE,"COSOPE98";"COSOPE97",#N/A,FALSE,"COSOPE97";"GASECP98",#N/A,FALSE,"GASECP98";"GAS10098",#N/A,FALSE,"GAS10098";"GASECP97",#N/A,FALSE,"GASECP97";"GAS10097",#N/A,FALSE,"GAS10097";"INVECP98",#N/A,FALSE,"INVECP98";"INV10098",#N/A,FALSE,"INV10098";"INVECP97",#N/A,FALSE,"INVECP97";"INV10097",#N/A,FALSE,"INV10097"}</definedName>
    <definedName name="GERMAN1" hidden="1">{"COSOPE98",#N/A,FALSE,"COSOPE98";"COSOPE97",#N/A,FALSE,"COSOPE97";"GASECP98",#N/A,FALSE,"GASECP98";"GAS10098",#N/A,FALSE,"GAS10098";"GASECP97",#N/A,FALSE,"GASECP97";"GAS10097",#N/A,FALSE,"GAS10097";"INVECP98",#N/A,FALSE,"INVECP98";"INV10098",#N/A,FALSE,"INV10098";"INVECP97",#N/A,FALSE,"INVECP97";"INV10097",#N/A,FALSE,"INV10097"}</definedName>
    <definedName name="GEST">#REF!</definedName>
    <definedName name="GESTION">#REF!</definedName>
    <definedName name="GESTION_1">#REF!</definedName>
    <definedName name="GESTIONES">#REF!</definedName>
    <definedName name="GF" hidden="1">{#N/A,#N/A,FALSE,"PERSONAL"}</definedName>
    <definedName name="GFASLKF">#REF!</definedName>
    <definedName name="gfd">#REF!</definedName>
    <definedName name="gfdf" hidden="1">{#N/A,#N/A,FALSE,"Estatico";#N/A,#N/A,FALSE,"Tuberia";#N/A,#N/A,FALSE,"Instrumentación";#N/A,#N/A,FALSE,"Mecanica";#N/A,#N/A,FALSE,"Electrico";#N/A,#N/A,FALSE,"Ofic.Civiles"}</definedName>
    <definedName name="gfdg" hidden="1">{"via1",#N/A,TRUE,"general";"via2",#N/A,TRUE,"general";"via3",#N/A,TRUE,"general"}</definedName>
    <definedName name="GFDS" hidden="1">{#N/A,#N/A,FALSE,"단축1";#N/A,#N/A,FALSE,"단축2";#N/A,#N/A,FALSE,"단축3";#N/A,#N/A,FALSE,"장축";#N/A,#N/A,FALSE,"4WD"}</definedName>
    <definedName name="gffgfhhf" hidden="1">{#N/A,#N/A,TRUE,"INGENIERIA";#N/A,#N/A,TRUE,"COMPRAS";#N/A,#N/A,TRUE,"DIRECCION";#N/A,#N/A,TRUE,"RESUMEN"}</definedName>
    <definedName name="GF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GFGGG" hidden="1">{"Control_Consolidado",#N/A,FALSE,"Cons.";"Control_Tunel",#N/A,FALSE,"Cons.";"Control_Melip",#N/A,FALSE,"Cons.";"Control_Gualleco",#N/A,FALSE,"Cons.";"Control_Sara L",#N/A,FALSE,"Cons.";"Control_Quellon",#N/A,FALSE,"Cons.";"Control_Biolix",#N/A,FALSE,"Cons.";"Control_Oficina",#N/A,FALSE,"Cons.";"Control_Consorcio",#N/A,FALSE,"Cons."}</definedName>
    <definedName name="gfgfgr" hidden="1">{"via1",#N/A,TRUE,"general";"via2",#N/A,TRUE,"general";"via3",#N/A,TRUE,"general"}</definedName>
    <definedName name="GFGGF" hidden="1">{#N/A,#N/A,FALSE,"단축1";#N/A,#N/A,FALSE,"단축2";#N/A,#N/A,FALSE,"단축3";#N/A,#N/A,FALSE,"장축";#N/A,#N/A,FALSE,"4WD"}</definedName>
    <definedName name="gfgyt" hidden="1">{"'5'!$A$1:$BB$147"}</definedName>
    <definedName name="gfhf" hidden="1">{"via1",#N/A,TRUE,"general";"via2",#N/A,TRUE,"general";"via3",#N/A,TRUE,"general"}</definedName>
    <definedName name="gfhfdh" hidden="1">{"TAB1",#N/A,TRUE,"GENERAL";"TAB2",#N/A,TRUE,"GENERAL";"TAB3",#N/A,TRUE,"GENERAL";"TAB4",#N/A,TRUE,"GENERAL";"TAB5",#N/A,TRUE,"GENERAL"}</definedName>
    <definedName name="gfhgfh" hidden="1">{"TAB1",#N/A,TRUE,"GENERAL";"TAB2",#N/A,TRUE,"GENERAL";"TAB3",#N/A,TRUE,"GENERAL";"TAB4",#N/A,TRUE,"GENERAL";"TAB5",#N/A,TRUE,"GENERAL"}</definedName>
    <definedName name="gfjgfh" hidden="1">{#N/A,#N/A,FALSE,"CCTV"}</definedName>
    <definedName name="gfjgfhfg" hidden="1">{#N/A,#N/A,FALSE,"CCTV"}</definedName>
    <definedName name="gfjhfdgj" hidden="1">{#N/A,#N/A,TRUE,"1842CWN0"}</definedName>
    <definedName name="GFJHGJ" hidden="1">{"TAB1",#N/A,TRUE,"GENERAL";"TAB2",#N/A,TRUE,"GENERAL";"TAB3",#N/A,TRUE,"GENERAL";"TAB4",#N/A,TRUE,"GENERAL";"TAB5",#N/A,TRUE,"GENERAL"}</definedName>
    <definedName name="gfjjh" hidden="1">{"via1",#N/A,TRUE,"general";"via2",#N/A,TRUE,"general";"via3",#N/A,TRUE,"general"}</definedName>
    <definedName name="gfrdxc" hidden="1">{TRUE,TRUE,1,1,542,364,FALSE,FALSE,TRUE,FALSE,0,3,29,2,1,0.524,3,2,TRUE,TRUE,1,TRUE,1,FALSE,100,"Swvu.Q1._.1995.","ACwvu.Q1._.1995.",1,FALSE,FALSE,0,0,0.65,0.88,2,"&amp;C&amp;""Times""&amp;14&amp;BAnadrill Sales Plan  -  1995&amp;R&amp;""Times""&amp;9&amp;d     &amp;t","&amp;R&amp;""Times""Page &amp;p",TRUE,TRUE,FALSE,FALSE,2,100,#N/A,#N/A,"=R1C1:R112C32",FALSE,"Rwvu.Q1._.1995.",#N/A,FALSE,FALSE}</definedName>
    <definedName name="gfsfg" hidden="1">{#N/A,#N/A,FALSE,"이태원철근"}</definedName>
    <definedName name="gfutyj6" hidden="1">{"via1",#N/A,TRUE,"general";"via2",#N/A,TRUE,"general";"via3",#N/A,TRUE,"general"}</definedName>
    <definedName name="GG" hidden="1">{#N/A,#N/A,FALSE,"Upía";#N/A,#N/A,FALSE,"CPR Espinal";#N/A,#N/A,FALSE,"Magangué"}</definedName>
    <definedName name="ggdr" hidden="1">{"via1",#N/A,TRUE,"general";"via2",#N/A,TRUE,"general";"via3",#N/A,TRUE,"general"}</definedName>
    <definedName name="ggerg" hidden="1">{"TAB1",#N/A,TRUE,"GENERAL";"TAB2",#N/A,TRUE,"GENERAL";"TAB3",#N/A,TRUE,"GENERAL";"TAB4",#N/A,TRUE,"GENERAL";"TAB5",#N/A,TRUE,"GENERAL"}</definedName>
    <definedName name="ggg">#REF!</definedName>
    <definedName name="gggb" hidden="1">{"TAB1",#N/A,TRUE,"GENERAL";"TAB2",#N/A,TRUE,"GENERAL";"TAB3",#N/A,TRUE,"GENERAL";"TAB4",#N/A,TRUE,"GENERAL";"TAB5",#N/A,TRUE,"GENERAL"}</definedName>
    <definedName name="gggg" hidden="1">{"via1",#N/A,TRUE,"general";"via2",#N/A,TRUE,"general";"via3",#N/A,TRUE,"general"}</definedName>
    <definedName name="ggggd" hidden="1">{"TAB1",#N/A,TRUE,"GENERAL";"TAB2",#N/A,TRUE,"GENERAL";"TAB3",#N/A,TRUE,"GENERAL";"TAB4",#N/A,TRUE,"GENERAL";"TAB5",#N/A,TRUE,"GENERAL"}</definedName>
    <definedName name="gggggggggg" hidden="1">{"ANAR",#N/A,FALSE,"Dist total";"MARGEN",#N/A,FALSE,"Dist total";"COMENTARIO",#N/A,FALSE,"Ficha CODICE";"CONSEJO",#N/A,FALSE,"Dist p0";"uno",#N/A,FALSE,"Dist total"}</definedName>
    <definedName name="gggggggggggbbbbbbbbbbbbbb" hidden="1">#REF!</definedName>
    <definedName name="gggggggggggggggg">#REF!</definedName>
    <definedName name="gggggt" hidden="1">{"via1",#N/A,TRUE,"general";"via2",#N/A,TRUE,"general";"via3",#N/A,TRUE,"general"}</definedName>
    <definedName name="gggghn" hidden="1">{"TAB1",#N/A,TRUE,"GENERAL";"TAB2",#N/A,TRUE,"GENERAL";"TAB3",#N/A,TRUE,"GENERAL";"TAB4",#N/A,TRUE,"GENERAL";"TAB5",#N/A,TRUE,"GENERAL"}</definedName>
    <definedName name="ggggs" hidden="1">{"CONSEJO",#N/A,FALSE,"Dist p0";"CONSEJO",#N/A,FALSE,"Ficha CODICE"}</definedName>
    <definedName name="ggggt" hidden="1">{"TAB1",#N/A,TRUE,"GENERAL";"TAB2",#N/A,TRUE,"GENERAL";"TAB3",#N/A,TRUE,"GENERAL";"TAB4",#N/A,TRUE,"GENERAL";"TAB5",#N/A,TRUE,"GENERAL"}</definedName>
    <definedName name="ggggy" hidden="1">{"TAB1",#N/A,TRUE,"GENERAL";"TAB2",#N/A,TRUE,"GENERAL";"TAB3",#N/A,TRUE,"GENERAL";"TAB4",#N/A,TRUE,"GENERAL";"TAB5",#N/A,TRUE,"GENERAL"}</definedName>
    <definedName name="gggh" hidden="1">#REF!</definedName>
    <definedName name="gggtgd" hidden="1">{"via1",#N/A,TRUE,"general";"via2",#N/A,TRUE,"general";"via3",#N/A,TRUE,"general"}</definedName>
    <definedName name="ggh"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ggjgjkg" hidden="1">{#N/A,#N/A,TRUE,"1842CWN0"}</definedName>
    <definedName name="ggtgt" hidden="1">{"via1",#N/A,TRUE,"general";"via2",#N/A,TRUE,"general";"via3",#N/A,TRUE,"general"}</definedName>
    <definedName name="gh">#REF!</definedName>
    <definedName name="ghdfgh" hidden="1">{#N/A,#N/A,TRUE,"INGENIERIA";#N/A,#N/A,TRUE,"COMPRAS";#N/A,#N/A,TRUE,"DIRECCION";#N/A,#N/A,TRUE,"RESUMEN"}</definedName>
    <definedName name="ghdghdg" hidden="1">{#N/A,#N/A,FALSE,"이태원철근"}</definedName>
    <definedName name="ghdghuy" hidden="1">{"via1",#N/A,TRUE,"general";"via2",#N/A,TRUE,"general";"via3",#N/A,TRUE,"general"}</definedName>
    <definedName name="GHDP" hidden="1">{"via1",#N/A,TRUE,"general";"via2",#N/A,TRUE,"general";"via3",#N/A,TRUE,"general"}</definedName>
    <definedName name="ghf">#REF!</definedName>
    <definedName name="ghfg" hidden="1">{"via1",#N/A,TRUE,"general";"via2",#N/A,TRUE,"general";"via3",#N/A,TRUE,"general"}</definedName>
    <definedName name="ghfgh" hidden="1">{#N/A,#N/A,TRUE,"INGENIERIA";#N/A,#N/A,TRUE,"COMPRAS";#N/A,#N/A,TRUE,"DIRECCION";#N/A,#N/A,TRUE,"RESUMEN"}</definedName>
    <definedName name="GHG" hidden="1">{"'5'!$A$1:$BB$147"}</definedName>
    <definedName name="ghgdhgh" hidden="1">{#N/A,#N/A,FALSE,"Solids &amp; Flow"}</definedName>
    <definedName name="GHGHJBJH">#REF!</definedName>
    <definedName name="ghgijuu" hidden="1">{#N/A,#N/A,FALSE,"COVER";#N/A,#N/A,FALSE,"RECAP";#N/A,#N/A,FALSE,"SANTA BARBARA NONMANUAL";#N/A,#N/A,FALSE,"CEQUIP";#N/A,#N/A,FALSE,"WRATE";#N/A,#N/A,FALSE,"INDIRECT";#N/A,#N/A,FALSE,"TRAIN";#N/A,#N/A,FALSE,"MANLOADED SCHEDULE"}</definedName>
    <definedName name="GHI" hidden="1">{#N/A,#N/A,FALSE,"TABLE"}</definedName>
    <definedName name="GHJ" hidden="1">{#N/A,#N/A,FALSE,"Solids &amp; Flow"}</definedName>
    <definedName name="ghjghj" hidden="1">{"TAB1",#N/A,TRUE,"GENERAL";"TAB2",#N/A,TRUE,"GENERAL";"TAB3",#N/A,TRUE,"GENERAL";"TAB4",#N/A,TRUE,"GENERAL";"TAB5",#N/A,TRUE,"GENERAL"}</definedName>
    <definedName name="ghjtfj"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ghjyutr" hidden="1">{#N/A,#N/A,FALSE,"Solids Only"}</definedName>
    <definedName name="GHKJHK" hidden="1">{"TAB1",#N/A,TRUE,"GENERAL";"TAB2",#N/A,TRUE,"GENERAL";"TAB3",#N/A,TRUE,"GENERAL";"TAB4",#N/A,TRUE,"GENERAL";"TAB5",#N/A,TRUE,"GENERAL"}</definedName>
    <definedName name="GHKJHKJHKJHJK" hidden="1">{"'5'!$A$1:$BB$147"}</definedName>
    <definedName name="ghnbbfr" hidden="1">{#N/A,#N/A,TRUE,"1842CWN0"}</definedName>
    <definedName name="ghyuiyu" hidden="1">{#N/A,#N/A,FALSE,"Solids Only"}</definedName>
    <definedName name="GI">MATCH(0.01,End_Bal,-1)+1</definedName>
    <definedName name="gifbfbv" hidden="1">{#N/A,#N/A,TRUE,"INGENIERIA";#N/A,#N/A,TRUE,"COMPRAS";#N/A,#N/A,TRUE,"DIRECCION";#N/A,#N/A,TRUE,"RESUMEN"}</definedName>
    <definedName name="gigi" hidden="1">{#N/A,#N/A,FALSE,"summary";#N/A,#N/A,FALSE,"SumGraph"}</definedName>
    <definedName name="GJ">#N/A</definedName>
    <definedName name="GJHVCB" hidden="1">{"TAB1",#N/A,TRUE,"GENERAL";"TAB2",#N/A,TRUE,"GENERAL";"TAB3",#N/A,TRUE,"GENERAL";"TAB4",#N/A,TRUE,"GENERAL";"TAB5",#N/A,TRUE,"GENERAL"}</definedName>
    <definedName name="GJLHÑÑGHK" hidden="1">{#N/A,#N/A,FALSE,"masez (10)";#N/A,#N/A,FALSE,"masez (7)";#N/A,#N/A,FALSE,"masez (6)";#N/A,#N/A,FALSE,"masez (5)";#N/A,#N/A,FALSE,"masez (4)";#N/A,#N/A,FALSE,"masez (3)";#N/A,#N/A,FALSE,"masez (2)";#N/A,#N/A,FALSE,"GME";#N/A,#N/A,FALSE,"masez"}</definedName>
    <definedName name="gk" hidden="1">{"via1",#N/A,TRUE,"general";"via2",#N/A,TRUE,"general";"via3",#N/A,TRUE,"general"}</definedName>
    <definedName name="GKFGK" hidden="1">{"'5'!$A$1:$BB$147"}</definedName>
    <definedName name="GKJDGDIJZ">"Imagen 3"</definedName>
    <definedName name="GL" localSheetId="0">Scheduled_Payment+Extra_Payment</definedName>
    <definedName name="GL">Scheduled_Payment+Extra_Payment</definedName>
    <definedName name="Global">#REF!</definedName>
    <definedName name="GM">#N/A</definedName>
    <definedName name="gmd" hidden="1">{#N/A,#N/A,FALSE,"Matrix";#N/A,#N/A,FALSE,"Executive";#N/A,#N/A,FALSE,"Summary"}</definedName>
    <definedName name="GOH" hidden="1">{#N/A,#N/A,FALSE,"TABLE"}</definedName>
    <definedName name="Google_Sheet_Link_1203146130_6723025" hidden="1">#N/A</definedName>
    <definedName name="Google_Sheet_Link_1205380227_346696838" hidden="1">#N/A</definedName>
    <definedName name="Google_Sheet_Link_1220169392_630757018" hidden="1">#N/A</definedName>
    <definedName name="Google_Sheet_Link_1248689005_1516925626" hidden="1">#N/A</definedName>
    <definedName name="Google_Sheet_Link_1404876349_630757018" hidden="1">#N/A</definedName>
    <definedName name="Google_Sheet_Link_1767927049_1516925626" hidden="1">#N/A</definedName>
    <definedName name="Google_Sheet_Link_1855941878_346696838" hidden="1">#N/A</definedName>
    <definedName name="Google_Sheet_Link_1859516372_274199300" hidden="1">#N/A</definedName>
    <definedName name="Google_Sheet_Link_2050570736_325787280" hidden="1">#N/A</definedName>
    <definedName name="Google_Sheet_Link_335182132_325787280" hidden="1">#N/A</definedName>
    <definedName name="Google_Sheet_Link_487601100_1502030992" hidden="1">#N/A</definedName>
    <definedName name="Google_Sheet_Link_813262325_6723025" hidden="1">#N/A</definedName>
    <definedName name="Google_Sheet_Link_942103294_1502030992" hidden="1">#N/A</definedName>
    <definedName name="GOTSX" hidden="1">{#N/A,#N/A,FALSE,"CIBHA05A";#N/A,#N/A,FALSE,"CIBHA05B"}</definedName>
    <definedName name="governing_case_001">#REF!</definedName>
    <definedName name="GPH_PRNT">#REF!</definedName>
    <definedName name="gpx" hidden="1">{#N/A,#N/A,TRUE,"INGENIERIA";#N/A,#N/A,TRUE,"COMPRAS";#N/A,#N/A,TRUE,"DIRECCION";#N/A,#N/A,TRUE,"RESUMEN"}</definedName>
    <definedName name="GRA">#REF!</definedName>
    <definedName name="grade_rate">#REF!</definedName>
    <definedName name="GRAF" hidden="1">{#N/A,#N/A,FALSE,"SMT1";#N/A,#N/A,FALSE,"SMT2";#N/A,#N/A,FALSE,"Summary";#N/A,#N/A,FALSE,"Graphs";#N/A,#N/A,FALSE,"4 Panel"}</definedName>
    <definedName name="GRAF1ANO" hidden="1">{"via1",#N/A,TRUE,"general";"via2",#N/A,TRUE,"general";"via3",#N/A,TRUE,"general"}</definedName>
    <definedName name="GRAF1AÑO" hidden="1">{"TAB1",#N/A,TRUE,"GENERAL";"TAB2",#N/A,TRUE,"GENERAL";"TAB3",#N/A,TRUE,"GENERAL";"TAB4",#N/A,TRUE,"GENERAL";"TAB5",#N/A,TRUE,"GENERAL"}</definedName>
    <definedName name="GRAF2">#REF!</definedName>
    <definedName name="GRAF3">#REF!</definedName>
    <definedName name="GRAFICOS">#REF!</definedName>
    <definedName name="Graph_1" hidden="1">#REF!</definedName>
    <definedName name="Graph_2" hidden="1">#REF!</definedName>
    <definedName name="GRC_EXP">#REF!</definedName>
    <definedName name="GRC_IMP">#REF!</definedName>
    <definedName name="GRCHIS0599" hidden="1">{#N/A,#N/A,FALSE,"Costos Productos 6A";#N/A,#N/A,FALSE,"Costo Unitario Total H-94-12"}</definedName>
    <definedName name="gregds" hidden="1">{"TAB1",#N/A,TRUE,"GENERAL";"TAB2",#N/A,TRUE,"GENERAL";"TAB3",#N/A,TRUE,"GENERAL";"TAB4",#N/A,TRUE,"GENERAL";"TAB5",#N/A,TRUE,"GENERAL"}</definedName>
    <definedName name="grehrtyh" hidden="1">{"TAB1",#N/A,TRUE,"GENERAL";"TAB2",#N/A,TRUE,"GENERAL";"TAB3",#N/A,TRUE,"GENERAL";"TAB4",#N/A,TRUE,"GENERAL";"TAB5",#N/A,TRUE,"GENERAL"}</definedName>
    <definedName name="grggwero" hidden="1">{"via1",#N/A,TRUE,"general";"via2",#N/A,TRUE,"general";"via3",#N/A,TRUE,"general"}</definedName>
    <definedName name="grphRange">#REF!,#REF!,#REF!,#REF!</definedName>
    <definedName name="grtyerh" hidden="1">{"TAB1",#N/A,TRUE,"GENERAL";"TAB2",#N/A,TRUE,"GENERAL";"TAB3",#N/A,TRUE,"GENERAL";"TAB4",#N/A,TRUE,"GENERAL";"TAB5",#N/A,TRUE,"GENERAL"}</definedName>
    <definedName name="GRUA_30">#N/A</definedName>
    <definedName name="GRUA_75">#N/A</definedName>
    <definedName name="GRUPO_SANGUINEO">#REF!</definedName>
    <definedName name="grupo1">#REF!</definedName>
    <definedName name="grupo2">#REF!</definedName>
    <definedName name="grupo3">#REF!</definedName>
    <definedName name="grupo4">#REF!</definedName>
    <definedName name="grupo5">#REF!</definedName>
    <definedName name="grupo6">#REF!</definedName>
    <definedName name="grupo7">#REF!</definedName>
    <definedName name="grupo8">#REF!</definedName>
    <definedName name="grupo9">#REF!</definedName>
    <definedName name="gsdfg"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GSDG" hidden="1">{"TAB1",#N/A,TRUE,"GENERAL";"TAB2",#N/A,TRUE,"GENERAL";"TAB3",#N/A,TRUE,"GENERAL";"TAB4",#N/A,TRUE,"GENERAL";"TAB5",#N/A,TRUE,"GENERAL"}</definedName>
    <definedName name="gsfsf" hidden="1">{"via1",#N/A,TRUE,"general";"via2",#N/A,TRUE,"general";"via3",#N/A,TRUE,"general"}</definedName>
    <definedName name="gt" hidden="1">{#N/A,#N/A,FALSE,"Hoja1";#N/A,#N/A,FALSE,"Hoja2"}</definedName>
    <definedName name="gtfd" hidden="1">{#N/A,#N/A,TRUE,"1842CWN0"}</definedName>
    <definedName name="gtgt" hidden="1">{"via1",#N/A,TRUE,"general";"via2",#N/A,TRUE,"general";"via3",#N/A,TRUE,"general"}</definedName>
    <definedName name="gtgtg" hidden="1">{"via1",#N/A,TRUE,"general";"via2",#N/A,TRUE,"general";"via3",#N/A,TRUE,"general"}</definedName>
    <definedName name="gtgtgff" hidden="1">{"via1",#N/A,TRUE,"general";"via2",#N/A,TRUE,"general";"via3",#N/A,TRUE,"general"}</definedName>
    <definedName name="gtgtgyh" hidden="1">{"TAB1",#N/A,TRUE,"GENERAL";"TAB2",#N/A,TRUE,"GENERAL";"TAB3",#N/A,TRUE,"GENERAL";"TAB4",#N/A,TRUE,"GENERAL";"TAB5",#N/A,TRUE,"GENERAL"}</definedName>
    <definedName name="gtgth" hidden="1">{"TAB1",#N/A,TRUE,"GENERAL";"TAB2",#N/A,TRUE,"GENERAL";"TAB3",#N/A,TRUE,"GENERAL";"TAB4",#N/A,TRUE,"GENERAL";"TAB5",#N/A,TRUE,"GENERAL"}</definedName>
    <definedName name="GTR" hidden="1">{#N/A,#N/A,FALSE,"단축1";#N/A,#N/A,FALSE,"단축2";#N/A,#N/A,FALSE,"단축3";#N/A,#N/A,FALSE,"장축";#N/A,#N/A,FALSE,"4WD"}</definedName>
    <definedName name="GTRF" hidden="1">{#N/A,#N/A,FALSE,"Full";#N/A,#N/A,FALSE,"Half";#N/A,#N/A,FALSE,"Op Expenses";#N/A,#N/A,FALSE,"Cap Charge";#N/A,#N/A,FALSE,"Cost C";#N/A,#N/A,FALSE,"PP&amp;E";#N/A,#N/A,FALSE,"R&amp;D"}</definedName>
    <definedName name="GTY" hidden="1">{#N/A,#N/A,FALSE,"단축1";#N/A,#N/A,FALSE,"단축2";#N/A,#N/A,FALSE,"단축3";#N/A,#N/A,FALSE,"장축";#N/A,#N/A,FALSE,"4WD"}</definedName>
    <definedName name="GUANTE">#N/A</definedName>
    <definedName name="GUANTE_DEP">#N/A</definedName>
    <definedName name="Guardar_datos">#N/A</definedName>
    <definedName name="Guardar_Datos_del_Dia">#N/A</definedName>
    <definedName name="Guardar_Datos_Indice_energìa">#N/A</definedName>
    <definedName name="Guardar_del_Dia">#N/A</definedName>
    <definedName name="GUARDAR_EN_RED">#N/A</definedName>
    <definedName name="GUARDAR_REPORTE">#N/A</definedName>
    <definedName name="GUATIQUIA">#REF!</definedName>
    <definedName name="GUS" hidden="1">{#N/A,#N/A,FALSE,"Costos Productos 6A";#N/A,#N/A,FALSE,"Costo Unitario Total H-94-12"}</definedName>
    <definedName name="GUSTAVO" hidden="1">{#N/A,#N/A,FALSE,"Costos Productos 6A";#N/A,#N/A,FALSE,"Costo Unitario Total H-94-12"}</definedName>
    <definedName name="GV" hidden="1">{#N/A,#N/A,FALSE,"CCTV"}</definedName>
    <definedName name="gvdfgdfg" hidden="1">{#N/A,#N/A,FALSE,"Solids &amp; Flow"}</definedName>
    <definedName name="gvnhg" hidden="1">{"'banner (abr)'!$A$14:$G$22"}</definedName>
    <definedName name="gyg" hidden="1">#REF!</definedName>
    <definedName name="H">#REF!</definedName>
    <definedName name="H_MENOR">#REF!</definedName>
    <definedName name="H2S">#N/A</definedName>
    <definedName name="h56h" hidden="1">{0,0,0,0;0,0,0,0}</definedName>
    <definedName name="h9h" hidden="1">{"via1",#N/A,TRUE,"general";"via2",#N/A,TRUE,"general";"via3",#N/A,TRUE,"general"}</definedName>
    <definedName name="hab">#REF!</definedName>
    <definedName name="hab___viv">#REF!</definedName>
    <definedName name="HALFCUP">#REF!</definedName>
    <definedName name="hbfdhrw" hidden="1">{"TAB1",#N/A,TRUE,"GENERAL";"TAB2",#N/A,TRUE,"GENERAL";"TAB3",#N/A,TRUE,"GENERAL";"TAB4",#N/A,TRUE,"GENERAL";"TAB5",#N/A,TRUE,"GENERAL"}</definedName>
    <definedName name="HDDR">#REF!</definedName>
    <definedName name="hdfh" hidden="1">{"via1",#N/A,TRUE,"general";"via2",#N/A,TRUE,"general";"via3",#N/A,TRUE,"general"}</definedName>
    <definedName name="hdfh4" hidden="1">{"TAB1",#N/A,TRUE,"GENERAL";"TAB2",#N/A,TRUE,"GENERAL";"TAB3",#N/A,TRUE,"GENERAL";"TAB4",#N/A,TRUE,"GENERAL";"TAB5",#N/A,TRUE,"GENERAL"}</definedName>
    <definedName name="hdfhwq" hidden="1">{"TAB1",#N/A,TRUE,"GENERAL";"TAB2",#N/A,TRUE,"GENERAL";"TAB3",#N/A,TRUE,"GENERAL";"TAB4",#N/A,TRUE,"GENERAL";"TAB5",#N/A,TRUE,"GENERAL"}</definedName>
    <definedName name="hdgh" hidden="1">{"via1",#N/A,TRUE,"general";"via2",#N/A,TRUE,"general";"via3",#N/A,TRUE,"general"}</definedName>
    <definedName name="hdhf" hidden="1">{"TAB1",#N/A,TRUE,"GENERAL";"TAB2",#N/A,TRUE,"GENERAL";"TAB3",#N/A,TRUE,"GENERAL";"TAB4",#N/A,TRUE,"GENERAL";"TAB5",#N/A,TRUE,"GENERAL"}</definedName>
    <definedName name="HDR">#REF!</definedName>
    <definedName name="Header_Row">ROW(#REF!)</definedName>
    <definedName name="HeatandMaterialBalance">#REF!</definedName>
    <definedName name="hed">#REF!</definedName>
    <definedName name="hen">#REF!</definedName>
    <definedName name="hern" hidden="1">#REF!</definedName>
    <definedName name="Herr._Menor">#REF!</definedName>
    <definedName name="Herr._Tendido">#REF!</definedName>
    <definedName name="Herramienta" hidden="1">{"'Sheet2'!$A$3:$B$17"}</definedName>
    <definedName name="herramientas">#REF!</definedName>
    <definedName name="hfdddslnb" hidden="1">{#N/A,#N/A,TRUE,"1842CWN0"}</definedName>
    <definedName name="hfdgfdg" hidden="1">{#N/A,#N/A,FALSE,"CCTV"}</definedName>
    <definedName name="hfgh" hidden="1">{"via1",#N/A,TRUE,"general";"via2",#N/A,TRUE,"general";"via3",#N/A,TRUE,"general"}</definedName>
    <definedName name="hfh" hidden="1">{"TAB1",#N/A,TRUE,"GENERAL";"TAB2",#N/A,TRUE,"GENERAL";"TAB3",#N/A,TRUE,"GENERAL";"TAB4",#N/A,TRUE,"GENERAL";"TAB5",#N/A,TRUE,"GENERAL"}</definedName>
    <definedName name="hfhg" hidden="1">{"TAB1",#N/A,TRUE,"GENERAL";"TAB2",#N/A,TRUE,"GENERAL";"TAB3",#N/A,TRUE,"GENERAL";"TAB4",#N/A,TRUE,"GENERAL";"TAB5",#N/A,TRUE,"GENERAL"}</definedName>
    <definedName name="hfjhhjj" hidden="1">{#N/A,#N/A,FALSE,"CCTV"}</definedName>
    <definedName name="hfthr" hidden="1">{"via1",#N/A,TRUE,"general";"via2",#N/A,TRUE,"general";"via3",#N/A,TRUE,"general"}</definedName>
    <definedName name="hfthytuo" hidden="1">{#N/A,#N/A,FALSE,"Solids &amp; Flow"}</definedName>
    <definedName name="hg" hidden="1">{"via1",#N/A,TRUE,"general";"via2",#N/A,TRUE,"general";"via3",#N/A,TRUE,"general"}</definedName>
    <definedName name="hgf" hidden="1">{#N/A,#N/A,TRUE,"INGENIERIA";#N/A,#N/A,TRUE,"COMPRAS";#N/A,#N/A,TRUE,"DIRECCION";#N/A,#N/A,TRUE,"RESUMEN"}</definedName>
    <definedName name="hgfd" hidden="1">{#N/A,#N/A,TRUE,"1842CWN0"}</definedName>
    <definedName name="hgfds" hidden="1">{#N/A,#N/A,FALSE,"orthoflow";#N/A,#N/A,FALSE,"Miscelaneos";#N/A,#N/A,FALSE,"Instrumentacio";#N/A,#N/A,FALSE,"Electrico";#N/A,#N/A,FALSE,"Valv. Seguridad"}</definedName>
    <definedName name="HGFH" hidden="1">{"via1",#N/A,TRUE,"general";"via2",#N/A,TRUE,"general";"via3",#N/A,TRUE,"general"}</definedName>
    <definedName name="hgfhty" hidden="1">{"via1",#N/A,TRUE,"general";"via2",#N/A,TRUE,"general";"via3",#N/A,TRUE,"general"}</definedName>
    <definedName name="HGH" hidden="1">{#N/A,#N/A,FALSE,"TABLE"}</definedName>
    <definedName name="HGHF" hidden="1">{#N/A,#N/A,TRUE,"Budget";#N/A,#N/A,TRUE,"Balance Sheet";#N/A,#N/A,TRUE,"Cash Flow"}</definedName>
    <definedName name="HGHFH7" hidden="1">{"TAB1",#N/A,TRUE,"GENERAL";"TAB2",#N/A,TRUE,"GENERAL";"TAB3",#N/A,TRUE,"GENERAL";"TAB4",#N/A,TRUE,"GENERAL";"TAB5",#N/A,TRUE,"GENERAL"}</definedName>
    <definedName name="HGHG" hidden="1">{#N/A,#N/A,FALSE,"TABLE"}</definedName>
    <definedName name="hghghghghgh" hidden="1">{#N/A,#N/A,FALSE,"PERSONAL"}</definedName>
    <definedName name="hghhj" hidden="1">{"TAB1",#N/A,TRUE,"GENERAL";"TAB2",#N/A,TRUE,"GENERAL";"TAB3",#N/A,TRUE,"GENERAL";"TAB4",#N/A,TRUE,"GENERAL";"TAB5",#N/A,TRUE,"GENERAL"}</definedName>
    <definedName name="hghydj" hidden="1">{"via1",#N/A,TRUE,"general";"via2",#N/A,TRUE,"general";"via3",#N/A,TRUE,"general"}</definedName>
    <definedName name="hgjfgh" hidden="1">{#N/A,#N/A,FALSE,"CCTV"}</definedName>
    <definedName name="hgjfjw" hidden="1">{"via1",#N/A,TRUE,"general";"via2",#N/A,TRUE,"general";"via3",#N/A,TRUE,"general"}</definedName>
    <definedName name="HGJG" hidden="1">{"TAB1",#N/A,TRUE,"GENERAL";"TAB2",#N/A,TRUE,"GENERAL";"TAB3",#N/A,TRUE,"GENERAL";"TAB4",#N/A,TRUE,"GENERAL";"TAB5",#N/A,TRUE,"GENERAL"}</definedName>
    <definedName name="hgjgfhgh" hidden="1">{#N/A,#N/A,FALSE,"CCTV"}</definedName>
    <definedName name="HGJHH" hidden="1">{#N/A,#N/A,FALSE,"TABLE"}</definedName>
    <definedName name="hh" hidden="1">{#N/A,#N/A,FALSE,"CCTV"}</definedName>
    <definedName name="hhg" hidden="1">{#N/A,#N/A,TRUE,"1842CWN0"}</definedName>
    <definedName name="HHGH" hidden="1">{"Control_Consolidado",#N/A,FALSE,"Cons.";"Control_Tunel",#N/A,FALSE,"Cons.";"Control_Melip",#N/A,FALSE,"Cons.";"Control_Gualleco",#N/A,FALSE,"Cons.";"Control_Sara L",#N/A,FALSE,"Cons.";"Control_Quellon",#N/A,FALSE,"Cons.";"Control_Biolix",#N/A,FALSE,"Cons.";"Control_Oficina",#N/A,FALSE,"Cons.";"Control_Consorcio",#N/A,FALSE,"Cons."}</definedName>
    <definedName name="hhghhghghhgg" hidden="1">{#N/A,#N/A,FALSE,"PERSONAL"}</definedName>
    <definedName name="hhh" hidden="1">{"TAB1",#N/A,TRUE,"GENERAL";"TAB2",#N/A,TRUE,"GENERAL";"TAB3",#N/A,TRUE,"GENERAL";"TAB4",#N/A,TRUE,"GENERAL";"TAB5",#N/A,TRUE,"GENERAL"}</definedName>
    <definedName name="HHHH" hidden="1">{#N/A,#N/A,FALSE,"CPR Santana"}</definedName>
    <definedName name="HHHHH" hidden="1">{#N/A,#N/A,FALSE,"단축1";#N/A,#N/A,FALSE,"단축2";#N/A,#N/A,FALSE,"단축3";#N/A,#N/A,FALSE,"장축";#N/A,#N/A,FALSE,"4WD"}</definedName>
    <definedName name="hhhhhh" hidden="1">{"via1",#N/A,TRUE,"general";"via2",#N/A,TRUE,"general";"via3",#N/A,TRUE,"general"}</definedName>
    <definedName name="hhhhhhhhhh" hidden="1">{#N/A,#N/A,FALSE,"PERSONAL"}</definedName>
    <definedName name="hhhhhhhhhhhhhhhh">#REF!</definedName>
    <definedName name="hhhhhho" hidden="1">{"TAB1",#N/A,TRUE,"GENERAL";"TAB2",#N/A,TRUE,"GENERAL";"TAB3",#N/A,TRUE,"GENERAL";"TAB4",#N/A,TRUE,"GENERAL";"TAB5",#N/A,TRUE,"GENERAL"}</definedName>
    <definedName name="hhhhhpy" hidden="1">{"TAB1",#N/A,TRUE,"GENERAL";"TAB2",#N/A,TRUE,"GENERAL";"TAB3",#N/A,TRUE,"GENERAL";"TAB4",#N/A,TRUE,"GENERAL";"TAB5",#N/A,TRUE,"GENERAL"}</definedName>
    <definedName name="hhhhth" hidden="1">{"via1",#N/A,TRUE,"general";"via2",#N/A,TRUE,"general";"via3",#N/A,TRUE,"general"}</definedName>
    <definedName name="hhhyhyh" hidden="1">{"TAB1",#N/A,TRUE,"GENERAL";"TAB2",#N/A,TRUE,"GENERAL";"TAB3",#N/A,TRUE,"GENERAL";"TAB4",#N/A,TRUE,"GENERAL";"TAB5",#N/A,TRUE,"GENERAL"}</definedName>
    <definedName name="HHJK" hidden="1">{"Graf_Carga Trab",#N/A,FALSE,"Grafi_Carga Trab";"Graf_Venta Flujo",#N/A,FALSE,"Grafi_Carga Trab"}</definedName>
    <definedName name="hhtgb" hidden="1">{#N/A,#N/A,TRUE,"INGENIERIA";#N/A,#N/A,TRUE,"COMPRAS";#N/A,#N/A,TRUE,"DIRECCION";#N/A,#N/A,TRUE,"RESUMEN"}</definedName>
    <definedName name="hhtrhreh" hidden="1">{"via1",#N/A,TRUE,"general";"via2",#N/A,TRUE,"general";"via3",#N/A,TRUE,"general"}</definedName>
    <definedName name="HHYYTJ" hidden="1">{#N/A,#N/A,FALSE,"Cravo Norte"}</definedName>
    <definedName name="HiddenRows" hidden="1">#REF!</definedName>
    <definedName name="HIDE1">#REF!</definedName>
    <definedName name="HIDROSELLO_DE_CAUCHO_10_S8">#REF!</definedName>
    <definedName name="HIDROSELLO_DE_CAUCHO_12_S8">#REF!</definedName>
    <definedName name="HIDROSELLO_DE_CAUCHO_14_S8">#REF!</definedName>
    <definedName name="HIDROSELLO_DE_CAUCHO_16_S8">#REF!</definedName>
    <definedName name="HIDROSELLO_DE_CAUCHO_18_S8">#REF!</definedName>
    <definedName name="HIDROSELLO_DE_CAUCHO_20_S8">#REF!</definedName>
    <definedName name="HIDROSELLO_DE_CAUCHO_24_S4">#REF!</definedName>
    <definedName name="HIDROSELLO_DE_CAUCHO_27_S4">#REF!</definedName>
    <definedName name="HIDROSELLO_DE_CAUCHO_30_S4">#REF!</definedName>
    <definedName name="HIDROSELLO_DE_CAUCHO_6_S8">#REF!</definedName>
    <definedName name="HIDROSELLO_DE_CAUCHO_8_S8">#REF!</definedName>
    <definedName name="HIDROSELLO_S8">#REF!</definedName>
    <definedName name="HIK" hidden="1">{#N/A,#N/A,FALSE,"PERSONAL"}</definedName>
    <definedName name="HISTOGRAMA">#REF!</definedName>
    <definedName name="HISTORICO" hidden="1">{#N/A,#N/A,FALSE,"Costos Productos 6A";#N/A,#N/A,FALSE,"Costo Unitario Total H-94-12"}</definedName>
    <definedName name="HisYear_0" hidden="1">#REF!</definedName>
    <definedName name="HisYear_1" hidden="1">#REF!</definedName>
    <definedName name="HisYear_2" hidden="1">#REF!</definedName>
    <definedName name="HisYear_3" hidden="1">#REF!</definedName>
    <definedName name="hiutyi" hidden="1">{#N/A,#N/A,FALSE,"Solids Only"}</definedName>
    <definedName name="hj" hidden="1">{#N/A,#N/A,FALSE,"단축1";#N/A,#N/A,FALSE,"단축2";#N/A,#N/A,FALSE,"단축3";#N/A,#N/A,FALSE,"장축";#N/A,#N/A,FALSE,"4WD"}</definedName>
    <definedName name="hjfg" hidden="1">{"via1",#N/A,TRUE,"general";"via2",#N/A,TRUE,"general";"via3",#N/A,TRUE,"general"}</definedName>
    <definedName name="hjfhgfjdhgjfg" hidden="1">#REF!</definedName>
    <definedName name="hjgh" hidden="1">{"TAB1",#N/A,TRUE,"GENERAL";"TAB2",#N/A,TRUE,"GENERAL";"TAB3",#N/A,TRUE,"GENERAL";"TAB4",#N/A,TRUE,"GENERAL";"TAB5",#N/A,TRUE,"GENERAL"}</definedName>
    <definedName name="hjghj" hidden="1">{"TAB1",#N/A,TRUE,"GENERAL";"TAB2",#N/A,TRUE,"GENERAL";"TAB3",#N/A,TRUE,"GENERAL";"TAB4",#N/A,TRUE,"GENERAL";"TAB5",#N/A,TRUE,"GENERAL"}</definedName>
    <definedName name="hjhj" hidden="1">{#N/A,#N/A,TRUE,"Budget";#N/A,#N/A,TRUE,"Balance Sheet";#N/A,#N/A,TRUE,"Cash Flow"}</definedName>
    <definedName name="hjhjhg" hidden="1">{"TAB1",#N/A,TRUE,"GENERAL";"TAB2",#N/A,TRUE,"GENERAL";"TAB3",#N/A,TRUE,"GENERAL";"TAB4",#N/A,TRUE,"GENERAL";"TAB5",#N/A,TRUE,"GENERAL"}</definedName>
    <definedName name="hjityu" hidden="1">{#N/A,#N/A,TRUE,"1842CWN0"}</definedName>
    <definedName name="hjk" hidden="1">{#N/A,#N/A,FALSE,"PERSONAL"}</definedName>
    <definedName name="HJKH" hidden="1">{"via1",#N/A,TRUE,"general";"via2",#N/A,TRUE,"general";"via3",#N/A,TRUE,"general"}</definedName>
    <definedName name="hjkii" hidden="1">{#N/A,#N/A,FALSE,"Solids Only"}</definedName>
    <definedName name="hjkjhgfdg" hidden="1">{#N/A,#N/A,FALSE,"Solids Only"}</definedName>
    <definedName name="hjkjk" hidden="1">{"via1",#N/A,TRUE,"general";"via2",#N/A,TRUE,"general";"via3",#N/A,TRUE,"general"}</definedName>
    <definedName name="HJKLL" hidden="1">{#N/A,#N/A,TRUE,"Y생산";#N/A,#N/A,TRUE,"Y판매";#N/A,#N/A,TRUE,"Y총물량";#N/A,#N/A,TRUE,"Y능력";#N/A,#N/A,TRUE,"YKD"}</definedName>
    <definedName name="hjtyutyu" hidden="1">{#N/A,#N/A,FALSE,"Solids Only"}</definedName>
    <definedName name="HJVH" hidden="1">#REF!</definedName>
    <definedName name="hjyui" hidden="1">{#N/A,#N/A,FALSE,"신규dep";#N/A,#N/A,FALSE,"신규dep-금형상각후";#N/A,#N/A,FALSE,"신규dep-연구비상각후";#N/A,#N/A,FALSE,"신규dep-기계,공구상각후"}</definedName>
    <definedName name="HK" hidden="1">{#N/A,#N/A,FALSE,"a1";#N/A,#N/A,FALSE,"a2";#N/A,#N/A,FALSE,"a3";#N/A,#N/A,FALSE,"a4a";#N/A,#N/A,FALSE,"a4B";#N/A,#N/A,FALSE,"a4C";#N/A,#N/A,FALSE,"a4D";#N/A,#N/A,FALSE,"A5a ";#N/A,#N/A,FALSE,"A5b";#N/A,#N/A,FALSE,"A6A";#N/A,#N/A,FALSE,"A6B";#N/A,#N/A,FALSE,"A6C";#N/A,#N/A,FALSE,"A6D";#N/A,#N/A,FALSE,"INV"}</definedName>
    <definedName name="hkd" hidden="1">{#N/A,#N/A,TRUE,"1842CWN0"}</definedName>
    <definedName name="HKJ" hidden="1">{#N/A,#N/A,FALSE,"PERSONAL"}</definedName>
    <definedName name="hljhlzdfjñhshsrth" hidden="1">{"'banner (abr)'!$A$14:$G$22"}</definedName>
    <definedName name="HM" hidden="1">#REF!</definedName>
    <definedName name="hn" hidden="1">{"TAB1",#N/A,TRUE,"GENERAL";"TAB2",#N/A,TRUE,"GENERAL";"TAB3",#N/A,TRUE,"GENERAL";"TAB4",#N/A,TRUE,"GENERAL";"TAB5",#N/A,TRUE,"GENERAL"}</definedName>
    <definedName name="hn.ConvertZero1" hidden="1">#REF!,#REF!,#REF!,#REF!,#REF!,#REF!,#REF!,#REF!,#REF!,#REF!</definedName>
    <definedName name="hn.ConvertZero2" hidden="1">#REF!,#REF!,#REF!,#REF!,#REF!,#REF!,#REF!,#REF!</definedName>
    <definedName name="hn.ConvertZero3" hidden="1">#REF!,#REF!,#REF!,#REF!,#REF!</definedName>
    <definedName name="hn.ConvertZero4" hidden="1">#REF!,#REF!,#REF!,#REF!,#REF!,#REF!,#REF!,#REF!</definedName>
    <definedName name="hn.ConvertZeroUnhide1" hidden="1">#REF!,#REF!,#REF!</definedName>
    <definedName name="hn.Delete015" hidden="1">#REF!,#REF!,#REF!,#REF!</definedName>
    <definedName name="hn.DZ_MultByFXRates" hidden="1">#REF!,#REF!,#REF!,#REF!</definedName>
    <definedName name="hn.ExtDb" hidden="1">FALSE</definedName>
    <definedName name="hn.LTM_MultByFXRates" hidden="1">#REF!,#REF!,#REF!,#REF!,#REF!,#REF!,#REF!</definedName>
    <definedName name="hn.ModelType" hidden="1">"DEAL"</definedName>
    <definedName name="hn.ModelVersion" hidden="1">1</definedName>
    <definedName name="hn.MultbyFXRates" hidden="1">#REF!,#REF!,#REF!,#REF!,#REF!,#REF!,#REF!</definedName>
    <definedName name="hn.MultByFXRates1" hidden="1">#REF!,#REF!,#REF!,#REF!,#REF!</definedName>
    <definedName name="hn.MultByFXRates2" hidden="1">#REF!,#REF!,#REF!,#REF!,#REF!</definedName>
    <definedName name="hn.MultByFXRates3" hidden="1">#REF!,#REF!,#REF!,#REF!,#REF!</definedName>
    <definedName name="hn.MultbyFxrates4" hidden="1">#REF!,#REF!,#REF!,#REF!,#REF!,#REF!,#REF!</definedName>
    <definedName name="hn.multbyfxrates5" hidden="1">#REF!,#REF!,#REF!,#REF!,#REF!</definedName>
    <definedName name="hn.multbyfxrates6" hidden="1">#REF!,#REF!,#REF!,#REF!,#REF!</definedName>
    <definedName name="hn.multbyfxrates7" hidden="1">#REF!,#REF!,#REF!,#REF!,#REF!</definedName>
    <definedName name="hn.MultByFXRatesBot1" hidden="1">#REF!,#REF!,#REF!,#REF!,#REF!,#REF!,#REF!,#REF!,#REF!,#REF!,#REF!,#REF!</definedName>
    <definedName name="hn.MultByFXRatesBot2" hidden="1">#REF!,#REF!,#REF!,#REF!,#REF!,#REF!,#REF!,#REF!,#REF!,#REF!,#REF!,#REF!</definedName>
    <definedName name="hn.MultByFXRatesBot3" hidden="1">#REF!,#REF!,#REF!,#REF!,#REF!,#REF!,#REF!,#REF!,#REF!,#REF!,#REF!,#REF!</definedName>
    <definedName name="hn.MultByFXRatesBot4" hidden="1">#REF!,#REF!,#REF!,#REF!,#REF!,#REF!,#REF!,#REF!,#REF!,#REF!,#REF!,#REF!,#REF!</definedName>
    <definedName name="hn.MultByFXRatesBot5" hidden="1">#REF!,#REF!,#REF!,#REF!,#REF!,#REF!,#REF!,#REF!,#REF!,#REF!,#REF!</definedName>
    <definedName name="hn.MultByFXRatesBot6" hidden="1">#REF!,#REF!,#REF!,#REF!,#REF!,#REF!,#REF!,#REF!,#REF!,#REF!,#REF!</definedName>
    <definedName name="hn.MultByFXRatesBot7" hidden="1">#REF!,#REF!,#REF!,#REF!,#REF!,#REF!,#REF!,#REF!,#REF!,#REF!,#REF!</definedName>
    <definedName name="hn.MultByFXRatesTop1" hidden="1">#REF!,#REF!,#REF!,#REF!,#REF!,#REF!,#REF!,#REF!,#REF!,#REF!,#REF!,#REF!</definedName>
    <definedName name="hn.MultByFXRatesTop2" hidden="1">#REF!,#REF!,#REF!,#REF!,#REF!,#REF!,#REF!,#REF!,#REF!,#REF!,#REF!,#REF!,#REF!,#REF!,#REF!</definedName>
    <definedName name="hn.MultByFXRatesTop3" hidden="1">#REF!,#REF!,#REF!,#REF!,#REF!,#REF!,#REF!,#REF!,#REF!,#REF!,#REF!,#REF!,#REF!,#REF!,#REF!</definedName>
    <definedName name="hn.MultByFXRatesTop4" hidden="1">#REF!,#REF!,#REF!,#REF!,#REF!,#REF!,#REF!,#REF!,#REF!,#REF!,#REF!,#REF!,#REF!,#REF!,#REF!</definedName>
    <definedName name="hn.MultByFXRatesTop5" hidden="1">#REF!,#REF!,#REF!,#REF!,#REF!,#REF!,#REF!,#REF!,#REF!,#REF!,#REF!,#REF!</definedName>
    <definedName name="hn.MultByFXRatesTop6" hidden="1">#REF!,#REF!,#REF!,#REF!,#REF!,#REF!,#REF!,#REF!,#REF!,#REF!,#REF!,#REF!,#REF!,#REF!,#REF!</definedName>
    <definedName name="hn.MultByFXRatesTop7" hidden="1">#REF!,#REF!,#REF!,#REF!,#REF!,#REF!,#REF!,#REF!,#REF!,#REF!,#REF!,#REF!,#REF!,#REF!,#REF!</definedName>
    <definedName name="hn.NoUpload" hidden="1">0</definedName>
    <definedName name="hn.YearLabel" hidden="1">#REF!</definedName>
    <definedName name="hnf" hidden="1">{#N/A,#N/A,TRUE,"1842CWN0"}</definedName>
    <definedName name="hnrsd"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HOJA">#REF!</definedName>
    <definedName name="HOJA1">#REF!</definedName>
    <definedName name="HOJITA" hidden="1">{"cuadro1",#N/A,FALSE,"Buzon Camion Opción 3";"cuadro2",#N/A,FALSE,"Buzon Camion Opción 3";"cuadro3",#N/A,FALSE,"Buzon Camion Opción 3";"cuadro4",#N/A,FALSE,"Buzon Camion Opción 3"}</definedName>
    <definedName name="hojita2" hidden="1">{"cuadro1",#N/A,FALSE,"Buzon Camion Opción 3";"cuadro2",#N/A,FALSE,"Buzon Camion Opción 3";"cuadro3",#N/A,FALSE,"Buzon Camion Opción 3";"cuadro4",#N/A,FALSE,"Buzon Camion Opción 3"}</definedName>
    <definedName name="hola" hidden="1">#REF!</definedName>
    <definedName name="HOLA1" hidden="1">{"Acido",#N/A,FALSE,"Contab";"Aromat",#N/A,FALSE,"Contab";"Alquil",#N/A,FALSE,"Contab";"Azufre",#N/A,FALSE,"Contab";"CracUOP",#N/A,FALSE,"Contab";"Demex",#N/A,FALSE,"Contab";"Hidrog",#N/A,FALSE,"Contab";"ModIV",#N/A,FALSE,"Contab";"Paraf",#N/A,FALSE,"Contab";"Topp2000",#N/A,FALSE,"Contab";"Unibon",#N/A,FALSE,"Contab";"Unidad150",#N/A,FALSE,"Contab";"ViscII",#N/A,FALSE,"Contab";#N/A,#N/A,FALSE,"Contab"}</definedName>
    <definedName name="Hollow_Price">#REF!</definedName>
    <definedName name="HOMM">#N/A</definedName>
    <definedName name="hora" hidden="1">{#N/A,#N/A,FALSE,"T1C97";#N/A,#N/A,FALSE,"T2C97";#N/A,#N/A,FALSE,"T3AC97";#N/A,#N/A,FALSE,"T4C97";#N/A,#N/A,FALSE,"T5C97";#N/A,#N/A,FALSE,"T6C97";#N/A,#N/A,FALSE,"T3C97";#N/A,#N/A,FALSE,"T7C97";#N/A,#N/A,FALSE,"T8C97";#N/A,#N/A,FALSE,"T9C97";#N/A,#N/A,FALSE,"T13C97"}</definedName>
    <definedName name="horas" hidden="1">{#N/A,#N/A,FALSE,"Hoja1";#N/A,#N/A,FALSE,"Hoja2"}</definedName>
    <definedName name="HORASHOMBRE">#REF!</definedName>
    <definedName name="horat">#REF!</definedName>
    <definedName name="HOURS">#REF!</definedName>
    <definedName name="HOUS54.21">#REF!</definedName>
    <definedName name="HOUS54.22">#REF!</definedName>
    <definedName name="hoy" hidden="1">#REF!</definedName>
    <definedName name="HQETH" hidden="1">#REF!</definedName>
    <definedName name="hr" hidden="1">{#N/A,#N/A,FALSE,"Hoja1";#N/A,#N/A,FALSE,"Hoja2"}</definedName>
    <definedName name="HR_Fecha">#REF!</definedName>
    <definedName name="hreer" hidden="1">{"TAB1",#N/A,TRUE,"GENERAL";"TAB2",#N/A,TRUE,"GENERAL";"TAB3",#N/A,TRUE,"GENERAL";"TAB4",#N/A,TRUE,"GENERAL";"TAB5",#N/A,TRUE,"GENERAL"}</definedName>
    <definedName name="hrhth" hidden="1">{"TAB1",#N/A,TRUE,"GENERAL";"TAB2",#N/A,TRUE,"GENERAL";"TAB3",#N/A,TRUE,"GENERAL";"TAB4",#N/A,TRUE,"GENERAL";"TAB5",#N/A,TRUE,"GENERAL"}</definedName>
    <definedName name="hrn">#REF!</definedName>
    <definedName name="hrthtrh" hidden="1">{"TAB1",#N/A,TRUE,"GENERAL";"TAB2",#N/A,TRUE,"GENERAL";"TAB3",#N/A,TRUE,"GENERAL";"TAB4",#N/A,TRUE,"GENERAL";"TAB5",#N/A,TRUE,"GENERAL"}</definedName>
    <definedName name="hs">#REF!</definedName>
    <definedName name="hsfg" hidden="1">{"via1",#N/A,TRUE,"general";"via2",#N/A,TRUE,"general";"via3",#N/A,TRUE,"general"}</definedName>
    <definedName name="HSIT" hidden="1">{#N/A,#N/A,FALSE,"CIBHA05A";#N/A,#N/A,FALSE,"CIBHA05B"}</definedName>
    <definedName name="hsmchart2">#REF!</definedName>
    <definedName name="ht" hidden="1">{"'표지'!$B$5"}</definedName>
    <definedName name="hthdrf" hidden="1">{"TAB1",#N/A,TRUE,"GENERAL";"TAB2",#N/A,TRUE,"GENERAL";"TAB3",#N/A,TRUE,"GENERAL";"TAB4",#N/A,TRUE,"GENERAL";"TAB5",#N/A,TRUE,"GENERAL"}</definedName>
    <definedName name="HTHTH" hidden="1">#REF!</definedName>
    <definedName name="HTML_C" hidden="1">{"'A21005'!$A$3:$M$5"}</definedName>
    <definedName name="HTML_CodePage" hidden="1">1252</definedName>
    <definedName name="HTML_Control" hidden="1">{"'A21005'!$A$3:$M$5"}</definedName>
    <definedName name="HTML_Control_1" hidden="1">{"'Sheet1'!$A$1:$G$85"}</definedName>
    <definedName name="HTML_Control_1_1" hidden="1">{"'Sheet1'!$A$1:$G$85"}</definedName>
    <definedName name="HTML_Control2" hidden="1">{"'Parámetros'!$A$3:$C$3"}</definedName>
    <definedName name="HTML_Description" hidden="1">""</definedName>
    <definedName name="HTML_Email" hidden="1">""</definedName>
    <definedName name="HTML_Header" hidden="1">"A21005"</definedName>
    <definedName name="HTML_LastUpdate" hidden="1">"31/08/00"</definedName>
    <definedName name="HTML_LineAfter" hidden="1">TRUE</definedName>
    <definedName name="HTML_LineBefore" hidden="1">TRUE</definedName>
    <definedName name="HTML_Name" hidden="1">"Gerencia Llanos"</definedName>
    <definedName name="HTML_OBDlg2" hidden="1">TRUE</definedName>
    <definedName name="HTML_OBDlg3" hidden="1">TRUE</definedName>
    <definedName name="HTML_OBDlg4" hidden="1">TRUE</definedName>
    <definedName name="HTML_OS" hidden="1">0</definedName>
    <definedName name="HTML_PathFile" hidden="1">"C:\Mis documentos\HTML.htm"</definedName>
    <definedName name="HTML_PathFileMac" hidden="1">"Macintosh HD:HomePageStuff:New_Home_Page:datafile:histret.html"</definedName>
    <definedName name="HTML_PathTemplate" hidden="1">"C:\Verificacion\&lt;!--##Table##--&gt;"</definedName>
    <definedName name="HTML_Title" hidden="1">"FORMATO-1"</definedName>
    <definedName name="HTML1_1" hidden="1">"[ReturnsHistorical]Sheet1!$A$1:$D$77"</definedName>
    <definedName name="HTML1_10" hidden="1">""</definedName>
    <definedName name="HTML1_11" hidden="1">1</definedName>
    <definedName name="HTML1_12" hidden="1">"Zip 100:New_Home_Page:datafile:histret.html"</definedName>
    <definedName name="HTML1_2" hidden="1">1</definedName>
    <definedName name="HTML1_3" hidden="1">"ReturnsHistorical"</definedName>
    <definedName name="HTML1_4" hidden="1">"Historical Returns on Stocks, Bonds and Bills"</definedName>
    <definedName name="HTML1_5" hidden="1">"Ibbotson Data"</definedName>
    <definedName name="HTML1_6" hidden="1">-4146</definedName>
    <definedName name="HTML1_7" hidden="1">-4146</definedName>
    <definedName name="HTML1_8" hidden="1">"3/17/97"</definedName>
    <definedName name="HTML1_9" hidden="1">"Aswath Damodaran"</definedName>
    <definedName name="HTML2_1" hidden="1">"[histret.xls]Sheet1!$A$1:$G$85"</definedName>
    <definedName name="HTML2_10" hidden="1">""</definedName>
    <definedName name="HTML2_11" hidden="1">1</definedName>
    <definedName name="HTML2_12" hidden="1">"Macintosh HD:New_Home_Page:datafile:histret.html"</definedName>
    <definedName name="HTML2_2" hidden="1">1</definedName>
    <definedName name="HTML2_3" hidden="1">"Historical Returns"</definedName>
    <definedName name="HTML2_4" hidden="1">"Historical Returns on Stocks, Bonds and Bills"</definedName>
    <definedName name="HTML2_5" hidden="1">""</definedName>
    <definedName name="HTML2_6" hidden="1">1</definedName>
    <definedName name="HTML2_7" hidden="1">1</definedName>
    <definedName name="HTML2_8" hidden="1">"2/3/98"</definedName>
    <definedName name="HTML2_9" hidden="1">"Aswath Damodaran"</definedName>
    <definedName name="HTML3_1" hidden="1">"'[INDICES.XLS]IPC NAL'!$A$4:$B$43"</definedName>
    <definedName name="HTML3_10" hidden="1">""</definedName>
    <definedName name="HTML3_11" hidden="1">1</definedName>
    <definedName name="HTML3_12" hidden="1">"C:\Mis documentos\IPCNAL.htm"</definedName>
    <definedName name="HTML3_2" hidden="1">1</definedName>
    <definedName name="HTML3_3" hidden="1">"INDICES"</definedName>
    <definedName name="HTML3_4" hidden="1">"IPC NAL"</definedName>
    <definedName name="HTML3_5" hidden="1">""</definedName>
    <definedName name="HTML3_6" hidden="1">-4146</definedName>
    <definedName name="HTML3_7" hidden="1">-4146</definedName>
    <definedName name="HTML3_8" hidden="1">"5/02/1997"</definedName>
    <definedName name="HTML3_9" hidden="1">"JUAN CARLOS TORO VALDERRAMA"</definedName>
    <definedName name="HTML4_1" hidden="1">"'[INDICES.XLS]IPC NAL'!$A$4:$C$43"</definedName>
    <definedName name="HTML4_10" hidden="1">""</definedName>
    <definedName name="HTML4_11" hidden="1">1</definedName>
    <definedName name="HTML4_12" hidden="1">"C:\Mis documentos\IPCNAL.htm"</definedName>
    <definedName name="HTML4_2" hidden="1">1</definedName>
    <definedName name="HTML4_3" hidden="1">"INDICES"</definedName>
    <definedName name="HTML4_4" hidden="1">"IPC NAL"</definedName>
    <definedName name="HTML4_5" hidden="1">""</definedName>
    <definedName name="HTML4_6" hidden="1">-4146</definedName>
    <definedName name="HTML4_7" hidden="1">-4146</definedName>
    <definedName name="HTML4_8" hidden="1">"5/02/1997"</definedName>
    <definedName name="HTML4_9" hidden="1">"JUAN CARLOS TORO VALDERRAMA"</definedName>
    <definedName name="HTML5_1" hidden="1">"'[INDICES.XLS]INDICES I'!$A$1:$I$36"</definedName>
    <definedName name="HTML5_10" hidden="1">""</definedName>
    <definedName name="HTML5_11" hidden="1">1</definedName>
    <definedName name="HTML5_12" hidden="1">"C:\Mis documentos\INDICESI.htm"</definedName>
    <definedName name="HTML5_2" hidden="1">1</definedName>
    <definedName name="HTML5_3" hidden="1">"INDICES"</definedName>
    <definedName name="HTML5_4" hidden="1">"INDICES I"</definedName>
    <definedName name="HTML5_5" hidden="1">""</definedName>
    <definedName name="HTML5_6" hidden="1">-4146</definedName>
    <definedName name="HTML5_7" hidden="1">-4146</definedName>
    <definedName name="HTML5_8" hidden="1">"5/02/1997"</definedName>
    <definedName name="HTML5_9" hidden="1">"JUAN CARLOS TORO VALDERRAMA"</definedName>
    <definedName name="HTML6_1" hidden="1">"'[INDICES.XLS]INDICES 1'!$A$3:$K$30"</definedName>
    <definedName name="HTML6_10" hidden="1">""</definedName>
    <definedName name="HTML6_11" hidden="1">1</definedName>
    <definedName name="HTML6_12" hidden="1">"C:\Mis documentos\INDICES1.htm"</definedName>
    <definedName name="HTML6_2" hidden="1">1</definedName>
    <definedName name="HTML6_3" hidden="1">"INDICES"</definedName>
    <definedName name="HTML6_4" hidden="1">"INDICES 1"</definedName>
    <definedName name="HTML6_5" hidden="1">""</definedName>
    <definedName name="HTML6_6" hidden="1">-4146</definedName>
    <definedName name="HTML6_7" hidden="1">-4146</definedName>
    <definedName name="HTML6_8" hidden="1">"5/02/1997"</definedName>
    <definedName name="HTML6_9" hidden="1">"JUAN CARLOS TORO VALDERRAMA"</definedName>
    <definedName name="htmlControl2" hidden="1">{"'표지'!$B$5"}</definedName>
    <definedName name="HTMLCount" hidden="1">2</definedName>
    <definedName name="HTQET´HM" hidden="1">#REF!</definedName>
    <definedName name="HTR" hidden="1">{#N/A,#N/A,FALSE,"이태원철근"}</definedName>
    <definedName name="htryrt7" hidden="1">{"via1",#N/A,TRUE,"general";"via2",#N/A,TRUE,"general";"via3",#N/A,TRUE,"general"}</definedName>
    <definedName name="HU">#REF!</definedName>
    <definedName name="HUGO" hidden="1">#REF!</definedName>
    <definedName name="HUJI" hidden="1">#REF!</definedName>
    <definedName name="hujuiu" hidden="1">{#N/A,#N/A,FALSE,"Solids &amp; Flow"}</definedName>
    <definedName name="hy" hidden="1">{"uno",#N/A,FALSE,"Dist total";"COMENTARIO",#N/A,FALSE,"Ficha CODICE"}</definedName>
    <definedName name="hybrid_max_001">#REF!</definedName>
    <definedName name="hybrid_min_001">#REF!</definedName>
    <definedName name="hybrid_norm_001">#REF!</definedName>
    <definedName name="hyhjop" hidden="1">{"TAB1",#N/A,TRUE,"GENERAL";"TAB2",#N/A,TRUE,"GENERAL";"TAB3",#N/A,TRUE,"GENERAL";"TAB4",#N/A,TRUE,"GENERAL";"TAB5",#N/A,TRUE,"GENERAL"}</definedName>
    <definedName name="hyhyh" hidden="1">{"TAB1",#N/A,TRUE,"GENERAL";"TAB2",#N/A,TRUE,"GENERAL";"TAB3",#N/A,TRUE,"GENERAL";"TAB4",#N/A,TRUE,"GENERAL";"TAB5",#N/A,TRUE,"GENERAL"}</definedName>
    <definedName name="hyju" hidden="1">{#N/A,#N/A,TRUE,"Y생산";#N/A,#N/A,TRUE,"Y판매";#N/A,#N/A,TRUE,"Y총물량";#N/A,#N/A,TRUE,"Y능력";#N/A,#N/A,TRUE,"YKD"}</definedName>
    <definedName name="hynj" hidden="1">{#N/A,#N/A,TRUE,"1842CWN0"}</definedName>
    <definedName name="hytirs" hidden="1">{"via1",#N/A,TRUE,"general";"via2",#N/A,TRUE,"general";"via3",#N/A,TRUE,"general"}</definedName>
    <definedName name="hyun" hidden="1">{#N/A,#N/A,FALSE,"TABLE"}</definedName>
    <definedName name="hyutyu" hidden="1">{#N/A,#N/A,FALSE,"Solids Only"}</definedName>
    <definedName name="HYUY" hidden="1">{#N/A,#N/A,FALSE,"TABLE"}</definedName>
    <definedName name="HYUYRE" hidden="1">{#N/A,#N/A,FALSE,"Solids &amp; Flow"}</definedName>
    <definedName name="HYYH" hidden="1">{#N/A,#N/A,FALSE,"Solids &amp; Flow"}</definedName>
    <definedName name="I" hidden="1">{"krl1",#N/A,FALSE,"kr";"krl2",#N/A,FALSE,"kr";"compara",#N/A,FALSE,"kr";"desconp1",#N/A,FALSE,"kr";"desconp12",#N/A,FALSE,"kr";"krnp1",#N/A,FALSE,"kr";"krnp2",#N/A,FALSE,"kr";"krp12avg",#N/A,FALSE,"kr";"krp1avg",#N/A,FALSE,"kr"}</definedName>
    <definedName name="I_Z1">#REF!</definedName>
    <definedName name="i0">#REF!</definedName>
    <definedName name="i8i" hidden="1">{"TAB1",#N/A,TRUE,"GENERAL";"TAB2",#N/A,TRUE,"GENERAL";"TAB3",#N/A,TRUE,"GENERAL";"TAB4",#N/A,TRUE,"GENERAL";"TAB5",#N/A,TRUE,"GENERAL"}</definedName>
    <definedName name="Ia">#REF!</definedName>
    <definedName name="iact" hidden="1">{#N/A,#N/A,TRUE,"1842CWN0"}</definedName>
    <definedName name="IAU">#REF!</definedName>
    <definedName name="ic">#REF!</definedName>
    <definedName name="icbf">#REF!</definedName>
    <definedName name="Icct">#REF!</definedName>
    <definedName name="ID_Equipos">#REF!</definedName>
    <definedName name="id_Materiales">#REF!</definedName>
    <definedName name="id_Personal">#REF!</definedName>
    <definedName name="IE">#REF!</definedName>
    <definedName name="IEC">OFFSET(#REF!,#REF!,0,#REF!,1)</definedName>
    <definedName name="IEDK" hidden="1">{#N/A,#N/A,FALSE,"TABLE"}</definedName>
    <definedName name="IEIEEI" hidden="1">{#N/A,#N/A,FALSE,"TABLE"}</definedName>
    <definedName name="IF">#REF!</definedName>
    <definedName name="Ig">#REF!</definedName>
    <definedName name="ihd" hidden="1">#REF!</definedName>
    <definedName name="ii" hidden="1">{"TAB1",#N/A,TRUE,"GENERAL";"TAB2",#N/A,TRUE,"GENERAL";"TAB3",#N/A,TRUE,"GENERAL";"TAB4",#N/A,TRUE,"GENERAL";"TAB5",#N/A,TRUE,"GENERAL"}</definedName>
    <definedName name="iii" hidden="1">{"via1",#N/A,TRUE,"general";"via2",#N/A,TRUE,"general";"via3",#N/A,TRUE,"general"}</definedName>
    <definedName name="iiii" hidden="1">{"via1",#N/A,TRUE,"general";"via2",#N/A,TRUE,"general";"via3",#N/A,TRUE,"general"}</definedName>
    <definedName name="iiiiiiik" hidden="1">{"via1",#N/A,TRUE,"general";"via2",#N/A,TRUE,"general";"via3",#N/A,TRUE,"general"}</definedName>
    <definedName name="iiiiuh" hidden="1">{"TAB1",#N/A,TRUE,"GENERAL";"TAB2",#N/A,TRUE,"GENERAL";"TAB3",#N/A,TRUE,"GENERAL";"TAB4",#N/A,TRUE,"GENERAL";"TAB5",#N/A,TRUE,"GENERAL"}</definedName>
    <definedName name="iiouolkll" hidden="1">{#N/A,#N/A,FALSE,"CCTV"}</definedName>
    <definedName name="ijfd" hidden="1">{#N/A,#N/A,TRUE,"INGENIERIA";#N/A,#N/A,TRUE,"COMPRAS";#N/A,#N/A,TRUE,"DIRECCION";#N/A,#N/A,TRUE,"RESUMEN"}</definedName>
    <definedName name="ijjbg" hidden="1">{#N/A,#N/A,TRUE,"1842CWN0"}</definedName>
    <definedName name="iktgvfmu" hidden="1">{"TAB1",#N/A,TRUE,"GENERAL";"TAB2",#N/A,TRUE,"GENERAL";"TAB3",#N/A,TRUE,"GENERAL";"TAB4",#N/A,TRUE,"GENERAL";"TAB5",#N/A,TRUE,"GENERAL"}</definedName>
    <definedName name="IM">#REF!</definedName>
    <definedName name="IMAGENCENIT">#REF!</definedName>
    <definedName name="imgt" hidden="1">{#N/A,#N/A,TRUE,"INGENIERIA";#N/A,#N/A,TRUE,"COMPRAS";#N/A,#N/A,TRUE,"DIRECCION";#N/A,#N/A,TRUE,"RESUMEN"}</definedName>
    <definedName name="IMO">#REF!</definedName>
    <definedName name="imp84coc">#REF!</definedName>
    <definedName name="imp84con">#REF!</definedName>
    <definedName name="Impact_Codes">#REF!</definedName>
    <definedName name="Impacto">#REF!</definedName>
    <definedName name="IMPI1">#REF!</definedName>
    <definedName name="IMPII1A">#REF!</definedName>
    <definedName name="IMPII1B">#REF!</definedName>
    <definedName name="IMPII1C">#REF!</definedName>
    <definedName name="IMPII2A">#REF!</definedName>
    <definedName name="IMPII2B">#REF!</definedName>
    <definedName name="IMPII2C">#REF!</definedName>
    <definedName name="IMPII3A">#REF!</definedName>
    <definedName name="IMPII3B">#REF!</definedName>
    <definedName name="IMPII3C">#REF!</definedName>
    <definedName name="IMPII4A">#REF!</definedName>
    <definedName name="IMPII4B">#REF!</definedName>
    <definedName name="IMPII4C">#REF!</definedName>
    <definedName name="IMPII4D">#REF!</definedName>
    <definedName name="IMPII5A">#REF!</definedName>
    <definedName name="IMPII5B">#REF!</definedName>
    <definedName name="IMPII5C">#REF!</definedName>
    <definedName name="IMPII5D">#REF!</definedName>
    <definedName name="IMPIII1A">#REF!</definedName>
    <definedName name="IMPIII1B">#REF!</definedName>
    <definedName name="IMPIII2A">#REF!</definedName>
    <definedName name="IMPIII2B">#REF!</definedName>
    <definedName name="IMPIV1A">#REF!</definedName>
    <definedName name="IMPIV1B">#REF!</definedName>
    <definedName name="IMPIV1C">#REF!</definedName>
    <definedName name="IMPIV1D">#REF!</definedName>
    <definedName name="IMPIV1E">#REF!</definedName>
    <definedName name="IMPIV2">#REF!</definedName>
    <definedName name="IMPOSTOS">#REF!</definedName>
    <definedName name="Impr_Caño_Lim">#REF!</definedName>
    <definedName name="Impr_Cov_Car">#REF!</definedName>
    <definedName name="Impr_Occ">#REF!</definedName>
    <definedName name="Impr_Ori_Cen_Llan">#REF!</definedName>
    <definedName name="impre">#REF!</definedName>
    <definedName name="impresion">#REF!</definedName>
    <definedName name="impresion2">#REF!</definedName>
    <definedName name="Imprev">#REF!</definedName>
    <definedName name="IMPTO_IVA" hidden="1">{#N/A,#N/A,FALSE,"47.1.3.R ";#N/A,#N/A,FALSE,"50.R";#N/A,#N/A,FALSE,"54.R";#N/A,#N/A,FALSE,"54.1.R ";#N/A,#N/A,FALSE,"54.2.R";#N/A,#N/A,FALSE,"54.3.R";#N/A,#N/A,FALSE,"58.R";#N/A,#N/A,FALSE,"62.R";#N/A,#N/A,FALSE,"64.R";#N/A,#N/A,FALSE,"70.R";#N/A,#N/A,FALSE,"73.R ";#N/A,#N/A,FALSE,"75. R ";#N/A,#N/A,FALSE,"76.R";#N/A,#N/A,FALSE,"76.1.R";#N/A,#N/A,FALSE,"76.1. cont. 1.-R";#N/A,#N/A,FALSE,"76.1. cont.- 2 .R ";#N/A,#N/A,FALSE,"83.R";#N/A,#N/A,FALSE,"85.R";#N/A,#N/A,FALSE,"85.1. R";#N/A,#N/A,FALSE,"85.2. R";#N/A,#N/A,FALSE,"85.3.R";#N/A,#N/A,FALSE,"86.R";#N/A,#N/A,FALSE,"86.1. R ";#N/A,#N/A,FALSE,"86.2.R";#N/A,#N/A,FALSE,"86.3.R ";#N/A,#N/A,FALSE,"87. R";#N/A,#N/A,FALSE,"88.R";#N/A,#N/A,FALSE,"88.1.R ";#N/A,#N/A,FALSE,"88.2.R";#N/A,#N/A,FALSE,"88.3.R "}</definedName>
    <definedName name="IMPUESTO">#N/A</definedName>
    <definedName name="impuestos" hidden="1">{"'Sheet1'!$A$1:$G$85"}</definedName>
    <definedName name="IMPV1A">#REF!</definedName>
    <definedName name="IMPV1B">#REF!</definedName>
    <definedName name="IN_PLACE">#REF!</definedName>
    <definedName name="incdice" hidden="1">{"DETALLE_1996",#N/A,FALSE,"flujo";"DETALLE_1997",#N/A,FALSE,"flujo";"GASTOS_INCURRIDOS_1996",#N/A,FALSE,"flujo";"GASTOS_PROGRAMADOS_PARA_1997",#N/A,FALSE,"flujo";#N/A,#N/A,FALSE,"comparat";#N/A,#N/A,FALSE,"costos";#N/A,#N/A,FALSE,"proyctrol"}</definedName>
    <definedName name="Incomepb" hidden="1">#REF!</definedName>
    <definedName name="Incoterm">#REF!</definedName>
    <definedName name="incoval" hidden="1">{"via1",#N/A,TRUE,"general";"via2",#N/A,TRUE,"general";"via3",#N/A,TRUE,"general"}</definedName>
    <definedName name="INCU" hidden="1">{"DETALLE_1996",#N/A,FALSE,"flujo";"DETALLE_1997",#N/A,FALSE,"flujo";"GASTOS_INCURRIDOS_1996",#N/A,FALSE,"flujo";"GASTOS_PROGRAMADOS_PARA_1997",#N/A,FALSE,"flujo";#N/A,#N/A,FALSE,"comparat";#N/A,#N/A,FALSE,"costos";#N/A,#N/A,FALSE,"proyctrol"}</definedName>
    <definedName name="incurrido2" hidden="1">{"DETALLE_1996",#N/A,FALSE,"flujo";"DETALLE_1997",#N/A,FALSE,"flujo";"GASTOS_INCURRIDOS_1996",#N/A,FALSE,"flujo";"GASTOS_PROGRAMADOS_PARA_1997",#N/A,FALSE,"flujo";#N/A,#N/A,FALSE,"comparat";#N/A,#N/A,FALSE,"costos";#N/A,#N/A,FALSE,"proyctrol"}</definedName>
    <definedName name="incurrido3" hidden="1">{"DETALLE_1996",#N/A,FALSE,"flujo";"DETALLE_1997",#N/A,FALSE,"flujo";"GASTOS_INCURRIDOS_1996",#N/A,FALSE,"flujo";"GASTOS_PROGRAMADOS_PARA_1997",#N/A,FALSE,"flujo";#N/A,#N/A,FALSE,"comparat";#N/A,#N/A,FALSE,"costos";#N/A,#N/A,FALSE,"proyctrol"}</definedName>
    <definedName name="INDI">#REF!</definedName>
    <definedName name="Indicadores" hidden="1">{#N/A,#N/A,FALSE,"Hoja1";#N/A,#N/A,FALSE,"Hoja2"}</definedName>
    <definedName name="INDICE" hidden="1">#N/A</definedName>
    <definedName name="INDICES" hidden="1">{"CONSEJO",#N/A,FALSE,"Dist p0";"CONSEJO",#N/A,FALSE,"Ficha CODICE"}</definedName>
    <definedName name="IndirConstCost">#REF!</definedName>
    <definedName name="Indirect">#REF!</definedName>
    <definedName name="IndirLabourCost">#REF!</definedName>
    <definedName name="IndirMaterialCost">#REF!</definedName>
    <definedName name="IndirTotalCost">#REF!</definedName>
    <definedName name="INDPYG9698" hidden="1">{#N/A,#N/A,FALSE,"Costos Productos 6A";#N/A,#N/A,FALSE,"Costo Unitario Total H-94-12"}</definedName>
    <definedName name="INDPYG9698_1" hidden="1">{#N/A,#N/A,FALSE,"Costos Productos 6A";#N/A,#N/A,FALSE,"Costo Unitario Total H-94-12"}</definedName>
    <definedName name="inf">#REF!</definedName>
    <definedName name="Inf_ger">#REF!</definedName>
    <definedName name="INF_USD">#REF!</definedName>
    <definedName name="inflList" hidden="1">"10000000000000000000000000000000000000000000000000000000000000000000000000000000000000000000000000000000000000000000000000000000000000000000000000000000000000000000000000000000000000000000000000000000"</definedName>
    <definedName name="info">#REF!</definedName>
    <definedName name="informe" hidden="1">{"ANAR",#N/A,FALSE,"Dist total";"MARGEN",#N/A,FALSE,"Dist total";"COMENTARIO",#N/A,FALSE,"Ficha CODICE";"CONSEJO",#N/A,FALSE,"Dist p0";"uno",#N/A,FALSE,"Dist total"}</definedName>
    <definedName name="ING" hidden="1">{#N/A,#N/A,FALSE,"DITCAR";#N/A,#N/A,FALSE,"a1";#N/A,#N/A,FALSE,"a2";#N/A,#N/A,FALSE,"a3";#N/A,#N/A,FALSE,"a4";#N/A,#N/A,FALSE,"a4a";#N/A,#N/A,FALSE,"a4B";#N/A,#N/A,FALSE,"a4C";#N/A,#N/A,FALSE,"A5a ";#N/A,#N/A,FALSE,"A5b";#N/A,#N/A,FALSE,"A6A";#N/A,#N/A,FALSE,"A6B";#N/A,#N/A,FALSE,"A6C";#N/A,#N/A,FALSE,"04PG12NB"}</definedName>
    <definedName name="ING_FBC">#N/A</definedName>
    <definedName name="INGENIER" hidden="1">{#N/A,#N/A,FALSE,"DITCAR";#N/A,#N/A,FALSE,"a1";#N/A,#N/A,FALSE,"a2";#N/A,#N/A,FALSE,"a3";#N/A,#N/A,FALSE,"a4";#N/A,#N/A,FALSE,"a4a";#N/A,#N/A,FALSE,"a4B";#N/A,#N/A,FALSE,"a4C";#N/A,#N/A,FALSE,"A5a ";#N/A,#N/A,FALSE,"A5b";#N/A,#N/A,FALSE,"A6A";#N/A,#N/A,FALSE,"A6B";#N/A,#N/A,FALSE,"A6C";#N/A,#N/A,FALSE,"04PG12NB"}</definedName>
    <definedName name="INGENIERIA1" hidden="1">#REF!</definedName>
    <definedName name="INGENIERIA11" hidden="1">#REF!</definedName>
    <definedName name="INGREHIS" hidden="1">{#N/A,#N/A,FALSE,"CIBHA05A";#N/A,#N/A,FALSE,"CIBHA05B"}</definedName>
    <definedName name="INGREHIS_1" hidden="1">{#N/A,#N/A,FALSE,"CIBHA05A";#N/A,#N/A,FALSE,"CIBHA05B"}</definedName>
    <definedName name="Ingresos" hidden="1">{"'Sheet2'!$A$3:$B$17"}</definedName>
    <definedName name="Ingresos06" hidden="1">{"'Sheet2'!$A$3:$B$17"}</definedName>
    <definedName name="ingventas" hidden="1">{#N/A,#N/A,FALSE,"Costos Productos 6A";#N/A,#N/A,FALSE,"Costo Unitario Total H-94-12"}</definedName>
    <definedName name="INI">#REF!</definedName>
    <definedName name="Inicio">#REF!</definedName>
    <definedName name="INICIORESUMEN">#REF!</definedName>
    <definedName name="INM">#REF!</definedName>
    <definedName name="INPUT">#REF!</definedName>
    <definedName name="INPUTF">#REF!</definedName>
    <definedName name="inst_provis">#REF!</definedName>
    <definedName name="inst_range_max_001">#REF!</definedName>
    <definedName name="inst_range_min_001">#REF!</definedName>
    <definedName name="inst_range_uflg_max_001">#REF!</definedName>
    <definedName name="inst_range_uflg_min_001">#REF!</definedName>
    <definedName name="inst_range_uom_max_001">#REF!</definedName>
    <definedName name="inst_range_uom_min_001">#REF!</definedName>
    <definedName name="INSTALENTE">#REF!</definedName>
    <definedName name="INSTALH">#REF!</definedName>
    <definedName name="InstallMU">#REF!</definedName>
    <definedName name="INSTALSUPE">#REF!</definedName>
    <definedName name="INSTR">#REF!</definedName>
    <definedName name="instr_pd_flg_001">#REF!</definedName>
    <definedName name="INSTRU" hidden="1">{#N/A,#N/A,TRUE,"INGENIERIA";#N/A,#N/A,TRUE,"COMPRAS";#N/A,#N/A,TRUE,"DIRECCION";#N/A,#N/A,TRUE,"RESUMEN"}</definedName>
    <definedName name="instrumentacion" hidden="1">{#N/A,#N/A,TRUE,"INGENIERIA";#N/A,#N/A,TRUE,"COMPRAS";#N/A,#N/A,TRUE,"DIRECCION";#N/A,#N/A,TRUE,"RESUMEN"}</definedName>
    <definedName name="instrumentacion_equipos" hidden="1">#REF!</definedName>
    <definedName name="InstrumentandElectricalSpecifications">#REF!</definedName>
    <definedName name="InstrumentIndex">#REF!</definedName>
    <definedName name="INSTRUMENTLIST_BYPLANTCONNECTION">#REF!</definedName>
    <definedName name="INSUMOS">#REF!</definedName>
    <definedName name="INSUMOS_2">#REF!</definedName>
    <definedName name="Int">#REF!</definedName>
    <definedName name="INTDATGEN">#REF!</definedName>
    <definedName name="integral">#REF!</definedName>
    <definedName name="intel" hidden="1">{#N/A,#N/A,FALSE,"TABLE"}</definedName>
    <definedName name="interent" hidden="1">{"'banner (abr)'!$A$14:$G$22"}</definedName>
    <definedName name="Interest_Rate">#REF!</definedName>
    <definedName name="international" hidden="1">{"'banner (abr)'!$A$14:$G$22"}</definedName>
    <definedName name="INTERRUPTOR">#REF!</definedName>
    <definedName name="INV">#REF!</definedName>
    <definedName name="INV_11">#REF!</definedName>
    <definedName name="INVA1D">#REF!</definedName>
    <definedName name="INVA2D">#REF!</definedName>
    <definedName name="INVDOL1">#REF!</definedName>
    <definedName name="INVDOL10">#REF!</definedName>
    <definedName name="INVDOL11">#REF!</definedName>
    <definedName name="INVDOL12">#REF!</definedName>
    <definedName name="INVDOL13">#REF!</definedName>
    <definedName name="INVDOL14">#REF!</definedName>
    <definedName name="INVDOL15">#REF!</definedName>
    <definedName name="INVDOL16">#REF!</definedName>
    <definedName name="INVDOL17">#REF!</definedName>
    <definedName name="INVDOL18">#REF!</definedName>
    <definedName name="INVDOL19">#REF!</definedName>
    <definedName name="INVDOL2">#REF!</definedName>
    <definedName name="INVDOL20">#REF!</definedName>
    <definedName name="INVDOL3">#REF!</definedName>
    <definedName name="INVDOL4">#REF!</definedName>
    <definedName name="INVDOL5">#REF!</definedName>
    <definedName name="INVDOL6">#REF!</definedName>
    <definedName name="INVDOL7">#REF!</definedName>
    <definedName name="INVDOL8">#REF!</definedName>
    <definedName name="INVDOL9">#REF!</definedName>
    <definedName name="INVENTARIOS">#REF!</definedName>
    <definedName name="Inventory" hidden="1">#REF!</definedName>
    <definedName name="INVERSIONES" hidden="1">{#N/A,#N/A,FALSE,"T1C97";#N/A,#N/A,FALSE,"T2C97";#N/A,#N/A,FALSE,"T3AC97";#N/A,#N/A,FALSE,"T4C97";#N/A,#N/A,FALSE,"T5C97";#N/A,#N/A,FALSE,"T6C97";#N/A,#N/A,FALSE,"T3C97";#N/A,#N/A,FALSE,"T7C97";#N/A,#N/A,FALSE,"T8C97";#N/A,#N/A,FALSE,"T9C97";#N/A,#N/A,FALSE,"T13C97"}</definedName>
    <definedName name="INVIAS">#REF!</definedName>
    <definedName name="Io">#REF!</definedName>
    <definedName name="io0ioprhyi0i90ryi90">#REF!</definedName>
    <definedName name="IOC">#REF!</definedName>
    <definedName name="ioioluikj" hidden="1">{#N/A,#N/A,FALSE,"Solids Only"}</definedName>
    <definedName name="iol" hidden="1">#REF!</definedName>
    <definedName name="IOLIUK" hidden="1">{#N/A,#N/A,FALSE,"Solids &amp; Flow"}</definedName>
    <definedName name="iopio" hidden="1">{#N/A,#N/A,FALSE,"Solids Only"}</definedName>
    <definedName name="IOPIOU" hidden="1">{#N/A,#N/A,FALSE,"Costos Productos 6A";#N/A,#N/A,FALSE,"Costo Unitario Total H-94-12"}</definedName>
    <definedName name="iopo" hidden="1">{#N/A,#N/A,FALSE,"Solids Only"}</definedName>
    <definedName name="ioppo" hidden="1">{#N/A,#N/A,FALSE,"Solids Only"}</definedName>
    <definedName name="IPC">#REF!</definedName>
    <definedName name="IPC_1">#REF!</definedName>
    <definedName name="IPC_2">#REF!</definedName>
    <definedName name="IPC_2022">#REF!</definedName>
    <definedName name="IPC_2023">#REF!</definedName>
    <definedName name="IPC_2024">#REF!</definedName>
    <definedName name="IPC_3">#REF!</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DIN" hidden="1">"AUTO"</definedName>
    <definedName name="IQ_ADJ_AVG_BANK_ASSETS" hidden="1">"c2671"</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MT_OUT" hidden="1">"c2145"</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BROKER_REC" hidden="1">"c63"</definedName>
    <definedName name="IQ_AVG_BROKER_REC_NO" hidden="1">"c64"</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PRICE_TARGET" hidden="1">"c82"</definedName>
    <definedName name="IQ_AVG_SHAREOUTSTANDING" hidden="1">"c83"</definedName>
    <definedName name="IQ_AVG_TEV" hidden="1">"c84"</definedName>
    <definedName name="IQ_AVG_VOLUME" hidden="1">"c1346"</definedName>
    <definedName name="IQ_BANK_DEBT" hidden="1">"c2544"</definedName>
    <definedName name="IQ_BANK_DEBT_PCT" hidden="1">"c2545"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UILDINGS" hidden="1">"c99"</definedName>
    <definedName name="IQ_BUSINESS_DESCRIPTION" hidden="1">"c322"</definedName>
    <definedName name="IQ_BV_OVER_SHARES" hidden="1">"c1349"</definedName>
    <definedName name="IQ_BV_SHARE" hidden="1">"c100"</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LL_FEATURE" hidden="1">"c2197"</definedName>
    <definedName name="IQ_CALLABLE" hidden="1">"c2196"</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"c2076"</definedName>
    <definedName name="IQ_CASH" hidden="1">"c1458"</definedName>
    <definedName name="IQ_CASH_ACQUIRE_CF" hidden="1">"c1630"</definedName>
    <definedName name="IQ_CASH_CONVERSION" hidden="1">"c117"</definedName>
    <definedName name="IQ_CASH_DUE_BANKS" hidden="1">"c1351"</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FPS_ACT_OR_EST" hidden="1">"c2217"</definedName>
    <definedName name="IQ_CFPS_EST" hidden="1">"c1667"</definedName>
    <definedName name="IQ_CFPS_HIGH_EST" hidden="1">"c1669"</definedName>
    <definedName name="IQ_CFPS_LOW_EST" hidden="1">"c1670"</definedName>
    <definedName name="IQ_CFPS_MEDIAN_EST" hidden="1">"c1668"</definedName>
    <definedName name="IQ_CFPS_NUM_EST" hidden="1">"c1671"</definedName>
    <definedName name="IQ_CFPS_STDDEV_EST" hidden="1">"c1672"</definedName>
    <definedName name="IQ_CH" hidden="1">110000</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WORKING_CAPITAL" hidden="1">"c1909"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ED" hidden="1">"c2681"</definedName>
    <definedName name="IQ_CLASSA_OPTIONS_GRANTED" hidden="1">"c2680"</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NV_DATE" hidden="1">"c2191"</definedName>
    <definedName name="IQ_CONV_PREMIUM" hidden="1">"c2195"</definedName>
    <definedName name="IQ_CONV_PRICE" hidden="1">"c2193"</definedName>
    <definedName name="IQ_CONV_RATE"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ST_BORROWING" hidden="1">"c2936"</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PORT_PCT" hidden="1">"c2541"</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ILY" hidden="1">500000</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FF_LASTCLOSE_TARGET_PRICE" hidden="1">"c1854"</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PAYOUT" hidden="1">"c3005"</definedName>
    <definedName name="IQ_DISTRIBUTABLE_CASH_SHARE" hidden="1">"c3003"</definedName>
    <definedName name="IQ_DIV_AMOUNT" hidden="1">"c3041"</definedName>
    <definedName name="IQ_DIV_PAYMENT_DATE" hidden="1">"c2205"</definedName>
    <definedName name="IQ_DIV_RECORD_DATE" hidden="1">"c2204"</definedName>
    <definedName name="IQ_DIV_SHARE" hidden="1">"c330"</definedName>
    <definedName name="IQ_DIVEST_CF" hidden="1">"c331"</definedName>
    <definedName name="IQ_DIVID_SHARE" hidden="1">"c1366"</definedName>
    <definedName name="IQ_DIVIDEND_YIELD" hidden="1">"c332"</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PS_ACT_OR_EST" hidden="1">"c2218"</definedName>
    <definedName name="IQ_DPS_EST" hidden="1">"c1674"</definedName>
    <definedName name="IQ_DPS_HIGH_EST" hidden="1">"c1676"</definedName>
    <definedName name="IQ_DPS_LOW_EST" hidden="1">"c1677"</definedName>
    <definedName name="IQ_DPS_MEDIAN_EST" hidden="1">"c1675"</definedName>
    <definedName name="IQ_DPS_NUM_EST" hidden="1">"c1678"</definedName>
    <definedName name="IQ_DPS_STDDEV_EST" hidden="1">"c1679"</definedName>
    <definedName name="IQ_DURATION" hidden="1">"c2181"</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ARNINGS_ANNOUNCE_DATE" hidden="1">"c1649"</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ACT_OR_EST" hidden="1">"c2219"</definedName>
    <definedName name="IQ_EBIT_EST" hidden="1">"c1681"</definedName>
    <definedName name="IQ_EBIT_HIGH_EST" hidden="1">"c1683"</definedName>
    <definedName name="IQ_EBIT_INT" hidden="1">"c360"</definedName>
    <definedName name="IQ_EBIT_LOW_EST" hidden="1">"c1684"</definedName>
    <definedName name="IQ_EBIT_MARGIN" hidden="1">"c359"</definedName>
    <definedName name="IQ_EBIT_MEDIAN_EST" hidden="1">"c1682"</definedName>
    <definedName name="IQ_EBIT_NUM_EST" hidden="1">"c1685"</definedName>
    <definedName name="IQ_EBIT_OVER_IE" hidden="1">"c1369"</definedName>
    <definedName name="IQ_EBIT_STDDEV_EST" hidden="1">"c1686"</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ACT_OR_EST" hidden="1">"c2215"</definedName>
    <definedName name="IQ_EBITDA_CAPEX_INT" hidden="1">"c368"</definedName>
    <definedName name="IQ_EBITDA_CAPEX_OVER_TOTAL_IE" hidden="1">"c1370"</definedName>
    <definedName name="IQ_EBITDA_EST" hidden="1">"c369"</definedName>
    <definedName name="IQ_EBITDA_HIGH_EST" hidden="1">"c370"</definedName>
    <definedName name="IQ_EBITDA_INT" hidden="1">"c373"</definedName>
    <definedName name="IQ_EBITDA_LOW_EST" hidden="1">"c371"</definedName>
    <definedName name="IQ_EBITDA_MARGIN" hidden="1">"c372"</definedName>
    <definedName name="IQ_EBITDA_MEDIAN_EST" hidden="1">"c1663"</definedName>
    <definedName name="IQ_EBITDA_NUM_EST" hidden="1">"c374"</definedName>
    <definedName name="IQ_EBITDA_OVER_TOTAL_IE" hidden="1">"c1371"</definedName>
    <definedName name="IQ_EBITDA_STDDEV_EST" hidden="1">"c375"</definedName>
    <definedName name="IQ_EBITDAR" hidden="1">"c2989"</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ACT_OR_EST" hidden="1">"c2213"</definedName>
    <definedName name="IQ_EPS_EST" hidden="1">"c399"</definedName>
    <definedName name="IQ_EPS_GW_ACT_OR_EST" hidden="1">"c2223"</definedName>
    <definedName name="IQ_EPS_GW_EST" hidden="1">"c1737"</definedName>
    <definedName name="IQ_EPS_GW_HIGH_EST" hidden="1">"c1739"</definedName>
    <definedName name="IQ_EPS_GW_LOW_EST" hidden="1">"c1740"</definedName>
    <definedName name="IQ_EPS_GW_MEDIAN_EST" hidden="1">"c1738"</definedName>
    <definedName name="IQ_EPS_GW_NUM_EST" hidden="1">"c1741"</definedName>
    <definedName name="IQ_EPS_GW_STDDEV_EST" hidden="1">"c1742"</definedName>
    <definedName name="IQ_EPS_HIGH_EST" hidden="1">"c400"</definedName>
    <definedName name="IQ_EPS_LOW_EST" hidden="1">"c401"</definedName>
    <definedName name="IQ_EPS_MEDIAN_EST" hidden="1">"c1661"</definedName>
    <definedName name="IQ_EPS_NORM" hidden="1">"c1902"</definedName>
    <definedName name="IQ_EPS_NORM_EST" hidden="1">"c2226"</definedName>
    <definedName name="IQ_EPS_NORM_HIGH_EST" hidden="1">"c2228"</definedName>
    <definedName name="IQ_EPS_NORM_LOW_EST" hidden="1">"c2229"</definedName>
    <definedName name="IQ_EPS_NORM_MEDIAN_EST" hidden="1">"c2227"</definedName>
    <definedName name="IQ_EPS_NORM_NUM_EST" hidden="1">"c2230"</definedName>
    <definedName name="IQ_EPS_NORM_STDDEV_EST" hidden="1">"c2231"</definedName>
    <definedName name="IQ_EPS_NUM_EST" hidden="1">"c402"</definedName>
    <definedName name="IQ_EPS_REPORT_ACT_OR_EST" hidden="1">"c2224"</definedName>
    <definedName name="IQ_EPS_REPORTED_EST" hidden="1">"c1744"</definedName>
    <definedName name="IQ_EPS_REPORTED_HIGH_EST" hidden="1">"c1746"</definedName>
    <definedName name="IQ_EPS_REPORTED_LOW_EST" hidden="1">"c1747"</definedName>
    <definedName name="IQ_EPS_REPORTED_MEDIAN_EST" hidden="1">"c1745"</definedName>
    <definedName name="IQ_EPS_REPORTED_NUM_EST" hidden="1">"c1748"</definedName>
    <definedName name="IQ_EPS_REPORTED_STDDEV_EST" hidden="1">"c1749"</definedName>
    <definedName name="IQ_EPS_STDDEV_EST" hidden="1">"c403"</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ST_ACT_CFPS" hidden="1">"c1673"</definedName>
    <definedName name="IQ_EST_ACT_DPS" hidden="1">"c1680"</definedName>
    <definedName name="IQ_EST_ACT_EBIT" hidden="1">"c1687"</definedName>
    <definedName name="IQ_EST_ACT_EBITDA" hidden="1">"c1664"</definedName>
    <definedName name="IQ_EST_ACT_EPS" hidden="1">"c1648"</definedName>
    <definedName name="IQ_EST_ACT_EPS_GW" hidden="1">"c1743"</definedName>
    <definedName name="IQ_EST_ACT_EPS_NORM" hidden="1">"c2232"</definedName>
    <definedName name="IQ_EST_ACT_EPS_REPORTED" hidden="1">"c1750"</definedName>
    <definedName name="IQ_EST_ACT_FFO" hidden="1">"c1666"</definedName>
    <definedName name="IQ_EST_ACT_NAV" hidden="1">"c1757"</definedName>
    <definedName name="IQ_EST_ACT_NI" hidden="1">"c1722"</definedName>
    <definedName name="IQ_EST_ACT_NI_GW" hidden="1">"c1729"</definedName>
    <definedName name="IQ_EST_ACT_NI_REPORTED" hidden="1">"c1736"</definedName>
    <definedName name="IQ_EST_ACT_OPER_INC" hidden="1">"c1694"</definedName>
    <definedName name="IQ_EST_ACT_PRETAX_GW_INC" hidden="1">"c1708"</definedName>
    <definedName name="IQ_EST_ACT_PRETAX_INC" hidden="1">"c1701"</definedName>
    <definedName name="IQ_EST_ACT_PRETAX_REPORT_INC" hidden="1">"c1715"</definedName>
    <definedName name="IQ_EST_ACT_REV" hidden="1">"c2113"</definedName>
    <definedName name="IQ_EST_CFPS_DIFF" hidden="1">"c1871"</definedName>
    <definedName name="IQ_EST_CFPS_GROWTH_1YR" hidden="1">"c1774"</definedName>
    <definedName name="IQ_EST_CFPS_GROWTH_2YR" hidden="1">"c1775"</definedName>
    <definedName name="IQ_EST_CFPS_GROWTH_Q_1YR" hidden="1">"c1776"</definedName>
    <definedName name="IQ_EST_CFPS_SEQ_GROWTH_Q" hidden="1">"c1777"</definedName>
    <definedName name="IQ_EST_CFPS_SURPRISE_PERCENT" hidden="1">"c1872"</definedName>
    <definedName name="IQ_EST_CURRENCY" hidden="1">"c2140"</definedName>
    <definedName name="IQ_EST_DATE" hidden="1">"c1634"</definedName>
    <definedName name="IQ_EST_DPS_DIFF" hidden="1">"c1873"</definedName>
    <definedName name="IQ_EST_DPS_GROWTH_1YR" hidden="1">"c1778"</definedName>
    <definedName name="IQ_EST_DPS_GROWTH_2YR" hidden="1">"c1779"</definedName>
    <definedName name="IQ_EST_DPS_GROWTH_Q_1YR" hidden="1">"c1780"</definedName>
    <definedName name="IQ_EST_DPS_SEQ_GROWTH_Q" hidden="1">"c1781"</definedName>
    <definedName name="IQ_EST_DPS_SURPRISE_PERCENT" hidden="1">"c1874"</definedName>
    <definedName name="IQ_EST_EBIT_DIFF" hidden="1">"c1875"</definedName>
    <definedName name="IQ_EST_EBIT_SURPRISE_PERCENT" hidden="1">"c1876"</definedName>
    <definedName name="IQ_EST_EBITDA_DIFF" hidden="1">"c1867"</definedName>
    <definedName name="IQ_EST_EBITDA_GROWTH_1YR" hidden="1">"c1766"</definedName>
    <definedName name="IQ_EST_EBITDA_GROWTH_2YR" hidden="1">"c1767"</definedName>
    <definedName name="IQ_EST_EBITDA_GROWTH_Q_1YR" hidden="1">"c1768"</definedName>
    <definedName name="IQ_EST_EBITDA_SEQ_GROWTH_Q" hidden="1">"c1769"</definedName>
    <definedName name="IQ_EST_EBITDA_SURPRISE_PERCENT" hidden="1">"c1868"</definedName>
    <definedName name="IQ_EST_EPS_DIFF" hidden="1">"c1864"</definedName>
    <definedName name="IQ_EST_EPS_GROWTH_1YR" hidden="1">"c1636"</definedName>
    <definedName name="IQ_EST_EPS_GROWTH_2YR" hidden="1">"c1637"</definedName>
    <definedName name="IQ_EST_EPS_GROWTH_5YR" hidden="1">"c1655"</definedName>
    <definedName name="IQ_EST_EPS_GROWTH_5YR_HIGH" hidden="1">"c1657"</definedName>
    <definedName name="IQ_EST_EPS_GROWTH_5YR_LOW" hidden="1">"c1658"</definedName>
    <definedName name="IQ_EST_EPS_GROWTH_5YR_MEDIAN" hidden="1">"c1656"</definedName>
    <definedName name="IQ_EST_EPS_GROWTH_5YR_NUM" hidden="1">"c1659"</definedName>
    <definedName name="IQ_EST_EPS_GROWTH_5YR_STDDEV" hidden="1">"c1660"</definedName>
    <definedName name="IQ_EST_EPS_GROWTH_Q_1YR" hidden="1">"c1641"</definedName>
    <definedName name="IQ_EST_EPS_GW_DIFF" hidden="1">"c1891"</definedName>
    <definedName name="IQ_EST_EPS_GW_SURPRISE_PERCENT" hidden="1">"c1892"</definedName>
    <definedName name="IQ_EST_EPS_NORM_DIFF" hidden="1">"c2247"</definedName>
    <definedName name="IQ_EST_EPS_NORM_SURPRISE_PERCENT" hidden="1">"c2248"</definedName>
    <definedName name="IQ_EST_EPS_REPORT_DIFF" hidden="1">"c1893"</definedName>
    <definedName name="IQ_EST_EPS_REPORT_SURPRISE_PERCENT" hidden="1">"c1894"</definedName>
    <definedName name="IQ_EST_EPS_SEQ_GROWTH_Q" hidden="1">"c1764"</definedName>
    <definedName name="IQ_EST_EPS_SURPRISE_PERCENT" hidden="1">"c1635"</definedName>
    <definedName name="IQ_EST_FFO_DIFF" hidden="1">"c1869"</definedName>
    <definedName name="IQ_EST_FFO_GROWTH_1YR" hidden="1">"c1770"</definedName>
    <definedName name="IQ_EST_FFO_GROWTH_2YR" hidden="1">"c1771"</definedName>
    <definedName name="IQ_EST_FFO_GROWTH_Q_1YR" hidden="1">"c1772"</definedName>
    <definedName name="IQ_EST_FFO_SEQ_GROWTH_Q" hidden="1">"c1773"</definedName>
    <definedName name="IQ_EST_FFO_SURPRISE_PERCENT" hidden="1">"c1870"</definedName>
    <definedName name="IQ_EST_NAV_DIFF" hidden="1">"c1895"</definedName>
    <definedName name="IQ_EST_NAV_SURPRISE_PERCENT" hidden="1">"c1896"</definedName>
    <definedName name="IQ_EST_NI_DIFF" hidden="1">"c1885"</definedName>
    <definedName name="IQ_EST_NI_GW_DIFF" hidden="1">"c1887"</definedName>
    <definedName name="IQ_EST_NI_GW_SURPRISE_PERCENT" hidden="1">"c1888"</definedName>
    <definedName name="IQ_EST_NI_REPORT_DIFF" hidden="1">"c1889"</definedName>
    <definedName name="IQ_EST_NI_REPORT_SURPRISE_PERCENT" hidden="1">"c1890"</definedName>
    <definedName name="IQ_EST_NI_SURPRISE_PERCENT" hidden="1">"c1886"</definedName>
    <definedName name="IQ_EST_NUM_BUY" hidden="1">"c1759"</definedName>
    <definedName name="IQ_EST_NUM_HOLD" hidden="1">"c1761"</definedName>
    <definedName name="IQ_EST_NUM_NO_OPINION" hidden="1">"c1758"</definedName>
    <definedName name="IQ_EST_NUM_OUTPERFORM" hidden="1">"c1760"</definedName>
    <definedName name="IQ_EST_NUM_SELL" hidden="1">"c1763"</definedName>
    <definedName name="IQ_EST_NUM_UNDERPERFORM" hidden="1">"c1762"</definedName>
    <definedName name="IQ_EST_OPER_INC_DIFF" hidden="1">"c1877"</definedName>
    <definedName name="IQ_EST_OPER_INC_SURPRISE_PERCENT" hidden="1">"c1878"</definedName>
    <definedName name="IQ_EST_PRE_TAX_DIFF" hidden="1">"c1879"</definedName>
    <definedName name="IQ_EST_PRE_TAX_GW_DIFF" hidden="1">"c1881"</definedName>
    <definedName name="IQ_EST_PRE_TAX_GW_SURPRISE_PERCENT" hidden="1">"c1882"</definedName>
    <definedName name="IQ_EST_PRE_TAX_REPORT_DIFF" hidden="1">"c1883"</definedName>
    <definedName name="IQ_EST_PRE_TAX_REPORT_SURPRISE_PERCENT" hidden="1">"c1884"</definedName>
    <definedName name="IQ_EST_PRE_TAX_SURPRISE_PERCENT" hidden="1">"c1880"</definedName>
    <definedName name="IQ_EST_REV_DIFF" hidden="1">"c1865"</definedName>
    <definedName name="IQ_EST_REV_GROWTH_1YR" hidden="1">"c1638"</definedName>
    <definedName name="IQ_EST_REV_GROWTH_2YR" hidden="1">"c1639"</definedName>
    <definedName name="IQ_EST_REV_GROWTH_Q_1YR" hidden="1">"c1640"</definedName>
    <definedName name="IQ_EST_REV_SEQ_GROWTH_Q" hidden="1">"c1765"</definedName>
    <definedName name="IQ_EST_REV_SURPRISE_PERCENT" hidden="1">"c1866"</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EDFUNDS_SOLD" hidden="1">"c2256"</definedName>
    <definedName name="IQ_FFO" hidden="1">"c1574"</definedName>
    <definedName name="IQ_FFO_ACT_OR_EST" hidden="1">"c2216"</definedName>
    <definedName name="IQ_FFO_EST" hidden="1">"c418"</definedName>
    <definedName name="IQ_FFO_HIGH_EST" hidden="1">"c419"</definedName>
    <definedName name="IQ_FFO_LOW_EST" hidden="1">"c420"</definedName>
    <definedName name="IQ_FFO_MEDIAN_EST" hidden="1">"c1665"</definedName>
    <definedName name="IQ_FFO_NUM_EST" hidden="1">"c421"</definedName>
    <definedName name="IQ_FFO_STDDEV_EST" hidden="1">"c422"</definedName>
    <definedName name="IQ_FH" hidden="1">100000</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"c1405"</definedName>
    <definedName name="IQ_FINANCING_CASH_SUPPL" hidden="1">"c1406"</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Y" hidden="1">1000</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SPRD" hidden="1">"c2155"</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_TARGET_PRICE" hidden="1">"c1651"</definedName>
    <definedName name="IQ_HIGHPRICE" hidden="1">"c545"</definedName>
    <definedName name="IQ_HOMEOWNERS_WRITTEN" hidden="1">"c546"</definedName>
    <definedName name="IQ_IMPAIR_OIL" hidden="1">"c547"</definedName>
    <definedName name="IQ_IMPAIRMENT_GW" hidden="1">"c548"</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"c1391"</definedName>
    <definedName name="IQ_ISS_STOCK_NET" hidden="1">"c1601"</definedName>
    <definedName name="IQ_ISSUE_CURRENCY" hidden="1">"c2156"</definedName>
    <definedName name="IQ_ISSUE_NAME" hidden="1">"c2142"</definedName>
    <definedName name="IQ_ISSUER" hidden="1">"c2143"</definedName>
    <definedName name="IQ_ISSUER_PARENT" hidden="1">"c2144"</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K" hidden="1">1000</definedName>
    <definedName name="IQ_LATESTQ" hidden="1">500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SS_TO_NET_EARNED" hidden="1">"c2751"</definedName>
    <definedName name="IQ_LOW_TARGET_PRICE" hidden="1">"c1652"</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LTMMONTH" hidden="1">120000</definedName>
    <definedName name="IQ_MACHINERY" hidden="1">"c711"</definedName>
    <definedName name="IQ_MAINT_CAPEX" hidden="1">"c2947"</definedName>
    <definedName name="IQ_MAINT_REPAIR" hidden="1">"c2087"</definedName>
    <definedName name="IQ_MARKET_CAP_LFCF" hidden="1">"c2209"</definedName>
    <definedName name="IQ_MARKETCAP" hidden="1">"c712"</definedName>
    <definedName name="IQ_MARKETING" hidden="1">"c2239"</definedName>
    <definedName name="IQ_MATURITY_DATE" hidden="1">"c2146"</definedName>
    <definedName name="IQ_MC_RATIO" hidden="1">"c2783"</definedName>
    <definedName name="IQ_MC_STATUTORY_SURPLUS" hidden="1">"c2772"</definedName>
    <definedName name="IQ_MEDIAN_TARGET_PRICE" hidden="1">"c1650"</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M_ACCOUNT" hidden="1">"c743"</definedName>
    <definedName name="IQ_MONTH" hidden="1">15000</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SERV_RIGHTS" hidden="1">"c2242"</definedName>
    <definedName name="IQ_MTD" hidden="1">800000</definedName>
    <definedName name="IQ_NAMES_REVISION_DATE_" hidden="1">"11/18/2013 16:57:20"</definedName>
    <definedName name="IQ_NAV_ACT_OR_EST" hidden="1">"c2225"</definedName>
    <definedName name="IQ_NAV_EST" hidden="1">"c1751"</definedName>
    <definedName name="IQ_NAV_HIGH_EST" hidden="1">"c1753"</definedName>
    <definedName name="IQ_NAV_LOW_EST" hidden="1">"c1754"</definedName>
    <definedName name="IQ_NAV_MEDIAN_EST" hidden="1">"c1752"</definedName>
    <definedName name="IQ_NAV_NUM_EST" hidden="1">"c1755"</definedName>
    <definedName name="IQ_NAV_STDDEV_EST" hidden="1">"c1756"</definedName>
    <definedName name="IQ_NET_CHANGE" hidden="1">"c749"</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EBITDA" hidden="1">"c750"</definedName>
    <definedName name="IQ_NET_DEBT_EBITDA_CAPEX" hidden="1">"c2949"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IFE_INS_IN_FORCE" hidden="1">"c2769"</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ET_TO_GROSS_EARNED" hidden="1">"c2750"</definedName>
    <definedName name="IQ_NET_TO_GROSS_WRITTEN" hidden="1">"c2729"</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CT_OR_EST" hidden="1">"c2222"</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EST" hidden="1">"c1716"</definedName>
    <definedName name="IQ_NI_GW_EST" hidden="1">"c1723"</definedName>
    <definedName name="IQ_NI_GW_HIGH_EST" hidden="1">"c1725"</definedName>
    <definedName name="IQ_NI_GW_LOW_EST" hidden="1">"c1726"</definedName>
    <definedName name="IQ_NI_GW_MEDIAN_EST" hidden="1">"c1724"</definedName>
    <definedName name="IQ_NI_GW_NUM_EST" hidden="1">"c1727"</definedName>
    <definedName name="IQ_NI_GW_STDDEV_EST" hidden="1">"c1728"</definedName>
    <definedName name="IQ_NI_HIGH_EST" hidden="1">"c1718"</definedName>
    <definedName name="IQ_NI_LOW_EST" hidden="1">"c1719"</definedName>
    <definedName name="IQ_NI_MARGIN" hidden="1">"c794"</definedName>
    <definedName name="IQ_NI_MEDIAN_EST" hidden="1">"c1717"</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NUM_EST" hidden="1">"c1720"</definedName>
    <definedName name="IQ_NI_REPORTED_EST" hidden="1">"c1730"</definedName>
    <definedName name="IQ_NI_REPORTED_HIGH_EST" hidden="1">"c1732"</definedName>
    <definedName name="IQ_NI_REPORTED_LOW_EST" hidden="1">"c1733"</definedName>
    <definedName name="IQ_NI_REPORTED_MEDIAN_EST" hidden="1">"c1731"</definedName>
    <definedName name="IQ_NI_REPORTED_NUM_EST" hidden="1">"c1734"</definedName>
    <definedName name="IQ_NI_REPORTED_STDDEV_EST" hidden="1">"c1735"</definedName>
    <definedName name="IQ_NI_SFAS" hidden="1">"c795"</definedName>
    <definedName name="IQ_NI_STDDEV_EST" hidden="1">"c1721"</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CASH_PENSION_EXP" hidden="1">"c3000"</definedName>
    <definedName name="IQ_NONRECOURSE_DEBT" hidden="1">"c2550"</definedName>
    <definedName name="IQ_NONRECOURSE_DEBT_PCT" hidden="1">"c2551"</definedName>
    <definedName name="IQ_NONUTIL_REV" hidden="1">"c2089"</definedName>
    <definedName name="IQ_NORM_EPS_ACT_OR_EST" hidden="1">"c2249"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TOTAL_OIL_PRODUCTON" hidden="1">"c2059"</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ED55" hidden="1">1</definedName>
    <definedName name="IQ_OPENPRICE" hidden="1">"c848"</definedName>
    <definedName name="IQ_OPER_INC" hidden="1">"c849"</definedName>
    <definedName name="IQ_OPER_INC_ACT_OR_EST" hidden="1">"c2220"</definedName>
    <definedName name="IQ_OPER_INC_BR" hidden="1">"c850"</definedName>
    <definedName name="IQ_OPER_INC_EST" hidden="1">"c1688"</definedName>
    <definedName name="IQ_OPER_INC_FIN" hidden="1">"c851"</definedName>
    <definedName name="IQ_OPER_INC_HIGH_EST" hidden="1">"c1690"</definedName>
    <definedName name="IQ_OPER_INC_INS" hidden="1">"c852"</definedName>
    <definedName name="IQ_OPER_INC_LOW_EST" hidden="1">"c1691"</definedName>
    <definedName name="IQ_OPER_INC_MARGIN" hidden="1">"c1448"</definedName>
    <definedName name="IQ_OPER_INC_MEDIAN_EST" hidden="1">"c1689"</definedName>
    <definedName name="IQ_OPER_INC_NUM_EST" hidden="1">"c1692"</definedName>
    <definedName name="IQ_OPER_INC_REIT" hidden="1">"c853"</definedName>
    <definedName name="IQ_OPER_INC_STDDEV_EST" hidden="1">"c1693"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GRANTED" hidden="1">"c2673"</definedName>
    <definedName name="IQ_OPTIONS_ISSUED" hidden="1">"c857"</definedName>
    <definedName name="IQ_OPTIONS_STRIKE_PRICE_GRANTED" hidden="1">"c2678"</definedName>
    <definedName name="IQ_OPTIONS_STRIKE_PRICE_OS" hidden="1">"c2677"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ED" hidden="1">"c2688"</definedName>
    <definedName name="IQ_OTHER_OPTIONS_GRANTED" hidden="1">"c2687"</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STRIKE_PRICE_GRANTED" hidden="1">"c2692"</definedName>
    <definedName name="IQ_OTHER_UNDRAWN" hidden="1">"c2522"</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"c2127"</definedName>
    <definedName name="IQ_OWNERSHIP" hidden="1">"c2160"</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NORMALIZED" hidden="1">"c2207"</definedName>
    <definedName name="IQ_PE_RATIO" hidden="1">"c1610"</definedName>
    <definedName name="IQ_PEG_FWD" hidden="1">"c1863"</definedName>
    <definedName name="IQ_PENSION" hidden="1">"c1031"</definedName>
    <definedName name="IQ_PERCENT_CHANGE_EST_5YR_GROWTH_RATE_12MONTHS" hidden="1">"c1852"</definedName>
    <definedName name="IQ_PERCENT_CHANGE_EST_5YR_GROWTH_RATE_18MONTHS" hidden="1">"c1853"</definedName>
    <definedName name="IQ_PERCENT_CHANGE_EST_5YR_GROWTH_RATE_3MONTHS" hidden="1">"c1849"</definedName>
    <definedName name="IQ_PERCENT_CHANGE_EST_5YR_GROWTH_RATE_6MONTHS" hidden="1">"c1850"</definedName>
    <definedName name="IQ_PERCENT_CHANGE_EST_5YR_GROWTH_RATE_9MONTHS" hidden="1">"c1851"</definedName>
    <definedName name="IQ_PERCENT_CHANGE_EST_5YR_GROWTH_RATE_DAY" hidden="1">"c1846"</definedName>
    <definedName name="IQ_PERCENT_CHANGE_EST_5YR_GROWTH_RATE_MONTH" hidden="1">"c1848"</definedName>
    <definedName name="IQ_PERCENT_CHANGE_EST_5YR_GROWTH_RATE_WEEK" hidden="1">"c1847"</definedName>
    <definedName name="IQ_PERCENT_CHANGE_EST_CFPS_12MONTHS" hidden="1">"c1812"</definedName>
    <definedName name="IQ_PERCENT_CHANGE_EST_CFPS_18MONTHS" hidden="1">"c1813"</definedName>
    <definedName name="IQ_PERCENT_CHANGE_EST_CFPS_3MONTHS" hidden="1">"c1809"</definedName>
    <definedName name="IQ_PERCENT_CHANGE_EST_CFPS_6MONTHS" hidden="1">"c1810"</definedName>
    <definedName name="IQ_PERCENT_CHANGE_EST_CFPS_9MONTHS" hidden="1">"c1811"</definedName>
    <definedName name="IQ_PERCENT_CHANGE_EST_CFPS_DAY" hidden="1">"c1806"</definedName>
    <definedName name="IQ_PERCENT_CHANGE_EST_CFPS_MONTH" hidden="1">"c1808"</definedName>
    <definedName name="IQ_PERCENT_CHANGE_EST_CFPS_WEEK" hidden="1">"c1807"</definedName>
    <definedName name="IQ_PERCENT_CHANGE_EST_DPS_12MONTHS" hidden="1">"c1820"</definedName>
    <definedName name="IQ_PERCENT_CHANGE_EST_DPS_18MONTHS" hidden="1">"c1821"</definedName>
    <definedName name="IQ_PERCENT_CHANGE_EST_DPS_3MONTHS" hidden="1">"c1817"</definedName>
    <definedName name="IQ_PERCENT_CHANGE_EST_DPS_6MONTHS" hidden="1">"c1818"</definedName>
    <definedName name="IQ_PERCENT_CHANGE_EST_DPS_9MONTHS" hidden="1">"c1819"</definedName>
    <definedName name="IQ_PERCENT_CHANGE_EST_DPS_DAY" hidden="1">"c1814"</definedName>
    <definedName name="IQ_PERCENT_CHANGE_EST_DPS_MONTH" hidden="1">"c1816"</definedName>
    <definedName name="IQ_PERCENT_CHANGE_EST_DPS_WEEK" hidden="1">"c1815"</definedName>
    <definedName name="IQ_PERCENT_CHANGE_EST_EBITDA_12MONTHS" hidden="1">"c1804"</definedName>
    <definedName name="IQ_PERCENT_CHANGE_EST_EBITDA_18MONTHS" hidden="1">"c1805"</definedName>
    <definedName name="IQ_PERCENT_CHANGE_EST_EBITDA_3MONTHS" hidden="1">"c1801"</definedName>
    <definedName name="IQ_PERCENT_CHANGE_EST_EBITDA_6MONTHS" hidden="1">"c1802"</definedName>
    <definedName name="IQ_PERCENT_CHANGE_EST_EBITDA_9MONTHS" hidden="1">"c1803"</definedName>
    <definedName name="IQ_PERCENT_CHANGE_EST_EBITDA_DAY" hidden="1">"c1798"</definedName>
    <definedName name="IQ_PERCENT_CHANGE_EST_EBITDA_MONTH" hidden="1">"c1800"</definedName>
    <definedName name="IQ_PERCENT_CHANGE_EST_EBITDA_WEEK" hidden="1">"c1799"</definedName>
    <definedName name="IQ_PERCENT_CHANGE_EST_EPS_12MONTHS" hidden="1">"c1788"</definedName>
    <definedName name="IQ_PERCENT_CHANGE_EST_EPS_18MONTHS" hidden="1">"c1789"</definedName>
    <definedName name="IQ_PERCENT_CHANGE_EST_EPS_3MONTHS" hidden="1">"c1785"</definedName>
    <definedName name="IQ_PERCENT_CHANGE_EST_EPS_6MONTHS" hidden="1">"c1786"</definedName>
    <definedName name="IQ_PERCENT_CHANGE_EST_EPS_9MONTHS" hidden="1">"c1787"</definedName>
    <definedName name="IQ_PERCENT_CHANGE_EST_EPS_DAY" hidden="1">"c1782"</definedName>
    <definedName name="IQ_PERCENT_CHANGE_EST_EPS_MONTH" hidden="1">"c1784"</definedName>
    <definedName name="IQ_PERCENT_CHANGE_EST_EPS_WEEK" hidden="1">"c1783"</definedName>
    <definedName name="IQ_PERCENT_CHANGE_EST_FFO_12MONTHS" hidden="1">"c1828"</definedName>
    <definedName name="IQ_PERCENT_CHANGE_EST_FFO_18MONTHS" hidden="1">"c1829"</definedName>
    <definedName name="IQ_PERCENT_CHANGE_EST_FFO_3MONTHS" hidden="1">"c1825"</definedName>
    <definedName name="IQ_PERCENT_CHANGE_EST_FFO_6MONTHS" hidden="1">"c1826"</definedName>
    <definedName name="IQ_PERCENT_CHANGE_EST_FFO_9MONTHS" hidden="1">"c1827"</definedName>
    <definedName name="IQ_PERCENT_CHANGE_EST_FFO_DAY" hidden="1">"c1822"</definedName>
    <definedName name="IQ_PERCENT_CHANGE_EST_FFO_MONTH" hidden="1">"c1824"</definedName>
    <definedName name="IQ_PERCENT_CHANGE_EST_FFO_WEEK" hidden="1">"c1823"</definedName>
    <definedName name="IQ_PERCENT_CHANGE_EST_PRICE_TARGET_12MONTHS" hidden="1">"c1844"</definedName>
    <definedName name="IQ_PERCENT_CHANGE_EST_PRICE_TARGET_18MONTHS" hidden="1">"c1845"</definedName>
    <definedName name="IQ_PERCENT_CHANGE_EST_PRICE_TARGET_3MONTHS" hidden="1">"c1841"</definedName>
    <definedName name="IQ_PERCENT_CHANGE_EST_PRICE_TARGET_6MONTHS" hidden="1">"c1842"</definedName>
    <definedName name="IQ_PERCENT_CHANGE_EST_PRICE_TARGET_9MONTHS" hidden="1">"c1843"</definedName>
    <definedName name="IQ_PERCENT_CHANGE_EST_PRICE_TARGET_DAY" hidden="1">"c1838"</definedName>
    <definedName name="IQ_PERCENT_CHANGE_EST_PRICE_TARGET_MONTH" hidden="1">"c1840"</definedName>
    <definedName name="IQ_PERCENT_CHANGE_EST_PRICE_TARGET_WEEK" hidden="1">"c1839"</definedName>
    <definedName name="IQ_PERCENT_CHANGE_EST_RECO_12MONTHS" hidden="1">"c1836"</definedName>
    <definedName name="IQ_PERCENT_CHANGE_EST_RECO_18MONTHS" hidden="1">"c1837"</definedName>
    <definedName name="IQ_PERCENT_CHANGE_EST_RECO_3MONTHS" hidden="1">"c1833"</definedName>
    <definedName name="IQ_PERCENT_CHANGE_EST_RECO_6MONTHS" hidden="1">"c1834"</definedName>
    <definedName name="IQ_PERCENT_CHANGE_EST_RECO_9MONTHS" hidden="1">"c1835"</definedName>
    <definedName name="IQ_PERCENT_CHANGE_EST_RECO_DAY" hidden="1">"c1830"</definedName>
    <definedName name="IQ_PERCENT_CHANGE_EST_RECO_MONTH" hidden="1">"c1832"</definedName>
    <definedName name="IQ_PERCENT_CHANGE_EST_RECO_WEEK" hidden="1">"c1831"</definedName>
    <definedName name="IQ_PERCENT_CHANGE_EST_REV_12MONTHS" hidden="1">"c1796"</definedName>
    <definedName name="IQ_PERCENT_CHANGE_EST_REV_18MONTHS" hidden="1">"c1797"</definedName>
    <definedName name="IQ_PERCENT_CHANGE_EST_REV_3MONTHS" hidden="1">"c1793"</definedName>
    <definedName name="IQ_PERCENT_CHANGE_EST_REV_6MONTHS" hidden="1">"c1794"</definedName>
    <definedName name="IQ_PERCENT_CHANGE_EST_REV_9MONTHS" hidden="1">"c1795"</definedName>
    <definedName name="IQ_PERCENT_CHANGE_EST_REV_DAY" hidden="1">"c1790"</definedName>
    <definedName name="IQ_PERCENT_CHANGE_EST_REV_MONTH" hidden="1">"c1792"</definedName>
    <definedName name="IQ_PERCENT_CHANGE_EST_REV_WEEK" hidden="1">"c1791"</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MT_FREQ" hidden="1">"c2236"</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OTENTIAL_UPSIDE" hidden="1">"c1855"</definedName>
    <definedName name="IQ_PRE_OPEN_COST" hidden="1">"c1040"</definedName>
    <definedName name="IQ_PRE_TAX_ACT_OR_EST" hidden="1">"c2221"</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ETAX_GW_INC_EST" hidden="1">"c1702"</definedName>
    <definedName name="IQ_PRETAX_GW_INC_HIGH_EST" hidden="1">"c1704"</definedName>
    <definedName name="IQ_PRETAX_GW_INC_LOW_EST" hidden="1">"c1705"</definedName>
    <definedName name="IQ_PRETAX_GW_INC_MEDIAN_EST" hidden="1">"c1703"</definedName>
    <definedName name="IQ_PRETAX_GW_INC_NUM_EST" hidden="1">"c1706"</definedName>
    <definedName name="IQ_PRETAX_GW_INC_STDDEV_EST" hidden="1">"c1707"</definedName>
    <definedName name="IQ_PRETAX_INC_EST" hidden="1">"c1695"</definedName>
    <definedName name="IQ_PRETAX_INC_HIGH_EST" hidden="1">"c1697"</definedName>
    <definedName name="IQ_PRETAX_INC_LOW_EST" hidden="1">"c1698"</definedName>
    <definedName name="IQ_PRETAX_INC_MEDIAN_EST" hidden="1">"c1696"</definedName>
    <definedName name="IQ_PRETAX_INC_NUM_EST" hidden="1">"c1699"</definedName>
    <definedName name="IQ_PRETAX_INC_STDDEV_EST" hidden="1">"c1700"</definedName>
    <definedName name="IQ_PRETAX_REPORT_INC_EST" hidden="1">"c1709"</definedName>
    <definedName name="IQ_PRETAX_REPORT_INC_HIGH_EST" hidden="1">"c1711"</definedName>
    <definedName name="IQ_PRETAX_REPORT_INC_LOW_EST" hidden="1">"c1712"</definedName>
    <definedName name="IQ_PRETAX_REPORT_INC_MEDIAN_EST" hidden="1">"c1710"</definedName>
    <definedName name="IQ_PRETAX_REPORT_INC_NUM_EST" hidden="1">"c1713"</definedName>
    <definedName name="IQ_PRETAX_REPORT_INC_STDDEV_EST" hidden="1">"c1714"</definedName>
    <definedName name="IQ_PRICE_CFPS_FWD" hidden="1">"c2237"</definedName>
    <definedName name="IQ_PRICE_OVER_BVPS" hidden="1">"c1412"</definedName>
    <definedName name="IQ_PRICE_OVER_LTM_EPS" hidden="1">"c1413"</definedName>
    <definedName name="IQ_PRICE_TARGET" hidden="1">"c82"</definedName>
    <definedName name="IQ_PRICEDATE" hidden="1">"c1069"</definedName>
    <definedName name="IQ_PRICING_DATE" hidden="1">"c1613"</definedName>
    <definedName name="IQ_PRIMARY_INDUSTRY" hidden="1">"c1070"</definedName>
    <definedName name="IQ_PRINCIPAL_AMT" hidden="1">"c2157"</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QTD" hidden="1">750000</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CQUIRED_FRANCHISE_STORES" hidden="1">"c2903"</definedName>
    <definedName name="IQ_RETAIL_ACQUIRED_OWNED_STORES" hidden="1">"c2895"</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STDDEV_EST" hidden="1">"c1124"</definedName>
    <definedName name="IQ_REV_UTI" hidden="1">"c1125"</definedName>
    <definedName name="IQ_REVENUE" hidden="1">"c1422"</definedName>
    <definedName name="IQ_REVENUE_ACT_OR_EST" hidden="1">"c2214"</definedName>
    <definedName name="IQ_REVENUE_EST" hidden="1">"c1126"</definedName>
    <definedName name="IQ_REVENUE_HIGH_EST" hidden="1">"c1127"</definedName>
    <definedName name="IQ_REVENUE_LOW_EST" hidden="1">"c1128"</definedName>
    <definedName name="IQ_REVENUE_MEDIAN_EST" hidden="1">"c1662"</definedName>
    <definedName name="IQ_REVENUE_NUM_EST" hidden="1">"c1129"</definedName>
    <definedName name="IQ_REVISION_DATE_" hidden="1">38918.6151273148</definedName>
    <definedName name="IQ_RISK_ADJ_BANK_ASSETS" hidden="1">"c2670"</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UR_RECEIV" hidden="1">"c1151"</definedName>
    <definedName name="IQ_SECURED_DEBT" hidden="1">"c2546"</definedName>
    <definedName name="IQ_SECURED_DEBT_PCT" hidden="1">"c2547"</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 hidden="1">"c2171"</definedName>
    <definedName name="IQ_SP_DATE" hidden="1">"c2172"</definedName>
    <definedName name="IQ_SP_REASON" hidden="1">"c2174"</definedName>
    <definedName name="IQ_SP_STATUS" hidden="1">"c2173"</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PCT" hidden="1">"c2539"</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RGET_PRICE_NUM" hidden="1">"c1653"</definedName>
    <definedName name="IQ_TARGET_PRICE_STDDEV" hidden="1">"c1654"</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_FWD" hidden="1">"c2238"</definedName>
    <definedName name="IQ_TEV_EBITDA" hidden="1">"c1222"</definedName>
    <definedName name="IQ_TEV_EBITDA_AVG" hidden="1">"c1223"</definedName>
    <definedName name="IQ_TEV_EBITDA_FWD" hidden="1">"c1224"</definedName>
    <definedName name="IQ_TEV_EMPLOYEE_AVG" hidden="1">"c1225"</definedName>
    <definedName name="IQ_TEV_TOTAL_REV" hidden="1">"c1226"</definedName>
    <definedName name="IQ_TEV_TOTAL_REV_AVG" hidden="1">"c1227"</definedName>
    <definedName name="IQ_TEV_TOTAL_REV_FWD" hidden="1">"c1228"</definedName>
    <definedName name="IQ_TEV_UFCF" hidden="1">"c2208"</definedName>
    <definedName name="IQ_TIER_ONE_CAPITAL" hidden="1">"c2667"</definedName>
    <definedName name="IQ_TIER_ONE_RATIO" hidden="1">"c1229"</definedName>
    <definedName name="IQ_TIER_TWO_CAPITAL" hidden="1">"c2669"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"c2141"</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ENSION_OBLIGATION" hidden="1">"c1292"</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UNUSUAL" hidden="1">"c1508"</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DA" hidden="1">"c2381"</definedName>
    <definedName name="IQ_TR_ACQ_FILING_CURRENCY" hidden="1">"c3033"</definedName>
    <definedName name="IQ_TR_ACQ_MCAP_1DAY" hidden="1">"c2345"</definedName>
    <definedName name="IQ_TR_ACQ_MIN_INT" hidden="1">"c2374"</definedName>
    <definedName name="IQ_TR_ACQ_NET_DEBT" hidden="1">"c2373"</definedName>
    <definedName name="IQ_TR_ACQ_NI" hidden="1">"c2378"</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DA" hidden="1">"c2334"</definedName>
    <definedName name="IQ_TR_TARGET_FILING_CURRENCY" hidden="1">"c3034"</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SSETS" hidden="1">"c1310"</definedName>
    <definedName name="IQ_TRADING_CURRENCY" hidden="1">"c2212"</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TRUST_PREFERRED" hidden="1">"c3029"</definedName>
    <definedName name="IQ_TRUST_PREFERRED_PCT" hidden="1">"c3030"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NAMORT_DISC" hidden="1">"c2513"</definedName>
    <definedName name="IQ_UNAMORT_DISC_PCT" hidden="1">"c2514"</definedName>
    <definedName name="IQ_UNAMORT_PREMIUM" hidden="1">"c2511"</definedName>
    <definedName name="IQ_UNAMORT_PREMIUM_PCT" hidden="1">"c2512"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SECURED_DEBT" hidden="1">"c2548"</definedName>
    <definedName name="IQ_UNSECURED_DEBT_PCT" hidden="1">"c2549"</definedName>
    <definedName name="IQ_UNUSUAL_EXP" hidden="1">"c1456"</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EK" hidden="1">50000</definedName>
    <definedName name="IQ_WEIGHTED_AVG_PRICE" hidden="1">"c1334"</definedName>
    <definedName name="IQ_WIP_INV" hidden="1">"c1335"</definedName>
    <definedName name="IQ_WORKMEN_WRITTEN" hidden="1">"c1336"</definedName>
    <definedName name="IQ_XDIV_DATE" hidden="1">"c2203"</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DMONTH" hidden="1">130000</definedName>
    <definedName name="IQ_YTW" hidden="1">"c2163"</definedName>
    <definedName name="IQ_YTW_DATE" hidden="1">"c2164"</definedName>
    <definedName name="IQ_YTW_DATE_TYPE" hidden="1">"c2165"</definedName>
    <definedName name="IQ_Z_SCORE" hidden="1">"c1339"</definedName>
    <definedName name="IQB_BOOKMARK_COUNT" hidden="1">0</definedName>
    <definedName name="IrAFracc">#REF!</definedName>
    <definedName name="IrAHydeal">#REF!</definedName>
    <definedName name="IrAHydrar">#REF!</definedName>
    <definedName name="IrAPlatf">#REF!</definedName>
    <definedName name="IrAPref">#REF!</definedName>
    <definedName name="IrASulf">#REF!</definedName>
    <definedName name="IrAunif">#REF!</definedName>
    <definedName name="IRIW" hidden="1">{#N/A,#N/A,FALSE,"TABLE"}</definedName>
    <definedName name="irng" hidden="1">#REF!</definedName>
    <definedName name="irng1" hidden="1">#REF!</definedName>
    <definedName name="IrPlanta">#REF!</definedName>
    <definedName name="IrResumen">#REF!</definedName>
    <definedName name="ISA">#REF!</definedName>
    <definedName name="IsColHidden" hidden="1">FALSE</definedName>
    <definedName name="IsLTMColHidden" hidden="1">FALSE</definedName>
    <definedName name="issafp">#REF!</definedName>
    <definedName name="isscs">#REF!</definedName>
    <definedName name="IsSecureRevolver" hidden="1">#REF!</definedName>
    <definedName name="IsSecureSenior1" hidden="1">#REF!</definedName>
    <definedName name="IsSecureSenior2" hidden="1">#REF!</definedName>
    <definedName name="IsSecureSenior3" hidden="1">#REF!</definedName>
    <definedName name="IsSecureSenior4" hidden="1">#REF!</definedName>
    <definedName name="IsSecureSenior5" hidden="1">#REF!</definedName>
    <definedName name="IsSecureSenior6" hidden="1">#REF!</definedName>
    <definedName name="IsSecureSenior7" hidden="1">#REF!</definedName>
    <definedName name="isseps">#REF!</definedName>
    <definedName name="IT">#REF!</definedName>
    <definedName name="item">#REF!</definedName>
    <definedName name="ITEM1">#REF!</definedName>
    <definedName name="ITEM1_133">#REF!</definedName>
    <definedName name="ITEM1_149">#REF!</definedName>
    <definedName name="ITEM1_186">#REF!</definedName>
    <definedName name="ITEM1_187">#REF!</definedName>
    <definedName name="ITEM15">#REF!</definedName>
    <definedName name="ITEM15_133">#REF!</definedName>
    <definedName name="ITEM15_149">#REF!</definedName>
    <definedName name="ITEM15_186">#REF!</definedName>
    <definedName name="ITEM15_187">#REF!</definedName>
    <definedName name="ITEM2">#REF!</definedName>
    <definedName name="ITEM2_133">#REF!</definedName>
    <definedName name="ITEM2_149">#REF!</definedName>
    <definedName name="ITEM2_186">#REF!</definedName>
    <definedName name="ITEM2_187">#REF!</definedName>
    <definedName name="item210.3">#REF!</definedName>
    <definedName name="item230.1">#REF!</definedName>
    <definedName name="item25" hidden="1">#REF!</definedName>
    <definedName name="ITEM3">#REF!</definedName>
    <definedName name="ITEM3_133">#REF!</definedName>
    <definedName name="ITEM3_149">#REF!</definedName>
    <definedName name="ITEM3_186">#REF!</definedName>
    <definedName name="ITEM3_187">#REF!</definedName>
    <definedName name="item310">#REF!</definedName>
    <definedName name="item320.2">#REF!</definedName>
    <definedName name="item330.1">#REF!</definedName>
    <definedName name="item420">#REF!</definedName>
    <definedName name="item450.2P">#REF!</definedName>
    <definedName name="item600.1">#REF!</definedName>
    <definedName name="item610.1">#REF!</definedName>
    <definedName name="item610.2">#REF!</definedName>
    <definedName name="item630.4">#REF!</definedName>
    <definedName name="item630.6">#REF!</definedName>
    <definedName name="item630.7">#REF!</definedName>
    <definedName name="item640.3">#REF!</definedName>
    <definedName name="item661">#REF!</definedName>
    <definedName name="item671">#REF!</definedName>
    <definedName name="item673.1">#REF!</definedName>
    <definedName name="item673.3">#REF!</definedName>
    <definedName name="item681">#REF!</definedName>
    <definedName name="item700.1">#REF!</definedName>
    <definedName name="item710.1">#REF!</definedName>
    <definedName name="item710.2">#REF!</definedName>
    <definedName name="item730.1">#REF!</definedName>
    <definedName name="item730.2">#REF!</definedName>
    <definedName name="item730.2.4">#REF!</definedName>
    <definedName name="item900.2">#REF!</definedName>
    <definedName name="ITEMS">#REF!</definedName>
    <definedName name="itemsGENERALES">#REF!</definedName>
    <definedName name="ITEM별상세업무분장"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ITEM별업무"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iu" hidden="1">{#N/A,#N/A,FALSE,"orthoflow";#N/A,#N/A,FALSE,"Miscelaneos";#N/A,#N/A,FALSE,"Instrumentacio";#N/A,#N/A,FALSE,"Electrico";#N/A,#N/A,FALSE,"Valv. Seguridad"}</definedName>
    <definedName name="IUI" hidden="1">{"TAB1",#N/A,TRUE,"GENERAL";"TAB2",#N/A,TRUE,"GENERAL";"TAB3",#N/A,TRUE,"GENERAL";"TAB4",#N/A,TRUE,"GENERAL";"TAB5",#N/A,TRUE,"GENERAL"}</definedName>
    <definedName name="iuit7" hidden="1">{"TAB1",#N/A,TRUE,"GENERAL";"TAB2",#N/A,TRUE,"GENERAL";"TAB3",#N/A,TRUE,"GENERAL";"TAB4",#N/A,TRUE,"GENERAL";"TAB5",#N/A,TRUE,"GENERAL"}</definedName>
    <definedName name="IUIU" hidden="1">{TRUE,TRUE,1,1,542,364,FALSE,FALSE,TRUE,FALSE,0,3,29,2,1,0.524,3,2,TRUE,TRUE,1,TRUE,1,FALSE,100,"Swvu.Q1._.1995.","ACwvu.Q1._.1995.",1,FALSE,FALSE,0,0,0.65,0.88,2,"&amp;C&amp;""Times""&amp;14&amp;BAnadrill Sales Plan  -  1995&amp;R&amp;""Times""&amp;9&amp;d     &amp;t","&amp;R&amp;""Times""Page &amp;p",TRUE,TRUE,FALSE,FALSE,2,100,#N/A,#N/A,"=R1C1:R112C32",FALSE,"Rwvu.Q1._.1995.",#N/A,FALSE,FALSE}</definedName>
    <definedName name="iul" hidden="1">{"via1",#N/A,TRUE,"general";"via2",#N/A,TRUE,"general";"via3",#N/A,TRUE,"general"}</definedName>
    <definedName name="iuoloilol" hidden="1">{#N/A,#N/A,FALSE,"Solids Only"}</definedName>
    <definedName name="iuouio" hidden="1">{"via1",#N/A,TRUE,"general";"via2",#N/A,TRUE,"general";"via3",#N/A,TRUE,"general"}</definedName>
    <definedName name="iuyi9" hidden="1">{"TAB1",#N/A,TRUE,"GENERAL";"TAB2",#N/A,TRUE,"GENERAL";"TAB3",#N/A,TRUE,"GENERAL";"TAB4",#N/A,TRUE,"GENERAL";"TAB5",#N/A,TRUE,"GENERAL"}</definedName>
    <definedName name="IVA">#REF!</definedName>
    <definedName name="IVA_DIJE" hidden="1">{#N/A,#N/A,FALSE,"137.2.R";#N/A,#N/A,FALSE,"137.3.R";#N/A,#N/A,FALSE,"137.4.R";#N/A,#N/A,FALSE,"138.R";#N/A,#N/A,FALSE,"140.R";#N/A,#N/A,FALSE,"145.R";#N/A,#N/A,FALSE,"146.R"}</definedName>
    <definedName name="IVADIJE" hidden="1">{#N/A,#N/A,FALSE,"47.R ";#N/A,#N/A,FALSE,"47.1.R";#N/A,#N/A,FALSE,"47.1.1.R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IVAPORFIADO" hidden="1">{#N/A,#N/A,FALSE,"41.R";#N/A,#N/A,FALSE,"41.1.R";#N/A,#N/A,FALSE,"41.2.R ";#N/A,#N/A,FALSE,"41.3.R ";#N/A,#N/A,FALSE,"42.R";#N/A,#N/A,FALSE,"42.1.R";#N/A,#N/A,FALSE,"42.2.R";#N/A,#N/A,FALSE,"42.3.R";#N/A,#N/A,FALSE,"47.R";#N/A,#N/A,FALSE,"47.1.R";#N/A,#N/A,FALSE,"47.1.1.R ";#N/A,#N/A,FALSE,"47.1.2.R ";#N/A,#N/A,FALSE,"47.1.3.R ";#N/A,#N/A,FALSE,"54.R";#N/A,#N/A,FALSE,"54.1.R ";#N/A,#N/A,FALSE,"54.2.R";#N/A,#N/A,FALSE,"54.3.R";#N/A,#N/A,FALSE,"58.R";#N/A,#N/A,FALSE,"75. R ";#N/A,#N/A,FALSE,"76.R";#N/A,#N/A,FALSE,"76.1.R";#N/A,#N/A,FALSE,"76.1. cont. 1.-R"}</definedName>
    <definedName name="IvaSUtl">#REF!</definedName>
    <definedName name="IVITA1"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";#N/A,#N/A,FALSE,"144.1..R ";#N/A,#N/A,FALSE,"145.1.R ";#N/A,#N/A,FALSE,"146.1.R "}</definedName>
    <definedName name="IVVVVVITA"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iwjdmddmd" hidden="1">{#N/A,#N/A,TRUE,"1842CWN0"}</definedName>
    <definedName name="IY" hidden="1">{"'5'!$A$1:$BB$147"}</definedName>
    <definedName name="iyuiuyi" hidden="1">{"via1",#N/A,TRUE,"general";"via2",#N/A,TRUE,"general";"via3",#N/A,TRUE,"general"}</definedName>
    <definedName name="IZQ">#REF!</definedName>
    <definedName name="J" hidden="1">{"krl1",#N/A,FALSE,"kr";"krl2",#N/A,FALSE,"kr";"compara",#N/A,FALSE,"kr";"desconp1",#N/A,FALSE,"kr";"desconp12",#N/A,FALSE,"kr";"krnp1",#N/A,FALSE,"kr";"krnp2",#N/A,FALSE,"kr";"krp12avg",#N/A,FALSE,"kr";"krp1avg",#N/A,FALSE,"kr"}</definedName>
    <definedName name="JA">#REF!</definedName>
    <definedName name="jac" hidden="1">{"ANAR",#N/A,FALSE,"Dist total";"MARGEN",#N/A,FALSE,"Dist total";"COMENTARIO",#N/A,FALSE,"Ficha CODICE";"CONSEJO",#N/A,FALSE,"Dist p0";"uno",#N/A,FALSE,"Dist total"}</definedName>
    <definedName name="Jaime" hidden="1">{#N/A,#N/A,FALSE,"Costos Productos 6A";#N/A,#N/A,FALSE,"Costo Unitario Total H-94-12"}</definedName>
    <definedName name="jairo" hidden="1">#REF!</definedName>
    <definedName name="jairo2" hidden="1">#REF!</definedName>
    <definedName name="jaja" hidden="1">{"COSOPE98",#N/A,FALSE,"COSOPE98";"COSOPE97",#N/A,FALSE,"COSOPE97";"GASECP98",#N/A,FALSE,"GASECP98";"GAS10098",#N/A,FALSE,"GAS10098";"GASECP97",#N/A,FALSE,"GASECP97";"GAS10097",#N/A,FALSE,"GAS10097";"INVECP98",#N/A,FALSE,"INVECP98";"INV10098",#N/A,FALSE,"INV10098";"INVECP97",#N/A,FALSE,"INVECP97";"INV10097",#N/A,FALSE,"INV10097"}</definedName>
    <definedName name="jao" hidden="1">{#N/A,#N/A,FALSE,"GERAL";#N/A,#N/A,FALSE,"012-96";#N/A,#N/A,FALSE,"018-96";#N/A,#N/A,FALSE,"027-96";#N/A,#N/A,FALSE,"059-96";#N/A,#N/A,FALSE,"076-96";#N/A,#N/A,FALSE,"019-97";#N/A,#N/A,FALSE,"021-97";#N/A,#N/A,FALSE,"022-97";#N/A,#N/A,FALSE,"028-97"}</definedName>
    <definedName name="jas" hidden="1">{#N/A,#N/A,FALSE,"Solids &amp; Flow"}</definedName>
    <definedName name="JAT" hidden="1">#REF!</definedName>
    <definedName name="jd" hidden="1">{"via1",#N/A,TRUE,"general";"via2",#N/A,TRUE,"general";"via3",#N/A,TRUE,"general"}</definedName>
    <definedName name="jdh" hidden="1">{"TAB1",#N/A,TRUE,"GENERAL";"TAB2",#N/A,TRUE,"GENERAL";"TAB3",#N/A,TRUE,"GENERAL";"TAB4",#N/A,TRUE,"GENERAL";"TAB5",#N/A,TRUE,"GENERAL"}</definedName>
    <definedName name="jdhsdva"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jenny" hidden="1">{#N/A,#N/A,FALSE,"이태원철근"}</definedName>
    <definedName name="jerez">#REF!,#REF!</definedName>
    <definedName name="jeytj" hidden="1">{"TAB1",#N/A,TRUE,"GENERAL";"TAB2",#N/A,TRUE,"GENERAL";"TAB3",#N/A,TRUE,"GENERAL";"TAB4",#N/A,TRUE,"GENERAL";"TAB5",#N/A,TRUE,"GENERAL"}</definedName>
    <definedName name="jfç" hidden="1">#REF!</definedName>
    <definedName name="jfhjfrt" hidden="1">{"TAB1",#N/A,TRUE,"GENERAL";"TAB2",#N/A,TRUE,"GENERAL";"TAB3",#N/A,TRUE,"GENERAL";"TAB4",#N/A,TRUE,"GENERAL";"TAB5",#N/A,TRUE,"GENERAL"}</definedName>
    <definedName name="JFJF" hidden="1">{#N/A,#N/A,FALSE,"TABLE"}</definedName>
    <definedName name="jfk" hidden="1">{"ANAR",#N/A,FALSE,"Dist total";"MARGEN",#N/A,FALSE,"Dist total";"COMENTARIO",#N/A,FALSE,"Ficha CODICE";"CONSEJO",#N/A,FALSE,"Dist p0";"uno",#N/A,FALSE,"Dist total"}</definedName>
    <definedName name="JFWERIWJIFG" hidden="1">{#N/A,#N/A,FALSE,"TABLE"}</definedName>
    <definedName name="jfyu"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jgfde" hidden="1">{#N/A,#N/A,TRUE,"INGENIERIA";#N/A,#N/A,TRUE,"COMPRAS";#N/A,#N/A,TRUE,"DIRECCION";#N/A,#N/A,TRUE,"RESUMEN"}</definedName>
    <definedName name="jgfj" hidden="1">{"via1",#N/A,TRUE,"general";"via2",#N/A,TRUE,"general";"via3",#N/A,TRUE,"general"}</definedName>
    <definedName name="jghj" hidden="1">{"TAB1",#N/A,TRUE,"GENERAL";"TAB2",#N/A,TRUE,"GENERAL";"TAB3",#N/A,TRUE,"GENERAL";"TAB4",#N/A,TRUE,"GENERAL";"TAB5",#N/A,TRUE,"GENERAL"}</definedName>
    <definedName name="jgj" hidden="1">{"TAB1",#N/A,TRUE,"GENERAL";"TAB2",#N/A,TRUE,"GENERAL";"TAB3",#N/A,TRUE,"GENERAL";"TAB4",#N/A,TRUE,"GENERAL";"TAB5",#N/A,TRUE,"GENERAL"}</definedName>
    <definedName name="JGR">#REF!</definedName>
    <definedName name="jhg" hidden="1">{"TAB1",#N/A,TRUE,"GENERAL";"TAB2",#N/A,TRUE,"GENERAL";"TAB3",#N/A,TRUE,"GENERAL";"TAB4",#N/A,TRUE,"GENERAL";"TAB5",#N/A,TRUE,"GENERAL"}</definedName>
    <definedName name="JHGIGYIWDW" hidden="1">#REF!</definedName>
    <definedName name="JHGK" hidden="1">#REF!</definedName>
    <definedName name="jhhhh" hidden="1">{#N/A,#N/A,FALSE,"CCTV"}</definedName>
    <definedName name="jhjhhj" hidden="1">{"CONSEJO",#N/A,FALSE,"Dist p0";"CONSEJO",#N/A,FALSE,"Ficha CODICE"}</definedName>
    <definedName name="JHJLHKHG" hidden="1">{#N/A,#N/A,FALSE,"TABLE"}</definedName>
    <definedName name="jhjyj" hidden="1">{"via1",#N/A,TRUE,"general";"via2",#N/A,TRUE,"general";"via3",#N/A,TRUE,"general"}</definedName>
    <definedName name="JHK" hidden="1">{"TAB1",#N/A,TRUE,"GENERAL";"TAB2",#N/A,TRUE,"GENERAL";"TAB3",#N/A,TRUE,"GENERAL";"TAB4",#N/A,TRUE,"GENERAL";"TAB5",#N/A,TRUE,"GENERAL"}</definedName>
    <definedName name="jhkgjkvf" hidden="1">{"TAB1",#N/A,TRUE,"GENERAL";"TAB2",#N/A,TRUE,"GENERAL";"TAB3",#N/A,TRUE,"GENERAL";"TAB4",#N/A,TRUE,"GENERAL";"TAB5",#N/A,TRUE,"GENERAL"}</definedName>
    <definedName name="jiljl" hidden="1">{#N/A,#N/A,FALSE,"자재비 (2)";#N/A,#N/A,FALSE,"공사비 (2)";#N/A,#N/A,FALSE,"설계외주비";#N/A,#N/A,FALSE,"노무비";#N/A,#N/A,FALSE,"기계장치비";#N/A,#N/A,FALSE,"경비"}</definedName>
    <definedName name="jj" hidden="1">#REF!</definedName>
    <definedName name="jjfq" hidden="1">{"via1",#N/A,TRUE,"general";"via2",#N/A,TRUE,"general";"via3",#N/A,TRUE,"general"}</definedName>
    <definedName name="jjj" hidden="1">{TRUE,TRUE,1,1,542,364,FALSE,FALSE,TRUE,FALSE,0,3,4,3,1,0.98,3,1,TRUE,TRUE,1,TRUE,1,FALSE,100,"Swvu.VIEW._.ALL.","ACwvu.VIEW._.ALL.",1,FALSE,FALSE,0,0,0.65,0.88,2,"&amp;C&amp;""Times""&amp;14&amp;BAnadrill Sales Plan  -  1995&amp;R&amp;""Times""&amp;9&amp;d     &amp;t","&amp;R&amp;""Times""Page &amp;p",TRUE,TRUE,FALSE,FALSE,2,100,#N/A,#N/A,"=R1C1:R112C32",FALSE,#N/A,#N/A,FALSE,FALSE}</definedName>
    <definedName name="jjjhjddfg" hidden="1">{"via1",#N/A,TRUE,"general";"via2",#N/A,TRUE,"general";"via3",#N/A,TRUE,"general"}</definedName>
    <definedName name="jjjj">#REF!*#REF!</definedName>
    <definedName name="jjjjj" hidden="1">#REF!</definedName>
    <definedName name="jjjjjjjjjj" hidden="1">{#N/A,#N/A,FALSE,"단축1";#N/A,#N/A,FALSE,"단축2";#N/A,#N/A,FALSE,"단축3";#N/A,#N/A,FALSE,"장축";#N/A,#N/A,FALSE,"4WD"}</definedName>
    <definedName name="jjjjjjjjjjjjjaaaaaaaaaaaaa">#REF!</definedName>
    <definedName name="jjjjjjjjjjjjuuuuuuuuuuuuuuuuggggggggggggggg" hidden="1">#REF!</definedName>
    <definedName name="jjjjju" hidden="1">{"via1",#N/A,TRUE,"general";"via2",#N/A,TRUE,"general";"via3",#N/A,TRUE,"general"}</definedName>
    <definedName name="JJPARK" hidden="1">{#N/A,#N/A,FALSE,"TABLE"}</definedName>
    <definedName name="jjujujty" hidden="1">{"TAB1",#N/A,TRUE,"GENERAL";"TAB2",#N/A,TRUE,"GENERAL";"TAB3",#N/A,TRUE,"GENERAL";"TAB4",#N/A,TRUE,"GENERAL";"TAB5",#N/A,TRUE,"GENERAL"}</definedName>
    <definedName name="jjyjy" hidden="1">{"via1",#N/A,TRUE,"general";"via2",#N/A,TRUE,"general";"via3",#N/A,TRUE,"general"}</definedName>
    <definedName name="jjyt" hidden="1">{#N/A,#N/A,FALSE,"단축1";#N/A,#N/A,FALSE,"단축2";#N/A,#N/A,FALSE,"단축3";#N/A,#N/A,FALSE,"장축";#N/A,#N/A,FALSE,"4WD"}</definedName>
    <definedName name="JK" hidden="1">{#N/A,#N/A,TRUE,"Y생산";#N/A,#N/A,TRUE,"Y판매";#N/A,#N/A,TRUE,"Y총물량";#N/A,#N/A,TRUE,"Y능력";#N/A,#N/A,TRUE,"YKD"}</definedName>
    <definedName name="jkk" hidden="1">{"TAB1",#N/A,TRUE,"GENERAL";"TAB2",#N/A,TRUE,"GENERAL";"TAB3",#N/A,TRUE,"GENERAL";"TAB4",#N/A,TRUE,"GENERAL";"TAB5",#N/A,TRUE,"GENERAL"}</definedName>
    <definedName name="jkl" hidden="1">{"TAB1",#N/A,TRUE,"GENERAL";"TAB2",#N/A,TRUE,"GENERAL";"TAB3",#N/A,TRUE,"GENERAL";"TAB4",#N/A,TRUE,"GENERAL";"TAB5",#N/A,TRUE,"GENERAL"}</definedName>
    <definedName name="jklj" hidden="1">#REF!</definedName>
    <definedName name="jkljkl" hidden="1">{"'A21005'!$A$3:$M$5"}</definedName>
    <definedName name="jnbghjbg" hidden="1">{"ANAR",#N/A,FALSE,"Dist total";"MARGEN",#N/A,FALSE,"Dist total";"COMENTARIO",#N/A,FALSE,"Ficha CODICE";"CONSEJO",#N/A,FALSE,"Dist p0";"uno",#N/A,FALSE,"Dist total"}</definedName>
    <definedName name="Job_Number">#REF!</definedName>
    <definedName name="JODER" hidden="1">#REF!</definedName>
    <definedName name="JODER_1" hidden="1">#REF!</definedName>
    <definedName name="JODER_2" hidden="1">#REF!</definedName>
    <definedName name="JOHN" hidden="1">{#N/A,#N/A,FALSE,"PERSONAL"}</definedName>
    <definedName name="JOIJOIJ">#REF!</definedName>
    <definedName name="Jornada">9</definedName>
    <definedName name="JOSIANNE" hidden="1">{#N/A,#N/A,FALSE,"TEC-01";#N/A,#N/A,FALSE,"TEC - 02";#N/A,#N/A,FALSE,"TEC - 03";#N/A,#N/A,FALSE,"TEC - 04";#N/A,#N/A,FALSE,"TEC-07";#N/A,#N/A,FALSE,"TEC-08";#N/A,#N/A,FALSE,"TEC - 09A";#N/A,#N/A,FALSE,"TEC - 09B";#N/A,#N/A,FALSE,"TEC - 09C";#N/A,#N/A,FALSE,"TEC - 10";#N/A,#N/A,FALSE,"TEC-11"}</definedName>
    <definedName name="jp" hidden="1">{#N/A,#N/A,FALSE,"SOACHA"}</definedName>
    <definedName name="JPY">#REF!</definedName>
    <definedName name="JRYJ" hidden="1">{"via1",#N/A,TRUE,"general";"via2",#N/A,TRUE,"general";"via3",#N/A,TRUE,"general"}</definedName>
    <definedName name="JSKJ" hidden="1">{#N/A,#N/A,FALSE,"TABLE"}</definedName>
    <definedName name="jtyj" hidden="1">{"TAB1",#N/A,TRUE,"GENERAL";"TAB2",#N/A,TRUE,"GENERAL";"TAB3",#N/A,TRUE,"GENERAL";"TAB4",#N/A,TRUE,"GENERAL";"TAB5",#N/A,TRUE,"GENERAL"}</definedName>
    <definedName name="jtyry" hidden="1">{"TAB1",#N/A,TRUE,"GENERAL";"TAB2",#N/A,TRUE,"GENERAL";"TAB3",#N/A,TRUE,"GENERAL";"TAB4",#N/A,TRUE,"GENERAL";"TAB5",#N/A,TRUE,"GENERAL"}</definedName>
    <definedName name="ju" hidden="1">{"CONSEJO",#N/A,FALSE,"Dist p0";"CONSEJO",#N/A,FALSE,"Ficha CODICE"}</definedName>
    <definedName name="juafhidhfai" hidden="1">{"ANAR",#N/A,FALSE,"Dist total";"MARGEN",#N/A,FALSE,"Dist total";"COMENTARIO",#N/A,FALSE,"Ficha CODICE";"CONSEJO",#N/A,FALSE,"Dist p0";"uno",#N/A,FALSE,"Dist total"}</definedName>
    <definedName name="juan" hidden="1">{"cprgas",#N/A,FALSE,"CPR_E";"cprwat",#N/A,FALSE,"CPR_E";"oilcpr",#N/A,FALSE,"CPR_E";"norwat",#N/A,FALSE,"CPR_E";"norgas",#N/A,FALSE,"CPR_E";"noroil",#N/A,FALSE,"CPR_E";"surwat",#N/A,FALSE,"CPR_E";"surgas",#N/A,FALSE,"CPR_E";"suroil",#N/A,FALSE,"CPR_E";"puriwat",#N/A,FALSE,"CPR_E";"purigas",#N/A,FALSE,"CPR_E";"purioil",#N/A,FALSE,"CPR_E"}</definedName>
    <definedName name="JUANITO"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juio" hidden="1">#REF!</definedName>
    <definedName name="juj" hidden="1">{"via1",#N/A,TRUE,"general";"via2",#N/A,TRUE,"general";"via3",#N/A,TRUE,"general"}</definedName>
    <definedName name="jujcx" hidden="1">{"via1",#N/A,TRUE,"general";"via2",#N/A,TRUE,"general";"via3",#N/A,TRUE,"general"}</definedName>
    <definedName name="jujuj" hidden="1">{"via1",#N/A,TRUE,"general";"via2",#N/A,TRUE,"general";"via3",#N/A,TRUE,"general"}</definedName>
    <definedName name="jujujuju" hidden="1">{"TAB1",#N/A,TRUE,"GENERAL";"TAB2",#N/A,TRUE,"GENERAL";"TAB3",#N/A,TRUE,"GENERAL";"TAB4",#N/A,TRUE,"GENERAL";"TAB5",#N/A,TRUE,"GENERAL"}</definedName>
    <definedName name="jul" hidden="1">#REF!</definedName>
    <definedName name="jul_20">#REF!</definedName>
    <definedName name="jul_21">#REF!</definedName>
    <definedName name="JULIO">#REF!</definedName>
    <definedName name="jun" hidden="1">#REF!</definedName>
    <definedName name="jun_20">#REF!</definedName>
    <definedName name="jun_21">#REF!</definedName>
    <definedName name="JUNIO">#REF!</definedName>
    <definedName name="JUPOX" hidden="1">{#N/A,#N/A,FALSE,"masez (10)";#N/A,#N/A,FALSE,"masez (7)";#N/A,#N/A,FALSE,"masez (6)";#N/A,#N/A,FALSE,"masez (5)";#N/A,#N/A,FALSE,"masez (4)";#N/A,#N/A,FALSE,"masez (3)";#N/A,#N/A,FALSE,"masez (2)";#N/A,#N/A,FALSE,"GME";#N/A,#N/A,FALSE,"masez"}</definedName>
    <definedName name="juuuhb" hidden="1">{"TAB1",#N/A,TRUE,"GENERAL";"TAB2",#N/A,TRUE,"GENERAL";"TAB3",#N/A,TRUE,"GENERAL";"TAB4",#N/A,TRUE,"GENERAL";"TAB5",#N/A,TRUE,"GENERAL"}</definedName>
    <definedName name="JY" hidden="1">#REF!</definedName>
    <definedName name="jyjt7" hidden="1">{"via1",#N/A,TRUE,"general";"via2",#N/A,TRUE,"general";"via3",#N/A,TRUE,"general"}</definedName>
    <definedName name="jyt" hidden="1">{"via1",#N/A,TRUE,"general";"via2",#N/A,TRUE,"general";"via3",#N/A,TRUE,"general"}</definedName>
    <definedName name="jytj" hidden="1">{"via1",#N/A,TRUE,"general";"via2",#N/A,TRUE,"general";"via3",#N/A,TRUE,"general"}</definedName>
    <definedName name="jytutyuyt" hidden="1">{#N/A,#N/A,FALSE,"Solids &amp; Flow"}</definedName>
    <definedName name="jyuju" hidden="1">{"via1",#N/A,TRUE,"general";"via2",#N/A,TRUE,"general";"via3",#N/A,TRUE,"general"}</definedName>
    <definedName name="jyujyuj" hidden="1">{"via1",#N/A,TRUE,"general";"via2",#N/A,TRUE,"general";"via3",#N/A,TRUE,"general"}</definedName>
    <definedName name="K" hidden="1">{"krl1",#N/A,FALSE,"kr";"krl2",#N/A,FALSE,"kr";"compara",#N/A,FALSE,"kr";"desconp1",#N/A,FALSE,"kr";"desconp12",#N/A,FALSE,"kr";"krnp1",#N/A,FALSE,"kr";"krnp2",#N/A,FALSE,"kr";"krp12avg",#N/A,FALSE,"kr";"krp1avg",#N/A,FALSE,"kr"}</definedName>
    <definedName name="K_Camion_grua">#REF!</definedName>
    <definedName name="K_Grua_Autotransp">#REF!</definedName>
    <definedName name="K_mat_Grande">#REF!</definedName>
    <definedName name="K_mat_pequeño">#REF!</definedName>
    <definedName name="K_MO">#REF!</definedName>
    <definedName name="K_MO_CorrectivaZona">#REF!</definedName>
    <definedName name="K_oc_sol_fil">#REF!</definedName>
    <definedName name="K0F1">#REF!</definedName>
    <definedName name="K0F2">#REF!</definedName>
    <definedName name="k1_check">#REF!</definedName>
    <definedName name="k1_check_lift">#REF!</definedName>
    <definedName name="k1_check_swing">#REF!</definedName>
    <definedName name="k1_elbow_45">#REF!</definedName>
    <definedName name="k1_elbow_90">#REF!</definedName>
    <definedName name="k1_gate">#REF!</definedName>
    <definedName name="k1_globo">#REF!</definedName>
    <definedName name="k1_inlet">#REF!</definedName>
    <definedName name="k1_mariposa">#REF!</definedName>
    <definedName name="k1_outlet">#REF!</definedName>
    <definedName name="k1_tee_dura">#REF!</definedName>
    <definedName name="k1_tee_suave">#REF!</definedName>
    <definedName name="K10ALO">#REF!</definedName>
    <definedName name="K11ALO">#REF!</definedName>
    <definedName name="K1F1">#REF!</definedName>
    <definedName name="K1F2">#REF!</definedName>
    <definedName name="k2_check">#REF!</definedName>
    <definedName name="k2_check_lift">#REF!</definedName>
    <definedName name="k2_check_swing">#REF!</definedName>
    <definedName name="k2_elbow_45">#REF!</definedName>
    <definedName name="k2_elbow_90">#REF!</definedName>
    <definedName name="k2_gate">#REF!</definedName>
    <definedName name="k2_globo">#REF!</definedName>
    <definedName name="k2_inlet">#REF!</definedName>
    <definedName name="k2_mariposa">#REF!</definedName>
    <definedName name="k2_pipe_outlet">#REF!</definedName>
    <definedName name="k2_tee_dura">#REF!</definedName>
    <definedName name="k2_tee_suave">#REF!</definedName>
    <definedName name="K2_WBEVMODE" hidden="1">-1</definedName>
    <definedName name="K2F1">#REF!</definedName>
    <definedName name="K2F2">#REF!</definedName>
    <definedName name="K3F1">#REF!</definedName>
    <definedName name="K3F2">#REF!</definedName>
    <definedName name="K4F1">#REF!</definedName>
    <definedName name="K4F2">#REF!</definedName>
    <definedName name="K5F1">#REF!</definedName>
    <definedName name="K5F2">#REF!</definedName>
    <definedName name="K6F1">#REF!</definedName>
    <definedName name="K6F2">#REF!</definedName>
    <definedName name="K7F1">#REF!</definedName>
    <definedName name="K7F2">#REF!</definedName>
    <definedName name="K8ALO">#REF!</definedName>
    <definedName name="K8F1">#REF!</definedName>
    <definedName name="K8F2">#REF!</definedName>
    <definedName name="K9ALO">#REF!</definedName>
    <definedName name="ka" hidden="1">{#N/A,#N/A,FALSE,"단축1";#N/A,#N/A,FALSE,"단축2";#N/A,#N/A,FALSE,"단축3";#N/A,#N/A,FALSE,"장축";#N/A,#N/A,FALSE,"4WD"}</definedName>
    <definedName name="kathe" hidden="1">{"COSOPE98",#N/A,FALSE,"COSOPE98";"COSOPE97",#N/A,FALSE,"COSOPE97";"GASECP98",#N/A,FALSE,"GASECP98";"GAS10098",#N/A,FALSE,"GAS10098";"GASECP97",#N/A,FALSE,"GASECP97";"GAS10097",#N/A,FALSE,"GAS10097";"INVECP98",#N/A,FALSE,"INVECP98";"INV10098",#N/A,FALSE,"INV10098";"INVECP97",#N/A,FALSE,"INVECP97";"INV10097",#N/A,FALSE,"INV10097"}</definedName>
    <definedName name="kdbdif" hidden="1">{#N/A,#N/A,TRUE,"1842CWN0"}</definedName>
    <definedName name="KDIDUUE" hidden="1">{#N/A,#N/A,FALSE,"TABLE"}</definedName>
    <definedName name="kdjdbv" hidden="1">{#N/A,#N/A,TRUE,"1842CWN0"}</definedName>
    <definedName name="kdjks"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KDL" hidden="1">{#N/A,#N/A,TRUE,"1842CWN0"}</definedName>
    <definedName name="kdmfm" hidden="1">#REF!</definedName>
    <definedName name="key" hidden="1">#REF!</definedName>
    <definedName name="kf">#REF!</definedName>
    <definedName name="KGH" hidden="1">#REF!</definedName>
    <definedName name="kghlgh" hidden="1">{#N/A,#N/A,FALSE,"CCTV"}</definedName>
    <definedName name="kh">#REF!</definedName>
    <definedName name="khgfd" hidden="1">{#N/A,#N/A,TRUE,"INGENIERIA";#N/A,#N/A,TRUE,"COMPRAS";#N/A,#N/A,TRUE,"DIRECCION";#N/A,#N/A,TRUE,"RESUMEN"}</definedName>
    <definedName name="KHGGH" hidden="1">{"via1",#N/A,TRUE,"general";"via2",#N/A,TRUE,"general";"via3",#N/A,TRUE,"general"}</definedName>
    <definedName name="khjk7" hidden="1">{"TAB1",#N/A,TRUE,"GENERAL";"TAB2",#N/A,TRUE,"GENERAL";"TAB3",#N/A,TRUE,"GENERAL";"TAB4",#N/A,TRUE,"GENERAL";"TAB5",#N/A,TRUE,"GENERAL"}</definedName>
    <definedName name="ki" hidden="1">{"uno",#N/A,FALSE,"Dist total";"COMENTARIO",#N/A,FALSE,"Ficha CODICE"}</definedName>
    <definedName name="KIA" hidden="1">{#N/A,#N/A,FALSE,"단축1";#N/A,#N/A,FALSE,"단축2";#N/A,#N/A,FALSE,"단축3";#N/A,#N/A,FALSE,"장축";#N/A,#N/A,FALSE,"4WD"}</definedName>
    <definedName name="kikik" hidden="1">{"via1",#N/A,TRUE,"general";"via2",#N/A,TRUE,"general";"via3",#N/A,TRUE,"general"}</definedName>
    <definedName name="kim" hidden="1">{#N/A,#N/A,FALSE,"TABLE"}</definedName>
    <definedName name="KITAIS">#REF!</definedName>
    <definedName name="kiulil" hidden="1">{#N/A,#N/A,FALSE,"CCTV"}</definedName>
    <definedName name="kj" hidden="1">#REF!</definedName>
    <definedName name="kjdd" hidden="1">{#N/A,#N/A,FALSE,"단축1";#N/A,#N/A,FALSE,"단축2";#N/A,#N/A,FALSE,"단축3";#N/A,#N/A,FALSE,"장축";#N/A,#N/A,FALSE,"4WD"}</definedName>
    <definedName name="KJFF" hidden="1">{#N/A,#N/A,FALSE,"TABLE"}</definedName>
    <definedName name="kjhkd" hidden="1">{"via1",#N/A,TRUE,"general";"via2",#N/A,TRUE,"general";"via3",#N/A,TRUE,"general"}</definedName>
    <definedName name="kjhlh" hidden="1">{#N/A,#N/A,FALSE,"CCTV"}</definedName>
    <definedName name="kjhljhk" hidden="1">{#N/A,#N/A,FALSE,"CCTV"}</definedName>
    <definedName name="kjj">#REF!</definedName>
    <definedName name="kjk" hidden="1">{"via1",#N/A,TRUE,"general";"via2",#N/A,TRUE,"general";"via3",#N/A,TRUE,"general"}</definedName>
    <definedName name="KJSFDSD" hidden="1">{#N/A,#N/A,FALSE,"Costos Productos 6A";#N/A,#N/A,FALSE,"Costo Unitario Total H-94-12"}</definedName>
    <definedName name="kjshdkjd" hidden="1">{"ResMN",#N/A,TRUE,"Res";"ResNegMN",#N/A,TRUE,"Res";"EEPMN",#N/A,TRUE,"EEP";"GasMN",#N/A,TRUE,"Gas";"AorGNMN",#N/A,TRUE,"Aorgas";"GenMN",#N/A,TRUE,"Gen";"AorGEMN",#N/A,TRUE,"Aorgen";"SerMN",#N/A,TRUE,"Serv";"ResME",#N/A,TRUE,"Res";"ResNegME",#N/A,TRUE,"Res";"EEPME",#N/A,TRUE,"EEP";"GasME",#N/A,TRUE,"Gas";"AorGNME",#N/A,TRUE,"Aorgas";"GenME",#N/A,TRUE,"Gen";"AorGEME",#N/A,TRUE,"Aorgen";"SerME",#N/A,TRUE,"Serv";"E_SGas",#N/A,TRUE,"Balgas";"Balenerg",#N/A,TRUE,"Balener";"Balance_MN",#N/A,TRUE,"Balance";"Balance_ME",#N/A,TRUE,"Balance"}</definedName>
    <definedName name="kjshgsv" hidden="1">{#N/A,#N/A,TRUE,"INGENIERIA";#N/A,#N/A,TRUE,"COMPRAS";#N/A,#N/A,TRUE,"DIRECCION";#N/A,#N/A,TRUE,"RESUMEN"}</definedName>
    <definedName name="kjtrkjr" hidden="1">{"via1",#N/A,TRUE,"general";"via2",#N/A,TRUE,"general";"via3",#N/A,TRUE,"general"}</definedName>
    <definedName name="KK" hidden="1">#REF!</definedName>
    <definedName name="kkk"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kkkki" hidden="1">{"via1",#N/A,TRUE,"general";"via2",#N/A,TRUE,"general";"via3",#N/A,TRUE,"general"}</definedName>
    <definedName name="kkkkk" hidden="1">{#N/A,#N/A,FALSE,"VOL695";#N/A,#N/A,FALSE,"anexo1";#N/A,#N/A,FALSE,"anexo2";#N/A,#N/A,FALSE,"anexo3";#N/A,#N/A,FALSE,"anexo4";#N/A,#N/A,FALSE,"anexo5a";#N/A,#N/A,FALSE,"anexo5b";#N/A,#N/A,FALSE,"anexo6a";#N/A,#N/A,FALSE,"anexo6a";#N/A,#N/A,FALSE,"anexo6c";#N/A,#N/A,FALSE,"anexo7a";#N/A,#N/A,FALSE,"anexo7b";#N/A,#N/A,FALSE,"anexo7c"}</definedName>
    <definedName name="KKKKKK" hidden="1">{#N/A,#N/A,FALSE,"VOL695";#N/A,#N/A,FALSE,"anexo1";#N/A,#N/A,FALSE,"anexo2";#N/A,#N/A,FALSE,"anexo3";#N/A,#N/A,FALSE,"anexo4";#N/A,#N/A,FALSE,"anexo5a";#N/A,#N/A,FALSE,"anexo5b";#N/A,#N/A,FALSE,"anexo6a";#N/A,#N/A,FALSE,"anexo6a";#N/A,#N/A,FALSE,"anexo6c";#N/A,#N/A,FALSE,"anexo7a";#N/A,#N/A,FALSE,"anexo7b";#N/A,#N/A,FALSE,"anexo7c"}</definedName>
    <definedName name="kkkkkki" hidden="1">{"TAB1",#N/A,TRUE,"GENERAL";"TAB2",#N/A,TRUE,"GENERAL";"TAB3",#N/A,TRUE,"GENERAL";"TAB4",#N/A,TRUE,"GENERAL";"TAB5",#N/A,TRUE,"GENERAL"}</definedName>
    <definedName name="kkkl" hidden="1">{#N/A,#N/A,FALSE,"신규dep";#N/A,#N/A,FALSE,"신규dep-금형상각후";#N/A,#N/A,FALSE,"신규dep-연구비상각후";#N/A,#N/A,FALSE,"신규dep-기계,공구상각후"}</definedName>
    <definedName name="kl.il.l.il" hidden="1">{#N/A,#N/A,FALSE,"Solids &amp; Flow"}</definedName>
    <definedName name="KLDSFHLS" hidden="1">{#N/A,#N/A,FALSE,"TABLE"}</definedName>
    <definedName name="klfjdh" hidden="1">{#N/A,#N/A,TRUE,"1842CWN0"}</definedName>
    <definedName name="klh" hidden="1">{#N/A,#N/A,TRUE,"INGENIERIA";#N/A,#N/A,TRUE,"COMPRAS";#N/A,#N/A,TRUE,"DIRECCION";#N/A,#N/A,TRUE,"RESUMEN"}</definedName>
    <definedName name="kljh" hidden="1">{#N/A,#N/A,FALSE,"PERSONAL"}</definedName>
    <definedName name="KLJI" hidden="1">#REF!</definedName>
    <definedName name="klsjshn"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km">#REF!</definedName>
    <definedName name="Km_m3">#REF!</definedName>
    <definedName name="KMateriales">#REF!</definedName>
    <definedName name="KMO">#REF!</definedName>
    <definedName name="KO" hidden="1">#REF!</definedName>
    <definedName name="krtrk" hidden="1">{"via1",#N/A,TRUE,"general";"via2",#N/A,TRUE,"general";"via3",#N/A,TRUE,"general"}</definedName>
    <definedName name="ks">#REF!</definedName>
    <definedName name="kshsv" hidden="1">{#N/A,#N/A,TRUE,"1842CWN0"}</definedName>
    <definedName name="ksjdk" hidden="1">{#N/A,#N/A,TRUE,"Budget";#N/A,#N/A,TRUE,"Balance Sheet";#N/A,#N/A,TRUE,"Cash Flow"}</definedName>
    <definedName name="KSubcontrata">#REF!</definedName>
    <definedName name="kui" hidden="1">{#N/A,#N/A,FALSE,"a1";#N/A,#N/A,FALSE,"a2";#N/A,#N/A,FALSE,"a3";#N/A,#N/A,FALSE,"a4a";#N/A,#N/A,FALSE,"a4B";#N/A,#N/A,FALSE,"a4C";#N/A,#N/A,FALSE,"a4D";#N/A,#N/A,FALSE,"A5a ";#N/A,#N/A,FALSE,"A5b";#N/A,#N/A,FALSE,"A6A";#N/A,#N/A,FALSE,"A6B";#N/A,#N/A,FALSE,"A6C";#N/A,#N/A,FALSE,"A6D";#N/A,#N/A,FALSE,"INV"}</definedName>
    <definedName name="KUNOP" hidden="1">{#N/A,#N/A,FALSE,"TABLE"}</definedName>
    <definedName name="KYK" hidden="1">#REF!</definedName>
    <definedName name="kyr" hidden="1">{"TAB1",#N/A,TRUE,"GENERAL";"TAB2",#N/A,TRUE,"GENERAL";"TAB3",#N/A,TRUE,"GENERAL";"TAB4",#N/A,TRUE,"GENERAL";"TAB5",#N/A,TRUE,"GENERAL"}</definedName>
    <definedName name="L" hidden="1">{"krl1",#N/A,FALSE,"kr";"krl2",#N/A,FALSE,"kr";"compara",#N/A,FALSE,"kr";"desconp1",#N/A,FALSE,"kr";"desconp12",#N/A,FALSE,"kr";"krnp1",#N/A,FALSE,"kr";"krnp2",#N/A,FALSE,"kr";"krp12avg",#N/A,FALSE,"kr";"krp1avg",#N/A,FALSE,"kr"}</definedName>
    <definedName name="L.COSTOS">#REF!</definedName>
    <definedName name="L.INGR">#REF!</definedName>
    <definedName name="L_L">#N/A</definedName>
    <definedName name="L51.01">#REF!</definedName>
    <definedName name="L51.02">#REF!</definedName>
    <definedName name="L51.03">#REF!</definedName>
    <definedName name="L51.04">#REF!</definedName>
    <definedName name="L51.05">#REF!</definedName>
    <definedName name="L51.06">#REF!</definedName>
    <definedName name="L51.07">#REF!</definedName>
    <definedName name="L51.08">#REF!</definedName>
    <definedName name="L51.1">#REF!</definedName>
    <definedName name="L51.2">#REF!</definedName>
    <definedName name="L51.3">#REF!</definedName>
    <definedName name="L51.4">#REF!</definedName>
    <definedName name="L51.5">#REF!</definedName>
    <definedName name="L52.071">#REF!</definedName>
    <definedName name="L52.072">#REF!</definedName>
    <definedName name="L52.1">#REF!</definedName>
    <definedName name="L52.11">#REF!</definedName>
    <definedName name="L52.2">#REF!</definedName>
    <definedName name="L52.3">#REF!</definedName>
    <definedName name="L52.4">#REF!</definedName>
    <definedName name="L52.5">#REF!</definedName>
    <definedName name="L52.61">#REF!</definedName>
    <definedName name="L52.62">#REF!</definedName>
    <definedName name="L52.7">#REF!</definedName>
    <definedName name="L52.8">#REF!</definedName>
    <definedName name="L52.9">#REF!</definedName>
    <definedName name="L53.1">#REF!</definedName>
    <definedName name="L53.2">#REF!</definedName>
    <definedName name="L53.4">#REF!</definedName>
    <definedName name="L53.5">#REF!</definedName>
    <definedName name="L54.1">#REF!</definedName>
    <definedName name="L54.10">#REF!</definedName>
    <definedName name="L54.3">#REF!</definedName>
    <definedName name="L54.4">#REF!</definedName>
    <definedName name="L54.5">#REF!</definedName>
    <definedName name="L54.6">#REF!</definedName>
    <definedName name="L54.7">#REF!</definedName>
    <definedName name="L54.8">#REF!</definedName>
    <definedName name="L54.9">#REF!</definedName>
    <definedName name="L55.1">#REF!</definedName>
    <definedName name="L55.2">#REF!</definedName>
    <definedName name="L55.3">#REF!</definedName>
    <definedName name="L55.4">#REF!</definedName>
    <definedName name="L55.5">#REF!</definedName>
    <definedName name="L61.3">#REF!</definedName>
    <definedName name="L63.2">#REF!</definedName>
    <definedName name="L65.1">#REF!</definedName>
    <definedName name="L65.11">#REF!</definedName>
    <definedName name="L65.12">#REF!</definedName>
    <definedName name="l65.13">#REF!</definedName>
    <definedName name="L81.0">#REF!</definedName>
    <definedName name="la">#REF!</definedName>
    <definedName name="LAB">#N/A</definedName>
    <definedName name="labor_Equipo">OFFSET(#REF!,0,0,COUNTA(#REF!),1)</definedName>
    <definedName name="LabourCost">#REF!</definedName>
    <definedName name="LAD">#REF!</definedName>
    <definedName name="LADRILLO_COMUN">#REF!</definedName>
    <definedName name="lame" hidden="1">#REF!</definedName>
    <definedName name="lamparas"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LAN_AL">#N/A</definedName>
    <definedName name="LAN_H">#N/A</definedName>
    <definedName name="LAST_PRINT">#REF!</definedName>
    <definedName name="Last_Row">#N/A</definedName>
    <definedName name="LAST_VAR_XFER">#REF!</definedName>
    <definedName name="Lastrow">#REF!</definedName>
    <definedName name="LAVAOJO">#N/A</definedName>
    <definedName name="LAVAOJO_DEP">#N/A</definedName>
    <definedName name="lb">#REF!</definedName>
    <definedName name="lbsc" hidden="1">{#N/A,#N/A,FALSE,"Solids &amp; Flow"}</definedName>
    <definedName name="ld">#REF!</definedName>
    <definedName name="leb" hidden="1">{#N/A,#N/A,TRUE,"1842CWN0"}</definedName>
    <definedName name="Left_Header" hidden="1">#REF!</definedName>
    <definedName name="Legal">#REF!</definedName>
    <definedName name="LEGALIZACIONES">#REF!,#REF!</definedName>
    <definedName name="LENTE">#N/A</definedName>
    <definedName name="LENTE_DEP">#N/A</definedName>
    <definedName name="Leverage">#REF!</definedName>
    <definedName name="lfl" hidden="1">{"uno",#N/A,FALSE,"Dist total";"COMENTARIO",#N/A,FALSE,"Ficha CODICE"}</definedName>
    <definedName name="lgioh"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LIBIA" hidden="1">{#N/A,#N/A,FALSE,"CIBHA05A";#N/A,#N/A,FALSE,"CIBHA05B"}</definedName>
    <definedName name="LIC">#REF!</definedName>
    <definedName name="LICITACION">#REF!</definedName>
    <definedName name="LifeCycle">#REF!</definedName>
    <definedName name="LIFTINGJULIO" hidden="1">{#N/A,#N/A,FALSE,"T1C97";#N/A,#N/A,FALSE,"T2C97";#N/A,#N/A,FALSE,"T3AC97";#N/A,#N/A,FALSE,"T4C97";#N/A,#N/A,FALSE,"T5C97";#N/A,#N/A,FALSE,"T6C97";#N/A,#N/A,FALSE,"T3C97";#N/A,#N/A,FALSE,"T7C97";#N/A,#N/A,FALSE,"T8C97";#N/A,#N/A,FALSE,"T9C97";#N/A,#N/A,FALSE,"T13C97"}</definedName>
    <definedName name="lili" hidden="1">{#N/A,#N/A,FALSE,"DITCAR";#N/A,#N/A,FALSE,"a1";#N/A,#N/A,FALSE,"a2";#N/A,#N/A,FALSE,"a3";#N/A,#N/A,FALSE,"a4";#N/A,#N/A,FALSE,"a4a";#N/A,#N/A,FALSE,"a4B";#N/A,#N/A,FALSE,"a4C";#N/A,#N/A,FALSE,"A5a ";#N/A,#N/A,FALSE,"A5b";#N/A,#N/A,FALSE,"A6A";#N/A,#N/A,FALSE,"A6B";#N/A,#N/A,FALSE,"A6C";#N/A,#N/A,FALSE,"04PG12NB"}</definedName>
    <definedName name="limcount" hidden="1">1</definedName>
    <definedName name="LIMP">#REF!</definedName>
    <definedName name="LIMPIADO">#REF!,#REF!,#REF!,#REF!,#REF!,#REF!,#REF!,#REF!,#REF!,#REF!,#REF!,#REF!,#REF!,#REF!,#REF!,#REF!,#REF!,#REF!,#REF!,#REF!,#REF!,#REF!,#REF!,#REF!</definedName>
    <definedName name="LIMPIAR1">#REF!,#REF!,#REF!,#REF!,#REF!,#REF!,#REF!,#REF!</definedName>
    <definedName name="line_cmpnt_id_001">#REF!</definedName>
    <definedName name="line_i_d_001">#REF!</definedName>
    <definedName name="line_id_001">#REF!</definedName>
    <definedName name="line_num_001">#REF!</definedName>
    <definedName name="line_sched_001">#REF!</definedName>
    <definedName name="line_size_001">#REF!</definedName>
    <definedName name="line_uom_001">#REF!</definedName>
    <definedName name="LINEA">#REF!</definedName>
    <definedName name="Linea_Submarina_Tumaco">#REF!</definedName>
    <definedName name="LineList">#REF!</definedName>
    <definedName name="LINE검토2" hidden="1">{#N/A,#N/A,TRUE,"Y생산";#N/A,#N/A,TRUE,"Y판매";#N/A,#N/A,TRUE,"Y총물량";#N/A,#N/A,TRUE,"Y능력";#N/A,#N/A,TRUE,"YKD"}</definedName>
    <definedName name="LIQ">#REF!</definedName>
    <definedName name="Liq_OP_Int">#REF!</definedName>
    <definedName name="LiqProps">#REF!</definedName>
    <definedName name="liquid_compres_calc_flg_001">#REF!</definedName>
    <definedName name="LIS.PER.A" hidden="1">#REF!</definedName>
    <definedName name="LIST">#REF!</definedName>
    <definedName name="List_1">#REF!</definedName>
    <definedName name="List_2">#REF!</definedName>
    <definedName name="list01" hidden="1">{#N/A,#N/A,TRUE,"Basic";#N/A,#N/A,TRUE,"EXT-TABLE";#N/A,#N/A,TRUE,"STEEL";#N/A,#N/A,TRUE,"INT-Table";#N/A,#N/A,TRUE,"STEEL";#N/A,#N/A,TRUE,"Door"}</definedName>
    <definedName name="list02" hidden="1">{#N/A,#N/A,TRUE,"Basic";#N/A,#N/A,TRUE,"EXT-TABLE";#N/A,#N/A,TRUE,"STEEL";#N/A,#N/A,TRUE,"INT-Table";#N/A,#N/A,TRUE,"STEEL";#N/A,#N/A,TRUE,"Door"}</definedName>
    <definedName name="Lista_depar">#N/A</definedName>
    <definedName name="Lista_Departamentos">#N/A</definedName>
    <definedName name="Lista_Nombres">#REF!</definedName>
    <definedName name="Listado">#REF!</definedName>
    <definedName name="ListaEquipos">#REF!</definedName>
    <definedName name="ListaPersonal">#REF!</definedName>
    <definedName name="LISTAYRUTCC">#REF!</definedName>
    <definedName name="listing2">#REF!</definedName>
    <definedName name="listt"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ListTags">#REF!</definedName>
    <definedName name="liuoo" hidden="1">{"TAB1",#N/A,TRUE,"GENERAL";"TAB2",#N/A,TRUE,"GENERAL";"TAB3",#N/A,TRUE,"GENERAL";"TAB4",#N/A,TRUE,"GENERAL";"TAB5",#N/A,TRUE,"GENERAL"}</definedName>
    <definedName name="LJ" hidden="1">#REF!</definedName>
    <definedName name="LJAHH" hidden="1">{#N/A,#N/A,FALSE,"TABLE"}</definedName>
    <definedName name="ljjnkjn" hidden="1">#REF!</definedName>
    <definedName name="LJKL" hidden="1">{#N/A,#N/A,FALSE,"TABLE"}</definedName>
    <definedName name="ljs" hidden="1">{#N/A,#N/A,FALSE,"Solids &amp; Flow"}</definedName>
    <definedName name="lkdjsfl" hidden="1">{"'표지'!$B$5"}</definedName>
    <definedName name="LKHGFDF" hidden="1">{#N/A,#N/A,TRUE,"Y생산";#N/A,#N/A,TRUE,"Y판매";#N/A,#N/A,TRUE,"Y총물량";#N/A,#N/A,TRUE,"Y능력";#N/A,#N/A,TRUE,"YKD"}</definedName>
    <definedName name="lkj" hidden="1">{"via1",#N/A,TRUE,"general";"via2",#N/A,TRUE,"general";"via3",#N/A,TRUE,"general"}</definedName>
    <definedName name="lkjj" hidden="1">{#N/A,#N/A,FALSE,"Solids Only"}</definedName>
    <definedName name="LKJLJK" hidden="1">{"TAB1",#N/A,TRUE,"GENERAL";"TAB2",#N/A,TRUE,"GENERAL";"TAB3",#N/A,TRUE,"GENERAL";"TAB4",#N/A,TRUE,"GENERAL";"TAB5",#N/A,TRUE,"GENERAL"}</definedName>
    <definedName name="lklhlkjl" hidden="1">{#N/A,#N/A,FALSE,"CCTV"}</definedName>
    <definedName name="lklk" hidden="1">{#N/A,#N/A,FALSE,"P &amp; L";#N/A,#N/A,FALSE,"Balance Sheet";#N/A,#N/A,FALSE,"Cash Flow"}</definedName>
    <definedName name="lksjks" hidden="1">{#N/A,#N/A,TRUE,"INGENIERIA";#N/A,#N/A,TRUE,"COMPRAS";#N/A,#N/A,TRUE,"DIRECCION";#N/A,#N/A,TRUE,"RESUMEN"}</definedName>
    <definedName name="ll">#REF!</definedName>
    <definedName name="lll">#N/A</definedName>
    <definedName name="LLLL">#REF!</definedName>
    <definedName name="lllllh" hidden="1">{"via1",#N/A,TRUE,"general";"via2",#N/A,TRUE,"general";"via3",#N/A,TRUE,"general"}</definedName>
    <definedName name="LLLLLLLLLK09" hidden="1">#REF!</definedName>
    <definedName name="lllllllo" hidden="1">{"via1",#N/A,TRUE,"general";"via2",#N/A,TRUE,"general";"via3",#N/A,TRUE,"general"}</definedName>
    <definedName name="lllmgf" hidden="1">{#N/A,#N/A,TRUE,"INGENIERIA";#N/A,#N/A,TRUE,"COMPRAS";#N/A,#N/A,TRUE,"DIRECCION";#N/A,#N/A,TRUE,"RESUMEN"}</definedName>
    <definedName name="LLuvias">#REF!</definedName>
    <definedName name="LM_COST">#REF!</definedName>
    <definedName name="LM_DATES">#REF!</definedName>
    <definedName name="LM_DEBTOR">#REF!</definedName>
    <definedName name="LM_FCST">#REF!</definedName>
    <definedName name="LM_MHR">#REF!</definedName>
    <definedName name="LM_OVERDUE">#REF!</definedName>
    <definedName name="LM_RISK">#REF!</definedName>
    <definedName name="LM_STATUS">#REF!</definedName>
    <definedName name="LM_TIC">#REF!</definedName>
    <definedName name="lmn" hidden="1">{#N/A,#N/A,TRUE,"INGENIERIA";#N/A,#N/A,TRUE,"COMPRAS";#N/A,#N/A,TRUE,"DIRECCION";#N/A,#N/A,TRUE,"RESUMEN"}</definedName>
    <definedName name="lñçlç" hidden="1">#REF!</definedName>
    <definedName name="lo">#REF!</definedName>
    <definedName name="load_watt_001">#REF!</definedName>
    <definedName name="Loan_Amount">#REF!</definedName>
    <definedName name="Loan_Start">#REF!</definedName>
    <definedName name="Loan_Years">#REF!</definedName>
    <definedName name="loc">#REF!</definedName>
    <definedName name="LOCA">#REF!</definedName>
    <definedName name="LOCA1">#REF!</definedName>
    <definedName name="LOCAL">#REF!</definedName>
    <definedName name="LOCAL_MYSQL_DATE_FORMAT" localSheetId="0">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IZACIÓN_Y_REPLANTEO._ESTRUCTURAS">#REF!</definedName>
    <definedName name="location">#REF!</definedName>
    <definedName name="loco" hidden="1">{#N/A,#N/A,FALSE,"masez (10)";#N/A,#N/A,FALSE,"masez (7)";#N/A,#N/A,FALSE,"masez (6)";#N/A,#N/A,FALSE,"masez (5)";#N/A,#N/A,FALSE,"masez (4)";#N/A,#N/A,FALSE,"masez (3)";#N/A,#N/A,FALSE,"masez (2)";#N/A,#N/A,FALSE,"GME";#N/A,#N/A,FALSE,"masez"}</definedName>
    <definedName name="lod" hidden="1">#N/A</definedName>
    <definedName name="loe" hidden="1">{"'5'!$A$1:$BB$147"}</definedName>
    <definedName name="LogicDiagrams">#REF!</definedName>
    <definedName name="logo_001">#REF!</definedName>
    <definedName name="loiuyu" hidden="1">{#N/A,#N/A,FALSE,"´UA";#N/A,#N/A,FALSE,"´UA";#N/A,#N/A,FALSE,"´UA";#N/A,#N/A,FALSE,"Aa";#N/A,#N/A,FALSE,"4WD"}</definedName>
    <definedName name="lolol" hidden="1">{"TAB1",#N/A,TRUE,"GENERAL";"TAB2",#N/A,TRUE,"GENERAL";"TAB3",#N/A,TRUE,"GENERAL";"TAB4",#N/A,TRUE,"GENERAL";"TAB5",#N/A,TRUE,"GENERAL"}</definedName>
    <definedName name="LONG">#REF!</definedName>
    <definedName name="Longitud">#REF!</definedName>
    <definedName name="Longitud1">#REF!</definedName>
    <definedName name="Longitud2">#REF!</definedName>
    <definedName name="LongitudTubo">IF(COUNT(#REF!)=0,0,ABS(#REF!))</definedName>
    <definedName name="LongLead">#REF!</definedName>
    <definedName name="LOPE">#REF!</definedName>
    <definedName name="lopi" hidden="1">{#N/A,#N/A,FALSE,"단축1";#N/A,#N/A,FALSE,"단축2";#N/A,#N/A,FALSE,"단축3";#N/A,#N/A,FALSE,"장축";#N/A,#N/A,FALSE,"4WD"}</definedName>
    <definedName name="LOT" hidden="1">{#N/A,#N/A,FALSE,"SMT1";#N/A,#N/A,FALSE,"SMT2";#N/A,#N/A,FALSE,"Summary";#N/A,#N/A,FALSE,"Graphs";#N/A,#N/A,FALSE,"4 Panel"}</definedName>
    <definedName name="lots" hidden="1">{#N/A,#N/A,FALSE,"Total_OC015";#N/A,#N/A,FALSE,"ADMIN";#N/A,#N/A,FALSE,"PROCES";#N/A,#N/A,FALSE,"mecan";#N/A,#N/A,FALSE,"civil";#N/A,#N/A,FALSE,"CAÑER";#N/A,#N/A,FALSE,"ELEC";#N/A,#N/A,FALSE,"INSTR"}</definedName>
    <definedName name="louyrr" hidden="1">{#N/A,#N/A,FALSE,"단축1";#N/A,#N/A,FALSE,"단축2";#N/A,#N/A,FALSE,"단축3";#N/A,#N/A,FALSE,"장축";#N/A,#N/A,FALSE,"4WD"}</definedName>
    <definedName name="Low_Def">#REF!</definedName>
    <definedName name="LOWBOY">#N/A</definedName>
    <definedName name="LowDefBegin">#REF!</definedName>
    <definedName name="lp">#REF!</definedName>
    <definedName name="lplpl" hidden="1">{"via1",#N/A,TRUE,"general";"via2",#N/A,TRUE,"general";"via3",#N/A,TRUE,"general"}</definedName>
    <definedName name="LPOU" hidden="1">#REF!</definedName>
    <definedName name="lps" hidden="1">{#N/A,#N/A,FALSE,"단축1";#N/A,#N/A,FALSE,"단축2";#N/A,#N/A,FALSE,"단축3";#N/A,#N/A,FALSE,"장축";#N/A,#N/A,FALSE,"4WD"}</definedName>
    <definedName name="lpt">#REF!</definedName>
    <definedName name="lsb" hidden="1">{#N/A,#N/A,TRUE,"1842CWN0"}</definedName>
    <definedName name="LSKDK" hidden="1">{#N/A,#N/A,FALSE,"TABLE"}</definedName>
    <definedName name="lsksk" hidden="1">{#N/A,#N/A,TRUE,"1842CWN0"}</definedName>
    <definedName name="LSL">#REF!</definedName>
    <definedName name="Lt">#REF!</definedName>
    <definedName name="LTC">#REF!</definedName>
    <definedName name="LUB">#N/A</definedName>
    <definedName name="Lub_1">#REF!</definedName>
    <definedName name="Lub_2">#REF!</definedName>
    <definedName name="Lub_3">#REF!</definedName>
    <definedName name="LUB_UNT">#N/A</definedName>
    <definedName name="LUBRICANTE">#REF!</definedName>
    <definedName name="lucr" hidden="1">#REF!</definedName>
    <definedName name="Lugar_ocurrencia">#REF!</definedName>
    <definedName name="Lugaruso">#REF!</definedName>
    <definedName name="lui" hidden="1">{"uno",#N/A,FALSE,"Dist total";"COMENTARIO",#N/A,FALSE,"Ficha CODICE"}</definedName>
    <definedName name="luis" hidden="1">{"CONSEJO",#N/A,FALSE,"Dist p0";"CONSEJO",#N/A,FALSE,"Ficha CODICE"}</definedName>
    <definedName name="luisin" hidden="1">{"uno",#N/A,FALSE,"Dist total";"COMENTARIO",#N/A,FALSE,"Ficha CODICE"}</definedName>
    <definedName name="lv">#REF!</definedName>
    <definedName name="LV_MTR_Volts">#REF!</definedName>
    <definedName name="LV_NonMTR_Volts">#REF!</definedName>
    <definedName name="lvc" hidden="1">{#N/A,#N/A,TRUE,"1842CWN0"}</definedName>
    <definedName name="M" hidden="1">{#N/A,#N/A,FALSE,"P &amp; L";#N/A,#N/A,FALSE,"Balance Sheet";#N/A,#N/A,FALSE,"Cash Flow"}</definedName>
    <definedName name="M.HOURS">#REF!</definedName>
    <definedName name="M_O">#REF!</definedName>
    <definedName name="M_OBRA">#N/A</definedName>
    <definedName name="m2a" hidden="1">{#N/A,#N/A,FALSE,"masez (10)";#N/A,#N/A,FALSE,"masez (7)";#N/A,#N/A,FALSE,"masez (6)";#N/A,#N/A,FALSE,"masez (5)";#N/A,#N/A,FALSE,"masez (4)";#N/A,#N/A,FALSE,"masez (3)";#N/A,#N/A,FALSE,"masez (2)";#N/A,#N/A,FALSE,"GME";#N/A,#N/A,FALSE,"masez"}</definedName>
    <definedName name="M51.01">#REF!</definedName>
    <definedName name="M51.02">#REF!</definedName>
    <definedName name="M51.03">#REF!</definedName>
    <definedName name="M51.04">#REF!</definedName>
    <definedName name="M51.05">#REF!</definedName>
    <definedName name="M51.06">#REF!</definedName>
    <definedName name="M51.07">#REF!</definedName>
    <definedName name="M51.08">#REF!</definedName>
    <definedName name="M51.1">#REF!</definedName>
    <definedName name="M51.2">#REF!</definedName>
    <definedName name="M51.3">#REF!</definedName>
    <definedName name="M51.4">#REF!</definedName>
    <definedName name="M51.5">#REF!</definedName>
    <definedName name="M52.071">#REF!</definedName>
    <definedName name="M52.072">#REF!</definedName>
    <definedName name="M52.1">#REF!</definedName>
    <definedName name="M52.11">#REF!</definedName>
    <definedName name="M52.2">#REF!</definedName>
    <definedName name="M52.3">#REF!</definedName>
    <definedName name="M52.4">#REF!</definedName>
    <definedName name="M52.5">#REF!</definedName>
    <definedName name="M52.61">#REF!</definedName>
    <definedName name="M52.62">#REF!</definedName>
    <definedName name="M52.7">#REF!</definedName>
    <definedName name="M52.8">#REF!</definedName>
    <definedName name="M52.9">#REF!</definedName>
    <definedName name="M53.1">#REF!</definedName>
    <definedName name="M53.2">#REF!</definedName>
    <definedName name="M53.4">#REF!</definedName>
    <definedName name="M53.5">#REF!</definedName>
    <definedName name="M54.1">#REF!</definedName>
    <definedName name="M54.10">#REF!</definedName>
    <definedName name="M54.3">#REF!</definedName>
    <definedName name="M54.4">#REF!</definedName>
    <definedName name="M54.5">#REF!</definedName>
    <definedName name="M54.6">#REF!</definedName>
    <definedName name="M54.7">#REF!</definedName>
    <definedName name="M54.8">#REF!</definedName>
    <definedName name="M54.9">#REF!</definedName>
    <definedName name="M55.1">#REF!</definedName>
    <definedName name="M55.2">#REF!</definedName>
    <definedName name="M55.3">#REF!</definedName>
    <definedName name="M55.4">#REF!</definedName>
    <definedName name="M55.5">#REF!</definedName>
    <definedName name="M61.3">#REF!</definedName>
    <definedName name="M63.2">#REF!</definedName>
    <definedName name="M65.1">#REF!</definedName>
    <definedName name="M65.11">#REF!</definedName>
    <definedName name="m65.13">#REF!</definedName>
    <definedName name="M81.0">#REF!</definedName>
    <definedName name="MACRDEL">#REF!</definedName>
    <definedName name="Macro1">#REF!</definedName>
    <definedName name="maestra">#REF!</definedName>
    <definedName name="mafdsf" hidden="1">{"via1",#N/A,TRUE,"general";"via2",#N/A,TRUE,"general";"via3",#N/A,TRUE,"general"}</definedName>
    <definedName name="Magnitud">#REF!</definedName>
    <definedName name="MaintenancePhilosophy">#REF!</definedName>
    <definedName name="majkfjkef" hidden="1">#REF!</definedName>
    <definedName name="major">#REF!</definedName>
    <definedName name="mama" hidden="1">#REF!</definedName>
    <definedName name="MAN">#REF!</definedName>
    <definedName name="MANB1">#REF!</definedName>
    <definedName name="MANB2">#REF!</definedName>
    <definedName name="MANB3">#REF!</definedName>
    <definedName name="MANC1">#REF!</definedName>
    <definedName name="MANC2">#REF!</definedName>
    <definedName name="MANCAR">#REF!</definedName>
    <definedName name="MANCO">#REF!</definedName>
    <definedName name="MANEX">#REF!</definedName>
    <definedName name="MANIF_MOV">#N/A</definedName>
    <definedName name="MANIFOLD">#N/A</definedName>
    <definedName name="manish" hidden="1">{#N/A,#N/A,FALSE,"단축1";#N/A,#N/A,FALSE,"단축2";#N/A,#N/A,FALSE,"단축3";#N/A,#N/A,FALSE,"장축";#N/A,#N/A,FALSE,"4WD"}</definedName>
    <definedName name="MANMO">#REF!</definedName>
    <definedName name="MANO">#REF!</definedName>
    <definedName name="Mano_de_Obra">#REF!</definedName>
    <definedName name="mano_obra_apoyo">#REF!</definedName>
    <definedName name="mano_obra_direccion">#REF!</definedName>
    <definedName name="MANO_OBRA_DIRECTA">#REF!</definedName>
    <definedName name="ManoDeObra">#REF!</definedName>
    <definedName name="manohar" hidden="1">{#N/A,#N/A,FALSE,"단축1";#N/A,#N/A,FALSE,"단축2";#N/A,#N/A,FALSE,"단축3";#N/A,#N/A,FALSE,"장축";#N/A,#N/A,FALSE,"4WD"}</definedName>
    <definedName name="MANOOBRA">#REF!</definedName>
    <definedName name="ManPower_Tankage"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MANSOL">#REF!</definedName>
    <definedName name="MANT">#N/A</definedName>
    <definedName name="MANV">#REF!</definedName>
    <definedName name="MANVOL">#REF!</definedName>
    <definedName name="mao" hidden="1">{"TAB1",#N/A,TRUE,"GENERAL";"TAB2",#N/A,TRUE,"GENERAL";"TAB3",#N/A,TRUE,"GENERAL";"TAB4",#N/A,TRUE,"GENERAL";"TAB5",#N/A,TRUE,"GENERAL"}</definedName>
    <definedName name="maow" hidden="1">{"via1",#N/A,TRUE,"general";"via2",#N/A,TRUE,"general";"via3",#N/A,TRUE,"general"}</definedName>
    <definedName name="MAPACHE">#REF!</definedName>
    <definedName name="MAQUINAR">#REF!</definedName>
    <definedName name="Maquinaria">#REF!</definedName>
    <definedName name="MAQUINARIA_Y_EQUIPOS">#REF!</definedName>
    <definedName name="mar_20">#REF!</definedName>
    <definedName name="mar_21">#REF!</definedName>
    <definedName name="marañon" hidden="1">#REF!</definedName>
    <definedName name="maricada" hidden="1">{#N/A,#N/A,FALSE,"Solids Only"}</definedName>
    <definedName name="Maritimos_Cartagena">#REF!</definedName>
    <definedName name="MarketStrategy">#REF!</definedName>
    <definedName name="masor" hidden="1">{"via1",#N/A,TRUE,"general";"via2",#N/A,TRUE,"general";"via3",#N/A,TRUE,"general"}</definedName>
    <definedName name="master_cmpnt_id_001">#REF!</definedName>
    <definedName name="MAT">#REF!</definedName>
    <definedName name="MAT_IT_1">#REF!</definedName>
    <definedName name="MAT_IT_10">#REF!</definedName>
    <definedName name="MAT_IT_11">#REF!</definedName>
    <definedName name="MAT_IT_12">#REF!</definedName>
    <definedName name="MAT_IT_13">#REF!</definedName>
    <definedName name="MAT_IT_14">#REF!</definedName>
    <definedName name="MAT_IT_15">#REF!</definedName>
    <definedName name="MAT_IT_16">#REF!</definedName>
    <definedName name="MAT_IT_17">#REF!</definedName>
    <definedName name="MAT_IT_18">#REF!</definedName>
    <definedName name="MAT_IT_19">#REF!</definedName>
    <definedName name="MAT_IT_2">#REF!</definedName>
    <definedName name="MAT_IT_20">#REF!</definedName>
    <definedName name="MAT_IT_21">#REF!</definedName>
    <definedName name="MAT_IT_22">#REF!</definedName>
    <definedName name="MAT_IT_23">#REF!</definedName>
    <definedName name="MAT_IT_24">#REF!</definedName>
    <definedName name="MAT_IT_3">#REF!</definedName>
    <definedName name="MAT_IT_4">#REF!</definedName>
    <definedName name="MAT_IT_5">#REF!</definedName>
    <definedName name="MAT_IT_6">#REF!</definedName>
    <definedName name="MAT_IT_7">#REF!</definedName>
    <definedName name="MAT_IT_8">#REF!</definedName>
    <definedName name="MAT_IT_9">#REF!</definedName>
    <definedName name="MAT_OBRA">#N/A</definedName>
    <definedName name="MATCONMANIFOLD">#REF!</definedName>
    <definedName name="mate">#REF!</definedName>
    <definedName name="MATER">#REF!</definedName>
    <definedName name="MATERIAL">#REF!</definedName>
    <definedName name="MATERIAL_AMARILLO_SELECCIONADO">#REF!</definedName>
    <definedName name="MaterialCost">#REF!</definedName>
    <definedName name="Materiales">#REF!</definedName>
    <definedName name="MATERIALES_2">#REF!</definedName>
    <definedName name="MATRIZ" hidden="1">#REF!</definedName>
    <definedName name="MATRIZ_VQ">#REF!</definedName>
    <definedName name="MATRIZRICS">#REF!</definedName>
    <definedName name="Matrizvq">#REF!</definedName>
    <definedName name="MATSINMANIFOLD">#REF!</definedName>
    <definedName name="MAX">#REF!</definedName>
    <definedName name="max_kVA">#REF!</definedName>
    <definedName name="max_kW">#REF!</definedName>
    <definedName name="may" hidden="1">#REF!</definedName>
    <definedName name="may_20">#REF!</definedName>
    <definedName name="may_21">#REF!</definedName>
    <definedName name="MAYO">#REF!</definedName>
    <definedName name="mayte" hidden="1">{#N/A,#N/A,FALSE,"QsumREG";#N/A,#N/A,FALSE,"Reg";#N/A,#N/A,FALSE,"QsumPSL";#N/A,#N/A,FALSE,"PSL";#N/A,#N/A,FALSE,"fcstsum";#N/A,#N/A,FALSE,"cntsprt"}</definedName>
    <definedName name="MB" hidden="1">{#N/A,#N/A,FALSE,"PXP-TOTAL Modif";"vis2",#N/A,FALSE,"PXP-AÑO";"Vis1",#N/A,FALSE,"PXP-AÑO"}</definedName>
    <definedName name="MBLQM" hidden="1">#REF!</definedName>
    <definedName name="MBNFV" hidden="1">{#N/A,#N/A,FALSE,"TABLE"}</definedName>
    <definedName name="MC_RACur">#REF!</definedName>
    <definedName name="MCC">#REF!</definedName>
    <definedName name="MCCO" hidden="1">{#N/A,#N/A,FALSE,"CCTV"}</definedName>
    <definedName name="MCCO10" hidden="1">{#N/A,#N/A,FALSE,"CCTV"}</definedName>
    <definedName name="MCCO11" hidden="1">{#N/A,#N/A,FALSE,"CCTV"}</definedName>
    <definedName name="MCCO12" hidden="1">{#N/A,#N/A,FALSE,"CCTV"}</definedName>
    <definedName name="MCCO13" hidden="1">{#N/A,#N/A,FALSE,"CCTV"}</definedName>
    <definedName name="MCCO3" hidden="1">{#N/A,#N/A,FALSE,"CCTV"}</definedName>
    <definedName name="MCCO4" hidden="1">{#N/A,#N/A,FALSE,"CCTV"}</definedName>
    <definedName name="MCCO5" hidden="1">{#N/A,#N/A,FALSE,"CCTV"}</definedName>
    <definedName name="MCCO6" hidden="1">{#N/A,#N/A,FALSE,"CCTV"}</definedName>
    <definedName name="MCCO7" hidden="1">{#N/A,#N/A,FALSE,"CCTV"}</definedName>
    <definedName name="MCCO8" hidden="1">{#N/A,#N/A,FALSE,"CCTV"}</definedName>
    <definedName name="MCCO9" hidden="1">{#N/A,#N/A,FALSE,"CCTV"}</definedName>
    <definedName name="MCCOÙ" hidden="1">{#N/A,#N/A,FALSE,"CCTV"}</definedName>
    <definedName name="MCEP">#REF!</definedName>
    <definedName name="MCITM">#REF!</definedName>
    <definedName name="mdd" hidden="1">{"via1",#N/A,TRUE,"general";"via2",#N/A,TRUE,"general";"via3",#N/A,TRUE,"general"}</definedName>
    <definedName name="MEC">#N/A</definedName>
    <definedName name="MEC_FBC">#N/A</definedName>
    <definedName name="mecanico" hidden="1">{"vista 1",#N/A,FALSE,"CMP";"vista 2",#N/A,FALSE,"CMP"}</definedName>
    <definedName name="MED">#N/A</definedName>
    <definedName name="MEDIDOR">#REF!</definedName>
    <definedName name="meg" hidden="1">{"TAB1",#N/A,TRUE,"GENERAL";"TAB2",#N/A,TRUE,"GENERAL";"TAB3",#N/A,TRUE,"GENERAL";"TAB4",#N/A,TRUE,"GENERAL";"TAB5",#N/A,TRUE,"GENERAL"}</definedName>
    <definedName name="MEJORA">#REF!</definedName>
    <definedName name="mem" hidden="1">{#N/A,#N/A,FALSE,"Costos Productos 6A";#N/A,#N/A,FALSE,"Costo Unitario Total H-94-12"}</definedName>
    <definedName name="memorias" hidden="1">{#N/A,#N/A,FALSE,"CIBHA05A";#N/A,#N/A,FALSE,"CIBHA05B"}</definedName>
    <definedName name="MEMPYGH" hidden="1">{#N/A,#N/A,FALSE,"Costos Productos 6A";#N/A,#N/A,FALSE,"Costo Unitario Total H-94-12"}</definedName>
    <definedName name="MEMPYGH_1" hidden="1">{#N/A,#N/A,FALSE,"Costos Productos 6A";#N/A,#N/A,FALSE,"Costo Unitario Total H-94-12"}</definedName>
    <definedName name="MEMPYGHIS" hidden="1">{#N/A,#N/A,FALSE,"VOL695";#N/A,#N/A,FALSE,"anexo1";#N/A,#N/A,FALSE,"anexo2";#N/A,#N/A,FALSE,"anexo3";#N/A,#N/A,FALSE,"anexo4";#N/A,#N/A,FALSE,"anexo5a";#N/A,#N/A,FALSE,"anexo5b";#N/A,#N/A,FALSE,"anexo6a";#N/A,#N/A,FALSE,"anexo6a";#N/A,#N/A,FALSE,"anexo6c";#N/A,#N/A,FALSE,"anexo7a";#N/A,#N/A,FALSE,"anexo7b";#N/A,#N/A,FALSE,"anexo7c"}</definedName>
    <definedName name="MEMPYGHIS_1" hidden="1">{#N/A,#N/A,FALSE,"VOL695";#N/A,#N/A,FALSE,"anexo1";#N/A,#N/A,FALSE,"anexo2";#N/A,#N/A,FALSE,"anexo3";#N/A,#N/A,FALSE,"anexo4";#N/A,#N/A,FALSE,"anexo5a";#N/A,#N/A,FALSE,"anexo5b";#N/A,#N/A,FALSE,"anexo6a";#N/A,#N/A,FALSE,"anexo6a";#N/A,#N/A,FALSE,"anexo6c";#N/A,#N/A,FALSE,"anexo7a";#N/A,#N/A,FALSE,"anexo7b";#N/A,#N/A,FALSE,"anexo7c"}</definedName>
    <definedName name="Menu" hidden="1">#REF!</definedName>
    <definedName name="MENU1">#REF!</definedName>
    <definedName name="MENU2">#REF!</definedName>
    <definedName name="MENU3">#REF!</definedName>
    <definedName name="MENU4">#REF!</definedName>
    <definedName name="MENU5">#REF!</definedName>
    <definedName name="MENU6">#REF!</definedName>
    <definedName name="mes">#REF!</definedName>
    <definedName name="MÊS">#REF!</definedName>
    <definedName name="mes1a">#REF!</definedName>
    <definedName name="mes2a">#REF!</definedName>
    <definedName name="mes3a">#REF!</definedName>
    <definedName name="MesCotiz">#REF!</definedName>
    <definedName name="MESES">#REF!</definedName>
    <definedName name="MESES1">OFFSET(#REF!,#REF!,0,#REF!,1)</definedName>
    <definedName name="MESES2">OFFSET(#REF!,#REF!,0,#REF!,1)</definedName>
    <definedName name="MesesMora">#REF!</definedName>
    <definedName name="met" hidden="1">{#N/A,#N/A,TRUE,"1842CWN0"}</definedName>
    <definedName name="meta">#REF!</definedName>
    <definedName name="metal" hidden="1">{#N/A,#N/A,TRUE,"1842CWN0"}</definedName>
    <definedName name="METAPRO1">#REF!</definedName>
    <definedName name="METAPRO10">#REF!</definedName>
    <definedName name="METAPRO6">#REF!</definedName>
    <definedName name="METAPRO7">#REF!</definedName>
    <definedName name="METAPRO8">#REF!</definedName>
    <definedName name="METAPRO9">#REF!</definedName>
    <definedName name="METH" hidden="1">#REF!</definedName>
    <definedName name="METMQET" hidden="1">#REF!</definedName>
    <definedName name="METQ´HM" hidden="1">#REF!</definedName>
    <definedName name="MEZCLADORA_DE_CONCRETO">#REF!</definedName>
    <definedName name="MFBAFMBAB" hidden="1">#REF!</definedName>
    <definedName name="MFGBSLD" hidden="1">#REF!</definedName>
    <definedName name="mfgjrdt" hidden="1">{"TAB1",#N/A,TRUE,"GENERAL";"TAB2",#N/A,TRUE,"GENERAL";"TAB3",#N/A,TRUE,"GENERAL";"TAB4",#N/A,TRUE,"GENERAL";"TAB5",#N/A,TRUE,"GENERAL"}</definedName>
    <definedName name="mgddss" hidden="1">{#N/A,#N/A,FALSE,"단축1";#N/A,#N/A,FALSE,"단축2";#N/A,#N/A,FALSE,"단축3";#N/A,#N/A,FALSE,"장축";#N/A,#N/A,FALSE,"4WD"}</definedName>
    <definedName name="mghm" hidden="1">{"via1",#N/A,TRUE,"general";"via2",#N/A,TRUE,"general";"via3",#N/A,TRUE,"general"}</definedName>
    <definedName name="mh">#REF!</definedName>
    <definedName name="MH51.01">#REF!</definedName>
    <definedName name="MH51.02">#REF!</definedName>
    <definedName name="MH51.03">#REF!</definedName>
    <definedName name="MH51.04">#REF!</definedName>
    <definedName name="MH51.05">#REF!</definedName>
    <definedName name="MH51.06">#REF!</definedName>
    <definedName name="MH51.07">#REF!</definedName>
    <definedName name="MH51.08">#REF!</definedName>
    <definedName name="MH51.1">#REF!</definedName>
    <definedName name="MH51.2">#REF!</definedName>
    <definedName name="MH51.3">#REF!</definedName>
    <definedName name="MH51.4">#REF!</definedName>
    <definedName name="MH51.5">#REF!</definedName>
    <definedName name="MH52.071">#REF!</definedName>
    <definedName name="MH52.072">#REF!</definedName>
    <definedName name="MH52.1">#REF!</definedName>
    <definedName name="MH52.11">#REF!</definedName>
    <definedName name="MH52.2">#REF!</definedName>
    <definedName name="MH52.3">#REF!</definedName>
    <definedName name="MH52.4">#REF!</definedName>
    <definedName name="MH52.5">#REF!</definedName>
    <definedName name="MH52.61">#REF!</definedName>
    <definedName name="MH52.62">#REF!</definedName>
    <definedName name="MH52.7">#REF!</definedName>
    <definedName name="MH52.8">#REF!</definedName>
    <definedName name="MH52.9">#REF!</definedName>
    <definedName name="MH53.1">#REF!</definedName>
    <definedName name="MH53.2">#REF!</definedName>
    <definedName name="MH53.4">#REF!</definedName>
    <definedName name="MH53.5">#REF!</definedName>
    <definedName name="MH54.1">#REF!</definedName>
    <definedName name="MH54.10">#REF!</definedName>
    <definedName name="MH54.2">#REF!</definedName>
    <definedName name="MH54.3">#REF!</definedName>
    <definedName name="MH54.4">#REF!</definedName>
    <definedName name="MH54.5">#REF!</definedName>
    <definedName name="MH54.6">#REF!</definedName>
    <definedName name="MH54.7">#REF!</definedName>
    <definedName name="MH54.8">#REF!</definedName>
    <definedName name="MH54.9">#REF!</definedName>
    <definedName name="MH55.1">#REF!</definedName>
    <definedName name="MH55.2">#REF!</definedName>
    <definedName name="MH55.3">#REF!</definedName>
    <definedName name="MH55.4">#REF!</definedName>
    <definedName name="MH55.5">#REF!</definedName>
    <definedName name="MH61.3">#REF!</definedName>
    <definedName name="MH63.2">#REF!</definedName>
    <definedName name="MH65.1">#REF!</definedName>
    <definedName name="MH65.11">#REF!</definedName>
    <definedName name="mh65.13">#REF!</definedName>
    <definedName name="MH81.0">#REF!</definedName>
    <definedName name="mhdd" hidden="1">{#N/A,#N/A,FALSE,"견적대비-2"}</definedName>
    <definedName name="MHE" hidden="1">#REF!</definedName>
    <definedName name="MI">#REF!</definedName>
    <definedName name="Mi_Salida">#REF!</definedName>
    <definedName name="miColumna">#REF!</definedName>
    <definedName name="mifila">#REF!</definedName>
    <definedName name="mik" hidden="1">{#N/A,#N/A,FALSE,"TABLE"}</definedName>
    <definedName name="milo" hidden="1">{#N/A,#N/A,FALSE,"Fact Sheet Table 1";#N/A,#N/A,FALSE,"Budget &amp; Plan Goals Table 2";#N/A,#N/A,FALSE,"2001 OL vs 2002 Budget Table 3";#N/A,#N/A,FALSE,"2001 OL vs 2002 Budget Table 3A";#N/A,#N/A,FALSE,"Risks &amp; Ops Table 4";#N/A,#N/A,FALSE,"Value Build-Up By Layer Table 5";#N/A,#N/A,FALSE,"Production &amp; Reserve Table 6A";#N/A,#N/A,FALSE,"Production &amp; Reserve Table 6B";#N/A,#N/A,FALSE,"Development Projects Table 7";#N/A,#N/A,FALSE,"Development Projects Table 7A";#N/A,#N/A,FALSE,"Exploration Inventory Table 8";#N/A,#N/A,FALSE,"2002 Capital Summary Table 9";#N/A,#N/A,FALSE,"Cost center, SG&amp;A Table 10";#N/A,#N/A,FALSE,"Outstanding AFEs Table 11 ";#N/A,#N/A,FALSE,"Table 12 PAFEA";#N/A,#N/A,FALSE,"Table 12 PAFEB";#N/A,#N/A,FALSE,"Reference Formats";#N/A,#N/A,FALSE,"Program AFE PAGE1";#N/A,#N/A,FALSE,"Program AFE PAGE 2";#N/A,#N/A,FALSE,"Program AFE PAGE3";#N/A,#N/A,FALSE,"PostAuditA";#N/A,#N/A,FALSE,"PostAuditB"}</definedName>
    <definedName name="Minproc">#REF!</definedName>
    <definedName name="MIO">#REF!</definedName>
    <definedName name="miol" hidden="1">#REF!</definedName>
    <definedName name="mj" hidden="1">{#N/A,#N/A,TRUE,"1842CWN0"}</definedName>
    <definedName name="MJKJK" hidden="1">#REF!</definedName>
    <definedName name="mjliuttt" hidden="1">{#N/A,#N/A,FALSE,"단축1";#N/A,#N/A,FALSE,"단축2";#N/A,#N/A,FALSE,"단축3";#N/A,#N/A,FALSE,"장축";#N/A,#N/A,FALSE,"4WD"}</definedName>
    <definedName name="mjmio">#REF!</definedName>
    <definedName name="mjmj" hidden="1">{"via1",#N/A,TRUE,"general";"via2",#N/A,TRUE,"general";"via3",#N/A,TRUE,"general"}</definedName>
    <definedName name="mjmjmn" hidden="1">{"via1",#N/A,TRUE,"general";"via2",#N/A,TRUE,"general";"via3",#N/A,TRUE,"general"}</definedName>
    <definedName name="mjnhgkio" hidden="1">{"via1",#N/A,TRUE,"general";"via2",#N/A,TRUE,"general";"via3",#N/A,TRUE,"general"}</definedName>
    <definedName name="MJU" hidden="1">{#N/A,#N/A,FALSE,"TABLE"}</definedName>
    <definedName name="mjyt" hidden="1">{#N/A,#N/A,FALSE,"단축1";#N/A,#N/A,FALSE,"단축2";#N/A,#N/A,FALSE,"단축3";#N/A,#N/A,FALSE,"장축";#N/A,#N/A,FALSE,"4WD"}</definedName>
    <definedName name="MLKJ" hidden="1">{#N/A,#N/A,FALSE,"Costos Productos 6A";#N/A,#N/A,FALSE,"Costo Unitario Total H-94-12"}</definedName>
    <definedName name="MLKMLK">#REF!</definedName>
    <definedName name="mm" hidden="1">{#N/A,#N/A,FALSE,"이태원철근"}</definedName>
    <definedName name="MmExcelLinker_AA151376_3404_4D00_8A4B_4C833A6B2EED">#REF!</definedName>
    <definedName name="mmgt" hidden="1">{#N/A,#N/A,FALSE,"단축1";#N/A,#N/A,FALSE,"단축2";#N/A,#N/A,FALSE,"단축3";#N/A,#N/A,FALSE,"장축";#N/A,#N/A,FALSE,"4WD"}</definedName>
    <definedName name="mmjmjh" hidden="1">{"TAB1",#N/A,TRUE,"GENERAL";"TAB2",#N/A,TRUE,"GENERAL";"TAB3",#N/A,TRUE,"GENERAL";"TAB4",#N/A,TRUE,"GENERAL";"TAB5",#N/A,TRUE,"GENERAL"}</definedName>
    <definedName name="mmm" hidden="1">{"TAB1",#N/A,TRUE,"GENERAL";"TAB2",#N/A,TRUE,"GENERAL";"TAB3",#N/A,TRUE,"GENERAL";"TAB4",#N/A,TRUE,"GENERAL";"TAB5",#N/A,TRUE,"GENERAL"}</definedName>
    <definedName name="mmmh" hidden="1">{"via1",#N/A,TRUE,"general";"via2",#N/A,TRUE,"general";"via3",#N/A,TRUE,"general"}</definedName>
    <definedName name="MMMM" hidden="1">{#N/A,#N/A,FALSE,"Costos Contables CIB A 12 1994";#N/A,#N/A,FALSE,"Cuadre Contab. y C. OP"}</definedName>
    <definedName name="mmmmm" hidden="1">{#N/A,#N/A,FALSE,"CCTV"}</definedName>
    <definedName name="mmmmmjyt" hidden="1">{"TAB1",#N/A,TRUE,"GENERAL";"TAB2",#N/A,TRUE,"GENERAL";"TAB3",#N/A,TRUE,"GENERAL";"TAB4",#N/A,TRUE,"GENERAL";"TAB5",#N/A,TRUE,"GENERAL"}</definedName>
    <definedName name="mmmmmmg" hidden="1">{"via1",#N/A,TRUE,"general";"via2",#N/A,TRUE,"general";"via3",#N/A,TRUE,"general"}</definedName>
    <definedName name="MMMMMMMMMMMMMMMMMMMMMMMMOOOOOOOOOOOOOOOOOOOOOOOOOOOOOOOOOOOOOOOOOOOOOOOOOOOOOOEEEEEEEEEEEEEEEEEEEEEEEEEEEEEEEEEEEEEEEEEEEELLLLLLLLLLLLLLLLLLLLLLLLLLLLLLLLLLLLLLLL">#REF!</definedName>
    <definedName name="MN" hidden="1">{"via1",#N/A,TRUE,"general";"via2",#N/A,TRUE,"general";"via3",#N/A,TRUE,"general"}</definedName>
    <definedName name="MNBV" hidden="1">{#N/A,#N/A,FALSE,"TABLE"}</definedName>
    <definedName name="MNO" hidden="1">{#N/A,#N/A,FALSE,"TABLE"}</definedName>
    <definedName name="MOA" hidden="1">{#N/A,#N/A,FALSE,"Hoja1";#N/A,#N/A,FALSE,"Hoja2"}</definedName>
    <definedName name="MOCD">#REF!</definedName>
    <definedName name="MODALIDAD">#REF!</definedName>
    <definedName name="Mode">#REF!</definedName>
    <definedName name="model" hidden="1">#REF!</definedName>
    <definedName name="mODI" hidden="1">{#N/A,#N/A,FALSE,"nuevo formato actividades";#N/A,#N/A,FALSE,"nuevo formato actividades";#N/A,#N/A,FALSE,"nuevo formato actividades"}</definedName>
    <definedName name="mODIF" hidden="1">{#N/A,#N/A,FALSE,"nuevo formato actividades";#N/A,#N/A,FALSE,"nuevo formato actividades";#N/A,#N/A,FALSE,"nuevo formato actividades"}</definedName>
    <definedName name="ModularPreassembly">#REF!</definedName>
    <definedName name="Módulo_de_proceso" hidden="1">#REF!</definedName>
    <definedName name="MOE" hidden="1">{#N/A,#N/A,FALSE,"Hoja1";#N/A,#N/A,FALSE,"Hoja2"}</definedName>
    <definedName name="moelect">#REF!</definedName>
    <definedName name="moelect2">#REF!</definedName>
    <definedName name="MOELECT222">#REF!</definedName>
    <definedName name="MOELECT234567">#REF!</definedName>
    <definedName name="MOMSMKSJDLAKJDAKLSJD">#REF!</definedName>
    <definedName name="mon">#REF!</definedName>
    <definedName name="Moneda">#REF!</definedName>
    <definedName name="monica">#REF!</definedName>
    <definedName name="MONTAJE">#REF!</definedName>
    <definedName name="MONTO1">#REF!</definedName>
    <definedName name="MONTO2">#REF!</definedName>
    <definedName name="MONTO3">#REF!</definedName>
    <definedName name="MONTO4">#REF!</definedName>
    <definedName name="MONTO5">#REF!</definedName>
    <definedName name="MONTOPRIV">#REF!</definedName>
    <definedName name="Mora">#REF!</definedName>
    <definedName name="Morosidade1" hidden="1">{"ANAR",#N/A,FALSE,"Dist total";"MARGEN",#N/A,FALSE,"Dist total";"COMENTARIO",#N/A,FALSE,"Ficha CODICE";"CONSEJO",#N/A,FALSE,"Dist p0";"uno",#N/A,FALSE,"Dist total"}</definedName>
    <definedName name="MOTIVO_DEL_RETIRO">#REF!</definedName>
    <definedName name="MOTORES">#REF!</definedName>
    <definedName name="MOV">#REF!</definedName>
    <definedName name="MOV_AD">#N/A</definedName>
    <definedName name="MOVED" hidden="1">{"CHART",#N/A,FALSE,"Arch Communications"}</definedName>
    <definedName name="movil" hidden="1">{"CONCABL1.1",#N/A,FALSE,"1.1.1a1.1.3 ACSR";"AISL1.2",#N/A,FALSE,"1.1.1a1.1.3 ACSR";"torr1.1.3",#N/A,FALSE,"1.1.1a1.1.3 ACSR";"cm1.2",#N/A,FALSE,"1.2 ACSR";"cm2.2",#N/A,FALSE,"1.2 ACSR";#N/A,#N/A,FALSE,"1.3 ACSR";#N/A,#N/A,FALSE,"2.1.1A2.1.3 ACAR";"ac2.1",#N/A,FALSE,"1.2 ACAR";"ac2.2",#N/A,FALSE,"1.2 ACAR";#N/A,#N/A,FALSE,"2.3 ACAR"}</definedName>
    <definedName name="movilizacion" hidden="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MOVIRECORD" hidden="1">{"'banner (abr)'!$A$14:$G$22"}</definedName>
    <definedName name="MP" hidden="1">{#N/A,#N/A,FALSE,"CCTV"}</definedName>
    <definedName name="MPA" hidden="1">{"'Sheet1'!$A$1:$G$85"}</definedName>
    <definedName name="MPER">#REF!</definedName>
    <definedName name="MQEH" hidden="1">#REF!</definedName>
    <definedName name="MQHQM" hidden="1">#REF!</definedName>
    <definedName name="MRG" hidden="1">{"INCOME",#N/A,FALSE,"ProNet";"VALUE",#N/A,FALSE,"ProNet"}</definedName>
    <definedName name="MRLART">#REF!</definedName>
    <definedName name="MRSUPDET">#REF!</definedName>
    <definedName name="msdk" hidden="1">{#N/A,#N/A,TRUE,"1842CWN0"}</definedName>
    <definedName name="MTEH" hidden="1">#REF!</definedName>
    <definedName name="MTEQM" hidden="1">#REF!</definedName>
    <definedName name="MTG">#REF!</definedName>
    <definedName name="MTL" hidden="1">#REF!</definedName>
    <definedName name="MTZ_PROY">#REF!</definedName>
    <definedName name="MULT_N2">#N/A</definedName>
    <definedName name="multiproducto" hidden="1">{"'banner (abr)'!$A$14:$G$22"}</definedName>
    <definedName name="MUNICIPIO" hidden="1">#REF!</definedName>
    <definedName name="municipios">#REF!</definedName>
    <definedName name="MUNICIPIOSS">#REF!</definedName>
    <definedName name="MV_Motor_Data">#REF!</definedName>
    <definedName name="MVMCC">#REF!</definedName>
    <definedName name="MVMCC_Connected_kVA">#REF!</definedName>
    <definedName name="mvmcc_operating_kVA">#REF!</definedName>
    <definedName name="mvmcc_operating_kW">#REF!</definedName>
    <definedName name="MVMCC_wc_kVA">#REF!</definedName>
    <definedName name="mvmcc_wc_kW">#REF!</definedName>
    <definedName name="MVNB" hidden="1">{#N/A,#N/A,FALSE,"TABLE"}</definedName>
    <definedName name="MWK">#REF!</definedName>
    <definedName name="mxl"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myRange">#REF!</definedName>
    <definedName name="MZM">#REF!</definedName>
    <definedName name="n" hidden="1">{"EVA",#N/A,FALSE,"SMT2";#N/A,#N/A,FALSE,"Summary";#N/A,#N/A,FALSE,"Graphs";#N/A,#N/A,FALSE,"4 Panel"}</definedName>
    <definedName name="NAD">#REF!</definedName>
    <definedName name="nancy">#REF!</definedName>
    <definedName name="Naturaleza_lesion">#REF!</definedName>
    <definedName name="NBNB" hidden="1">{#N/A,#N/A,FALSE,"TABLE"}</definedName>
    <definedName name="nbvnv" hidden="1">{"via1",#N/A,TRUE,"general";"via2",#N/A,TRUE,"general";"via3",#N/A,TRUE,"general"}</definedName>
    <definedName name="NC">#REF!</definedName>
    <definedName name="ncargos">#REF!</definedName>
    <definedName name="ncg" hidden="1">{#N/A,#N/A,TRUE,"1842CWN0"}</definedName>
    <definedName name="NDHS" hidden="1">{"TAB1",#N/A,TRUE,"GENERAL";"TAB2",#N/A,TRUE,"GENERAL";"TAB3",#N/A,TRUE,"GENERAL";"TAB4",#N/A,TRUE,"GENERAL";"TAB5",#N/A,TRUE,"GENERAL"}</definedName>
    <definedName name="nece.cab">#REF!</definedName>
    <definedName name="nelc"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Net_YTD_Balance_Including_Interest">OFFSET(#REF!,0,0,COUNTIF(#REF!,"&gt;3000"),1)</definedName>
    <definedName name="Net_YTD_Interest">OFFSET(#REF!,0,0,COUNTIF(#REF!,"&gt;3000"),1)</definedName>
    <definedName name="new" hidden="1">{TRUE,TRUE,-0.8,-17,618,378,FALSE,FALSE,TRUE,TRUE,0,33,#N/A,89,#N/A,14.5641025641026,175.058823529412,1,FALSE,FALSE,3,TRUE,1,FALSE,75,"Swvu.oil.","ACwvu.oil.",#N/A,FALSE,FALSE,0.196850393700787,0.196850393700787,0.196850393700787,0.196850393700787,2,"","",TRUE,TRUE,FALSE,FALSE,1,#N/A,1,1,"=R1C1:R248C39",FALSE,"Rwvu.oil.","Cwvu.oil.",FALSE,FALSE,FALSE,1,600,600,FALSE,FALSE,TRUE,TRUE,TRUE}</definedName>
    <definedName name="NEWCHART1">#REF!</definedName>
    <definedName name="NEWCHART2">#REF!</definedName>
    <definedName name="NEWDATA1">#REF!</definedName>
    <definedName name="NEWDATA2">#REF!</definedName>
    <definedName name="NEWNAME" hidden="1">{#N/A,#N/A,FALSE,"CCTV"}</definedName>
    <definedName name="newX" hidden="1">{#N/A,#N/A,FALSE,"SMT1";#N/A,#N/A,FALSE,"SMT2";#N/A,#N/A,FALSE,"Summary";#N/A,#N/A,FALSE,"Graphs";#N/A,#N/A,FALSE,"4 Panel"}</definedName>
    <definedName name="nf" hidden="1">{"TAB1",#N/A,TRUE,"GENERAL";"TAB2",#N/A,TRUE,"GENERAL";"TAB3",#N/A,TRUE,"GENERAL";"TAB4",#N/A,TRUE,"GENERAL";"TAB5",#N/A,TRUE,"GENERAL"}</definedName>
    <definedName name="nfg" hidden="1">{"via1",#N/A,TRUE,"general";"via2",#N/A,TRUE,"general";"via3",#N/A,TRUE,"general"}</definedName>
    <definedName name="nfgn" hidden="1">{"via1",#N/A,TRUE,"general";"via2",#N/A,TRUE,"general";"via3",#N/A,TRUE,"general"}</definedName>
    <definedName name="nfhdhdh" hidden="1">#REF!</definedName>
    <definedName name="NFL" hidden="1">{"PYGP",#N/A,TRUE,"PandL";"BALANCEP",#N/A,TRUE,"BS";"Estado Cash Flow",#N/A,TRUE,"CFlow";"debt",#N/A,TRUE,"Debt";"worcap",#N/A,TRUE,"WorCap";"Analisis Impuestos",#N/A,TRUE,"Tax"}</definedName>
    <definedName name="ng">#REF!</definedName>
    <definedName name="ngdn" hidden="1">{"TAB1",#N/A,TRUE,"GENERAL";"TAB2",#N/A,TRUE,"GENERAL";"TAB3",#N/A,TRUE,"GENERAL";"TAB4",#N/A,TRUE,"GENERAL";"TAB5",#N/A,TRUE,"GENERAL"}</definedName>
    <definedName name="ngfh" hidden="1">{"via1",#N/A,TRUE,"general";"via2",#N/A,TRUE,"general";"via3",#N/A,TRUE,"general"}</definedName>
    <definedName name="NGGG" hidden="1">{#N/A,#N/A,FALSE,"TABLE"}</definedName>
    <definedName name="nhn" hidden="1">{"via1",#N/A,TRUE,"general";"via2",#N/A,TRUE,"general";"via3",#N/A,TRUE,"general"}</definedName>
    <definedName name="nhncfgn" hidden="1">{"TAB1",#N/A,TRUE,"GENERAL";"TAB2",#N/A,TRUE,"GENERAL";"TAB3",#N/A,TRUE,"GENERAL";"TAB4",#N/A,TRUE,"GENERAL";"TAB5",#N/A,TRUE,"GENERAL"}</definedName>
    <definedName name="nhndr" hidden="1">{"via1",#N/A,TRUE,"general";"via2",#N/A,TRUE,"general";"via3",#N/A,TRUE,"general"}</definedName>
    <definedName name="nhyu" hidden="1">{#N/A,#N/A,TRUE,"Y생산";#N/A,#N/A,TRUE,"Y판매";#N/A,#N/A,TRUE,"Y총물량";#N/A,#N/A,TRUE,"Y능력";#N/A,#N/A,TRUE,"YKD"}</definedName>
    <definedName name="nige" hidden="1">#REF!</definedName>
    <definedName name="nilo" hidden="1">#REF!</definedName>
    <definedName name="NIT">#REF!</definedName>
    <definedName name="NIVEL_CTO">#REF!</definedName>
    <definedName name="njyukiuopi" hidden="1">{#N/A,#N/A,FALSE,"Solids &amp; Flow"}</definedName>
    <definedName name="nkknk" hidden="1">{#N/A,#N/A,FALSE,"CCTV"}</definedName>
    <definedName name="nklj" hidden="1">{#N/A,#N/A,FALSE,"Solids Only"}</definedName>
    <definedName name="NLMDGMNADNL" hidden="1">#REF!</definedName>
    <definedName name="nm" hidden="1">{#N/A,#N/A,FALSE,"3mthsum.xls";#N/A,#N/A,FALSE,"fcstmth1.xls";#N/A,#N/A,FALSE,"fcstmth2.xls";#N/A,#N/A,FALSE,"fcstmth3.xls";#N/A,#N/A,FALSE,"cntsprt.xls";#N/A,#N/A,FALSE,"fldind.xls";#N/A,#N/A,FALSE,"epo.xls";#N/A,#N/A,FALSE,"tech.xls";#N/A,#N/A,FALSE,"train.xls";#N/A,#N/A,FALSE,"realest.xls";#N/A,#N/A,FALSE,"cfs.xls"}</definedName>
    <definedName name="nmmmm" hidden="1">{"via1",#N/A,TRUE,"general";"via2",#N/A,TRUE,"general";"via3",#N/A,TRUE,"general"}</definedName>
    <definedName name="nmv"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NN" hidden="1">{"TAB1",#N/A,TRUE,"GENERAL";"TAB2",#N/A,TRUE,"GENERAL";"TAB3",#N/A,TRUE,"GENERAL";"TAB4",#N/A,TRUE,"GENERAL";"TAB5",#N/A,TRUE,"GENERAL"}</definedName>
    <definedName name="nndng" hidden="1">{"TAB1",#N/A,TRUE,"GENERAL";"TAB2",#N/A,TRUE,"GENERAL";"TAB3",#N/A,TRUE,"GENERAL";"TAB4",#N/A,TRUE,"GENERAL";"TAB5",#N/A,TRUE,"GENERAL"}</definedName>
    <definedName name="nnn" hidden="1">{#N/A,#N/A,FALSE,"SMT1";#N/A,#N/A,FALSE,"SMT2";#N/A,#N/A,FALSE,"Summary";#N/A,#N/A,FALSE,"Graphs";#N/A,#N/A,FALSE,"4 Panel"}</definedName>
    <definedName name="nnnhd" hidden="1">{"via1",#N/A,TRUE,"general";"via2",#N/A,TRUE,"general";"via3",#N/A,TRUE,"general"}</definedName>
    <definedName name="nnnnn" hidden="1">{"via1",#N/A,TRUE,"general";"via2",#N/A,TRUE,"general";"via3",#N/A,TRUE,"general"}</definedName>
    <definedName name="nnnnnd" hidden="1">{"TAB1",#N/A,TRUE,"GENERAL";"TAB2",#N/A,TRUE,"GENERAL";"TAB3",#N/A,TRUE,"GENERAL";"TAB4",#N/A,TRUE,"GENERAL";"TAB5",#N/A,TRUE,"GENERAL"}</definedName>
    <definedName name="nnnnnf" hidden="1">{"TAB1",#N/A,TRUE,"GENERAL";"TAB2",#N/A,TRUE,"GENERAL";"TAB3",#N/A,TRUE,"GENERAL";"TAB4",#N/A,TRUE,"GENERAL";"TAB5",#N/A,TRUE,"GENERAL"}</definedName>
    <definedName name="nnnnnh" hidden="1">{"via1",#N/A,TRUE,"general";"via2",#N/A,TRUE,"general";"via3",#N/A,TRUE,"general"}</definedName>
    <definedName name="no" hidden="1">{#N/A,#N/A,FALSE,"Hoja1";#N/A,#N/A,FALSE,"Hoja2"}</definedName>
    <definedName name="NO_OF_COLS">#REF!</definedName>
    <definedName name="NO_OF_PAGES">#REF!</definedName>
    <definedName name="No_Operacional_POA" hidden="1">{"CONSEJO",#N/A,FALSE,"Dist p0";"CONSEJO",#N/A,FALSE,"Ficha CODICE"}</definedName>
    <definedName name="noemi" hidden="1">{#N/A,#N/A,FALSE,"Costos Productos 6A";#N/A,#N/A,FALSE,"Costo Unitario Total H-94-12"}</definedName>
    <definedName name="nolu" hidden="1">#REF!</definedName>
    <definedName name="NOMBRE">#REF!</definedName>
    <definedName name="Nombre_Operador">#REF!</definedName>
    <definedName name="NOMBREOBRA">#REF!</definedName>
    <definedName name="Nombres">#REF!</definedName>
    <definedName name="Nombres_Operadores">#REF!</definedName>
    <definedName name="NOMINA">#REF!</definedName>
    <definedName name="NONMAN">#REF!</definedName>
    <definedName name="NONO" hidden="1">{#N/A,#N/A,TRUE,"Cover";#N/A,#N/A,TRUE,"Content";"Orders EMM",#N/A,TRUE,"Order Sales";"project EMM",#N/A,TRUE,"Project Control";"Cash EMM",#N/A,TRUE,"Cash Control";"KPI EMM",#N/A,TRUE,"KPI-EMM";"Empl EMM",#N/A,TRUE,"Employees"}</definedName>
    <definedName name="NOOOOOOOOOOOOOOOOOOOOOOOOOOOOOOJOOOOOOOOOOOOOOOOOOOOOOOOOOOOOOOOOODAAAAAAAAAAAAAAAAAAAAAAAAAAAAAAAAAAAAAAAAAAAAAAAAAAAAAAAAAAAAAAA">#REF!</definedName>
    <definedName name="NOPDEC93">#REF!</definedName>
    <definedName name="NORMA" hidden="1">{#N/A,#N/A,FALSE,"91.R";#N/A,#N/A,FALSE,"92.R";#N/A,#N/A,FALSE,"93.R";#N/A,#N/A,FALSE,"94.R";#N/A,#N/A,FALSE,"95.R";#N/A,#N/A,FALSE,"98.R";#N/A,#N/A,FALSE,"99.R";#N/A,#N/A,FALSE,"105.R";#N/A,#N/A,FALSE,"107.R";#N/A,#N/A,FALSE,"113.R";#N/A,#N/A,FALSE,"114.R";#N/A,#N/A,FALSE,"115.R";#N/A,#N/A,FALSE,"117.R";#N/A,#N/A,FALSE,"117.1.R";#N/A,#N/A,FALSE,"117.2.R";#N/A,#N/A,FALSE,"117.3.R ";#N/A,#N/A,FALSE,"118.R";#N/A,#N/A,FALSE,"118.1.R";#N/A,#N/A,FALSE,"118.2.R";#N/A,#N/A,FALSE,"118.3.R";#N/A,#N/A,FALSE,"118.4.R";#N/A,#N/A,FALSE,"118.5.R";#N/A,#N/A,FALSE,"118.6.R";#N/A,#N/A,FALSE,"118.7.R";#N/A,#N/A,FALSE,"118.8.R";#N/A,#N/A,FALSE,"118.9.R";#N/A,#N/A,FALSE,"118.10.R";#N/A,#N/A,FALSE,"120.R";#N/A,#N/A,FALSE,"120.1.R ";#N/A,#N/A,FALSE,"120.2.R";#N/A,#N/A,FALSE,"120.3.R ";#N/A,#N/A,FALSE,"137.R";#N/A,#N/A,FALSE,"137.1.R";#N/A,#N/A,FALSE,"137.2.R";#N/A,#N/A,FALSE,"137.3.R";#N/A,#N/A,FALSE,"137.4.R";#N/A,#N/A,FALSE,"138.R";#N/A,#N/A,FALSE,"140.R";#N/A,#N/A,FALSE,"145.R";#N/A,#N/A,FALSE,"146.R"}</definedName>
    <definedName name="NOS">#REF!</definedName>
    <definedName name="nose1" hidden="1">{#N/A,#N/A,FALSE,"Matrix";#N/A,#N/A,FALSE,"Executive";#N/A,#N/A,FALSE,"Summary";#N/A,#N/A,FALSE,"Office1";#N/A,#N/A,FALSE,"Office2";#N/A,#N/A,FALSE,"Office3";#N/A,#N/A,FALSE,"Office4";#N/A,#N/A,FALSE,"Office5";#N/A,#N/A,FALSE,"Office6";#N/A,#N/A,FALSE,"Office7";#N/A,#N/A,FALSE,"Labor"}</definedName>
    <definedName name="nose2" hidden="1">{#N/A,#N/A,FALSE,"E-1";#N/A,#N/A,FALSE,"E-2";#N/A,#N/A,FALSE,"F-1";#N/A,#N/A,FALSE,"F-2";#N/A,#N/A,FALSE,"F-3";#N/A,#N/A,FALSE,"F-4";#N/A,#N/A,FALSE,"F-5";#N/A,#N/A,FALSE,"F-6";#N/A,#N/A,FALSE,"Matrix"}</definedName>
    <definedName name="nose3" hidden="1">{#N/A,#N/A,FALSE,"Matrix";#N/A,#N/A,FALSE,"Executive";#N/A,#N/A,FALSE,"Summary"}</definedName>
    <definedName name="note_note">#REF!</definedName>
    <definedName name="nov_19">#REF!</definedName>
    <definedName name="nov_20">#REF!</definedName>
    <definedName name="nov_21">#REF!</definedName>
    <definedName name="np" hidden="1">{#N/A,#N/A,FALSE,"3mthsum.xls";#N/A,#N/A,FALSE,"fcstmth1.xls";#N/A,#N/A,FALSE,"fcstmth2.xls";#N/A,#N/A,FALSE,"fcstmth3.xls";#N/A,#N/A,FALSE,"cntsprt.xls";#N/A,#N/A,FALSE,"fldind.xls";#N/A,#N/A,FALSE,"epo.xls";#N/A,#N/A,FALSE,"tech.xls";#N/A,#N/A,FALSE,"train.xls";#N/A,#N/A,FALSE,"realest.xls";#N/A,#N/A,FALSE,"cfs.xls"}</definedName>
    <definedName name="NPAGE">#REF!</definedName>
    <definedName name="Nueva" hidden="1">{#N/A,#N/A,FALSE,"a1";#N/A,#N/A,FALSE,"a2";#N/A,#N/A,FALSE,"a3";#N/A,#N/A,FALSE,"a4a";#N/A,#N/A,FALSE,"a4B";#N/A,#N/A,FALSE,"a4C";#N/A,#N/A,FALSE,"a4D";#N/A,#N/A,FALSE,"A5a ";#N/A,#N/A,FALSE,"A5b";#N/A,#N/A,FALSE,"A6A";#N/A,#N/A,FALSE,"A6B";#N/A,#N/A,FALSE,"A6C";#N/A,#N/A,FALSE,"A6D";#N/A,#N/A,FALSE,"INV"}</definedName>
    <definedName name="Nueva_1" hidden="1">{#N/A,#N/A,FALSE,"a1";#N/A,#N/A,FALSE,"a2";#N/A,#N/A,FALSE,"a3";#N/A,#N/A,FALSE,"a4a";#N/A,#N/A,FALSE,"a4B";#N/A,#N/A,FALSE,"a4C";#N/A,#N/A,FALSE,"a4D";#N/A,#N/A,FALSE,"A5a ";#N/A,#N/A,FALSE,"A5b";#N/A,#N/A,FALSE,"A6A";#N/A,#N/A,FALSE,"A6B";#N/A,#N/A,FALSE,"A6C";#N/A,#N/A,FALSE,"A6D";#N/A,#N/A,FALSE,"INV"}</definedName>
    <definedName name="NUEVAHOJA">#REF!</definedName>
    <definedName name="NUEVO" hidden="1">{TRUE,TRUE,-0.8,-17,618,378,FALSE,FALSE,TRUE,TRUE,0,33,#N/A,89,#N/A,14.5641025641026,175.058823529412,1,FALSE,FALSE,3,TRUE,1,FALSE,75,"Swvu.oil.","ACwvu.oil.",#N/A,FALSE,FALSE,0.196850393700787,0.196850393700787,0.196850393700787,0.196850393700787,2,"","",TRUE,TRUE,FALSE,FALSE,1,#N/A,1,1,"=R1C1:R248C39",FALSE,"Rwvu.oil.","Cwvu.oil.",FALSE,FALSE,FALSE,1,600,600,FALSE,FALSE,TRUE,TRUE,TRUE}</definedName>
    <definedName name="nuevo_1" hidden="1">{"'TABLA 4.3'!$A$1:$O$41"}</definedName>
    <definedName name="NUEVO2" hidden="1">{#N/A,#N/A,FALSE,"Costos Productos 6A";#N/A,#N/A,FALSE,"Costo Unitario Total H-94-12"}</definedName>
    <definedName name="Num_Pmt_Per_Year">#REF!</definedName>
    <definedName name="Number_of_Payments">MATCH(0.01,End_Bal,-1)+1</definedName>
    <definedName name="number_of_phases_id_001">#REF!</definedName>
    <definedName name="NumDrawTitle">#REF!</definedName>
    <definedName name="NUMERO">#REF!</definedName>
    <definedName name="nupo" hidden="1">#REF!</definedName>
    <definedName name="nv">#REF!</definedName>
    <definedName name="NVNG" hidden="1">{#N/A,#N/A,FALSE,"TABLE"}</definedName>
    <definedName name="NvsASD">"V1999-07-31"</definedName>
    <definedName name="NvsAutoDrillOk">"VY"</definedName>
    <definedName name="NvsElapsedTime">0.0000649305584374815</definedName>
    <definedName name="NvsEndTime">36404.3128642361</definedName>
    <definedName name="NvsInstSpec">"%"</definedName>
    <definedName name="NvsLayoutType">"M3"</definedName>
    <definedName name="NvsNplSpec">"%,X,RZF..,CZF.."</definedName>
    <definedName name="NvsPanelEffdt">"V1999-01-01"</definedName>
    <definedName name="NvsPanelSetid">"VHOCOL"</definedName>
    <definedName name="NvsReqBU">"VHOCOL"</definedName>
    <definedName name="NvsReqBUOnly">"VY"</definedName>
    <definedName name="NvsTransLed">"VN"</definedName>
    <definedName name="NvsTreeASD">"V1999-07-31"</definedName>
    <definedName name="NvsValTbl.ANALYSIS_TYPE">"PROJ_ANTYPE_TBL"</definedName>
    <definedName name="NvsValTbl.PRODUCT">"PRODUCT_TBL"</definedName>
    <definedName name="nxn" hidden="1">{"via1",#N/A,TRUE,"general";"via2",#N/A,TRUE,"general";"via3",#N/A,TRUE,"general"}</definedName>
    <definedName name="NZD">#REF!</definedName>
    <definedName name="ñ" hidden="1">{#N/A,#N/A,FALSE,"CIBHA05A";#N/A,#N/A,FALSE,"CIBHA05B"}</definedName>
    <definedName name="ñlkjhgfd" hidden="1">{#N/A,#N/A,FALSE,"Hoja1";#N/A,#N/A,FALSE,"Hoja2"}</definedName>
    <definedName name="ñlkmlkj">#REF!</definedName>
    <definedName name="ÑLÑL" hidden="1">{"'banner (abr)'!$A$14:$G$22"}</definedName>
    <definedName name="ñlo" hidden="1">#REF!</definedName>
    <definedName name="ñmn" hidden="1">#REF!</definedName>
    <definedName name="ññ" hidden="1">{#N/A,#N/A,FALSE,"VOL695";#N/A,#N/A,FALSE,"anexo1";#N/A,#N/A,FALSE,"anexo2";#N/A,#N/A,FALSE,"anexo3";#N/A,#N/A,FALSE,"anexo4";#N/A,#N/A,FALSE,"anexo5a";#N/A,#N/A,FALSE,"anexo5b";#N/A,#N/A,FALSE,"anexo6a";#N/A,#N/A,FALSE,"anexo6a";#N/A,#N/A,FALSE,"anexo6c";#N/A,#N/A,FALSE,"anexo7a";#N/A,#N/A,FALSE,"anexo7b";#N/A,#N/A,FALSE,"anexo7c"}</definedName>
    <definedName name="ÑÑÑ">#REF!</definedName>
    <definedName name="ñop" hidden="1">#REF!</definedName>
    <definedName name="ñpñpñ" hidden="1">{"via1",#N/A,TRUE,"general";"via2",#N/A,TRUE,"general";"via3",#N/A,TRUE,"general"}</definedName>
    <definedName name="ñpoiu" hidden="1">#REF!</definedName>
    <definedName name="o">#REF!</definedName>
    <definedName name="º">#REF!</definedName>
    <definedName name="o9o9" hidden="1">{"via1",#N/A,TRUE,"general";"via2",#N/A,TRUE,"general";"via3",#N/A,TRUE,"general"}</definedName>
    <definedName name="oasohsx" hidden="1">{#N/A,#N/A,TRUE,"INGENIERIA";#N/A,#N/A,TRUE,"COMPRAS";#N/A,#N/A,TRUE,"DIRECCION";#N/A,#N/A,TRUE,"RESUMEN"}</definedName>
    <definedName name="obd" hidden="1">{#N/A,#N/A,TRUE,"INGENIERIA";#N/A,#N/A,TRUE,"COMPRAS";#N/A,#N/A,TRUE,"DIRECCION";#N/A,#N/A,TRUE,"RESUMEN"}</definedName>
    <definedName name="Obervaciones" hidden="1">{#N/A,#N/A,FALSE,"orthoflow";#N/A,#N/A,FALSE,"Miscelaneos";#N/A,#N/A,FALSE,"Instrumentacio";#N/A,#N/A,FALSE,"Electrico";#N/A,#N/A,FALSE,"Valv. Seguridad"}</definedName>
    <definedName name="obh" hidden="1">#REF!</definedName>
    <definedName name="OBJETIVO">#REF!</definedName>
    <definedName name="Objeto">#REF!</definedName>
    <definedName name="Objeto_LIC">#REF!</definedName>
    <definedName name="OBJPROY">#REF!</definedName>
    <definedName name="Obra">#REF!</definedName>
    <definedName name="obras" hidden="1">#REF!</definedName>
    <definedName name="obras11" hidden="1">#REF!</definedName>
    <definedName name="OBS_Data_Col" hidden="1">#REF!</definedName>
    <definedName name="Observacion">#REF!</definedName>
    <definedName name="Observado">#REF!</definedName>
    <definedName name="OCHO_CHURUYACO_ORITO">#REF!</definedName>
    <definedName name="Oct">#REF!</definedName>
    <definedName name="oct_19">#REF!</definedName>
    <definedName name="oct_20">#REF!</definedName>
    <definedName name="oct_21">#REF!</definedName>
    <definedName name="OCTUBRE" hidden="1">{#N/A,#N/A,FALSE,"orthoflow";#N/A,#N/A,FALSE,"Miscelaneos";#N/A,#N/A,FALSE,"Instrumentacio";#N/A,#N/A,FALSE,"Electrico";#N/A,#N/A,FALSE,"Valv. Seguridad"}</definedName>
    <definedName name="odActual" hidden="1">0</definedName>
    <definedName name="odBudget" hidden="1">1</definedName>
    <definedName name="ODC1.">#REF!</definedName>
    <definedName name="odExternal" hidden="1">3</definedName>
    <definedName name="odForecast" hidden="1">2</definedName>
    <definedName name="ODH" hidden="1">#REF!</definedName>
    <definedName name="odkmñkwdsa" hidden="1">{#N/A,#N/A,FALSE,"Casanare";#N/A,#N/A,FALSE,"Estero";#N/A,#N/A,FALSE,"Garcero";#N/A,#N/A,FALSE,"Orocué";#N/A,#N/A,FALSE,"Corocora"}</definedName>
    <definedName name="odPercentOfBudget" hidden="1">200</definedName>
    <definedName name="odPercentOfForecast" hidden="1">210</definedName>
    <definedName name="odPercentVarianceOnBudget" hidden="1">220</definedName>
    <definedName name="odPercentVarianceOnForecast" hidden="1">320</definedName>
    <definedName name="odVarianceOnBudget" hidden="1">300</definedName>
    <definedName name="odVarianceOnForecast" hidden="1">310</definedName>
    <definedName name="OF">#REF!</definedName>
    <definedName name="OFERTA">#REF!</definedName>
    <definedName name="OFERTA1">#REF!</definedName>
    <definedName name="Office">#REF!</definedName>
    <definedName name="Office1TotalBurdenCost">#REF!</definedName>
    <definedName name="Office1TotalHours">#REF!</definedName>
    <definedName name="Office1TotalMonths">#REF!</definedName>
    <definedName name="Office1TotalPRCost">#REF!</definedName>
    <definedName name="Office1TotalRevenue">#REF!</definedName>
    <definedName name="Office2TotalBurdenCost">#REF!</definedName>
    <definedName name="Office2TotalHours">#REF!</definedName>
    <definedName name="Office2TotalMonths">#REF!</definedName>
    <definedName name="Office2TotalPRCost">#REF!</definedName>
    <definedName name="Office2TotalRevenue">#REF!</definedName>
    <definedName name="Office3TotalBurdenCost">#REF!</definedName>
    <definedName name="Office3TotalHours">#REF!</definedName>
    <definedName name="Office3TotalMonths">#REF!</definedName>
    <definedName name="Office3TotalPRCost">#REF!</definedName>
    <definedName name="Office3TotalRevenue">#REF!</definedName>
    <definedName name="Office4TotalBurdenCost">#REF!</definedName>
    <definedName name="Office4TotalHours">#REF!</definedName>
    <definedName name="Office4TotalMonths">#REF!</definedName>
    <definedName name="Office4TotalPRCost">#REF!</definedName>
    <definedName name="Office4TotalRevenue">#REF!</definedName>
    <definedName name="Office5TotalBurdenCost">#REF!</definedName>
    <definedName name="Office5TotalHours">#REF!</definedName>
    <definedName name="Office5TotalMonths">#REF!</definedName>
    <definedName name="Office5TotalPRCost">#REF!</definedName>
    <definedName name="Office5TotalRevenue">#REF!</definedName>
    <definedName name="Office6TotalBurdenCost">#REF!</definedName>
    <definedName name="Office6TotalHours">#REF!</definedName>
    <definedName name="Office6TotalMonths">#REF!</definedName>
    <definedName name="Office6TotalPRCost">#REF!</definedName>
    <definedName name="Office6TotalRevenue">#REF!</definedName>
    <definedName name="Office7StaffAverage">#REF!</definedName>
    <definedName name="Office7StaffPeak">#REF!</definedName>
    <definedName name="Office7TotalBurdenCost">#REF!</definedName>
    <definedName name="Office7TotalHours">#REF!</definedName>
    <definedName name="Office7TotalMonths">#REF!</definedName>
    <definedName name="Office7TotalPRCost">#REF!</definedName>
    <definedName name="Office7TotalRevenue">#REF!</definedName>
    <definedName name="oficial" hidden="1">{#N/A,#N/A,FALSE,"CIBHA05A";#N/A,#N/A,FALSE,"CIBHA05B"}</definedName>
    <definedName name="OFICIO">#REF!</definedName>
    <definedName name="ohb" hidden="1">{#N/A,#N/A,TRUE,"1842CWN0"}</definedName>
    <definedName name="ohcd" hidden="1">{#N/A,#N/A,TRUE,"1842CWN0"}</definedName>
    <definedName name="OI" hidden="1">{#N/A,#N/A,FALSE,"32.R";#N/A,#N/A,FALSE,"32.1.R";#N/A,#N/A,FALSE,"32.1.1.R";#N/A,#N/A,FALSE,"32.1.2.R";#N/A,#N/A,FALSE,"32.1.3.R";#N/A,#N/A,FALSE,"32.2.R ";#N/A,#N/A,FALSE,"32.2.1.R";#N/A,#N/A,FALSE,"32.2.2.R";#N/A,#N/A,FALSE,"32.2.3.R ";#N/A,#N/A,FALSE,"32.3.R  ";#N/A,#N/A,FALSE,"32.3.1.R";#N/A,#N/A,FALSE,"32.3.2.R ";#N/A,#N/A,FALSE,"32.3.3.R ";#N/A,#N/A,FALSE,"32.4.R   ";#N/A,#N/A,FALSE,"32.4.1.R ";#N/A,#N/A,FALSE,"32.4.2.R  ";#N/A,#N/A,FALSE,"32.4.3.R  ";#N/A,#N/A,FALSE,"32.5.R    ";#N/A,#N/A,FALSE,"32.5.1.R  ";#N/A,#N/A,FALSE,"32.5.2.R   ";#N/A,#N/A,FALSE,"32.5.3.R   ";#N/A,#N/A,FALSE,"32.6.R    ";#N/A,#N/A,FALSE,"32.6.1.R   ";#N/A,#N/A,FALSE,"32.6.2.R   ";#N/A,#N/A,FALSE,"32.6.3.R "}</definedName>
    <definedName name="OIDEC93">#REF!</definedName>
    <definedName name="OIDO">#N/A</definedName>
    <definedName name="OIDO_DEP">#N/A</definedName>
    <definedName name="oililui" hidden="1">{#N/A,#N/A,FALSE,"CCTV"}</definedName>
    <definedName name="oiret" hidden="1">{"TAB1",#N/A,TRUE,"GENERAL";"TAB2",#N/A,TRUE,"GENERAL";"TAB3",#N/A,TRUE,"GENERAL";"TAB4",#N/A,TRUE,"GENERAL";"TAB5",#N/A,TRUE,"GENERAL"}</definedName>
    <definedName name="oirgrth" hidden="1">{"TAB1",#N/A,TRUE,"GENERAL";"TAB2",#N/A,TRUE,"GENERAL";"TAB3",#N/A,TRUE,"GENERAL";"TAB4",#N/A,TRUE,"GENERAL";"TAB5",#N/A,TRUE,"GENERAL"}</definedName>
    <definedName name="OIU" hidden="1">{#N/A,#N/A,FALSE,"TABLE"}</definedName>
    <definedName name="OIUOIU" hidden="1">{"via1",#N/A,TRUE,"general";"via2",#N/A,TRUE,"general";"via3",#N/A,TRUE,"general"}</definedName>
    <definedName name="ojmerx"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Ojo" hidden="1">#REF!</definedName>
    <definedName name="OKK">#REF!</definedName>
    <definedName name="OLA" hidden="1">{"DETALLE_1996",#N/A,FALSE,"flujo";"DETALLE_1997",#N/A,FALSE,"flujo";"GASTOS_INCURRIDOS_1996",#N/A,FALSE,"flujo";"GASTOS_PROGRAMADOS_PARA_1997",#N/A,FALSE,"flujo";#N/A,#N/A,FALSE,"comparat";#N/A,#N/A,FALSE,"costos";#N/A,#N/A,FALSE,"proyctrol"}</definedName>
    <definedName name="OLD" hidden="1">{#N/A,#N/A,FALSE,"QsumREG";#N/A,#N/A,FALSE,"Reg";#N/A,#N/A,FALSE,"QsumPSL";#N/A,#N/A,FALSE,"PSL";#N/A,#N/A,FALSE,"fcstsum";#N/A,#N/A,FALSE,"cntsprt"}</definedName>
    <definedName name="OLEODUCTO" hidden="1">{#N/A,#N/A,FALSE,"T1C97";#N/A,#N/A,FALSE,"T2C97";#N/A,#N/A,FALSE,"T3AC97";#N/A,#N/A,FALSE,"T4C97";#N/A,#N/A,FALSE,"T5C97";#N/A,#N/A,FALSE,"T6C97";#N/A,#N/A,FALSE,"T3C97";#N/A,#N/A,FALSE,"T7C97";#N/A,#N/A,FALSE,"T8C97";#N/A,#N/A,FALSE,"T9C97";#N/A,#N/A,FALSE,"T13C97"}</definedName>
    <definedName name="ollioui" hidden="1">{#N/A,#N/A,FALSE,"Solids Only"}</definedName>
    <definedName name="Oman4" hidden="1">{#N/A,#N/A,FALSE,"FRONT";#N/A,#N/A,FALSE,"TOTAL";#N/A,#N/A,FALSE,"ADMIN EXPL Dept.";#N/A,#N/A,FALSE,"ANAexpl.V";#N/A,#N/A,FALSE,"ANA expl. H";#N/A,#N/A,FALSE,"ANAdev. V.";#N/A,#N/A,FALSE,"ANA dev. H.";#N/A,#N/A,FALSE,"BHP V";#N/A,#N/A,FALSE,"BHP H.";#N/A,#N/A,FALSE,"OMAN V.";#N/A,#N/A,FALSE,"OMAN H.";#N/A,#N/A,FALSE,"MARATUA V.";#N/A,#N/A,FALSE,"MARATUA H.";#N/A,#N/A,FALSE,"KARANG V.";#N/A,#N/A,FALSE,"KARANG H";#N/A,#N/A,FALSE,"HORNGRABEN V";#N/A,#N/A,FALSE,"HORNGRABEN H";#N/A,#N/A,FALSE,"DOK;UK";#N/A,#N/A,FALSE,"FAROE ISLANDS"}</definedName>
    <definedName name="omar_qwe" hidden="1">{"'$OC'!$B$7:$O$53","'OC'!$A$14:$D$27","'OC'!$A$14:$D$27","'OC'!$A$14:$D$27"}</definedName>
    <definedName name="OMO_MANSOYA_ORITO">#REF!</definedName>
    <definedName name="OnceThru">0</definedName>
    <definedName name="OneA">#REF!</definedName>
    <definedName name="OneB">#REF!</definedName>
    <definedName name="OneC">#REF!</definedName>
    <definedName name="OneD">#REF!</definedName>
    <definedName name="OneE">#REF!</definedName>
    <definedName name="OneF">#REF!</definedName>
    <definedName name="OneG">#REF!</definedName>
    <definedName name="OneH">#REF!</definedName>
    <definedName name="OneI">#REF!</definedName>
    <definedName name="OneJ">#REF!</definedName>
    <definedName name="OneK">#REF!</definedName>
    <definedName name="OneL">#REF!</definedName>
    <definedName name="OneM">#REF!</definedName>
    <definedName name="oo" hidden="1">{TRUE,TRUE,1,1,542,364,FALSE,FALSE,TRUE,FALSE,0,3,21,1,1,0.524,3,2,TRUE,TRUE,1,TRUE,1,FALSE,100,"Swvu.Q2._.1995.","ACwvu.Q2._.1995.",1,FALSE,FALSE,0,0,0.65,0.88,2,"&amp;C&amp;""Times""&amp;14&amp;BAnadrill Sales Plan  -  1995&amp;R&amp;""Times""&amp;9&amp;d     &amp;t","&amp;R&amp;""Times""Page &amp;p",TRUE,TRUE,FALSE,FALSE,2,100,#N/A,#N/A,"=R1C1:R112C32",FALSE,"Rwvu.Q2._.1995.",#N/A,FALSE,FALSE}</definedName>
    <definedName name="ooo" hidden="1">{"via1",#N/A,TRUE,"general";"via2",#N/A,TRUE,"general";"via3",#N/A,TRUE,"general"}</definedName>
    <definedName name="ooooiii" hidden="1">{"TAB1",#N/A,TRUE,"GENERAL";"TAB2",#N/A,TRUE,"GENERAL";"TAB3",#N/A,TRUE,"GENERAL";"TAB4",#N/A,TRUE,"GENERAL";"TAB5",#N/A,TRUE,"GENERAL"}</definedName>
    <definedName name="oooos" hidden="1">{"via1",#N/A,TRUE,"general";"via2",#N/A,TRUE,"general";"via3",#N/A,TRUE,"general"}</definedName>
    <definedName name="OP">#REF!</definedName>
    <definedName name="OP_CAMABAJA">#REF!</definedName>
    <definedName name="OP_CAMABAJAS">#REF!</definedName>
    <definedName name="Openingpb" hidden="1">#REF!</definedName>
    <definedName name="OPER">#REF!</definedName>
    <definedName name="OPER_FBC">#N/A</definedName>
    <definedName name="OPERADOR">#REF!</definedName>
    <definedName name="OPERADORES">#REF!</definedName>
    <definedName name="Operating__kVA">#REF!</definedName>
    <definedName name="Operating_kW">#REF!</definedName>
    <definedName name="operating_mode_id_001">#REF!</definedName>
    <definedName name="OperatingPhilosophy">#REF!</definedName>
    <definedName name="opi" hidden="1">#REF!</definedName>
    <definedName name="opio" hidden="1">{#N/A,#N/A,FALSE,"Solids Only"}</definedName>
    <definedName name="opl" hidden="1">#REF!</definedName>
    <definedName name="OPPP" hidden="1">{"EVA",#N/A,FALSE,"SMT2";#N/A,#N/A,FALSE,"Summary";#N/A,#N/A,FALSE,"Graphs";#N/A,#N/A,FALSE,"4 Panel"}</definedName>
    <definedName name="ORDENES">#REF!</definedName>
    <definedName name="OrderTable" hidden="1">#REF!</definedName>
    <definedName name="orfen" hidden="1">#REF!</definedName>
    <definedName name="origCont">#REF!</definedName>
    <definedName name="ORIGINAL" hidden="1">{#N/A,#N/A,FALSE,"orthoflow";#N/A,#N/A,FALSE,"Miscelaneos";#N/A,#N/A,FALSE,"Instrumentacio";#N/A,#N/A,FALSE,"Electrico";#N/A,#N/A,FALSE,"Valv. Seguridad"}</definedName>
    <definedName name="ORP_Data">#REF!</definedName>
    <definedName name="ORP_Parameters">#REF!</definedName>
    <definedName name="ORPdesign_Data">#REF!</definedName>
    <definedName name="ORPdesign_Parameters">#REF!</definedName>
    <definedName name="os" hidden="1">{#N/A,#N/A,FALSE,"TABLE"}</definedName>
    <definedName name="oscar" hidden="1">#REF!</definedName>
    <definedName name="OSGTD11" hidden="1">#REF!</definedName>
    <definedName name="OSIRWOIEROWIRJIWOEJR">#REF!</definedName>
    <definedName name="OSO_SAN_MIGUEL_ORITO">#REF!</definedName>
    <definedName name="oss" hidden="1">{#N/A,#N/A,FALSE,"DMC schedule";#N/A,#N/A,FALSE,"DMC_THC Revenue";#N/A,#N/A,FALSE,"Personnel plan";#N/A,#N/A,FALSE,"Capex HW+SW";#N/A,#N/A,FALSE,"P&amp;L"}</definedName>
    <definedName name="ot" hidden="1">{#N/A,#N/A,FALSE,"TABLE"}</definedName>
    <definedName name="OT_ANDINO">#REF!</definedName>
    <definedName name="OTR">#REF!</definedName>
    <definedName name="OTRAAAAA" hidden="1">{#N/A,#N/A,TRUE,"INGENIERIA";#N/A,#N/A,TRUE,"COMPRAS";#N/A,#N/A,TRUE,"DIRECCION";#N/A,#N/A,TRUE,"RESUMEN"}</definedName>
    <definedName name="OTRO">#REF!</definedName>
    <definedName name="otros">#REF!</definedName>
    <definedName name="OTROS_2">#REF!</definedName>
    <definedName name="OTS">#REF!</definedName>
    <definedName name="OverallProps">#REF!</definedName>
    <definedName name="OWNER" hidden="1">#REF!</definedName>
    <definedName name="OwnerApprovalRequirements">#REF!</definedName>
    <definedName name="OWOE" hidden="1">{#N/A,#N/A,FALSE,"TABLE"}</definedName>
    <definedName name="Oxide_Data">#REF!</definedName>
    <definedName name="Oxide_Parameters">#REF!</definedName>
    <definedName name="p">#REF!</definedName>
    <definedName name="p.BS" hidden="1">#REF!</definedName>
    <definedName name="p.BSAssumptions" hidden="1">#REF!</definedName>
    <definedName name="p.CapStructure" hidden="1">#REF!</definedName>
    <definedName name="p.CashFlow" hidden="1">#REF!</definedName>
    <definedName name="p.Cover" hidden="1">#REF!</definedName>
    <definedName name="p.Depreciation" hidden="1">#REF!</definedName>
    <definedName name="p.DivisionA" hidden="1">#REF!</definedName>
    <definedName name="p.DivisionB" hidden="1">#REF!</definedName>
    <definedName name="p.DivisionC" hidden="1">#REF!</definedName>
    <definedName name="p.DivisionD" hidden="1">#REF!</definedName>
    <definedName name="p.DivisionE" hidden="1">#REF!</definedName>
    <definedName name="p.DivisionF" hidden="1">#REF!</definedName>
    <definedName name="p.DivisionG" hidden="1">#REF!</definedName>
    <definedName name="p.DivisionH" hidden="1">#REF!</definedName>
    <definedName name="p.Executive" hidden="1">#REF!</definedName>
    <definedName name="p.FactSheet" hidden="1">#REF!</definedName>
    <definedName name="p.IS" hidden="1">#REF!</definedName>
    <definedName name="p.ISAssumptions" hidden="1">#REF!</definedName>
    <definedName name="p.OpeningBS" hidden="1">#REF!</definedName>
    <definedName name="p.TaxCalculation" hidden="1">#REF!</definedName>
    <definedName name="P_1">#N/A</definedName>
    <definedName name="P_2">#REF!</definedName>
    <definedName name="P_Cup">#REF!</definedName>
    <definedName name="P_Cus">#REF!</definedName>
    <definedName name="P_LTT">#REF!</definedName>
    <definedName name="p0p0" hidden="1">{"via1",#N/A,TRUE,"general";"via2",#N/A,TRUE,"general";"via3",#N/A,TRUE,"general"}</definedName>
    <definedName name="P1_PRNT">#REF!</definedName>
    <definedName name="P2_PRNT">#REF!</definedName>
    <definedName name="P3_PRNT">#REF!</definedName>
    <definedName name="PA" hidden="1">{#N/A,#N/A,FALSE,"CCTV"}</definedName>
    <definedName name="pacho" hidden="1">{#N/A,#N/A,FALSE,"CIBHA05A";#N/A,#N/A,FALSE,"CIBHA05B"}</definedName>
    <definedName name="PackageCriticallity">#REF!</definedName>
    <definedName name="PackageDiscipline">#REF!</definedName>
    <definedName name="PackageEngineer">#REF!</definedName>
    <definedName name="Page">#REF!</definedName>
    <definedName name="page_001">#REF!</definedName>
    <definedName name="PAGE1">#REF!</definedName>
    <definedName name="PAGE2">#REF!</definedName>
    <definedName name="PAGE3">#REF!</definedName>
    <definedName name="pageof_001">#REF!</definedName>
    <definedName name="Pago">#REF!</definedName>
    <definedName name="PAGOS">#REF!</definedName>
    <definedName name="Pal_Workbook_GUID" hidden="1">"M72PY2DRMYJDSB46TUIY6AQL"</definedName>
    <definedName name="panel_id_001">#REF!</definedName>
    <definedName name="parea">#REF!</definedName>
    <definedName name="PARETOV">#REF!</definedName>
    <definedName name="Parte_cuerpo">#REF!</definedName>
    <definedName name="Participants">#REF!</definedName>
    <definedName name="PASO1">#REF!</definedName>
    <definedName name="PASO2">#REF!</definedName>
    <definedName name="PASO3">#REF!</definedName>
    <definedName name="PASO4">#REF!</definedName>
    <definedName name="PASO5">#REF!</definedName>
    <definedName name="PASO6">#REF!</definedName>
    <definedName name="PASO7">#REF!</definedName>
    <definedName name="PASOELE">#REF!</definedName>
    <definedName name="pass">#REF!</definedName>
    <definedName name="patrocinio" hidden="1">{"'banner (abr)'!$A$14:$G$22"}</definedName>
    <definedName name="Pay_Date">#REF!</definedName>
    <definedName name="Pay_Num">#REF!</definedName>
    <definedName name="Payment_Date" localSheetId="0">DATE(YEAR([0]!Loan_Start),MONTH([0]!Loan_Start)+Payment_Number,DAY([0]!Loan_Start))</definedName>
    <definedName name="Payment_Date">DATE(YEAR(Loan_Start),MONTH(Loan_Start)+Payment_Number,DAY(Loan_Start))</definedName>
    <definedName name="PC">#N/A</definedName>
    <definedName name="PCA">#REF!</definedName>
    <definedName name="pcb">#REF!</definedName>
    <definedName name="pco">#REF!</definedName>
    <definedName name="pd_accumulation">#REF!</definedName>
    <definedName name="pd_accumulation_001">#REF!</definedName>
    <definedName name="pd_accumulation_uid">#REF!</definedName>
    <definedName name="pd_accumulation_uid_001">#REF!</definedName>
    <definedName name="pd_angle_of_repose_001">#REF!</definedName>
    <definedName name="pd_api_calc_type_001">#REF!</definedName>
    <definedName name="pd_api_degree_max_001">#REF!</definedName>
    <definedName name="pd_api_degree_min_001">#REF!</definedName>
    <definedName name="pd_api_degree_nor_001">#REF!</definedName>
    <definedName name="pd_api_group_id_001">#REF!</definedName>
    <definedName name="pd_bubble_pt_max_001">#REF!</definedName>
    <definedName name="pd_bubble_pt_min_001">#REF!</definedName>
    <definedName name="pd_bubble_pt_nor_001">#REF!</definedName>
    <definedName name="pd_bubble_pt_uid_001">#REF!</definedName>
    <definedName name="pd_build_tend_001">#REF!</definedName>
    <definedName name="pd_calc_code_001">#REF!</definedName>
    <definedName name="pd_chim_abstr_num_001">#REF!</definedName>
    <definedName name="pd_coagulat_001">#REF!</definedName>
    <definedName name="pd_colored_001">#REF!</definedName>
    <definedName name="pd_compres_base_001">#REF!</definedName>
    <definedName name="pd_compres_flow_max_001">#REF!</definedName>
    <definedName name="pd_compres_flow_min_001">#REF!</definedName>
    <definedName name="pd_compres_flow_nor">#REF!</definedName>
    <definedName name="pd_compres_flow_nor_001">#REF!</definedName>
    <definedName name="pd_conduct_resist_flg_001">#REF!</definedName>
    <definedName name="pd_conductivity_max_001">#REF!</definedName>
    <definedName name="pd_conductivity_min_001">#REF!</definedName>
    <definedName name="pd_conductivity_nor_001">#REF!</definedName>
    <definedName name="pd_conductivity_uid_001">#REF!</definedName>
    <definedName name="pd_const_back_pres">#REF!</definedName>
    <definedName name="pd_const_back_pres_001">#REF!</definedName>
    <definedName name="pd_const_back_pres_uflg_001">#REF!</definedName>
    <definedName name="pd_const_back_pres_uid_001">#REF!</definedName>
    <definedName name="pd_contain_parts_001">#REF!</definedName>
    <definedName name="pd_corrosive_001">#REF!</definedName>
    <definedName name="pd_cp_cv_max_001">#REF!</definedName>
    <definedName name="pd_cp_cv_min_001">#REF!</definedName>
    <definedName name="pd_cp_cv_nor">#REF!</definedName>
    <definedName name="pd_cp_cv_nor_001">#REF!</definedName>
    <definedName name="pd_critic_press_001">#REF!</definedName>
    <definedName name="pd_critic_press_uflg_001">#REF!</definedName>
    <definedName name="pd_critic_press_uid_001">#REF!</definedName>
    <definedName name="pd_dens_at_bas_uid_001">#REF!</definedName>
    <definedName name="pd_dens_at_base">#REF!</definedName>
    <definedName name="pd_dens_at_base_001">#REF!</definedName>
    <definedName name="pd_dens_comp_base_flg_001">#REF!</definedName>
    <definedName name="pd_dens_grav_base_flg_001">#REF!</definedName>
    <definedName name="pd_dens_grav_flg_001">#REF!</definedName>
    <definedName name="pd_dens_max_001">#REF!</definedName>
    <definedName name="pd_dens_min_001">#REF!</definedName>
    <definedName name="pd_dens_nor">#REF!</definedName>
    <definedName name="pd_dens_nor_001">#REF!</definedName>
    <definedName name="pd_dens_ref_001">#REF!</definedName>
    <definedName name="pd_dens_ref_uid_001">#REF!</definedName>
    <definedName name="pd_dens_uid_001">#REF!</definedName>
    <definedName name="pd_design_temp_max_001">#REF!</definedName>
    <definedName name="pd_design_temp_min">#REF!</definedName>
    <definedName name="pd_design_temp_min_001">#REF!</definedName>
    <definedName name="pd_design_temp_uid">#REF!</definedName>
    <definedName name="pd_design_temp_uid_001">#REF!</definedName>
    <definedName name="pd_dew_pt_max_001">#REF!</definedName>
    <definedName name="pd_dew_pt_min_001">#REF!</definedName>
    <definedName name="pd_dew_pt_nor_001">#REF!</definedName>
    <definedName name="pd_dew_pt_uid_001">#REF!</definedName>
    <definedName name="pd_entrained_gas_001">#REF!</definedName>
    <definedName name="pd_entrained_gas_uid_001">#REF!</definedName>
    <definedName name="pd_erosive_001">#REF!</definedName>
    <definedName name="pd_f_alarm_high_001">#REF!</definedName>
    <definedName name="pd_f_alarm_high_high_001">#REF!</definedName>
    <definedName name="pd_f_alarm_high_high_high_001">#REF!</definedName>
    <definedName name="pd_f_alarm_low_001">#REF!</definedName>
    <definedName name="pd_f_alarm_low_low_001">#REF!</definedName>
    <definedName name="pd_f_alarm_low_low_low_001">#REF!</definedName>
    <definedName name="pd_f_cntrl_pnt_001">#REF!</definedName>
    <definedName name="pd_f_cntrl_pnt_uid_001">#REF!</definedName>
    <definedName name="pd_f_range_max_001">#REF!</definedName>
    <definedName name="pd_f_range_min_001">#REF!</definedName>
    <definedName name="pd_f_range_nor_001">#REF!</definedName>
    <definedName name="pd_f_range_uflg_001">#REF!</definedName>
    <definedName name="pd_f_range_uid_001">#REF!</definedName>
    <definedName name="pd_f_trac_jacet_001">#REF!</definedName>
    <definedName name="pd_f_trip_alarm_uflg_001">#REF!</definedName>
    <definedName name="pd_f_trip_alarm_uid_001">#REF!</definedName>
    <definedName name="pd_f_trip_high_001">#REF!</definedName>
    <definedName name="pd_f_trip_high_high_001">#REF!</definedName>
    <definedName name="pd_f_trip_high_high_high_001">#REF!</definedName>
    <definedName name="pd_f_trip_low_001">#REF!</definedName>
    <definedName name="pd_f_trip_low_low_001">#REF!</definedName>
    <definedName name="pd_f_trip_low_low_low_001">#REF!</definedName>
    <definedName name="pd_f_valvtend_001">#REF!</definedName>
    <definedName name="pd_fire_case_001">#REF!</definedName>
    <definedName name="pd_flow_add_flag_001">#REF!</definedName>
    <definedName name="pd_flow_alarm_flag_001">#REF!</definedName>
    <definedName name="pd_flow_flag_001">#REF!</definedName>
    <definedName name="pd_flow_max">#REF!</definedName>
    <definedName name="pd_flow_max_001">#REF!</definedName>
    <definedName name="pd_flow_min">#REF!</definedName>
    <definedName name="pd_flow_min_001">#REF!</definedName>
    <definedName name="pd_flow_nor">#REF!</definedName>
    <definedName name="pd_flow_nor_001">#REF!</definedName>
    <definedName name="pd_flow_uflg_001">#REF!</definedName>
    <definedName name="pd_flow_uid_001">#REF!</definedName>
    <definedName name="pd_fluid_name">#REF!</definedName>
    <definedName name="pd_fluid_name_001">#REF!</definedName>
    <definedName name="pd_fluid_phase_001">#REF!</definedName>
    <definedName name="pd_fluid_stat_001">#REF!</definedName>
    <definedName name="pd_gas_comp_dens_flg_001">#REF!</definedName>
    <definedName name="pd_gas_mm_grav_flg_001">#REF!</definedName>
    <definedName name="pd_heat_max_001">#REF!</definedName>
    <definedName name="pd_heat_min_001">#REF!</definedName>
    <definedName name="pd_heat_nor_001">#REF!</definedName>
    <definedName name="pd_heat_uid_001">#REF!</definedName>
    <definedName name="pd_isize_phase_001">#REF!</definedName>
    <definedName name="pd_latent_heat_max_001">#REF!</definedName>
    <definedName name="pd_latent_heat_min_001">#REF!</definedName>
    <definedName name="pd_latent_heat_nor">#REF!</definedName>
    <definedName name="pd_latent_heat_nor_001">#REF!</definedName>
    <definedName name="pd_latent_heat_uid">#REF!</definedName>
    <definedName name="pd_latent_heat_uid_001">#REF!</definedName>
    <definedName name="pd_line_eq_flg_001">#REF!</definedName>
    <definedName name="pd_lmt_pres_001">#REF!</definedName>
    <definedName name="pd_lmt_pres_uid_001">#REF!</definedName>
    <definedName name="pd_lower_density">#REF!</definedName>
    <definedName name="pd_lower_density_001">#REF!</definedName>
    <definedName name="pd_lower_density_uid_001">#REF!</definedName>
    <definedName name="pd_lower_fluid_name">#REF!</definedName>
    <definedName name="pd_lower_fluid_name_001">#REF!</definedName>
    <definedName name="pd_max_discharge">#REF!</definedName>
    <definedName name="pd_max_discharge_001">#REF!</definedName>
    <definedName name="pd_max_discharge_uflg_001">#REF!</definedName>
    <definedName name="pd_max_discharge_uid_001">#REF!</definedName>
    <definedName name="pd_molecular_mass">#REF!</definedName>
    <definedName name="pd_molecular_mass_001">#REF!</definedName>
    <definedName name="pd_non_fire_case_001">#REF!</definedName>
    <definedName name="pd_note_001">#REF!</definedName>
    <definedName name="pd_oxidizing_001">#REF!</definedName>
    <definedName name="pd_ph_orp_max_001">#REF!</definedName>
    <definedName name="pd_ph_orp_min_001">#REF!</definedName>
    <definedName name="pd_ph_orp_nor_001">#REF!</definedName>
    <definedName name="pd_ph_orp_uid_001">#REF!</definedName>
    <definedName name="pd_press_base">#REF!</definedName>
    <definedName name="pd_press_base_001">#REF!</definedName>
    <definedName name="pd_press_base_uid_001">#REF!</definedName>
    <definedName name="pd_press_des">#REF!</definedName>
    <definedName name="pd_press_des_001">#REF!</definedName>
    <definedName name="pd_press_des_min_001">#REF!</definedName>
    <definedName name="pd_press_des_min_uflg_001">#REF!</definedName>
    <definedName name="pd_press_des_min_uid_001">#REF!</definedName>
    <definedName name="pd_press_des_uflg_001">#REF!</definedName>
    <definedName name="pd_press_des_uid_001">#REF!</definedName>
    <definedName name="pd_press_drp_max_001">#REF!</definedName>
    <definedName name="pd_press_drp_min_001">#REF!</definedName>
    <definedName name="pd_press_drp_nor_001">#REF!</definedName>
    <definedName name="pd_press_drp_uid_001">#REF!</definedName>
    <definedName name="pd_press_max">#REF!</definedName>
    <definedName name="pd_press_max_001">#REF!</definedName>
    <definedName name="pd_press_min">#REF!</definedName>
    <definedName name="pd_press_min_001">#REF!</definedName>
    <definedName name="pd_press_nor">#REF!</definedName>
    <definedName name="pd_press_nor_001">#REF!</definedName>
    <definedName name="pd_press_uflg_001">#REF!</definedName>
    <definedName name="pd_press_uid_001">#REF!</definedName>
    <definedName name="pd_pulsation_001">#REF!</definedName>
    <definedName name="pd_relief_temp">#REF!</definedName>
    <definedName name="pd_relief_temp_001">#REF!</definedName>
    <definedName name="pd_relief_temp_uid_001">#REF!</definedName>
    <definedName name="pd_resistivity_max_001">#REF!</definedName>
    <definedName name="pd_resistivity_min_001">#REF!</definedName>
    <definedName name="pd_resistivity_nor_001">#REF!</definedName>
    <definedName name="pd_resistivity_uid_001">#REF!</definedName>
    <definedName name="pd_return_pres_design_001">#REF!</definedName>
    <definedName name="pd_return_pres_design_uflg_001">#REF!</definedName>
    <definedName name="pd_return_pres_design_uid_001">#REF!</definedName>
    <definedName name="pd_return_pres_max_001">#REF!</definedName>
    <definedName name="pd_return_pres_min_001">#REF!</definedName>
    <definedName name="pd_return_pres_nor_001">#REF!</definedName>
    <definedName name="pd_return_pres_uflg_001">#REF!</definedName>
    <definedName name="pd_return_pres_uid_001">#REF!</definedName>
    <definedName name="pd_return_temp_design_001">#REF!</definedName>
    <definedName name="pd_return_temp_max_001">#REF!</definedName>
    <definedName name="pd_return_temp_min_001">#REF!</definedName>
    <definedName name="pd_return_temp_nor_001">#REF!</definedName>
    <definedName name="pd_return_temp_uid_001">#REF!</definedName>
    <definedName name="pd_saturat_temp_001">#REF!</definedName>
    <definedName name="pd_schedul_001">#REF!</definedName>
    <definedName name="pd_size_001">#REF!</definedName>
    <definedName name="pd_size_uid_001">#REF!</definedName>
    <definedName name="pd_solidfy_001">#REF!</definedName>
    <definedName name="pd_solids_qt_001">#REF!</definedName>
    <definedName name="pd_solids_qt_uid_001">#REF!</definedName>
    <definedName name="pd_solids_size_001">#REF!</definedName>
    <definedName name="pd_solids_size_uid_001">#REF!</definedName>
    <definedName name="pd_source_001">#REF!</definedName>
    <definedName name="pd_source_type_001">#REF!</definedName>
    <definedName name="pd_spec_grav_base">#REF!</definedName>
    <definedName name="pd_spec_grav_base_001">#REF!</definedName>
    <definedName name="pd_spec_grav_max_001">#REF!</definedName>
    <definedName name="pd_spec_grav_min_001">#REF!</definedName>
    <definedName name="pd_spec_grav_nor">#REF!</definedName>
    <definedName name="pd_spec_grav_nor_001">#REF!</definedName>
    <definedName name="pd_spec_grav_ref_001">#REF!</definedName>
    <definedName name="pd_stat_001">#REF!</definedName>
    <definedName name="pd_temp_base">#REF!</definedName>
    <definedName name="pd_temp_base_001">#REF!</definedName>
    <definedName name="pd_temp_base_uid_001">#REF!</definedName>
    <definedName name="pd_temp_max">#REF!</definedName>
    <definedName name="pd_temp_max_001">#REF!</definedName>
    <definedName name="pd_temp_min">#REF!</definedName>
    <definedName name="pd_temp_min_001">#REF!</definedName>
    <definedName name="pd_temp_nor">#REF!</definedName>
    <definedName name="pd_temp_nor_001">#REF!</definedName>
    <definedName name="pd_temp_ref_001">#REF!</definedName>
    <definedName name="pd_temp_ref_uid_001">#REF!</definedName>
    <definedName name="pd_temp_uid_001">#REF!</definedName>
    <definedName name="pd_term_shock_001">#REF!</definedName>
    <definedName name="pd_toxic_001">#REF!</definedName>
    <definedName name="pd_transparent_001">#REF!</definedName>
    <definedName name="pd_udf_c01_001">#REF!</definedName>
    <definedName name="pd_udf_c02_001">#REF!</definedName>
    <definedName name="pd_udf_c03">#REF!</definedName>
    <definedName name="pd_udf_c03_001">#REF!</definedName>
    <definedName name="pd_udf_c04">#REF!</definedName>
    <definedName name="pd_udf_c04_001">#REF!</definedName>
    <definedName name="pd_udf_c05">#REF!</definedName>
    <definedName name="pd_udf_c05_001">#REF!</definedName>
    <definedName name="pd_udf_c06">#REF!</definedName>
    <definedName name="pd_udf_c06_001">#REF!</definedName>
    <definedName name="pd_udf_c07_001">#REF!</definedName>
    <definedName name="pd_udf_c08_001">#REF!</definedName>
    <definedName name="pd_udf_c09">#REF!</definedName>
    <definedName name="pd_udf_c09_001">#REF!</definedName>
    <definedName name="pd_udf_c10_001">#REF!</definedName>
    <definedName name="pd_udf_c11_001">#REF!</definedName>
    <definedName name="pd_udf_c12_001">#REF!</definedName>
    <definedName name="pd_udf_c13_001">#REF!</definedName>
    <definedName name="pd_udf_c14_001">#REF!</definedName>
    <definedName name="pd_udf_c15_001">#REF!</definedName>
    <definedName name="pd_udf_c16_001">#REF!</definedName>
    <definedName name="pd_udf_c17_001">#REF!</definedName>
    <definedName name="pd_udf_c18_001">#REF!</definedName>
    <definedName name="pd_udf_c19_001">#REF!</definedName>
    <definedName name="pd_udf_c20_001">#REF!</definedName>
    <definedName name="pd_unit_percent_001">#REF!</definedName>
    <definedName name="pd_vap_press_max_001">#REF!</definedName>
    <definedName name="pd_vap_press_min_001">#REF!</definedName>
    <definedName name="pd_vap_press_nor">#REF!</definedName>
    <definedName name="pd_vap_press_nor_001">#REF!</definedName>
    <definedName name="pd_vap_press_uflg_001">#REF!</definedName>
    <definedName name="pd_vap_press_uid_001">#REF!</definedName>
    <definedName name="pd_var_back_pres">#REF!</definedName>
    <definedName name="pd_var_back_pres_001">#REF!</definedName>
    <definedName name="pd_var_back_pres_uflg_001">#REF!</definedName>
    <definedName name="pd_var_back_pres_uid_001">#REF!</definedName>
    <definedName name="pd_velocity_max_001">#REF!</definedName>
    <definedName name="pd_velocity_min_001">#REF!</definedName>
    <definedName name="pd_velocity_nor_001">#REF!</definedName>
    <definedName name="pd_velocity_uid_001">#REF!</definedName>
    <definedName name="pd_vibration_001">#REF!</definedName>
    <definedName name="pd_visc_max_001">#REF!</definedName>
    <definedName name="pd_visc_min_001">#REF!</definedName>
    <definedName name="pd_visc_nor">#REF!</definedName>
    <definedName name="pd_visc_nor_001">#REF!</definedName>
    <definedName name="pd_visc_uid">#REF!</definedName>
    <definedName name="pd_visc_uid_001">#REF!</definedName>
    <definedName name="PEND">#REF!</definedName>
    <definedName name="pendiente" hidden="1">#REF!</definedName>
    <definedName name="PER">#REF!</definedName>
    <definedName name="Perd_Fecha">#REF!</definedName>
    <definedName name="PERFORM">#REF!</definedName>
    <definedName name="Periodo">#REF!</definedName>
    <definedName name="Periodo1">#REF!</definedName>
    <definedName name="Período1">#REF!</definedName>
    <definedName name="PERIODO2">#REF!</definedName>
    <definedName name="Período2">#REF!</definedName>
    <definedName name="Periodo3">#REF!</definedName>
    <definedName name="Período3">#REF!</definedName>
    <definedName name="Periodo4">#REF!</definedName>
    <definedName name="Periodod2">#REF!</definedName>
    <definedName name="PERIODOS.SMML">#REF!</definedName>
    <definedName name="PERIODS.SMML">#REF!</definedName>
    <definedName name="Permits">#REF!</definedName>
    <definedName name="PERRD">#REF!</definedName>
    <definedName name="PERSONAL">#REF!</definedName>
    <definedName name="PERU" hidden="1">{#N/A,#N/A,FALSE,"DMC schedule";#N/A,#N/A,FALSE,"DMC_THC Revenue";#N/A,#N/A,FALSE,"Personnel plan";#N/A,#N/A,FALSE,"Capex HW+SW";#N/A,#N/A,FALSE,"P&amp;L"}</definedName>
    <definedName name="PESO_IT_1">#REF!</definedName>
    <definedName name="PESO_IT_10">#REF!</definedName>
    <definedName name="PESO_IT_11">#REF!</definedName>
    <definedName name="PESO_IT_12">#REF!</definedName>
    <definedName name="PESO_IT_13">#REF!</definedName>
    <definedName name="PESO_IT_14">#REF!</definedName>
    <definedName name="PESO_IT_15">#REF!</definedName>
    <definedName name="PESO_IT_16">#REF!</definedName>
    <definedName name="PESO_IT_17">#REF!</definedName>
    <definedName name="PESO_IT_18">#REF!</definedName>
    <definedName name="PESO_IT_19">#REF!</definedName>
    <definedName name="PESO_IT_2">#REF!</definedName>
    <definedName name="PESO_IT_20">#REF!</definedName>
    <definedName name="PESO_IT_21">#REF!</definedName>
    <definedName name="PESO_IT_22">#REF!</definedName>
    <definedName name="PESO_IT_23">#REF!</definedName>
    <definedName name="PESO_IT_24">#REF!</definedName>
    <definedName name="PESO_IT_3">#REF!</definedName>
    <definedName name="PESO_IT_4">#REF!</definedName>
    <definedName name="PESO_IT_5">#REF!</definedName>
    <definedName name="PESO_IT_6">#REF!</definedName>
    <definedName name="PESO_IT_7">#REF!</definedName>
    <definedName name="PESO_IT_8">#REF!</definedName>
    <definedName name="PESO_IT_9">#REF!</definedName>
    <definedName name="peso95015">#REF!</definedName>
    <definedName name="PESOS" hidden="1">{#N/A,#N/A,FALSE,"T1C97";#N/A,#N/A,FALSE,"T2C97";#N/A,#N/A,FALSE,"T3AC97";#N/A,#N/A,FALSE,"T4C97";#N/A,#N/A,FALSE,"T5C97";#N/A,#N/A,FALSE,"T6C97";#N/A,#N/A,FALSE,"T3C97";#N/A,#N/A,FALSE,"T7C97";#N/A,#N/A,FALSE,"T8C97";#N/A,#N/A,FALSE,"T9C97";#N/A,#N/A,FALSE,"T13C97"}</definedName>
    <definedName name="pet" hidden="1">#REF!</definedName>
    <definedName name="petro2" hidden="1">#REF!</definedName>
    <definedName name="Petróleo_y_Gas_Occidente">#N/A</definedName>
    <definedName name="PHASE" hidden="1">{#N/A,#N/A,TRUE,"Basic";#N/A,#N/A,TRUE,"EXT-TABLE";#N/A,#N/A,TRUE,"STEEL";#N/A,#N/A,TRUE,"INT-Table";#N/A,#N/A,TRUE,"STEEL";#N/A,#N/A,TRUE,"Door"}</definedName>
    <definedName name="phase1_001">#REF!</definedName>
    <definedName name="Phase2">#REF!</definedName>
    <definedName name="phase2_001">#REF!</definedName>
    <definedName name="phase3_001">#REF!</definedName>
    <definedName name="PhaseI">#REF!</definedName>
    <definedName name="PhaseIandII">#REF!</definedName>
    <definedName name="PhaseII">#REF!</definedName>
    <definedName name="phed">#REF!</definedName>
    <definedName name="phen">#REF!</definedName>
    <definedName name="pi">#REF!</definedName>
    <definedName name="PICKUP">#N/A</definedName>
    <definedName name="pico" hidden="1">{#N/A,#N/A,FALSE,"masez (10)";#N/A,#N/A,FALSE,"masez (7)";#N/A,#N/A,FALSE,"masez (6)";#N/A,#N/A,FALSE,"masez (5)";#N/A,#N/A,FALSE,"masez (4)";#N/A,#N/A,FALSE,"masez (3)";#N/A,#N/A,FALSE,"masez (2)";#N/A,#N/A,FALSE,"GME";#N/A,#N/A,FALSE,"masez"}</definedName>
    <definedName name="PID">#REF!</definedName>
    <definedName name="pid_no_001">#REF!</definedName>
    <definedName name="PILOTE">#REF!</definedName>
    <definedName name="pint">#REF!</definedName>
    <definedName name="pintura">#REF!</definedName>
    <definedName name="pintyura">#REF!</definedName>
    <definedName name="PIP">#REF!</definedName>
    <definedName name="pipe_class_001">#REF!</definedName>
    <definedName name="pipe_class_id_001">#REF!</definedName>
    <definedName name="piping">#REF!</definedName>
    <definedName name="PipingRequirements">#REF!</definedName>
    <definedName name="PipingSpecialtyList">#REF!</definedName>
    <definedName name="pit" hidden="1">#REF!</definedName>
    <definedName name="PIVOL" hidden="1">{#N/A,#N/A,FALSE,"DMC schedule";#N/A,#N/A,FALSE,"DMC_THC Revenue";#N/A,#N/A,FALSE,"Personnel plan";#N/A,#N/A,FALSE,"Capex HW+SW";#N/A,#N/A,FALSE,"P&amp;L"}</definedName>
    <definedName name="pj" hidden="1">{"INCOME",#N/A,FALSE,"ProNet";"VALUE",#N/A,FALSE,"ProNet"}</definedName>
    <definedName name="PJAM3Yr" hidden="1">{"INCOME",#N/A,FALSE,"ProNet";"VALUE",#N/A,FALSE,"ProNet"}</definedName>
    <definedName name="PKGAK" hidden="1">{#N/A,#N/A,FALSE,"VOL695";#N/A,#N/A,FALSE,"anexo1";#N/A,#N/A,FALSE,"anexo2";#N/A,#N/A,FALSE,"anexo3";#N/A,#N/A,FALSE,"anexo4";#N/A,#N/A,FALSE,"anexo5a";#N/A,#N/A,FALSE,"anexo5b";#N/A,#N/A,FALSE,"anexo6a";#N/A,#N/A,FALSE,"anexo6a";#N/A,#N/A,FALSE,"anexo6c";#N/A,#N/A,FALSE,"anexo7a";#N/A,#N/A,FALSE,"anexo7b";#N/A,#N/A,FALSE,"anexo7c"}</definedName>
    <definedName name="PKHK" hidden="1">{"TAB1",#N/A,TRUE,"GENERAL";"TAB2",#N/A,TRUE,"GENERAL";"TAB3",#N/A,TRUE,"GENERAL";"TAB4",#N/A,TRUE,"GENERAL";"TAB5",#N/A,TRUE,"GENERAL"}</definedName>
    <definedName name="pkj" hidden="1">{"TAB1",#N/A,TRUE,"GENERAL";"TAB2",#N/A,TRUE,"GENERAL";"TAB3",#N/A,TRUE,"GENERAL";"TAB4",#N/A,TRUE,"GENERAL";"TAB5",#N/A,TRUE,"GENERAL"}</definedName>
    <definedName name="PLACAS" hidden="1">#REF!</definedName>
    <definedName name="PLAD" hidden="1">{"TAB1",#N/A,TRUE,"GENERAL";"TAB2",#N/A,TRUE,"GENERAL";"TAB3",#N/A,TRUE,"GENERAL";"TAB4",#N/A,TRUE,"GENERAL";"TAB5",#N/A,TRUE,"GENERAL"}</definedName>
    <definedName name="PLAN">#REF!</definedName>
    <definedName name="PLAN_2001_ASOCIACION_PALERMO_Sheet2_List">#REF!,#REF!</definedName>
    <definedName name="Planeado_COSTOS">#REF!</definedName>
    <definedName name="PLANO">#REF!</definedName>
    <definedName name="plant_id_001">#REF!</definedName>
    <definedName name="PLANTA_ALISALES">#REF!</definedName>
    <definedName name="PLANTA_GUAMUEZ">#REF!</definedName>
    <definedName name="Planta_Oleod">#REF!</definedName>
    <definedName name="PLANTA_ORITO">#REF!</definedName>
    <definedName name="Planta_Tumaco">#REF!</definedName>
    <definedName name="Plazo">#REF!</definedName>
    <definedName name="PlazoAIU">#REF!</definedName>
    <definedName name="plba">#REF!</definedName>
    <definedName name="plbs">#REF!</definedName>
    <definedName name="plot">#REF!</definedName>
    <definedName name="PlotPlan">#REF!</definedName>
    <definedName name="PLPLUNN" hidden="1">{"TAB1",#N/A,TRUE,"GENERAL";"TAB2",#N/A,TRUE,"GENERAL";"TAB3",#N/A,TRUE,"GENERAL";"TAB4",#N/A,TRUE,"GENERAL";"TAB5",#N/A,TRUE,"GENERAL"}</definedName>
    <definedName name="PLUG" hidden="1">#REF!</definedName>
    <definedName name="plva">#REF!</definedName>
    <definedName name="plvs">#REF!</definedName>
    <definedName name="PMM">#REF!</definedName>
    <definedName name="PMR_APPROVED">#REF!</definedName>
    <definedName name="PMS">#REF!</definedName>
    <definedName name="pmsa" hidden="1">{"'banner (abr)'!$A$14:$G$22"}</definedName>
    <definedName name="pmt" hidden="1">{#N/A,#N/A,TRUE,"INGENIERIA";#N/A,#N/A,TRUE,"COMPRAS";#N/A,#N/A,TRUE,"DIRECCION";#N/A,#N/A,TRUE,"RESUMEN"}</definedName>
    <definedName name="PN2건축"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기계배관공정"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배관공정"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ame">#REF!</definedName>
    <definedName name="PName2">#REF!</definedName>
    <definedName name="PO">#REF!</definedName>
    <definedName name="POD_LAKE">#N/A</definedName>
    <definedName name="POD_LAND">#N/A</definedName>
    <definedName name="POD_MOV">#N/A</definedName>
    <definedName name="Podatek" hidden="1">{#N/A,#N/A,FALSE,"F-01";#N/A,#N/A,FALSE,"F-01";#N/A,#N/A,FALSE,"F-01"}</definedName>
    <definedName name="poi" hidden="1">#REF!</definedName>
    <definedName name="POIUP" hidden="1">{"via1",#N/A,TRUE,"general";"via2",#N/A,TRUE,"general";"via3",#N/A,TRUE,"general"}</definedName>
    <definedName name="poiuytr" hidden="1">{#N/A,#N/A,FALSE,"Estatico";#N/A,#N/A,FALSE,"Tuberia";#N/A,#N/A,FALSE,"Instrumentación";#N/A,#N/A,FALSE,"Mecanica";#N/A,#N/A,FALSE,"Electrico";#N/A,#N/A,FALSE,"Ofic.Civiles"}</definedName>
    <definedName name="poiuytrewq" hidden="1">{#N/A,#N/A,FALSE,"orthoflow";#N/A,#N/A,FALSE,"Miscelaneos";#N/A,#N/A,FALSE,"Instrumentacio";#N/A,#N/A,FALSE,"Electrico";#N/A,#N/A,FALSE,"Valv. Seguridad"}</definedName>
    <definedName name="POL" hidden="1">{#N/A,#N/A,FALSE,"Hoja1";#N/A,#N/A,FALSE,"Hoja2"}</definedName>
    <definedName name="polb" hidden="1">{#N/A,#N/A,FALSE,"Hoja1";#N/A,#N/A,FALSE,"Hoja2"}</definedName>
    <definedName name="polo" hidden="1">#REF!</definedName>
    <definedName name="PON">#REF!</definedName>
    <definedName name="poo">#REF!</definedName>
    <definedName name="POP" hidden="1">{#N/A,#N/A,FALSE,"TABLE"}</definedName>
    <definedName name="popop" hidden="1">{"via1",#N/A,TRUE,"general";"via2",#N/A,TRUE,"general";"via3",#N/A,TRUE,"general"}</definedName>
    <definedName name="popp" hidden="1">{"via1",#N/A,TRUE,"general";"via2",#N/A,TRUE,"general";"via3",#N/A,TRUE,"general"}</definedName>
    <definedName name="popvds" hidden="1">{"TAB1",#N/A,TRUE,"GENERAL";"TAB2",#N/A,TRUE,"GENERAL";"TAB3",#N/A,TRUE,"GENERAL";"TAB4",#N/A,TRUE,"GENERAL";"TAB5",#N/A,TRUE,"GENERAL"}</definedName>
    <definedName name="PORCE">#REF!</definedName>
    <definedName name="PORCENTAJE">#REF!</definedName>
    <definedName name="PORCENTAJES">#REF!</definedName>
    <definedName name="PORTOTAL">#REF!</definedName>
    <definedName name="PosPhases">#REF!</definedName>
    <definedName name="postales" hidden="1">{"'banner (abr)'!$A$14:$G$22"}</definedName>
    <definedName name="POSTE_LUMINARIA_SENCILLA">#REF!</definedName>
    <definedName name="pot" hidden="1">#REF!</definedName>
    <definedName name="pouig" hidden="1">{"via1",#N/A,TRUE,"general";"via2",#N/A,TRUE,"general";"via3",#N/A,TRUE,"general"}</definedName>
    <definedName name="POWER">#N/A</definedName>
    <definedName name="power_distribution_board_001">#REF!</definedName>
    <definedName name="power_factor_full_load_001">#REF!</definedName>
    <definedName name="power_supply_type_flag_001">#REF!</definedName>
    <definedName name="POZO" hidden="1">"M:\Datos\PRESUPUESTO Vs GASTOS\DB EJECUCION  PvsG-0SM.mdb"</definedName>
    <definedName name="Pozos_Colorados">#REF!</definedName>
    <definedName name="PP" hidden="1">{#N/A,#N/A,TRUE,"Budget";#N/A,#N/A,TRUE,"Balance Sheet";#N/A,#N/A,TRUE,"Cash Flow"}</definedName>
    <definedName name="PPK" hidden="1">{#N/A,#N/A,FALSE,"96 3월물량표";#N/A,#N/A,FALSE,"96 4월물량표";#N/A,#N/A,FALSE,"96 5월물량표"}</definedName>
    <definedName name="PPP" hidden="1">{#N/A,#N/A,FALSE,"CCTV"}</definedName>
    <definedName name="PPPP" hidden="1">{#N/A,#N/A,FALSE,"orthoflow";#N/A,#N/A,FALSE,"Miscelaneos";#N/A,#N/A,FALSE,"Instrumentacio";#N/A,#N/A,FALSE,"Electrico";#N/A,#N/A,FALSE,"Valv. Seguridad"}</definedName>
    <definedName name="PPPPP" hidden="1">{#N/A,#N/A,FALSE,"Costos Productos 6A";#N/A,#N/A,FALSE,"Costo Unitario Total H-94-12"}</definedName>
    <definedName name="ppppp9" hidden="1">{"via1",#N/A,TRUE,"general";"via2",#N/A,TRUE,"general";"via3",#N/A,TRUE,"general"}</definedName>
    <definedName name="pppppd" hidden="1">{"TAB1",#N/A,TRUE,"GENERAL";"TAB2",#N/A,TRUE,"GENERAL";"TAB3",#N/A,TRUE,"GENERAL";"TAB4",#N/A,TRUE,"GENERAL";"TAB5",#N/A,TRUE,"GENERAL"}</definedName>
    <definedName name="ppppppp" hidden="1">{#N/A,#N/A,FALSE,"Costos Contables CIB A 12 1994";#N/A,#N/A,FALSE,"Cuadre Contab. y C. OP"}</definedName>
    <definedName name="pppppppppp" hidden="1">{#N/A,#N/A,FALSE,"Solids Only"}</definedName>
    <definedName name="PPPPPPPPPPPPPPPPPPPPPPPPPPPPP">#REF!</definedName>
    <definedName name="ppspsps" hidden="1">{"Informe 1_Consolidado",#N/A,FALSE,"Cons.";"Informe 1_Tunel",#N/A,FALSE,"Cons.";"Informe 1_Melip",#N/A,FALSE,"Cons.";"Informe 1_Guall",#N/A,FALSE,"Cons.";"Informe 1_Sara L",#N/A,FALSE,"Cons.";"Informe 1_Quellon",#N/A,FALSE,"Cons.";"Informe 1_Biolix",#N/A,FALSE,"Cons.";"Informe 1_Oficina",#N/A,FALSE,"Cons.";"Informe 1_Consorcio",#N/A,FALSE,"Cons."}</definedName>
    <definedName name="PPT" hidden="1">#REF!</definedName>
    <definedName name="PPTACUM" hidden="1">{#N/A,#N/A,FALSE,"SOACHA"}</definedName>
    <definedName name="PPTACUMG" hidden="1">{#N/A,#N/A,FALSE,"SOACHA"}</definedName>
    <definedName name="PPTO">#REF!</definedName>
    <definedName name="ppx" hidden="1">#REF!</definedName>
    <definedName name="PQR" hidden="1">{#N/A,#N/A,FALSE,"TABLE"}</definedName>
    <definedName name="pqroj" hidden="1">{"via1",#N/A,TRUE,"general";"via2",#N/A,TRUE,"general";"via3",#N/A,TRUE,"general"}</definedName>
    <definedName name="PRE">#REF!</definedName>
    <definedName name="prechancado" hidden="1">{#N/A,#N/A,FALSE,"RESUMEN";#N/A,#N/A,FALSE,"GG-GI";#N/A,#N/A,FALSE,"AMB";#N/A,#N/A,FALSE,"EyR";#N/A,#N/A,FALSE,"UCP";#N/A,#N/A,FALSE,"IND";#N/A,#N/A,FALSE,"LR";#N/A,#N/A,FALSE,"PRV";#N/A,#N/A,FALSE,"TÚNELES";#N/A,#N/A,FALSE,"IDT";#N/A,#N/A,FALSE,"ING"}</definedName>
    <definedName name="PRECIO">#REF!</definedName>
    <definedName name="PRECIO_OBJETIVO_PTO" hidden="1">{#N/A,#N/A,FALSE,"Costos Productos 6A";#N/A,#N/A,FALSE,"Costo Unitario Total H-94-12"}</definedName>
    <definedName name="precios">#REF!</definedName>
    <definedName name="PreciosMP">#REF!</definedName>
    <definedName name="PREMSA" hidden="1">{"'banner (abr)'!$A$14:$G$22"}</definedName>
    <definedName name="PRESA_TAMBORES">#REF!</definedName>
    <definedName name="PRESS_ATM">#REF!</definedName>
    <definedName name="PREST">#REF!</definedName>
    <definedName name="PRESTACIONES">#REF!</definedName>
    <definedName name="PRESTACIONES_SOCIALES">#REF!</definedName>
    <definedName name="presu" hidden="1">{#N/A,#N/A,FALSE,"Hoja1";#N/A,#N/A,FALSE,"Hoja2"}</definedName>
    <definedName name="presu2" hidden="1">{#N/A,#N/A,FALSE,"Hoja1";#N/A,#N/A,FALSE,"Hoja2"}</definedName>
    <definedName name="PresuDerivGuatDef" hidden="1">{"via1",#N/A,TRUE,"general";"via2",#N/A,TRUE,"general";"via3",#N/A,TRUE,"general"}</definedName>
    <definedName name="PresuPresaDef" hidden="1">{"via1",#N/A,TRUE,"general";"via2",#N/A,TRUE,"general";"via3",#N/A,TRUE,"general"}</definedName>
    <definedName name="PRESUPUESTO">#REF!</definedName>
    <definedName name="prevDates">#REF!</definedName>
    <definedName name="PreviousData">#REF!</definedName>
    <definedName name="PREVISTO">#REF!</definedName>
    <definedName name="prevUnrRev">#REF!</definedName>
    <definedName name="Primarios">#REF!</definedName>
    <definedName name="PRIMAS">#REF!</definedName>
    <definedName name="PRIMER" hidden="1">{"via1",#N/A,TRUE,"general";"via2",#N/A,TRUE,"general";"via3",#N/A,TRUE,"general"}</definedName>
    <definedName name="PRIMERA">#REF!</definedName>
    <definedName name="PRIMERO">#REF!</definedName>
    <definedName name="PRIMES">#N/A</definedName>
    <definedName name="PRIMET" hidden="1">{"TAB1",#N/A,TRUE,"GENERAL";"TAB2",#N/A,TRUE,"GENERAL";"TAB3",#N/A,TRUE,"GENERAL";"TAB4",#N/A,TRUE,"GENERAL";"TAB5",#N/A,TRUE,"GENERAL"}</definedName>
    <definedName name="PRIMO">#REF!</definedName>
    <definedName name="Princ">#REF!</definedName>
    <definedName name="PRINCIPAL">#N/A</definedName>
    <definedName name="PRINT" hidden="1">{#N/A,#N/A,FALSE,"FRONT";#N/A,#N/A,FALSE,"TOTAL";#N/A,#N/A,FALSE,"ADMIN EXPL Dept.";#N/A,#N/A,FALSE,"ANAexpl.V";#N/A,#N/A,FALSE,"ANA expl. H";#N/A,#N/A,FALSE,"ANAdev. V.";#N/A,#N/A,FALSE,"ANA dev. H.";#N/A,#N/A,FALSE,"BHP V";#N/A,#N/A,FALSE,"BHP H.";#N/A,#N/A,FALSE,"OMAN V.";#N/A,#N/A,FALSE,"OMAN H.";#N/A,#N/A,FALSE,"MARATUA V.";#N/A,#N/A,FALSE,"MARATUA H.";#N/A,#N/A,FALSE,"KARANG V.";#N/A,#N/A,FALSE,"KARANG H";#N/A,#N/A,FALSE,"HORNGRABEN V";#N/A,#N/A,FALSE,"HORNGRABEN H";#N/A,#N/A,FALSE,"DOK;UK";#N/A,#N/A,FALSE,"FAROE ISLANDS"}</definedName>
    <definedName name="PRINT_AREA_MI">#N/A</definedName>
    <definedName name="Print_Area_Reset">OFFSET(Full_Print,0,0,Last_Row)</definedName>
    <definedName name="Print_Brief">#REF!</definedName>
    <definedName name="PRINT_TITLES_MI">#N/A</definedName>
    <definedName name="PRINT1">#REF!</definedName>
    <definedName name="PRINT2">#REF!</definedName>
    <definedName name="PrintEnd" hidden="1">#REF!</definedName>
    <definedName name="PrintStart" hidden="1">#REF!</definedName>
    <definedName name="prn">#REF!</definedName>
    <definedName name="prnf">#REF!</definedName>
    <definedName name="Probabilidades">#REF!</definedName>
    <definedName name="ProbRange">0</definedName>
    <definedName name="ProbRangeMit">0</definedName>
    <definedName name="proc">#REF!</definedName>
    <definedName name="proc_func_id_001">#REF!</definedName>
    <definedName name="Processes">#REF!</definedName>
    <definedName name="ProcessFlowSheets">#REF!</definedName>
    <definedName name="ProcessSimplification">#REF!</definedName>
    <definedName name="ProcurementMatrix">#REF!</definedName>
    <definedName name="ProcurementOfficer">#REF!</definedName>
    <definedName name="ProcurementProcedures">#REF!</definedName>
    <definedName name="ProdForm" hidden="1">#REF!</definedName>
    <definedName name="ProdInv_P90">#REF!</definedName>
    <definedName name="producciones" hidden="1">{"'banner (abr)'!$A$14:$G$22"}</definedName>
    <definedName name="Product" hidden="1">#REF!</definedName>
    <definedName name="PRODUCTO">#REF!</definedName>
    <definedName name="Products">#REF!</definedName>
    <definedName name="PrOfic">#REF!</definedName>
    <definedName name="PROG" hidden="1">#REF!</definedName>
    <definedName name="PROGINC" hidden="1">{"DETALLE_1996",#N/A,FALSE,"flujo";"DETALLE_1997",#N/A,FALSE,"flujo";"GASTOS_INCURRIDOS_1996",#N/A,FALSE,"flujo";"GASTOS_PROGRAMADOS_PARA_1997",#N/A,FALSE,"flujo";#N/A,#N/A,FALSE,"comparat";#N/A,#N/A,FALSE,"costos";#N/A,#N/A,FALSE,"proyctrol"}</definedName>
    <definedName name="programacion" hidden="1">{#N/A,#N/A,TRUE,"INGENIERIA";#N/A,#N/A,TRUE,"COMPRAS";#N/A,#N/A,TRUE,"DIRECCION";#N/A,#N/A,TRUE,"RESUMEN"}</definedName>
    <definedName name="Programado">#REF!</definedName>
    <definedName name="PROGRESS">#REF!</definedName>
    <definedName name="proj">#REF!</definedName>
    <definedName name="proj_id_001">#REF!</definedName>
    <definedName name="Project">#REF!</definedName>
    <definedName name="Project_Name">#REF!</definedName>
    <definedName name="ProjectAccountingRequirements">#REF!</definedName>
    <definedName name="ProjectControlRequirements">#REF!</definedName>
    <definedName name="ProjectDesign">#REF!</definedName>
    <definedName name="ProjectObjectives">#REF!</definedName>
    <definedName name="ProjectSchedule">#REF!</definedName>
    <definedName name="ProjectStatus">#REF!</definedName>
    <definedName name="ProjectStrategy">#REF!</definedName>
    <definedName name="ProjStat">#REF!</definedName>
    <definedName name="PRONOSTICO" hidden="1">#REF!</definedName>
    <definedName name="Proponente">#REF!</definedName>
    <definedName name="propuesta" hidden="1">#REF!</definedName>
    <definedName name="PROTCAT">#REF!</definedName>
    <definedName name="PROTECCION">"prestaciones'!$D$23"</definedName>
    <definedName name="PROTUBE">#REF!</definedName>
    <definedName name="PROVISIONALES" hidden="1">#REF!</definedName>
    <definedName name="PROY99">#N/A</definedName>
    <definedName name="proyeccióningresos" hidden="1">{"EVA",#N/A,FALSE,"SMT2";#N/A,#N/A,FALSE,"Summary";#N/A,#N/A,FALSE,"Graphs";#N/A,#N/A,FALSE,"4 Panel"}</definedName>
    <definedName name="proyecto" hidden="1">{TRUE,TRUE,-0.8,-17,618,378,FALSE,FALSE,TRUE,TRUE,0,33,#N/A,89,#N/A,14.5641025641026,175.058823529412,1,FALSE,FALSE,3,TRUE,1,FALSE,75,"Swvu.oil.","ACwvu.oil.",#N/A,FALSE,FALSE,0.196850393700787,0.196850393700787,0.196850393700787,0.196850393700787,2,"","",TRUE,TRUE,FALSE,FALSE,1,#N/A,1,1,"=R1C1:R248C39",FALSE,"Rwvu.oil.","Cwvu.oil.",FALSE,FALSE,FALSE,1,600,600,FALSE,FALSE,TRUE,TRUE,TRUE}</definedName>
    <definedName name="PROYECTOS">#REF!</definedName>
    <definedName name="prt_maquina">#REF!</definedName>
    <definedName name="prt_resumen">#REF!</definedName>
    <definedName name="PRU\02p01p01p00s01">#REF!</definedName>
    <definedName name="PRU\02p01p02p00s01">#REF!</definedName>
    <definedName name="PRU\02p01p03p00s01">#REF!</definedName>
    <definedName name="PRU\02p01p06p00s01">#REF!</definedName>
    <definedName name="PRU\02p02p00p01s01">#REF!</definedName>
    <definedName name="PRU\02p02p01p00s01">#REF!</definedName>
    <definedName name="PRU\02p02p01p00sA1">#REF!</definedName>
    <definedName name="PRU\02p02p01p00sA2">#REF!</definedName>
    <definedName name="PRU\02p02p01p00sA3">#REF!</definedName>
    <definedName name="PRU\02p02p02p00s13">#REF!</definedName>
    <definedName name="PRU\02p02p02p00s14">#REF!</definedName>
    <definedName name="PRU\02p02p02p00s15">#REF!</definedName>
    <definedName name="PRU\02p02p02p00s16">#REF!</definedName>
    <definedName name="PRU\02p02p02p00s17">#REF!</definedName>
    <definedName name="PRU\02p02p02p00s18">#REF!</definedName>
    <definedName name="PRU\02p02p02p00s19">#REF!</definedName>
    <definedName name="PRU\02p02p02p00sA2">#REF!</definedName>
    <definedName name="PRU\02p02p03p00s13">#REF!</definedName>
    <definedName name="PRU\02p02p03p00s14">#REF!</definedName>
    <definedName name="PRU\02p02p03p00s15">#REF!</definedName>
    <definedName name="PRU\02p02p03p00s16">#REF!</definedName>
    <definedName name="PRU\02p02p03p00s17">#REF!</definedName>
    <definedName name="PRU\02p02p03p00s18">#REF!</definedName>
    <definedName name="PRU\02p02p03p00s19">#REF!</definedName>
    <definedName name="PRU\02p02p03p00sA2">#REF!</definedName>
    <definedName name="PRU\02p02p04p00s01">#REF!</definedName>
    <definedName name="PRU\02p02p04p00s02">#REF!</definedName>
    <definedName name="PRU\02p02p04p00sA1">#REF!</definedName>
    <definedName name="PRU\02p02p08p00s01">#REF!</definedName>
    <definedName name="PRU\02p05p01p00s01">#REF!</definedName>
    <definedName name="PRU\02p05p02p00s01">#REF!</definedName>
    <definedName name="PRU\02p06p00p00s01">#REF!</definedName>
    <definedName name="PRU\02p07p00p00s01">#REF!</definedName>
    <definedName name="PRU\02p07p00p00s02">#REF!</definedName>
    <definedName name="PRU\03p01p00p00s01">#REF!</definedName>
    <definedName name="PRU\03p02p00p00s01">#REF!</definedName>
    <definedName name="PRU\03p03p00p00s01">#REF!</definedName>
    <definedName name="PRU\03p03p00p00s02">#REF!</definedName>
    <definedName name="PRU\03p05p03p01s01">#REF!</definedName>
    <definedName name="PRU\03p06p00p00s01">#REF!</definedName>
    <definedName name="PRU\03p06p00p00s04">#REF!</definedName>
    <definedName name="PRU\03p06p00p00s06">#REF!</definedName>
    <definedName name="PRU\03p06p00p00s07">#REF!</definedName>
    <definedName name="PRU\03p06p00p00s08">#REF!</definedName>
    <definedName name="PRU\03p06p00p00s10">#REF!</definedName>
    <definedName name="PRU\03p06p00p00s12">#REF!</definedName>
    <definedName name="PRU\03p06p00p00s13">#REF!</definedName>
    <definedName name="PRU\03p06p00p00s14">#REF!</definedName>
    <definedName name="PRU\03p06p00p00s15">#REF!</definedName>
    <definedName name="PRU\03p06p00p00s17">#REF!</definedName>
    <definedName name="PRU\04p02p00p00s06">#REF!</definedName>
    <definedName name="PRU\04p02p01p00s03">#REF!</definedName>
    <definedName name="PRU\04p02p02p00s03">#REF!</definedName>
    <definedName name="PRU\05p03p00p00s02">#REF!</definedName>
    <definedName name="PRU\06p03p00p00s01">#REF!</definedName>
    <definedName name="PRU\06p03p01p00s03">#REF!</definedName>
    <definedName name="PRU\06p03p02p00s02">#REF!</definedName>
    <definedName name="PRU\06p03p02p00sA1">#REF!</definedName>
    <definedName name="PRU\06p03p03p01s01">#REF!</definedName>
    <definedName name="PRU\07p02p01p00s01">#REF!</definedName>
    <definedName name="PRU\08p01p00p00s01">#REF!</definedName>
    <definedName name="PRU\08p02p00p00s02">#REF!</definedName>
    <definedName name="PRU\08p02p00p00s05">#REF!</definedName>
    <definedName name="PRU\08p02p00p00s07">#REF!</definedName>
    <definedName name="PRU\08p02p00p00s08">#REF!</definedName>
    <definedName name="PRU\08p04p00p00s01">#REF!</definedName>
    <definedName name="PRU\08p04p00p00s02">#REF!</definedName>
    <definedName name="PRU\08p05p00p00s04">#REF!</definedName>
    <definedName name="PRU\08p05p00p00s06">#REF!</definedName>
    <definedName name="PRU\08p05p01p03s01">#REF!</definedName>
    <definedName name="PRU\08p05p03p00s01">#REF!</definedName>
    <definedName name="PRU\08p06p01p00s01">#REF!</definedName>
    <definedName name="PRU\08p06p02p00s01">#REF!</definedName>
    <definedName name="PRU\09p01p02p00s04">#REF!</definedName>
    <definedName name="PRU\09p01p02p00s05">#REF!</definedName>
    <definedName name="PRU\09p01p02p00s06">#REF!</definedName>
    <definedName name="PRU\09p02p02p00s05">#REF!</definedName>
    <definedName name="PRU\10p01p03p00s01">#REF!</definedName>
    <definedName name="PRU\10p01p03p00s02">#REF!</definedName>
    <definedName name="PRU\10p01p03p00sA1">#REF!</definedName>
    <definedName name="PRU\10p01p03p00sA2">#REF!</definedName>
    <definedName name="PRU\10p01p05p00s01">#REF!</definedName>
    <definedName name="PRU\10p01p05p00s02">#REF!</definedName>
    <definedName name="PRU\10p01p05p00sA1">#REF!</definedName>
    <definedName name="PRU\10p01p05p00sA2">#REF!</definedName>
    <definedName name="PRU\10p02p01p00s02">#REF!</definedName>
    <definedName name="PRU\10p02p02p00s01">#REF!</definedName>
    <definedName name="PRU\10p03p01p00s01">#REF!</definedName>
    <definedName name="PRU\10p03p05p00s02">#REF!</definedName>
    <definedName name="PRU\10p03p06p00s01">#REF!</definedName>
    <definedName name="PRU\11p05p00p00s01">#REF!</definedName>
    <definedName name="PRUEBA">#REF!</definedName>
    <definedName name="prueba1">#REF!</definedName>
    <definedName name="PRUEBA2">#REF!</definedName>
    <definedName name="PRUEBAS">#REF!</definedName>
    <definedName name="PRUEBHID">#REF!</definedName>
    <definedName name="ps">#REF!</definedName>
    <definedName name="PSM">#REF!</definedName>
    <definedName name="PSV">#REF!</definedName>
    <definedName name="PSW_CALCULATE_0" hidden="1">#REF!</definedName>
    <definedName name="PSW_SAVE_0" hidden="1">#REF!</definedName>
    <definedName name="PSWInput_0_10" hidden="1">#REF!</definedName>
    <definedName name="PSWInput_0_11" hidden="1">#REF!</definedName>
    <definedName name="PSWInput_0_12" hidden="1">#REF!</definedName>
    <definedName name="PSWInput_0_13" hidden="1">#REF!</definedName>
    <definedName name="PSWInput_0_14" hidden="1">#REF!</definedName>
    <definedName name="PSWInput_0_15" hidden="1">#REF!</definedName>
    <definedName name="PSWInput_0_16" hidden="1">#REF!</definedName>
    <definedName name="PSWInput_0_17" hidden="1">#REF!</definedName>
    <definedName name="PSWInput_0_18" hidden="1">#REF!</definedName>
    <definedName name="PSWInput_0_19" hidden="1">#REF!</definedName>
    <definedName name="PSWInput_0_2" hidden="1">#REF!</definedName>
    <definedName name="PSWInput_0_20" hidden="1">#REF!</definedName>
    <definedName name="PSWInput_0_21" hidden="1">#REF!</definedName>
    <definedName name="PSWInput_0_22" hidden="1">#REF!</definedName>
    <definedName name="PSWInput_0_23" hidden="1">#REF!</definedName>
    <definedName name="PSWInput_0_24" hidden="1">#REF!</definedName>
    <definedName name="PSWInput_0_25" hidden="1">#REF!</definedName>
    <definedName name="PSWInput_0_26" hidden="1">#REF!</definedName>
    <definedName name="PSWInput_0_27" hidden="1">#REF!</definedName>
    <definedName name="PSWInput_0_28" hidden="1">#REF!</definedName>
    <definedName name="PSWInput_0_29" hidden="1">#REF!</definedName>
    <definedName name="PSWInput_0_3" hidden="1">#REF!</definedName>
    <definedName name="PSWInput_0_30" hidden="1">#REF!</definedName>
    <definedName name="PSWInput_0_31" hidden="1">#REF!</definedName>
    <definedName name="PSWInput_0_32" hidden="1">#REF!</definedName>
    <definedName name="PSWInput_0_33" hidden="1">#REF!</definedName>
    <definedName name="PSWInput_0_34" hidden="1">#REF!</definedName>
    <definedName name="PSWInput_0_35" hidden="1">#REF!</definedName>
    <definedName name="PSWInput_0_36" hidden="1">#REF!</definedName>
    <definedName name="PSWInput_0_37" hidden="1">#REF!</definedName>
    <definedName name="PSWInput_0_38" hidden="1">#REF!</definedName>
    <definedName name="PSWInput_0_39" hidden="1">#REF!</definedName>
    <definedName name="PSWInput_0_4" hidden="1">#REF!</definedName>
    <definedName name="PSWInput_0_40" hidden="1">#REF!</definedName>
    <definedName name="PSWInput_0_41" hidden="1">#REF!</definedName>
    <definedName name="PSWInput_0_42" hidden="1">#REF!</definedName>
    <definedName name="PSWInput_0_43" hidden="1">#REF!</definedName>
    <definedName name="PSWInput_0_44" hidden="1">#REF!</definedName>
    <definedName name="PSWInput_0_45" hidden="1">#REF!</definedName>
    <definedName name="PSWInput_0_46" hidden="1">#REF!</definedName>
    <definedName name="PSWInput_0_47" hidden="1">#REF!</definedName>
    <definedName name="PSWInput_0_48" hidden="1">#REF!</definedName>
    <definedName name="PSWInput_0_49" hidden="1">#REF!</definedName>
    <definedName name="PSWInput_0_5" hidden="1">#REF!</definedName>
    <definedName name="PSWInput_0_50" hidden="1">#REF!</definedName>
    <definedName name="PSWInput_0_51" hidden="1">#REF!</definedName>
    <definedName name="PSWInput_0_52" hidden="1">#REF!</definedName>
    <definedName name="PSWInput_0_53" hidden="1">#REF!</definedName>
    <definedName name="PSWInput_0_54" hidden="1">#REF!</definedName>
    <definedName name="PSWInput_0_55" hidden="1">#REF!</definedName>
    <definedName name="PSWInput_0_56" hidden="1">#REF!</definedName>
    <definedName name="PSWInput_0_57" hidden="1">#REF!</definedName>
    <definedName name="PSWInput_0_58" hidden="1">#REF!</definedName>
    <definedName name="PSWInput_0_59" hidden="1">#REF!</definedName>
    <definedName name="PSWInput_0_6" hidden="1">#REF!</definedName>
    <definedName name="PSWInput_0_7" hidden="1">#REF!</definedName>
    <definedName name="PSWInput_0_8" hidden="1">#REF!</definedName>
    <definedName name="PSWInput_0_9" hidden="1">#REF!</definedName>
    <definedName name="PSWIsControlVisible_0_0" hidden="1">#REF!</definedName>
    <definedName name="PSWIsControlVisible_0_1" hidden="1">#REF!</definedName>
    <definedName name="PSWIsControlVisible_0_10" hidden="1">#REF!</definedName>
    <definedName name="PSWIsControlVisible_0_11" hidden="1">#REF!</definedName>
    <definedName name="PSWIsControlVisible_0_12" hidden="1">#REF!</definedName>
    <definedName name="PSWIsControlVisible_0_13" hidden="1">#REF!</definedName>
    <definedName name="PSWIsControlVisible_0_14" hidden="1">#REF!</definedName>
    <definedName name="PSWIsControlVisible_0_15" hidden="1">#REF!</definedName>
    <definedName name="PSWIsControlVisible_0_16" hidden="1">#REF!</definedName>
    <definedName name="PSWIsControlVisible_0_17" hidden="1">#REF!</definedName>
    <definedName name="PSWIsControlVisible_0_18" hidden="1">#REF!</definedName>
    <definedName name="PSWIsControlVisible_0_19" hidden="1">#REF!</definedName>
    <definedName name="PSWIsControlVisible_0_2" hidden="1">#REF!</definedName>
    <definedName name="PSWIsControlVisible_0_20" hidden="1">#REF!</definedName>
    <definedName name="PSWIsControlVisible_0_21" hidden="1">#REF!</definedName>
    <definedName name="PSWIsControlVisible_0_22" hidden="1">#REF!</definedName>
    <definedName name="PSWIsControlVisible_0_23" hidden="1">#REF!</definedName>
    <definedName name="PSWIsControlVisible_0_24" hidden="1">#REF!</definedName>
    <definedName name="PSWIsControlVisible_0_25" hidden="1">#REF!</definedName>
    <definedName name="PSWIsControlVisible_0_26" hidden="1">#REF!</definedName>
    <definedName name="PSWIsControlVisible_0_27" hidden="1">#REF!</definedName>
    <definedName name="PSWIsControlVisible_0_28" hidden="1">#REF!</definedName>
    <definedName name="PSWIsControlVisible_0_29" hidden="1">#REF!</definedName>
    <definedName name="PSWIsControlVisible_0_3" hidden="1">#REF!</definedName>
    <definedName name="PSWIsControlVisible_0_30" hidden="1">#REF!</definedName>
    <definedName name="PSWIsControlVisible_0_31" hidden="1">#REF!</definedName>
    <definedName name="PSWIsControlVisible_0_32" hidden="1">#REF!</definedName>
    <definedName name="PSWIsControlVisible_0_33" hidden="1">#REF!</definedName>
    <definedName name="PSWIsControlVisible_0_34" hidden="1">#REF!</definedName>
    <definedName name="PSWIsControlVisible_0_35" hidden="1">#REF!</definedName>
    <definedName name="PSWIsControlVisible_0_36" hidden="1">#REF!</definedName>
    <definedName name="PSWIsControlVisible_0_37" hidden="1">#REF!</definedName>
    <definedName name="PSWIsControlVisible_0_38" hidden="1">#REF!</definedName>
    <definedName name="PSWIsControlVisible_0_39" hidden="1">#REF!</definedName>
    <definedName name="PSWIsControlVisible_0_4" hidden="1">#REF!</definedName>
    <definedName name="PSWIsControlVisible_0_40" hidden="1">#REF!</definedName>
    <definedName name="PSWIsControlVisible_0_41" hidden="1">#REF!</definedName>
    <definedName name="PSWIsControlVisible_0_42" hidden="1">#REF!</definedName>
    <definedName name="PSWIsControlVisible_0_43" hidden="1">#REF!</definedName>
    <definedName name="PSWIsControlVisible_0_44" hidden="1">#REF!</definedName>
    <definedName name="PSWIsControlVisible_0_45" hidden="1">#REF!</definedName>
    <definedName name="PSWIsControlVisible_0_46" hidden="1">#REF!</definedName>
    <definedName name="PSWIsControlVisible_0_47" hidden="1">#REF!</definedName>
    <definedName name="PSWIsControlVisible_0_48" hidden="1">#REF!</definedName>
    <definedName name="PSWIsControlVisible_0_49" hidden="1">#REF!</definedName>
    <definedName name="PSWIsControlVisible_0_5" hidden="1">#REF!</definedName>
    <definedName name="PSWIsControlVisible_0_50" hidden="1">#REF!</definedName>
    <definedName name="PSWIsControlVisible_0_51" hidden="1">#REF!</definedName>
    <definedName name="PSWIsControlVisible_0_52" hidden="1">#REF!</definedName>
    <definedName name="PSWIsControlVisible_0_53" hidden="1">#REF!</definedName>
    <definedName name="PSWIsControlVisible_0_54" hidden="1">#REF!</definedName>
    <definedName name="PSWIsControlVisible_0_55" hidden="1">#REF!</definedName>
    <definedName name="PSWIsControlVisible_0_56" hidden="1">#REF!</definedName>
    <definedName name="PSWIsControlVisible_0_57" hidden="1">#REF!</definedName>
    <definedName name="PSWIsControlVisible_0_58" hidden="1">#REF!</definedName>
    <definedName name="PSWIsControlVisible_0_59" hidden="1">#REF!</definedName>
    <definedName name="PSWIsControlVisible_0_6" hidden="1">#REF!</definedName>
    <definedName name="PSWIsControlVisible_0_7" hidden="1">#REF!</definedName>
    <definedName name="PSWIsControlVisible_0_8" hidden="1">#REF!</definedName>
    <definedName name="PSWIsControlVisible_0_9" hidden="1">#REF!</definedName>
    <definedName name="PSWIsPageVisible_1" hidden="1">#REF!</definedName>
    <definedName name="PSWList_0_20" hidden="1">#REF!</definedName>
    <definedName name="PSWList_0_21" hidden="1">#REF!</definedName>
    <definedName name="PSWList_0_22" hidden="1">#REF!</definedName>
    <definedName name="PSWList_0_23" hidden="1">#REF!</definedName>
    <definedName name="PSWList_0_24" hidden="1">#REF!</definedName>
    <definedName name="PSWList_0_25" hidden="1">#REF!</definedName>
    <definedName name="PSWList_0_26" hidden="1">#REF!</definedName>
    <definedName name="PSWList_0_27" hidden="1">#REF!</definedName>
    <definedName name="PSWList_0_28" hidden="1">#REF!</definedName>
    <definedName name="PSWList_0_29" hidden="1">#REF!</definedName>
    <definedName name="PSWList_0_30" hidden="1">#REF!</definedName>
    <definedName name="PSWList_0_31" hidden="1">#REF!</definedName>
    <definedName name="PSWList_0_32" hidden="1">#REF!</definedName>
    <definedName name="PSWList_0_33" hidden="1">#REF!</definedName>
    <definedName name="PSWList_0_34" hidden="1">#REF!</definedName>
    <definedName name="PSWList_0_35" hidden="1">#REF!</definedName>
    <definedName name="PSWList_0_36" hidden="1">#REF!</definedName>
    <definedName name="PSWList_0_37" hidden="1">#REF!</definedName>
    <definedName name="PSWList_0_38" hidden="1">#REF!</definedName>
    <definedName name="PSWList_0_39" hidden="1">#REF!</definedName>
    <definedName name="PSWSavingCell_0" hidden="1">#REF!</definedName>
    <definedName name="PSWSavingCell_10" hidden="1">#REF!</definedName>
    <definedName name="PSWSavingCell_11" hidden="1">#REF!</definedName>
    <definedName name="PSWSavingCell_12" hidden="1">#REF!</definedName>
    <definedName name="PSWSavingCell_13" hidden="1">#REF!</definedName>
    <definedName name="PSWSavingCell_14" hidden="1">#REF!</definedName>
    <definedName name="PSWSavingCell_15" hidden="1">#REF!</definedName>
    <definedName name="PSWSavingCell_16" hidden="1">#REF!</definedName>
    <definedName name="PSWSavingCell_17" hidden="1">#REF!</definedName>
    <definedName name="PSWSavingCell_18" hidden="1">#REF!</definedName>
    <definedName name="PSWSavingCell_19" hidden="1">#REF!</definedName>
    <definedName name="PSWSavingCell_20" hidden="1">#REF!</definedName>
    <definedName name="PSWSavingCell_21" hidden="1">#REF!</definedName>
    <definedName name="PSWSavingCell_22" hidden="1">#REF!</definedName>
    <definedName name="PSWSavingCell_23" hidden="1">#REF!</definedName>
    <definedName name="PSWSavingCell_24" hidden="1">#REF!</definedName>
    <definedName name="PSWSavingCell_25" hidden="1">#REF!</definedName>
    <definedName name="PSWSavingCell_26" hidden="1">#REF!</definedName>
    <definedName name="PSWSavingCell_27" hidden="1">#REF!</definedName>
    <definedName name="PSWSavingCell_28" hidden="1">#REF!</definedName>
    <definedName name="PSWSavingCell_29" hidden="1">#REF!</definedName>
    <definedName name="PSWSavingCell_3" hidden="1">#REF!</definedName>
    <definedName name="PSWSavingCell_30" hidden="1">#REF!</definedName>
    <definedName name="PSWSavingCell_31" hidden="1">#REF!</definedName>
    <definedName name="PSWSavingCell_32" hidden="1">#REF!</definedName>
    <definedName name="PSWSavingCell_33" hidden="1">#REF!</definedName>
    <definedName name="PSWSavingCell_34" hidden="1">#REF!</definedName>
    <definedName name="PSWSavingCell_35" hidden="1">#REF!</definedName>
    <definedName name="PSWSavingCell_36" hidden="1">#REF!</definedName>
    <definedName name="PSWSavingCell_37" hidden="1">#REF!</definedName>
    <definedName name="PSWSavingCell_38" hidden="1">#REF!</definedName>
    <definedName name="PSWSavingCell_39" hidden="1">#REF!</definedName>
    <definedName name="PSWSavingCell_4" hidden="1">#REF!</definedName>
    <definedName name="PSWSavingCell_40" hidden="1">#REF!</definedName>
    <definedName name="PSWSavingCell_41" hidden="1">#REF!</definedName>
    <definedName name="PSWSavingCell_42" hidden="1">#REF!</definedName>
    <definedName name="PSWSavingCell_43" hidden="1">#REF!</definedName>
    <definedName name="PSWSavingCell_44" hidden="1">#REF!</definedName>
    <definedName name="PSWSavingCell_45" hidden="1">#REF!</definedName>
    <definedName name="PSWSavingCell_46" hidden="1">#REF!</definedName>
    <definedName name="PSWSavingCell_47" hidden="1">#REF!</definedName>
    <definedName name="PSWSavingCell_48" hidden="1">#REF!</definedName>
    <definedName name="PSWSavingCell_49" hidden="1">#REF!</definedName>
    <definedName name="PSWSavingCell_5" hidden="1">#REF!</definedName>
    <definedName name="PSWSavingCell_50" hidden="1">#REF!</definedName>
    <definedName name="PSWSavingCell_51" hidden="1">#REF!</definedName>
    <definedName name="PSWSavingCell_52" hidden="1">#REF!</definedName>
    <definedName name="PSWSavingCell_53" hidden="1">#REF!</definedName>
    <definedName name="PSWSavingCell_54" hidden="1">#REF!</definedName>
    <definedName name="PSWSavingCell_55" hidden="1">#REF!</definedName>
    <definedName name="PSWSavingCell_56" hidden="1">#REF!</definedName>
    <definedName name="PSWSavingCell_57" hidden="1">#REF!</definedName>
    <definedName name="PSWSavingCell_58" hidden="1">#REF!</definedName>
    <definedName name="PSWSavingCell_59" hidden="1">#REF!</definedName>
    <definedName name="PSWSavingCell_6" hidden="1">#REF!</definedName>
    <definedName name="PSWSavingCell_60" hidden="1">#REF!</definedName>
    <definedName name="PSWSavingCell_7" hidden="1">#REF!</definedName>
    <definedName name="PSWSavingCell_8" hidden="1">#REF!</definedName>
    <definedName name="PSWSavingCell_9" hidden="1">#REF!</definedName>
    <definedName name="PSWSeries_0_0_Labels" hidden="1">#REF!</definedName>
    <definedName name="PSWSeries_0_0_Values" hidden="1">#REF!</definedName>
    <definedName name="PSWSeries_0_1_Labels" hidden="1">#REF!</definedName>
    <definedName name="PSWSeries_0_1_Values" hidden="1">#REF!</definedName>
    <definedName name="PSWSeries_0_2_Values" hidden="1">#REF!</definedName>
    <definedName name="PT">#N/A</definedName>
    <definedName name="PTAR" hidden="1">{#N/A,#N/A,FALSE,"Estatico";#N/A,#N/A,FALSE,"Tuberia";#N/A,#N/A,FALSE,"Instrumentación";#N/A,#N/A,FALSE,"Mecanica";#N/A,#N/A,FALSE,"Electrico";#N/A,#N/A,FALSE,"Ofic.Civiles"}</definedName>
    <definedName name="PtblLAR">#REF!</definedName>
    <definedName name="PTO_Total" hidden="1">{#N/A,#N/A,FALSE,"Costos Productos 6A";#N/A,#N/A,FALSE,"Costo Unitario Total H-94-12"}</definedName>
    <definedName name="ptope" hidden="1">{"TAB1",#N/A,TRUE,"GENERAL";"TAB2",#N/A,TRUE,"GENERAL";"TAB3",#N/A,TRUE,"GENERAL";"TAB4",#N/A,TRUE,"GENERAL";"TAB5",#N/A,TRUE,"GENERAL"}</definedName>
    <definedName name="ptopes" hidden="1">{"via1",#N/A,TRUE,"general";"via2",#N/A,TRUE,"general";"via3",#N/A,TRUE,"general"}</definedName>
    <definedName name="Ptotal">#REF!</definedName>
    <definedName name="pue" hidden="1">{#N/A,#N/A,FALSE,"PERSONAL"}</definedName>
    <definedName name="puentes">#REF!*#REF!</definedName>
    <definedName name="PUL" hidden="1">{#N/A,#N/A,FALSE,"Hoja1";#N/A,#N/A,FALSE,"Hoja2"}</definedName>
    <definedName name="PUMP_N2">#N/A</definedName>
    <definedName name="PUMP10K_LAKE">#N/A</definedName>
    <definedName name="PUMP2000_MOV">#N/A</definedName>
    <definedName name="PUMP2K_LAND">#N/A</definedName>
    <definedName name="PUMP2K_MOV">#N/A</definedName>
    <definedName name="PUMP4K_LAKE">#N/A</definedName>
    <definedName name="PUMP5K_LAKE">#N/A</definedName>
    <definedName name="PUMP6K_LAKE">#N/A</definedName>
    <definedName name="PUMP8K_LAKE">#N/A</definedName>
    <definedName name="PUNIT3">#REF!</definedName>
    <definedName name="PUNTODEINSERCION">#REF!</definedName>
    <definedName name="PUT">#REF!</definedName>
    <definedName name="PXQAYA" hidden="1">#REF!</definedName>
    <definedName name="pyg" hidden="1">{#N/A,#N/A,FALSE,"Costos Productos 6A";#N/A,#N/A,FALSE,"Costo Unitario Total H-94-12"}</definedName>
    <definedName name="PYGAJ" hidden="1">{#N/A,#N/A,FALSE,"VOL695";#N/A,#N/A,FALSE,"anexo1";#N/A,#N/A,FALSE,"anexo2";#N/A,#N/A,FALSE,"anexo3";#N/A,#N/A,FALSE,"anexo4";#N/A,#N/A,FALSE,"anexo5a";#N/A,#N/A,FALSE,"anexo5b";#N/A,#N/A,FALSE,"anexo6a";#N/A,#N/A,FALSE,"anexo6a";#N/A,#N/A,FALSE,"anexo6c";#N/A,#N/A,FALSE,"anexo7a";#N/A,#N/A,FALSE,"anexo7b";#N/A,#N/A,FALSE,"anexo7c"}</definedName>
    <definedName name="PYGAJ_1" hidden="1">{#N/A,#N/A,FALSE,"VOL695";#N/A,#N/A,FALSE,"anexo1";#N/A,#N/A,FALSE,"anexo2";#N/A,#N/A,FALSE,"anexo3";#N/A,#N/A,FALSE,"anexo4";#N/A,#N/A,FALSE,"anexo5a";#N/A,#N/A,FALSE,"anexo5b";#N/A,#N/A,FALSE,"anexo6a";#N/A,#N/A,FALSE,"anexo6a";#N/A,#N/A,FALSE,"anexo6c";#N/A,#N/A,FALSE,"anexo7a";#N/A,#N/A,FALSE,"anexo7b";#N/A,#N/A,FALSE,"anexo7c"}</definedName>
    <definedName name="PYGCON" hidden="1">{#N/A,#N/A,FALSE,"Costos Productos 6A";#N/A,#N/A,FALSE,"Costo Unitario Total H-94-12"}</definedName>
    <definedName name="PYGCONTABLE" hidden="1">{#N/A,#N/A,FALSE,"Costos Productos 6A";#N/A,#N/A,FALSE,"Costo Unitario Total H-94-12"}</definedName>
    <definedName name="PYGCONTBLCRUDO" hidden="1">{#N/A,#N/A,FALSE,"Costos Productos 6A";#N/A,#N/A,FALSE,"Costo Unitario Total H-94-12"}</definedName>
    <definedName name="PYGCONTPTO" hidden="1">{#N/A,#N/A,FALSE,"Costos Productos 6A";#N/A,#N/A,FALSE,"Costo Unitario Total H-94-12"}</definedName>
    <definedName name="PYGGRCAJ" hidden="1">{#N/A,#N/A,FALSE,"Costos Productos 6A";#N/A,#N/A,FALSE,"Costo Unitario Total H-94-12"}</definedName>
    <definedName name="PYGGRCAJ_1" hidden="1">{#N/A,#N/A,FALSE,"Costos Productos 6A";#N/A,#N/A,FALSE,"Costo Unitario Total H-94-12"}</definedName>
    <definedName name="PYGHGRC" hidden="1">{#N/A,#N/A,FALSE,"Costos Productos 6A";#N/A,#N/A,FALSE,"Costo Unitario Total H-94-12"}</definedName>
    <definedName name="PYGHGRC_1" hidden="1">{#N/A,#N/A,FALSE,"Costos Productos 6A";#N/A,#N/A,FALSE,"Costo Unitario Total H-94-12"}</definedName>
    <definedName name="PYGRC" hidden="1">{#N/A,#N/A,FALSE,"VOL695";#N/A,#N/A,FALSE,"anexo1";#N/A,#N/A,FALSE,"anexo2";#N/A,#N/A,FALSE,"anexo3";#N/A,#N/A,FALSE,"anexo4";#N/A,#N/A,FALSE,"anexo5a";#N/A,#N/A,FALSE,"anexo5b";#N/A,#N/A,FALSE,"anexo6a";#N/A,#N/A,FALSE,"anexo6a";#N/A,#N/A,FALSE,"anexo6c";#N/A,#N/A,FALSE,"anexo7a";#N/A,#N/A,FALSE,"anexo7b";#N/A,#N/A,FALSE,"anexo7c"}</definedName>
    <definedName name="PYGRC_1" hidden="1">{#N/A,#N/A,FALSE,"VOL695";#N/A,#N/A,FALSE,"anexo1";#N/A,#N/A,FALSE,"anexo2";#N/A,#N/A,FALSE,"anexo3";#N/A,#N/A,FALSE,"anexo4";#N/A,#N/A,FALSE,"anexo5a";#N/A,#N/A,FALSE,"anexo5b";#N/A,#N/A,FALSE,"anexo6a";#N/A,#N/A,FALSE,"anexo6a";#N/A,#N/A,FALSE,"anexo6c";#N/A,#N/A,FALSE,"anexo7a";#N/A,#N/A,FALSE,"anexo7b";#N/A,#N/A,FALSE,"anexo7c"}</definedName>
    <definedName name="q" hidden="1">#REF!</definedName>
    <definedName name="q1q1q" hidden="1">{"via1",#N/A,TRUE,"general";"via2",#N/A,TRUE,"general";"via3",#N/A,TRUE,"general"}</definedName>
    <definedName name="QAAA" hidden="1">{#N/A,#N/A,FALSE,"Estatico";#N/A,#N/A,FALSE,"Tuberia";#N/A,#N/A,FALSE,"Instrumentación";#N/A,#N/A,FALSE,"Mecanica";#N/A,#N/A,FALSE,"Electrico";#N/A,#N/A,FALSE,"Ofic.Civiles"}</definedName>
    <definedName name="qaedtguj" hidden="1">{"via1",#N/A,TRUE,"general";"via2",#N/A,TRUE,"general";"via3",#N/A,TRUE,"general"}</definedName>
    <definedName name="qaq" hidden="1">{#N/A,#N/A,FALSE,"summary";#N/A,#N/A,FALSE,"SumGraph"}</definedName>
    <definedName name="QAQSWS" hidden="1">{"via1",#N/A,TRUE,"general";"via2",#N/A,TRUE,"general";"via3",#N/A,TRUE,"general"}</definedName>
    <definedName name="qaqwwxcr" hidden="1">{"via1",#N/A,TRUE,"general";"via2",#N/A,TRUE,"general";"via3",#N/A,TRUE,"general"}</definedName>
    <definedName name="qav" hidden="1">#REF!</definedName>
    <definedName name="QAZ" hidden="1">{#N/A,#N/A,FALSE,"EACT"}</definedName>
    <definedName name="QBLM" hidden="1">#REF!</definedName>
    <definedName name="qc_h" hidden="1">{"krl1",#N/A,FALSE,"kr";"krl2",#N/A,FALSE,"kr";"compara",#N/A,FALSE,"kr";"desconp1",#N/A,FALSE,"kr";"desconp12",#N/A,FALSE,"kr";"krnp1",#N/A,FALSE,"kr";"krnp2",#N/A,FALSE,"kr";"krp12avg",#N/A,FALSE,"kr";"krp1avg",#N/A,FALSE,"kr"}</definedName>
    <definedName name="QE" hidden="1">{#N/A,#N/A,FALSE,"Costos Productos 6A";#N/A,#N/A,FALSE,"Costo Unitario Total H-94-12"}</definedName>
    <definedName name="QE_TE">#REF!</definedName>
    <definedName name="QEBLMB" hidden="1">#REF!</definedName>
    <definedName name="qedcd" hidden="1">{"via1",#N/A,TRUE,"general";"via2",#N/A,TRUE,"general";"via3",#N/A,TRUE,"general"}</definedName>
    <definedName name="QEnd">#REF!</definedName>
    <definedName name="qeqewe" hidden="1">{"TAB1",#N/A,TRUE,"GENERAL";"TAB2",#N/A,TRUE,"GENERAL";"TAB3",#N/A,TRUE,"GENERAL";"TAB4",#N/A,TRUE,"GENERAL";"TAB5",#N/A,TRUE,"GENERAL"}</definedName>
    <definedName name="QEQEWEQWEQ">#REF!</definedName>
    <definedName name="qerq" hidden="1">{#N/A,#N/A,FALSE,"DITCAR";#N/A,#N/A,FALSE,"a1";#N/A,#N/A,FALSE,"a2";#N/A,#N/A,FALSE,"a3";#N/A,#N/A,FALSE,"a4";#N/A,#N/A,FALSE,"a4a";#N/A,#N/A,FALSE,"a4B";#N/A,#N/A,FALSE,"a4C";#N/A,#N/A,FALSE,"A5a ";#N/A,#N/A,FALSE,"A5b";#N/A,#N/A,FALSE,"A6A";#N/A,#N/A,FALSE,"A6B";#N/A,#N/A,FALSE,"A6C";#N/A,#N/A,FALSE,"04PG12NB"}</definedName>
    <definedName name="qesdfdfdf" hidden="1">{#N/A,#N/A,FALSE,"nuevo formato actividades";#N/A,#N/A,FALSE,"nuevo formato actividades";#N/A,#N/A,FALSE,"nuevo formato actividades"}</definedName>
    <definedName name="QET" hidden="1">#REF!</definedName>
    <definedName name="QETH" hidden="1">#REF!</definedName>
    <definedName name="QETHM" hidden="1">#REF!</definedName>
    <definedName name="QETHQEM" hidden="1">#REF!</definedName>
    <definedName name="qewj" hidden="1">{"via1",#N/A,TRUE,"general";"via2",#N/A,TRUE,"general";"via3",#N/A,TRUE,"general"}</definedName>
    <definedName name="QI">#REF!</definedName>
    <definedName name="QI_TI">#REF!</definedName>
    <definedName name="QN">#REF!</definedName>
    <definedName name="QN_QI">#REF!</definedName>
    <definedName name="QNS">#REF!</definedName>
    <definedName name="qpf" hidden="1">{#N/A,#N/A,TRUE,"1842CWN0"}</definedName>
    <definedName name="qq" hidden="1">{"EVA",#N/A,FALSE,"SMT2";#N/A,#N/A,FALSE,"Summary";#N/A,#N/A,FALSE,"Graphs";#N/A,#N/A,FALSE,"4 Panel"}</definedName>
    <definedName name="qqq" hidden="1">{"EVA",#N/A,FALSE,"SMT2";#N/A,#N/A,FALSE,"Summary";#N/A,#N/A,FALSE,"Graphs";#N/A,#N/A,FALSE,"4 Panel"}</definedName>
    <definedName name="QQQAAASSS" hidden="1">{#N/A,#N/A,TRUE,"Y생산";#N/A,#N/A,TRUE,"Y판매";#N/A,#N/A,TRUE,"Y총물량";#N/A,#N/A,TRUE,"Y능력";#N/A,#N/A,TRUE,"YKD"}</definedName>
    <definedName name="QQQQ" hidden="1">#REF!</definedName>
    <definedName name="qqqqq" hidden="1">{#N/A,#N/A,FALSE,"Costos Productos 6A";#N/A,#N/A,FALSE,"Costo Unitario Total H-94-12"}</definedName>
    <definedName name="QQQQQQQ" hidden="1">{#N/A,#N/A,TRUE,"Y생산";#N/A,#N/A,TRUE,"Y판매";#N/A,#N/A,TRUE,"Y총물량";#N/A,#N/A,TRUE,"Y능력";#N/A,#N/A,TRUE,"YKD"}</definedName>
    <definedName name="qqqqqqqq" hidden="1">{#N/A,#N/A,FALSE,"PERSONAL"}</definedName>
    <definedName name="qqqqqqqqqqqq" hidden="1">{"EVA",#N/A,FALSE,"SMT2";#N/A,#N/A,FALSE,"Summary";#N/A,#N/A,FALSE,"Graphs";#N/A,#N/A,FALSE,"4 Panel"}</definedName>
    <definedName name="QQQQQQQQQQQQQQQ" hidden="1">#REF!</definedName>
    <definedName name="qqqqqw" hidden="1">{"via1",#N/A,TRUE,"general";"via2",#N/A,TRUE,"general";"via3",#N/A,TRUE,"general"}</definedName>
    <definedName name="QR" hidden="1">{#N/A,#N/A,FALSE,"Costos Productos 6A";#N/A,#N/A,FALSE,"Costo Unitario Total H-94-12"}</definedName>
    <definedName name="qsdasd" hidden="1">{"Auditoría Interna",#N/A,FALSE,"General "}</definedName>
    <definedName name="QT" hidden="1">{#N/A,#N/A,FALSE,"Costos Productos 6A";#N/A,#N/A,FALSE,"Costo Unitario Total H-94-12"}</definedName>
    <definedName name="QTA1\02p01p01p00s01">#REF!</definedName>
    <definedName name="QTA1\02p01p02p00s01">#REF!</definedName>
    <definedName name="QTA1\02p01p03p00s01">#REF!</definedName>
    <definedName name="QTA1\02p02p01p00s01">#REF!</definedName>
    <definedName name="QTA1\02p02p01p00sA2">#REF!</definedName>
    <definedName name="QTA1\02p02p02p00s13">#REF!</definedName>
    <definedName name="QTA1\02p02p02p00s14">#REF!</definedName>
    <definedName name="QTA1\02p02p02p00s15">#REF!</definedName>
    <definedName name="QTA1\02p02p02p00s16">#REF!</definedName>
    <definedName name="QTA1\02p02p02p00s17">#REF!</definedName>
    <definedName name="QTA1\02p02p02p00s18">#REF!</definedName>
    <definedName name="QTA1\02p02p02p00s19">#REF!</definedName>
    <definedName name="QTA1\02p02p03p00s13">#REF!</definedName>
    <definedName name="QTA1\02p02p03p00s14">#REF!</definedName>
    <definedName name="QTA1\02p02p03p00s15">#REF!</definedName>
    <definedName name="QTA1\02p02p03p00s16">#REF!</definedName>
    <definedName name="QTA1\02p02p03p00s17">#REF!</definedName>
    <definedName name="QTA1\02p02p03p00s18">#REF!</definedName>
    <definedName name="QTA1\02p02p03p00s19">#REF!</definedName>
    <definedName name="QTA1\02p02p04p00s01">#REF!</definedName>
    <definedName name="QTA1\02p02p04p00s02">#REF!</definedName>
    <definedName name="QTA1\02p02p08p00s01">#REF!</definedName>
    <definedName name="QTA1\02p05p01p00s01">#REF!</definedName>
    <definedName name="QTA1\02p05p02p00s01">#REF!</definedName>
    <definedName name="QTA1\02p06p00p00s01">#N/A</definedName>
    <definedName name="QTA1\02p07p00p00s01">#REF!</definedName>
    <definedName name="QTA1\02p07p00p00s02">#REF!</definedName>
    <definedName name="QTA1\03p01p00p00s01">#REF!</definedName>
    <definedName name="QTA1\03p02p00p00s01">#REF!</definedName>
    <definedName name="QTA1\03p03p00p00s01">#REF!</definedName>
    <definedName name="QTA1\03p03p00p00s02">#REF!</definedName>
    <definedName name="QTA1\03p03p00p00s07">#REF!</definedName>
    <definedName name="QTA1\03p05p03p01s01">#REF!</definedName>
    <definedName name="QTA1\03p06p00p00s01">#N/A</definedName>
    <definedName name="QTA1\03p06p00p00s04">#N/A</definedName>
    <definedName name="QTA1\03p06p00p00s06">#N/A</definedName>
    <definedName name="QTA1\03p06p00p00s07">#N/A</definedName>
    <definedName name="QTA1\03p06p00p00s08">#N/A</definedName>
    <definedName name="QTA1\03p06p00p00s10">#N/A</definedName>
    <definedName name="QTA1\03p06p00p00s12">#N/A</definedName>
    <definedName name="QTA1\03p06p00p00s13">#N/A</definedName>
    <definedName name="QTA1\03p06p00p00s14">#N/A</definedName>
    <definedName name="QTA1\03p06p00p00s15">#N/A</definedName>
    <definedName name="QTA1\03p06p00p00s17">#N/A</definedName>
    <definedName name="QTA1\04p02p00p00s02">#REF!</definedName>
    <definedName name="QTA1\04p02p00p00s03">#REF!</definedName>
    <definedName name="QTA1\04p02p00p00s05">#REF!</definedName>
    <definedName name="QTA1\04p02p00p00s06">#REF!</definedName>
    <definedName name="QTA1\04p02p01p00s03">#N/A</definedName>
    <definedName name="QTA1\04p02p02p00s03">#N/A</definedName>
    <definedName name="QTA1\05p03p00p00s02">#N/A</definedName>
    <definedName name="QTA1\07p02p01p00s01">#N/A</definedName>
    <definedName name="QTA10\09p01p02p00s04">#N/A</definedName>
    <definedName name="QTA10\09p01p02p00s05">#N/A</definedName>
    <definedName name="QTA10\09p01p02p00s06">#N/A</definedName>
    <definedName name="QTA10\09p02p02p00s05">#N/A</definedName>
    <definedName name="QTA2\02p01p01p00s01">#REF!</definedName>
    <definedName name="QTA2\02p01p02p00s01">#REF!</definedName>
    <definedName name="QTA2\02p01p03p00s01">#REF!</definedName>
    <definedName name="QTA2\02p02p01p00s01">#REF!</definedName>
    <definedName name="QTA2\02p02p01p00sA2">#REF!</definedName>
    <definedName name="QTA2\02p02p02p00s13">#REF!</definedName>
    <definedName name="QTA2\02p02p02p00s14">#REF!</definedName>
    <definedName name="QTA2\02p02p02p00s15">#REF!</definedName>
    <definedName name="QTA2\02p02p02p00s16">#REF!</definedName>
    <definedName name="QTA2\02p02p02p00s17">#REF!</definedName>
    <definedName name="QTA2\02p02p02p00s18">#REF!</definedName>
    <definedName name="QTA2\02p02p02p00s19">#REF!</definedName>
    <definedName name="QTA2\02p02p03p00s13">#REF!</definedName>
    <definedName name="QTA2\02p02p03p00s14">#REF!</definedName>
    <definedName name="QTA2\02p02p03p00s15">#REF!</definedName>
    <definedName name="QTA2\02p02p03p00s16">#REF!</definedName>
    <definedName name="QTA2\02p02p03p00s17">#REF!</definedName>
    <definedName name="QTA2\02p02p03p00s18">#REF!</definedName>
    <definedName name="QTA2\02p02p03p00s19">#REF!</definedName>
    <definedName name="QTA2\02p02p04p00s01">#REF!</definedName>
    <definedName name="QTA2\02p02p04p00s02">#REF!</definedName>
    <definedName name="QTA2\02p02p08p00s01">#REF!</definedName>
    <definedName name="QTA2\02p05p01p00s01">#REF!</definedName>
    <definedName name="QTA2\02p05p02p00s01">#REF!</definedName>
    <definedName name="QTA2\02p06p00p00s01">#N/A</definedName>
    <definedName name="QTA2\02p07p00p00s01">#REF!</definedName>
    <definedName name="QTA2\02p07p00p00s02">#REF!</definedName>
    <definedName name="QTA2\03p01p00p00s01">#REF!</definedName>
    <definedName name="QTA2\03p03p00p00s01">#REF!</definedName>
    <definedName name="QTA2\03p03p00p00s02">#REF!</definedName>
    <definedName name="QTA2\03p03p00p00s07">#REF!</definedName>
    <definedName name="QTA2\03p05p03p01s01">#REF!</definedName>
    <definedName name="QTA2\04p02p00p00s02">#REF!</definedName>
    <definedName name="QTA2\04p02p00p00s03">#REF!</definedName>
    <definedName name="QTA2\04p02p00p00s05">#REF!</definedName>
    <definedName name="QTA2\04p02p00p00s06">#REF!</definedName>
    <definedName name="QTA2\04p02p01p00s03">#N/A</definedName>
    <definedName name="QTA2\04p02p02p00s03">#N/A</definedName>
    <definedName name="QTA2\11p05p00p00s01">#REF!</definedName>
    <definedName name="QTA3\02p01p01p00s01">#REF!</definedName>
    <definedName name="QTA3\02p01p02p00s01">#REF!</definedName>
    <definedName name="QTA3\02p01p03p00s01">#REF!</definedName>
    <definedName name="QTA3\02p01p06p00s01">#N/A</definedName>
    <definedName name="QTA3\02p02p01p00s01">#REF!</definedName>
    <definedName name="QTA3\02p02p01p00sA2">#REF!</definedName>
    <definedName name="QTA3\02p02p02p00s13">#REF!</definedName>
    <definedName name="QTA3\02p02p02p00s14">#REF!</definedName>
    <definedName name="QTA3\02p02p02p00s15">#REF!</definedName>
    <definedName name="QTA3\02p02p02p00s16">#REF!</definedName>
    <definedName name="QTA3\02p02p02p00s17">#REF!</definedName>
    <definedName name="QTA3\02p02p02p00s18">#REF!</definedName>
    <definedName name="QTA3\02p02p02p00s19">#REF!</definedName>
    <definedName name="QTA3\02p02p03p00s13">#REF!</definedName>
    <definedName name="QTA3\02p02p03p00s14">#REF!</definedName>
    <definedName name="QTA3\02p02p03p00s15">#REF!</definedName>
    <definedName name="QTA3\02p02p03p00s16">#REF!</definedName>
    <definedName name="QTA3\02p02p03p00s17">#REF!</definedName>
    <definedName name="QTA3\02p02p03p00s18">#REF!</definedName>
    <definedName name="QTA3\02p02p03p00s19">#REF!</definedName>
    <definedName name="QTA3\02p02p04p00s01">#REF!</definedName>
    <definedName name="QTA3\02p02p04p00s02">#REF!</definedName>
    <definedName name="QTA3\02p02p08p00s01">#REF!</definedName>
    <definedName name="QTA3\02p05p01p00s01">#REF!</definedName>
    <definedName name="QTA3\02p05p02p00s01">#REF!</definedName>
    <definedName name="QTA3\02p07p00p00s01">#REF!</definedName>
    <definedName name="QTA3\02p07p00p00s02">#REF!</definedName>
    <definedName name="QTA3\03p01p00p00s01">#REF!</definedName>
    <definedName name="QTA3\03p03p00p00s01">#REF!</definedName>
    <definedName name="QTA3\03p03p00p00s02">#REF!</definedName>
    <definedName name="QTA3\03p03p00p00s07">#REF!</definedName>
    <definedName name="QTA3\03p05p03p01s01">#REF!</definedName>
    <definedName name="QTA3\04p02p00p00s02">#REF!</definedName>
    <definedName name="QTA3\04p02p00p00s03">#REF!</definedName>
    <definedName name="QTA3\04p02p00p00s05">#REF!</definedName>
    <definedName name="QTA3\04p02p00p00s06">#REF!</definedName>
    <definedName name="QTA3\06p03p00p00s01">#N/A</definedName>
    <definedName name="QTA3\06p03p01p00s03">#N/A</definedName>
    <definedName name="QTA3\06p03p02p00s02">#N/A</definedName>
    <definedName name="QTA3\06p03p02p00sA1">#N/A</definedName>
    <definedName name="QTA3\06p03p03p01s01">#N/A</definedName>
    <definedName name="QTA3\08p01p00p00s01">#N/A</definedName>
    <definedName name="QTA3\08p02p00p00s02">#N/A</definedName>
    <definedName name="QTA3\08p02p00p00s07">#N/A</definedName>
    <definedName name="QTA3\08p02p00p00s08">#N/A</definedName>
    <definedName name="QTA3\08p04p00p00s01">#N/A</definedName>
    <definedName name="QTA3\08p05p00p00s04">#N/A</definedName>
    <definedName name="QTA3\08p05p00p00s06">#N/A</definedName>
    <definedName name="QTA3\08p05p01p03s01">#N/A</definedName>
    <definedName name="QTA3\08p05p03p00s01">#N/A</definedName>
    <definedName name="QTA3\08p06p02p00s01">#N/A</definedName>
    <definedName name="QTA3\10p01p03p00s01">#N/A</definedName>
    <definedName name="QTA3\10p01p03p00s02">#N/A</definedName>
    <definedName name="QTA3\10p01p03p00sA1">#N/A</definedName>
    <definedName name="QTA3\10p01p03p00sA2">#N/A</definedName>
    <definedName name="QTA3\10p01p05p00s01">#N/A</definedName>
    <definedName name="QTA3\10p01p05p00s02">#N/A</definedName>
    <definedName name="QTA3\10p01p05p00sA1">#N/A</definedName>
    <definedName name="QTA3\10p01p05p00sA2">#N/A</definedName>
    <definedName name="QTA3\10p02p01p00s02">#N/A</definedName>
    <definedName name="QTA3\10p02p02p00s01">#N/A</definedName>
    <definedName name="QTA3\10p03p01p00s01">#N/A</definedName>
    <definedName name="QTA3\10p03p05p00s02">#N/A</definedName>
    <definedName name="QTA3\10p03p06p00s01">#N/A</definedName>
    <definedName name="QTA4\02p01p01p00s01">#REF!</definedName>
    <definedName name="QTA4\02p01p02p00s01">#REF!</definedName>
    <definedName name="QTA4\02p01p03p00s01">#REF!</definedName>
    <definedName name="QTA4\02p01p06p00s01">#N/A</definedName>
    <definedName name="QTA4\02p05p01p00s01">#REF!</definedName>
    <definedName name="QTA4\02p05p02p00s01">#REF!</definedName>
    <definedName name="QTA4\02p07p00p00s01">#REF!</definedName>
    <definedName name="QTA4\02p07p00p00s02">#REF!</definedName>
    <definedName name="QTA4\03p01p00p00s01">#REF!</definedName>
    <definedName name="QTA4\03p03p00p00s01">#REF!</definedName>
    <definedName name="QTA4\03p03p00p00s02">#REF!</definedName>
    <definedName name="QTA4\03p03p00p00s07">#REF!</definedName>
    <definedName name="QTA4\03p05p03p01s01">#REF!</definedName>
    <definedName name="QTA4\04p02p00p00s02">#REF!</definedName>
    <definedName name="QTA4\04p02p00p00s03">#REF!</definedName>
    <definedName name="QTA4\04p02p00p00s05">#REF!</definedName>
    <definedName name="QTA4\04p02p00p00s06">#REF!</definedName>
    <definedName name="QTA4\08p02p00p00s02">#N/A</definedName>
    <definedName name="QTA4\08p02p00p00s05">#N/A</definedName>
    <definedName name="QTA4\08p04p00p00s01">#N/A</definedName>
    <definedName name="QTA4\08p04p00p00s02">#N/A</definedName>
    <definedName name="QTA4\08p06p01p00s01">#N/A</definedName>
    <definedName name="QTA5\02p01p01p00s01">#REF!</definedName>
    <definedName name="QTA5\02p01p02p00s01">#REF!</definedName>
    <definedName name="QTA5\02p01p03p00s01">#REF!</definedName>
    <definedName name="QTA5\02p02p00p01s01">#N/A</definedName>
    <definedName name="QTA5\02p02p01p00s01">#REF!</definedName>
    <definedName name="QTA5\02p02p01p00sA1">#N/A</definedName>
    <definedName name="QTA5\02p02p01p00sA3">#N/A</definedName>
    <definedName name="QTA5\02p02p02p00sA2">#N/A</definedName>
    <definedName name="QTA5\02p02p03p00sA2">#N/A</definedName>
    <definedName name="QTA5\02p02p04p00sA1">#N/A</definedName>
    <definedName name="QTA5\02p02p05p00sA1">#REF!</definedName>
    <definedName name="QTA5\02p02p06p00s01">#REF!</definedName>
    <definedName name="QTA5\02p02p07p00s02">#REF!</definedName>
    <definedName name="QTA5\02p02p08p00s01">#REF!</definedName>
    <definedName name="QTA5\02p05p01p00s01">#REF!</definedName>
    <definedName name="QTA5\02p05p02p00s01">#REF!</definedName>
    <definedName name="QTA5\02p07p00p00s01">#REF!</definedName>
    <definedName name="QTA5\02p07p00p00s02">#REF!</definedName>
    <definedName name="QTA5\03p01p00p00s01">#REF!</definedName>
    <definedName name="QTA5\03p03p00p00s01">#REF!</definedName>
    <definedName name="QTA5\03p03p00p00s02">#REF!</definedName>
    <definedName name="QTA5\03p03p00p00s07">#REF!</definedName>
    <definedName name="QTA5\03p05p03p01s01">#REF!</definedName>
    <definedName name="QTA5\04p02p00p00s02">#REF!</definedName>
    <definedName name="QTA5\04p02p00p00s03">#REF!</definedName>
    <definedName name="QTA5\04p02p00p00s05">#REF!</definedName>
    <definedName name="QTA5\04p02p00p00s06">#REF!</definedName>
    <definedName name="QTA6\02p02p00p01s01">#N/A</definedName>
    <definedName name="QTA6\02p02p01p00s01">#REF!</definedName>
    <definedName name="QTA6\02p02p01p00sA1">#N/A</definedName>
    <definedName name="QTA6\02p02p01p00sA3">#N/A</definedName>
    <definedName name="QTA6\02p02p02p00sA2">#N/A</definedName>
    <definedName name="QTA6\02p02p03p00sA2">#N/A</definedName>
    <definedName name="QTA6\02p02p04p00sA1">#N/A</definedName>
    <definedName name="QTA6\02p02p05p00sA1">#REF!</definedName>
    <definedName name="QTA6\02p02p06p00s01">#REF!</definedName>
    <definedName name="QTA6\02p02p07p00s02">#REF!</definedName>
    <definedName name="QTA6\02p02p08p00s01">#REF!</definedName>
    <definedName name="QTA6\08p02p00p00s03">#REF!</definedName>
    <definedName name="QTA6\08p04p00p00s02">#REF!</definedName>
    <definedName name="QTA6\09p01p02p00s02">#REF!</definedName>
    <definedName name="QTA6\09p01p02p00s05">#REF!</definedName>
    <definedName name="QTA7\02p01p01p00s01">#REF!</definedName>
    <definedName name="QTA7\02p01p06p00s01">#REF!</definedName>
    <definedName name="QTA7\02p02p00p01s01">#N/A</definedName>
    <definedName name="QTA7\02p02p01p00s01">#REF!</definedName>
    <definedName name="QTA7\02p02p01p00sA1">#N/A</definedName>
    <definedName name="QTA7\02p02p01p00sA3">#N/A</definedName>
    <definedName name="QTA7\02p02p02p00sA2">#N/A</definedName>
    <definedName name="QTA7\02p02p03p00sA2">#N/A</definedName>
    <definedName name="QTA7\02p02p04p00sA1">#N/A</definedName>
    <definedName name="QTA7\02p02p05p00sA1">#REF!</definedName>
    <definedName name="QTA7\02p02p06p00s01">#REF!</definedName>
    <definedName name="QTA7\02p02p07p00s02">#REF!</definedName>
    <definedName name="QTA7\02p02p08p00s01">#REF!</definedName>
    <definedName name="QTA7\02p05p01p00s01">#REF!</definedName>
    <definedName name="QTA7\02p05p02p00s01">#REF!</definedName>
    <definedName name="QTA7\02p07p00p00s01">#REF!</definedName>
    <definedName name="QTA7\02p07p00p00s02">#REF!</definedName>
    <definedName name="QTA7\03p05p03p01s01">#REF!</definedName>
    <definedName name="QTA7\08p02p00p00s01">#REF!</definedName>
    <definedName name="QTA7\08p02p00p00s05">#REF!</definedName>
    <definedName name="QTA7\08p02p00p00s06">#REF!</definedName>
    <definedName name="QTA7\08p04p00p00s01">#REF!</definedName>
    <definedName name="QTA7\08p05p01p02s01">#REF!</definedName>
    <definedName name="QTA7\08p05p01p03s01">#REF!</definedName>
    <definedName name="QTA7\08p05p01p03s02">#REF!</definedName>
    <definedName name="QTA7\08p05p03p00s01">#REF!</definedName>
    <definedName name="QTA7\08p06p02p00s02">#REF!</definedName>
    <definedName name="QTA8\02p01p01p00s01">#REF!</definedName>
    <definedName name="QTA8\02p01p02p00s01">#REF!</definedName>
    <definedName name="QTA8\02p01p06p00s01">#REF!</definedName>
    <definedName name="QTA8\02p02p00p01s01">#N/A</definedName>
    <definedName name="QTA8\02p02p01p00sA1">#N/A</definedName>
    <definedName name="QTA8\02p02p01p00sA3">#N/A</definedName>
    <definedName name="QTA8\02p02p02p00sA2">#N/A</definedName>
    <definedName name="QTA8\02p02p03p00sA2">#N/A</definedName>
    <definedName name="QTA8\02p02p04p00sA1">#N/A</definedName>
    <definedName name="QTA8\02p02p05p00sA1">#REF!</definedName>
    <definedName name="QTA8\02p02p06p00s01">#REF!</definedName>
    <definedName name="QTA8\02p02p07p00s02">#REF!</definedName>
    <definedName name="QTA8\02p02p08p00s01">#REF!</definedName>
    <definedName name="QTA8\02p05p01p00s01">#REF!</definedName>
    <definedName name="QTA8\02p05p02p00s01">#REF!</definedName>
    <definedName name="QTA8\03p05p03p01s01">#REF!</definedName>
    <definedName name="QTA8\08p02p00p00s01">#REF!</definedName>
    <definedName name="QTA8\08p02p00p00s05">#REF!</definedName>
    <definedName name="QTA8\08p04p00p00s01">#REF!</definedName>
    <definedName name="QTA9\02p02p00p01s01">#N/A</definedName>
    <definedName name="QTA9\02p02p01p00s01">#REF!</definedName>
    <definedName name="QTA9\02p02p01p00sA1">#N/A</definedName>
    <definedName name="QTA9\02p02p01p00sA3">#N/A</definedName>
    <definedName name="QTA9\02p02p02p00sA2">#N/A</definedName>
    <definedName name="QTA9\02p02p03p00sA2">#N/A</definedName>
    <definedName name="QTA9\02p02p04p00sA1">#N/A</definedName>
    <definedName name="QTA9\02p02p05p00sA1">#REF!</definedName>
    <definedName name="QTA9\02p02p06p00s01">#REF!</definedName>
    <definedName name="QTA9\02p02p07p00s02">#REF!</definedName>
    <definedName name="QTA9\02p02p08p00s01">#REF!</definedName>
    <definedName name="QU" hidden="1">{#N/A,#N/A,FALSE,"Costos Productos 6A";#N/A,#N/A,FALSE,"Costo Unitario Total H-94-12"}</definedName>
    <definedName name="Quality">#REF!</definedName>
    <definedName name="QUANTITY">#REF!</definedName>
    <definedName name="Quemar">#REF!,#REF!,#REF!,#REF!,#REF!,#REF!,#REF!,#REF!,#REF!,#REF!,#REF!</definedName>
    <definedName name="Quemar_2">#REF!,#REF!,#REF!,#REF!,#REF!,#REF!,#REF!,#REF!,#REF!,#REF!,#REF!</definedName>
    <definedName name="querer" hidden="1">#REF!</definedName>
    <definedName name="QUIM">#N/A</definedName>
    <definedName name="QUIM_FBC">#N/A</definedName>
    <definedName name="qvg" hidden="1">#REF!</definedName>
    <definedName name="QW" hidden="1">{#N/A,#N/A,FALSE,"Costos Productos 6A";#N/A,#N/A,FALSE,"Costo Unitario Total H-94-12"}</definedName>
    <definedName name="qwc" hidden="1">#REF!</definedName>
    <definedName name="qwdas2" hidden="1">{"via1",#N/A,TRUE,"general";"via2",#N/A,TRUE,"general";"via3",#N/A,TRUE,"general"}</definedName>
    <definedName name="qwe" hidden="1">{#N/A,#N/A,FALSE,"EACT"}</definedName>
    <definedName name="qweqe" hidden="1">{"TAB1",#N/A,TRUE,"GENERAL";"TAB2",#N/A,TRUE,"GENERAL";"TAB3",#N/A,TRUE,"GENERAL";"TAB4",#N/A,TRUE,"GENERAL";"TAB5",#N/A,TRUE,"GENERAL"}</definedName>
    <definedName name="QWEQWE">#REF!</definedName>
    <definedName name="QWER" hidden="1">{#N/A,#N/A,FALSE,"이태원철근"}</definedName>
    <definedName name="qwert" hidden="1">{#N/A,#N/A,FALSE,"단축1";#N/A,#N/A,FALSE,"단축2";#N/A,#N/A,FALSE,"단축3";#N/A,#N/A,FALSE,"장축";#N/A,#N/A,FALSE,"4WD"}</definedName>
    <definedName name="qwerty" hidden="1">#REF!</definedName>
    <definedName name="qwew" hidden="1">{#N/A,#N/A,FALSE,"Solids Only"}</definedName>
    <definedName name="qwewertet" hidden="1">{#N/A,#N/A,TRUE,"1842CWN0"}</definedName>
    <definedName name="QWQ" hidden="1">{#N/A,#N/A,FALSE,"DMC schedule";#N/A,#N/A,FALSE,"DMC_THC Revenue";#N/A,#N/A,FALSE,"Personnel plan";#N/A,#N/A,FALSE,"Capex HW+SW";#N/A,#N/A,FALSE,"P&amp;L"}</definedName>
    <definedName name="qwqdafgfg" hidden="1">{#N/A,#N/A,FALSE,"Hoja1";#N/A,#N/A,FALSE,"Hoja2"}</definedName>
    <definedName name="qwqwqwj" hidden="1">{"TAB1",#N/A,TRUE,"GENERAL";"TAB2",#N/A,TRUE,"GENERAL";"TAB3",#N/A,TRUE,"GENERAL";"TAB4",#N/A,TRUE,"GENERAL";"TAB5",#N/A,TRUE,"GENERAL"}</definedName>
    <definedName name="qwscf" hidden="1">{#N/A,#N/A,TRUE,"Y생산";#N/A,#N/A,TRUE,"Y판매";#N/A,#N/A,TRUE,"Y총물량";#N/A,#N/A,TRUE,"Y능력";#N/A,#N/A,TRUE,"YKD"}</definedName>
    <definedName name="QWW" hidden="1">{#N/A,#N/A,FALSE,"DMC schedule";#N/A,#N/A,FALSE,"DMC_THC Revenue";#N/A,#N/A,FALSE,"Personnel plan";#N/A,#N/A,FALSE,"Capex HW+SW";#N/A,#N/A,FALSE,"P&amp;L"}</definedName>
    <definedName name="QWWW" hidden="1">{#N/A,#N/A,FALSE,"Costos Productos 6A";#N/A,#N/A,FALSE,"Costo Unitario Total H-94-12"}</definedName>
    <definedName name="QWWWWW" hidden="1">{#N/A,#N/A,FALSE,"단축1";#N/A,#N/A,FALSE,"단축2";#N/A,#N/A,FALSE,"단축3";#N/A,#N/A,FALSE,"장축";#N/A,#N/A,FALSE,"4WD"}</definedName>
    <definedName name="qx" hidden="1">{#N/A,#N/A,FALSE,"masez (10)";#N/A,#N/A,FALSE,"masez (7)";#N/A,#N/A,FALSE,"masez (6)";#N/A,#N/A,FALSE,"masez (5)";#N/A,#N/A,FALSE,"masez (4)";#N/A,#N/A,FALSE,"masez (3)";#N/A,#N/A,FALSE,"masez (2)";#N/A,#N/A,FALSE,"GME";#N/A,#N/A,FALSE,"masez"}</definedName>
    <definedName name="qxo" hidden="1">#REF!</definedName>
    <definedName name="r.CashFlow" hidden="1">#REF!</definedName>
    <definedName name="R.H">#REF!</definedName>
    <definedName name="r.Leverage" hidden="1">#REF!</definedName>
    <definedName name="r.Liquidity" hidden="1">#REF!</definedName>
    <definedName name="r.Market" hidden="1">#REF!</definedName>
    <definedName name="r.Profitability" hidden="1">#REF!</definedName>
    <definedName name="r.Summary" hidden="1">#REF!</definedName>
    <definedName name="R_d">#N/A</definedName>
    <definedName name="R8937589" hidden="1">{#N/A,#N/A,FALSE,"TABLE"}</definedName>
    <definedName name="rachunek" hidden="1">{#N/A,#N/A,FALSE,"F-01";#N/A,#N/A,FALSE,"F-01";#N/A,#N/A,FALSE,"F-01"}</definedName>
    <definedName name="radio" hidden="1">{"'banner (abr)'!$A$14:$G$22"}</definedName>
    <definedName name="radios">#REF!</definedName>
    <definedName name="RANGOIMPRESION">#N/A</definedName>
    <definedName name="RANKING" hidden="1">{"DETALLE_1996",#N/A,FALSE,"flujo";"DETALLE_1997",#N/A,FALSE,"flujo";"GASTOS_INCURRIDOS_1996",#N/A,FALSE,"flujo";"GASTOS_PROGRAMADOS_PARA_1997",#N/A,FALSE,"flujo";#N/A,#N/A,FALSE,"comparat";#N/A,#N/A,FALSE,"costos";#N/A,#N/A,FALSE,"proyctrol"}</definedName>
    <definedName name="rarewt" hidden="1">{#N/A,#N/A,FALSE,"CCTV"}</definedName>
    <definedName name="RATA" hidden="1">{#N/A,#N/A,FALSE,"CIBHA05A";#N/A,#N/A,FALSE,"CIBHA05B"}</definedName>
    <definedName name="RateAustralia">#REF!</definedName>
    <definedName name="RateBrazil">#REF!</definedName>
    <definedName name="RateChile">#REF!</definedName>
    <definedName name="rated_active_load_001">#REF!</definedName>
    <definedName name="rated_apparent_load_001">#REF!</definedName>
    <definedName name="rated_reactive_load_001">#REF!</definedName>
    <definedName name="rated_voltage_id_001">#REF!</definedName>
    <definedName name="Rates">#REF!</definedName>
    <definedName name="RATIO">#N/A</definedName>
    <definedName name="RCArea" hidden="1">#REF!</definedName>
    <definedName name="rdq">#REF!</definedName>
    <definedName name="rdx" hidden="1">{#N/A,#N/A,FALSE,"Costos Productos 6A";#N/A,#N/A,FALSE,"Costo Unitario Total H-94-12"}</definedName>
    <definedName name="RE">#N/A</definedName>
    <definedName name="README">#REF!</definedName>
    <definedName name="Reajuste1">#REF!</definedName>
    <definedName name="Reajuste2">#REF!</definedName>
    <definedName name="Reajuste3">#REF!</definedName>
    <definedName name="Reajuste4">#REF!</definedName>
    <definedName name="REAL" hidden="1">{"VISTA_1",#N/A,FALSE,"GRAFO"}</definedName>
    <definedName name="realgas" hidden="1">#REF!</definedName>
    <definedName name="REALIZADO">#REF!</definedName>
    <definedName name="reb" hidden="1">{#N/A,#N/A,FALSE,"Hoja1";#N/A,#N/A,FALSE,"Hoja2"}</definedName>
    <definedName name="REBISEL">#REF!</definedName>
    <definedName name="RECAP" hidden="1">{#N/A,#N/A,FALSE,"3";#N/A,#N/A,FALSE,"5";#N/A,#N/A,FALSE,"6";#N/A,#N/A,FALSE,"8";#N/A,#N/A,FALSE,"10";#N/A,#N/A,FALSE,"13";#N/A,#N/A,FALSE,"14";#N/A,#N/A,FALSE,"15";#N/A,#N/A,FALSE,"16"}</definedName>
    <definedName name="recarga" hidden="1">{"'banner (abr)'!$A$14:$G$22"}</definedName>
    <definedName name="RECARGO">#REF!</definedName>
    <definedName name="RECOMPR">#REF!</definedName>
    <definedName name="Recursos">OFFSET(#REF!,,,COUNTA(#REF!),4)</definedName>
    <definedName name="red" hidden="1">{#N/A,#N/A,FALSE,"Index";#N/A,#N/A,FALSE,"inc stmt ";#N/A,#N/A,FALSE,"Prior Yr compare";#N/A,#N/A,FALSE,"Prior Mo compare";#N/A,#N/A,FALSE,"Halco graphs";#N/A,#N/A,FALSE,"Halco CVA";#N/A,#N/A,FALSE,"balsheet";#N/A,#N/A,FALSE,"Cflow long";#N/A,#N/A,FALSE,"Cfland T";#N/A,#N/A,FALSE,"Cfland M";#N/A,#N/A,FALSE,"HEG ytd psl";#N/A,#N/A,FALSE,"HEG mo psl";#N/A,#N/A,FALSE,"HEG graphs";#N/A,#N/A,FALSE,"HEG CVA";#N/A,#N/A,FALSE,"E&amp;C ytd psl";#N/A,#N/A,FALSE,"E&amp;C mo psl ";#N/A,#N/A,FALSE,"E&amp;C graphs";#N/A,#N/A,FALSE,"E&amp;C CVA";#N/A,#N/A,FALSE,"suppl-psl";#N/A,#N/A,FALSE,"Reconcile (ytd)";#N/A,#N/A,FALSE,"Reconcile (mon)"}</definedName>
    <definedName name="REDEX108">#REF!</definedName>
    <definedName name="REDEX43">#REF!</definedName>
    <definedName name="REDEX84">#REF!</definedName>
    <definedName name="ree" hidden="1">{#N/A,#N/A,FALSE,"masez (10)";#N/A,#N/A,FALSE,"masez (7)";#N/A,#N/A,FALSE,"masez (6)";#N/A,#N/A,FALSE,"masez (5)";#N/A,#N/A,FALSE,"masez (4)";#N/A,#N/A,FALSE,"masez (3)";#N/A,#N/A,FALSE,"masez (2)";#N/A,#N/A,FALSE,"GME";#N/A,#N/A,FALSE,"masez"}</definedName>
    <definedName name="ref">#REF!</definedName>
    <definedName name="Refuerzo">#REF!</definedName>
    <definedName name="REG">#REF!</definedName>
    <definedName name="rege" hidden="1">{"TAB1",#N/A,TRUE,"GENERAL";"TAB2",#N/A,TRUE,"GENERAL";"TAB3",#N/A,TRUE,"GENERAL";"TAB4",#N/A,TRUE,"GENERAL";"TAB5",#N/A,TRUE,"GENERAL"}</definedName>
    <definedName name="regional">#REF!</definedName>
    <definedName name="REGISTER">#REF!</definedName>
    <definedName name="Registro_Auditoria" hidden="1">#REF!</definedName>
    <definedName name="Registro_Diario" hidden="1">#REF!</definedName>
    <definedName name="regresd" hidden="1">{"TAB1",#N/A,TRUE,"GENERAL";"TAB2",#N/A,TRUE,"GENERAL";"TAB3",#N/A,TRUE,"GENERAL";"TAB4",#N/A,TRUE,"GENERAL";"TAB5",#N/A,TRUE,"GENERAL"}</definedName>
    <definedName name="regthio" hidden="1">{"TAB1",#N/A,TRUE,"GENERAL";"TAB2",#N/A,TRUE,"GENERAL";"TAB3",#N/A,TRUE,"GENERAL";"TAB4",#N/A,TRUE,"GENERAL";"TAB5",#N/A,TRUE,"GENERAL"}</definedName>
    <definedName name="REGULAR">#REF!</definedName>
    <definedName name="REJHE" hidden="1">{"via1",#N/A,TRUE,"general";"via2",#N/A,TRUE,"general";"via3",#N/A,TRUE,"general"}</definedName>
    <definedName name="rel" hidden="1">{#N/A,#N/A,FALSE,"3mthsum.xls";#N/A,#N/A,FALSE,"fcstmth1.xls";#N/A,#N/A,FALSE,"fcstmth2.xls";#N/A,#N/A,FALSE,"fcstmth3.xls";#N/A,#N/A,FALSE,"cntsprt.xls";#N/A,#N/A,FALSE,"fldind.xls";#N/A,#N/A,FALSE,"epo.xls";#N/A,#N/A,FALSE,"tech.xls";#N/A,#N/A,FALSE,"train.xls";#N/A,#N/A,FALSE,"realest.xls";#N/A,#N/A,FALSE,"cfs.xls"}</definedName>
    <definedName name="Relacion_________________________________________Señal_de_entrada_0_110V._____________________________________________________Señal_de_salida__0_5_mA___________________________________________________Rango_de_tensión_0_123V">#REF!</definedName>
    <definedName name="related_voltage_id_001">#REF!</definedName>
    <definedName name="ReliabilityPhilosophy">#REF!</definedName>
    <definedName name="rell">#REF!</definedName>
    <definedName name="RelyFactor2">#REF!</definedName>
    <definedName name="REM_A">#N/A</definedName>
    <definedName name="REM_B">#N/A</definedName>
    <definedName name="remanentes">#REF!,#REF!,#REF!,#REF!</definedName>
    <definedName name="REMOL">#N/A</definedName>
    <definedName name="REMOL_A">#N/A</definedName>
    <definedName name="Repayment_Profile_Check">#REF!</definedName>
    <definedName name="REPROGRAMACION">#REF!</definedName>
    <definedName name="req_no_001">#REF!</definedName>
    <definedName name="Requerimiento">#REF!</definedName>
    <definedName name="Requerimientos">#REF!</definedName>
    <definedName name="requires_power_supply_001">#REF!</definedName>
    <definedName name="rer" hidden="1">{"via1",#N/A,TRUE,"general";"via2",#N/A,TRUE,"general";"via3",#N/A,TRUE,"general"}</definedName>
    <definedName name="rerererere" hidden="1">{#N/A,#N/A,FALSE,"PERSONAL"}</definedName>
    <definedName name="rererw" hidden="1">{"TAB1",#N/A,TRUE,"GENERAL";"TAB2",#N/A,TRUE,"GENERAL";"TAB3",#N/A,TRUE,"GENERAL";"TAB4",#N/A,TRUE,"GENERAL";"TAB5",#N/A,TRUE,"GENERAL"}</definedName>
    <definedName name="rerg" hidden="1">{"TAB1",#N/A,TRUE,"GENERAL";"TAB2",#N/A,TRUE,"GENERAL";"TAB3",#N/A,TRUE,"GENERAL";"TAB4",#N/A,TRUE,"GENERAL";"TAB5",#N/A,TRUE,"GENERAL"}</definedName>
    <definedName name="rerrrrw" hidden="1">{"TAB1",#N/A,TRUE,"GENERAL";"TAB2",#N/A,TRUE,"GENERAL";"TAB3",#N/A,TRUE,"GENERAL";"TAB4",#N/A,TRUE,"GENERAL";"TAB5",#N/A,TRUE,"GENERAL"}</definedName>
    <definedName name="residente">#REF!</definedName>
    <definedName name="ResInf2">#REF!</definedName>
    <definedName name="RESP">#N/A</definedName>
    <definedName name="RESPONSA">#REF!</definedName>
    <definedName name="resu">#REF!</definedName>
    <definedName name="resul">#REF!</definedName>
    <definedName name="ReSumen" hidden="1">{#N/A,#N/A,FALSE,"Hoja1";#N/A,#N/A,FALSE,"Hoja2"}</definedName>
    <definedName name="RETE" hidden="1">{#N/A,#N/A,FALSE,"Solids Only"}</definedName>
    <definedName name="Retenc">#REF!</definedName>
    <definedName name="retosplantas" hidden="1">{"EVA",#N/A,FALSE,"SMT2";#N/A,#N/A,FALSE,"Summary";#N/A,#N/A,FALSE,"Graphs";#N/A,#N/A,FALSE,"4 Panel"}</definedName>
    <definedName name="RETR" hidden="1">{#N/A,#N/A,FALSE,"PERSONAL"}</definedName>
    <definedName name="retro" hidden="1">#REF!</definedName>
    <definedName name="retrti" hidden="1">{#N/A,#N/A,FALSE,"Solids Only"}</definedName>
    <definedName name="RETTRE" hidden="1">{"via1",#N/A,TRUE,"general";"via2",#N/A,TRUE,"general";"via3",#N/A,TRUE,"general"}</definedName>
    <definedName name="rety" hidden="1">{"TAB1",#N/A,TRUE,"GENERAL";"TAB2",#N/A,TRUE,"GENERAL";"TAB3",#N/A,TRUE,"GENERAL";"TAB4",#N/A,TRUE,"GENERAL";"TAB5",#N/A,TRUE,"GENERAL"}</definedName>
    <definedName name="Rev">#REF!</definedName>
    <definedName name="rev_id_001">#REF!</definedName>
    <definedName name="RevBy">#REF!</definedName>
    <definedName name="RevDate">#REF!</definedName>
    <definedName name="REVENUE">#REF!</definedName>
    <definedName name="REVISIONES">#REF!</definedName>
    <definedName name="RevList">#REF!</definedName>
    <definedName name="RevListBy">#REF!</definedName>
    <definedName name="RevListDate">#REF!</definedName>
    <definedName name="RevListNo">#REF!</definedName>
    <definedName name="RevListStatus">#REF!</definedName>
    <definedName name="RevNum">#REF!</definedName>
    <definedName name="rewfreg" hidden="1">{"via1",#N/A,TRUE,"general";"via2",#N/A,TRUE,"general";"via3",#N/A,TRUE,"general"}</definedName>
    <definedName name="rewr" hidden="1">{"via1",#N/A,TRUE,"general";"via2",#N/A,TRUE,"general";"via3",#N/A,TRUE,"general"}</definedName>
    <definedName name="REWWER" hidden="1">{"TAB1",#N/A,TRUE,"GENERAL";"TAB2",#N/A,TRUE,"GENERAL";"TAB3",#N/A,TRUE,"GENERAL";"TAB4",#N/A,TRUE,"GENERAL";"TAB5",#N/A,TRUE,"GENERAL"}</definedName>
    <definedName name="reyepoi" hidden="1">{"TAB1",#N/A,TRUE,"GENERAL";"TAB2",#N/A,TRUE,"GENERAL";"TAB3",#N/A,TRUE,"GENERAL";"TAB4",#N/A,TRUE,"GENERAL";"TAB5",#N/A,TRUE,"GENERAL"}</definedName>
    <definedName name="reyety" hidden="1">{"via1",#N/A,TRUE,"general";"via2",#N/A,TRUE,"general";"via3",#N/A,TRUE,"general"}</definedName>
    <definedName name="reyty" hidden="1">{"via1",#N/A,TRUE,"general";"via2",#N/A,TRUE,"general";"via3",#N/A,TRUE,"general"}</definedName>
    <definedName name="reyyt" hidden="1">{"via1",#N/A,TRUE,"general";"via2",#N/A,TRUE,"general";"via3",#N/A,TRUE,"general"}</definedName>
    <definedName name="RF" hidden="1">{#N/A,#N/A,FALSE,"CCTV"}</definedName>
    <definedName name="rfc"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rfd" hidden="1">{#N/A,#N/A,TRUE,"INGENIERIA";#N/A,#N/A,TRUE,"COMPRAS";#N/A,#N/A,TRUE,"DIRECCION";#N/A,#N/A,TRUE,"RESUMEN"}</definedName>
    <definedName name="rfgcv"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rfgh" hidden="1">#REF!</definedName>
    <definedName name="rfhnhjyu" hidden="1">{"TAB1",#N/A,TRUE,"GENERAL";"TAB2",#N/A,TRUE,"GENERAL";"TAB3",#N/A,TRUE,"GENERAL";"TAB4",#N/A,TRUE,"GENERAL";"TAB5",#N/A,TRUE,"GENERAL"}</definedName>
    <definedName name="rfrf" hidden="1">{"via1",#N/A,TRUE,"general";"via2",#N/A,TRUE,"general";"via3",#N/A,TRUE,"general"}</definedName>
    <definedName name="RFUIOEWJFE" hidden="1">{#N/A,#N/A,FALSE,"TABLE"}</definedName>
    <definedName name="RFV" hidden="1">{#N/A,#N/A,FALSE,"Solids &amp; Flow"}</definedName>
    <definedName name="rg">#REF!</definedName>
    <definedName name="rge" hidden="1">{"via1",#N/A,TRUE,"general";"via2",#N/A,TRUE,"general";"via3",#N/A,TRUE,"general"}</definedName>
    <definedName name="rgegg" hidden="1">{"via1",#N/A,TRUE,"general";"via2",#N/A,TRUE,"general";"via3",#N/A,TRUE,"general"}</definedName>
    <definedName name="RGM" hidden="1">{#N/A,#N/A,FALSE,"DITCAR";#N/A,#N/A,FALSE,"a1";#N/A,#N/A,FALSE,"a2";#N/A,#N/A,FALSE,"a3";#N/A,#N/A,FALSE,"a4";#N/A,#N/A,FALSE,"a4a";#N/A,#N/A,FALSE,"a4B";#N/A,#N/A,FALSE,"a4C";#N/A,#N/A,FALSE,"A5a ";#N/A,#N/A,FALSE,"A5b";#N/A,#N/A,FALSE,"A6A";#N/A,#N/A,FALSE,"A6B";#N/A,#N/A,FALSE,"A6C";#N/A,#N/A,FALSE,"04PG12NB"}</definedName>
    <definedName name="rgradfasfdd" hidden="1">{#N/A,#N/A,FALSE,"단축1";#N/A,#N/A,FALSE,"단축2";#N/A,#N/A,FALSE,"단축3";#N/A,#N/A,FALSE,"장축";#N/A,#N/A,FALSE,"4WD"}</definedName>
    <definedName name="RH" hidden="1">{#N/A,#N/A,FALSE,"단축1";#N/A,#N/A,FALSE,"단축2";#N/A,#N/A,FALSE,"단축3";#N/A,#N/A,FALSE,"장축";#N/A,#N/A,FALSE,"4WD"}</definedName>
    <definedName name="RHDK" hidden="1">{#N/A,#N/A,FALSE,"이태원철근"}</definedName>
    <definedName name="rhdrmq"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rhh" hidden="1">{"TAB1",#N/A,TRUE,"GENERAL";"TAB2",#N/A,TRUE,"GENERAL";"TAB3",#N/A,TRUE,"GENERAL";"TAB4",#N/A,TRUE,"GENERAL";"TAB5",#N/A,TRUE,"GENERAL"}</definedName>
    <definedName name="rhrtd" hidden="1">{"TAB1",#N/A,TRUE,"GENERAL";"TAB2",#N/A,TRUE,"GENERAL";"TAB3",#N/A,TRUE,"GENERAL";"TAB4",#N/A,TRUE,"GENERAL";"TAB5",#N/A,TRUE,"GENERAL"}</definedName>
    <definedName name="rhtry" hidden="1">{"TAB1",#N/A,TRUE,"GENERAL";"TAB2",#N/A,TRUE,"GENERAL";"TAB3",#N/A,TRUE,"GENERAL";"TAB4",#N/A,TRUE,"GENERAL";"TAB5",#N/A,TRUE,"GENERAL"}</definedName>
    <definedName name="RIGO2" hidden="1">{"cuadro1",#N/A,FALSE,"Buzon Camion Opción 3";"cuadro2",#N/A,FALSE,"Buzon Camion Opción 3";"cuadro3",#N/A,FALSE,"Buzon Camion Opción 3";"cuadro4",#N/A,FALSE,"Buzon Camion Opción 3"}</definedName>
    <definedName name="RIO" hidden="1">#REF!</definedName>
    <definedName name="RiskAfterRecalcMacro" hidden="1">""</definedName>
    <definedName name="RiskAfterSimMacro" hidden="1">""</definedName>
    <definedName name="RiskAnalysis">#REF!</definedName>
    <definedName name="riskATSSboxGraph" hidden="1">FALSE</definedName>
    <definedName name="riskATSSincludeSimtables" hidden="1">TRUE</definedName>
    <definedName name="riskATSSinputsGraphs" hidden="1">FALSE</definedName>
    <definedName name="riskATSSoutputStatistic" hidden="1">3</definedName>
    <definedName name="riskATSSpercentChangeGraph" hidden="1">TRUE</definedName>
    <definedName name="riskATSSpercentileGraph" hidden="1">TRUE</definedName>
    <definedName name="riskATSSpercentileValue" hidden="1">0.5</definedName>
    <definedName name="riskATSSprintReport" hidden="1">FALSE</definedName>
    <definedName name="riskATSSreportsInActiveBook" hidden="1">FALSE</definedName>
    <definedName name="riskATSSreportsSelected" hidden="1">TRUE</definedName>
    <definedName name="riskATSSsummaryReport" hidden="1">TRUE</definedName>
    <definedName name="riskATSStornadoGraph" hidden="1">TRUE</definedName>
    <definedName name="riskATSTbaselineRequested">TRUE</definedName>
    <definedName name="riskATSTboxGraph">TRUE</definedName>
    <definedName name="riskATSTcomparisonGraph">TRUE</definedName>
    <definedName name="riskATSThistogramGraph">FALSE</definedName>
    <definedName name="riskATSToutputStatistic">4</definedName>
    <definedName name="riskATSTprintReport">FALSE</definedName>
    <definedName name="riskATSTreportsInActiveBook">FALSE</definedName>
    <definedName name="riskATSTreportsSelected">TRUE</definedName>
    <definedName name="riskATSTsequentialStress">TRUE</definedName>
    <definedName name="riskATSTsummaryReport">TRUE</definedName>
    <definedName name="RiskAutoStopPercChange">1.5</definedName>
    <definedName name="RiskBeforeRecalcMacro" hidden="1">""</definedName>
    <definedName name="RiskBeforeSimMacro" hidden="1">""</definedName>
    <definedName name="RiskCollectDistributionSamples" hidden="1">2</definedName>
    <definedName name="RiskExcelReportsGoInNewWorkbook">FALSE</definedName>
    <definedName name="RiskExcelReportsToGenerate">0</definedName>
    <definedName name="RiskFixedSeed" hidden="1">1</definedName>
    <definedName name="RiskGenerateExcelReportsAtEndOfSimulation">TRUE</definedName>
    <definedName name="RiskHasSettings" hidden="1">6</definedName>
    <definedName name="RiskIsInput" hidden="1">FALSE</definedName>
    <definedName name="RiskIsOptimization" hidden="1">FALSE</definedName>
    <definedName name="RiskIsOutput" hidden="1">FALSE</definedName>
    <definedName name="RiskIsStatistics" hidden="1">FALSE</definedName>
    <definedName name="RiskMinimizeOnStart" hidden="1">FALSE</definedName>
    <definedName name="RiskMonitorConvergence" hidden="1">FALSE</definedName>
    <definedName name="RiskMultipleCPUSupportEnabled" hidden="1">TRUE</definedName>
    <definedName name="RiskNumIterations" hidden="1">5000</definedName>
    <definedName name="RiskNumSimulations" hidden="1">1</definedName>
    <definedName name="RiskPauseOnError" hidden="1">FALSE</definedName>
    <definedName name="RiskRealTimeResults">FALSE</definedName>
    <definedName name="RiskReportGraphFormat">0</definedName>
    <definedName name="RiskResultsUpdateFreq">100</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electedCell" hidden="1">"$J$11"</definedName>
    <definedName name="RiskSelectedNameCell1" hidden="1">"$H$11"</definedName>
    <definedName name="RiskSelectedNameCell2" hidden="1">"$J$3"</definedName>
    <definedName name="RiskShowRiskWindowAtEndOfSimulation">TRUE</definedName>
    <definedName name="RiskStandardRecalc" hidden="1">1</definedName>
    <definedName name="RiskStatFunctionsUpdateFreq">1</definedName>
    <definedName name="RiskTemplateSheetName">"Summary Sheet"</definedName>
    <definedName name="RiskUpdateDisplay" hidden="1">FALSE</definedName>
    <definedName name="RiskUpdateStatFunctions">TRUE</definedName>
    <definedName name="RiskUseDifferentSeedForEachSim" hidden="1">FALSE</definedName>
    <definedName name="RiskUseFixedSeed" hidden="1">FALSE</definedName>
    <definedName name="RiskUseMultipleCPUs" hidden="1">TRUE</definedName>
    <definedName name="RISP">#REF!</definedName>
    <definedName name="rj" hidden="1">{"TAB1",#N/A,TRUE,"GENERAL";"TAB2",#N/A,TRUE,"GENERAL";"TAB3",#N/A,TRUE,"GENERAL";"TAB4",#N/A,TRUE,"GENERAL";"TAB5",#N/A,TRUE,"GENERAL"}</definedName>
    <definedName name="rjjth" hidden="1">{"TAB1",#N/A,TRUE,"GENERAL";"TAB2",#N/A,TRUE,"GENERAL";"TAB3",#N/A,TRUE,"GENERAL";"TAB4",#N/A,TRUE,"GENERAL";"TAB5",#N/A,TRUE,"GENERAL"}</definedName>
    <definedName name="rjrfbv"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rjy" hidden="1">{"via1",#N/A,TRUE,"general";"via2",#N/A,TRUE,"general";"via3",#N/A,TRUE,"general"}</definedName>
    <definedName name="rk" hidden="1">{#N/A,#N/A,FALSE,"F-01";#N/A,#N/A,FALSE,"F-01";#N/A,#N/A,FALSE,"F-01"}</definedName>
    <definedName name="rkd" hidden="1">{#N/A,#N/A,FALSE,"CCTV"}</definedName>
    <definedName name="rkjyk" hidden="1">{"TAB1",#N/A,TRUE,"GENERAL";"TAB2",#N/A,TRUE,"GENERAL";"TAB3",#N/A,TRUE,"GENERAL";"TAB4",#N/A,TRUE,"GENERAL";"TAB5",#N/A,TRUE,"GENERAL"}</definedName>
    <definedName name="rkru" hidden="1">{"via1",#N/A,TRUE,"general";"via2",#N/A,TRUE,"general";"via3",#N/A,TRUE,"general"}</definedName>
    <definedName name="rky" hidden="1">{"TAB1",#N/A,TRUE,"GENERAL";"TAB2",#N/A,TRUE,"GENERAL";"TAB3",#N/A,TRUE,"GENERAL";"TAB4",#N/A,TRUE,"GENERAL";"TAB5",#N/A,TRUE,"GENERAL"}</definedName>
    <definedName name="rnf">#REF!</definedName>
    <definedName name="RO" hidden="1">#REF!</definedName>
    <definedName name="ROA">#N/A</definedName>
    <definedName name="ROA_d">#N/A</definedName>
    <definedName name="ROLANDO" hidden="1">#REF!</definedName>
    <definedName name="ROT_CxC">#N/A</definedName>
    <definedName name="ROT_CxC_d">#N/A</definedName>
    <definedName name="Rót_Listas_Pers">#REF!</definedName>
    <definedName name="ROTJSRHKWJD1" hidden="1">{#N/A,#N/A,FALSE,"단축1";#N/A,#N/A,FALSE,"단축2";#N/A,#N/A,FALSE,"단축3";#N/A,#N/A,FALSE,"장축";#N/A,#N/A,FALSE,"4WD"}</definedName>
    <definedName name="Rotulos_Actividades">#REF!</definedName>
    <definedName name="Rótulos_Listas">#REF!</definedName>
    <definedName name="Roughness_Processed_BTAVTA_G_">#REF!</definedName>
    <definedName name="Roughness_Processed_VTABTA_g_">#REF!</definedName>
    <definedName name="Rows2Unhide" hidden="1">#REF!</definedName>
    <definedName name="rpemsa" hidden="1">{"'banner (abr)'!$A$14:$G$22"}</definedName>
    <definedName name="rptMth">#REF!</definedName>
    <definedName name="rptNo">#REF!</definedName>
    <definedName name="RR" hidden="1">#REF!</definedName>
    <definedName name="rre" hidden="1">{"cprgas",#N/A,FALSE,"CPR_E";"cprwat",#N/A,FALSE,"CPR_E";"oilcpr",#N/A,FALSE,"CPR_E";"norwat",#N/A,FALSE,"CPR_E";"norgas",#N/A,FALSE,"CPR_E";"noroil",#N/A,FALSE,"CPR_E";"surwat",#N/A,FALSE,"CPR_E";"surgas",#N/A,FALSE,"CPR_E";"suroil",#N/A,FALSE,"CPR_E";"puriwat",#N/A,FALSE,"CPR_E";"purigas",#N/A,FALSE,"CPR_E";"purioil",#N/A,FALSE,"CPR_E"}</definedName>
    <definedName name="rrr" hidden="1">{"via1",#N/A,TRUE,"general";"via2",#N/A,TRUE,"general";"via3",#N/A,TRUE,"general"}</definedName>
    <definedName name="rrrrrb" hidden="1">{"via1",#N/A,TRUE,"general";"via2",#N/A,TRUE,"general";"via3",#N/A,TRUE,"general"}</definedName>
    <definedName name="rrrrrr" hidden="1">{#N/A,#N/A,FALSE,"Costos Contables CIB A 12 1994";#N/A,#N/A,FALSE,"Cuadre Contab. y C. OP"}</definedName>
    <definedName name="RRRRRRR" hidden="1">{"'Sheet1'!$A$1:$G$85"}</definedName>
    <definedName name="rrrrrrre" hidden="1">{"TAB1",#N/A,TRUE,"GENERAL";"TAB2",#N/A,TRUE,"GENERAL";"TAB3",#N/A,TRUE,"GENERAL";"TAB4",#N/A,TRUE,"GENERAL";"TAB5",#N/A,TRUE,"GENERAL"}</definedName>
    <definedName name="rrrrrrrrrrrrrr" hidden="1">{"'TABLA 4.3'!$A$1:$O$41"}</definedName>
    <definedName name="rrrrrrrrrrrrrr_1" hidden="1">{"'TABLA 4.3'!$A$1:$O$41"}</definedName>
    <definedName name="rrrrt" hidden="1">{"via1",#N/A,TRUE,"general";"via2",#N/A,TRUE,"general";"via3",#N/A,TRUE,"general"}</definedName>
    <definedName name="rrtttt" hidden="1">{#N/A,#N/A,FALSE,"Costos Productos 6A";#N/A,#N/A,FALSE,"Costo Unitario Total H-94-12"}</definedName>
    <definedName name="Rs">#REF!</definedName>
    <definedName name="rsdgsd5" hidden="1">{"TAB1",#N/A,TRUE,"GENERAL";"TAB2",#N/A,TRUE,"GENERAL";"TAB3",#N/A,TRUE,"GENERAL";"TAB4",#N/A,TRUE,"GENERAL";"TAB5",#N/A,TRUE,"GENERAL"}</definedName>
    <definedName name="rsty" hidden="1">{#N/A,#N/A,FALSE,"견적대비-2"}</definedName>
    <definedName name="RSUMA">#REF!</definedName>
    <definedName name="rt" hidden="1">{"TAB1",#N/A,TRUE,"GENERAL";"TAB2",#N/A,TRUE,"GENERAL";"TAB3",#N/A,TRUE,"GENERAL";"TAB4",#N/A,TRUE,"GENERAL";"TAB5",#N/A,TRUE,"GENERAL"}</definedName>
    <definedName name="rtapia"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rte" hidden="1">{"TAB1",#N/A,TRUE,"GENERAL";"TAB2",#N/A,TRUE,"GENERAL";"TAB3",#N/A,TRUE,"GENERAL";"TAB4",#N/A,TRUE,"GENERAL";"TAB5",#N/A,TRUE,"GENERAL"}</definedName>
    <definedName name="rteg" hidden="1">{"via1",#N/A,TRUE,"general";"via2",#N/A,TRUE,"general";"via3",#N/A,TRUE,"general"}</definedName>
    <definedName name="rtert" hidden="1">{"TAB1",#N/A,TRUE,"GENERAL";"TAB2",#N/A,TRUE,"GENERAL";"TAB3",#N/A,TRUE,"GENERAL";"TAB4",#N/A,TRUE,"GENERAL";"TAB5",#N/A,TRUE,"GENERAL"}</definedName>
    <definedName name="rtes" hidden="1">{"via1",#N/A,TRUE,"general";"via2",#N/A,TRUE,"general";"via3",#N/A,TRUE,"general"}</definedName>
    <definedName name="rtewth" hidden="1">{"TAB1",#N/A,TRUE,"GENERAL";"TAB2",#N/A,TRUE,"GENERAL";"TAB3",#N/A,TRUE,"GENERAL";"TAB4",#N/A,TRUE,"GENERAL";"TAB5",#N/A,TRUE,"GENERAL"}</definedName>
    <definedName name="rth" hidden="1">{"'표지'!$B$5"}</definedName>
    <definedName name="rthjtj" hidden="1">{"TAB1",#N/A,TRUE,"GENERAL";"TAB2",#N/A,TRUE,"GENERAL";"TAB3",#N/A,TRUE,"GENERAL";"TAB4",#N/A,TRUE,"GENERAL";"TAB5",#N/A,TRUE,"GENERAL"}</definedName>
    <definedName name="rthjwtrjh" hidden="1">#REF!</definedName>
    <definedName name="rthrthg" hidden="1">{"via1",#N/A,TRUE,"general";"via2",#N/A,TRUE,"general";"via3",#N/A,TRUE,"general"}</definedName>
    <definedName name="rthtrh" hidden="1">{"via1",#N/A,TRUE,"general";"via2",#N/A,TRUE,"general";"via3",#N/A,TRUE,"general"}</definedName>
    <definedName name="rthyfj" hidden="1">{#N/A,#N/A,FALSE,"orthoflow";#N/A,#N/A,FALSE,"Miscelaneos";#N/A,#N/A,FALSE,"Instrumentacio";#N/A,#N/A,FALSE,"Electrico";#N/A,#N/A,FALSE,"Valv. Seguridad"}</definedName>
    <definedName name="rtj" hidden="1">#REF!</definedName>
    <definedName name="rtkk" hidden="1">{"via1",#N/A,TRUE,"general";"via2",#N/A,TRUE,"general";"via3",#N/A,TRUE,"general"}</definedName>
    <definedName name="rttthy" hidden="1">{"via1",#N/A,TRUE,"general";"via2",#N/A,TRUE,"general";"via3",#N/A,TRUE,"general"}</definedName>
    <definedName name="rtu" hidden="1">{"via1",#N/A,TRUE,"general";"via2",#N/A,TRUE,"general";"via3",#N/A,TRUE,"general"}</definedName>
    <definedName name="rtug" hidden="1">{"TAB1",#N/A,TRUE,"GENERAL";"TAB2",#N/A,TRUE,"GENERAL";"TAB3",#N/A,TRUE,"GENERAL";"TAB4",#N/A,TRUE,"GENERAL";"TAB5",#N/A,TRUE,"GENERAL"}</definedName>
    <definedName name="rtugsd" hidden="1">{"TAB1",#N/A,TRUE,"GENERAL";"TAB2",#N/A,TRUE,"GENERAL";"TAB3",#N/A,TRUE,"GENERAL";"TAB4",#N/A,TRUE,"GENERAL";"TAB5",#N/A,TRUE,"GENERAL"}</definedName>
    <definedName name="rtuhrjfyj" hidden="1">{TRUE,TRUE,1,1,542,364,FALSE,FALSE,TRUE,FALSE,0,3,4,3,1,0.98,3,1,TRUE,TRUE,1,TRUE,1,FALSE,100,"Swvu.VIEW._.ALL.","ACwvu.VIEW._.ALL.",1,FALSE,FALSE,0,0,0.65,0.88,2,"&amp;C&amp;""Times""&amp;14&amp;BAnadrill Sales Plan  -  1995&amp;R&amp;""Times""&amp;9&amp;d     &amp;t","&amp;R&amp;""Times""Page &amp;p",TRUE,TRUE,FALSE,FALSE,2,100,#N/A,#N/A,"=R1C1:R112C32",FALSE,#N/A,#N/A,FALSE,FALSE}</definedName>
    <definedName name="rtuhrjfyj_1" hidden="1">{TRUE,TRUE,1,1,542,364,FALSE,FALSE,TRUE,FALSE,0,3,4,3,1,0.98,3,1,TRUE,TRUE,1,TRUE,1,FALSE,100,"Swvu.VIEW._.ALL.","ACwvu.VIEW._.ALL.",1,FALSE,FALSE,0,0,0.65,0.88,2,"&amp;C&amp;""Times""&amp;14&amp;BAnadrill Sales Plan  -  1995&amp;R&amp;""Times""&amp;9&amp;d     &amp;t","&amp;R&amp;""Times""Page &amp;p",TRUE,TRUE,FALSE,FALSE,2,100,#N/A,#N/A,"=R1C1:R112C32",FALSE,#N/A,#N/A,FALSE,FALSE}</definedName>
    <definedName name="rtuhrjfyj_2" hidden="1">{TRUE,TRUE,1,1,542,364,FALSE,FALSE,TRUE,FALSE,0,3,4,3,1,0.98,3,1,TRUE,TRUE,1,TRUE,1,FALSE,100,"Swvu.VIEW._.ALL.","ACwvu.VIEW._.ALL.",1,FALSE,FALSE,0,0,0.65,0.88,2,"&amp;C&amp;""Times""&amp;14&amp;BAnadrill Sales Plan  -  1995&amp;R&amp;""Times""&amp;9&amp;d     &amp;t","&amp;R&amp;""Times""Page &amp;p",TRUE,TRUE,FALSE,FALSE,2,100,#N/A,#N/A,"=R1C1:R112C32",FALSE,#N/A,#N/A,FALSE,FALSE}</definedName>
    <definedName name="rturtu" hidden="1">{"via1",#N/A,TRUE,"general";"via2",#N/A,TRUE,"general";"via3",#N/A,TRUE,"general"}</definedName>
    <definedName name="rturu" hidden="1">{"via1",#N/A,TRUE,"general";"via2",#N/A,TRUE,"general";"via3",#N/A,TRUE,"general"}</definedName>
    <definedName name="rtut" hidden="1">{"via1",#N/A,TRUE,"general";"via2",#N/A,TRUE,"general";"via3",#N/A,TRUE,"general"}</definedName>
    <definedName name="rtutru" hidden="1">{"via1",#N/A,TRUE,"general";"via2",#N/A,TRUE,"general";"via3",#N/A,TRUE,"general"}</definedName>
    <definedName name="rtuy" hidden="1">{"via1",#N/A,TRUE,"general";"via2",#N/A,TRUE,"general";"via3",#N/A,TRUE,"general"}</definedName>
    <definedName name="RTY" hidden="1">{#N/A,#N/A,FALSE,"EACT"}</definedName>
    <definedName name="rtyf" hidden="1">{"ANAR",#N/A,FALSE,"Dist total";"MARGEN",#N/A,FALSE,"Dist total";"COMENTARIO",#N/A,FALSE,"Ficha CODICE";"CONSEJO",#N/A,FALSE,"Dist p0";"uno",#N/A,FALSE,"Dist total"}</definedName>
    <definedName name="rtyhr" hidden="1">{"TAB1",#N/A,TRUE,"GENERAL";"TAB2",#N/A,TRUE,"GENERAL";"TAB3",#N/A,TRUE,"GENERAL";"TAB4",#N/A,TRUE,"GENERAL";"TAB5",#N/A,TRUE,"GENERAL"}</definedName>
    <definedName name="rtym" hidden="1">{"via1",#N/A,TRUE,"general";"via2",#N/A,TRUE,"general";"via3",#N/A,TRUE,"general"}</definedName>
    <definedName name="RTYR" hidden="1">{#N/A,#N/A,FALSE,"Solids Only"}</definedName>
    <definedName name="rtyrey" hidden="1">{"TAB1",#N/A,TRUE,"GENERAL";"TAB2",#N/A,TRUE,"GENERAL";"TAB3",#N/A,TRUE,"GENERAL";"TAB4",#N/A,TRUE,"GENERAL";"TAB5",#N/A,TRUE,"GENERAL"}</definedName>
    <definedName name="rtyrh" hidden="1">{"via1",#N/A,TRUE,"general";"via2",#N/A,TRUE,"general";"via3",#N/A,TRUE,"general"}</definedName>
    <definedName name="RTYRTY" hidden="1">{"via1",#N/A,TRUE,"general";"via2",#N/A,TRUE,"general";"via3",#N/A,TRUE,"general"}</definedName>
    <definedName name="rtyt" hidden="1">{"TAB1",#N/A,TRUE,"GENERAL";"TAB2",#N/A,TRUE,"GENERAL";"TAB3",#N/A,TRUE,"GENERAL";"TAB4",#N/A,TRUE,"GENERAL";"TAB5",#N/A,TRUE,"GENERAL"}</definedName>
    <definedName name="rtytry" hidden="1">{"via1",#N/A,TRUE,"general";"via2",#N/A,TRUE,"general";"via3",#N/A,TRUE,"general"}</definedName>
    <definedName name="rtyui" hidden="1">{#N/A,#N/A,FALSE,"신규dep";#N/A,#N/A,FALSE,"신규dep-금형상각후";#N/A,#N/A,FALSE,"신규dep-연구비상각후";#N/A,#N/A,FALSE,"신규dep-기계,공구상각후"}</definedName>
    <definedName name="RUB">#REF!</definedName>
    <definedName name="RUE" hidden="1">{#N/A,#N/A,FALSE,"TABLE"}</definedName>
    <definedName name="RUGOSIDAD">#REF!</definedName>
    <definedName name="ruru" hidden="1">{"TAB1",#N/A,TRUE,"GENERAL";"TAB2",#N/A,TRUE,"GENERAL";"TAB3",#N/A,TRUE,"GENERAL";"TAB4",#N/A,TRUE,"GENERAL";"TAB5",#N/A,TRUE,"GENERAL"}</definedName>
    <definedName name="RUTA">#N/A</definedName>
    <definedName name="rutu" hidden="1">{"via1",#N/A,TRUE,"general";"via2",#N/A,TRUE,"general";"via3",#N/A,TRUE,"general"}</definedName>
    <definedName name="rv_area_calc">#REF!</definedName>
    <definedName name="rv_area_calc_001">#REF!</definedName>
    <definedName name="rv_area_sel">#REF!</definedName>
    <definedName name="rv_area_sel_001">#REF!</definedName>
    <definedName name="rv_area_uid_001">#REF!</definedName>
    <definedName name="rv_calc_standard_001">#REF!</definedName>
    <definedName name="rv_designation">#REF!</definedName>
    <definedName name="rv_designation_001">#REF!</definedName>
    <definedName name="rwt" hidden="1">{"via1",#N/A,TRUE,"general";"via2",#N/A,TRUE,"general";"via3",#N/A,TRUE,"general"}</definedName>
    <definedName name="Rwvu.oil." hidden="1">#REF!,#REF!</definedName>
    <definedName name="Rwvu.oilgasagua." hidden="1">#REF!,#REF!</definedName>
    <definedName name="ry" hidden="1">{"via1",#N/A,TRUE,"general";"via2",#N/A,TRUE,"general";"via3",#N/A,TRUE,"general"}</definedName>
    <definedName name="ryeryb" hidden="1">{"TAB1",#N/A,TRUE,"GENERAL";"TAB2",#N/A,TRUE,"GENERAL";"TAB3",#N/A,TRUE,"GENERAL";"TAB4",#N/A,TRUE,"GENERAL";"TAB5",#N/A,TRUE,"GENERAL"}</definedName>
    <definedName name="ryjntuiluiyhujujuj" hidden="1">#REF!</definedName>
    <definedName name="rytrsdg" hidden="1">{"via1",#N/A,TRUE,"general";"via2",#N/A,TRUE,"general";"via3",#N/A,TRUE,"general"}</definedName>
    <definedName name="s" hidden="1">{#N/A,#N/A,FALSE,"CIBHA05A";#N/A,#N/A,FALSE,"CIBHA05B"}</definedName>
    <definedName name="S_d">#N/A</definedName>
    <definedName name="SA">#REF!</definedName>
    <definedName name="saa" hidden="1">{"via1",#N/A,TRUE,"general";"via2",#N/A,TRUE,"general";"via3",#N/A,TRUE,"general"}</definedName>
    <definedName name="SAAA" hidden="1">#REF!</definedName>
    <definedName name="saco">#N/A</definedName>
    <definedName name="SAD" hidden="1">{"via1",#N/A,TRUE,"general";"via2",#N/A,TRUE,"general";"via3",#N/A,TRUE,"general"}</definedName>
    <definedName name="SADAD" hidden="1">{#N/A,#N/A,FALSE,"Costos Productos 6A";#N/A,#N/A,FALSE,"Costo Unitario Total H-94-12"}</definedName>
    <definedName name="SADF" hidden="1">{"via1",#N/A,TRUE,"general";"via2",#N/A,TRUE,"general";"via3",#N/A,TRUE,"general"}</definedName>
    <definedName name="sadff" hidden="1">{"TAB1",#N/A,TRUE,"GENERAL";"TAB2",#N/A,TRUE,"GENERAL";"TAB3",#N/A,TRUE,"GENERAL";"TAB4",#N/A,TRUE,"GENERAL";"TAB5",#N/A,TRUE,"GENERAL"}</definedName>
    <definedName name="sadfo" hidden="1">{"via1",#N/A,TRUE,"general";"via2",#N/A,TRUE,"general";"via3",#N/A,TRUE,"general"}</definedName>
    <definedName name="SADQEQ" hidden="1">{#N/A,#N/A,FALSE,"Solids Only"}</definedName>
    <definedName name="safdp" hidden="1">{"TAB1",#N/A,TRUE,"GENERAL";"TAB2",#N/A,TRUE,"GENERAL";"TAB3",#N/A,TRUE,"GENERAL";"TAB4",#N/A,TRUE,"GENERAL";"TAB5",#N/A,TRUE,"GENERAL"}</definedName>
    <definedName name="SAGFSAFS" hidden="1">{#N/A,#N/A,FALSE,"단축1";#N/A,#N/A,FALSE,"단축2";#N/A,#N/A,FALSE,"단축3";#N/A,#N/A,FALSE,"장축";#N/A,#N/A,FALSE,"4WD"}</definedName>
    <definedName name="SALARIOCONVVARIABLE">#REF!</definedName>
    <definedName name="SALARIOLEGALBASICO">#REF!</definedName>
    <definedName name="SALARIOLEGALVARIABLE">#REF!</definedName>
    <definedName name="SALARIOSCONVENCIONALES">#REF!</definedName>
    <definedName name="SALARIOSLEGALES">#REF!</definedName>
    <definedName name="SalConv">#REF!</definedName>
    <definedName name="SALDOSITR306058" hidden="1">{#N/A,#N/A,FALSE,"DITCAR";#N/A,#N/A,FALSE,"a1";#N/A,#N/A,FALSE,"a2";#N/A,#N/A,FALSE,"a3";#N/A,#N/A,FALSE,"a4";#N/A,#N/A,FALSE,"a4a";#N/A,#N/A,FALSE,"a4B";#N/A,#N/A,FALSE,"a4C";#N/A,#N/A,FALSE,"A5a ";#N/A,#N/A,FALSE,"A5b";#N/A,#N/A,FALSE,"A6A";#N/A,#N/A,FALSE,"A6B";#N/A,#N/A,FALSE,"A6C";#N/A,#N/A,FALSE,"04PG12NB"}</definedName>
    <definedName name="SalMinimo">#REF!</definedName>
    <definedName name="SALV">#N/A</definedName>
    <definedName name="SALV_DEP">#N/A</definedName>
    <definedName name="SAM" hidden="1">{#N/A,#N/A,TRUE,"Basic";#N/A,#N/A,TRUE,"EXT-TABLE";#N/A,#N/A,TRUE,"STEEL";#N/A,#N/A,TRUE,"INT-Table";#N/A,#N/A,TRUE,"STEEL";#N/A,#N/A,TRUE,"Door"}</definedName>
    <definedName name="SANDCH">#N/A</definedName>
    <definedName name="SANDCH_MOV">#N/A</definedName>
    <definedName name="sanjay" hidden="1">{#N/A,#N/A,FALSE,"TABLE"}</definedName>
    <definedName name="SAPBEXhrIndnt" hidden="1">1</definedName>
    <definedName name="SAPBEXrevision" hidden="1">1</definedName>
    <definedName name="SAPBEXsysID" hidden="1">"BWP"</definedName>
    <definedName name="SAPBEXwbID" hidden="1">"44IZL6C86M7EN67Z2TRYE7TL6"</definedName>
    <definedName name="SASA" hidden="1">{#N/A,#N/A,FALSE,"단축1";#N/A,#N/A,FALSE,"단축2";#N/A,#N/A,FALSE,"단축3";#N/A,#N/A,FALSE,"장축";#N/A,#N/A,FALSE,"4WD"}</definedName>
    <definedName name="sassss" hidden="1">{#N/A,#N/A,FALSE,"Costos Productos 6A";#N/A,#N/A,FALSE,"Costo Unitario Total H-94-12"}</definedName>
    <definedName name="sayang" hidden="1">{#N/A,#N/A,FALSE,"단축1";#N/A,#N/A,FALSE,"단축2";#N/A,#N/A,FALSE,"단축3";#N/A,#N/A,FALSE,"장축";#N/A,#N/A,FALSE,"4WD"}</definedName>
    <definedName name="sbgfbgdr" hidden="1">{"via1",#N/A,TRUE,"general";"via2",#N/A,TRUE,"general";"via3",#N/A,TRUE,"general"}</definedName>
    <definedName name="SBPohead">#REF!</definedName>
    <definedName name="SC" hidden="1">#REF!</definedName>
    <definedName name="SC51.01">#REF!</definedName>
    <definedName name="SC51.02">#REF!</definedName>
    <definedName name="SC51.03">#REF!</definedName>
    <definedName name="SC51.04">#REF!</definedName>
    <definedName name="SC51.05">#REF!</definedName>
    <definedName name="SC51.06">#REF!</definedName>
    <definedName name="SC51.07">#REF!</definedName>
    <definedName name="SC51.08">#REF!</definedName>
    <definedName name="SC51.1">#REF!</definedName>
    <definedName name="SC51.2">#REF!</definedName>
    <definedName name="SC51.3">#REF!</definedName>
    <definedName name="SC51.4">#REF!</definedName>
    <definedName name="SC51.5">#REF!</definedName>
    <definedName name="SC52.071">#REF!</definedName>
    <definedName name="SC52.072">#REF!</definedName>
    <definedName name="SC52.1">#REF!</definedName>
    <definedName name="sc52.11">#REF!</definedName>
    <definedName name="SC52.2">#REF!</definedName>
    <definedName name="SC52.3">#REF!</definedName>
    <definedName name="SC52.4">#REF!</definedName>
    <definedName name="SC52.5">#REF!</definedName>
    <definedName name="SC52.61">#REF!</definedName>
    <definedName name="SC52.62">#REF!</definedName>
    <definedName name="SC52.7">#REF!</definedName>
    <definedName name="SC52.8">#REF!</definedName>
    <definedName name="SC52.9">#REF!</definedName>
    <definedName name="SC53.1">#REF!</definedName>
    <definedName name="SC53.2">#REF!</definedName>
    <definedName name="SC53.4">#REF!</definedName>
    <definedName name="SC53.5">#REF!</definedName>
    <definedName name="SC54.1">#REF!</definedName>
    <definedName name="SC54.10">#REF!</definedName>
    <definedName name="SC54.3">#REF!</definedName>
    <definedName name="SC54.4">#REF!</definedName>
    <definedName name="SC54.5">#REF!</definedName>
    <definedName name="SC54.6">#REF!</definedName>
    <definedName name="SC54.7">#REF!</definedName>
    <definedName name="SC54.8">#REF!</definedName>
    <definedName name="SC54.9">#REF!</definedName>
    <definedName name="SC55.1">#REF!</definedName>
    <definedName name="SC55.2">#REF!</definedName>
    <definedName name="SC55.3">#REF!</definedName>
    <definedName name="SC55.4">#REF!</definedName>
    <definedName name="SC55.5">#REF!</definedName>
    <definedName name="SC61.3">#REF!</definedName>
    <definedName name="SC63.2">#REF!</definedName>
    <definedName name="SC65.1">#REF!</definedName>
    <definedName name="SC65.11">#REF!</definedName>
    <definedName name="sc65.13">#REF!</definedName>
    <definedName name="SC81.0">#REF!</definedName>
    <definedName name="SCA52.2">#REF!</definedName>
    <definedName name="scen_result" hidden="1">#VALUE!</definedName>
    <definedName name="Sched_Pay">#REF!</definedName>
    <definedName name="Scheduled_Extra_Payments">#REF!</definedName>
    <definedName name="Scheduled_Interest_Rate">#REF!</definedName>
    <definedName name="Scheduled_Monthly_Payment">#REF!</definedName>
    <definedName name="SCIV">#REF!</definedName>
    <definedName name="sckim" hidden="1">{#N/A,#N/A,FALSE,"TABLE"}</definedName>
    <definedName name="scope">#REF!</definedName>
    <definedName name="ScopeofWork">#REF!</definedName>
    <definedName name="SCP350_Data">#REF!</definedName>
    <definedName name="SCP350_Parameters">#REF!</definedName>
    <definedName name="SCP350O2_Data">#REF!</definedName>
    <definedName name="SCP350O2_Parameters">#REF!</definedName>
    <definedName name="SCP350O2Max_Data">#REF!</definedName>
    <definedName name="SCP350O2Max_Parameters">#REF!</definedName>
    <definedName name="Screen_size">#REF!</definedName>
    <definedName name="Screen_Weight">#REF!</definedName>
    <definedName name="SCTOTAL">#REF!</definedName>
    <definedName name="sd" hidden="1">{TRUE,TRUE,-0.8,-17,618,378,FALSE,FALSE,TRUE,TRUE,0,33,#N/A,89,#N/A,14.5641025641026,175.058823529412,1,FALSE,FALSE,3,TRUE,1,FALSE,75,"Swvu.oil.","ACwvu.oil.",#N/A,FALSE,FALSE,0.196850393700787,0.196850393700787,0.196850393700787,0.196850393700787,2,"","",TRUE,TRUE,FALSE,FALSE,1,#N/A,1,1,"=R1C1:R248C39",FALSE,"Rwvu.oil.","Cwvu.oil.",FALSE,FALSE,FALSE,1,600,600,FALSE,FALSE,TRUE,TRUE,TRUE}</definedName>
    <definedName name="SD_1">#REF!</definedName>
    <definedName name="SD_10">#REF!</definedName>
    <definedName name="SD_2">#REF!</definedName>
    <definedName name="SD_3">#REF!</definedName>
    <definedName name="SD_4">#REF!</definedName>
    <definedName name="SD_5">#REF!</definedName>
    <definedName name="SD_6">#REF!</definedName>
    <definedName name="SD_7">#REF!</definedName>
    <definedName name="SD_8">#REF!</definedName>
    <definedName name="SD_9">#REF!</definedName>
    <definedName name="SDA" hidden="1">{#N/A,#N/A,FALSE,"masez (10)";#N/A,#N/A,FALSE,"masez (7)";#N/A,#N/A,FALSE,"masez (6)";#N/A,#N/A,FALSE,"masez (5)";#N/A,#N/A,FALSE,"masez (4)";#N/A,#N/A,FALSE,"masez (3)";#N/A,#N/A,FALSE,"masez (2)";#N/A,#N/A,FALSE,"GME";#N/A,#N/A,FALSE,"masez"}</definedName>
    <definedName name="SDAAD">#REF!</definedName>
    <definedName name="SDADD2">#REF!</definedName>
    <definedName name="SDADD3">#REF!</definedName>
    <definedName name="SDADD4">#REF!</definedName>
    <definedName name="sdaf" hidden="1">{"via1",#N/A,TRUE,"general";"via2",#N/A,TRUE,"general";"via3",#N/A,TRUE,"general"}</definedName>
    <definedName name="sdas" hidden="1">{"via1",#N/A,TRUE,"general";"via2",#N/A,TRUE,"general";"via3",#N/A,TRUE,"general"}</definedName>
    <definedName name="sdasd626232" hidden="1">#REF!</definedName>
    <definedName name="sdasdf" hidden="1">{"via1",#N/A,TRUE,"general";"via2",#N/A,TRUE,"general";"via3",#N/A,TRUE,"general"}</definedName>
    <definedName name="SDASDFG" hidden="1">#REF!</definedName>
    <definedName name="sdass" hidden="1">{#N/A,#N/A,FALSE,"masez (10)";#N/A,#N/A,FALSE,"masez (7)";#N/A,#N/A,FALSE,"masez (6)";#N/A,#N/A,FALSE,"masez (5)";#N/A,#N/A,FALSE,"masez (4)";#N/A,#N/A,FALSE,"masez (3)";#N/A,#N/A,FALSE,"masez (2)";#N/A,#N/A,FALSE,"GME";#N/A,#N/A,FALSE,"masez"}</definedName>
    <definedName name="sdbdsfbdfb" hidden="1">#REF!</definedName>
    <definedName name="SDCDSCT" hidden="1">{"TAB1",#N/A,TRUE,"GENERAL";"TAB2",#N/A,TRUE,"GENERAL";"TAB3",#N/A,TRUE,"GENERAL";"TAB4",#N/A,TRUE,"GENERAL";"TAB5",#N/A,TRUE,"GENERAL"}</definedName>
    <definedName name="sdd" hidden="1">{"'5'!$A$1:$BB$147"}</definedName>
    <definedName name="sdds" hidden="1">{#N/A,#N/A,FALSE,"Costos Productos 6A";#N/A,#N/A,FALSE,"Costo Unitario Total H-94-12"}</definedName>
    <definedName name="SDDSAFF" hidden="1">{#N/A,#N/A,TRUE,"1842CWN0"}</definedName>
    <definedName name="sdf" hidden="1">{"uno",#N/A,FALSE,"Dist total";"COMENTARIO",#N/A,FALSE,"Ficha CODICE"}</definedName>
    <definedName name="sdfadfd" hidden="1">9</definedName>
    <definedName name="sdfaf" hidden="1">#REF!</definedName>
    <definedName name="SDFCE" hidden="1">{"TAB1",#N/A,TRUE,"GENERAL";"TAB2",#N/A,TRUE,"GENERAL";"TAB3",#N/A,TRUE,"GENERAL";"TAB4",#N/A,TRUE,"GENERAL";"TAB5",#N/A,TRUE,"GENERAL"}</definedName>
    <definedName name="sdfd" hidden="1">{"via1",#N/A,TRUE,"general";"via2",#N/A,TRUE,"general";"via3",#N/A,TRUE,"general"}</definedName>
    <definedName name="sdfdfdfdf" hidden="1">{"MYVIEW",#N/A,TRUE,"96T9"}</definedName>
    <definedName name="SDFDG" hidden="1">{#N/A,#N/A,TRUE,"1842CWN0"}</definedName>
    <definedName name="sdfds" hidden="1">{"via1",#N/A,TRUE,"general";"via2",#N/A,TRUE,"general";"via3",#N/A,TRUE,"general"}</definedName>
    <definedName name="sdfdsfsx" hidden="1">{#N/A,#N/A,FALSE,"CCTV"}</definedName>
    <definedName name="SDFDSO" hidden="1">{"via1",#N/A,TRUE,"general";"via2",#N/A,TRUE,"general";"via3",#N/A,TRUE,"general"}</definedName>
    <definedName name="sdfdstp" hidden="1">{"TAB1",#N/A,TRUE,"GENERAL";"TAB2",#N/A,TRUE,"GENERAL";"TAB3",#N/A,TRUE,"GENERAL";"TAB4",#N/A,TRUE,"GENERAL";"TAB5",#N/A,TRUE,"GENERAL"}</definedName>
    <definedName name="SDFEO" hidden="1">{"via1",#N/A,TRUE,"general";"via2",#N/A,TRUE,"general";"via3",#N/A,TRUE,"general"}</definedName>
    <definedName name="sdfg" hidden="1">{"TAB1",#N/A,TRUE,"GENERAL";"TAB2",#N/A,TRUE,"GENERAL";"TAB3",#N/A,TRUE,"GENERAL";"TAB4",#N/A,TRUE,"GENERAL";"TAB5",#N/A,TRUE,"GENERAL"}</definedName>
    <definedName name="sdfgdsf" hidden="1">{#N/A,#N/A,FALSE,"Solids Only"}</definedName>
    <definedName name="sdfgdsfk" hidden="1">{"via1",#N/A,TRUE,"general";"via2",#N/A,TRUE,"general";"via3",#N/A,TRUE,"general"}</definedName>
    <definedName name="sdfgsdfg" hidden="1">{#N/A,#N/A,FALSE,"3";#N/A,#N/A,FALSE,"5";#N/A,#N/A,FALSE,"6";#N/A,#N/A,FALSE,"8";#N/A,#N/A,FALSE,"10";#N/A,#N/A,FALSE,"13";#N/A,#N/A,FALSE,"14";#N/A,#N/A,FALSE,"15";#N/A,#N/A,FALSE,"16"}</definedName>
    <definedName name="sdfgsg" hidden="1">{"via1",#N/A,TRUE,"general";"via2",#N/A,TRUE,"general";"via3",#N/A,TRUE,"general"}</definedName>
    <definedName name="sdfh" hidden="1">{"'banner (abr)'!$A$14:$G$22"}</definedName>
    <definedName name="sdfhsfdh" hidden="1">{"'banner (abr)'!$A$14:$G$22"}</definedName>
    <definedName name="SDFLJK" hidden="1">{"TAB1",#N/A,TRUE,"GENERAL";"TAB2",#N/A,TRUE,"GENERAL";"TAB3",#N/A,TRUE,"GENERAL";"TAB4",#N/A,TRUE,"GENERAL";"TAB5",#N/A,TRUE,"GENERAL"}</definedName>
    <definedName name="SDFS" hidden="1">{#N/A,#N/A,FALSE,"TABLE"}</definedName>
    <definedName name="sdfsd" hidden="1">#REF!</definedName>
    <definedName name="sdfsd4" hidden="1">{"via1",#N/A,TRUE,"general";"via2",#N/A,TRUE,"general";"via3",#N/A,TRUE,"general"}</definedName>
    <definedName name="SDFSDF" hidden="1">{"TAB1",#N/A,TRUE,"GENERAL";"TAB2",#N/A,TRUE,"GENERAL";"TAB3",#N/A,TRUE,"GENERAL";"TAB4",#N/A,TRUE,"GENERAL";"TAB5",#N/A,TRUE,"GENERAL"}</definedName>
    <definedName name="sdfsdfb" hidden="1">{"via1",#N/A,TRUE,"general";"via2",#N/A,TRUE,"general";"via3",#N/A,TRUE,"general"}</definedName>
    <definedName name="sdfsdfs" hidden="1">{"ANAR",#N/A,FALSE,"Dist total";"MARGEN",#N/A,FALSE,"Dist total";"COMENTARIO",#N/A,FALSE,"Ficha CODICE";"CONSEJO",#N/A,FALSE,"Dist p0";"uno",#N/A,FALSE,"Dist total"}</definedName>
    <definedName name="sdfsdgg" hidden="1">{#N/A,#N/A,TRUE,"INGENIERIA";#N/A,#N/A,TRUE,"COMPRAS";#N/A,#N/A,TRUE,"DIRECCION";#N/A,#N/A,TRUE,"RESUMEN"}</definedName>
    <definedName name="sdfsdrwer" hidden="1">{#N/A,#N/A,FALSE,"Solids &amp; Flow"}</definedName>
    <definedName name="SDFSF" hidden="1">{"TAB1",#N/A,TRUE,"GENERAL";"TAB2",#N/A,TRUE,"GENERAL";"TAB3",#N/A,TRUE,"GENERAL";"TAB4",#N/A,TRUE,"GENERAL";"TAB5",#N/A,TRUE,"GENERAL"}</definedName>
    <definedName name="sdfsgd" hidden="1">{#N/A,#N/A,FALSE,"이태원철근"}</definedName>
    <definedName name="sdfsss" hidden="1">{"uno",#N/A,FALSE,"Dist total";"COMENTARIO",#N/A,FALSE,"Ficha CODICE"}</definedName>
    <definedName name="sdfsv" hidden="1">{"TAB1",#N/A,TRUE,"GENERAL";"TAB2",#N/A,TRUE,"GENERAL";"TAB3",#N/A,TRUE,"GENERAL";"TAB4",#N/A,TRUE,"GENERAL";"TAB5",#N/A,TRUE,"GENERAL"}</definedName>
    <definedName name="sdg" hidden="1">#REF!</definedName>
    <definedName name="sdgfd" hidden="1">{"TAB1",#N/A,TRUE,"GENERAL";"TAB2",#N/A,TRUE,"GENERAL";"TAB3",#N/A,TRUE,"GENERAL";"TAB4",#N/A,TRUE,"GENERAL";"TAB5",#N/A,TRUE,"GENERAL"}</definedName>
    <definedName name="sdgfgp" hidden="1">{"via1",#N/A,TRUE,"general";"via2",#N/A,TRUE,"general";"via3",#N/A,TRUE,"general"}</definedName>
    <definedName name="sdgfiu" hidden="1">{"via1",#N/A,TRUE,"general";"via2",#N/A,TRUE,"general";"via3",#N/A,TRUE,"general"}</definedName>
    <definedName name="sdgsd" hidden="1">{"TAB1",#N/A,TRUE,"GENERAL";"TAB2",#N/A,TRUE,"GENERAL";"TAB3",#N/A,TRUE,"GENERAL";"TAB4",#N/A,TRUE,"GENERAL";"TAB5",#N/A,TRUE,"GENERAL"}</definedName>
    <definedName name="sdgsg" hidden="1">{"via1",#N/A,TRUE,"general";"via2",#N/A,TRUE,"general";"via3",#N/A,TRUE,"general"}</definedName>
    <definedName name="sdht" hidden="1">{"'resumen REV 3'!$B$1:$Q$69"}</definedName>
    <definedName name="SDIKOM" hidden="1">{"TAB1",#N/A,TRUE,"GENERAL";"TAB2",#N/A,TRUE,"GENERAL";"TAB3",#N/A,TRUE,"GENERAL";"TAB4",#N/A,TRUE,"GENERAL";"TAB5",#N/A,TRUE,"GENERAL"}</definedName>
    <definedName name="sdjb81" hidden="1">{#N/A,#N/A,TRUE,"INGENIERIA";#N/A,#N/A,TRUE,"COMPRAS";#N/A,#N/A,TRUE,"DIRECCION";#N/A,#N/A,TRUE,"RESUMEN"}</definedName>
    <definedName name="sdjshs" hidden="1">{#N/A,#N/A,TRUE,"INGENIERIA";#N/A,#N/A,TRUE,"COMPRAS";#N/A,#N/A,TRUE,"DIRECCION";#N/A,#N/A,TRUE,"RESUMEN"}</definedName>
    <definedName name="SDS" hidden="1">{#N/A,#N/A,FALSE,"PERSONAL"}</definedName>
    <definedName name="SDSD">#REF!</definedName>
    <definedName name="SDSDFGG" hidden="1">{"'banner (abr)'!$A$14:$G$22"}</definedName>
    <definedName name="sdsdfh" hidden="1">{"via1",#N/A,TRUE,"general";"via2",#N/A,TRUE,"general";"via3",#N/A,TRUE,"general"}</definedName>
    <definedName name="sdsdfsdff" hidden="1">{#N/A,#N/A,TRUE,"1842CWN0"}</definedName>
    <definedName name="SDSDSADC" hidden="1">#REF!</definedName>
    <definedName name="SDSDSD" hidden="1">{#N/A,#N/A,FALSE,"단축1";#N/A,#N/A,FALSE,"단축2";#N/A,#N/A,FALSE,"단축3";#N/A,#N/A,FALSE,"장축";#N/A,#N/A,FALSE,"4WD"}</definedName>
    <definedName name="sdsf" hidden="1">{#N/A,#N/A,TRUE,"INGENIERIA";#N/A,#N/A,TRUE,"COMPRAS";#N/A,#N/A,TRUE,"DIRECCION";#N/A,#N/A,TRUE,"RESUMEN"}</definedName>
    <definedName name="sdvsdvavav" hidden="1">#REF!</definedName>
    <definedName name="sdyhl" hidden="1">{#N/A,#N/A,TRUE,"1842CWN0"}</definedName>
    <definedName name="seccion1">#REF!</definedName>
    <definedName name="seccion2">#REF!</definedName>
    <definedName name="Section1">#REF!</definedName>
    <definedName name="Section2">#REF!</definedName>
    <definedName name="Section3">#REF!</definedName>
    <definedName name="Sections">#REF!</definedName>
    <definedName name="SECTOR">#REF!</definedName>
    <definedName name="SEG">#REF!</definedName>
    <definedName name="SegmentaciónDeDatos_ACTIVO">#REF!</definedName>
    <definedName name="SegmentaciónDeDatos_ACTIVO1">#REF!</definedName>
    <definedName name="SegmentaciónDeDatos_PROYECTOS_CLIENTES">#REF!</definedName>
    <definedName name="SegmentaciónDeDatos_PROYECTOS_CLIENTES1">#REF!</definedName>
    <definedName name="SegmentaciónDeDatos_TIPOS_DE_EQUIPOS">#REF!</definedName>
    <definedName name="SegmentaciónDeDatos_TIPOS_DE_EQUIPOS1">#REF!</definedName>
    <definedName name="SEGUNDA">#REF!</definedName>
    <definedName name="SEGUNDO">#REF!</definedName>
    <definedName name="SEGURO_D1015">#N/A</definedName>
    <definedName name="Sel_calib_range_uom_max_001">#REF!</definedName>
    <definedName name="Sel_calib_range_uom_min_001">#REF!</definedName>
    <definedName name="Sel_cmpnt_mfr_id_001">#REF!</definedName>
    <definedName name="Sel_cmpnt_mod_id_001">#REF!</definedName>
    <definedName name="Sel_cv_valve_diam_uid_001">#REF!</definedName>
    <definedName name="Sel_fm_diff_press_tr_uid_001">#REF!</definedName>
    <definedName name="Sel_fm_orif_mat_id_001">#REF!</definedName>
    <definedName name="Sel_fm_sub_meter_type_001">#REF!</definedName>
    <definedName name="Sel_inst_range_uom_max_001">#REF!</definedName>
    <definedName name="Sel_inst_range_uom_min_001">#REF!</definedName>
    <definedName name="Sel_line_num_001">#REF!</definedName>
    <definedName name="Sel_pd_dens_at_bas_uid_001">#REF!</definedName>
    <definedName name="Sel_pd_dens_uid_001">#REF!</definedName>
    <definedName name="Sel_pd_design_temp_uid_001">#REF!</definedName>
    <definedName name="Sel_pd_fluid_stat_001">#REF!</definedName>
    <definedName name="Sel_pd_lower_density_uid_001">#REF!</definedName>
    <definedName name="Sel_pd_max_shut_off_press_dif_uid_001">#REF!</definedName>
    <definedName name="Sel_pd_p_dif_press_uid_001">#REF!</definedName>
    <definedName name="Sel_pd_press_base_uid_001">#REF!</definedName>
    <definedName name="Sel_pd_press_drp_uid_001">#REF!</definedName>
    <definedName name="Sel_pd_relief_temp_uid_001">#REF!</definedName>
    <definedName name="Sel_pd_temp_base_uid_001">#REF!</definedName>
    <definedName name="Sel_pd_temp_uid_001">#REF!</definedName>
    <definedName name="Sel_pd_visc_uid_001">#REF!</definedName>
    <definedName name="Sel_rv_area_uid_001">#REF!</definedName>
    <definedName name="Sel_spec_udf_c01_001">#REF!</definedName>
    <definedName name="Sel_spec_udf_c03_001">#REF!</definedName>
    <definedName name="Sel_spec_udf_c04_001">#REF!</definedName>
    <definedName name="Sel_spec_udf_c05_001">#REF!</definedName>
    <definedName name="Sel_spec_udf_c07_001">#REF!</definedName>
    <definedName name="Sel_spec_udf_c09_001">#REF!</definedName>
    <definedName name="Sel_spec_udf_c10_001">#REF!</definedName>
    <definedName name="Sel_spec_udf_c11_001">#REF!</definedName>
    <definedName name="Sel_spec_udf_c17_001">#REF!</definedName>
    <definedName name="Sel_spec_udf_c20_001">#REF!</definedName>
    <definedName name="Sel_spec_udf_c21_001">#REF!</definedName>
    <definedName name="Sel_spec_udf_c23_001">#REF!</definedName>
    <definedName name="Sel_spec_udf_c25_001">#REF!</definedName>
    <definedName name="Sel_spec_udf_c27_001">#REF!</definedName>
    <definedName name="Sel_spec_udf_c34_001">#REF!</definedName>
    <definedName name="Sel_spec_udf_c36_001">#REF!</definedName>
    <definedName name="Sel_spec_udf_c42_001">#REF!</definedName>
    <definedName name="Sel_spec_udf_c44_001">#REF!</definedName>
    <definedName name="Sel_spec_udf_c51_001">#REF!</definedName>
    <definedName name="Sel_spec_udf_c52_001">#REF!</definedName>
    <definedName name="Sel_spec_udf_c55_001">#REF!</definedName>
    <definedName name="Sel_spec_udf_c61_001">#REF!</definedName>
    <definedName name="Sel_spec_udf_c66_001">#REF!</definedName>
    <definedName name="Sel_spec_udf_c68_001">#REF!</definedName>
    <definedName name="Sel_spec_udf_c71_001">#REF!</definedName>
    <definedName name="selectipo">#REF!</definedName>
    <definedName name="SEMANA">#REF!</definedName>
    <definedName name="sena">#REF!</definedName>
    <definedName name="sencount" hidden="1">1</definedName>
    <definedName name="SENGOAEÑHAER" hidden="1">{#N/A,#N/A,FALSE,"masez (10)";#N/A,#N/A,FALSE,"masez (7)";#N/A,#N/A,FALSE,"masez (6)";#N/A,#N/A,FALSE,"masez (5)";#N/A,#N/A,FALSE,"masez (4)";#N/A,#N/A,FALSE,"masez (3)";#N/A,#N/A,FALSE,"masez (2)";#N/A,#N/A,FALSE,"GME";#N/A,#N/A,FALSE,"masez"}</definedName>
    <definedName name="SEÑAL">#REF!</definedName>
    <definedName name="Señales_verticales_Grupo_V___SI_01__SI_04__SI05__SI_06__SI_14__SI_19__SI_27_y_SI_28">#REF!</definedName>
    <definedName name="Sep">#REF!</definedName>
    <definedName name="sep_20">#REF!</definedName>
    <definedName name="sep_21">#REF!</definedName>
    <definedName name="SEPTIEMBRE">#REF!</definedName>
    <definedName name="SERVICE" hidden="1">{#N/A,#N/A,FALSE,"이태원철근"}</definedName>
    <definedName name="SERVICIOS"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";#N/A,#N/A,FALSE,"144.1..R ";#N/A,#N/A,FALSE,"145.1.R ";#N/A,#N/A,FALSE,"146.1.R "}</definedName>
    <definedName name="Servicios1">#REF!</definedName>
    <definedName name="servidor">#REF!</definedName>
    <definedName name="setrj" hidden="1">{"via1",#N/A,TRUE,"general";"via2",#N/A,TRUE,"general";"via3",#N/A,TRUE,"general"}</definedName>
    <definedName name="sett" hidden="1">{"via1",#N/A,TRUE,"general";"via2",#N/A,TRUE,"general";"via3",#N/A,TRUE,"general"}</definedName>
    <definedName name="sf" hidden="1">{#N/A,#N/A,FALSE,"Estatico";#N/A,#N/A,FALSE,"Tuberia";#N/A,#N/A,FALSE,"Instrumentación";#N/A,#N/A,FALSE,"Mecanica";#N/A,#N/A,FALSE,"Electrico";#N/A,#N/A,FALSE,"Ofic.Civiles"}</definedName>
    <definedName name="sfasf" hidden="1">{"TAB1",#N/A,TRUE,"GENERAL";"TAB2",#N/A,TRUE,"GENERAL";"TAB3",#N/A,TRUE,"GENERAL";"TAB4",#N/A,TRUE,"GENERAL";"TAB5",#N/A,TRUE,"GENERAL"}</definedName>
    <definedName name="sfbdfbdfb" hidden="1">#REF!</definedName>
    <definedName name="sfbfdbfb" hidden="1">#REF!</definedName>
    <definedName name="sfdf" hidden="1">#REF!</definedName>
    <definedName name="SFGAST5" hidden="1">{#N/A,#N/A,FALSE,"IC_Global";#N/A,#N/A,FALSE,"IC_Global (98-f)";#N/A,#N/A,FALSE,"Inc";#N/A,#N/A,FALSE,"CAMBIOS (2)";#N/A,#N/A,FALSE,"EXPL Inc.";#N/A,#N/A,FALSE,"HITOS98";#N/A,#N/A,FALSE,"CURVA ""S"" GLOBAL ";#N/A,#N/A,FALSE,"CURVA ""S"" 1998 "}</definedName>
    <definedName name="SFHSGFH" hidden="1">{"TAB1",#N/A,TRUE,"GENERAL";"TAB2",#N/A,TRUE,"GENERAL";"TAB3",#N/A,TRUE,"GENERAL";"TAB4",#N/A,TRUE,"GENERAL";"TAB5",#N/A,TRUE,"GENERAL"}</definedName>
    <definedName name="SFINTOTAL" hidden="1">{"DETALLE_1996",#N/A,FALSE,"flujo";"DETALLE_1997",#N/A,FALSE,"flujo";"GASTOS_INCURRIDOS_1996",#N/A,FALSE,"flujo";"GASTOS_PROGRAMADOS_PARA_1997",#N/A,FALSE,"flujo";#N/A,#N/A,FALSE,"comparat";#N/A,#N/A,FALSE,"costos";#N/A,#N/A,FALSE,"proyctrol"}</definedName>
    <definedName name="sfs" hidden="1">{"uno",#N/A,FALSE,"Dist total";"COMENTARIO",#N/A,FALSE,"Ficha CODICE"}</definedName>
    <definedName name="sfsd" hidden="1">{"via1",#N/A,TRUE,"general";"via2",#N/A,TRUE,"general";"via3",#N/A,TRUE,"general"}</definedName>
    <definedName name="sfsdf" hidden="1">{"TAB1",#N/A,TRUE,"GENERAL";"TAB2",#N/A,TRUE,"GENERAL";"TAB3",#N/A,TRUE,"GENERAL";"TAB4",#N/A,TRUE,"GENERAL";"TAB5",#N/A,TRUE,"GENERAL"}</definedName>
    <definedName name="sfsdferg" hidden="1">{"TAB1",#N/A,TRUE,"GENERAL";"TAB2",#N/A,TRUE,"GENERAL";"TAB3",#N/A,TRUE,"GENERAL";"TAB4",#N/A,TRUE,"GENERAL";"TAB5",#N/A,TRUE,"GENERAL"}</definedName>
    <definedName name="sfsdfs" hidden="1">{"TAB1",#N/A,TRUE,"GENERAL";"TAB2",#N/A,TRUE,"GENERAL";"TAB3",#N/A,TRUE,"GENERAL";"TAB4",#N/A,TRUE,"GENERAL";"TAB5",#N/A,TRUE,"GENERAL"}</definedName>
    <definedName name="SFSTRT" hidden="1">{#N/A,#N/A,FALSE,"masez (10)";#N/A,#N/A,FALSE,"masez (7)";#N/A,#N/A,FALSE,"masez (6)";#N/A,#N/A,FALSE,"masez (5)";#N/A,#N/A,FALSE,"masez (4)";#N/A,#N/A,FALSE,"masez (3)";#N/A,#N/A,FALSE,"masez (2)";#N/A,#N/A,FALSE,"GME";#N/A,#N/A,FALSE,"masez"}</definedName>
    <definedName name="sfwgtsfs" hidden="1">{#N/A,#N/A,FALSE,"SMT1";#N/A,#N/A,FALSE,"SMT2";#N/A,#N/A,FALSE,"Summary";#N/A,#N/A,FALSE,"Graphs";#N/A,#N/A,FALSE,"4 Panel"}</definedName>
    <definedName name="SGOT" hidden="1">{"EVA",#N/A,FALSE,"SMT2";#N/A,#N/A,FALSE,"Summary";#N/A,#N/A,FALSE,"Graphs";#N/A,#N/A,FALSE,"4 Panel"}</definedName>
    <definedName name="sgsg" hidden="1">#REF!</definedName>
    <definedName name="sgsgs" hidden="1">#REF!</definedName>
    <definedName name="SHARED_FORMULA_0">#REF!*#REF!</definedName>
    <definedName name="SHARED_FORMULA_1">#REF!*#REF!</definedName>
    <definedName name="SHARED_FORMULA_10">#N/A</definedName>
    <definedName name="SHARED_FORMULA_11">#N/A</definedName>
    <definedName name="SHARED_FORMULA_12">#N/A</definedName>
    <definedName name="SHARED_FORMULA_13">#N/A</definedName>
    <definedName name="SHARED_FORMULA_14">#N/A</definedName>
    <definedName name="SHARED_FORMULA_15">#N/A</definedName>
    <definedName name="SHARED_FORMULA_16">#N/A</definedName>
    <definedName name="SHARED_FORMULA_17">#N/A</definedName>
    <definedName name="SHARED_FORMULA_18">#N/A</definedName>
    <definedName name="SHARED_FORMULA_19">#N/A</definedName>
    <definedName name="SHARED_FORMULA_2">#REF!*#REF!</definedName>
    <definedName name="SHARED_FORMULA_20">#N/A</definedName>
    <definedName name="SHARED_FORMULA_21">#N/A</definedName>
    <definedName name="SHARED_FORMULA_22">#N/A</definedName>
    <definedName name="SHARED_FORMULA_23">#N/A</definedName>
    <definedName name="SHARED_FORMULA_24">#N/A</definedName>
    <definedName name="SHARED_FORMULA_25">(3/8-1/16)*2.54</definedName>
    <definedName name="SHARED_FORMULA_26">#N/A</definedName>
    <definedName name="SHARED_FORMULA_27">#N/A</definedName>
    <definedName name="SHARED_FORMULA_28">#N/A</definedName>
    <definedName name="SHARED_FORMULA_29">#N/A</definedName>
    <definedName name="SHARED_FORMULA_3">#REF!*#REF!</definedName>
    <definedName name="SHARED_FORMULA_30">#N/A</definedName>
    <definedName name="SHARED_FORMULA_31">#N/A</definedName>
    <definedName name="SHARED_FORMULA_32">#N/A</definedName>
    <definedName name="SHARED_FORMULA_33">#N/A</definedName>
    <definedName name="SHARED_FORMULA_34">#N/A</definedName>
    <definedName name="SHARED_FORMULA_35">#N/A</definedName>
    <definedName name="SHARED_FORMULA_36">#N/A</definedName>
    <definedName name="SHARED_FORMULA_37">#N/A</definedName>
    <definedName name="SHARED_FORMULA_38">#N/A</definedName>
    <definedName name="SHARED_FORMULA_39">#N/A</definedName>
    <definedName name="SHARED_FORMULA_4">#REF!*#REF!</definedName>
    <definedName name="SHARED_FORMULA_40">#N/A</definedName>
    <definedName name="SHARED_FORMULA_41">#N/A</definedName>
    <definedName name="SHARED_FORMULA_42">#N/A</definedName>
    <definedName name="SHARED_FORMULA_43">#N/A</definedName>
    <definedName name="SHARED_FORMULA_44">#N/A</definedName>
    <definedName name="SHARED_FORMULA_45">#N/A</definedName>
    <definedName name="SHARED_FORMULA_46">#N/A</definedName>
    <definedName name="SHARED_FORMULA_47">#N/A</definedName>
    <definedName name="SHARED_FORMULA_48">#N/A</definedName>
    <definedName name="SHARED_FORMULA_49">#N/A</definedName>
    <definedName name="SHARED_FORMULA_5">#REF!*#REF!</definedName>
    <definedName name="SHARED_FORMULA_50">#N/A</definedName>
    <definedName name="SHARED_FORMULA_51">#N/A</definedName>
    <definedName name="SHARED_FORMULA_52">#N/A</definedName>
    <definedName name="SHARED_FORMULA_53">#N/A</definedName>
    <definedName name="SHARED_FORMULA_6">#N/A</definedName>
    <definedName name="SHARED_FORMULA_7">#N/A</definedName>
    <definedName name="SHARED_FORMULA_8">#N/A</definedName>
    <definedName name="SHARED_FORMULA_9">#N/A</definedName>
    <definedName name="SHEE_INT">#REF!</definedName>
    <definedName name="SHEET">#REF!</definedName>
    <definedName name="SHEET_KP">#REF!</definedName>
    <definedName name="SHEET_MR">#REF!</definedName>
    <definedName name="SHEET03" hidden="1">{#N/A,#N/A,FALSE,"0XX_1";#N/A,#N/A,FALSE,"OXX_2";#N/A,#N/A,FALSE,"0XX_3";#N/A,#N/A,FALSE,"0XX_4";#N/A,#N/A,FALSE,"0XX_5";#N/A,#N/A,FALSE,"0XX_6";#N/A,#N/A,FALSE,"1XX_1";#N/A,#N/A,FALSE,"1XX_2";#N/A,#N/A,FALSE,"2XX_1";#N/A,#N/A,FALSE,"2XX_2";#N/A,#N/A,FALSE,"2XX_3";#N/A,#N/A,FALSE,"2XX_4";#N/A,#N/A,FALSE,"3XX_1";#N/A,#N/A,FALSE,"3XX_2";#N/A,#N/A,FALSE,"3XX_3";#N/A,#N/A,FALSE,"3XX_4";#N/A,#N/A,FALSE,"3XX_5";#N/A,#N/A,FALSE,"3XX_6";#N/A,#N/A,FALSE,"3XX_7";#N/A,#N/A,FALSE,"3XX_8";#N/A,#N/A,FALSE,"3XX_9";#N/A,#N/A,FALSE,"4XX_1";#N/A,#N/A,FALSE,"4XX_2";#N/A,#N/A,FALSE,"4XX_3";#N/A,#N/A,FALSE,"5XX_1";#N/A,#N/A,FALSE,"5XX_2";#N/A,#N/A,FALSE,"6XX_1";#N/A,#N/A,FALSE,"6XX_2";#N/A,#N/A,FALSE,"6XX_3";#N/A,#N/A,FALSE,"6XX_4";#N/A,#N/A,FALSE,"7XX_1";#N/A,#N/A,FALSE,"7XX_2";#N/A,#N/A,FALSE,"8XX_1";#N/A,#N/A,FALSE,"8XX_2"}</definedName>
    <definedName name="SHELTER" hidden="1">#REF!</definedName>
    <definedName name="shi" hidden="1">{#N/A,#N/A,FALSE,"단축1";#N/A,#N/A,FALSE,"단축2";#N/A,#N/A,FALSE,"단축3";#N/A,#N/A,FALSE,"장축";#N/A,#N/A,FALSE,"4WD"}</definedName>
    <definedName name="shin" hidden="1">{#N/A,#N/A,FALSE,"단축1";#N/A,#N/A,FALSE,"단축2";#N/A,#N/A,FALSE,"단축3";#N/A,#N/A,FALSE,"장축";#N/A,#N/A,FALSE,"4WD"}</definedName>
    <definedName name="ShippingStrategy">#REF!</definedName>
    <definedName name="SHS" hidden="1">{#N/A,#N/A,FALSE,"단축1";#N/A,#N/A,FALSE,"단축2";#N/A,#N/A,FALSE,"단축3";#N/A,#N/A,FALSE,"장축";#N/A,#N/A,FALSE,"4WD"}</definedName>
    <definedName name="SHSH" hidden="1">{#N/A,#N/A,FALSE,"단축1";#N/A,#N/A,FALSE,"단축2";#N/A,#N/A,FALSE,"단축3";#N/A,#N/A,FALSE,"장축";#N/A,#N/A,FALSE,"4WD"}</definedName>
    <definedName name="shshsh" hidden="1">#REF!</definedName>
    <definedName name="SHT" hidden="1">{#N/A,#N/A,FALSE,"단축1";#N/A,#N/A,FALSE,"단축2";#N/A,#N/A,FALSE,"단축3";#N/A,#N/A,FALSE,"장축";#N/A,#N/A,FALSE,"4WD"}</definedName>
    <definedName name="ShutDownRequirements">#REF!</definedName>
    <definedName name="si" hidden="1">{"'A21005'!$A$3:$M$5"}</definedName>
    <definedName name="SI_NO">#REF!</definedName>
    <definedName name="SIDE" hidden="1">{#N/A,#N/A,FALSE,"단축1";#N/A,#N/A,FALSE,"단축2";#N/A,#N/A,FALSE,"단축3";#N/A,#N/A,FALSE,"장축";#N/A,#N/A,FALSE,"4WD"}</definedName>
    <definedName name="SIGUE" hidden="1">#REF!</definedName>
    <definedName name="silla_y_250x110">#REF!</definedName>
    <definedName name="SILLA_YEE_160x110">#REF!</definedName>
    <definedName name="SILLA_YEE_160x160">#REF!</definedName>
    <definedName name="SILLA_YEE_200x110">#REF!</definedName>
    <definedName name="SILLA_YEE_200x160">#REF!</definedName>
    <definedName name="SILLA_YEE_24x160">#REF!</definedName>
    <definedName name="SILLA_YEE_250x110">#REF!</definedName>
    <definedName name="SILLA_YEE_250x160">#REF!</definedName>
    <definedName name="SILLA_YEE_27x160">#REF!</definedName>
    <definedName name="SILLA_YEE_315x110">#REF!</definedName>
    <definedName name="SILLA_YEE_315x160">#REF!</definedName>
    <definedName name="SILLA_YEE_355x110">#REF!</definedName>
    <definedName name="SILLA_YEE_355x160">#REF!</definedName>
    <definedName name="SILLA_YEE_400x160">#REF!</definedName>
    <definedName name="SILLA_YEE_450x160">#REF!</definedName>
    <definedName name="silvia">#REF!</definedName>
    <definedName name="SIM">#REF!</definedName>
    <definedName name="SINGOLO">#REF!</definedName>
    <definedName name="SINMANIFOLD">#REF!</definedName>
    <definedName name="Sinnombre">#REF!</definedName>
    <definedName name="Sistema_de_levantamiento">#REF!</definedName>
    <definedName name="site">#REF!</definedName>
    <definedName name="site_id_001">#REF!</definedName>
    <definedName name="SiteCharacteristics">#REF!</definedName>
    <definedName name="SiteLocation">#REF!</definedName>
    <definedName name="SixA">#REF!</definedName>
    <definedName name="SixB">#REF!</definedName>
    <definedName name="SixC">#REF!</definedName>
    <definedName name="SixD">#REF!</definedName>
    <definedName name="SixE">#REF!</definedName>
    <definedName name="SixF">#REF!</definedName>
    <definedName name="SixG">#REF!</definedName>
    <definedName name="SixH">#REF!</definedName>
    <definedName name="SixI">#REF!</definedName>
    <definedName name="SixJ">#REF!</definedName>
    <definedName name="SixK">#REF!</definedName>
    <definedName name="SixL">#REF!</definedName>
    <definedName name="SixM">#REF!</definedName>
    <definedName name="SIZE">#REF!</definedName>
    <definedName name="sjjf" hidden="1">{#N/A,#N/A,FALSE,"단축1";#N/A,#N/A,FALSE,"단축2";#N/A,#N/A,FALSE,"단축3";#N/A,#N/A,FALSE,"장축";#N/A,#N/A,FALSE,"4WD"}</definedName>
    <definedName name="sjk" hidden="1">{#N/A,#N/A,FALSE,"단축1";#N/A,#N/A,FALSE,"단축2";#N/A,#N/A,FALSE,"단축3";#N/A,#N/A,FALSE,"장축";#N/A,#N/A,FALSE,"4WD"}</definedName>
    <definedName name="ŞK" hidden="1">{#N/A,#N/A,FALSE,"단축1";#N/A,#N/A,FALSE,"단축2";#N/A,#N/A,FALSE,"단축3";#N/A,#N/A,FALSE,"장축";#N/A,#N/A,FALSE,"4WD"}</definedName>
    <definedName name="skfnb26"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sksdmfd" hidden="1">{#N/A,#N/A,TRUE,"1842CWN0"}</definedName>
    <definedName name="sksjsb" hidden="1">{#N/A,#N/A,TRUE,"INGENIERIA";#N/A,#N/A,TRUE,"COMPRAS";#N/A,#N/A,TRUE,"DIRECCION";#N/A,#N/A,TRUE,"RESUMEN"}</definedName>
    <definedName name="sksks" hidden="1">{#N/A,#N/A,TRUE,"1842CWN0"}</definedName>
    <definedName name="sl_cmpnt_id">#REF!</definedName>
    <definedName name="sl_cmpnt_name">#REF!</definedName>
    <definedName name="sl_cmpnt_name_t">#REF!</definedName>
    <definedName name="sl_cmpnt_serv">#REF!</definedName>
    <definedName name="sl_cmpnt_serv_t">#REF!</definedName>
    <definedName name="sl_equip_id">#REF!</definedName>
    <definedName name="sl_equip_id_t">#REF!</definedName>
    <definedName name="sl_flag_color">#REF!</definedName>
    <definedName name="sl_hist_marked">#REF!</definedName>
    <definedName name="sl_line_num">#REF!</definedName>
    <definedName name="sl_line_num_t">#REF!</definedName>
    <definedName name="sl_pid_no">#REF!</definedName>
    <definedName name="sl_pid_no_t">#REF!</definedName>
    <definedName name="SLDJFKGH" hidden="1">{"'banner (abr)'!$A$14:$G$22"}</definedName>
    <definedName name="SLHeader">#REF!</definedName>
    <definedName name="SLHJLS" hidden="1">{#N/A,#N/A,FALSE,"TABLE"}</definedName>
    <definedName name="SMEC">#REF!</definedName>
    <definedName name="smi" hidden="1">#REF!</definedName>
    <definedName name="SMLV">#REF!</definedName>
    <definedName name="smmlv">#REF!</definedName>
    <definedName name="SN">#REF!</definedName>
    <definedName name="SOBREANCHO">#REF!</definedName>
    <definedName name="SOC">#REF!</definedName>
    <definedName name="SocialIssues">#REF!</definedName>
    <definedName name="soil">#REF!</definedName>
    <definedName name="SOL">#REF!</definedName>
    <definedName name="SolidProps">#REF!</definedName>
    <definedName name="SOLUCIONES" hidden="1">{"'banner (abr)'!$A$14:$G$22"}</definedName>
    <definedName name="solver_adj" hidden="1">#REF!</definedName>
    <definedName name="solver_cvg" hidden="1">0.0001</definedName>
    <definedName name="solver_drv" hidden="1">1</definedName>
    <definedName name="solver_est" hidden="1">1</definedName>
    <definedName name="solver_itr" hidden="1">100</definedName>
    <definedName name="solver_lhs16" hidden="1">#REF!</definedName>
    <definedName name="solver_lin" hidden="1">2</definedName>
    <definedName name="solver_neg" hidden="1">2</definedName>
    <definedName name="solver_num" hidden="1">0</definedName>
    <definedName name="solver_nwt" hidden="1">1</definedName>
    <definedName name="solver_opt" hidden="1">#REF!</definedName>
    <definedName name="solver_pre" hidden="1">0.000001</definedName>
    <definedName name="solver_rel1" hidden="1">3</definedName>
    <definedName name="solver_rel10" hidden="1">3</definedName>
    <definedName name="solver_rel11" hidden="1">3</definedName>
    <definedName name="solver_rel12" hidden="1">3</definedName>
    <definedName name="solver_rel13" hidden="1">3</definedName>
    <definedName name="solver_rel14" hidden="1">3</definedName>
    <definedName name="solver_rel15" hidden="1">3</definedName>
    <definedName name="solver_rel16" hidden="1">3</definedName>
    <definedName name="solver_rel2" hidden="1">3</definedName>
    <definedName name="solver_rel3" hidden="1">3</definedName>
    <definedName name="solver_rel4" hidden="1">3</definedName>
    <definedName name="solver_rel5" hidden="1">3</definedName>
    <definedName name="solver_rel6" hidden="1">3</definedName>
    <definedName name="solver_rel7" hidden="1">3</definedName>
    <definedName name="solver_rel8" hidden="1">3</definedName>
    <definedName name="solver_rel9" hidden="1">3</definedName>
    <definedName name="solver_rhs1" hidden="1">0</definedName>
    <definedName name="solver_rhs10" hidden="1">0</definedName>
    <definedName name="solver_rhs11" hidden="1">0</definedName>
    <definedName name="solver_rhs12" hidden="1">0</definedName>
    <definedName name="solver_rhs13" hidden="1">0</definedName>
    <definedName name="solver_rhs14" hidden="1">0</definedName>
    <definedName name="solver_rhs15" hidden="1">0</definedName>
    <definedName name="solver_rhs16" hidden="1">0</definedName>
    <definedName name="solver_rhs2" hidden="1">0</definedName>
    <definedName name="solver_rhs3" hidden="1">0</definedName>
    <definedName name="solver_rhs4" hidden="1">0</definedName>
    <definedName name="solver_rhs5" hidden="1">0</definedName>
    <definedName name="solver_rhs6" hidden="1">0</definedName>
    <definedName name="solver_rhs7" hidden="1">0</definedName>
    <definedName name="solver_rhs8" hidden="1">0</definedName>
    <definedName name="solver_rhs9" hidden="1">0</definedName>
    <definedName name="solver_scl" hidden="1">2</definedName>
    <definedName name="solver_sho" hidden="1">2</definedName>
    <definedName name="solver_tim" hidden="1">100</definedName>
    <definedName name="solver_tmp" hidden="1">#NULL!</definedName>
    <definedName name="solver_tol" hidden="1">0.05</definedName>
    <definedName name="solver_typ" hidden="1">1</definedName>
    <definedName name="solver_val" hidden="1">0</definedName>
    <definedName name="SOPCON">#REF!</definedName>
    <definedName name="SOR">#REF!</definedName>
    <definedName name="Sort">#REF!</definedName>
    <definedName name="SORT1" hidden="1">#REF!</definedName>
    <definedName name="SORT2" hidden="1">#REF!</definedName>
    <definedName name="SortArea">#REF!</definedName>
    <definedName name="SortArea1162">#REF!</definedName>
    <definedName name="SortArea1162and1593">#REF!</definedName>
    <definedName name="SortArea1593">#REF!</definedName>
    <definedName name="sortarea2">#REF!</definedName>
    <definedName name="SourceCountry">#REF!</definedName>
    <definedName name="sp"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anner_Auto_File">"F:\Proyectos\CEI\Tunja-Barbosa\tra2b.x2a"</definedName>
    <definedName name="Spanner_Auto_Select">#REF!</definedName>
    <definedName name="spare">#REF!</definedName>
    <definedName name="spec_cmpnt_func_001">#REF!</definedName>
    <definedName name="spec_cmpnt_mounting_001">#REF!</definedName>
    <definedName name="spec_cmpnt_po_item_no">#REF!</definedName>
    <definedName name="spec_cmpnt_po_item_no_001">#REF!</definedName>
    <definedName name="spec_cmpnt_po_no">#REF!</definedName>
    <definedName name="spec_cmpnt_po_no_001">#REF!</definedName>
    <definedName name="spec_cmpnt_power_supply_001">#REF!</definedName>
    <definedName name="spec_cmpnt_price">#REF!</definedName>
    <definedName name="spec_cmpnt_price_001">#REF!</definedName>
    <definedName name="spec_cmpnt_sn">#REF!</definedName>
    <definedName name="spec_cmpnt_sn_001">#REF!</definedName>
    <definedName name="spec_cmpnt_type_001">#REF!</definedName>
    <definedName name="spec_enclosure_class">#REF!</definedName>
    <definedName name="spec_enclosure_class_001">#REF!</definedName>
    <definedName name="spec_entity_type_id_001">#REF!</definedName>
    <definedName name="spec_id_001">#REF!</definedName>
    <definedName name="spec_note">#REF!</definedName>
    <definedName name="spec_note_001">#REF!</definedName>
    <definedName name="spec_sheet_of">#REF!</definedName>
    <definedName name="spec_sheet_of_001">#REF!</definedName>
    <definedName name="spec_sheets">#REF!</definedName>
    <definedName name="spec_sheets_001">#REF!</definedName>
    <definedName name="spec_type_flg_001">#REF!</definedName>
    <definedName name="spec_udf_c01">#REF!</definedName>
    <definedName name="spec_udf_c01_001">#REF!</definedName>
    <definedName name="spec_udf_c02">#REF!</definedName>
    <definedName name="spec_udf_c02_001">#REF!</definedName>
    <definedName name="spec_udf_c03">#REF!</definedName>
    <definedName name="spec_udf_c03_001">#REF!</definedName>
    <definedName name="spec_udf_c04">#REF!</definedName>
    <definedName name="spec_udf_c04_001">#REF!</definedName>
    <definedName name="spec_udf_c05">#REF!</definedName>
    <definedName name="spec_udf_c05_001">#REF!</definedName>
    <definedName name="spec_udf_c06">#REF!</definedName>
    <definedName name="spec_udf_c06_001">#REF!</definedName>
    <definedName name="spec_udf_c07">#REF!</definedName>
    <definedName name="spec_udf_c07_001">#REF!</definedName>
    <definedName name="spec_udf_c08">#REF!</definedName>
    <definedName name="spec_udf_c08_001">#REF!</definedName>
    <definedName name="spec_udf_c09">#REF!</definedName>
    <definedName name="spec_udf_c09_001">#REF!</definedName>
    <definedName name="spec_udf_c10">#REF!</definedName>
    <definedName name="spec_udf_c10_001">#REF!</definedName>
    <definedName name="spec_udf_c100_001">#REF!</definedName>
    <definedName name="spec_udf_c101">#REF!</definedName>
    <definedName name="spec_udf_c101_001">#REF!</definedName>
    <definedName name="spec_udf_c102">#REF!</definedName>
    <definedName name="spec_udf_c102_001">#REF!</definedName>
    <definedName name="spec_udf_c103">#REF!</definedName>
    <definedName name="spec_udf_c103_001">#REF!</definedName>
    <definedName name="spec_udf_c104">#REF!</definedName>
    <definedName name="spec_udf_c104_001">#REF!</definedName>
    <definedName name="spec_udf_c105">#REF!</definedName>
    <definedName name="spec_udf_c105_001">#REF!</definedName>
    <definedName name="spec_udf_c106">#REF!</definedName>
    <definedName name="spec_udf_c106_001">#REF!</definedName>
    <definedName name="spec_udf_c107">#REF!</definedName>
    <definedName name="spec_udf_c107_001">#REF!</definedName>
    <definedName name="spec_udf_c11">#REF!</definedName>
    <definedName name="spec_udf_c11_001">#REF!</definedName>
    <definedName name="spec_udf_c12">#REF!</definedName>
    <definedName name="spec_udf_c12_001">#REF!</definedName>
    <definedName name="spec_udf_c13">#REF!</definedName>
    <definedName name="spec_udf_c13_001">#REF!</definedName>
    <definedName name="spec_udf_c14">#REF!</definedName>
    <definedName name="spec_udf_c14_001">#REF!</definedName>
    <definedName name="spec_udf_c15">#REF!</definedName>
    <definedName name="spec_udf_c15_001">#REF!</definedName>
    <definedName name="spec_udf_c16">#REF!</definedName>
    <definedName name="spec_udf_c16_001">#REF!</definedName>
    <definedName name="spec_udf_c17">#REF!</definedName>
    <definedName name="spec_udf_c17_001">#REF!</definedName>
    <definedName name="spec_udf_c18">#REF!</definedName>
    <definedName name="spec_udf_c18_001">#REF!</definedName>
    <definedName name="spec_udf_c180">#REF!</definedName>
    <definedName name="spec_udf_c180_001">#REF!</definedName>
    <definedName name="spec_udf_c181">#REF!</definedName>
    <definedName name="spec_udf_c181_001">#REF!</definedName>
    <definedName name="spec_udf_c182">#REF!</definedName>
    <definedName name="spec_udf_c182_001">#REF!</definedName>
    <definedName name="spec_udf_c183">#REF!</definedName>
    <definedName name="spec_udf_c183_001">#REF!</definedName>
    <definedName name="spec_udf_c184">#REF!</definedName>
    <definedName name="spec_udf_c184_001">#REF!</definedName>
    <definedName name="spec_udf_c185">#REF!</definedName>
    <definedName name="spec_udf_c185_001">#REF!</definedName>
    <definedName name="spec_udf_c19">#REF!</definedName>
    <definedName name="spec_udf_c19_001">#REF!</definedName>
    <definedName name="spec_udf_c20">#REF!</definedName>
    <definedName name="spec_udf_c20_001">#REF!</definedName>
    <definedName name="spec_udf_c21">#REF!</definedName>
    <definedName name="spec_udf_c21_001">#REF!</definedName>
    <definedName name="spec_udf_c22">#REF!</definedName>
    <definedName name="spec_udf_c22_001">#REF!</definedName>
    <definedName name="spec_udf_c23">#REF!</definedName>
    <definedName name="spec_udf_c23_001">#REF!</definedName>
    <definedName name="spec_udf_c24">#REF!</definedName>
    <definedName name="spec_udf_c24_001">#REF!</definedName>
    <definedName name="spec_udf_c25">#REF!</definedName>
    <definedName name="spec_udf_c25_001">#REF!</definedName>
    <definedName name="spec_udf_c26">#REF!</definedName>
    <definedName name="spec_udf_c26_001">#REF!</definedName>
    <definedName name="spec_udf_c27">#REF!</definedName>
    <definedName name="spec_udf_c27_001">#REF!</definedName>
    <definedName name="spec_udf_c28">#REF!</definedName>
    <definedName name="spec_udf_c28_001">#REF!</definedName>
    <definedName name="spec_udf_c29">#REF!</definedName>
    <definedName name="spec_udf_c29_001">#REF!</definedName>
    <definedName name="spec_udf_c30">#REF!</definedName>
    <definedName name="spec_udf_c30_001">#REF!</definedName>
    <definedName name="spec_udf_c31">#REF!</definedName>
    <definedName name="spec_udf_c31_001">#REF!</definedName>
    <definedName name="spec_udf_c32">#REF!</definedName>
    <definedName name="spec_udf_c32_001">#REF!</definedName>
    <definedName name="spec_udf_c33">#REF!</definedName>
    <definedName name="spec_udf_c33_001">#REF!</definedName>
    <definedName name="spec_udf_c34">#REF!</definedName>
    <definedName name="spec_udf_c34_001">#REF!</definedName>
    <definedName name="spec_udf_c35">#REF!</definedName>
    <definedName name="spec_udf_c35_001">#REF!</definedName>
    <definedName name="spec_udf_c36">#REF!</definedName>
    <definedName name="spec_udf_c36_001">#REF!</definedName>
    <definedName name="spec_udf_c37">#REF!</definedName>
    <definedName name="spec_udf_c37_001">#REF!</definedName>
    <definedName name="spec_udf_c38">#REF!</definedName>
    <definedName name="spec_udf_c38_001">#REF!</definedName>
    <definedName name="spec_udf_c39">#REF!</definedName>
    <definedName name="spec_udf_c39_001">#REF!</definedName>
    <definedName name="spec_udf_c40">#REF!</definedName>
    <definedName name="spec_udf_c40_001">#REF!</definedName>
    <definedName name="spec_udf_c41">#REF!</definedName>
    <definedName name="spec_udf_c41_001">#REF!</definedName>
    <definedName name="spec_udf_c42">#REF!</definedName>
    <definedName name="spec_udf_c42_001">#REF!</definedName>
    <definedName name="spec_udf_c43">#REF!</definedName>
    <definedName name="spec_udf_c43_001">#REF!</definedName>
    <definedName name="spec_udf_c44">#REF!</definedName>
    <definedName name="spec_udf_c44_001">#REF!</definedName>
    <definedName name="spec_udf_c45">#REF!</definedName>
    <definedName name="spec_udf_c45_001">#REF!</definedName>
    <definedName name="spec_udf_c46">#REF!</definedName>
    <definedName name="spec_udf_c46_001">#REF!</definedName>
    <definedName name="spec_udf_c47">#REF!</definedName>
    <definedName name="spec_udf_c47_001">#REF!</definedName>
    <definedName name="spec_udf_c48_001">#REF!</definedName>
    <definedName name="spec_udf_c49">#REF!</definedName>
    <definedName name="spec_udf_c49_001">#REF!</definedName>
    <definedName name="spec_udf_c50">#REF!</definedName>
    <definedName name="spec_udf_c50_001">#REF!</definedName>
    <definedName name="spec_udf_c51">#REF!</definedName>
    <definedName name="spec_udf_c51_001">#REF!</definedName>
    <definedName name="spec_udf_c52">#REF!</definedName>
    <definedName name="spec_udf_c52_001">#REF!</definedName>
    <definedName name="spec_udf_c53">#REF!</definedName>
    <definedName name="spec_udf_c53_001">#REF!</definedName>
    <definedName name="spec_udf_c54_001">#REF!</definedName>
    <definedName name="spec_udf_c55_001">#REF!</definedName>
    <definedName name="spec_udf_c56_001">#REF!</definedName>
    <definedName name="spec_udf_c57_001">#REF!</definedName>
    <definedName name="spec_udf_c58_001">#REF!</definedName>
    <definedName name="spec_udf_c59_001">#REF!</definedName>
    <definedName name="spec_udf_c60_001">#REF!</definedName>
    <definedName name="spec_udf_c61">#REF!</definedName>
    <definedName name="spec_udf_c61_001">#REF!</definedName>
    <definedName name="spec_udf_c62_001">#REF!</definedName>
    <definedName name="spec_udf_c63_001">#REF!</definedName>
    <definedName name="spec_udf_c64_001">#REF!</definedName>
    <definedName name="spec_udf_c65_001">#REF!</definedName>
    <definedName name="spec_udf_c66_001">#REF!</definedName>
    <definedName name="spec_udf_c67_001">#REF!</definedName>
    <definedName name="spec_udf_c68_001">#REF!</definedName>
    <definedName name="spec_udf_c69_001">#REF!</definedName>
    <definedName name="spec_udf_c70_001">#REF!</definedName>
    <definedName name="spec_udf_c71">#REF!</definedName>
    <definedName name="spec_udf_c71_001">#REF!</definedName>
    <definedName name="spec_udf_c72">#REF!</definedName>
    <definedName name="spec_udf_c72_001">#REF!</definedName>
    <definedName name="spec_udf_c73">#REF!</definedName>
    <definedName name="spec_udf_c73_001">#REF!</definedName>
    <definedName name="spec_udf_c74_001">#REF!</definedName>
    <definedName name="spec_udf_c75">#REF!</definedName>
    <definedName name="spec_udf_c75_001">#REF!</definedName>
    <definedName name="spec_udf_c76">#REF!</definedName>
    <definedName name="spec_udf_c76_001">#REF!</definedName>
    <definedName name="spec_udf_c77">#REF!</definedName>
    <definedName name="spec_udf_c77_001">#REF!</definedName>
    <definedName name="spec_udf_c78">#REF!</definedName>
    <definedName name="spec_udf_c78_001">#REF!</definedName>
    <definedName name="spec_udf_c79_001">#REF!</definedName>
    <definedName name="spec_udf_c80_001">#REF!</definedName>
    <definedName name="spec_udf_c81">#REF!</definedName>
    <definedName name="spec_udf_c81_001">#REF!</definedName>
    <definedName name="spec_udf_c82">#REF!</definedName>
    <definedName name="spec_udf_c82_001">#REF!</definedName>
    <definedName name="spec_udf_c83">#REF!</definedName>
    <definedName name="spec_udf_c83_001">#REF!</definedName>
    <definedName name="spec_udf_c84_001">#REF!</definedName>
    <definedName name="spec_udf_c85_001">#REF!</definedName>
    <definedName name="spec_udf_c86_001">#REF!</definedName>
    <definedName name="spec_udf_c87_001">#REF!</definedName>
    <definedName name="spec_udf_c88_001">#REF!</definedName>
    <definedName name="spec_udf_c89_001">#REF!</definedName>
    <definedName name="spec_udf_c90_001">#REF!</definedName>
    <definedName name="spec_udf_c91_001">#REF!</definedName>
    <definedName name="spec_udf_c92_001">#REF!</definedName>
    <definedName name="spec_udf_c93_001">#REF!</definedName>
    <definedName name="spec_udf_c94_001">#REF!</definedName>
    <definedName name="spec_udf_c95_001">#REF!</definedName>
    <definedName name="spec_udf_c96_001">#REF!</definedName>
    <definedName name="spec_udf_c97_001">#REF!</definedName>
    <definedName name="spec_udf_c98_001">#REF!</definedName>
    <definedName name="spec_udf_c99_001">#REF!</definedName>
    <definedName name="SpecialPrice" hidden="1">#REF!</definedName>
    <definedName name="Specifications">#REF!</definedName>
    <definedName name="spec구매"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QC" hidden="1">{#N/A,#N/A,FALSE,"Hoja1";#N/A,#N/A,FALSE,"Hoja2"}</definedName>
    <definedName name="SQC." hidden="1">{#N/A,#N/A,FALSE,"Hoja1";#N/A,#N/A,FALSE,"Hoja2"}</definedName>
    <definedName name="srwrwr" hidden="1">{"TAB1",#N/A,TRUE,"GENERAL";"TAB2",#N/A,TRUE,"GENERAL";"TAB3",#N/A,TRUE,"GENERAL";"TAB4",#N/A,TRUE,"GENERAL";"TAB5",#N/A,TRUE,"GENERAL"}</definedName>
    <definedName name="SS" hidden="1">{#N/A,#N/A,FALSE,"Costos Productos 6A";#N/A,#N/A,FALSE,"Costo Unitario Total H-94-12"}</definedName>
    <definedName name="SS_PS">#REF!</definedName>
    <definedName name="ssa">#REF!</definedName>
    <definedName name="ssax" hidden="1">{#N/A,#N/A,TRUE,"Y생산";#N/A,#N/A,TRUE,"Y판매";#N/A,#N/A,TRUE,"Y총물량";#N/A,#N/A,TRUE,"Y능력";#N/A,#N/A,TRUE,"YKD"}</definedName>
    <definedName name="ssddadad" hidden="1">{#N/A,#N/A,TRUE,"INGENIERIA";#N/A,#N/A,TRUE,"COMPRAS";#N/A,#N/A,TRUE,"DIRECCION";#N/A,#N/A,TRUE,"RESUMEN"}</definedName>
    <definedName name="ssddf" hidden="1">{#N/A,#N/A,TRUE,"INGENIERIA";#N/A,#N/A,TRUE,"COMPRAS";#N/A,#N/A,TRUE,"DIRECCION";#N/A,#N/A,TRUE,"RESUMEN"}</definedName>
    <definedName name="SSFD" hidden="1">{#N/A,#N/A,FALSE,"TABLE"}</definedName>
    <definedName name="ssh">#REF!</definedName>
    <definedName name="sss" hidden="1">{"'A21005'!$A$3:$M$5"}</definedName>
    <definedName name="SSSS" hidden="1">{#N/A,#N/A,FALSE,"orthoflow";#N/A,#N/A,FALSE,"Miscelaneos";#N/A,#N/A,FALSE,"Instrumentacio";#N/A,#N/A,FALSE,"Electrico";#N/A,#N/A,FALSE,"Valv. Seguridad"}</definedName>
    <definedName name="sssss" hidden="1">{#N/A,#N/A,FALSE,"masez (10)";#N/A,#N/A,FALSE,"masez (7)";#N/A,#N/A,FALSE,"masez (6)";#N/A,#N/A,FALSE,"masez (5)";#N/A,#N/A,FALSE,"masez (4)";#N/A,#N/A,FALSE,"masez (3)";#N/A,#N/A,FALSE,"masez (2)";#N/A,#N/A,FALSE,"GME";#N/A,#N/A,FALSE,"masez"}</definedName>
    <definedName name="sssss7" hidden="1">{"via1",#N/A,TRUE,"general";"via2",#N/A,TRUE,"general";"via3",#N/A,TRUE,"general"}</definedName>
    <definedName name="sssssa" hidden="1">{"TAB1",#N/A,TRUE,"GENERAL";"TAB2",#N/A,TRUE,"GENERAL";"TAB3",#N/A,TRUE,"GENERAL";"TAB4",#N/A,TRUE,"GENERAL";"TAB5",#N/A,TRUE,"GENERAL"}</definedName>
    <definedName name="sssssssss" hidden="1">{#N/A,#N/A,FALSE,"Casanare";#N/A,#N/A,FALSE,"Estero";#N/A,#N/A,FALSE,"Garcero";#N/A,#N/A,FALSE,"Orocué";#N/A,#N/A,FALSE,"Corocora"}</definedName>
    <definedName name="sssssssss_1" hidden="1">{#N/A,#N/A,FALSE,"Casanare";#N/A,#N/A,FALSE,"Estero";#N/A,#N/A,FALSE,"Garcero";#N/A,#N/A,FALSE,"Orocué";#N/A,#N/A,FALSE,"Corocora"}</definedName>
    <definedName name="ssssssssss" hidden="1">{#N/A,#N/A,FALSE,"Costos Productos 6A";#N/A,#N/A,FALSE,"Costo Unitario Total H-94-12"}</definedName>
    <definedName name="ssssssssssss" hidden="1">{"ResMN",#N/A,TRUE,"Res";"ResNegMN",#N/A,TRUE,"Res";"EEPMN",#N/A,TRUE,"EEP";"GasMN",#N/A,TRUE,"Gas";"AorGNMN",#N/A,TRUE,"Aorgas";"GenMN",#N/A,TRUE,"Gen";"AorGEMN",#N/A,TRUE,"Aorgen";"SerMN",#N/A,TRUE,"Serv";"ResME",#N/A,TRUE,"Res";"ResNegME",#N/A,TRUE,"Res";"EEPME",#N/A,TRUE,"EEP";"GasME",#N/A,TRUE,"Gas";"AorGNME",#N/A,TRUE,"Aorgas";"GenME",#N/A,TRUE,"Gen";"AorGEME",#N/A,TRUE,"Aorgen";"SerME",#N/A,TRUE,"Serv";"E_SGas",#N/A,TRUE,"Balgas";"Balenerg",#N/A,TRUE,"Balener";"Balance_MN",#N/A,TRUE,"Balance";"Balance_ME",#N/A,TRUE,"Balance"}</definedName>
    <definedName name="SSSSSSSSSSSSSSSSSSSS" hidden="1">#REF!</definedName>
    <definedName name="sssssy" hidden="1">{"via1",#N/A,TRUE,"general";"via2",#N/A,TRUE,"general";"via3",#N/A,TRUE,"general"}</definedName>
    <definedName name="st">#REF!</definedName>
    <definedName name="ST_BLDG">#REF!</definedName>
    <definedName name="ST_CW">#REF!</definedName>
    <definedName name="st_LB_cv_valve_type_001">#REF!</definedName>
    <definedName name="st_LB_fm_bleed_hole_diam_uid_001">#REF!</definedName>
    <definedName name="st_LB_fm_meter_type_001">#REF!</definedName>
    <definedName name="st_LB_fm_orif_diam_uid_001">#REF!</definedName>
    <definedName name="st_LB_pd_calc_code_001">#REF!</definedName>
    <definedName name="st_LB_pd_failure_action_001">#REF!</definedName>
    <definedName name="st_LB_pd_fluid_phase_001">#REF!</definedName>
    <definedName name="st_LB_pd_seat_leak_001">#REF!</definedName>
    <definedName name="st_LB_rv_calc_standard_001">#REF!</definedName>
    <definedName name="st_LB_spec_udf_c02_001">#REF!</definedName>
    <definedName name="st_LB_spec_udf_c03_001">#REF!</definedName>
    <definedName name="st_LB_spec_udf_c11_001">#REF!</definedName>
    <definedName name="st_LB_spec_udf_c12_001">#REF!</definedName>
    <definedName name="st_LB_spec_udf_c29_001">#REF!</definedName>
    <definedName name="st_LB_spec_udf_c41_001">#REF!</definedName>
    <definedName name="st_LB_spec_udf_c53_001">#REF!</definedName>
    <definedName name="st_LB_spec_udf_c73_001">#REF!</definedName>
    <definedName name="st_LB_spec_udf_c86_001">#REF!</definedName>
    <definedName name="st_LB_spec_udf_c87_001">#REF!</definedName>
    <definedName name="stake">#REF!</definedName>
    <definedName name="STALO1">#REF!</definedName>
    <definedName name="STANU">#REF!</definedName>
    <definedName name="START1">#REF!</definedName>
    <definedName name="starting_current_001">#REF!</definedName>
    <definedName name="StartupRequirements">#REF!</definedName>
    <definedName name="STENU">#REF!</definedName>
    <definedName name="STONU">#REF!</definedName>
    <definedName name="StorageRequirements">#REF!</definedName>
    <definedName name="Strength">#REF!</definedName>
    <definedName name="strip_id_001">#REF!</definedName>
    <definedName name="Structure">#REF!</definedName>
    <definedName name="STSUMM">#REF!</definedName>
    <definedName name="stt" hidden="1">{"via1",#N/A,TRUE,"general";"via2",#N/A,TRUE,"general";"via3",#N/A,TRUE,"general"}</definedName>
    <definedName name="STU" hidden="1">{#N/A,#N/A,FALSE,"TABLE"}</definedName>
    <definedName name="Stub" hidden="1">#REF!</definedName>
    <definedName name="Stub_Header1" hidden="1">#REF!</definedName>
    <definedName name="Stub_Header2" hidden="1">#REF!</definedName>
    <definedName name="Stub_Header3" hidden="1">#REF!</definedName>
    <definedName name="Sub">#REF!</definedName>
    <definedName name="Sub_Total_CAPEX___Ongoing_CAPEX">#REF!</definedName>
    <definedName name="SUBS">#REF!</definedName>
    <definedName name="SubstationRequirements">#REF!</definedName>
    <definedName name="SUBTO">#REF!</definedName>
    <definedName name="suc">#REF!</definedName>
    <definedName name="sucursales">#REF!</definedName>
    <definedName name="SUM">#REF!</definedName>
    <definedName name="SUM_DB_DATA">#REF!</definedName>
    <definedName name="suma">#REF!</definedName>
    <definedName name="summ" hidden="1">#REF!</definedName>
    <definedName name="SUMMARY">#REF!</definedName>
    <definedName name="Summary_EURO" hidden="1">{#N/A,#N/A,FALSE,"3";#N/A,#N/A,FALSE,"5";#N/A,#N/A,FALSE,"6";#N/A,#N/A,FALSE,"8";#N/A,#N/A,FALSE,"10";#N/A,#N/A,FALSE,"13";#N/A,#N/A,FALSE,"14";#N/A,#N/A,FALSE,"15";#N/A,#N/A,FALSE,"16"}</definedName>
    <definedName name="Summary2" hidden="1">{"INCOME",#N/A,FALSE,"ProNet";"VALUE",#N/A,FALSE,"ProNet"}</definedName>
    <definedName name="SUP">#N/A</definedName>
    <definedName name="SUP_ART">#REF!</definedName>
    <definedName name="SUP_FBC">#N/A</definedName>
    <definedName name="SUPERIOR">#REF!</definedName>
    <definedName name="Supervía" hidden="1">{#N/A,#N/A,TRUE,"0001";#N/A,#N/A,TRUE,"0002";#N/A,#N/A,TRUE,"0003";#N/A,#N/A,TRUE,"0004";#N/A,#N/A,TRUE,"0005";#N/A,#N/A,TRUE,"0006";#N/A,#N/A,TRUE,"0007";#N/A,#N/A,TRUE,"0008";#N/A,#N/A,TRUE,"0009";#N/A,#N/A,TRUE,"0010"}</definedName>
    <definedName name="SUPP">#REF!</definedName>
    <definedName name="SURF">#REF!</definedName>
    <definedName name="SURFREV">#REF!</definedName>
    <definedName name="Surveys">#REF!</definedName>
    <definedName name="SWQ15ExportFormat">#REF!</definedName>
    <definedName name="swsw" hidden="1">{"via1",#N/A,TRUE,"general";"via2",#N/A,TRUE,"general";"via3",#N/A,TRUE,"general"}</definedName>
    <definedName name="swsw3" hidden="1">{"TAB1",#N/A,TRUE,"GENERAL";"TAB2",#N/A,TRUE,"GENERAL";"TAB3",#N/A,TRUE,"GENERAL";"TAB4",#N/A,TRUE,"GENERAL";"TAB5",#N/A,TRUE,"GENERAL"}</definedName>
    <definedName name="Swvu.normal." hidden="1">#REF!</definedName>
    <definedName name="Swvu.short." hidden="1">#REF!</definedName>
    <definedName name="Swvu.STANDARD." hidden="1">#REF!</definedName>
    <definedName name="Swvu.TAB1." hidden="1">#REF!</definedName>
    <definedName name="Swvu.TAB2." hidden="1">#REF!</definedName>
    <definedName name="Swvu.TAB3." hidden="1">#REF!</definedName>
    <definedName name="Swvu.TAB4." hidden="1">#REF!</definedName>
    <definedName name="Swvu.TAB5." hidden="1">#REF!</definedName>
    <definedName name="Swvu.week3." hidden="1">#REF!</definedName>
    <definedName name="Swvu.week3short." hidden="1">#REF!</definedName>
    <definedName name="sys">#REF!</definedName>
    <definedName name="SZL">#REF!</definedName>
    <definedName name="T" hidden="1">{#N/A,#N/A,TRUE,"Budget";#N/A,#N/A,TRUE,"Balance Sheet";#N/A,#N/A,TRUE,"Cash Flow"}</definedName>
    <definedName name="T1_Balance_BoC">#REF!</definedName>
    <definedName name="T1_EoC">#REF!</definedName>
    <definedName name="t5t5" hidden="1">{"TAB1",#N/A,TRUE,"GENERAL";"TAB2",#N/A,TRUE,"GENERAL";"TAB3",#N/A,TRUE,"GENERAL";"TAB4",#N/A,TRUE,"GENERAL";"TAB5",#N/A,TRUE,"GENERAL"}</definedName>
    <definedName name="TA">#REF!</definedName>
    <definedName name="TAB_ACTP3">#REF!</definedName>
    <definedName name="TAB_PROG">#REF!</definedName>
    <definedName name="TABLA">#REF!</definedName>
    <definedName name="tabla_2">#REF!</definedName>
    <definedName name="tabla_3">#REF!</definedName>
    <definedName name="TABLA_AMORT_ANT">#REF!</definedName>
    <definedName name="TABLA_DE_COMISIONES">#REF!</definedName>
    <definedName name="TABLA_PERIODOS">#REF!</definedName>
    <definedName name="TABLA10VRM">#REF!</definedName>
    <definedName name="TABLA13">#REF!</definedName>
    <definedName name="TABLA13B">#REF!</definedName>
    <definedName name="TABLA1CONT">#REF!</definedName>
    <definedName name="tabla2">#REF!</definedName>
    <definedName name="TABLA6">#REF!</definedName>
    <definedName name="TABLA7">#REF!</definedName>
    <definedName name="TABLA7A">#REF!</definedName>
    <definedName name="TABLA7B">#REF!</definedName>
    <definedName name="TABLA8">#REF!</definedName>
    <definedName name="TABLA8A">#REF!</definedName>
    <definedName name="Table_1">#REF!</definedName>
    <definedName name="Table_10">#REF!</definedName>
    <definedName name="Table_11">#REF!</definedName>
    <definedName name="Table_2">#REF!</definedName>
    <definedName name="Table_3">#REF!</definedName>
    <definedName name="Table_4">#REF!</definedName>
    <definedName name="Table_5">#REF!</definedName>
    <definedName name="Table_6">#REF!</definedName>
    <definedName name="Table_7">#REF!</definedName>
    <definedName name="Table_8">#REF!</definedName>
    <definedName name="Table_9">#REF!</definedName>
    <definedName name="TABLEKP">#REF!</definedName>
    <definedName name="TableName">"Dummy"</definedName>
    <definedName name="TableSummary" hidden="1">#REF!</definedName>
    <definedName name="tag_number_note">#REF!</definedName>
    <definedName name="Tamano">#REF!</definedName>
    <definedName name="TamContratista">#REF!</definedName>
    <definedName name="TANQUES">#REF!</definedName>
    <definedName name="TAPA_ALCANTARILLA_ARO_Y_CONTRAARO">#REF!</definedName>
    <definedName name="TAPHEX">#REF!</definedName>
    <definedName name="target" hidden="1">{"'banner (abr)'!$A$14:$G$22"}</definedName>
    <definedName name="target2" hidden="1">{"'banner (abr)'!$A$14:$G$22"}</definedName>
    <definedName name="TariCiud">#REF!</definedName>
    <definedName name="tarifa2013p">#REF!</definedName>
    <definedName name="TARIFAEQHERR">#REF!</definedName>
    <definedName name="TARIFAMATER">#REF!</definedName>
    <definedName name="TARIFAMO">#REF!</definedName>
    <definedName name="TARIFAS">#REF!</definedName>
    <definedName name="Tarifas_2011">#REF!</definedName>
    <definedName name="Tarifas2012">#REF!</definedName>
    <definedName name="TARIFASN">#REF!</definedName>
    <definedName name="TARIFATRANSP">#REF!</definedName>
    <definedName name="TARMCIBCAR_">#REF!</definedName>
    <definedName name="tasa">#REF!</definedName>
    <definedName name="TASDES">#REF!</definedName>
    <definedName name="TAX">#REF!</definedName>
    <definedName name="Taxpb" hidden="1">#REF!</definedName>
    <definedName name="TB">#REF!</definedName>
    <definedName name="tb_h" hidden="1">{"krl1",#N/A,FALSE,"kr";"krl2",#N/A,FALSE,"kr";"compara",#N/A,FALSE,"kr";"desconp1",#N/A,FALSE,"kr";"desconp12",#N/A,FALSE,"kr";"krnp1",#N/A,FALSE,"kr";"krnp2",#N/A,FALSE,"kr";"krp12avg",#N/A,FALSE,"kr";"krp1avg",#N/A,FALSE,"kr"}</definedName>
    <definedName name="TBANCOS">#REF!</definedName>
    <definedName name="tbl_ProdInfo" hidden="1">#REF!</definedName>
    <definedName name="TC">#REF!</definedName>
    <definedName name="tc_field_equipment_id_001">#REF!</definedName>
    <definedName name="tc_fire_area_001">#REF!</definedName>
    <definedName name="tc_line_number_id_001">#REF!</definedName>
    <definedName name="tc_location_layout_001">#REF!</definedName>
    <definedName name="tc_signal_id_001">#REF!</definedName>
    <definedName name="TCARGOS">#REF!</definedName>
    <definedName name="tci" hidden="1">{#N/A,#N/A,FALSE,"단축1";#N/A,#N/A,FALSE,"단축2";#N/A,#N/A,FALSE,"단축3";#N/A,#N/A,FALSE,"장축";#N/A,#N/A,FALSE,"4WD"}</definedName>
    <definedName name="Td">#REF!</definedName>
    <definedName name="tdy" hidden="1">{"TAB1",#N/A,TRUE,"GENERAL";"TAB2",#N/A,TRUE,"GENERAL";"TAB3",#N/A,TRUE,"GENERAL";"TAB4",#N/A,TRUE,"GENERAL";"TAB5",#N/A,TRUE,"GENERAL"}</definedName>
    <definedName name="TE">#REF!</definedName>
    <definedName name="tec">#REF!</definedName>
    <definedName name="tech">#REF!</definedName>
    <definedName name="TechDocsReq">#REF!</definedName>
    <definedName name="TechIssues">#REF!</definedName>
    <definedName name="Technology">#REF!</definedName>
    <definedName name="Técnico_1">#REF!</definedName>
    <definedName name="Técnico_2">#REF!</definedName>
    <definedName name="tecnologia">#REF!</definedName>
    <definedName name="TEERED1210">#REF!</definedName>
    <definedName name="TEERED126">#REF!</definedName>
    <definedName name="Telefono">#REF!</definedName>
    <definedName name="Temáticas..." hidden="1">{"'banner (abr)'!$A$14:$G$22"}</definedName>
    <definedName name="temp">#REF!</definedName>
    <definedName name="temp2">#REF!</definedName>
    <definedName name="TempClass">#REF!</definedName>
    <definedName name="temporary10" hidden="1">{#N/A,#N/A,FALSE,"이태원철근"}</definedName>
    <definedName name="temporary11" hidden="1">{#N/A,#N/A,FALSE,"TABLE"}</definedName>
    <definedName name="ten">#REF!</definedName>
    <definedName name="TEPS">#REF!</definedName>
    <definedName name="TERCERA">#REF!</definedName>
    <definedName name="test">#REF!</definedName>
    <definedName name="Test_sheet" hidden="1">{#N/A,#N/A,TRUE,"Cover";#N/A,#N/A,TRUE,"Content";"Orders EMM",#N/A,TRUE,"Order Sales";"project EMM",#N/A,TRUE,"Project Control";"Cash EMM",#N/A,TRUE,"Cash Control";"KPI EMM",#N/A,TRUE,"KPI-EMM";"Empl EMM",#N/A,TRUE,"Employees"}</definedName>
    <definedName name="TEST0">#REF!</definedName>
    <definedName name="Test2" hidden="1">{"INCOME",#N/A,FALSE,"ProNet";"VALUE",#N/A,FALSE,"ProNet"}</definedName>
    <definedName name="Test3" hidden="1">{"INCOME",#N/A,FALSE,"ProNet";"VALUE",#N/A,FALSE,"ProNet"}</definedName>
    <definedName name="test4" hidden="1">{"CHART",#N/A,FALSE,"Arch Communications"}</definedName>
    <definedName name="test6" hidden="1">{"CHART",#N/A,FALSE,"Arch Communications"}</definedName>
    <definedName name="teste" hidden="1">{"CONSEJO",#N/A,FALSE,"Dist p0";"CONSEJO",#N/A,FALSE,"Ficha CODICE"}</definedName>
    <definedName name="testes" hidden="1">{"uno",#N/A,FALSE,"Dist total";"COMENTARIO",#N/A,FALSE,"Ficha CODICE"}</definedName>
    <definedName name="TESTHKEY">#REF!</definedName>
    <definedName name="testito"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TESTKEYS">#REF!</definedName>
    <definedName name="TESTVKEY">#REF!</definedName>
    <definedName name="tewst" hidden="1">{"TAB1",#N/A,TRUE,"GENERAL";"TAB2",#N/A,TRUE,"GENERAL";"TAB3",#N/A,TRUE,"GENERAL";"TAB4",#N/A,TRUE,"GENERAL";"TAB5",#N/A,TRUE,"GENERAL"}</definedName>
    <definedName name="TextRefCopyRangeCount" hidden="1">13</definedName>
    <definedName name="teytrh" hidden="1">{"via1",#N/A,TRUE,"general";"via2",#N/A,TRUE,"general";"via3",#N/A,TRUE,"general"}</definedName>
    <definedName name="tfhjj" hidden="1">{"ResMN",#N/A,TRUE,"Res";"ResNegMN",#N/A,TRUE,"Res";"EEPMN",#N/A,TRUE,"EEP";"GasMN",#N/A,TRUE,"Gas";"AorGNMN",#N/A,TRUE,"Aorgas";"GenMN",#N/A,TRUE,"Gen";"AorGEMN",#N/A,TRUE,"Aorgen";"SerMN",#N/A,TRUE,"Serv";"ResME",#N/A,TRUE,"Res";"ResNegME",#N/A,TRUE,"Res";"EEPME",#N/A,TRUE,"EEP";"GasME",#N/A,TRUE,"Gas";"AorGNME",#N/A,TRUE,"Aorgas";"GenME",#N/A,TRUE,"Gen";"AorGEME",#N/A,TRUE,"Aorgen";"SerME",#N/A,TRUE,"Serv";"E_SGas",#N/A,TRUE,"Balgas";"Balenerg",#N/A,TRUE,"Balener";"Balance_MN",#N/A,TRUE,"Balance";"Balance_ME",#N/A,TRUE,"Balance"}</definedName>
    <definedName name="tftchristine" hidden="1">{#N/A,#N/A,FALSE,"3";#N/A,#N/A,FALSE,"5";#N/A,#N/A,FALSE,"6";#N/A,#N/A,FALSE,"8";#N/A,#N/A,FALSE,"10";#N/A,#N/A,FALSE,"13";#N/A,#N/A,FALSE,"14";#N/A,#N/A,FALSE,"15";#N/A,#N/A,FALSE,"16"}</definedName>
    <definedName name="TGB" hidden="1">{#N/A,#N/A,FALSE,"Solids Only"}</definedName>
    <definedName name="thdh" hidden="1">{"TAB1",#N/A,TRUE,"GENERAL";"TAB2",#N/A,TRUE,"GENERAL";"TAB3",#N/A,TRUE,"GENERAL";"TAB4",#N/A,TRUE,"GENERAL";"TAB5",#N/A,TRUE,"GENERAL"}</definedName>
    <definedName name="thj" hidden="1">{#N/A,#N/A,FALSE,"orthoflow";#N/A,#N/A,FALSE,"Miscelaneos";#N/A,#N/A,FALSE,"Instrumentacio";#N/A,#N/A,FALSE,"Electrico";#N/A,#N/A,FALSE,"Valv. Seguridad"}</definedName>
    <definedName name="THOMPSON">#REF!</definedName>
    <definedName name="ThreeA">#REF!</definedName>
    <definedName name="ThreeB">#REF!</definedName>
    <definedName name="ThreeC">#REF!</definedName>
    <definedName name="ThreeD">#REF!</definedName>
    <definedName name="ThreeE">#REF!</definedName>
    <definedName name="ThreeF">#REF!</definedName>
    <definedName name="ThreeG">#REF!</definedName>
    <definedName name="ThreeH">#REF!</definedName>
    <definedName name="ThreeI">#REF!</definedName>
    <definedName name="ThreeJ">#REF!</definedName>
    <definedName name="ThreeK">#REF!</definedName>
    <definedName name="ThreeL">#REF!</definedName>
    <definedName name="ThreeM">#REF!</definedName>
    <definedName name="thtj" hidden="1">{"via1",#N/A,TRUE,"general";"via2",#N/A,TRUE,"general";"via3",#N/A,TRUE,"general"}</definedName>
    <definedName name="thvf" hidden="1">{#N/A,#N/A,TRUE,"1842CWN0"}</definedName>
    <definedName name="TI">#REF!</definedName>
    <definedName name="TIEIN">#REF!</definedName>
    <definedName name="TieinList">#REF!</definedName>
    <definedName name="TIELE15">#REF!</definedName>
    <definedName name="TIEMPO">#REF!</definedName>
    <definedName name="TIEMPO_DEL_CONTRATO">#REF!</definedName>
    <definedName name="TIPIFICACION">#REF!</definedName>
    <definedName name="TIPO">#REF!</definedName>
    <definedName name="TIPO_DE_OPORTUNIDAD">#REF!</definedName>
    <definedName name="TIPO_PEND">#REF!</definedName>
    <definedName name="Tipo_Proced">#REF!</definedName>
    <definedName name="Tipo_Tarifa">#REF!</definedName>
    <definedName name="TipoActividad">#REF!</definedName>
    <definedName name="TipoRecurso">#REF!</definedName>
    <definedName name="tipos_falla">#REF!</definedName>
    <definedName name="tipov">#REF!</definedName>
    <definedName name="TIT_015">#REF!</definedName>
    <definedName name="TITLE">#REF!</definedName>
    <definedName name="TITLE10">#REF!</definedName>
    <definedName name="TITLE16">#REF!</definedName>
    <definedName name="TITLE17">#REF!</definedName>
    <definedName name="TITLE18">#REF!</definedName>
    <definedName name="TITLE19">#REF!</definedName>
    <definedName name="TITLE20">#REF!</definedName>
    <definedName name="TITLE21">#REF!</definedName>
    <definedName name="TITLE23">#REF!</definedName>
    <definedName name="TITLE3">#REF!</definedName>
    <definedName name="TITLE5">#REF!</definedName>
    <definedName name="TITLE6">#REF!</definedName>
    <definedName name="TITLE7">#REF!</definedName>
    <definedName name="TITLE8">#REF!</definedName>
    <definedName name="TITLE9">#REF!</definedName>
    <definedName name="Titlepb" hidden="1">#REF!</definedName>
    <definedName name="TITU">#REF!</definedName>
    <definedName name="TITULO">#REF!</definedName>
    <definedName name="TITULOS_A_IMPRIMIR">#REF!</definedName>
    <definedName name="_xlnm.Print_Titles">#N/A</definedName>
    <definedName name="Títulos_a_imprimir_IM">#REF!</definedName>
    <definedName name="TJAUDLWS" hidden="1">{#N/A,#N/A,TRUE,"Y생산";#N/A,#N/A,TRUE,"Y판매";#N/A,#N/A,TRUE,"Y총물량";#N/A,#N/A,TRUE,"Y능력";#N/A,#N/A,TRUE,"YKD"}</definedName>
    <definedName name="tjtrjytrt" hidden="1">{TRUE,TRUE,1,1,542,364,FALSE,FALSE,TRUE,FALSE,0,3,21,1,1,0.524,3,2,TRUE,TRUE,1,TRUE,1,FALSE,100,"Swvu.Q2._.1995.","ACwvu.Q2._.1995.",1,FALSE,FALSE,0,0,0.65,0.88,2,"&amp;C&amp;""Times""&amp;14&amp;BAnadrill Sales Plan  -  1995&amp;R&amp;""Times""&amp;9&amp;d     &amp;t","&amp;R&amp;""Times""Page &amp;p",TRUE,TRUE,FALSE,FALSE,2,100,#N/A,#N/A,"=R1C1:R112C32",FALSE,"Rwvu.Q2._.1995.",#N/A,FALSE,FALSE}</definedName>
    <definedName name="tjtrjytrt_1" hidden="1">{TRUE,TRUE,1,1,542,364,FALSE,FALSE,TRUE,FALSE,0,3,21,1,1,0.524,3,2,TRUE,TRUE,1,TRUE,1,FALSE,100,"Swvu.Q2._.1995.","ACwvu.Q2._.1995.",1,FALSE,FALSE,0,0,0.65,0.88,2,"&amp;C&amp;""Times""&amp;14&amp;BAnadrill Sales Plan  -  1995&amp;R&amp;""Times""&amp;9&amp;d     &amp;t","&amp;R&amp;""Times""Page &amp;p",TRUE,TRUE,FALSE,FALSE,2,100,#N/A,#N/A,"=R1C1:R112C32",FALSE,"Rwvu.Q2._.1995.",#N/A,FALSE,FALSE}</definedName>
    <definedName name="tjtrjytrt_2" hidden="1">{TRUE,TRUE,1,1,542,364,FALSE,FALSE,TRUE,FALSE,0,3,21,1,1,0.524,3,2,TRUE,TRUE,1,TRUE,1,FALSE,100,"Swvu.Q2._.1995.","ACwvu.Q2._.1995.",1,FALSE,FALSE,0,0,0.65,0.88,2,"&amp;C&amp;""Times""&amp;14&amp;BAnadrill Sales Plan  -  1995&amp;R&amp;""Times""&amp;9&amp;d     &amp;t","&amp;R&amp;""Times""Page &amp;p",TRUE,TRUE,FALSE,FALSE,2,100,#N/A,#N/A,"=R1C1:R112C32",FALSE,"Rwvu.Q2._.1995.",#N/A,FALSE,FALSE}</definedName>
    <definedName name="TK" hidden="1">#REF!</definedName>
    <definedName name="TK_1" hidden="1">#REF!</definedName>
    <definedName name="tkio" hidden="1">#REF!</definedName>
    <definedName name="TL_ACTION">#REF!</definedName>
    <definedName name="TL_OPPORTUNITY">#REF!</definedName>
    <definedName name="TL_THREAT">#REF!</definedName>
    <definedName name="tld">#REF!</definedName>
    <definedName name="TLS" hidden="1">{#N/A,#N/A,FALSE,"단축1";#N/A,#N/A,FALSE,"단축2";#N/A,#N/A,FALSE,"단축3";#N/A,#N/A,FALSE,"장축";#N/A,#N/A,FALSE,"4WD"}</definedName>
    <definedName name="TNTN" hidden="1">{#N/A,#N/A,FALSE,"TABLE"}</definedName>
    <definedName name="To">#REF!</definedName>
    <definedName name="TOIYO" hidden="1">{#N/A,#N/A,FALSE,"TABLE"}</definedName>
    <definedName name="TOPGENER">#REF!</definedName>
    <definedName name="Toquepala" hidden="1">{#N/A,#N/A,FALSE,"Matrix";#N/A,#N/A,FALSE,"Executive";#N/A,#N/A,FALSE,"Summary"}</definedName>
    <definedName name="tortas" hidden="1">{"TAB1",#N/A,TRUE,"GENERAL";"TAB2",#N/A,TRUE,"GENERAL";"TAB3",#N/A,TRUE,"GENERAL";"TAB4",#N/A,TRUE,"GENERAL";"TAB5",#N/A,TRUE,"GENERAL"}</definedName>
    <definedName name="tortas2" hidden="1">{"via1",#N/A,TRUE,"general";"via2",#N/A,TRUE,"general";"via3",#N/A,TRUE,"general"}</definedName>
    <definedName name="TOT">#REF!</definedName>
    <definedName name="Total">#REF!</definedName>
    <definedName name="TOTAL__US">#REF!</definedName>
    <definedName name="total_hh">#REF!</definedName>
    <definedName name="Total_Interest">#REF!</definedName>
    <definedName name="Total_Liq_Op">#REF!</definedName>
    <definedName name="Total_Pay">#REF!</definedName>
    <definedName name="Total_Payment" localSheetId="0">Scheduled_Payment+Extra_Payment</definedName>
    <definedName name="Total_Payment">Scheduled_Payment+Extra_Payment</definedName>
    <definedName name="total1">#REF!</definedName>
    <definedName name="TOTALACTA">#REF!</definedName>
    <definedName name="TOTALCOE">#REF!</definedName>
    <definedName name="Totalcost">#REF!</definedName>
    <definedName name="TOTALHH">#REF!</definedName>
    <definedName name="TotalProjectHours">#REF!</definedName>
    <definedName name="TotAuxAlim">#REF!</definedName>
    <definedName name="TotAuxCom">#REF!</definedName>
    <definedName name="TotCa">#REF!</definedName>
    <definedName name="TotCom">#REF!</definedName>
    <definedName name="totdir31">#REF!</definedName>
    <definedName name="TotJe">#REF!</definedName>
    <definedName name="toto" hidden="1">{#N/A,#N/A,FALSE,"3";#N/A,#N/A,FALSE,"5";#N/A,#N/A,FALSE,"6";#N/A,#N/A,FALSE,"8";#N/A,#N/A,FALSE,"10";#N/A,#N/A,FALSE,"13";#N/A,#N/A,FALSE,"14";#N/A,#N/A,FALSE,"15";#N/A,#N/A,FALSE,"16"}</definedName>
    <definedName name="toto2" hidden="1">{#N/A,#N/A,FALSE,"3";#N/A,#N/A,FALSE,"5";#N/A,#N/A,FALSE,"6";#N/A,#N/A,FALSE,"8";#N/A,#N/A,FALSE,"10";#N/A,#N/A,FALSE,"13";#N/A,#N/A,FALSE,"14";#N/A,#N/A,FALSE,"15";#N/A,#N/A,FALSE,"16"}</definedName>
    <definedName name="toto22" hidden="1">{#N/A,#N/A,FALSE,"3";#N/A,#N/A,FALSE,"5";#N/A,#N/A,FALSE,"6";#N/A,#N/A,FALSE,"8";#N/A,#N/A,FALSE,"10";#N/A,#N/A,FALSE,"13";#N/A,#N/A,FALSE,"14";#N/A,#N/A,FALSE,"15";#N/A,#N/A,FALSE,"16"}</definedName>
    <definedName name="TotOt">#REF!</definedName>
    <definedName name="totototo" hidden="1">{#N/A,#N/A,FALSE,"3";#N/A,#N/A,FALSE,"5";#N/A,#N/A,FALSE,"6";#N/A,#N/A,FALSE,"8";#N/A,#N/A,FALSE,"10";#N/A,#N/A,FALSE,"13";#N/A,#N/A,FALSE,"14";#N/A,#N/A,FALSE,"15";#N/A,#N/A,FALSE,"16"}</definedName>
    <definedName name="TotPa">#REF!</definedName>
    <definedName name="TotPrimConv">#REF!</definedName>
    <definedName name="TotPrimVac">#REF!</definedName>
    <definedName name="totroca">#REF!</definedName>
    <definedName name="TotVac">#REF!</definedName>
    <definedName name="TPENSIONES">#REF!</definedName>
    <definedName name="tprot">#REF!</definedName>
    <definedName name="TPTEYACO">#REF!</definedName>
    <definedName name="tr" hidden="1">{"TAB1",#N/A,TRUE,"GENERAL";"TAB2",#N/A,TRUE,"GENERAL";"TAB3",#N/A,TRUE,"GENERAL";"TAB4",#N/A,TRUE,"GENERAL";"TAB5",#N/A,TRUE,"GENERAL"}</definedName>
    <definedName name="TRABEXC">#REF!</definedName>
    <definedName name="TraerDatosDePlc">#N/A</definedName>
    <definedName name="TRAILER">#N/A</definedName>
    <definedName name="TRAILER_MOV">#N/A</definedName>
    <definedName name="TrainingRequirements">#REF!</definedName>
    <definedName name="TRANS">#REF!</definedName>
    <definedName name="TransMAG">#REF!</definedName>
    <definedName name="TRANSPACOPIO">#REF!</definedName>
    <definedName name="TRANSPIT">#REF!</definedName>
    <definedName name="TransportationRequirements">#REF!</definedName>
    <definedName name="TRANSPORTE_ARENA">#REF!</definedName>
    <definedName name="TRANSPORTE_DE_CEMENTO">#REF!</definedName>
    <definedName name="TRANSPORTE_DE_TRITURADO">#REF!</definedName>
    <definedName name="TRANSPORTES">#REF!</definedName>
    <definedName name="TransRamp">#REF!</definedName>
    <definedName name="TransSIC">#REF!</definedName>
    <definedName name="TransTenit">#REF!</definedName>
    <definedName name="Transversal">#REF!</definedName>
    <definedName name="TransZH">#REF!</definedName>
    <definedName name="TRAT">#REF!</definedName>
    <definedName name="treeList" hidden="1">"00100000000000000000000000000000000000000000000000000000000000000000000000000000000000000000000000000000000000000000000000000000000000000000000000000000000000000000000000000000000000000000000000000000"</definedName>
    <definedName name="treeList_1" hidden="1">"00100000000000000000000000000000000000000000000000000000000000000000000000000000000000000000000000000000000000000000000000000000000000000000000000000000000000000000000000000000000000000000000000000000"</definedName>
    <definedName name="TREESAVER">#N/A</definedName>
    <definedName name="TrendBase">#REF!</definedName>
    <definedName name="trest" hidden="1">{"TAB1",#N/A,TRUE,"GENERAL";"TAB2",#N/A,TRUE,"GENERAL";"TAB3",#N/A,TRUE,"GENERAL";"TAB4",#N/A,TRUE,"GENERAL";"TAB5",#N/A,TRUE,"GENERAL"}</definedName>
    <definedName name="tret" hidden="1">{"TAB1",#N/A,TRUE,"GENERAL";"TAB2",#N/A,TRUE,"GENERAL";"TAB3",#N/A,TRUE,"GENERAL";"TAB4",#N/A,TRUE,"GENERAL";"TAB5",#N/A,TRUE,"GENERAL"}</definedName>
    <definedName name="trfs">#REF!</definedName>
    <definedName name="trh" hidden="1">{"via1",#N/A,TRUE,"general";"via2",#N/A,TRUE,"general";"via3",#N/A,TRUE,"general"}</definedName>
    <definedName name="trhfh" hidden="1">{"via1",#N/A,TRUE,"general";"via2",#N/A,TRUE,"general";"via3",#N/A,TRUE,"general"}</definedName>
    <definedName name="TRIM">#REF!</definedName>
    <definedName name="Trimestre">OFFSET(#REF!,#REF!,0,3,1)</definedName>
    <definedName name="TRITURADO_PILCUAN">#REF!</definedName>
    <definedName name="trj" hidden="1">{"DETALLE_1996",#N/A,FALSE,"flujo";"DETALLE_1997",#N/A,FALSE,"flujo";"GASTOS_INCURRIDOS_1996",#N/A,FALSE,"flujo";"GASTOS_PROGRAMADOS_PARA_1997",#N/A,FALSE,"flujo";#N/A,#N/A,FALSE,"comparat";#N/A,#N/A,FALSE,"costos";#N/A,#N/A,FALSE,"proyctrol"}</definedName>
    <definedName name="trjfgjh" hidden="1">{"via1",#N/A,TRUE,"general";"via2",#N/A,TRUE,"general";"via3",#N/A,TRUE,"general"}</definedName>
    <definedName name="trkop" hidden="1">#REF!</definedName>
    <definedName name="TRM">#REF!</definedName>
    <definedName name="TRMeje">#REF!</definedName>
    <definedName name="TRMpto">#REF!</definedName>
    <definedName name="Trompo">#REF!</definedName>
    <definedName name="TRRUYTR" hidden="1">{#N/A,#N/A,FALSE,"TABLE"}</definedName>
    <definedName name="tru" hidden="1">{"via1",#N/A,TRUE,"general";"via2",#N/A,TRUE,"general";"via3",#N/A,TRUE,"general"}</definedName>
    <definedName name="truds" hidden="1">{"via1",#N/A,TRUE,"general";"via2",#N/A,TRUE,"general";"via3",#N/A,TRUE,"general"}</definedName>
    <definedName name="trutu" hidden="1">{"via1",#N/A,TRUE,"general";"via2",#N/A,TRUE,"general";"via3",#N/A,TRUE,"general"}</definedName>
    <definedName name="try" hidden="1">{"'banner (abr)'!$A$14:$G$22"}</definedName>
    <definedName name="trydfg" hidden="1">{"via1",#N/A,TRUE,"general";"via2",#N/A,TRUE,"general";"via3",#N/A,TRUE,"general"}</definedName>
    <definedName name="trydtrygf" hidden="1">{"via1",#N/A,TRUE,"general";"via2",#N/A,TRUE,"general";"via3",#N/A,TRUE,"general"}</definedName>
    <definedName name="tryery" hidden="1">{"TAB1",#N/A,TRUE,"GENERAL";"TAB2",#N/A,TRUE,"GENERAL";"TAB3",#N/A,TRUE,"GENERAL";"TAB4",#N/A,TRUE,"GENERAL";"TAB5",#N/A,TRUE,"GENERAL"}</definedName>
    <definedName name="tryi6" hidden="1">{"TAB1",#N/A,TRUE,"GENERAL";"TAB2",#N/A,TRUE,"GENERAL";"TAB3",#N/A,TRUE,"GENERAL";"TAB4",#N/A,TRUE,"GENERAL";"TAB5",#N/A,TRUE,"GENERAL"}</definedName>
    <definedName name="tryrth" hidden="1">{"via1",#N/A,TRUE,"general";"via2",#N/A,TRUE,"general";"via3",#N/A,TRUE,"general"}</definedName>
    <definedName name="tsert" hidden="1">{"TAB1",#N/A,TRUE,"GENERAL";"TAB2",#N/A,TRUE,"GENERAL";"TAB3",#N/A,TRUE,"GENERAL";"TAB4",#N/A,TRUE,"GENERAL";"TAB5",#N/A,TRUE,"GENERAL"}</definedName>
    <definedName name="Tt">#REF!</definedName>
    <definedName name="TtCD">#REF!</definedName>
    <definedName name="TtlCD">#REF!</definedName>
    <definedName name="TTR" hidden="1">{"via1",#N/A,TRUE,"general";"via2",#N/A,TRUE,"general";"via3",#N/A,TRUE,"general"}</definedName>
    <definedName name="ttrff" hidden="1">{"via1",#N/A,TRUE,"general";"via2",#N/A,TRUE,"general";"via3",#N/A,TRUE,"general"}</definedName>
    <definedName name="ttt" hidden="1">{"TAB1",#N/A,TRUE,"GENERAL";"TAB2",#N/A,TRUE,"GENERAL";"TAB3",#N/A,TRUE,"GENERAL";"TAB4",#N/A,TRUE,"GENERAL";"TAB5",#N/A,TRUE,"GENERAL"}</definedName>
    <definedName name="tttt" hidden="1">{#N/A,#N/A,FALSE,"QsumREG";#N/A,#N/A,FALSE,"Reg";#N/A,#N/A,FALSE,"QsumPSL";#N/A,#N/A,FALSE,"PSL";#N/A,#N/A,FALSE,"fcstsum";#N/A,#N/A,FALSE,"cntsprt"}</definedName>
    <definedName name="tttt7" hidden="1">{"via1",#N/A,TRUE,"general";"via2",#N/A,TRUE,"general";"via3",#N/A,TRUE,"general"}</definedName>
    <definedName name="tttthy" hidden="1">{"TAB1",#N/A,TRUE,"GENERAL";"TAB2",#N/A,TRUE,"GENERAL";"TAB3",#N/A,TRUE,"GENERAL";"TAB4",#N/A,TRUE,"GENERAL";"TAB5",#N/A,TRUE,"GENERAL"}</definedName>
    <definedName name="ttttr" hidden="1">{"via1",#N/A,TRUE,"general";"via2",#N/A,TRUE,"general";"via3",#N/A,TRUE,"general"}</definedName>
    <definedName name="ttttt" hidden="1">{"TAB1",#N/A,TRUE,"GENERAL";"TAB2",#N/A,TRUE,"GENERAL";"TAB3",#N/A,TRUE,"GENERAL";"TAB4",#N/A,TRUE,"GENERAL";"TAB5",#N/A,TRUE,"GENERAL"}</definedName>
    <definedName name="tu" hidden="1">{"via1",#N/A,TRUE,"general";"via2",#N/A,TRUE,"general";"via3",#N/A,TRUE,"general"}</definedName>
    <definedName name="TUB_LR">194653</definedName>
    <definedName name="TUB_PE">249350</definedName>
    <definedName name="TUBERIA" hidden="1">#REF!</definedName>
    <definedName name="TUBERIA_PVC_10">#REF!</definedName>
    <definedName name="TUBERIA_PVC_12">#REF!</definedName>
    <definedName name="TUBERIA_PVC_14">#REF!</definedName>
    <definedName name="TUBERIA_PVC_16">#REF!</definedName>
    <definedName name="TUBERIA_PVC_18">#REF!</definedName>
    <definedName name="TUBERIA_PVC_20">#REF!</definedName>
    <definedName name="TUBERIA_PVC_24">#REF!</definedName>
    <definedName name="TUBERIA_PVC_27">#REF!</definedName>
    <definedName name="TUBERIA_PVC_30">#REF!</definedName>
    <definedName name="TUBERIA_PVC_4">#REF!</definedName>
    <definedName name="TUBERIA_PVC_6">#REF!</definedName>
    <definedName name="TUBERIA_PVC_8">#REF!</definedName>
    <definedName name="TUBERIA1" hidden="1">#REF!</definedName>
    <definedName name="TUBERIAS">#REF!</definedName>
    <definedName name="Tumaco">#REF!</definedName>
    <definedName name="tur" hidden="1">{"TAB1",#N/A,TRUE,"GENERAL";"TAB2",#N/A,TRUE,"GENERAL";"TAB3",#N/A,TRUE,"GENERAL";"TAB4",#N/A,TRUE,"GENERAL";"TAB5",#N/A,TRUE,"GENERAL"}</definedName>
    <definedName name="Turbine_Type">#REF!</definedName>
    <definedName name="TurbineTypeStart">#REF!</definedName>
    <definedName name="TurnoverRequirements">#REF!</definedName>
    <definedName name="turu" hidden="1">{"TAB1",#N/A,TRUE,"GENERAL";"TAB2",#N/A,TRUE,"GENERAL";"TAB3",#N/A,TRUE,"GENERAL";"TAB4",#N/A,TRUE,"GENERAL";"TAB5",#N/A,TRUE,"GENERAL"}</definedName>
    <definedName name="tuut" hidden="1">{#N/A,#N/A,FALSE,"masez (10)";#N/A,#N/A,FALSE,"masez (7)";#N/A,#N/A,FALSE,"masez (6)";#N/A,#N/A,FALSE,"masez (5)";#N/A,#N/A,FALSE,"masez (4)";#N/A,#N/A,FALSE,"masez (3)";#N/A,#N/A,FALSE,"masez (2)";#N/A,#N/A,FALSE,"GME";#N/A,#N/A,FALSE,"masez"}</definedName>
    <definedName name="tv3ç" hidden="1">{"'banner (abr)'!$A$14:$G$22"}</definedName>
    <definedName name="twer" hidden="1">{"TAB1",#N/A,TRUE,"GENERAL";"TAB2",#N/A,TRUE,"GENERAL";"TAB3",#N/A,TRUE,"GENERAL";"TAB4",#N/A,TRUE,"GENERAL";"TAB5",#N/A,TRUE,"GENERAL"}</definedName>
    <definedName name="twet" hidden="1">{"TAB1",#N/A,TRUE,"GENERAL";"TAB2",#N/A,TRUE,"GENERAL";"TAB3",#N/A,TRUE,"GENERAL";"TAB4",#N/A,TRUE,"GENERAL";"TAB5",#N/A,TRUE,"GENERAL"}</definedName>
    <definedName name="TwoA">#REF!</definedName>
    <definedName name="TwoB">#REF!</definedName>
    <definedName name="TwoC">#REF!</definedName>
    <definedName name="TwoD">#REF!</definedName>
    <definedName name="TwoE">#REF!</definedName>
    <definedName name="TwoF">#REF!</definedName>
    <definedName name="TwoG">#REF!</definedName>
    <definedName name="TwoH">#REF!</definedName>
    <definedName name="TwoI">#REF!</definedName>
    <definedName name="TwoJ">#REF!</definedName>
    <definedName name="TwoK">#REF!</definedName>
    <definedName name="TwoL">#REF!</definedName>
    <definedName name="TwoM">#REF!</definedName>
    <definedName name="Tx">#REF!</definedName>
    <definedName name="ty" hidden="1">{"via1",#N/A,TRUE,"general";"via2",#N/A,TRUE,"general";"via3",#N/A,TRUE,"general"}</definedName>
    <definedName name="tyery" hidden="1">{"via1",#N/A,TRUE,"general";"via2",#N/A,TRUE,"general";"via3",#N/A,TRUE,"general"}</definedName>
    <definedName name="tyj" hidden="1">{"TAB1",#N/A,TRUE,"GENERAL";"TAB2",#N/A,TRUE,"GENERAL";"TAB3",#N/A,TRUE,"GENERAL";"TAB4",#N/A,TRUE,"GENERAL";"TAB5",#N/A,TRUE,"GENERAL"}</definedName>
    <definedName name="tyjtyj" hidden="1">{"TAB1",#N/A,TRUE,"GENERAL";"TAB2",#N/A,TRUE,"GENERAL";"TAB3",#N/A,TRUE,"GENERAL";"TAB4",#N/A,TRUE,"GENERAL";"TAB5",#N/A,TRUE,"GENERAL"}</definedName>
    <definedName name="tyjytjuyjuy" hidden="1">{"TAB1",#N/A,TRUE,"GENERAL";"TAB2",#N/A,TRUE,"GENERAL";"TAB3",#N/A,TRUE,"GENERAL";"TAB4",#N/A,TRUE,"GENERAL";"TAB5",#N/A,TRUE,"GENERAL"}</definedName>
    <definedName name="tyk" hidden="1">{"via1",#N/A,TRUE,"general";"via2",#N/A,TRUE,"general";"via3",#N/A,TRUE,"general"}</definedName>
    <definedName name="tym" hidden="1">{"via1",#N/A,TRUE,"general";"via2",#N/A,TRUE,"general";"via3",#N/A,TRUE,"general"}</definedName>
    <definedName name="tynbdf" hidden="1">{#N/A,#N/A,TRUE,"1842CWN0"}</definedName>
    <definedName name="Type">#REF!</definedName>
    <definedName name="Types">#REF!</definedName>
    <definedName name="typical_schematic_001">#REF!</definedName>
    <definedName name="tyr" hidden="1">{"via1",#N/A,TRUE,"general";"via2",#N/A,TRUE,"general";"via3",#N/A,TRUE,"general"}</definedName>
    <definedName name="TYT" hidden="1">{#N/A,#N/A,FALSE,"TABLE"}</definedName>
    <definedName name="tytgfhgfh" hidden="1">{"TAB1",#N/A,TRUE,"GENERAL";"TAB2",#N/A,TRUE,"GENERAL";"TAB3",#N/A,TRUE,"GENERAL";"TAB4",#N/A,TRUE,"GENERAL";"TAB5",#N/A,TRUE,"GENERAL"}</definedName>
    <definedName name="tyty" hidden="1">{"TAB1",#N/A,TRUE,"GENERAL";"TAB2",#N/A,TRUE,"GENERAL";"TAB3",#N/A,TRUE,"GENERAL";"TAB4",#N/A,TRUE,"GENERAL";"TAB5",#N/A,TRUE,"GENERAL"}</definedName>
    <definedName name="tyuitryj"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TYUIYI" hidden="1">{"TAB1",#N/A,TRUE,"GENERAL";"TAB2",#N/A,TRUE,"GENERAL";"TAB3",#N/A,TRUE,"GENERAL";"TAB4",#N/A,TRUE,"GENERAL";"TAB5",#N/A,TRUE,"GENERAL"}</definedName>
    <definedName name="tyujh" hidden="1">{"TAB1",#N/A,TRUE,"GENERAL";"TAB2",#N/A,TRUE,"GENERAL";"TAB3",#N/A,TRUE,"GENERAL";"TAB4",#N/A,TRUE,"GENERAL";"TAB5",#N/A,TRUE,"GENERAL"}</definedName>
    <definedName name="tyut" hidden="1">{#N/A,#N/A,FALSE,"Solids &amp; Flow"}</definedName>
    <definedName name="tyuty" hidden="1">{"TAB1",#N/A,TRUE,"GENERAL";"TAB2",#N/A,TRUE,"GENERAL";"TAB3",#N/A,TRUE,"GENERAL";"TAB4",#N/A,TRUE,"GENERAL";"TAB5",#N/A,TRUE,"GENERAL"}</definedName>
    <definedName name="tyutyu" hidden="1">{"via1",#N/A,TRUE,"general";"via2",#N/A,TRUE,"general";"via3",#N/A,TRUE,"general"}</definedName>
    <definedName name="tyxg" hidden="1">{"via1",#N/A,TRUE,"general";"via2",#N/A,TRUE,"general";"via3",#N/A,TRUE,"general"}</definedName>
    <definedName name="U" hidden="1">{#N/A,#N/A,TRUE,"Budget";#N/A,#N/A,TRUE,"Balance Sheet";#N/A,#N/A,TRUE,"Cash Flow"}</definedName>
    <definedName name="U_Z1">#REF!</definedName>
    <definedName name="u3u" hidden="1">{"TAB1",#N/A,TRUE,"GENERAL";"TAB2",#N/A,TRUE,"GENERAL";"TAB3",#N/A,TRUE,"GENERAL";"TAB4",#N/A,TRUE,"GENERAL";"TAB5",#N/A,TRUE,"GENERAL"}</definedName>
    <definedName name="u7u7" hidden="1">{"TAB1",#N/A,TRUE,"GENERAL";"TAB2",#N/A,TRUE,"GENERAL";"TAB3",#N/A,TRUE,"GENERAL";"TAB4",#N/A,TRUE,"GENERAL";"TAB5",#N/A,TRUE,"GENERAL"}</definedName>
    <definedName name="UBICACION">#REF!</definedName>
    <definedName name="Ubicación">#REF!</definedName>
    <definedName name="UBICACIONES">#REF!</definedName>
    <definedName name="udf_c05">#REF!</definedName>
    <definedName name="udf_c05_001">#REF!</definedName>
    <definedName name="udf_c19">#REF!</definedName>
    <definedName name="udf_c19_001">#REF!</definedName>
    <definedName name="udf_c63">#REF!</definedName>
    <definedName name="udf_c63_001">#REF!</definedName>
    <definedName name="udt_support_id1_001">#REF!</definedName>
    <definedName name="udt_support_id10_001">#REF!</definedName>
    <definedName name="udt_support_id11_001">#REF!</definedName>
    <definedName name="udt_support_id12_001">#REF!</definedName>
    <definedName name="udt_support_id13_001">#REF!</definedName>
    <definedName name="udt_support_id14_001">#REF!</definedName>
    <definedName name="udt_support_id15_001">#REF!</definedName>
    <definedName name="udt_support_id16_001">#REF!</definedName>
    <definedName name="udt_support_id2_001">#REF!</definedName>
    <definedName name="udt_support_id3_001">#REF!</definedName>
    <definedName name="udt_support_id4_001">#REF!</definedName>
    <definedName name="udt_support_id5_001">#REF!</definedName>
    <definedName name="udt_support_id6_001">#REF!</definedName>
    <definedName name="udt_support_id7_001">#REF!</definedName>
    <definedName name="udt_support_id8_001">#REF!</definedName>
    <definedName name="udt_support_id9_001">#REF!</definedName>
    <definedName name="UE">#REF!</definedName>
    <definedName name="UF">#REF!</definedName>
    <definedName name="UF3_">#REF!</definedName>
    <definedName name="UF4_">#REF!</definedName>
    <definedName name="UFrm2InUse">1</definedName>
    <definedName name="uhmas" hidden="1">{#N/A,#N/A,TRUE,"1842CWN0"}</definedName>
    <definedName name="UI" hidden="1">{"via1",#N/A,TRUE,"general";"via2",#N/A,TRUE,"general";"via3",#N/A,TRUE,"general"}</definedName>
    <definedName name="uijhj" hidden="1">{"via1",#N/A,TRUE,"general";"via2",#N/A,TRUE,"general";"via3",#N/A,TRUE,"general"}</definedName>
    <definedName name="uio" hidden="1">{"TAB1",#N/A,TRUE,"GENERAL";"TAB2",#N/A,TRUE,"GENERAL";"TAB3",#N/A,TRUE,"GENERAL";"TAB4",#N/A,TRUE,"GENERAL";"TAB5",#N/A,TRUE,"GENERAL"}</definedName>
    <definedName name="uiop" hidden="1">{#N/A,#N/A,FALSE,"단축1";#N/A,#N/A,FALSE,"단축2";#N/A,#N/A,FALSE,"단축3";#N/A,#N/A,FALSE,"장축";#N/A,#N/A,FALSE,"4WD"}</definedName>
    <definedName name="uiou" hidden="1">{"TAB1",#N/A,TRUE,"GENERAL";"TAB2",#N/A,TRUE,"GENERAL";"TAB3",#N/A,TRUE,"GENERAL";"TAB4",#N/A,TRUE,"GENERAL";"TAB5",#N/A,TRUE,"GENERAL"}</definedName>
    <definedName name="uir" hidden="1">{"via1",#N/A,TRUE,"general";"via2",#N/A,TRUE,"general";"via3",#N/A,TRUE,"general"}</definedName>
    <definedName name="uituii" hidden="1">{"TAB1",#N/A,TRUE,"GENERAL";"TAB2",#N/A,TRUE,"GENERAL";"TAB3",#N/A,TRUE,"GENERAL";"TAB4",#N/A,TRUE,"GENERAL";"TAB5",#N/A,TRUE,"GENERAL"}</definedName>
    <definedName name="uityjj" hidden="1">{"via1",#N/A,TRUE,"general";"via2",#N/A,TRUE,"general";"via3",#N/A,TRUE,"general"}</definedName>
    <definedName name="UIU"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iufgj" hidden="1">{"TAB1",#N/A,TRUE,"GENERAL";"TAB2",#N/A,TRUE,"GENERAL";"TAB3",#N/A,TRUE,"GENERAL";"TAB4",#N/A,TRUE,"GENERAL";"TAB5",#N/A,TRUE,"GENERAL"}</definedName>
    <definedName name="UIUYI" hidden="1">{"TAB1",#N/A,TRUE,"GENERAL";"TAB2",#N/A,TRUE,"GENERAL";"TAB3",#N/A,TRUE,"GENERAL";"TAB4",#N/A,TRUE,"GENERAL";"TAB5",#N/A,TRUE,"GENERAL"}</definedName>
    <definedName name="uiy" hidden="1">{#N/A,#N/A,FALSE,"Solids &amp; Flow"}</definedName>
    <definedName name="uj" hidden="1">{#N/A,#N/A,FALSE,"orthoflow";#N/A,#N/A,FALSE,"Miscelaneos";#N/A,#N/A,FALSE,"Instrumentacio";#N/A,#N/A,FALSE,"Electrico";#N/A,#N/A,FALSE,"Valv. Seguridad"}</definedName>
    <definedName name="ujd" hidden="1">{#N/A,#N/A,TRUE,"1842CWN0"}</definedName>
    <definedName name="UJMU" hidden="1">{#N/A,#N/A,FALSE,"Solids &amp; Flow"}</definedName>
    <definedName name="UKKY"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M">#REF!</definedName>
    <definedName name="UMO">#REF!</definedName>
    <definedName name="UN">#N/A</definedName>
    <definedName name="UNI_AA_VERSION" hidden="1">150.1</definedName>
    <definedName name="UNI_FILT_END" hidden="1">8</definedName>
    <definedName name="UNI_FILT_OFFSPEC" hidden="1">2</definedName>
    <definedName name="UNI_FILT_ONSPEC" hidden="1">1</definedName>
    <definedName name="UNI_FILT_START" hidden="1">4</definedName>
    <definedName name="UNI_NOTHING" hidden="1">0</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OUTLIERS" hidden="1">32</definedName>
    <definedName name="UNI_RET_ATTRIB" hidden="1">64</definedName>
    <definedName name="UNI_RET_CONF" hidden="1">32</definedName>
    <definedName name="UNI_RET_DESC" hidden="1">4</definedName>
    <definedName name="UNI_RET_END" hidden="1">16384</definedName>
    <definedName name="UNI_RET_EQUIP" hidden="1">1</definedName>
    <definedName name="UNI_RET_EVENT" hidden="1">4096</definedName>
    <definedName name="UNI_RET_OFFSPEC" hidden="1">512</definedName>
    <definedName name="UNI_RET_ONSPEC" hidden="1">256</definedName>
    <definedName name="UNI_RET_PROP" hidden="1">32</definedName>
    <definedName name="UNI_RET_PROPDESC" hidden="1">64</definedName>
    <definedName name="UNI_RET_SMPLPNT" hidden="1">4</definedName>
    <definedName name="UNI_RET_SPECMAX" hidden="1">2048</definedName>
    <definedName name="UNI_RET_SPECMIN" hidden="1">1024</definedName>
    <definedName name="UNI_RET_START" hidden="1">8192</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UNID">#REF!</definedName>
    <definedName name="Unidad">#REF!</definedName>
    <definedName name="UNIDADES">#REF!</definedName>
    <definedName name="Unit" hidden="1">#REF!</definedName>
    <definedName name="unit_id_001">#REF!</definedName>
    <definedName name="UNITARIO">#REF!</definedName>
    <definedName name="UNITARIO_BS">#N/A</definedName>
    <definedName name="UNITARIO_US">#N/A</definedName>
    <definedName name="Unitarios">#REF!</definedName>
    <definedName name="unj" hidden="1">#REF!</definedName>
    <definedName name="uno" hidden="1">#REF!</definedName>
    <definedName name="uom_id_001">#REF!</definedName>
    <definedName name="UOUIV" hidden="1">{"TAB1",#N/A,TRUE,"GENERAL";"TAB2",#N/A,TRUE,"GENERAL";"TAB3",#N/A,TRUE,"GENERAL";"TAB4",#N/A,TRUE,"GENERAL";"TAB5",#N/A,TRUE,"GENERAL"}</definedName>
    <definedName name="UPDATE">#REF!</definedName>
    <definedName name="urpc104">#REF!</definedName>
    <definedName name="urpc38">#REF!</definedName>
    <definedName name="urpcvas2">#REF!</definedName>
    <definedName name="uryur" hidden="1">{"TAB1",#N/A,TRUE,"GENERAL";"TAB2",#N/A,TRUE,"GENERAL";"TAB3",#N/A,TRUE,"GENERAL";"TAB4",#N/A,TRUE,"GENERAL";"TAB5",#N/A,TRUE,"GENERAL"}</definedName>
    <definedName name="US">#REF!</definedName>
    <definedName name="US_CPI_DTF">#REF!</definedName>
    <definedName name="USd">#REF!</definedName>
    <definedName name="USD_PERC_ACUMUL">#REF!</definedName>
    <definedName name="USD_VALORACUMULADO">#REF!</definedName>
    <definedName name="USD_VALORXPERIODO">#REF!</definedName>
    <definedName name="USDSELL">#REF!</definedName>
    <definedName name="user_name_001">#REF!</definedName>
    <definedName name="USr">#REF!</definedName>
    <definedName name="usuario">#REF!</definedName>
    <definedName name="UT">#REF!</definedName>
    <definedName name="Util_Caño_Lim">#REF!</definedName>
    <definedName name="Util_Cov_Car">#REF!</definedName>
    <definedName name="Util_Occ">#REF!</definedName>
    <definedName name="Util_Ori_Cen_Llan">#REF!</definedName>
    <definedName name="Utilidad">#REF!</definedName>
    <definedName name="UtilityFlowDiagrams">#REF!</definedName>
    <definedName name="UtilitySources">#REF!</definedName>
    <definedName name="UTM" hidden="1">{#N/A,#N/A,FALSE,"TABLE"}</definedName>
    <definedName name="utt" hidden="1">{"ANAR",#N/A,FALSE,"Dist total";"MARGEN",#N/A,FALSE,"Dist total";"COMENTARIO",#N/A,FALSE,"Ficha CODICE";"CONSEJO",#N/A,FALSE,"Dist p0";"uno",#N/A,FALSE,"Dist total"}</definedName>
    <definedName name="uu" hidden="1">{"TAB1",#N/A,TRUE,"GENERAL";"TAB2",#N/A,TRUE,"GENERAL";"TAB3",#N/A,TRUE,"GENERAL";"TAB4",#N/A,TRUE,"GENERAL";"TAB5",#N/A,TRUE,"GENERAL"}</definedName>
    <definedName name="uuu" hidden="1">{"TAB1",#N/A,TRUE,"GENERAL";"TAB2",#N/A,TRUE,"GENERAL";"TAB3",#N/A,TRUE,"GENERAL";"TAB4",#N/A,TRUE,"GENERAL";"TAB5",#N/A,TRUE,"GENERAL"}</definedName>
    <definedName name="uuuu" hidden="1">#REF!</definedName>
    <definedName name="uuuuo" hidden="1">{"TAB1",#N/A,TRUE,"GENERAL";"TAB2",#N/A,TRUE,"GENERAL";"TAB3",#N/A,TRUE,"GENERAL";"TAB4",#N/A,TRUE,"GENERAL";"TAB5",#N/A,TRUE,"GENERAL"}</definedName>
    <definedName name="uuuuuj" hidden="1">{"via1",#N/A,TRUE,"general";"via2",#N/A,TRUE,"general";"via3",#N/A,TRUE,"general"}</definedName>
    <definedName name="uuuuuuuuuuuu" hidden="1">{#N/A,#N/A,FALSE,"Solids &amp; Flow"}</definedName>
    <definedName name="uuuuuuuuuuuuu" hidden="1">{#N/A,#N/A,FALSE,"Consolidado"}</definedName>
    <definedName name="uuuuuuuuuuuuu_1" hidden="1">{#N/A,#N/A,FALSE,"Consolidado"}</definedName>
    <definedName name="uuuuuuuuuuuuuu" hidden="1">{#N/A,#N/A,FALSE,"Solids &amp; Flow"}</definedName>
    <definedName name="uv">375000</definedName>
    <definedName name="uwkap" hidden="1">{"TAB1",#N/A,TRUE,"GENERAL";"TAB2",#N/A,TRUE,"GENERAL";"TAB3",#N/A,TRUE,"GENERAL";"TAB4",#N/A,TRUE,"GENERAL";"TAB5",#N/A,TRUE,"GENERAL"}</definedName>
    <definedName name="uyiyiy" hidden="1">{"TAB1",#N/A,TRUE,"GENERAL";"TAB2",#N/A,TRUE,"GENERAL";"TAB3",#N/A,TRUE,"GENERAL";"TAB4",#N/A,TRUE,"GENERAL";"TAB5",#N/A,TRUE,"GENERAL"}</definedName>
    <definedName name="uytu" hidden="1">{"TAB1",#N/A,TRUE,"GENERAL";"TAB2",#N/A,TRUE,"GENERAL";"TAB3",#N/A,TRUE,"GENERAL";"TAB4",#N/A,TRUE,"GENERAL";"TAB5",#N/A,TRUE,"GENERAL"}</definedName>
    <definedName name="uyur" hidden="1">{"via1",#N/A,TRUE,"general";"via2",#N/A,TRUE,"general";"via3",#N/A,TRUE,"general"}</definedName>
    <definedName name="UYYUYU" hidden="1">{#N/A,#N/A,FALSE,"PERSONAL"}</definedName>
    <definedName name="v" hidden="1">{#N/A,#N/A,FALSE,"Ppto. Inv. por Proyectos";#N/A,#N/A,FALSE,"Ppto. Gastos por Asociación"}</definedName>
    <definedName name="VACUUM">#N/A</definedName>
    <definedName name="VAL_B" hidden="1">{#N/A,#N/A,FALSE,"masez (10)";#N/A,#N/A,FALSE,"masez (7)";#N/A,#N/A,FALSE,"masez (6)";#N/A,#N/A,FALSE,"masez (5)";#N/A,#N/A,FALSE,"masez (4)";#N/A,#N/A,FALSE,"masez (3)";#N/A,#N/A,FALSE,"masez (2)";#N/A,#N/A,FALSE,"GME";#N/A,#N/A,FALSE,"masez"}</definedName>
    <definedName name="VALIDACIONES" hidden="1">{#N/A,#N/A,FALSE,"Costos Productos 6A";#N/A,#N/A,FALSE,"Costo Unitario Total H-94-12"}</definedName>
    <definedName name="vallas" hidden="1">{"'banner (abr)'!$A$14:$G$22"}</definedName>
    <definedName name="VALOCOVE" hidden="1">#REF!</definedName>
    <definedName name="valor">#REF!</definedName>
    <definedName name="VALOR_OFICINA_CENTRAL_Z1">#REF!</definedName>
    <definedName name="VALOR_SALARIO_MINIMO_ACTUAL">#REF!</definedName>
    <definedName name="VALOR_TOTAL_Z1">#REF!</definedName>
    <definedName name="valor1">#REF!</definedName>
    <definedName name="valor2">#REF!</definedName>
    <definedName name="VALOR3">#REF!</definedName>
    <definedName name="Valoracion">#REF!</definedName>
    <definedName name="VALORACIÓN">#REF!</definedName>
    <definedName name="VALORES">#REF!</definedName>
    <definedName name="VALORGANADOPROG">OFFSET(#REF!,#REF!,0,#REF!,1)</definedName>
    <definedName name="VALORGANADOREAL">OFFSET(#REF!,#REF!,0,#REF!,1)</definedName>
    <definedName name="VALUA">#REF!</definedName>
    <definedName name="Values_Entered">IF(Loan_Amount*Interest_Rate*Loan_Years*Loan_Start&gt;0,1,0)</definedName>
    <definedName name="VALV10">#REF!</definedName>
    <definedName name="VALV12">#REF!</definedName>
    <definedName name="VALV4">#REF!</definedName>
    <definedName name="VALV6">#REF!</definedName>
    <definedName name="VALV8">#REF!</definedName>
    <definedName name="VALVC12">#REF!</definedName>
    <definedName name="VALVC6">#REF!</definedName>
    <definedName name="VALVE_DESCRIPTION">#REF!</definedName>
    <definedName name="VALVULACH8">#REF!</definedName>
    <definedName name="VapourProps">#REF!</definedName>
    <definedName name="var">#REF!</definedName>
    <definedName name="Var_Inflación">#REF!</definedName>
    <definedName name="VARACORR">#REF!</definedName>
    <definedName name="Variacion">#REF!</definedName>
    <definedName name="varo">#REF!</definedName>
    <definedName name="vb" hidden="1">#REF!</definedName>
    <definedName name="vbjkjññgñjkgjkñ" hidden="1">{"'banner (abr)'!$A$14:$G$22"}</definedName>
    <definedName name="VBN" hidden="1">{#N/A,#N/A,FALSE,"이태원철근"}</definedName>
    <definedName name="vbvbvbvb" hidden="1">{"TAB1",#N/A,TRUE,"GENERAL";"TAB2",#N/A,TRUE,"GENERAL";"TAB3",#N/A,TRUE,"GENERAL";"TAB4",#N/A,TRUE,"GENERAL";"TAB5",#N/A,TRUE,"GENERAL"}</definedName>
    <definedName name="vc">#REF!</definedName>
    <definedName name="VCD" hidden="1">#REF!</definedName>
    <definedName name="vct">#REF!</definedName>
    <definedName name="vcvvc"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VCXNVJHKKLYJ" hidden="1">{#N/A,#N/A,FALSE,"masez (10)";#N/A,#N/A,FALSE,"masez (7)";#N/A,#N/A,FALSE,"masez (6)";#N/A,#N/A,FALSE,"masez (5)";#N/A,#N/A,FALSE,"masez (4)";#N/A,#N/A,FALSE,"masez (3)";#N/A,#N/A,FALSE,"masez (2)";#N/A,#N/A,FALSE,"GME";#N/A,#N/A,FALSE,"masez"}</definedName>
    <definedName name="vdfvuio" hidden="1">{"via1",#N/A,TRUE,"general";"via2",#N/A,TRUE,"general";"via3",#N/A,TRUE,"general"}</definedName>
    <definedName name="vdk" hidden="1">{#N/A,#N/A,TRUE,"1842CWN0"}</definedName>
    <definedName name="vdsvnj" hidden="1">{"via1",#N/A,TRUE,"general";"via2",#N/A,TRUE,"general";"via3",#N/A,TRUE,"general"}</definedName>
    <definedName name="VEH">#REF!</definedName>
    <definedName name="VentaAiu">#REF!</definedName>
    <definedName name="verif_bal">#REF!</definedName>
    <definedName name="verificar">#REF!</definedName>
    <definedName name="vero"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VERS">#REF!</definedName>
    <definedName name="VERSION">#REF!</definedName>
    <definedName name="VEVE" hidden="1">{#N/A,#N/A,FALSE,"TABLE"}</definedName>
    <definedName name="VEX" hidden="1">{#N/A,#N/A,FALSE,"Costos Productos 6A";#N/A,#N/A,FALSE,"Costo Unitario Total H-94-12"}</definedName>
    <definedName name="vf" hidden="1">{"CONSEJO",#N/A,FALSE,"Dist p0";"CONSEJO",#N/A,FALSE,"Ficha CODICE"}</definedName>
    <definedName name="vfbgnhyt" hidden="1">{"via1",#N/A,TRUE,"general";"via2",#N/A,TRUE,"general";"via3",#N/A,TRUE,"general"}</definedName>
    <definedName name="vfcx" hidden="1">{#N/A,#N/A,FALSE,"orthoflow";#N/A,#N/A,FALSE,"Miscelaneos";#N/A,#N/A,FALSE,"Instrumentacio";#N/A,#N/A,FALSE,"Electrico";#N/A,#N/A,FALSE,"Valv. Seguridad"}</definedName>
    <definedName name="vffsfs" hidden="1">{#N/A,#N/A,TRUE,"Basic";#N/A,#N/A,TRUE,"EXT-TABLE";#N/A,#N/A,TRUE,"STEEL";#N/A,#N/A,TRUE,"INT-Table";#N/A,#N/A,TRUE,"STEEL";#N/A,#N/A,TRUE,"Door"}</definedName>
    <definedName name="vfh">#REF!</definedName>
    <definedName name="vfvdv" hidden="1">{"TAB1",#N/A,TRUE,"GENERAL";"TAB2",#N/A,TRUE,"GENERAL";"TAB3",#N/A,TRUE,"GENERAL";"TAB4",#N/A,TRUE,"GENERAL";"TAB5",#N/A,TRUE,"GENERAL"}</definedName>
    <definedName name="vfvf" hidden="1">{"TAB1",#N/A,TRUE,"GENERAL";"TAB2",#N/A,TRUE,"GENERAL";"TAB3",#N/A,TRUE,"GENERAL";"TAB4",#N/A,TRUE,"GENERAL";"TAB5",#N/A,TRUE,"GENERAL"}</definedName>
    <definedName name="vgbn" hidden="1">{#N/A,#N/A,TRUE,"INGENIERIA";#N/A,#N/A,TRUE,"COMPRAS";#N/A,#N/A,TRUE,"DIRECCION";#N/A,#N/A,TRUE,"RESUMEN"}</definedName>
    <definedName name="vghfhjhk" hidden="1">{#N/A,#N/A,FALSE,"Solids &amp; Flow"}</definedName>
    <definedName name="VHGF" hidden="1">{#N/A,#N/A,FALSE,"PERSONAL"}</definedName>
    <definedName name="VI" hidden="1">#REF!</definedName>
    <definedName name="VIA" hidden="1">#REF!</definedName>
    <definedName name="VIAP">#REF!</definedName>
    <definedName name="VIAS">#REF!</definedName>
    <definedName name="VIBRADOR_CONCRETO">#REF!</definedName>
    <definedName name="vibro" hidden="1">#REF!</definedName>
    <definedName name="vigmon" hidden="1">#REF!</definedName>
    <definedName name="viio" hidden="1">{#N/A,#N/A,FALSE,"masez (10)";#N/A,#N/A,FALSE,"masez (7)";#N/A,#N/A,FALSE,"masez (6)";#N/A,#N/A,FALSE,"masez (5)";#N/A,#N/A,FALSE,"masez (4)";#N/A,#N/A,FALSE,"masez (3)";#N/A,#N/A,FALSE,"masez (2)";#N/A,#N/A,FALSE,"GME";#N/A,#N/A,FALSE,"masez"}</definedName>
    <definedName name="villa">#REF!</definedName>
    <definedName name="VIT" hidden="1">#REF!</definedName>
    <definedName name="vk" hidden="1">{"via1",#N/A,TRUE,"general";"via2",#N/A,TRUE,"general";"via3",#N/A,TRUE,"general"}</definedName>
    <definedName name="vld_contrac">#REF!</definedName>
    <definedName name="vlfhrv" hidden="1">{#N/A,#N/A,TRUE,"INGENIERIA";#N/A,#N/A,TRUE,"COMPRAS";#N/A,#N/A,TRUE,"DIRECCION";#N/A,#N/A,TRUE,"RESUMEN"}</definedName>
    <definedName name="vnbvxb" hidden="1">{"via1",#N/A,TRUE,"general";"via2",#N/A,TRUE,"general";"via3",#N/A,TRUE,"general"}</definedName>
    <definedName name="VNVBN" hidden="1">{"TAB1",#N/A,TRUE,"GENERAL";"TAB2",#N/A,TRUE,"GENERAL";"TAB3",#N/A,TRUE,"GENERAL";"TAB4",#N/A,TRUE,"GENERAL";"TAB5",#N/A,TRUE,"GENERAL"}</definedName>
    <definedName name="VOL_PTO_2000" hidden="1">{#N/A,#N/A,FALSE,"Costos Productos 6A";#N/A,#N/A,FALSE,"Costo Unitario Total H-94-12"}</definedName>
    <definedName name="Vol_Units">#REF!</definedName>
    <definedName name="Voltage">#REF!</definedName>
    <definedName name="VOLTDROP">#REF!</definedName>
    <definedName name="vp">#REF!</definedName>
    <definedName name="vpt">#REF!</definedName>
    <definedName name="VRVR" hidden="1">{#N/A,#N/A,FALSE,"TABLE"}</definedName>
    <definedName name="vsdfj" hidden="1">{"via1",#N/A,TRUE,"general";"via2",#N/A,TRUE,"general";"via3",#N/A,TRUE,"general"}</definedName>
    <definedName name="vsdgfsd" hidden="1">{"EVA",#N/A,FALSE,"SMT2";#N/A,#N/A,FALSE,"Summary";#N/A,#N/A,FALSE,"Graphs";#N/A,#N/A,FALSE,"4 Panel"}</definedName>
    <definedName name="vt" hidden="1">{"via1",#N/A,TRUE,"general";"via2",#N/A,TRUE,"general";"via3",#N/A,TRUE,"general"}</definedName>
    <definedName name="vtasceros" hidden="1">{#N/A,#N/A,FALSE,"Costos Contables CIB A 12 1994";#N/A,#N/A,FALSE,"Cuadre Contab. y C. OP"}</definedName>
    <definedName name="VV" hidden="1">{#N/A,#N/A,FALSE,"VOL695";#N/A,#N/A,FALSE,"anexo1";#N/A,#N/A,FALSE,"anexo2";#N/A,#N/A,FALSE,"anexo3";#N/A,#N/A,FALSE,"anexo4";#N/A,#N/A,FALSE,"anexo5a";#N/A,#N/A,FALSE,"anexo5b";#N/A,#N/A,FALSE,"anexo6a";#N/A,#N/A,FALSE,"anexo6a";#N/A,#N/A,FALSE,"anexo6c";#N/A,#N/A,FALSE,"anexo7a";#N/A,#N/A,FALSE,"anexo7b";#N/A,#N/A,FALSE,"anexo7c"}</definedName>
    <definedName name="vvcxv" hidden="1">{"TAB1",#N/A,TRUE,"GENERAL";"TAB2",#N/A,TRUE,"GENERAL";"TAB3",#N/A,TRUE,"GENERAL";"TAB4",#N/A,TRUE,"GENERAL";"TAB5",#N/A,TRUE,"GENERAL"}</definedName>
    <definedName name="VVGHJ" hidden="1">{#N/A,#N/A,FALSE,"Graficos"}</definedName>
    <definedName name="VVGVHJ" hidden="1">{#N/A,#N/A,FALSE,"Graficos"}</definedName>
    <definedName name="VVV">#REF!</definedName>
    <definedName name="vvvv" hidden="1">{"'Sheet1'!$A$1:$G$85"}</definedName>
    <definedName name="vvvvt" hidden="1">{"via1",#N/A,TRUE,"general";"via2",#N/A,TRUE,"general";"via3",#N/A,TRUE,"general"}</definedName>
    <definedName name="vvvvvv" hidden="1">{#N/A,#N/A,FALSE,"Costos Productos 6A";#N/A,#N/A,FALSE,"Costo Unitario Total H-94-12"}</definedName>
    <definedName name="vvvvvvf" hidden="1">{"via1",#N/A,TRUE,"general";"via2",#N/A,TRUE,"general";"via3",#N/A,TRUE,"general"}</definedName>
    <definedName name="VWX" hidden="1">{#N/A,#N/A,FALSE,"TABLE"}</definedName>
    <definedName name="VX" hidden="1">#REF!</definedName>
    <definedName name="vy" hidden="1">{"TAB1",#N/A,TRUE,"GENERAL";"TAB2",#N/A,TRUE,"GENERAL";"TAB3",#N/A,TRUE,"GENERAL";"TAB4",#N/A,TRUE,"GENERAL";"TAB5",#N/A,TRUE,"GENERAL"}</definedName>
    <definedName name="VZX" hidden="1">{#N/A,#N/A,FALSE,"TABLE"}</definedName>
    <definedName name="w" hidden="1">{#N/A,#N/A,FALSE,"Consolidado"}</definedName>
    <definedName name="w2w2w" hidden="1">{"via1",#N/A,TRUE,"general";"via2",#N/A,TRUE,"general";"via3",#N/A,TRUE,"general"}</definedName>
    <definedName name="waaaaaaa" hidden="1">{#N/A,#N/A,FALSE,"Costos Productos 6A";#N/A,#N/A,FALSE,"Costo Unitario Total H-94-12"}</definedName>
    <definedName name="wacc" hidden="1">{#N/A,#N/A,FALSE,"SOACHA"}</definedName>
    <definedName name="wang" hidden="1">#REF!</definedName>
    <definedName name="water"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aterTreatmentRequirements">#REF!</definedName>
    <definedName name="wbas" hidden="1">#REF!</definedName>
    <definedName name="WBS">#REF!</definedName>
    <definedName name="WCCWS" hidden="1">{#N/A,#N/A,FALSE,"TABLE"}</definedName>
    <definedName name="WDD" hidden="1">{#N/A,#N/A,FALSE,"orthoflow";#N/A,#N/A,FALSE,"Miscelaneos";#N/A,#N/A,FALSE,"Instrumentacio";#N/A,#N/A,FALSE,"Electrico";#N/A,#N/A,FALSE,"Valv. Seguridad"}</definedName>
    <definedName name="wddw" hidden="1">{TRUE,TRUE,1,1,542,364,FALSE,FALSE,TRUE,FALSE,0,3,21,1,1,0.524,3,2,TRUE,TRUE,1,TRUE,1,FALSE,100,"Swvu.Q2._.1995.","ACwvu.Q2._.1995.",1,FALSE,FALSE,0,0,0.65,0.88,2,"&amp;C&amp;""Times""&amp;14&amp;BAnadrill Sales Plan  -  1995&amp;R&amp;""Times""&amp;9&amp;d     &amp;t","&amp;R&amp;""Times""Page &amp;p",TRUE,TRUE,FALSE,FALSE,2,100,#N/A,#N/A,"=R1C1:R112C32",FALSE,"Rwvu.Q2._.1995.",#N/A,FALSE,FALSE}</definedName>
    <definedName name="wddw_1" hidden="1">{TRUE,TRUE,1,1,542,364,FALSE,FALSE,TRUE,FALSE,0,3,21,1,1,0.524,3,2,TRUE,TRUE,1,TRUE,1,FALSE,100,"Swvu.Q2._.1995.","ACwvu.Q2._.1995.",1,FALSE,FALSE,0,0,0.65,0.88,2,"&amp;C&amp;""Times""&amp;14&amp;BAnadrill Sales Plan  -  1995&amp;R&amp;""Times""&amp;9&amp;d     &amp;t","&amp;R&amp;""Times""Page &amp;p",TRUE,TRUE,FALSE,FALSE,2,100,#N/A,#N/A,"=R1C1:R112C32",FALSE,"Rwvu.Q2._.1995.",#N/A,FALSE,FALSE}</definedName>
    <definedName name="wddw_2" hidden="1">{TRUE,TRUE,1,1,542,364,FALSE,FALSE,TRUE,FALSE,0,3,21,1,1,0.524,3,2,TRUE,TRUE,1,TRUE,1,FALSE,100,"Swvu.Q2._.1995.","ACwvu.Q2._.1995.",1,FALSE,FALSE,0,0,0.65,0.88,2,"&amp;C&amp;""Times""&amp;14&amp;BAnadrill Sales Plan  -  1995&amp;R&amp;""Times""&amp;9&amp;d     &amp;t","&amp;R&amp;""Times""Page &amp;p",TRUE,TRUE,FALSE,FALSE,2,100,#N/A,#N/A,"=R1C1:R112C32",FALSE,"Rwvu.Q2._.1995.",#N/A,FALSE,FALSE}</definedName>
    <definedName name="WE">#N/A</definedName>
    <definedName name="WEARF" hidden="1">{#N/A,#N/A,TRUE,"Y생산";#N/A,#N/A,TRUE,"Y판매";#N/A,#N/A,TRUE,"Y총물량";#N/A,#N/A,TRUE,"Y능력";#N/A,#N/A,TRUE,"YKD"}</definedName>
    <definedName name="wed" hidden="1">#REF!</definedName>
    <definedName name="wedfr" hidden="1">{#N/A,#N/A,FALSE,"단축1";#N/A,#N/A,FALSE,"단축2";#N/A,#N/A,FALSE,"단축3";#N/A,#N/A,FALSE,"장축";#N/A,#N/A,FALSE,"4WD"}</definedName>
    <definedName name="wedw">#REF!</definedName>
    <definedName name="WEEKLY">#REF!</definedName>
    <definedName name="weer" hidden="1">{#N/A,#N/A,FALSE,"nuevo formato actividades";#N/A,#N/A,FALSE,"nuevo formato actividades";#N/A,#N/A,FALSE,"nuevo formato actividades"}</definedName>
    <definedName name="WEJA" hidden="1">{#N/A,#N/A,FALSE,"TABLE"}</definedName>
    <definedName name="weka" hidden="1">{#N/A,#N/A,FALSE,"TABLE"}</definedName>
    <definedName name="weki_9701.xls" hidden="1">#REF!</definedName>
    <definedName name="wekir9701.xls" hidden="1">#REF!</definedName>
    <definedName name="WER" hidden="1">{#N/A,#N/A,FALSE,"EACT"}</definedName>
    <definedName name="were" hidden="1">{"CHART",#N/A,FALSE,"Arch Communications"}</definedName>
    <definedName name="wereqr" hidden="1">{#N/A,#N/A,FALSE,"Solids &amp; Flow"}</definedName>
    <definedName name="werew" hidden="1">{"TAB1",#N/A,TRUE,"GENERAL";"TAB2",#N/A,TRUE,"GENERAL";"TAB3",#N/A,TRUE,"GENERAL";"TAB4",#N/A,TRUE,"GENERAL";"TAB5",#N/A,TRUE,"GENERAL"}</definedName>
    <definedName name="WEREWR" hidden="1">{"via1",#N/A,TRUE,"general";"via2",#N/A,TRUE,"general";"via3",#N/A,TRUE,"general"}</definedName>
    <definedName name="werfdsf" hidden="1">{"TAB1",#N/A,TRUE,"GENERAL";"TAB2",#N/A,TRUE,"GENERAL";"TAB3",#N/A,TRUE,"GENERAL";"TAB4",#N/A,TRUE,"GENERAL";"TAB5",#N/A,TRUE,"GENERAL"}</definedName>
    <definedName name="werh" hidden="1">{"via1",#N/A,TRUE,"general";"via2",#N/A,TRUE,"general";"via3",#N/A,TRUE,"general"}</definedName>
    <definedName name="werr" hidden="1">#REF!</definedName>
    <definedName name="wersfdfrguyo" hidden="1">{"via1",#N/A,TRUE,"general";"via2",#N/A,TRUE,"general";"via3",#N/A,TRUE,"general"}</definedName>
    <definedName name="wert" hidden="1">{#N/A,#N/A,FALSE,"단축1";#N/A,#N/A,FALSE,"단축2";#N/A,#N/A,FALSE,"단축3";#N/A,#N/A,FALSE,"장축";#N/A,#N/A,FALSE,"4WD"}</definedName>
    <definedName name="wert0" hidden="1">#REF!</definedName>
    <definedName name="werwer" hidden="1">{#N/A,#N/A,FALSE,"Solids &amp; Flow"}</definedName>
    <definedName name="werwr" hidden="1">{"via1",#N/A,TRUE,"general";"via2",#N/A,TRUE,"general";"via3",#N/A,TRUE,"general"}</definedName>
    <definedName name="WERWVN" hidden="1">{"TAB1",#N/A,TRUE,"GENERAL";"TAB2",#N/A,TRUE,"GENERAL";"TAB3",#N/A,TRUE,"GENERAL";"TAB4",#N/A,TRUE,"GENERAL";"TAB5",#N/A,TRUE,"GENERAL"}</definedName>
    <definedName name="wesn" hidden="1">#REF!</definedName>
    <definedName name="WETO" hidden="1">{#N/A,#N/A,FALSE,"TABLE"}</definedName>
    <definedName name="wetrew" hidden="1">{"via1",#N/A,TRUE,"general";"via2",#N/A,TRUE,"general";"via3",#N/A,TRUE,"general"}</definedName>
    <definedName name="wetrt" hidden="1">{#N/A,#N/A,FALSE,"Solids &amp; Flow"}</definedName>
    <definedName name="wettt" hidden="1">{"via1",#N/A,TRUE,"general";"via2",#N/A,TRUE,"general";"via3",#N/A,TRUE,"general"}</definedName>
    <definedName name="wetwretd" hidden="1">{"via1",#N/A,TRUE,"general";"via2",#N/A,TRUE,"general";"via3",#N/A,TRUE,"general"}</definedName>
    <definedName name="wew" hidden="1">{"via1",#N/A,TRUE,"general";"via2",#N/A,TRUE,"general";"via3",#N/A,TRUE,"general"}</definedName>
    <definedName name="wffag" hidden="1">{"via1",#N/A,TRUE,"general";"via2",#N/A,TRUE,"general";"via3",#N/A,TRUE,"general"}</definedName>
    <definedName name="wh" hidden="1">{#N/A,#N/A,FALSE,"단축1";#N/A,#N/A,FALSE,"단축2";#N/A,#N/A,FALSE,"단축3";#N/A,#N/A,FALSE,"장축";#N/A,#N/A,FALSE,"4WD"}</definedName>
    <definedName name="WHRL" hidden="1">{#N/A,#N/A,FALSE,"단축1";#N/A,#N/A,FALSE,"단축2";#N/A,#N/A,FALSE,"단축3";#N/A,#N/A,FALSE,"장축";#N/A,#N/A,FALSE,"4WD"}</definedName>
    <definedName name="WILLI">#REF!</definedName>
    <definedName name="WINWIN" hidden="1">{#N/A,#N/A,FALSE,"TABLE"}</definedName>
    <definedName name="wire_group_id_001">#REF!</definedName>
    <definedName name="WITH_BID">#REF!</definedName>
    <definedName name="wje" hidden="1">{#N/A,#N/A,TRUE,"INGENIERIA";#N/A,#N/A,TRUE,"COMPRAS";#N/A,#N/A,TRUE,"DIRECCION";#N/A,#N/A,TRUE,"RESUMEN"}</definedName>
    <definedName name="wjs" hidden="1">{#N/A,#N/A,FALSE,"CCTV"}</definedName>
    <definedName name="WJWJWJW" hidden="1">{#N/A,#N/A,FALSE,"단축1";#N/A,#N/A,FALSE,"단축2";#N/A,#N/A,FALSE,"단축3";#N/A,#N/A,FALSE,"장축";#N/A,#N/A,FALSE,"4WD"}</definedName>
    <definedName name="wm" hidden="1">{#N/A,#N/A,FALSE,"List. Tie-in's Rev. A Diesel";#N/A,#N/A,FALSE,"List. Tie-in's Rev. A Gasolina";#N/A,#N/A,FALSE,"List. Tie-in's Rev. A Crudo";#N/A,#N/A,FALSE,"List. Tie-in's Rev. A Fuel Oil"}</definedName>
    <definedName name="WND" hidden="1">{#N/A,#N/A,FALSE,"단축1";#N/A,#N/A,FALSE,"단축2";#N/A,#N/A,FALSE,"단축3";#N/A,#N/A,FALSE,"장축";#N/A,#N/A,FALSE,"4WD"}</definedName>
    <definedName name="work">#REF!</definedName>
    <definedName name="WorksheetSubTotal">#REF!</definedName>
    <definedName name="WorksheetTotal">#REF!</definedName>
    <definedName name="WORKSHOP" hidden="1">{#N/A,#N/A,TRUE,"Basic";#N/A,#N/A,TRUE,"EXT-TABLE";#N/A,#N/A,TRUE,"STEEL";#N/A,#N/A,TRUE,"INT-Table";#N/A,#N/A,TRUE,"STEEL";#N/A,#N/A,TRUE,"Door"}</definedName>
    <definedName name="WQ" hidden="1">{#N/A,#N/A,FALSE,"PERSONAL"}</definedName>
    <definedName name="wqe" hidden="1">{#N/A,#N/A,FALSE,"견적대비-2"}</definedName>
    <definedName name="WQEEWQ" hidden="1">{"TAB1",#N/A,TRUE,"GENERAL";"TAB2",#N/A,TRUE,"GENERAL";"TAB3",#N/A,TRUE,"GENERAL";"TAB4",#N/A,TRUE,"GENERAL";"TAB5",#N/A,TRUE,"GENERAL"}</definedName>
    <definedName name="wqeqw" hidden="1">{#N/A,#N/A,FALSE,"Solids &amp; Flow"}</definedName>
    <definedName name="wqw" hidden="1">#REF!</definedName>
    <definedName name="WRITE" hidden="1">{#N/A,#N/A,FALSE,"CCTV"}</definedName>
    <definedName name="WRN" hidden="1">{#N/A,#N/A,FALSE,"Costos Contables CIB A 12 1994";#N/A,#N/A,FALSE,"Cuadre Contab. y C. OP"}</definedName>
    <definedName name="wrn.0812ESC."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12._.Costs._.Act._.Fcast._.All." hidden="1">{#N/A,#N/A,FALSE,"Act.Fcst Costs"}</definedName>
    <definedName name="wrn.26jun." hidden="1">{"Acido",#N/A,FALSE,"Contab";"Aromat",#N/A,FALSE,"Contab";"Alquil",#N/A,FALSE,"Contab";"Azufre",#N/A,FALSE,"Contab";"CracUOP",#N/A,FALSE,"Contab";"Demex",#N/A,FALSE,"Contab";"Hidrog",#N/A,FALSE,"Contab";"ModIV",#N/A,FALSE,"Contab";"Paraf",#N/A,FALSE,"Contab";"Topp2000",#N/A,FALSE,"Contab";"Unibon",#N/A,FALSE,"Contab";"Unidad150",#N/A,FALSE,"Contab";"ViscII",#N/A,FALSE,"Contab";#N/A,#N/A,FALSE,"Contab"}</definedName>
    <definedName name="wrn.27jun." hidden="1">{"Crudos",#N/A,FALSE,"Gral";"Fondos",#N/A,FALSE,"Gral";"Petroq",#N/A,FALSE,"Gral";"CoBe",#N/A,FALSE,"C&amp;B";"Parti",#N/A,FALSE,"Res";"Resum",#N/A,FALSE,"Res";"MaTot",#N/A,FALSE,"Mat";"Sumi",#N/A,FALSE,"Sum";"ServT",#N/A,FALSE,"Serv"}</definedName>
    <definedName name="wrn.345." hidden="1">{#N/A,#N/A,FALSE,"96 3월물량표";#N/A,#N/A,FALSE,"96 4월물량표";#N/A,#N/A,FALSE,"96 5월물량표"}</definedName>
    <definedName name="wrn.34건물기초." hidden="1">{#N/A,#N/A,FALSE,"집계";#N/A,#N/A,FALSE,"표지";#N/A,#N/A,FALSE,"터빈집계";#N/A,#N/A,FALSE,"터빈내역";#N/A,#N/A,FALSE,"주제어집계";#N/A,#N/A,FALSE,"주제어내역";#N/A,#N/A,FALSE,"보일러집계";#N/A,#N/A,FALSE,"보일러내역"}</definedName>
    <definedName name="wrn.abril." hidden="1">{"abril_dia",#N/A,FALSE,"flujo mensual";"abr_dia_graf",#N/A,FALSE,"flujo mensual"}</definedName>
    <definedName name="wrn.ac30prn." hidden="1">{#N/A,#N/A,FALSE,"별표20 ";#N/A,#N/A,FALSE,"부표";#N/A,#N/A,FALSE,"품셈내역";#N/A,#N/A,FALSE,"품셈집계";#N/A,#N/A,FALSE,"내역서";#N/A,#N/A,FALSE,"집계표";#N/A,#N/A,FALSE,"표지";#N/A,#N/A,FALSE,"별표총괄표"}</definedName>
    <definedName name="wrn.ACHESON94TAXRETURN." hidden="1">{#N/A,#N/A,FALSE,"일반적사항";#N/A,#N/A,FALSE,"주요재무자료";#N/A,#N/A,FALSE,"표지";#N/A,#N/A,FALSE,"총괄표";#N/A,#N/A,FALSE,"1호 과표세액";#N/A,#N/A,FALSE,"1-2호 농어촌과표";#N/A,#N/A,FALSE,"2호 서식";#N/A,#N/A,FALSE,"3(1)호 공제감면";#N/A,#N/A,FALSE,"임시특별감면";#N/A,#N/A,FALSE,"3(1)부7 기업합리";#N/A,#N/A,FALSE,"3(3)호(갑) 원천납부";#N/A,#N/A,FALSE,"5호 농어촌";#N/A,#N/A,FALSE,"6호 소득금액";#N/A,#N/A,FALSE,"6호 첨부(익)";#N/A,#N/A,FALSE,"6호 첨부(손)";#N/A,#N/A,FALSE,"6-1호 수입금액";#N/A,#N/A,FALSE,"6-3호 퇴충";#N/A,#N/A,FALSE,"6-3(4)호 대손";#N/A,#N/A,FALSE,"6-4호 접대(갑)";#N/A,#N/A,FALSE,"6-4호 접대(을)";#N/A,#N/A,FALSE,"6-6호(부표) 자본적지출";#N/A,#N/A,FALSE,"6-10호 재고자산";#N/A,#N/A,FALSE,"6-11호 세금과공과";#N/A,#N/A,FALSE,"6-12호 선급비용";#N/A,#N/A,FALSE,"6-14호 부동산보유";#N/A,#N/A,FALSE,"9호 자본금(갑)";#N/A,#N/A,FALSE,"9호 자본금(을)";#N/A,#N/A,FALSE,"10(3)호 주요계정";#N/A,#N/A,FALSE,"10(3)호 부표";#N/A,#N/A,FALSE,"10(4)호 조정수입";#N/A,#N/A,FALSE,"10(4)호 소득구분";#N/A,#N/A,FALSE,"12호 중소검토";#N/A,#N/A,FALSE,"14(1)호 갑 주식";#N/A,#N/A,FALSE,"59호 해외특수";#N/A,#N/A,FALSE,"요약 BS";#N/A,#N/A,FALSE,"요약 PL";#N/A,#N/A,FALSE,"요약원가";#N/A,#N/A,FALSE,"요약RE"}</definedName>
    <definedName name="wrn.Acquisition_matrix." hidden="1">{"Acq_matrix",#N/A,FALSE,"Acquisition Matrix"}</definedName>
    <definedName name="wrn.agosto." hidden="1">{"agosto_dia",#N/A,FALSE,"flujo mensual";"ago_dia_graf",#N/A,FALSE,"flujo mensual"}</definedName>
    <definedName name="wrn.All." hidden="1">{#N/A,#N/A,FALSE,"Fact Sheet Table 1";#N/A,#N/A,FALSE,"Budget &amp; Plan Goals Table 2";#N/A,#N/A,FALSE,"2001 OL vs 2002 Budget Table 3";#N/A,#N/A,FALSE,"2001 OL vs 2002 Budget Table 3A";#N/A,#N/A,FALSE,"Risks &amp; Ops Table 4";#N/A,#N/A,FALSE,"Value Build-Up By Layer Table 5";#N/A,#N/A,FALSE,"Production &amp; Reserve Table 6A";#N/A,#N/A,FALSE,"Production &amp; Reserve Table 6B";#N/A,#N/A,FALSE,"Development Projects Table 7";#N/A,#N/A,FALSE,"Development Projects Table 7A";#N/A,#N/A,FALSE,"Exploration Inventory Table 8";#N/A,#N/A,FALSE,"2002 Capital Summary Table 9";#N/A,#N/A,FALSE,"Cost center, SG&amp;A Table 10";#N/A,#N/A,FALSE,"Outstanding AFEs Table 11 ";#N/A,#N/A,FALSE,"Table 12 PAFEA";#N/A,#N/A,FALSE,"Table 12 PAFEB";#N/A,#N/A,FALSE,"Reference Formats";#N/A,#N/A,FALSE,"Program AFE PAGE1";#N/A,#N/A,FALSE,"Program AFE PAGE 2";#N/A,#N/A,FALSE,"Program AFE PAGE3";#N/A,#N/A,FALSE,"PostAuditA";#N/A,#N/A,FALSE,"PostAuditB"}</definedName>
    <definedName name="wrn.All._1" hidden="1">{#N/A,#N/A,FALSE,"I-1";#N/A,#N/A,FALSE,"I-2";#N/A,#N/A,FALSE,"Forecast, NYH";#N/A,#N/A,FALSE,"Forecast - Gulf";#N/A,#N/A,FALSE,"Ratios";#N/A,#N/A,FALSE,"Yields, Bpd";#N/A,#N/A,FALSE,"Yields, %";#N/A,#N/A,FALSE,"Crude_USGC";#N/A,#N/A,FALSE,"Differentials";#N/A,#N/A,FALSE,"Prices, NYH";#N/A,#N/A,FALSE,"Prices, Gulf";#N/A,#N/A,FALSE,"Price_FOB";#N/A,#N/A,FALSE,"PR-CIF";#N/A,#N/A,FALSE,"PR-Vol";#N/A,#N/A,FALSE,"PR-Comp";#N/A,#N/A,FALSE,"PR-GM";#N/A,#N/A,FALSE,"PR-OpExp";#N/A,#N/A,FALSE,"PR-Adj";#N/A,#N/A,FALSE,"PR-Tax";#N/A,#N/A,FALSE,"PR-DCF";#N/A,#N/A,FALSE,"Crude,St. Croix";#N/A,#N/A,FALSE,"SC-CIF";#N/A,#N/A,FALSE,"SC-Vol";#N/A,#N/A,FALSE,"SC-Comp";#N/A,#N/A,FALSE,"SC-GM";#N/A,#N/A,FALSE,"SC-OpExp";#N/A,#N/A,FALSE,"SC-Adj";#N/A,#N/A,FALSE,"SC-Tax";#N/A,#N/A,FALSE,"SC-DCF";#N/A,#N/A,FALSE,"SL-Tax";#N/A,#N/A,FALSE,"SL-DCF"}</definedName>
    <definedName name="wrn.ANALISIS." hidden="1">{"ANAR",#N/A,FALSE,"Dist total";"MARGEN",#N/A,FALSE,"Dist total";"COMENTARIO",#N/A,FALSE,"Ficha CODICE";"CONSEJO",#N/A,FALSE,"Dist p0";"uno",#N/A,FALSE,"Dist total"}</definedName>
    <definedName name="wrn.andres." hidden="1">{#N/A,#N/A,FALSE,"107.R";#N/A,#N/A,FALSE,"113.R";#N/A,#N/A,FALSE,"114.R";#N/A,#N/A,FALSE,"115.R";#N/A,#N/A,FALSE,"117.R";#N/A,#N/A,FALSE,"117.1.R";#N/A,#N/A,FALSE,"117.2.R";#N/A,#N/A,FALSE,"117.3.R ";#N/A,#N/A,FALSE,"118.R";#N/A,#N/A,FALSE,"118.1.R";#N/A,#N/A,FALSE,"118.2.R";#N/A,#N/A,FALSE,"118.3.R";#N/A,#N/A,FALSE,"118.4.R";#N/A,#N/A,FALSE,"118.5.R";#N/A,#N/A,FALSE,"118.6.R";#N/A,#N/A,FALSE,"118.7.R";#N/A,#N/A,FALSE,"118.8.R";#N/A,#N/A,FALSE,"118.9.R";#N/A,#N/A,FALSE,"118.10.R";#N/A,#N/A,FALSE,"120.R";#N/A,#N/A,FALSE,"120.1.R ";#N/A,#N/A,FALSE,"120.2.R";#N/A,#N/A,FALSE,"120.3.R ";#N/A,#N/A,FALSE,"137.R";#N/A,#N/A,FALSE,"137.1.R";#N/A,#N/A,FALSE,"137.2.R";#N/A,#N/A,FALSE,"137.3.R";#N/A,#N/A,FALSE,"137.4.R";#N/A,#N/A,FALSE,"138.R";#N/A,#N/A,FALSE,"140.R";#N/A,#N/A,FALSE,"145.R";#N/A,#N/A,FALSE,"146.R"}</definedName>
    <definedName name="wrn.ANEXO1." hidden="1">{#N/A,#N/A,FALSE,"Costos Contables CIB A 12 1994";#N/A,#N/A,FALSE,"Cuadre Contab. y C. OP"}</definedName>
    <definedName name="wrn.ANEXO1._1" hidden="1">{#N/A,#N/A,FALSE,"Costos Contables CIB A 12 1994";#N/A,#N/A,FALSE,"Cuadre Contab. y C. OP"}</definedName>
    <definedName name="wrn.anexo5." hidden="1">{#N/A,#N/A,FALSE,"CIBHA05A";#N/A,#N/A,FALSE,"CIBHA05B"}</definedName>
    <definedName name="wrn.anexo5._1" hidden="1">{#N/A,#N/A,FALSE,"CIBHA05A";#N/A,#N/A,FALSE,"CIBHA05B"}</definedName>
    <definedName name="wrn.anexo6." hidden="1">{#N/A,#N/A,FALSE,"Costos Productos 6A";#N/A,#N/A,FALSE,"Costo Unitario Total H-94-12"}</definedName>
    <definedName name="wrn.anexo6._1" hidden="1">{#N/A,#N/A,FALSE,"Costos Productos 6A";#N/A,#N/A,FALSE,"Costo Unitario Total H-94-12"}</definedName>
    <definedName name="wrn.AQUIROR._.DCF." hidden="1">{"AQUIRORDCF",#N/A,FALSE,"Merger consequences";"Acquirorassns",#N/A,FALSE,"Merger consequences"}</definedName>
    <definedName name="wrn.ar." hidden="1">{#N/A,#N/A,TRUE,"CODIGO DEPENDENCIA"}</definedName>
    <definedName name="wrn.ARA." hidden="1">{"ARA1",#N/A,FALSE,"ENG-ARA";"ARAhours",#N/A,FALSE,"ENG-ARA";"ARA$",#N/A,FALSE,"ENG-ARA"}</definedName>
    <definedName name="wrn.Argosy._.Ppto._.Exe." hidden="1">{#N/A,#N/A,FALSE,"CPR Santana"}</definedName>
    <definedName name="wrn.Argosy._.Ppto._.Exe._1" hidden="1">{#N/A,#N/A,FALSE,"CPR Santana"}</definedName>
    <definedName name="wrn.Auditoría._.Interna." hidden="1">{"Auditoría Interna",#N/A,FALSE,"General "}</definedName>
    <definedName name="wrn.AuºIAI¼a." hidden="1">{#N/A,#N/A,FALSE,"´UA";#N/A,#N/A,FALSE,"´UA";#N/A,#N/A,FALSE,"´UA";#N/A,#N/A,FALSE,"Aa";#N/A,#N/A,FALSE,"4WD"}</definedName>
    <definedName name="wrn.Badep._.All." hidden="1">{#N/A,#N/A,FALSE,"DMC schedule";#N/A,#N/A,FALSE,"DMC_THC Revenue";#N/A,#N/A,FALSE,"Personnel plan";#N/A,#N/A,FALSE,"Capex HW+SW";#N/A,#N/A,FALSE,"P&amp;L"}</definedName>
    <definedName name="wrn.Barbara._.Modular._.Indirects." hidden="1">{#N/A,#N/A,FALSE,"COVER";#N/A,#N/A,FALSE,"RECAP";#N/A,#N/A,FALSE,"SANTA BARBARA NONMANUAL";#N/A,#N/A,FALSE,"CEQUIP";#N/A,#N/A,FALSE,"WRATE";#N/A,#N/A,FALSE,"INDIRECT";#N/A,#N/A,FALSE,"TRAIN";#N/A,#N/A,FALSE,"MANLOADED SCHEDULE"}</definedName>
    <definedName name="wrn.bechtel._.hours." hidden="1">{"bechtel1",#N/A,TRUE,"BECHTEL";"bechtelhours",#N/A,TRUE,"BECHTEL";"bechtel$",#N/A,TRUE,"BECHTEL"}</definedName>
    <definedName name="wrn.Berre." hidden="1">{#N/A,#N/A,FALSE,"BLE-1";#N/A,#N/A,FALSE,"BLE-2";#N/A,#N/A,FALSE,"T-5";#N/A,#N/A,FALSE,"BLE-3";#N/A,#N/A,FALSE,"T-6";#N/A,#N/A,FALSE,"BLE-4";#N/A,#N/A,FALSE,"T-7";#N/A,#N/A,FALSE,"BLE-5";#N/A,#N/A,FALSE,"T-8"}</definedName>
    <definedName name="wrn.Berre._1" hidden="1">{#N/A,#N/A,FALSE,"BLE-1";#N/A,#N/A,FALSE,"BLE-2";#N/A,#N/A,FALSE,"T-5";#N/A,#N/A,FALSE,"BLE-3";#N/A,#N/A,FALSE,"T-6";#N/A,#N/A,FALSE,"BLE-4";#N/A,#N/A,FALSE,"T-7";#N/A,#N/A,FALSE,"BLE-5";#N/A,#N/A,FALSE,"T-8"}</definedName>
    <definedName name="wrn.BL94TAXRETURN." hidden="1">{#N/A,#N/A,FALSE,"일반적사항";#N/A,#N/A,FALSE,"주요재무자료";#N/A,#N/A,FALSE,"10(2)호 소득공제";#N/A,#N/A,FALSE,"표지";#N/A,#N/A,FALSE,"총괄표";#N/A,#N/A,FALSE,"1호 과표세액";#N/A,#N/A,FALSE,"2호 서식";#N/A,#N/A,FALSE,"2호부표 최저한세";#N/A,#N/A,FALSE,"3(1)호 공제감면";#N/A,#N/A,FALSE,"3(1) 부1 공제감면";#N/A,#N/A,FALSE,"임시특별감면";#N/A,#N/A,FALSE,"3(1)부7 기업합리";#N/A,#N/A,FALSE,"3(3)호(갑) 원천납부";#N/A,#N/A,FALSE,"5호 농어촌";#N/A,#N/A,FALSE,"6호 소득금액";#N/A,#N/A,FALSE,"6호 첨부(익)";#N/A,#N/A,FALSE,"6호 첨부(손)";#N/A,#N/A,FALSE,"재고자산추인";#N/A,#N/A,FALSE,"6-1호 수입금액";#N/A,#N/A,FALSE,"6-2(2)호 중소투자";#N/A,#N/A,FALSE,"6-2(4)호 해외시장";#N/A,#N/A,FALSE,"6-2(12)호 수출손실";#N/A,#N/A,FALSE,"6-3호 퇴충";#N/A,#N/A,FALSE,"6-3(3)호 단퇴";#N/A,#N/A,FALSE,"6-3(4)호 대손";#N/A,#N/A,FALSE,"6-4호 접대(갑)";#N/A,#N/A,FALSE,"6-4호 접대(을)";#N/A,#N/A,FALSE,"6-5호 외화(갑)";#N/A,#N/A,FALSE,"6-5호 외화(을)";#N/A,#N/A,FALSE,"6-6호(부표) 자본적지출";#N/A,#N/A,FALSE,"감가총괄";#N/A,#N/A,FALSE,"6-10호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조정수입";#N/A,#N/A,FALSE,"10(4)호 소득구분";#N/A,#N/A,FALSE,"12호 중소검토";#N/A,#N/A,FALSE,"14(1)호 갑 주식";#N/A,#N/A,FALSE,"59호 해외특수";#N/A,#N/A,FALSE,"요약 BS";#N/A,#N/A,FALSE,"요약 PL";#N/A,#N/A,FALSE,"요약원가";#N/A,#N/A,FALSE,"요약RE";#N/A,#N/A,FALSE,"60호 을 적정유보";#N/A,#N/A,FALSE,"60호 갑 적정유보";#N/A,#N/A,FALSE,"표지";#N/A,#N/A,FALSE,"총괄표";#N/A,#N/A,FALSE,"1호 과표세액";#N/A,#N/A,FALSE,"1호 과표세액";#N/A,#N/A,FALSE,"1호 과표세액";#N/A,#N/A,FALSE,"1-2호 농어촌과표";#N/A,#N/A,FALSE,"2호 서식";#N/A,#N/A,FALSE,"2호부표 최저한세";#N/A,#N/A,FALSE,"3(1)호 공제감면";#N/A,#N/A,FALSE,"3(1) 부1 공제감면";#N/A,#N/A,FALSE,"3(1) 부2 공제감면";#N/A,#N/A,FALSE,"3(1) 부3 세액조정";#N/A,#N/A,FALSE,"3(1) 부4 공제감면";#N/A,#N/A,FALSE,"3호 임시투자공제";#N/A,#N/A,FALSE,"3(1)부7 기업합리";#N/A,#N/A,FALSE,"3(3)호(갑) 원천납부";#N/A,#N/A,FALSE,"5호 농어촌";#N/A,#N/A,FALSE,"6호 소득금액";#N/A,#N/A,FALSE,"6호 첨부(익)";#N/A,#N/A,FALSE,"6-1호 수입금액";#N/A,#N/A,FALSE,"6-1호 수입금액";#N/A,#N/A,FALSE,"6-3호 퇴충";#N/A,#N/A,FALSE,"6-3(3)호 단퇴";#N/A,#N/A,FALSE,"6-3(4)호 대손";#N/A,#N/A,FALSE,"6-4호 접대(갑)";#N/A,#N/A,FALSE,"6-4호 접대(을)";#N/A,#N/A,FALSE,"6-5호 외화(갑)";#N/A,#N/A,FALSE,"6-5호 외화(을)";#N/A,#N/A,FALSE,"6-6호(부표) 자본적지출";#N/A,#N/A,FALSE,"6-10호 재고자산";#N/A,#N/A,FALSE,"6-11호 세금과공과";#N/A,#N/A,FALSE,"6-12호 선급비용";#N/A,#N/A,FALSE,"9호 자본금(갑)";#N/A,#N/A,FALSE,"9호 자본금(을)";#N/A,#N/A,FALSE,"10(2)호 소득공제";#N/A,#N/A,FALSE,"10(3)호 부표";#N/A,#N/A,FALSE,"10(3)호 주요계정";#N/A,#N/A,FALSE,"10(4)호 조정수입";#N/A,#N/A,FALSE,"14(1)호 갑 주식";#N/A,#N/A,FALSE,"59호 해외특수";#N/A,#N/A,FALSE,"60호 갑 적정유보";#N/A,#N/A,FALSE,"60호 을 적정유보";#N/A,#N/A,FALSE,"요약 BS";#N/A,#N/A,FALSE,"요약 PL";#N/A,#N/A,FALSE,"요약원가";#N/A,#N/A,FALSE,"요약RE";#N/A,#N/A,FALSE,"요약RE"}</definedName>
    <definedName name="wrn.BM." hidden="1">{#N/A,#N/A,FALSE,"CCTV"}</definedName>
    <definedName name="wrn.Book." hidden="1">{"EVA",#N/A,FALSE,"SMT2";#N/A,#N/A,FALSE,"Summary";#N/A,#N/A,FALSE,"Graphs";#N/A,#N/A,FALSE,"4 Panel"}</definedName>
    <definedName name="wrn.Budget._.Document." hidden="1">{#N/A,#N/A,FALSE,"Report Summary";#N/A,#N/A,FALSE,"Op. Statement";#N/A,#N/A,FALSE,"Qtly Summ.";#N/A,#N/A,FALSE,"BZW Capital";#N/A,#N/A,FALSE,"Ammort &amp; Dep.";#N/A,#N/A,FALSE,"Op Cost Summ";#N/A,#N/A,FALSE,"Rev. GIC Summ.";#N/A,#N/A,FALSE,"Stockpile Adj.";#N/A,#N/A,FALSE,"Backfill Distrib.";#N/A,#N/A,FALSE,"Backfill Detail";#N/A,#N/A,FALSE,"Total Production";#N/A,#N/A,FALSE,"Central";#N/A,#N/A,FALSE,"Discovery";#N/A,#N/A,FALSE,"Contract Rates";#N/A,#N/A,FALSE,"UG Summary";#N/A,#N/A,FALSE,"Plant Statistics";#N/A,#N/A,FALSE,"Advanced Dev.";#N/A,#N/A,FALSE,"Geology Costs";#N/A,#N/A,FALSE,"Admin Costs";#N/A,#N/A,FALSE,"Accom &amp; Flights";#N/A,#N/A,FALSE,"Labour Cost";#N/A,#N/A,FALSE,"Personnel Schedule"}</definedName>
    <definedName name="wrn.Budgets." hidden="1">{#N/A,#N/A,TRUE,"Budget";#N/A,#N/A,TRUE,"Balance Sheet";#N/A,#N/A,TRUE,"Cash Flow"}</definedName>
    <definedName name="wrn.CALCULO." hidden="1">{#N/A,#N/A,FALSE,"CARGAS";#N/A,#N/A,FALSE,"TABLEROS";#N/A,#N/A,FALSE,"MT";#N/A,#N/A,FALSE,"BT STX";#N/A,#N/A,FALSE,"CORTO";#N/A,#N/A,FALSE,"CAB-MT";#N/A,#N/A,FALSE,"CAB-BM"}</definedName>
    <definedName name="wrn.CAR." hidden="1">{#N/A,#N/A,FALSE,"a1";#N/A,#N/A,FALSE,"a2";#N/A,#N/A,FALSE,"a3";#N/A,#N/A,FALSE,"a4a";#N/A,#N/A,FALSE,"a4B";#N/A,#N/A,FALSE,"a4C";#N/A,#N/A,FALSE,"a4D";#N/A,#N/A,FALSE,"A5a ";#N/A,#N/A,FALSE,"A5b";#N/A,#N/A,FALSE,"A6A";#N/A,#N/A,FALSE,"A6B";#N/A,#N/A,FALSE,"A6C";#N/A,#N/A,FALSE,"A6D";#N/A,#N/A,FALSE,"INV"}</definedName>
    <definedName name="wrn.CAR._1" hidden="1">{#N/A,#N/A,FALSE,"a1";#N/A,#N/A,FALSE,"a2";#N/A,#N/A,FALSE,"a3";#N/A,#N/A,FALSE,"a4a";#N/A,#N/A,FALSE,"a4B";#N/A,#N/A,FALSE,"a4C";#N/A,#N/A,FALSE,"a4D";#N/A,#N/A,FALSE,"A5a ";#N/A,#N/A,FALSE,"A5b";#N/A,#N/A,FALSE,"A6A";#N/A,#N/A,FALSE,"A6B";#N/A,#N/A,FALSE,"A6C";#N/A,#N/A,FALSE,"A6D";#N/A,#N/A,FALSE,"INV"}</definedName>
    <definedName name="wrn.CBA."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rn.CHART." hidden="1">{"CHART",#N/A,FALSE,"Arch Communications"}</definedName>
    <definedName name="wrn.CIB." hidden="1">{#N/A,#N/A,FALSE,"A1";#N/A,#N/A,FALSE,"A2";#N/A,#N/A,FALSE,"A3";#N/A,#N/A,FALSE,"A4";#N/A,#N/A,FALSE,"a4a";#N/A,#N/A,FALSE,"a4B";#N/A,#N/A,FALSE,"a4C";#N/A,#N/A,FALSE,"A5A";#N/A,#N/A,FALSE,"A5B";#N/A,#N/A,FALSE,"F1F2";#N/A,#N/A,FALSE,"MP";#N/A,#N/A,FALSE,"MP A PCTOS";#N/A,#N/A,FALSE,"A6A";#N/A,#N/A,FALSE,"A6C";#N/A,#N/A,FALSE,"REND";"CRUDOS",#N/A,FALSE,"INVENTARIO";"PRODUCTOS",#N/A,FALSE,"INVENTARIO"}</definedName>
    <definedName name="wrn.CIB._1" hidden="1">{#N/A,#N/A,FALSE,"A1";#N/A,#N/A,FALSE,"A2";#N/A,#N/A,FALSE,"A3";#N/A,#N/A,FALSE,"A4";#N/A,#N/A,FALSE,"a4a";#N/A,#N/A,FALSE,"a4B";#N/A,#N/A,FALSE,"a4C";#N/A,#N/A,FALSE,"A5A";#N/A,#N/A,FALSE,"A5B";#N/A,#N/A,FALSE,"F1F2";#N/A,#N/A,FALSE,"MP";#N/A,#N/A,FALSE,"MP A PCTOS";#N/A,#N/A,FALSE,"A6A";#N/A,#N/A,FALSE,"A6C";#N/A,#N/A,FALSE,"REND";"CRUDOS",#N/A,FALSE,"INVENTARIO";"PRODUCTOS",#N/A,FALSE,"INVENTARIO"}</definedName>
    <definedName name="wrn.CIGG." hidden="1">{"CI+GG(BASE)",#N/A,FALSE,"CI+GG(BASE)";"GG",#N/A,FALSE,"CI+GG(BASE)";"CI",#N/A,FALSE,"CI+GG(BASE)"}</definedName>
    <definedName name="wrn.civil._.works." hidden="1">{#N/A,#N/A,TRUE,"1842CWN0"}</definedName>
    <definedName name="wrn.civil._.works.1" hidden="1">{#N/A,#N/A,TRUE,"1842CWN0"}</definedName>
    <definedName name="wrn.compa." hidden="1">{"cuadro1",#N/A,FALSE,"periodos entre Opciones";"cuadro2",#N/A,FALSE,"periodos entre Opciones"}</definedName>
    <definedName name="wrn.Competitor._.Activity." hidden="1">{"Services",#N/A,FALSE,"Activity"}</definedName>
    <definedName name="wrn.Complete." hidden="1">{#N/A,#N/A,FALSE,"SMT1";#N/A,#N/A,FALSE,"SMT2";#N/A,#N/A,FALSE,"Summary";#N/A,#N/A,FALSE,"Graphs";#N/A,#N/A,FALSE,"4 Panel"}</definedName>
    <definedName name="wrn.Complete._.Set." hidden="1">{#N/A,#N/A,FALSE,"Full";#N/A,#N/A,FALSE,"Half";#N/A,#N/A,FALSE,"Op Expenses";#N/A,#N/A,FALSE,"Cap Charge";#N/A,#N/A,FALSE,"Cost C";#N/A,#N/A,FALSE,"PP&amp;E";#N/A,#N/A,FALSE,"R&amp;D"}</definedName>
    <definedName name="wrn.Completo." hidden="1">{"Sin detalle",#N/A,FALSE,"Flujo (redondeado)";"Detallado",#N/A,FALSE,"Flujo (redondeado)"}</definedName>
    <definedName name="wrn.Comptes95." hidden="1">{#N/A,#N/A,FALSE,"3";#N/A,#N/A,FALSE,"5";#N/A,#N/A,FALSE,"6";#N/A,#N/A,FALSE,"8";#N/A,#N/A,FALSE,"10";#N/A,#N/A,FALSE,"13";#N/A,#N/A,FALSE,"14";#N/A,#N/A,FALSE,"15";#N/A,#N/A,FALSE,"16"}</definedName>
    <definedName name="wrn.Consolidado._.Ppto._.Exe." hidden="1">{#N/A,#N/A,FALSE,"Consolidado"}</definedName>
    <definedName name="wrn.Consolidado._.Ppto._.Exe._1" hidden="1">{#N/A,#N/A,FALSE,"Consolidado"}</definedName>
    <definedName name="wrn.CONTROL._.ARCHIVO." hidden="1">{"Control_Consolidado",#N/A,FALSE,"Cons.";"Control_Tunel",#N/A,FALSE,"Cons.";"Control_Melip",#N/A,FALSE,"Cons.";"Control_Gualleco",#N/A,FALSE,"Cons.";"Control_Sara L",#N/A,FALSE,"Cons.";"Control_Quellon",#N/A,FALSE,"Cons.";"Control_Biolix",#N/A,FALSE,"Cons.";"Control_Oficina",#N/A,FALSE,"Cons.";"Control_Consorcio",#N/A,FALSE,"Cons."}</definedName>
    <definedName name="wrn.COSA94TAXRETURN."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wrn.Cuentas._.de._.Resultados." hidden="1">{"PYGP",#N/A,TRUE,"PandL";"BALANCEP",#N/A,TRUE,"BS";"Estado Cash Flow",#N/A,TRUE,"CFlow";"debt",#N/A,TRUE,"Debt";"worcap",#N/A,TRUE,"WorCap";"Analisis Impuestos",#N/A,TRUE,"Tax"}</definedName>
    <definedName name="wrn.DCF_Terminal_Value_qchm." hidden="1">{"qchm_dcf",#N/A,FALSE,"QCHMDCF2";"qchm_terminal",#N/A,FALSE,"QCHMDCF2"}</definedName>
    <definedName name="wrn.Debbie._.Hawkins." hidden="1">{"Admin Costs",#N/A,FALSE,"Act.Fcst Costs"}</definedName>
    <definedName name="wrn.Detail." hidden="1">{#N/A,#N/A,FALSE,"Matrix";#N/A,#N/A,FALSE,"Executive";#N/A,#N/A,FALSE,"Summary";#N/A,#N/A,FALSE,"Office1";#N/A,#N/A,FALSE,"Office2";#N/A,#N/A,FALSE,"Office3";#N/A,#N/A,FALSE,"Office4";#N/A,#N/A,FALSE,"Office5";#N/A,#N/A,FALSE,"Office6";#N/A,#N/A,FALSE,"Office7";#N/A,#N/A,FALSE,"Labor"}</definedName>
    <definedName name="wrn.Día._.API." hidden="1">{#N/A,#N/A,FALSE,"IC_Global";#N/A,#N/A,FALSE,"IC_Global (98-f)";#N/A,#N/A,FALSE,"Inc";#N/A,#N/A,FALSE,"CAMBIOS (2)";#N/A,#N/A,FALSE,"EXPL Inc.";#N/A,#N/A,FALSE,"HITOS98";#N/A,#N/A,FALSE,"CURVA ""S"" GLOBAL ";#N/A,#N/A,FALSE,"CURVA ""S"" 1998 "}</definedName>
    <definedName name="wrn.diciembre." hidden="1">{"diciembre_dia",#N/A,FALSE,"flujo mensual";"dic_dia_graf",#N/A,FALSE,"flujo mensual"}</definedName>
    <definedName name="wrn.directorio." hidden="1">{#N/A,#N/A,FALSE,"COMERCIAL";#N/A,#N/A,FALSE,"inversiones";#N/A,#N/A,FALSE,"pro5";#N/A,#N/A,FALSE,"mor -irre mes";#N/A,#N/A,FALSE,"irregulare"}</definedName>
    <definedName name="wrn.eaab." hidden="1">{"eaab",#N/A,FALSE,"EAAB"}</definedName>
    <definedName name="wrn.EACT." hidden="1">{#N/A,#N/A,FALSE,"EACT"}</definedName>
    <definedName name="wrn.eee." hidden="1">{#N/A,#N/A,FALSE,"Item List"}</definedName>
    <definedName name="wrn.Ejecución._.de._.Ppto._.GOR._.2002." hidden="1">{#N/A,#N/A,FALSE,"Ppto. Inv. por Proyectos";#N/A,#N/A,FALSE,"Ppto. Gastos por Asociación";#N/A,#N/A,FALSE,"Cravo Norte";#N/A,#N/A,FALSE,"Upía";#N/A,#N/A,FALSE,"CPR Espinal";#N/A,#N/A,FALSE,"Magangué";#N/A,#N/A,FALSE,"Casanare";#N/A,#N/A,FALSE,"Estero";#N/A,#N/A,FALSE,"Garcero";#N/A,#N/A,FALSE,"Orocué";#N/A,#N/A,FALSE,"Corocora";#N/A,#N/A,FALSE,"CPR Santana";#N/A,#N/A,FALSE,"Consolidado"}</definedName>
    <definedName name="wrn.Ejecución._.de._.Ppto._.GOR._.2002._1" hidden="1">{#N/A,#N/A,FALSE,"Ppto. Inv. por Proyectos";#N/A,#N/A,FALSE,"Ppto. Gastos por Asociación";#N/A,#N/A,FALSE,"Cravo Norte";#N/A,#N/A,FALSE,"Upía";#N/A,#N/A,FALSE,"CPR Espinal";#N/A,#N/A,FALSE,"Magangué";#N/A,#N/A,FALSE,"Casanare";#N/A,#N/A,FALSE,"Estero";#N/A,#N/A,FALSE,"Garcero";#N/A,#N/A,FALSE,"Orocué";#N/A,#N/A,FALSE,"Corocora";#N/A,#N/A,FALSE,"CPR Santana";#N/A,#N/A,FALSE,"Consolidado"}</definedName>
    <definedName name="wrn.El._.Indio._.Production._.Summary." hidden="1">{#N/A,#N/A,FALSE,"summary";#N/A,#N/A,FALSE,"SumGraph"}</definedName>
    <definedName name="wrn.EM." hidden="1">{#N/A,#N/A,FALSE,"전제";#N/A,#N/A,FALSE,"표지";#N/A,#N/A,FALSE,"6D16";#N/A,#N/A,FALSE,"6D22";#N/A,#N/A,FALSE,"6D22-T";#N/A,#N/A,FALSE,"Q-DEG";#N/A,#N/A,FALSE,"총손";#N/A,#N/A,FALSE,"대당";#N/A,#N/A,FALSE,"가공비"}</definedName>
    <definedName name="wrn.emca." hidden="1">{"emca",#N/A,FALSE,"EMCA"}</definedName>
    <definedName name="wrn.EMM._.detail._.edition." hidden="1">{#N/A,#N/A,TRUE,"Cover";#N/A,#N/A,TRUE,"Content";"Orders EMM",#N/A,TRUE,"Order Sales";"project EMM",#N/A,TRUE,"Project Control";"Cash EMM",#N/A,TRUE,"Cash Control";"KPI EMM",#N/A,TRUE,"KPI-EMM";"Empl EMM",#N/A,TRUE,"Employees"}</definedName>
    <definedName name="WRN.ENE.RP" hidden="1">{"enero_dia",#N/A,FALSE,"flujo mensual";"ene_dia_graf",#N/A,FALSE,"flujo mensual"}</definedName>
    <definedName name="wrn.enero." hidden="1">{"enero_dia",#N/A,FALSE,"flujo mensual";"ene_dia_graf",#N/A,FALSE,"flujo mensual"}</definedName>
    <definedName name="wrn.ep10." hidden="1">{#N/A,#N/A,FALSE,"masez (10)";#N/A,#N/A,FALSE,"masez (7)";#N/A,#N/A,FALSE,"masez (6)";#N/A,#N/A,FALSE,"masez (5)";#N/A,#N/A,FALSE,"masez (4)";#N/A,#N/A,FALSE,"masez (3)";#N/A,#N/A,FALSE,"masez (2)";#N/A,#N/A,FALSE,"GME";#N/A,#N/A,FALSE,"masez"}</definedName>
    <definedName name="wrn.epma." hidden="1">{"epma",#N/A,FALSE,"EPMA"}</definedName>
    <definedName name="wrn.Esquema._.Unifilar._.de._.CMP." hidden="1">{"vista 1",#N/A,FALSE,"CMP";"vista 2",#N/A,FALSE,"CMP"}</definedName>
    <definedName name="wrn.ESTADO._.REHABILITACION." hidden="1">{"PRES REHAB ARM-PER POR ITEMS  KM A KM",#N/A,TRUE,"Rehabilitacion Arm-Per"}</definedName>
    <definedName name="wrn.ESTADO._.REHABILITACION._1" hidden="1">{"PRES REHAB ARM-PER POR ITEMS  KM A KM",#N/A,TRUE,"Rehabilitacion Arm-Per"}</definedName>
    <definedName name="wrn.ESTADO._.REHABILITACION._1_1" hidden="1">{"PRES REHAB ARM-PER POR ITEMS  KM A KM",#N/A,TRUE,"Rehabilitacion Arm-Per"}</definedName>
    <definedName name="wrn.F01_01." hidden="1">{#N/A,#N/A,FALSE,"F-01";#N/A,#N/A,FALSE,"F-01";#N/A,#N/A,FALSE,"F-01"}</definedName>
    <definedName name="wrn.fe" hidden="1">{#N/A,#N/A,TRUE,"1842CWN0"}</definedName>
    <definedName name="wrn.febrero." hidden="1">{"febrero_dia",#N/A,FALSE,"flujo mensual";"feb_dia_graf",#N/A,FALSE,"flujo mensual"}</definedName>
    <definedName name="wrn.FFFFFFF." hidden="1">{#N/A,#N/A,FALSE,"47.R ";#N/A,#N/A,FALSE,"47.1.R";#N/A,#N/A,FALSE,"47.1.1.R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Final." hidden="1">{#N/A,#N/A,TRUE,"Caps1-5";#N/A,#N/A,TRUE,"Cap6";#N/A,#N/A,TRUE,"Caps7-8";#N/A,#N/A,TRUE,"Cap9-Resumo";#N/A,#N/A,TRUE,"Cap9-Det-2000";#N/A,#N/A,TRUE,"Cap9-Det-2001";#N/A,#N/A,TRUE,"Cap10";#N/A,#N/A,TRUE,"Cap11"}</definedName>
    <definedName name="wrn.FINAN97." hidden="1">{"COSOPE98",#N/A,FALSE,"COSOPE98";"COSOPE97",#N/A,FALSE,"COSOPE97";"GASECP98",#N/A,FALSE,"GASECP98";"GAS10098",#N/A,FALSE,"GAS10098";"GASECP97",#N/A,FALSE,"GASECP97";"GAS10097",#N/A,FALSE,"GAS10097";"INVECP98",#N/A,FALSE,"INVECP98";"INV10098",#N/A,FALSE,"INV10098";"INVECP97",#N/A,FALSE,"INVECP97";"INV10097",#N/A,FALSE,"INV10097"}</definedName>
    <definedName name="wrn.FINAN97._1" hidden="1">{"COSOPE98",#N/A,FALSE,"COSOPE98";"COSOPE97",#N/A,FALSE,"COSOPE97";"GASECP98",#N/A,FALSE,"GASECP98";"GAS10098",#N/A,FALSE,"GAS10098";"GASECP97",#N/A,FALSE,"GASECP97";"GAS10097",#N/A,FALSE,"GAS10097";"INVECP98",#N/A,FALSE,"INVECP98";"INV10098",#N/A,FALSE,"INV10098";"INVECP97",#N/A,FALSE,"INVECP97";"INV10097",#N/A,FALSE,"INV10097"}</definedName>
    <definedName name="wrn.Financial._.Statements." hidden="1">{#N/A,#N/A,TRUE,"Consolidated FS";#N/A,#N/A,TRUE,"Consolidating BS";#N/A,#N/A,TRUE,"Core Bus";#N/A,#N/A,TRUE,"News &amp; Consumer";#N/A,#N/A,TRUE,"Mags &amp; Catalogues";#N/A,#N/A,TRUE,"Select";#N/A,#N/A,TRUE,"Spain Bus";#N/A,#N/A,TRUE,"Spain";#N/A,#N/A,TRUE,"Non Core Bus";#N/A,#N/A,TRUE,"Packaging";#N/A,#N/A,TRUE,"Scientifica";#N/A,#N/A,TRUE,"Hungary Bus";#N/A,#N/A,TRUE,"Hungary";#N/A,#N/A,TRUE,"Group Cost Bus";#N/A,#N/A,TRUE,"Group Costs"}</definedName>
    <definedName name="wrn.FIRST." hidden="1">{#N/A,#N/A,FALSE,"1979";#N/A,#N/A,FALSE,"1980";#N/A,#N/A,FALSE,"1981";#N/A,#N/A,FALSE,"1982";#N/A,#N/A,FALSE,"1983";#N/A,#N/A,FALSE,"1984";#N/A,#N/A,FALSE,"1985";#N/A,#N/A,FALSE,"1986";#N/A,#N/A,FALSE,"1987";#N/A,#N/A,FALSE,"1988";#N/A,#N/A,FALSE,"1989";#N/A,#N/A,FALSE,"1990";#N/A,#N/A,FALSE,"1991";#N/A,#N/A,FALSE,"1992";#N/A,#N/A,FALSE,"1993";#N/A,#N/A,FALSE,"1994"}</definedName>
    <definedName name="wrn.FIRST._1" hidden="1">{#N/A,#N/A,FALSE,"1979";#N/A,#N/A,FALSE,"1980";#N/A,#N/A,FALSE,"1981";#N/A,#N/A,FALSE,"1982";#N/A,#N/A,FALSE,"1983";#N/A,#N/A,FALSE,"1984";#N/A,#N/A,FALSE,"1985";#N/A,#N/A,FALSE,"1986";#N/A,#N/A,FALSE,"1987";#N/A,#N/A,FALSE,"1988";#N/A,#N/A,FALSE,"1989";#N/A,#N/A,FALSE,"1990";#N/A,#N/A,FALSE,"1991";#N/A,#N/A,FALSE,"1992";#N/A,#N/A,FALSE,"1993";#N/A,#N/A,FALSE,"1994"}</definedName>
    <definedName name="wrn.FIRST2" hidden="1">{#N/A,#N/A,FALSE,"1979";#N/A,#N/A,FALSE,"1980";#N/A,#N/A,FALSE,"1981";#N/A,#N/A,FALSE,"1982";#N/A,#N/A,FALSE,"1983";#N/A,#N/A,FALSE,"1984";#N/A,#N/A,FALSE,"1985";#N/A,#N/A,FALSE,"1986";#N/A,#N/A,FALSE,"1987";#N/A,#N/A,FALSE,"1988";#N/A,#N/A,FALSE,"1989";#N/A,#N/A,FALSE,"1990";#N/A,#N/A,FALSE,"1991";#N/A,#N/A,FALSE,"1992";#N/A,#N/A,FALSE,"1993";#N/A,#N/A,FALSE,"1994"}</definedName>
    <definedName name="wrn.FIRST2_1" hidden="1">{#N/A,#N/A,FALSE,"1979";#N/A,#N/A,FALSE,"1980";#N/A,#N/A,FALSE,"1981";#N/A,#N/A,FALSE,"1982";#N/A,#N/A,FALSE,"1983";#N/A,#N/A,FALSE,"1984";#N/A,#N/A,FALSE,"1985";#N/A,#N/A,FALSE,"1986";#N/A,#N/A,FALSE,"1987";#N/A,#N/A,FALSE,"1988";#N/A,#N/A,FALSE,"1989";#N/A,#N/A,FALSE,"1990";#N/A,#N/A,FALSE,"1991";#N/A,#N/A,FALSE,"1992";#N/A,#N/A,FALSE,"1993";#N/A,#N/A,FALSE,"1994"}</definedName>
    <definedName name="wrn.first3" hidden="1">{#N/A,#N/A,FALSE,"1979";#N/A,#N/A,FALSE,"1980";#N/A,#N/A,FALSE,"1981";#N/A,#N/A,FALSE,"1982";#N/A,#N/A,FALSE,"1983";#N/A,#N/A,FALSE,"1984";#N/A,#N/A,FALSE,"1985";#N/A,#N/A,FALSE,"1986";#N/A,#N/A,FALSE,"1987";#N/A,#N/A,FALSE,"1988";#N/A,#N/A,FALSE,"1989";#N/A,#N/A,FALSE,"1990";#N/A,#N/A,FALSE,"1991";#N/A,#N/A,FALSE,"1992";#N/A,#N/A,FALSE,"1993";#N/A,#N/A,FALSE,"1994"}</definedName>
    <definedName name="wrn.first3_1" hidden="1">{#N/A,#N/A,FALSE,"1979";#N/A,#N/A,FALSE,"1980";#N/A,#N/A,FALSE,"1981";#N/A,#N/A,FALSE,"1982";#N/A,#N/A,FALSE,"1983";#N/A,#N/A,FALSE,"1984";#N/A,#N/A,FALSE,"1985";#N/A,#N/A,FALSE,"1986";#N/A,#N/A,FALSE,"1987";#N/A,#N/A,FALSE,"1988";#N/A,#N/A,FALSE,"1989";#N/A,#N/A,FALSE,"1990";#N/A,#N/A,FALSE,"1991";#N/A,#N/A,FALSE,"1992";#N/A,#N/A,FALSE,"1993";#N/A,#N/A,FALSE,"1994"}</definedName>
    <definedName name="wrn.FORMATOS."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wrn.FORMATOS1."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wrn.Forms." hidden="1">{#N/A,#N/A,FALSE,"E-1";#N/A,#N/A,FALSE,"E-2";#N/A,#N/A,FALSE,"F-1";#N/A,#N/A,FALSE,"F-2";#N/A,#N/A,FALSE,"F-3";#N/A,#N/A,FALSE,"F-4";#N/A,#N/A,FALSE,"F-5";#N/A,#N/A,FALSE,"F-6";#N/A,#N/A,FALSE,"Matrix"}</definedName>
    <definedName name="wrn.formu." hidden="1">{"VIA1",#N/A,TRUE,"formul";"VIA2",#N/A,TRUE,"formul";"VIA3",#N/A,TRUE,"formul"}</definedName>
    <definedName name="wrn.FORMULARIOS."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wrn.Freq_Res." hidden="1">{#N/A,#N/A,TRUE,"FR_HC";#N/A,#N/A,TRUE,"FR_REST";#N/A,#N/A,TRUE,"FR_RETA";#N/A,#N/A,TRUE,"FR_TECSOF";#N/A,#N/A,TRUE,"FR_NETTEC";#N/A,#N/A,TRUE,"FR_CLISER"}</definedName>
    <definedName name="wrn.FUll._.Model." hidden="1">{#N/A,#N/A,TRUE,"Assump";#N/A,#N/A,TRUE,"Transaction Summary";#N/A,#N/A,TRUE,"Restructuring Sensitivities";#N/A,#N/A,TRUE,"DCF";#N/A,#N/A,TRUE,"IRR";#N/A,#N/A,TRUE,"Debt Capacity";#N/A,#N/A,TRUE,"Consolidated FS";#N/A,#N/A,TRUE,"Consolidating BS";#N/A,#N/A,TRUE,"Core Bus";#N/A,#N/A,TRUE,"News &amp; Consumer";#N/A,#N/A,TRUE,"Mags &amp; Catalogues";#N/A,#N/A,TRUE,"Select";#N/A,#N/A,TRUE,"Spain Bus";#N/A,#N/A,TRUE,"Spain";#N/A,#N/A,TRUE,"Non Core Bus";#N/A,#N/A,TRUE,"Packaging";#N/A,#N/A,TRUE,"Scientifica";#N/A,#N/A,TRUE,"Hungary Bus";#N/A,#N/A,TRUE,"Hungary";#N/A,#N/A,TRUE,"Group Cost Bus";#N/A,#N/A,TRUE,"Group Costs"}</definedName>
    <definedName name="wrn.Gastos._.e._.Inversiones." hidden="1">{#N/A,#N/A,FALSE,"Ppto. Inv. por Proyectos";#N/A,#N/A,FALSE,"Ppto. Gastos por Asociación"}</definedName>
    <definedName name="wrn.Gastos._.e._.Inversiones._1" hidden="1">{#N/A,#N/A,FALSE,"Ppto. Inv. por Proyectos";#N/A,#N/A,FALSE,"Ppto. Gastos por Asociación"}</definedName>
    <definedName name="wrn.GCR._.Rig._.Activity." hidden="1">{"Activity",#N/A,TRUE,"GCR";"Rigs 1998",#N/A,TRUE,"GCR";"Rigs 1999",#N/A,TRUE,"GCR"}</definedName>
    <definedName name="wrn.GENERAL." hidden="1">{"TAB1",#N/A,TRUE,"GENERAL";"TAB2",#N/A,TRUE,"GENERAL";"TAB3",#N/A,TRUE,"GENERAL";"TAB4",#N/A,TRUE,"GENERAL";"TAB5",#N/A,TRUE,"GENERAL"}</definedName>
    <definedName name="wrn.George._.Viska." hidden="1">{#N/A,#N/A,FALSE,"Cost Report";#N/A,#N/A,FALSE,"Qtly Summ.";#N/A,#N/A,FALSE,"Mar  Qtr";#N/A,#N/A,FALSE,"Report Summary"}</definedName>
    <definedName name="wrn.GERAL." hidden="1">{#N/A,#N/A,FALSE,"ET-CAPA";#N/A,#N/A,FALSE,"ET-PAG1";#N/A,#N/A,FALSE,"ET-PAG2";#N/A,#N/A,FALSE,"ET-PAG3";#N/A,#N/A,FALSE,"ET-PAG4";#N/A,#N/A,FALSE,"ET-PAG5"}</definedName>
    <definedName name="wrn.GERENCIA." hidden="1">{#N/A,#N/A,TRUE,"INGENIERIA";#N/A,#N/A,TRUE,"COMPRAS";#N/A,#N/A,TRUE,"DIRECCION";#N/A,#N/A,TRUE,"RESUMEN"}</definedName>
    <definedName name="wrn.GERENCIA._.GENERAL." hidden="1">{"GERENCIA GENERAL",#N/A,FALSE,"General "}</definedName>
    <definedName name="wrn.Graficos." hidden="1">{"Graf_Carga Trab",#N/A,FALSE,"Grafi_Carga Trab";"Graf_Venta Flujo",#N/A,FALSE,"Grafi_Carga Trab"}</definedName>
    <definedName name="wrn.Graph._.edition." hidden="1">{#N/A,#N/A,FALSE,"KPI-EMM-Graph";#N/A,#N/A,FALSE,"Cost Graph";#N/A,#N/A,FALSE,"Cash graph";#N/A,#N/A,FALSE,"Order Sales Graph"}</definedName>
    <definedName name="wrn.GRF_1." hidden="1">{"VISTA_1",#N/A,FALSE,"GRAFO"}</definedName>
    <definedName name="wrn.hhhuuuuu." hidden="1">{#N/A,#N/A,FALSE,"137.2.R";#N/A,#N/A,FALSE,"137.3.R";#N/A,#N/A,FALSE,"137.4.R";#N/A,#N/A,FALSE,"138.R";#N/A,#N/A,FALSE,"140.R";#N/A,#N/A,FALSE,"145.R";#N/A,#N/A,FALSE,"146.R"}</definedName>
    <definedName name="wrn.hojas."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impr4." hidden="1">{#N/A,#N/A,FALSE,"41.R";#N/A,#N/A,FALSE,"41.1.R";#N/A,#N/A,FALSE,"41.2.R ";#N/A,#N/A,FALSE,"41.3.R ";#N/A,#N/A,FALSE,"42.R";#N/A,#N/A,FALSE,"42.1.R";#N/A,#N/A,FALSE,"42.2.R";#N/A,#N/A,FALSE,"42.3.R";#N/A,#N/A,FALSE,"47.R";#N/A,#N/A,FALSE,"47.1.R";#N/A,#N/A,FALSE,"47.1.1.R ";#N/A,#N/A,FALSE,"47.1.2.R ";#N/A,#N/A,FALSE,"47.1.3.R ";#N/A,#N/A,FALSE,"54.R";#N/A,#N/A,FALSE,"54.1.R ";#N/A,#N/A,FALSE,"54.2.R";#N/A,#N/A,FALSE,"54.3.R";#N/A,#N/A,FALSE,"58.R";#N/A,#N/A,FALSE,"75. R ";#N/A,#N/A,FALSE,"76.R";#N/A,#N/A,FALSE,"76.1.R";#N/A,#N/A,FALSE,"76.1. cont. 1.-R"}</definedName>
    <definedName name="wrn.IMPR5." hidden="1">{#N/A,#N/A,FALSE,"83.R";#N/A,#N/A,FALSE,"86.R";#N/A,#N/A,FALSE,"86.1. R ";#N/A,#N/A,FALSE,"86.2.R";#N/A,#N/A,FALSE,"86.3.R ";#N/A,#N/A,FALSE,"87. R";#N/A,#N/A,FALSE,"88.R";#N/A,#N/A,FALSE,"88.1.R ";#N/A,#N/A,FALSE,"88.2.R";#N/A,#N/A,FALSE,"88.3.R ";#N/A,#N/A,FALSE,"91.R";#N/A,#N/A,FALSE,"98.R";#N/A,#N/A,FALSE,"113.R";#N/A,#N/A,FALSE,"114.R";#N/A,#N/A,FALSE,"117.R";#N/A,#N/A,FALSE,"117.1.R";#N/A,#N/A,FALSE,"117.2.R";#N/A,#N/A,FALSE,"117.3.R ";#N/A,#N/A,FALSE,"118.R";#N/A,#N/A,FALSE,"118.1.R";#N/A,#N/A,FALSE,"118.2.R";#N/A,#N/A,FALSE,"118.3.R";#N/A,#N/A,FALSE,"118.4.R";#N/A,#N/A,FALSE,"118.5.R";#N/A,#N/A,FALSE,"118.6.R";#N/A,#N/A,FALSE,"118.7.R";#N/A,#N/A,FALSE,"118.8.R";#N/A,#N/A,FALSE,"118.9.R";#N/A,#N/A,FALSE,"118.10.R";#N/A,#N/A,FALSE,"144.R"}</definedName>
    <definedName name="wrn.IMPRESION." hidden="1">{"IMPRESION",#N/A,FALSE,"pequeño"}</definedName>
    <definedName name="wrn.index." hidden="1">{#N/A,#N/A,FALSE,"Sheet1"}</definedName>
    <definedName name="wrn.INF_DIARIO." hidden="1">{#N/A,#N/A,FALSE,"PERSONAL"}</definedName>
    <definedName name="wrn.inf1."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";#N/A,#N/A,FALSE,"144.1..R ";#N/A,#N/A,FALSE,"145.1.R ";#N/A,#N/A,FALSE,"146.1.R "}</definedName>
    <definedName name="wrn.inf10." hidden="1">{#N/A,#N/A,FALSE,"47.2.R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inf2." hidden="1">{#N/A,#N/A,FALSE,"47.3.1.R ";#N/A,#N/A,FALSE,"47.3.2.R  ";#N/A,#N/A,FALSE,"47.3.3.R  ";#N/A,#N/A,FALSE,"47.4.R    ";#N/A,#N/A,FALSE,"47.4.1.R ";#N/A,#N/A,FALSE,"47.4.2.R   ";#N/A,#N/A,FALSE,"47.4.3.R ";#N/A,#N/A,FALSE,"47.5.R     ";#N/A,#N/A,FALSE,"47.5.1.R   ";#N/A,#N/A,FALSE,"47.5.2.R    ";#N/A,#N/A,FALSE,"47.5.3.R   ";#N/A,#N/A,FALSE,"47.6.R     ";#N/A,#N/A,FALSE,"47.6.1.R   ";#N/A,#N/A,FALSE,"47.6.2.R    ";#N/A,#N/A,FALSE,"47.6.3.R  ";#N/A,#N/A,FALSE,"144.1..R ";#N/A,#N/A,FALSE,"145.1.R ";#N/A,#N/A,FALSE,"146.1.R "}</definedName>
    <definedName name="wrn.inf4."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INFOCIB." hidden="1">{#N/A,#N/A,FALSE,"VOL695";#N/A,#N/A,FALSE,"anexo1";#N/A,#N/A,FALSE,"anexo2";#N/A,#N/A,FALSE,"anexo3";#N/A,#N/A,FALSE,"anexo4";#N/A,#N/A,FALSE,"anexo5a";#N/A,#N/A,FALSE,"anexo5b";#N/A,#N/A,FALSE,"anexo6a";#N/A,#N/A,FALSE,"anexo6a";#N/A,#N/A,FALSE,"anexo6c";#N/A,#N/A,FALSE,"anexo7a";#N/A,#N/A,FALSE,"anexo7b";#N/A,#N/A,FALSE,"anexo7c"}</definedName>
    <definedName name="wrn.INFOCIB._1" hidden="1">{#N/A,#N/A,FALSE,"VOL695";#N/A,#N/A,FALSE,"anexo1";#N/A,#N/A,FALSE,"anexo2";#N/A,#N/A,FALSE,"anexo3";#N/A,#N/A,FALSE,"anexo4";#N/A,#N/A,FALSE,"anexo5a";#N/A,#N/A,FALSE,"anexo5b";#N/A,#N/A,FALSE,"anexo6a";#N/A,#N/A,FALSE,"anexo6a";#N/A,#N/A,FALSE,"anexo6c";#N/A,#N/A,FALSE,"anexo7a";#N/A,#N/A,FALSE,"anexo7b";#N/A,#N/A,FALSE,"anexo7c"}</definedName>
    <definedName name="wrn.Informe._.1." hidden="1">{"Informe 1_Consolidado",#N/A,FALSE,"Cons.";"Informe 1_Tunel",#N/A,FALSE,"Cons.";"Informe 1_Melip",#N/A,FALSE,"Cons.";"Informe 1_Guall",#N/A,FALSE,"Cons.";"Informe 1_Sara L",#N/A,FALSE,"Cons.";"Informe 1_Quellon",#N/A,FALSE,"Cons.";"Informe 1_Biolix",#N/A,FALSE,"Cons.";"Informe 1_Oficina",#N/A,FALSE,"Cons.";"Informe 1_Consorcio",#N/A,FALSE,"Cons."}</definedName>
    <definedName name="wrn.Informe._.2." hidden="1">{"Informe 2_Consolidado",#N/A,FALSE,"Cons.";"Informe 2_Tunel",#N/A,FALSE,"Cons.";"Informe 2_Melip",#N/A,FALSE,"Cons.";"Informe 2_Guall",#N/A,FALSE,"Cons.";"Informe 2_Sara L",#N/A,FALSE,"Cons.";"Informe 2_Quellon",#N/A,FALSE,"Cons.";"Informe 2_Biolix",#N/A,FALSE,"Cons.";"Informe 2_Oficina",#N/A,FALSE,"Cons.";"Informe 2_Consorcio",#N/A,FALSE,"Cons."}</definedName>
    <definedName name="wrn.Informe._.Rebeca." hidden="1">{"PYGP",#N/A,TRUE,"PandL";"Abonados DTH",#N/A,TRUE,"SubAssDTH";"Abonados Cable",#N/A,TRUE,"SubAssCable";"Estadisticas Abonados",#N/A,TRUE,"SubStats";"Take Up DTH",#N/A,TRUE,"SubsDTH";"Precios DTH Dolar",#N/A,TRUE,"PriceDTH";"Resumen Hipotesis 1",#N/A,TRUE,"Resumen1";"Resumen de Hipotesis 2",#N/A,TRUE,"Resumen2";"Resumen Hipotesis 3",#N/A,TRUE,"Resumen3"}</definedName>
    <definedName name="wrn.INFORME_XPAND." hidden="1">{"DETALLE_1996",#N/A,FALSE,"flujo";"DETALLE_1997",#N/A,FALSE,"flujo";"GASTOS_INCURRIDOS_1996",#N/A,FALSE,"flujo";"GASTOS_PROGRAMADOS_PARA_1997",#N/A,FALSE,"flujo";#N/A,#N/A,FALSE,"comparat";#N/A,#N/A,FALSE,"costos";#N/A,#N/A,FALSE,"proyctrol"}</definedName>
    <definedName name="wrn.INFORME1." hidden="1">{"TOTAL_G_GENERAL",#N/A,FALSE,"General "}</definedName>
    <definedName name="wrn.INFORMETEC." hidden="1">{#N/A,#N/A,FALSE,"TEC-01";#N/A,#N/A,FALSE,"TEC - 02";#N/A,#N/A,FALSE,"TEC - 03";#N/A,#N/A,FALSE,"TEC - 04";#N/A,#N/A,FALSE,"TEC-07";#N/A,#N/A,FALSE,"TEC-08";#N/A,#N/A,FALSE,"TEC - 09A";#N/A,#N/A,FALSE,"TEC - 09B";#N/A,#N/A,FALSE,"TEC - 09C";#N/A,#N/A,FALSE,"TEC - 10";#N/A,#N/A,FALSE,"TEC-11"}</definedName>
    <definedName name="wrn.jck94TAXRETURN."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wrn.Job._.Plan." hidden="1">{"Original Plan",#N/A,FALSE,"BA D5"}</definedName>
    <definedName name="wrn.julio." hidden="1">{"julio_dia",#N/A,FALSE,"flujo mensual";"jul_dia_graf",#N/A,FALSE,"flujo mensual"}</definedName>
    <definedName name="wrn.Julio._.052000." hidden="1">{#N/A,#N/A,FALSE,"nuevo formato actividades";#N/A,#N/A,FALSE,"nuevo formato actividades";#N/A,#N/A,FALSE,"nuevo formato actividades"}</definedName>
    <definedName name="wrn.julio24." hidden="1">{#N/A,#N/A,FALSE,"310.1";#N/A,#N/A,FALSE,"321.1";#N/A,#N/A,FALSE,"320.3";#N/A,#N/A,FALSE,"330.1"}</definedName>
    <definedName name="wrn.jung." hidden="1">{#N/A,#N/A,FALSE,"자재비 (2)";#N/A,#N/A,FALSE,"공사비 (2)";#N/A,#N/A,FALSE,"설계외주비";#N/A,#N/A,FALSE,"노무비";#N/A,#N/A,FALSE,"기계장치비";#N/A,#N/A,FALSE,"경비"}</definedName>
    <definedName name="wrn.junio." hidden="1">{"junio_dia",#N/A,FALSE,"flujo mensual";"jun_dia_graf",#N/A,FALSE,"flujo mensual"}</definedName>
    <definedName name="wrn.KKK." hidden="1">{#N/A,#N/A,FALSE,"31.R";#N/A,#N/A,FALSE,"31.1.R";#N/A,#N/A,FALSE,"31.2.R";#N/A,#N/A,FALSE,"31.3.R";#N/A,#N/A,FALSE,"32.R";#N/A,#N/A,FALSE,"32.1.R";#N/A,#N/A,FALSE,"32.1.1.R";#N/A,#N/A,FALSE,"32.1.2.R";#N/A,#N/A,FALSE,"32.1.3.R";#N/A,#N/A,FALSE,"34.R";#N/A,#N/A,FALSE,"34.1.R";#N/A,#N/A,FALSE,"35.R";#N/A,#N/A,FALSE,"35.1.R";#N/A,#N/A,FALSE,"35.2.R";#N/A,#N/A,FALSE,"35.3.R";#N/A,#N/A,FALSE,"39.R";#N/A,#N/A,FALSE,"39. a.R";#N/A,#N/A,FALSE,"39.b.R";#N/A,#N/A,FALSE,"41.R";#N/A,#N/A,FALSE,"41.1.R";#N/A,#N/A,FALSE,"41.2.R ";#N/A,#N/A,FALSE,"41.3.R ";#N/A,#N/A,FALSE,"42.R";#N/A,#N/A,FALSE,"42.1.R";#N/A,#N/A,FALSE,"42.2.R";#N/A,#N/A,FALSE,"42.3.R";#N/A,#N/A,FALSE,"44.R"}</definedName>
    <definedName name="wrn.Kleinwort._.Benson._.Tables." hidden="1">{#N/A,#N/A,FALSE,"Forecast - Gulf";#N/A,#N/A,FALSE,"Forecast, NYH";#N/A,#N/A,FALSE,"PR-Vol";#N/A,#N/A,FALSE,"PR-Comp";#N/A,#N/A,FALSE,"PR-OpExp";#N/A,#N/A,FALSE,"PR-Adj";#N/A,#N/A,FALSE,"PR-DCF";#N/A,#N/A,FALSE,"Crude,St. Croix";#N/A,#N/A,FALSE,"SC-Vol";#N/A,#N/A,FALSE,"SC-Comp";#N/A,#N/A,FALSE,"SC-OpExp";#N/A,#N/A,FALSE,"SC-Adj";#N/A,#N/A,FALSE,"SC-DCF";#N/A,#N/A,FALSE,"SL-DCF"}</definedName>
    <definedName name="wrn.Kleinwort._.Benson._.Tables._1" hidden="1">{#N/A,#N/A,FALSE,"Forecast - Gulf";#N/A,#N/A,FALSE,"Forecast, NYH";#N/A,#N/A,FALSE,"PR-Vol";#N/A,#N/A,FALSE,"PR-Comp";#N/A,#N/A,FALSE,"PR-OpExp";#N/A,#N/A,FALSE,"PR-Adj";#N/A,#N/A,FALSE,"PR-DCF";#N/A,#N/A,FALSE,"Crude,St. Croix";#N/A,#N/A,FALSE,"SC-Vol";#N/A,#N/A,FALSE,"SC-Comp";#N/A,#N/A,FALSE,"SC-OpExp";#N/A,#N/A,FALSE,"SC-Adj";#N/A,#N/A,FALSE,"SC-DCF";#N/A,#N/A,FALSE,"SL-DCF"}</definedName>
    <definedName name="wrn.Kr." hidden="1">{"krl1",#N/A,FALSE,"kr";"krl2",#N/A,FALSE,"kr";"compara",#N/A,FALSE,"kr";"desconp1",#N/A,FALSE,"kr";"desconp12",#N/A,FALSE,"kr";"krnp1",#N/A,FALSE,"kr";"krnp2",#N/A,FALSE,"kr";"krp12avg",#N/A,FALSE,"kr";"krp1avg",#N/A,FALSE,"kr"}</definedName>
    <definedName name="wrn.LC3202R4." hidden="1">{#N/A,#N/A,FALSE,"Hoja1";#N/A,#N/A,FALSE,"Hoja2";#N/A,#N/A,FALSE,"Hoja3";#N/A,#N/A,FALSE,"Hoja4";#N/A,#N/A,FALSE,"Hoja5";#N/A,#N/A,FALSE,"Hoja6";#N/A,#N/A,FALSE,"Hoja7";#N/A,#N/A,FALSE,"Hoja8"}</definedName>
    <definedName name="wrn.LISTADO." hidden="1">{"Práctica","Práctica",FALSE,"Práctica"}</definedName>
    <definedName name="wrn.listo."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LISTO1"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LL0004A." hidden="1">{#N/A,#N/A,FALSE,"List. Tie-in's Rev. A Diesel";#N/A,#N/A,FALSE,"List. Tie-in's Rev. A Gasolina";#N/A,#N/A,FALSE,"List. Tie-in's Rev. A Crudo";#N/A,#N/A,FALSE,"List. Tie-in's Rev. A Fuel Oil"}</definedName>
    <definedName name="wrn.macview." hidden="1">{"myview",#N/A,FALSE,"96T6"}</definedName>
    <definedName name="wrn.mario" hidden="1">{"Area1",#N/A,TRUE,"Obiettivo";"Area2",#N/A,TRUE,"Dati per Direzione"}</definedName>
    <definedName name="wrn.Mario." hidden="1">{"Area1",#N/A,TRUE,"Obiettivo";"Area2",#N/A,TRUE,"Dati per Direzione"}</definedName>
    <definedName name="wrn.marzo." hidden="1">{"marzo_dia",#N/A,FALSE,"flujo mensual";"mar_dia_graf",#N/A,FALSE,"flujo mensual"}</definedName>
    <definedName name="wrn.mayo." hidden="1">{"mayo_dia",#N/A,FALSE,"flujo mensual";"may_dia_graf",#N/A,FALSE,"flujo mensual"}</definedName>
    <definedName name="wrn.MEC._.CCR." hidden="1">{#N/A,#N/A,FALSE,"EQUIPOS MECANICOS"}</definedName>
    <definedName name="wrn.Melbourne." hidden="1">{#N/A,#N/A,FALSE,"Cost Report";#N/A,#N/A,FALSE,"Sept Qtr";#N/A,#N/A,FALSE,"Qtly Summ.";#N/A,#N/A,FALSE,"Report Summary";#N/A,#N/A,FALSE,"Ammort &amp; Dep.";#N/A,#N/A,FALSE,"Rev. GIC Summ.";#N/A,#N/A,FALSE,"CAPEX";#N/A,#N/A,FALSE,"Stockpile Adj.";#N/A,#N/A,FALSE,"Cost Summary"}</definedName>
    <definedName name="wrn.Mensal." hidden="1">{#N/A,#N/A,TRUE,"Capa";#N/A,#N/A,TRUE,"Dados";#N/A,#N/A,TRUE,"Guanabara";#N/A,#N/A,TRUE,"Norte";#N/A,#N/A,TRUE,"Oceânica";#N/A,#N/A,TRUE,"Serrana";#N/A,#N/A,TRUE,"Usinas";#N/A,#N/A,TRUE,"OUTROS"}</definedName>
    <definedName name="wrn.MENSUALES." hidden="1">{"men_real",#N/A,FALSE,"flujo mensual";"POA",#N/A,FALSE,"flujo mensual";"UPA",#N/A,FALSE,"flujo mensual";"men_graf",#N/A,FALSE,"flujo mensual";"graf_tipo_cambio",#N/A,FALSE,"flujo mensual"}</definedName>
    <definedName name="wrn.MGM機器リスト." hidden="1">{#N/A,#N/A,TRUE,"表紙";#N/A,#N/A,TRUE,"DMC合成";#N/A,#N/A,TRUE,"DMC回収･精製";#N/A,#N/A,TRUE,"MPC工程";#N/A,#N/A,TRUE,"DPC工程";#N/A,#N/A,TRUE,"ANI工程";#N/A,#N/A,TRUE,"PHOｰ触媒工程";#N/A,#N/A,TRUE,"用役"}</definedName>
    <definedName name="wrn.MINE." hidden="1">{"MYVIEW",#N/A,TRUE,"96T9"}</definedName>
    <definedName name="wrn.MO." hidden="1">{"MO(BASE)",#N/A,FALSE,"MO(BASE)";"MO(BASE)1",#N/A,FALSE,"MO(BASE)";"MO(BASE)2",#N/A,FALSE,"MO(BASE)"}</definedName>
    <definedName name="wrn.Modelo._.Base." hidden="1">{"Inputs Parcial",#N/A,TRUE,"Inputs";"Abonados DTH",#N/A,TRUE,"SubAssDTH";"Abonados Cable",#N/A,TRUE,"SubAssCable";"Estadisticas Abonados",#N/A,TRUE,"SubStats";"Take Up DTH",#N/A,TRUE,"SubsDTH";"Precios DTH Pesetas Solo",#N/A,TRUE,"PriceDTH";"Cuotas Inscripcion",#N/A,TRUE,"SubsFee";"Ingresos DTH",#N/A,TRUE,"RevDTH";"Ingresos Cable",#N/A,TRUE,"RevCable";"Gastos de Transmision",#N/A,TRUE,"BroadcastC";"Desglose Transpondedores",#N/A,TRUE,"Transpon";"Servicios Ocupados",#N/A,TRUE,"ServOcup";"Servicios a Refacturar",#N/A,TRUE,"ServRefac";"Entrada Canales",#N/A,TRUE,"Entrada";"Coste a Refacturar",#N/A,TRUE,"Refact";"Refacturacion de Transmision",#N/A,TRUE,"RefactT";"Refacturacion Transmision y Conrol",#N/A,TRUE,"RefactTC";"Resumen de Refacturacion",#N/A,TRUE,"RefacSum";"Canales propios Basico",#N/A,TRUE,"ProgramC0";"Costes Reales Basico",#N/A,TRUE,"ProgramC1";"Costes Programacion Cine y Deporte",#N/A,TRUE,"ProgramC2";"Programacion Reales III",#N/A,TRUE,"ProgramC3";"Programacion Reales IV",#N/A,TRUE,"ProgramC3";"Programacion Reales V",#N/A,TRUE,"ProgramC4";"Programacion Reales VI",#N/A,TRUE,"ProgramC4";"Costes Plataforma I",#N/A,TRUE,"ProgramC5";"Costes Plataforma II",#N/A,TRUE,"ProgramC6";"Costes Plataforma Resumen",#N/A,TRUE,"ProgramC7";"Comunidades I",#N/A,TRUE,"Subsmgmt1";"Comunidades II",#N/A,TRUE,"SubsMgmt2";"Costes Captacion I",#N/A,TRUE,"SubsMgmt3";"Costes Captacion II",#N/A,TRUE,"SubsMgmt4";"Costes Gestion I",#N/A,TRUE,"SubsMgmt5";"Costes Gestion II",#N/A,TRUE,"SubsMgmt6";"Costes Generales",#N/A,TRUE,"SGA";"Inversiones Diversas",#N/A,TRUE,"InvAmo";"Inversiones Descos",#N/A,TRUE,"DecoderAmo";"Cuenta CableAntena",#N/A,TRUE,"CA";"Cuenta CableAntena CSD",#N/A,TRUE,"CSDCA";"Cuenta Transcontrol",#N/A,TRUE,"TC";"Analisis Transmodulacion",#N/A,TRUE,"TM"}</definedName>
    <definedName name="wrn.Month._.End." hidden="1">{#N/A,#N/A,FALSE,"P &amp; L";#N/A,#N/A,FALSE,"Balance Sheet";#N/A,#N/A,FALSE,"Cash Flow"}</definedName>
    <definedName name="wrn.Month._.Report." hidden="1">{#N/A,#N/A,FALSE,"Qtly Summ.";#N/A,#N/A,FALSE,"Cost Report";#N/A,#N/A,FALSE,"Sept Qtr";#N/A,#N/A,FALSE,"Report Summary";#N/A,#N/A,FALSE,"Cost Summary";#N/A,#N/A,FALSE,"Op Cost Summ";#N/A,#N/A,FALSE,"Central";#N/A,#N/A,FALSE,"Discovery";#N/A,#N/A,FALSE,"Total Production";#N/A,#N/A,FALSE,"UG Summary";#N/A,#N/A,FALSE,"UG Geology Rep.";#N/A,#N/A,FALSE,"Table 2.1";#N/A,#N/A,FALSE,"Plant Statistics";#N/A,#N/A,FALSE,"Advanced Dev.";#N/A,#N/A,FALSE,"Backfill Distrib.";#N/A,#N/A,FALSE,"Stockpile Adj.";#N/A,#N/A,FALSE,"Backfill Detail";#N/A,#N/A,FALSE,"CAPEX";#N/A,#N/A,FALSE,"Capital Detail";#N/A,#N/A,FALSE,"Advanced Dev."}</definedName>
    <definedName name="wrn.MONTHLY._.REPORT." hidden="1">{#N/A,#N/A,FALSE,"FRONT";#N/A,#N/A,FALSE,"TOTAL";#N/A,#N/A,FALSE,"ADMIN EXPL Dept.";#N/A,#N/A,FALSE,"ANAexpl.V";#N/A,#N/A,FALSE,"ANA expl. H";#N/A,#N/A,FALSE,"ANAdev. V.";#N/A,#N/A,FALSE,"ANA dev. H.";#N/A,#N/A,FALSE,"BHP V";#N/A,#N/A,FALSE,"BHP H.";#N/A,#N/A,FALSE,"OMAN V.";#N/A,#N/A,FALSE,"OMAN H.";#N/A,#N/A,FALSE,"MARATUA V.";#N/A,#N/A,FALSE,"MARATUA H.";#N/A,#N/A,FALSE,"KARANG V.";#N/A,#N/A,FALSE,"KARANG H";#N/A,#N/A,FALSE,"HORNGRABEN V";#N/A,#N/A,FALSE,"HORNGRABEN H";#N/A,#N/A,FALSE,"DOK;UK";#N/A,#N/A,FALSE,"FAROE ISLANDS"}</definedName>
    <definedName name="wrn.Murray._.Simons." hidden="1">{#N/A,#N/A,FALSE,"Cost Report";#N/A,#N/A,FALSE,"Table 2.1";#N/A,#N/A,FALSE,"Plant Statistics";"Plant Costs",#N/A,FALSE,"Cost Summary"}</definedName>
    <definedName name="wrn.NARE97." hidden="1">{#N/A,#N/A,FALSE,"T1N97";#N/A,#N/A,FALSE,"T2N97";#N/A,#N/A,FALSE,"T3N97(2)";#N/A,#N/A,FALSE,"T3AN97";#N/A,#N/A,FALSE,"T4N97(2)";#N/A,#N/A,FALSE,"T5N97";#N/A,#N/A,FALSE,"T6N967";#N/A,#N/A,FALSE,"T13N97";#N/A,#N/A,FALSE,"T7N97";#N/A,#N/A,FALSE,"T13AN97";#N/A,#N/A,FALSE,"T13N97G";#N/A,#N/A,FALSE,"T13BN97"}</definedName>
    <definedName name="wrn.Nelson._.Summary." hidden="1">{#N/A,#N/A,FALSE,"subcontract"}</definedName>
    <definedName name="wrn.noviembre." hidden="1">{"noviembre_dia",#N/A,FALSE,"flujo mensual";"nov_dia_graf",#N/A,FALSE,"flujo mensual"}</definedName>
    <definedName name="wrn.OBRASC." hidden="1">{"AURES1",#N/A,FALSE,"GENERAL";"AURES2",#N/A,FALSE,"GENERAL";"AURES3",#N/A,FALSE,"GENERAL";"AURES4",#N/A,FALSE,"GENERAL";"AURES5",#N/A,FALSE,"GENERAL";"AURES6",#N/A,FALSE,"GENERAL";"AURES7",#N/A,FALSE,"GENERAL"}</definedName>
    <definedName name="wrn.Occidental._.Ppto._.Exe." hidden="1">{#N/A,#N/A,FALSE,"Cravo Norte"}</definedName>
    <definedName name="wrn.Occidental._.Ppto._.Exe._1" hidden="1">{#N/A,#N/A,FALSE,"Cravo Norte"}</definedName>
    <definedName name="wrn.octubre." hidden="1">{"octubre_dia",#N/A,FALSE,"flujo mensual";"oct_dia_graf",#N/A,FALSE,"flujo mensual"}</definedName>
    <definedName name="wrn.Odin_imp." hidden="1">{#N/A,#N/A,FALSE,"ESTADO DE RESULTADOS";#N/A,#N/A,FALSE,"BALANCE GENERAL";#N/A,#N/A,FALSE,"CASH FLOW";#N/A,#N/A,FALSE,"NOTAS";#N/A,#N/A,FALSE,"NOTAS (2)";#N/A,#N/A,FALSE,"MOV. ACT. FIJO";#N/A,#N/A,FALSE,"PROP.PLANTA Y EQUIPO";#N/A,#N/A,FALSE,"MOVIMIENTO DE CARGOS DIFERIDOS";#N/A,#N/A,FALSE,"CARGOS DIFERIDOS";#N/A,#N/A,FALSE,"INTERESES"}</definedName>
    <definedName name="wrn.OMAR" hidden="1">{#N/A,#N/A,TRUE,"INGENIERIA";#N/A,#N/A,TRUE,"COMPRAS";#N/A,#N/A,TRUE,"DIRECCION";#N/A,#N/A,TRUE,"RESUMEN"}</definedName>
    <definedName name="wrn.ooooollllll." hidden="1">{#N/A,#N/A,FALSE,"47.1.3.R ";#N/A,#N/A,FALSE,"50.R";#N/A,#N/A,FALSE,"54.R";#N/A,#N/A,FALSE,"54.1.R ";#N/A,#N/A,FALSE,"54.2.R";#N/A,#N/A,FALSE,"54.3.R";#N/A,#N/A,FALSE,"58.R";#N/A,#N/A,FALSE,"62.R";#N/A,#N/A,FALSE,"64.R";#N/A,#N/A,FALSE,"70.R";#N/A,#N/A,FALSE,"73.R ";#N/A,#N/A,FALSE,"75. R ";#N/A,#N/A,FALSE,"76.R";#N/A,#N/A,FALSE,"76.1.R";#N/A,#N/A,FALSE,"76.1. cont. 1.-R";#N/A,#N/A,FALSE,"76.1. cont.- 2 .R ";#N/A,#N/A,FALSE,"83.R";#N/A,#N/A,FALSE,"85.R";#N/A,#N/A,FALSE,"85.1. R";#N/A,#N/A,FALSE,"85.2. R";#N/A,#N/A,FALSE,"85.3.R";#N/A,#N/A,FALSE,"86.R";#N/A,#N/A,FALSE,"86.1. R ";#N/A,#N/A,FALSE,"86.2.R";#N/A,#N/A,FALSE,"86.3.R ";#N/A,#N/A,FALSE,"87. R";#N/A,#N/A,FALSE,"88.R";#N/A,#N/A,FALSE,"88.1.R ";#N/A,#N/A,FALSE,"88.2.R";#N/A,#N/A,FALSE,"88.3.R "}</definedName>
    <definedName name="wrn.op1." hidden="1">{"cuadro1",#N/A,FALSE,"Cam buz camión Opción 1";"cuadro2",#N/A,FALSE,"Cam buz camión Opción 1";"cuadro3",#N/A,FALSE,"Cam buz camión Opción 1";"cuadro4",#N/A,FALSE,"Cam buz camión Opción 1";"cuadro5",#N/A,FALSE,"Cam buz camión Opción 1"}</definedName>
    <definedName name="wrn.op2" hidden="1">{"cuadro1",#N/A,FALSE,"Buzon Camion Opción 3";"cuadro2",#N/A,FALSE,"Buzon Camion Opción 3";"cuadro3",#N/A,FALSE,"Buzon Camion Opción 3";"cuadro4",#N/A,FALSE,"Buzon Camion Opción 3"}</definedName>
    <definedName name="wrn.op2." hidden="1">{"cuadro1",#N/A,FALSE,"LHD CAMION Opción 2";"cuadro2",#N/A,FALSE,"LHD CAMION Opción 2";"cuadro3",#N/A,FALSE,"LHD CAMION Opción 2";"cuadro4",#N/A,FALSE,"LHD CAMION Opción 2"}</definedName>
    <definedName name="wrn.op3." hidden="1">{"cuadro1",#N/A,FALSE,"Buzon Camion Opción 3";"cuadro2",#N/A,FALSE,"Buzon Camion Opción 3";"cuadro3",#N/A,FALSE,"Buzon Camion Opción 3";"cuadro4",#N/A,FALSE,"Buzon Camion Opción 3"}</definedName>
    <definedName name="wrn.op4." hidden="1">{"cuadro1",#N/A,FALSE,"Buzon FFCC Opción 4";"cuadro2",#N/A,FALSE,"Buzon FFCC Opción 4";"cuadro3",#N/A,FALSE,"Buzon FFCC Opción 4";"cuadro4",#N/A,FALSE,"Buzon FFCC Opción 4"}</definedName>
    <definedName name="wrn.op5." hidden="1">{"cuadro1",#N/A,FALSE,"Camara buz ffcc Opción 5";"cuadro2",#N/A,FALSE,"Camara buz ffcc Opción 5";"cuadro3",#N/A,FALSE,"Camara buz ffcc Opción 5";"cuadro4",#N/A,FALSE,"Camara buz ffcc Opción 5"}</definedName>
    <definedName name="wrn.OPERADORES." hidden="1">{#N/A,#N/A,TRUE,"T1"}</definedName>
    <definedName name="wrn.pag_1." hidden="1">{#N/A,#N/A,FALSE,"COPERTINA"}</definedName>
    <definedName name="wrn.PAIM._.TAX._.PRO." hidden="1">{#N/A,#N/A,FALSE,"표지";#N/A,#N/A,FALSE,"총괄표";#N/A,#N/A,FALSE,"1호 과표세액";#N/A,#N/A,FALSE,"2호 서식";#N/A,#N/A,FALSE,"3(3)호(갑) 원천납부";#N/A,#N/A,FALSE,"6호 소득금액";#N/A,#N/A,FALSE,"6호 첨부(익)";#N/A,#N/A,FALSE,"6호 첨부(손)";#N/A,#N/A,FALSE,"6-1호 수입금액";#N/A,#N/A,FALSE,"6-3호 퇴충";#N/A,#N/A,FALSE,"6-3(3)호 단퇴";#N/A,#N/A,FALSE,"6-3(4)호 대손";#N/A,#N/A,FALSE,"6-4호 접대(갑)";#N/A,#N/A,FALSE,"6-4호 접대(을)";#N/A,#N/A,FALSE,"6-5호 외화(갑)";#N/A,#N/A,FALSE,"6-5호 외화(을)";#N/A,#N/A,FALSE,"6-6호(부표) 자본적지출";#N/A,#N/A,FALSE,"6-11호 세금과공과";#N/A,#N/A,FALSE,"6-12호 선급비용";#N/A,#N/A,FALSE,"9호 자본금(갑)";#N/A,#N/A,FALSE,"9호 자본금(을)";#N/A,#N/A,FALSE,"10(3)호 주요계정";#N/A,#N/A,FALSE,"10(3)호 부표";#N/A,#N/A,FALSE,"10(4)호 조정수입";#N/A,#N/A,FALSE,"요약 BS";#N/A,#N/A,FALSE,"요약 PL";#N/A,#N/A,FALSE,"요약RE"}</definedName>
    <definedName name="wrn.PARA._.EL._.CONSEJO." hidden="1">{"CONSEJO",#N/A,FALSE,"Dist p0";"CONSEJO",#N/A,FALSE,"Ficha CODICE"}</definedName>
    <definedName name="wrn.PARA._.LA._.CARTA." hidden="1">{"uno",#N/A,FALSE,"Dist total";"COMENTARIO",#N/A,FALSE,"Ficha CODICE"}</definedName>
    <definedName name="wrn.PENDENCIAS." hidden="1">{#N/A,#N/A,FALSE,"GERAL";#N/A,#N/A,FALSE,"012-96";#N/A,#N/A,FALSE,"018-96";#N/A,#N/A,FALSE,"027-96";#N/A,#N/A,FALSE,"059-96";#N/A,#N/A,FALSE,"076-96";#N/A,#N/A,FALSE,"019-97";#N/A,#N/A,FALSE,"021-97";#N/A,#N/A,FALSE,"022-97";#N/A,#N/A,FALSE,"028-97"}</definedName>
    <definedName name="wrn.pendientes." hidden="1">{#N/A,#N/A,FALSE,"PEND INC";#N/A,#N/A,FALSE,"PEND MINM"}</definedName>
    <definedName name="wrn.Perenco._.Ppto._.Exe." hidden="1">{#N/A,#N/A,FALSE,"Casanare";#N/A,#N/A,FALSE,"Estero";#N/A,#N/A,FALSE,"Garcero";#N/A,#N/A,FALSE,"Orocué";#N/A,#N/A,FALSE,"Corocora"}</definedName>
    <definedName name="wrn.Perenco._.Ppto._.Exe._1" hidden="1">{#N/A,#N/A,FALSE,"Casanare";#N/A,#N/A,FALSE,"Estero";#N/A,#N/A,FALSE,"Garcero";#N/A,#N/A,FALSE,"Orocué";#N/A,#N/A,FALSE,"Corocora"}</definedName>
    <definedName name="wrn.Peter._.Johnston." hidden="1">{#N/A,#N/A,FALSE,"Cost Report";#N/A,#N/A,FALSE,"June Qtr";#N/A,#N/A,FALSE,"Report Summary";#N/A,#N/A,FALSE,"Qtly Summ.";#N/A,#N/A,FALSE,"Cost Summary";#N/A,#N/A,FALSE,"CapEx";#N/A,#N/A,FALSE,"Total Production";#N/A,#N/A,FALSE,"Central";#N/A,#N/A,FALSE,"Discovery";#N/A,#N/A,FALSE,"UG Summary";#N/A,#N/A,FALSE,"UG Prod.Recon.";#N/A,#N/A,FALSE,"Backfill Distrib.";#N/A,#N/A,FALSE,"EOM Survey";#N/A,#N/A,FALSE,"UG Geology Rep.";#N/A,#N/A,FALSE,"Table 2.1";#N/A,#N/A,FALSE,"Plant Statistics";#N/A,#N/A,FALSE,"Advanced Dev.";#N/A,#N/A,FALSE,"Stockpile Value"}</definedName>
    <definedName name="wrn.Petit." hidden="1">{#N/A,#N/A,FALSE,"PC-1";#N/A,#N/A,FALSE,"PC-2";#N/A,#N/A,FALSE,"T-9";#N/A,#N/A,FALSE,"PC-3";#N/A,#N/A,FALSE,"T-10";#N/A,#N/A,FALSE,"PC-4";#N/A,#N/A,FALSE,"T-11";#N/A,#N/A,FALSE,"PC-5";#N/A,#N/A,FALSE,"T-12"}</definedName>
    <definedName name="wrn.Petit._1" hidden="1">{#N/A,#N/A,FALSE,"PC-1";#N/A,#N/A,FALSE,"PC-2";#N/A,#N/A,FALSE,"T-9";#N/A,#N/A,FALSE,"PC-3";#N/A,#N/A,FALSE,"T-10";#N/A,#N/A,FALSE,"PC-4";#N/A,#N/A,FALSE,"T-11";#N/A,#N/A,FALSE,"PC-5";#N/A,#N/A,FALSE,"T-12"}</definedName>
    <definedName name="wrn.Petrobras._.Ppto._.Exe." hidden="1">{#N/A,#N/A,FALSE,"Upía";#N/A,#N/A,FALSE,"CPR Espinal";#N/A,#N/A,FALSE,"Magangué"}</definedName>
    <definedName name="wrn.Petrobras._.Ppto._.Exe._1" hidden="1">{#N/A,#N/A,FALSE,"Upía";#N/A,#N/A,FALSE,"CPR Espinal";#N/A,#N/A,FALSE,"Magangué"}</definedName>
    <definedName name="wrn.Placer._.Dome." hidden="1">{"Placer Dome Mines",#N/A,FALSE,"PDG";"Placer Dome Summary",#N/A,FALSE,"PDG"}</definedName>
    <definedName name="wrn.Port._.Reading." hidden="1">{#N/A,#N/A,FALSE,"PR-CIF";#N/A,#N/A,FALSE,"PR-Vol";#N/A,#N/A,FALSE,"PR-Comp";#N/A,#N/A,FALSE,"PR-GM";#N/A,#N/A,FALSE,"PR-OpExp";#N/A,#N/A,FALSE,"PR-Adj";#N/A,#N/A,FALSE,"PR-Tax";#N/A,#N/A,FALSE,"PR-DCF"}</definedName>
    <definedName name="wrn.Port._.Reading._1" hidden="1">{#N/A,#N/A,FALSE,"PR-CIF";#N/A,#N/A,FALSE,"PR-Vol";#N/A,#N/A,FALSE,"PR-Comp";#N/A,#N/A,FALSE,"PR-GM";#N/A,#N/A,FALSE,"PR-OpExp";#N/A,#N/A,FALSE,"PR-Adj";#N/A,#N/A,FALSE,"PR-Tax";#N/A,#N/A,FALSE,"PR-DCF"}</definedName>
    <definedName name="wrn.precios." hidden="1">{"CONCABL1.1",#N/A,FALSE,"1.1.1a1.1.3 ACSR";"AISL1.2",#N/A,FALSE,"1.1.1a1.1.3 ACSR";"torr1.1.3",#N/A,FALSE,"1.1.1a1.1.3 ACSR";"cm1.2",#N/A,FALSE,"1.2 ACSR";"cm2.2",#N/A,FALSE,"1.2 ACSR";#N/A,#N/A,FALSE,"1.3 ACSR";#N/A,#N/A,FALSE,"2.1.1A2.1.3 ACAR";"ac2.1",#N/A,FALSE,"1.2 ACAR";"ac2.2",#N/A,FALSE,"1.2 ACAR";#N/A,#N/A,FALSE,"2.3 ACAR"}</definedName>
    <definedName name="wrn.Presupuesto." hidden="1">{"Concep",#N/A,FALSE,"Exp";"Introd",#N/A,FALSE,"Exp";"Libro",#N/A,FALSE,"Exp";"CoBe",#N/A,FALSE,"C&amp;B";"Ptas",#N/A,FALSE,"Ptas";"EqT",#N/A,FALSE,"Eq";"EqU",#N/A,FALSE,"Eq";"VrE",#N/A,FALSE,"Eq";"NPer",#N/A,FALSE,"Per";"VrPer",#N/A,FALSE,"Per";"MaEq",#N/A,FALSE,"Mat";"MaEsp",#N/A,FALSE,"Mat";"MaEvR",#N/A,FALSE,"Mat";"MaRut",#N/A,FALSE,"Mat";"MaTot",#N/A,FALSE,"Mat";"Sumi",#N/A,FALSE,"Sum";"LavTra",#N/A,FALSE,"Bien";"ServEsp",#N/A,FALSE,"Serv";"ServGral",#N/A,FALSE,"Serv";"ServRuE",#N/A,FALSE,"Serv";"ServRuG",#N/A,FALSE,"Serv";"ServT",#N/A,FALSE,"Serv";"TraR",#N/A,FALSE,"WEq";"EqEsp",#N/A,FALSE,"WEsp";"EqEspT",#N/A,FALSE,"WEsp";"WEsp",#N/A,FALSE,"WEsp";"WRut",#N/A,FALSE,"WRut";"CompUI",#N/A,FALSE,"Comp";"EjPre",#N/A,FALSE,"Comp";"Crudos",#N/A,FALSE,"Gral";"Fondos",#N/A,FALSE,"Gral";"Petroq",#N/A,FALSE,"Gral";"Parti",#N/A,FALSE,"Res";"Resum",#N/A,FALSE,"Res";"ComPre",#N/A,FALSE,"9596";"GsI",#N/A,FALSE,"Salar";"GsII",#N/A,FALSE,"Salar";"GsIII",#N/A,FALSE,"Salar";"GsIV",#N/A,FALSE,"Salar";"Salar",#N/A,FALSE,"Salar";"Aseo",#N/A,FALSE,"As&amp;Tr";"Transp",#N/A,FALSE,"As&amp;Tr";"VrAsU",#N/A,FALSE,"As&amp;Tr";"PapVrT",#N/A,FALSE,"Papel";"PapVrU",#N/A,FALSE,"Papel";"Adq",#N/A,FALSE,"Ropa";"lav",#N/A,FALSE,"Ropa";"SegT",#N/A,FALSE,"Seg"}</definedName>
    <definedName name="wrn.PRINT." hidden="1">{#N/A,#N/A,FALSE,"No.1";#N/A,#N/A,FALSE,"No.1A";#N/A,#N/A,FALSE,"No.2";#N/A,#N/A,FALSE,"ANEX-1";#N/A,#N/A,FALSE,"AN-2";#N/A,#N/A,FALSE,"N0.3A+B";#N/A,#N/A,FALSE,"No.3A";#N/A,#N/A,FALSE,"No.3B";#N/A,#N/A,FALSE,"No.3C";#N/A,#N/A,FALSE,"No.3D";#N/A,#N/A,FALSE,"ANEX-2";#N/A,#N/A,FALSE,"AN-3";#N/A,#N/A,FALSE,"IN2001";#N/A,#N/A,FALSE,"TOT"}</definedName>
    <definedName name="wrn.print._.all._.sections." hidden="1">{"IncomeStatement",#N/A,TRUE,"Model";"LacdesIsles",#N/A,TRUE,"Model";"NAV",#N/A,TRUE,"NAV"}</definedName>
    <definedName name="wrn.Print._.Base._.Case._.Statements."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wrn.Print._.Plots." hidden="1">{"Plot1",#N/A,FALSE,"Plots";"plot2",#N/A,FALSE,"Plots";"plot3",#N/A,FALSE,"Plots";"plot4",#N/A,FALSE,"Plots";"plot5",#N/A,FALSE,"Plots";"plot6",#N/A,FALSE,"Plots"}</definedName>
    <definedName name="wrn.Print._.Plots._1" hidden="1">{"Plot1",#N/A,FALSE,"Plots";"plot2",#N/A,FALSE,"Plots";"plot3",#N/A,FALSE,"Plots";"plot4",#N/A,FALSE,"Plots";"plot5",#N/A,FALSE,"Plots";"plot6",#N/A,FALSE,"Plots"}</definedName>
    <definedName name="wrn.PRINT.1" hidden="1">{#N/A,#N/A,FALSE,"No.1";#N/A,#N/A,FALSE,"No.1A";#N/A,#N/A,FALSE,"No.2";#N/A,#N/A,FALSE,"ANEX-1";#N/A,#N/A,FALSE,"AN-2";#N/A,#N/A,FALSE,"N0.3A+B";#N/A,#N/A,FALSE,"No.3A";#N/A,#N/A,FALSE,"No.3B";#N/A,#N/A,FALSE,"No.3C";#N/A,#N/A,FALSE,"No.3D";#N/A,#N/A,FALSE,"ANEX-2";#N/A,#N/A,FALSE,"AN-3";#N/A,#N/A,FALSE,"IN2001";#N/A,#N/A,FALSE,"TOT"}</definedName>
    <definedName name="wrn.print1." hidden="1">{#N/A,#N/A,TRUE,"Est. de Fact.";#N/A,#N/A,TRUE,"Capitulo 19";#N/A,#N/A,TRUE,"Proyecto P855"}</definedName>
    <definedName name="wrn.PrintAll." hidden="1">{#N/A,#N/A,FALSE,"Sheet1";#N/A,#N/A,FALSE,"Sheet2";#N/A,#N/A,FALSE,"Sheet3";#N/A,#N/A,FALSE,"Sheet4";#N/A,#N/A,FALSE,"Sheet5";#N/A,#N/A,FALSE,"Sheet6";#N/A,#N/A,FALSE,"Sheet7";#N/A,#N/A,FALSE,"Sheet8";#N/A,#N/A,FALSE,"Sheet9"}</definedName>
    <definedName name="wrn.PRINTBAS." hidden="1">{#N/A,#N/A,FALSE,"Total_OC015";#N/A,#N/A,FALSE,"ADMIN";#N/A,#N/A,FALSE,"PROCES";#N/A,#N/A,FALSE,"mecan";#N/A,#N/A,FALSE,"civil";#N/A,#N/A,FALSE,"CAÑER";#N/A,#N/A,FALSE,"ELEC";#N/A,#N/A,FALSE,"INSTR"}</definedName>
    <definedName name="wrn.PrintCurr." hidden="1">{#N/A,#N/A,FALSE,"Sheet1";#N/A,#N/A,FALSE,"Sheet2";#N/A,#N/A,FALSE,"Sheet3"}</definedName>
    <definedName name="wrn.PRINTEPRS." hidden="1">{#N/A,#N/A,FALSE,"minas";#N/A,#N/A,FALSE,"Total_OC015";#N/A,#N/A,FALSE,"ADMIN";#N/A,#N/A,FALSE,"PROCES";#N/A,#N/A,FALSE,"civil";#N/A,#N/A,FALSE,"CAÑER";#N/A,#N/A,FALSE,"ELEC";#N/A,#N/A,FALSE,"INSTR";#N/A,#N/A,FALSE,"PDS";#N/A,#N/A,FALSE,"mecan"}</definedName>
    <definedName name="wrn.printeprs1" hidden="1">{#N/A,#N/A,FALSE,"minas";#N/A,#N/A,FALSE,"Total_OC015";#N/A,#N/A,FALSE,"ADMIN";#N/A,#N/A,FALSE,"PROCES";#N/A,#N/A,FALSE,"civil";#N/A,#N/A,FALSE,"CAÑER";#N/A,#N/A,FALSE,"ELEC";#N/A,#N/A,FALSE,"INSTR";#N/A,#N/A,FALSE,"PDS";#N/A,#N/A,FALSE,"mecan"}</definedName>
    <definedName name="wrn.PrintPrev1." hidden="1">{#N/A,#N/A,FALSE,"Sheet4";#N/A,#N/A,FALSE,"Sheet5";#N/A,#N/A,FALSE,"Sheet6"}</definedName>
    <definedName name="wrn.PrintPrev2." hidden="1">{#N/A,#N/A,FALSE,"Sheet7";#N/A,#N/A,FALSE,"Sheet8";#N/A,#N/A,FALSE,"Sheet9"}</definedName>
    <definedName name="wrn.PROCART." hidden="1">{#N/A,#N/A,FALSE,"MAQUINA"}</definedName>
    <definedName name="wrn.procurement." hidden="1">{#N/A,#N/A,FALSE,"sumi ";#N/A,#N/A,FALSE,"RESUMEN"}</definedName>
    <definedName name="wrn.PRODUCCION._.SOACHA." hidden="1">{#N/A,#N/A,FALSE,"SOACHA"}</definedName>
    <definedName name="wrn.PRU_1." hidden="1">{#N/A,#N/A,FALSE,"PERSONAL"}</definedName>
    <definedName name="wrn.Q1._.MAIN._.PRINTOUT." hidden="1">{"Q1 MARKET",#N/A,TRUE,"Q1";"Q1 MEMBER",#N/A,TRUE,"Q1"}</definedName>
    <definedName name="wrn.Q2._.MAIN._.PRINTOUT." hidden="1">{"Q2 MARKET",#N/A,TRUE,"Q2";"Q2 MEMBER",#N/A,TRUE,"Q2"}</definedName>
    <definedName name="wrn.Q3._.MAIN._.PRINTOUT." hidden="1">{"Q3 MARKET",#N/A,TRUE,"Q3";"Q3 MEMBER",#N/A,TRUE,"Q3"}</definedName>
    <definedName name="wrn.Q4._.MAIN._.PRINTOUT." hidden="1">{"Q4 MARKET",#N/A,TRUE,"Q4";"Q4 MEMBER",#N/A,TRUE,"Q4"}</definedName>
    <definedName name="wrn.redbook." hidden="1">{#N/A,#N/A,FALSE,"Index";#N/A,#N/A,FALSE,"inc stmt ";#N/A,#N/A,FALSE,"Prior Yr compare";#N/A,#N/A,FALSE,"Prior Mo compare";#N/A,#N/A,FALSE,"Halco graphs";#N/A,#N/A,FALSE,"Halco CVA";#N/A,#N/A,FALSE,"balsheet";#N/A,#N/A,FALSE,"Cflow long";#N/A,#N/A,FALSE,"Cfland T";#N/A,#N/A,FALSE,"Cfland M";#N/A,#N/A,FALSE,"HEG ytd psl";#N/A,#N/A,FALSE,"HEG mo psl";#N/A,#N/A,FALSE,"HEG graphs";#N/A,#N/A,FALSE,"HEG CVA";#N/A,#N/A,FALSE,"E&amp;C ytd psl";#N/A,#N/A,FALSE,"E&amp;C mo psl ";#N/A,#N/A,FALSE,"E&amp;C graphs";#N/A,#N/A,FALSE,"E&amp;C CVA";#N/A,#N/A,FALSE,"suppl-psl";#N/A,#N/A,FALSE,"Reconcile (ytd)";#N/A,#N/A,FALSE,"Reconcile (mon)"}</definedName>
    <definedName name="wrn.Reich." hidden="1">{#N/A,#N/A,FALSE,"RS-1";#N/A,#N/A,FALSE,"RS-2";#N/A,#N/A,FALSE,"T-13";#N/A,#N/A,FALSE,"RS-3";#N/A,#N/A,FALSE,"T-14";#N/A,#N/A,FALSE,"RS-4";#N/A,#N/A,FALSE,"T-15";#N/A,#N/A,FALSE,"RS-5";#N/A,#N/A,FALSE,"T-16"}</definedName>
    <definedName name="wrn.Reich._1" hidden="1">{#N/A,#N/A,FALSE,"RS-1";#N/A,#N/A,FALSE,"RS-2";#N/A,#N/A,FALSE,"T-13";#N/A,#N/A,FALSE,"RS-3";#N/A,#N/A,FALSE,"T-14";#N/A,#N/A,FALSE,"RS-4";#N/A,#N/A,FALSE,"T-15";#N/A,#N/A,FALSE,"RS-5";#N/A,#N/A,FALSE,"T-16"}</definedName>
    <definedName name="wrn.REPORT." hidden="1">{#N/A,#N/A,FALSE,"0XX_1";#N/A,#N/A,FALSE,"OXX_2";#N/A,#N/A,FALSE,"0XX_3";#N/A,#N/A,FALSE,"0XX_4";#N/A,#N/A,FALSE,"0XX_5";#N/A,#N/A,FALSE,"0XX_6";#N/A,#N/A,FALSE,"1XX_1";#N/A,#N/A,FALSE,"1XX_2";#N/A,#N/A,FALSE,"2XX_1";#N/A,#N/A,FALSE,"2XX_2";#N/A,#N/A,FALSE,"2XX_3";#N/A,#N/A,FALSE,"2XX_4";#N/A,#N/A,FALSE,"3XX_1";#N/A,#N/A,FALSE,"3XX_2";#N/A,#N/A,FALSE,"3XX_3";#N/A,#N/A,FALSE,"3XX_4";#N/A,#N/A,FALSE,"3XX_5";#N/A,#N/A,FALSE,"3XX_6";#N/A,#N/A,FALSE,"3XX_7";#N/A,#N/A,FALSE,"3XX_8";#N/A,#N/A,FALSE,"3XX_9";#N/A,#N/A,FALSE,"4XX_1";#N/A,#N/A,FALSE,"4XX_2";#N/A,#N/A,FALSE,"4XX_3";#N/A,#N/A,FALSE,"5XX_1";#N/A,#N/A,FALSE,"5XX_2";#N/A,#N/A,FALSE,"6XX_1";#N/A,#N/A,FALSE,"6XX_2";#N/A,#N/A,FALSE,"6XX_3";#N/A,#N/A,FALSE,"6XX_4";#N/A,#N/A,FALSE,"7XX_1";#N/A,#N/A,FALSE,"7XX_2";#N/A,#N/A,FALSE,"8XX_1";#N/A,#N/A,FALSE,"8XX_2"}</definedName>
    <definedName name="wrn.res7" hidden="1">{#N/A,#N/A,FALSE,"Hoja1";#N/A,#N/A,FALSE,"Hoja2"}</definedName>
    <definedName name="wrn.res71" hidden="1">{#N/A,#N/A,FALSE,"Hoja1";#N/A,#N/A,FALSE,"Hoja2"}</definedName>
    <definedName name="wrn.Restructuring._.Summaries." hidden="1">{#N/A,#N/A,TRUE,"Transaction Summary";#N/A,#N/A,TRUE,"Restructuring Sensitivities";#N/A,#N/A,TRUE,"DCF";#N/A,#N/A,TRUE,"IRR";#N/A,#N/A,TRUE,"Debt Capacity"}</definedName>
    <definedName name="wrn.Resultados." hidden="1">{"ResMN",#N/A,TRUE,"Res";"ResNegMN",#N/A,TRUE,"Res";"EEPMN",#N/A,TRUE,"EEP";"GasMN",#N/A,TRUE,"Gas";"AorGNMN",#N/A,TRUE,"Aorgas";"GenMN",#N/A,TRUE,"Gen";"AorGEMN",#N/A,TRUE,"Aorgen";"SerMN",#N/A,TRUE,"Serv";"ResME",#N/A,TRUE,"Res";"ResNegME",#N/A,TRUE,"Res";"EEPME",#N/A,TRUE,"EEP";"GasME",#N/A,TRUE,"Gas";"AorGNME",#N/A,TRUE,"Aorgas";"GenME",#N/A,TRUE,"Gen";"AorGEME",#N/A,TRUE,"Aorgen";"SerME",#N/A,TRUE,"Serv";"E_SGas",#N/A,TRUE,"Balgas";"Balenerg",#N/A,TRUE,"Balener";"Balance_MN",#N/A,TRUE,"Balance";"Balance_ME",#N/A,TRUE,"Balance"}</definedName>
    <definedName name="wrn.Resumen." hidden="1">{#N/A,#N/A,FALSE,"Hoja1";#N/A,#N/A,FALSE,"Hoja2"}</definedName>
    <definedName name="wrn.Resumen._.de._.Hipotesis." hidden="1">{"Resumen Hipotesis 1",#N/A,TRUE,"Resumen1";"Resumen de Hipotesis 2",#N/A,TRUE,"Resumen2";"Resumen Hipotesis 3",#N/A,TRUE,"Resumen3"}</definedName>
    <definedName name="wrn.Resumen._.Job._.Performance." hidden="1">{"Job Performance",#N/A,FALSE,"BA D5";"Job Performance",#N/A,FALSE,"Bandunga";"Job Performance",#N/A,FALSE,"Ejemplo"}</definedName>
    <definedName name="wrn.RLFCST." hidden="1">{#N/A,#N/A,FALSE,"QsumREG";#N/A,#N/A,FALSE,"Reg";#N/A,#N/A,FALSE,"QsumPSL";#N/A,#N/A,FALSE,"PSL";#N/A,#N/A,FALSE,"fcstsum";#N/A,#N/A,FALSE,"cntsprt"}</definedName>
    <definedName name="wrn.Rob._.Smith." hidden="1">{#N/A,#N/A,FALSE,"Cost Report";"Geology",#N/A,FALSE,"Cost Summary";"Geolgy Recon",#N/A,FALSE,"UG Geology Rep."}</definedName>
    <definedName name="wrn.SAA94TAX." hidden="1">{#N/A,#N/A,TRUE,"표지";#N/A,#N/A,TRUE,"총괄표";#N/A,#N/A,TRUE,"1호 과표세액";#N/A,#N/A,TRUE,"2호 서식";#N/A,#N/A,TRUE,"3(1) 부3 세액조정";#N/A,#N/A,TRUE,"임시투자공제";#N/A,#N/A,TRUE,"조8호 기술인력";#N/A,#N/A,TRUE,"3(1)부7 기업합리";#N/A,#N/A,TRUE,"3(3)호(갑) 원천납부";#N/A,#N/A,TRUE,"6호 소득금액";#N/A,#N/A,TRUE,"6호 첨부(익)";#N/A,#N/A,TRUE,"6호 첨부(손)";#N/A,#N/A,TRUE,"6-1호 수입금액";#N/A,#N/A,TRUE,"6-2(4)호 해외시장";#N/A,#N/A,TRUE,"6-2(12)호 수출손실";#N/A,#N/A,TRUE,"6-3호 퇴충";#N/A,#N/A,TRUE,"6-3(3)호 단퇴";#N/A,#N/A,TRUE,"6-3(4)호 대손";#N/A,#N/A,TRUE,"6-4호 접대(갑)";#N/A,#N/A,TRUE,"6-4호 접대(을)";#N/A,#N/A,TRUE,"6-5호 외화(갑)";#N/A,#N/A,TRUE,"6-5호 외화(을)";#N/A,#N/A,TRUE,"6-6호(부표) 자본적지출";#N/A,#N/A,TRUE,"6-10호 재고자산";#N/A,#N/A,TRUE,"6-11호 세금과공과";#N/A,#N/A,TRUE,"6-12호 선급비용";#N/A,#N/A,TRUE,"6-13호 기부금";#N/A,#N/A,TRUE,"6-14호 부동산보유";#N/A,#N/A,TRUE,"8호 기부금조정";#N/A,#N/A,TRUE,"9호 자본금(갑)";#N/A,#N/A,TRUE,"9호 자본금(을)";#N/A,#N/A,TRUE,"10(3)호 주요계정";#N/A,#N/A,TRUE,"10(3)호 부표";#N/A,#N/A,TRUE,"10(4)호 조정수입";#N/A,#N/A,TRUE,"14(1)호 갑 주식";#N/A,#N/A,TRUE,"요약 BS";#N/A,#N/A,TRUE,"요약 PL";#N/A,#N/A,TRUE,"요약원가";#N/A,#N/A,TRUE,"요약RE"}</definedName>
    <definedName name="wrn.saasimple." hidden="1">{#N/A,#N/A,FALSE,"1호 과표세액";#N/A,#N/A,FALSE,"2호 서식";#N/A,#N/A,FALSE,"3(1)부7 기업합리";#N/A,#N/A,FALSE,"6호 소득금액";#N/A,#N/A,FALSE,"6호 첨부(익)";#N/A,#N/A,FALSE,"6호 첨부(손)";#N/A,#N/A,FALSE,"6-1호 수입금액";#N/A,#N/A,FALSE,"6-3(4)호 대손";#N/A,#N/A,FALSE,"6-3호 퇴충";#N/A,#N/A,FALSE,"6-3(3)호 단퇴";#N/A,#N/A,FALSE,"6-3(4)호 대손";#N/A,#N/A,FALSE,"6-4호 접대(갑)";#N/A,#N/A,FALSE,"6-4호 접대(을)";#N/A,#N/A,FALSE,"6-5호 외화(갑)";#N/A,#N/A,FALSE,"6-5호 외화(을)";#N/A,#N/A,FALSE,"6-11호 세금과공과";#N/A,#N/A,FALSE,"6-13호 기부금";#N/A,#N/A,FALSE,"8호 기부금조정";#N/A,#N/A,FALSE,"9호 자본금(갑)";#N/A,#N/A,FALSE,"9호 자본금(을)";#N/A,#N/A,FALSE,"10(3)호 주요계정";#N/A,#N/A,FALSE,"10(3)호 부표";#N/A,#N/A,FALSE,"요약 PL";#N/A,#N/A,FALSE,"10(4)호 조정수입";#N/A,#N/A,FALSE,"14(1)호 갑 주식"}</definedName>
    <definedName name="wrn.sasas." hidden="1">{#N/A,#N/A,FALSE,"32.R";#N/A,#N/A,FALSE,"32.1.R";#N/A,#N/A,FALSE,"32.1.1.R";#N/A,#N/A,FALSE,"32.1.2.R";#N/A,#N/A,FALSE,"32.1.3.R";#N/A,#N/A,FALSE,"32.2.R ";#N/A,#N/A,FALSE,"32.2.1.R";#N/A,#N/A,FALSE,"32.2.2.R";#N/A,#N/A,FALSE,"32.2.3.R ";#N/A,#N/A,FALSE,"32.3.R  ";#N/A,#N/A,FALSE,"32.3.1.R";#N/A,#N/A,FALSE,"32.3.2.R ";#N/A,#N/A,FALSE,"32.3.3.R ";#N/A,#N/A,FALSE,"32.4.R   ";#N/A,#N/A,FALSE,"32.4.1.R ";#N/A,#N/A,FALSE,"32.4.2.R  ";#N/A,#N/A,FALSE,"32.4.3.R  ";#N/A,#N/A,FALSE,"32.5.R    ";#N/A,#N/A,FALSE,"32.5.1.R  ";#N/A,#N/A,FALSE,"32.5.2.R   ";#N/A,#N/A,FALSE,"32.5.3.R   ";#N/A,#N/A,FALSE,"32.6.R    ";#N/A,#N/A,FALSE,"32.6.1.R   ";#N/A,#N/A,FALSE,"32.6.2.R   ";#N/A,#N/A,FALSE,"32.6.3.R "}</definedName>
    <definedName name="wrn.septiembre." hidden="1">{"septiembre_dia",#N/A,FALSE,"flujo mensual";"sep_dia_graf",#N/A,FALSE,"flujo mensual";"sep_men_resum",#N/A,FALSE,"flujo mensual";"men_graf",#N/A,FALSE,"flujo mensual"}</definedName>
    <definedName name="wrn.Simon._.Wulff." hidden="1">{#N/A,#N/A,FALSE,"Cost Report";"U/G Costs",#N/A,FALSE,"Cost Summary";"UG Prod Sched",#N/A,FALSE,"Total Production";"UG Dev Summ",#N/A,FALSE,"UG Summary";#N/A,#N/A,FALSE,"Central";#N/A,#N/A,FALSE,"Discovery";#N/A,#N/A,FALSE,"Backfill Distrib.";#N/A,#N/A,FALSE,"EOM Survey";#N/A,#N/A,FALSE,"UG Prod.Recon.";"Geolgy Recon",#N/A,FALSE,"UG Geology Rep.";#N/A,#N/A,FALSE,"Advanced Dev."}</definedName>
    <definedName name="wrn.SOACHA." hidden="1">{#N/A,#N/A,FALSE,"SOACHA"}</definedName>
    <definedName name="wrn.Solids." hidden="1">{#N/A,#N/A,FALSE,"Solids Only"}</definedName>
    <definedName name="wrn.Solids_Flow." hidden="1">{#N/A,#N/A,FALSE,"Solids &amp; Flow"}</definedName>
    <definedName name="wrn.SSSSSS." hidden="1">{#N/A,#N/A,FALSE,"91.R";#N/A,#N/A,FALSE,"92.R";#N/A,#N/A,FALSE,"93.R";#N/A,#N/A,FALSE,"94.R";#N/A,#N/A,FALSE,"95.R";#N/A,#N/A,FALSE,"98.R";#N/A,#N/A,FALSE,"99.R";#N/A,#N/A,FALSE,"105.R";#N/A,#N/A,FALSE,"107.R";#N/A,#N/A,FALSE,"113.R";#N/A,#N/A,FALSE,"114.R";#N/A,#N/A,FALSE,"115.R";#N/A,#N/A,FALSE,"117.R";#N/A,#N/A,FALSE,"117.1.R";#N/A,#N/A,FALSE,"117.2.R";#N/A,#N/A,FALSE,"117.3.R ";#N/A,#N/A,FALSE,"118.R";#N/A,#N/A,FALSE,"118.1.R";#N/A,#N/A,FALSE,"118.2.R";#N/A,#N/A,FALSE,"118.3.R";#N/A,#N/A,FALSE,"118.4.R";#N/A,#N/A,FALSE,"118.5.R";#N/A,#N/A,FALSE,"118.6.R";#N/A,#N/A,FALSE,"118.7.R";#N/A,#N/A,FALSE,"118.8.R";#N/A,#N/A,FALSE,"118.9.R";#N/A,#N/A,FALSE,"118.10.R";#N/A,#N/A,FALSE,"120.R";#N/A,#N/A,FALSE,"120.1.R ";#N/A,#N/A,FALSE,"120.2.R";#N/A,#N/A,FALSE,"120.3.R ";#N/A,#N/A,FALSE,"137.R";#N/A,#N/A,FALSE,"137.1.R";#N/A,#N/A,FALSE,"137.2.R";#N/A,#N/A,FALSE,"137.3.R";#N/A,#N/A,FALSE,"137.4.R";#N/A,#N/A,FALSE,"138.R";#N/A,#N/A,FALSE,"140.R";#N/A,#N/A,FALSE,"145.R";#N/A,#N/A,FALSE,"146.R"}</definedName>
    <definedName name="wrn.St.._.Croix." hidden="1">{#N/A,#N/A,FALSE,"Crude,St. Croix";#N/A,#N/A,FALSE,"SC-CIF";#N/A,#N/A,FALSE,"SC-Vol";#N/A,#N/A,FALSE,"SC-Comp";#N/A,#N/A,FALSE,"SC-GM";#N/A,#N/A,FALSE,"SC-OpExp";#N/A,#N/A,FALSE,"SC-Adj";#N/A,#N/A,FALSE,"SC-Tax";#N/A,#N/A,FALSE,"SC-DCF"}</definedName>
    <definedName name="wrn.St.._.Croix._1" hidden="1">{#N/A,#N/A,FALSE,"Crude,St. Croix";#N/A,#N/A,FALSE,"SC-CIF";#N/A,#N/A,FALSE,"SC-Vol";#N/A,#N/A,FALSE,"SC-Comp";#N/A,#N/A,FALSE,"SC-GM";#N/A,#N/A,FALSE,"SC-OpExp";#N/A,#N/A,FALSE,"SC-Adj";#N/A,#N/A,FALSE,"SC-Tax";#N/A,#N/A,FALSE,"SC-DCF"}</definedName>
    <definedName name="wrn.STAFFS." hidden="1">{#N/A,#N/A,FALSE,"TABLE"}</definedName>
    <definedName name="wrn.su." hidden="1">{#N/A,#N/A,FALSE,"표지";#N/A,#N/A,FALSE,"전제";#N/A,#N/A,FALSE,"손익-자 (2)";#N/A,#N/A,FALSE,"손익-자";#N/A,#N/A,FALSE,"손익-마 (2)";#N/A,#N/A,FALSE,"손익-마";#N/A,#N/A,FALSE,"총손최종"}</definedName>
    <definedName name="wrn.Summary." hidden="1">{#N/A,#N/A,FALSE,"Matrix";#N/A,#N/A,FALSE,"Executive";#N/A,#N/A,FALSE,"Summary"}</definedName>
    <definedName name="wrn.SUP._.1." hidden="1">{#N/A,#N/A,FALSE,"PERSONAL"}</definedName>
    <definedName name="wrn.SUPER." hidden="1">{#N/A,#N/A,FALSE,"PERSONAL"}</definedName>
    <definedName name="wrn.tables." hidden="1">{"cprgas",#N/A,FALSE,"CPR_E";"cprwat",#N/A,FALSE,"CPR_E";"oilcpr",#N/A,FALSE,"CPR_E";"norwat",#N/A,FALSE,"CPR_E";"norgas",#N/A,FALSE,"CPR_E";"noroil",#N/A,FALSE,"CPR_E";"surwat",#N/A,FALSE,"CPR_E";"surgas",#N/A,FALSE,"CPR_E";"suroil",#N/A,FALSE,"CPR_E";"puriwat",#N/A,FALSE,"CPR_E";"purigas",#N/A,FALSE,"CPR_E";"purioil",#N/A,FALSE,"CPR_E"}</definedName>
    <definedName name="wrn.TARGET._.DCF." hidden="1">{"targetdcf",#N/A,FALSE,"Merger consequences";"TARGETASSU",#N/A,FALSE,"Merger consequences";"TERMINAL VALUE",#N/A,FALSE,"Merger consequences"}</definedName>
    <definedName name="wrn.Tarifas." hidden="1">{"vista1",#N/A,FALSE,"Tarifas_Teoricas_May_97";"vista2",#N/A,FALSE,"Tarifas_Teoricas_May_97";"vista1",#N/A,FALSE,"Tarifas_Barra_May_97";"vista2",#N/A,FALSE,"Tarifas_Barra_May_97"}</definedName>
    <definedName name="wrn.TECA97." hidden="1">{#N/A,#N/A,FALSE,"T1C97";#N/A,#N/A,FALSE,"T2C97";#N/A,#N/A,FALSE,"T3AC97";#N/A,#N/A,FALSE,"T4C97";#N/A,#N/A,FALSE,"T5C97";#N/A,#N/A,FALSE,"T6C97";#N/A,#N/A,FALSE,"T3C97";#N/A,#N/A,FALSE,"T7C97";#N/A,#N/A,FALSE,"T8C97";#N/A,#N/A,FALSE,"T9C97";#N/A,#N/A,FALSE,"T13C97"}</definedName>
    <definedName name="wrn.Todo." hidden="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wrn.Todo._.abril." hidden="1">{"abril_dia",#N/A,FALSE,"Días";"abr_dia_graf",#N/A,FALSE,"flujo mensual";"abr_men_resum",#N/A,FALSE,"flujo mensual";"men_graf",#N/A,FALSE,"flujo mensual";"proy_abr",#N/A,FALSE,"Días"}</definedName>
    <definedName name="wrn.Todo._.agosto." hidden="1">{"agosto_dia",#N/A,FALSE,"Días";"ago_dia_graf",#N/A,FALSE,"flujo mensual";"ago_men_resum",#N/A,FALSE,"flujo mensual";"men_graf",#N/A,FALSE,"flujo mensual";"proy_ago",#N/A,FALSE,"Días"}</definedName>
    <definedName name="wrn.Todo._.diciembre." hidden="1">{"diciembre_dia",#N/A,FALSE,"Días";"dic_dia_graf",#N/A,FALSE,"flujo mensual";"dic_men_resum",#N/A,FALSE,"flujo mensual";"men_graf",#N/A,FALSE,"flujo mensual";"proy_dic",#N/A,FALSE,"Días"}</definedName>
    <definedName name="wrn.Todo._.enero." hidden="1">{"enero_dia",#N/A,FALSE,"Días";"ene_dia_graf",#N/A,FALSE,"flujo mensual";"ene_men_resum",#N/A,FALSE,"flujo mensual";"men_graf",#N/A,FALSE,"flujo mensual";"proy_ene",#N/A,FALSE,"Días"}</definedName>
    <definedName name="wrn.Todo._.febrero." hidden="1">{"febrero_dia",#N/A,FALSE,"Días";"feb_dia_graf",#N/A,FALSE,"flujo mensual";"feb_men_resum",#N/A,FALSE,"flujo mensual";"men_graf",#N/A,FALSE,"flujo mensual";"proy_feb",#N/A,FALSE,"Días"}</definedName>
    <definedName name="wrn.Todo._.julio." hidden="1">{"julio_dia",#N/A,FALSE,"Días";"jul_dia_graf",#N/A,FALSE,"flujo mensual";"jul_men_resum",#N/A,FALSE,"flujo mensual";"men_graf",#N/A,FALSE,"flujo mensual";"proy_jul",#N/A,FALSE,"Días"}</definedName>
    <definedName name="wrn.Todo._.junio." hidden="1">{"junio_dia",#N/A,FALSE,"Días";"jun_dia_graf",#N/A,FALSE,"flujo mensual";"jun_men_resum",#N/A,FALSE,"flujo mensual";"men_graf",#N/A,FALSE,"flujo mensual";"proy_jun",#N/A,FALSE,"Días"}</definedName>
    <definedName name="wrn.Todo._.marzo." hidden="1">{"marzo_dia",#N/A,FALSE,"Días";"mar_dia_graf",#N/A,FALSE,"flujo mensual";"mar_men_resum",#N/A,FALSE,"flujo mensual";"men_graf",#N/A,FALSE,"flujo mensual";"proy_mar",#N/A,FALSE,"Días"}</definedName>
    <definedName name="wrn.Todo._.mayo." hidden="1">{"mayo_dia",#N/A,FALSE,"Días";"may_dia_graf",#N/A,FALSE,"flujo mensual";"may_men_resum",#N/A,FALSE,"flujo mensual";"men_graf",#N/A,FALSE,"flujo mensual";"proy_may",#N/A,FALSE,"Días"}</definedName>
    <definedName name="wrn.Todo._.noviembre." hidden="1">{"noviembre_dia",#N/A,FALSE,"Días";"nov_dia_graf",#N/A,FALSE,"flujo mensual";"nov_men_resum",#N/A,FALSE,"flujo mensual";"men_graf",#N/A,FALSE,"flujo mensual";"proy_nov",#N/A,FALSE,"Días"}</definedName>
    <definedName name="wrn.Todo._.octubre." hidden="1">{"octubre_dia",#N/A,FALSE,"Días";"oct_dia_graf",#N/A,FALSE,"flujo mensual";"oct_men_resum",#N/A,FALSE,"flujo mensual";"men_graf",#N/A,FALSE,"flujo mensual";"proy_oct",#N/A,FALSE,"Días"}</definedName>
    <definedName name="wrn.Todo._.septiembre." hidden="1">{"septiembre_dia",#N/A,FALSE,"Días";"sep_dia_graf",#N/A,FALSE,"flujo mensual";"sep_men_resum",#N/A,FALSE,"flujo mensual";"men_graf",#N/A,FALSE,"flujo mensual";"proy_sep",#N/A,FALSE,"Días"}</definedName>
    <definedName name="wrn.TODOS." hidden="1">{"trimestre",#N/A,FALSE,"TRIMESTRE";"empresa",#N/A,FALSE,"xEMPRESA";"eaab",#N/A,FALSE,"EAAB";"epma",#N/A,FALSE,"EPMA";"emca",#N/A,FALSE,"EMCA"}</definedName>
    <definedName name="wrn.Todos._.CAs." hidden="1">{#N/A,#N/A,FALSE,"Cravo Norte";#N/A,#N/A,FALSE,"Upía";#N/A,#N/A,FALSE,"CPR Espinal";#N/A,#N/A,FALSE,"Magangué";#N/A,#N/A,FALSE,"Casanare";#N/A,#N/A,FALSE,"Estero";#N/A,#N/A,FALSE,"Garcero";#N/A,#N/A,FALSE,"Orocué";#N/A,#N/A,FALSE,"Corocora";#N/A,#N/A,FALSE,"CPR Santana"}</definedName>
    <definedName name="wrn.Todos._.CAs._1" hidden="1">{#N/A,#N/A,FALSE,"Cravo Norte";#N/A,#N/A,FALSE,"Upía";#N/A,#N/A,FALSE,"CPR Espinal";#N/A,#N/A,FALSE,"Magangué";#N/A,#N/A,FALSE,"Casanare";#N/A,#N/A,FALSE,"Estero";#N/A,#N/A,FALSE,"Garcero";#N/A,#N/A,FALSE,"Orocué";#N/A,#N/A,FALSE,"Corocora";#N/A,#N/A,FALSE,"CPR Santana"}</definedName>
    <definedName name="wrn.tou구매." hidden="1">{#N/A,#N/A,FALSE,"견적대비-2"}</definedName>
    <definedName name="wrn.TRABFENO." hidden="1">{#N/A,#N/A,FALSE,"Estatico";#N/A,#N/A,FALSE,"Tuberia";#N/A,#N/A,FALSE,"Instrumentación";#N/A,#N/A,FALSE,"Mecanica";#N/A,#N/A,FALSE,"Electrico";#N/A,#N/A,FALSE,"Ofic.Civiles"}</definedName>
    <definedName name="wrn.trimestre." hidden="1">{"trimestre",#N/A,FALSE,"TRIMESTRE"}</definedName>
    <definedName name="wrn.Ü." hidden="1">{#N/A,#N/A,FALSE,"ITHALAT";#N/A,#N/A,FALSE,"ÜRETİM"}</definedName>
    <definedName name="wrn.Una._.Hoja." hidden="1">{"Sin detalle",#N/A,FALSE,"Flujo (redondeado)"}</definedName>
    <definedName name="wrn.unidades." hidden="1">{#N/A,#N/A,FALSE,"RESUMEN";#N/A,#N/A,FALSE,"GG-GI";#N/A,#N/A,FALSE,"AMB";#N/A,#N/A,FALSE,"EyR";#N/A,#N/A,FALSE,"UCP";#N/A,#N/A,FALSE,"IND";#N/A,#N/A,FALSE,"LR";#N/A,#N/A,FALSE,"PRV";#N/A,#N/A,FALSE,"TÚNELES";#N/A,#N/A,FALSE,"IDT";#N/A,#N/A,FALSE,"ING"}</definedName>
    <definedName name="wrn.UNIONGAS94TAXRETURN." hidden="1">{#N/A,#N/A,FALSE,"일반적사항";#N/A,#N/A,FALSE,"주요재무자료";#N/A,#N/A,FALSE,"표지";#N/A,#N/A,FALSE,"총괄표";#N/A,#N/A,FALSE,"1호 과표세액";#N/A,#N/A,FALSE,"1-2호 농어촌과표";#N/A,#N/A,FALSE,"2호 서식";#N/A,#N/A,FALSE,"2호부표 최저한세";#N/A,#N/A,FALSE,"3(1)호 공제감면";#N/A,#N/A,FALSE,"3(1) 부3 세액조정";#N/A,#N/A,FALSE,"3호 임시투자공제";#N/A,#N/A,FALSE,"조8호 기술인력";#N/A,#N/A,FALSE,"3(1)부7 기업합리";#N/A,#N/A,FALSE,"3(3)호(갑) 원천납부";#N/A,#N/A,FALSE,"5호 농어촌";#N/A,#N/A,FALSE,"5호2 농감면(갑)";#N/A,#N/A,FALSE,"6호 소득금액";#N/A,#N/A,FALSE,"6호 첨부(익)";#N/A,#N/A,FALSE,"6호 첨부(손)";#N/A,#N/A,FALSE,"6-1호 수입금액";#N/A,#N/A,FALSE,"6-3호 퇴충";#N/A,#N/A,FALSE,"6-3(4)호 대손";#N/A,#N/A,FALSE,"6-4호 접대(갑)";#N/A,#N/A,FALSE,"6-4호 접대(을)";#N/A,#N/A,FALSE,"6-5호 외화(갑)";#N/A,#N/A,FALSE,"6-6호(부표)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조정수입";#N/A,#N/A,FALSE,"14(1)호 갑 주식";#N/A,#N/A,FALSE,"59호 해외특수";#N/A,#N/A,FALSE,"60호 갑 적정유보";#N/A,#N/A,FALSE,"60호 을 적정유보";#N/A,#N/A,FALSE,"요약 BS";#N/A,#N/A,FALSE,"요약 PL";#N/A,#N/A,FALSE,"요약원가";#N/A,#N/A,FALSE,"요약RE"}</definedName>
    <definedName name="wrn.Updated._.Equipment." hidden="1">{"Actual Equipment",#N/A,FALSE,"BA D5"}</definedName>
    <definedName name="wrn.USGC._.Forecast." hidden="1">{#N/A,#N/A,FALSE,"I-1";#N/A,#N/A,FALSE,"I-2";#N/A,#N/A,FALSE,"Forecast, NYH";#N/A,#N/A,FALSE,"Forecast - Gulf";#N/A,#N/A,FALSE,"Ratios";#N/A,#N/A,FALSE,"Yields, Bpd";#N/A,#N/A,FALSE,"Yields, %";#N/A,#N/A,FALSE,"Crude_USGC";#N/A,#N/A,FALSE,"Prices, Gulf";#N/A,#N/A,FALSE,"Prices, NYH";#N/A,#N/A,FALSE,"Differentials"}</definedName>
    <definedName name="wrn.USGC._.Forecast._1" hidden="1">{#N/A,#N/A,FALSE,"I-1";#N/A,#N/A,FALSE,"I-2";#N/A,#N/A,FALSE,"Forecast, NYH";#N/A,#N/A,FALSE,"Forecast - Gulf";#N/A,#N/A,FALSE,"Ratios";#N/A,#N/A,FALSE,"Yields, Bpd";#N/A,#N/A,FALSE,"Yields, %";#N/A,#N/A,FALSE,"Crude_USGC";#N/A,#N/A,FALSE,"Prices, Gulf";#N/A,#N/A,FALSE,"Prices, NYH";#N/A,#N/A,FALSE,"Differentials"}</definedName>
    <definedName name="wrn.uuff."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Valoracion." hidden="1">{"DCF1",#N/A,TRUE,"DCF";"Analisis Wacc",#N/A,TRUE,"WACC"}</definedName>
    <definedName name="wrn.Variaciones._.del._.Modelo." hidden="1">{"Efecto Variaciones Modelo",#N/A,TRUE,"Variations";"Hipotesis Variaciones Modelo",#N/A,TRUE,"Hipot Varia"}</definedName>
    <definedName name="wrn.VESSEL및N2._.구입사양서."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rn.via." hidden="1">{"via1",#N/A,TRUE,"general";"via2",#N/A,TRUE,"general";"via3",#N/A,TRUE,"general"}</definedName>
    <definedName name="wrn.VT수익성._.FULL._.SET."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wrn.xempresa." hidden="1">{"empresa",#N/A,FALSE,"xEMPRESA"}</definedName>
    <definedName name="wrn.YR._.MAIN._.PRINTOUT." hidden="1">{"YR MARKET",#N/A,TRUE,"YTD";"YR MEMBER",#N/A,TRUE,"YTD"}</definedName>
    <definedName name="wrn.YYYY."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";#N/A,#N/A,FALSE,"144.1..R ";#N/A,#N/A,FALSE,"145.1.R ";#N/A,#N/A,FALSE,"146.1.R "}</definedName>
    <definedName name="wrn.Y차._.종합." hidden="1">{#N/A,#N/A,TRUE,"Y생산";#N/A,#N/A,TRUE,"Y판매";#N/A,#N/A,TRUE,"Y총물량";#N/A,#N/A,TRUE,"Y능력";#N/A,#N/A,TRUE,"YKD"}</definedName>
    <definedName name="wrn.간단한세무조정계산서." hidden="1">{#N/A,#N/A,TRUE,"일반적사항";#N/A,#N/A,TRUE,"주요재무자료"}</definedName>
    <definedName name="wrn.건물기초."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설기계사업소._.상반기보고." hidden="1">{#N/A,#N/A,FALSE,"사업총괄";#N/A,#N/A,FALSE,"장비사업";#N/A,#N/A,FALSE,"철구사업";#N/A,#N/A,FALSE,"준설사업"}</definedName>
    <definedName name="wrn.견적." hidden="1">{#N/A,#N/A,FALSE,"Sheet1";#N/A,#N/A,FALSE,"Sheet2";#N/A,#N/A,FALSE,"TAB96-1"}</definedName>
    <definedName name="wrn.교대." hidden="1">{#N/A,#N/A,FALSE,"type1";#N/A,#N/A,FALSE,"지지력";#N/A,#N/A,FALSE,"PILE계산";#N/A,#N/A,FALSE,"PILE ";#N/A,#N/A,FALSE,"철근량";#N/A,#N/A,FALSE,"균열검토";#N/A,#N/A,FALSE,"날개벽";#N/A,#N/A,FALSE,"주철근조립도";#N/A,#N/A,FALSE,"교좌"}</definedName>
    <definedName name="wrn.기성." hidden="1">{#N/A,#N/A,FALSE,"신청통보";#N/A,#N/A,FALSE,"기성확인서";#N/A,#N/A,FALSE,"기성내역서"}</definedName>
    <definedName name="wrn.기초." hidden="1">{#N/A,#N/A,FALSE,"터빈집계";#N/A,#N/A,FALSE,"터빈내역";#N/A,#N/A,FALSE,"보일러집계";#N/A,#N/A,FALSE,"보일러내역"}</definedName>
    <definedName name="wrn.변경예산." hidden="1">{#N/A,#N/A,FALSE,"변경관리예산";#N/A,#N/A,FALSE,"변경장비예산";#N/A,#N/A,FALSE,"변경준설예산";#N/A,#N/A,FALSE,"변경철구예산"}</definedName>
    <definedName name="wrn.보일러마감." hidden="1">{#N/A,#N/A,FALSE,"물가변동 (2)";#N/A,#N/A,FALSE,"공사비";#N/A,#N/A,FALSE,"사급";#N/A,#N/A,FALSE,"도급집계";#N/A,#N/A,FALSE,"재료비";#N/A,#N/A,FALSE,"노무비";#N/A,#N/A,FALSE,"경비"}</definedName>
    <definedName name="wrn.사업현황."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wrn.선사." hidden="1">{#N/A,#N/A,FALSE,"품의서";#N/A,#N/A,FALSE,"전제";#N/A,#N/A,FALSE,"총손";#N/A,#N/A,FALSE,"손익"}</definedName>
    <definedName name="wrn.세무조정계산서."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모든양식."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손익보고." hidden="1">{#N/A,#N/A,FALSE,"손익표지";#N/A,#N/A,FALSE,"손익계산";#N/A,#N/A,FALSE,"일반관리비";#N/A,#N/A,FALSE,"영업외수익";#N/A,#N/A,FALSE,"영업외비용";#N/A,#N/A,FALSE,"매출액";#N/A,#N/A,FALSE,"요약손익";#N/A,#N/A,FALSE,"요약대차";#N/A,#N/A,FALSE,"매출채권현황";#N/A,#N/A,FALSE,"매출채권명세"}</definedName>
    <definedName name="wrn.시행결의." hidden="1">{#N/A,#N/A,FALSE,"도급대비시행율";#N/A,#N/A,FALSE,"결의서";#N/A,#N/A,FALSE,"내역서";#N/A,#N/A,FALSE,"도급예상"}</definedName>
    <definedName name="wrn.신규dep._.full._.set." hidden="1">{#N/A,#N/A,FALSE,"신규dep";#N/A,#N/A,FALSE,"신규dep-금형상각후";#N/A,#N/A,FALSE,"신규dep-연구비상각후";#N/A,#N/A,FALSE,"신규dep-기계,공구상각후"}</definedName>
    <definedName name="wrn.예상손익." hidden="1">{#N/A,#N/A,FALSE,"예상손익";#N/A,#N/A,FALSE,"관리분석";#N/A,#N/A,FALSE,"장비분석";#N/A,#N/A,FALSE,"준설분석";#N/A,#N/A,FALSE,"철구분석"}</definedName>
    <definedName name="wrn.외주기성." hidden="1">{#N/A,#N/A,FALSE,"신청통보";#N/A,#N/A,FALSE,"기성확인서";#N/A,#N/A,FALSE,"기성내역서"}</definedName>
    <definedName name="wrn.이태원._.철근." hidden="1">{#N/A,#N/A,FALSE,"이태원철근"}</definedName>
    <definedName name="wrn.전부인쇄." hidden="1">{#N/A,#N/A,FALSE,"단축1";#N/A,#N/A,FALSE,"단축2";#N/A,#N/A,FALSE,"단축3";#N/A,#N/A,FALSE,"장축";#N/A,#N/A,FALSE,"4WD"}</definedName>
    <definedName name="wrn.조흥94세무."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wrn.조흥축약94."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wrn.직좌." hidden="1">{#N/A,#N/A,FALSE,"품의서";#N/A,#N/A,FALSE,"전제";#N/A,#N/A,FALSE,"총손";#N/A,#N/A,FALSE,"손익";#N/A,#N/A,FALSE,"대당";#N/A,#N/A,FALSE,"가공비";#N/A,#N/A,FALSE,"재료비";#N/A,#N/A,FALSE,"판비";#N/A,#N/A,FALSE,"가격"}</definedName>
    <definedName name="wrn.직중." hidden="1">{#N/A,#N/A,FALSE,"표지";#N/A,#N/A,FALSE,"전제";#N/A,#N/A,FALSE,"대당";#N/A,#N/A,FALSE,"가공비";#N/A,#N/A,FALSE,"재료비";#N/A,#N/A,FALSE,"손익"}</definedName>
    <definedName name="wrn.총괄._.수정." hidden="1">{#N/A,#N/A,FALSE,"총괄수정"}</definedName>
    <definedName name="wrn.통신지." hidden="1">{#N/A,#N/A,FALSE,"기안지";#N/A,#N/A,FALSE,"통신지"}</definedName>
    <definedName name="wrn1.index" hidden="1">{#N/A,#N/A,FALSE,"Sheet1"}</definedName>
    <definedName name="wrthwrh" hidden="1">#REF!</definedName>
    <definedName name="wsnhed" hidden="1">{"via1",#N/A,TRUE,"general";"via2",#N/A,TRUE,"general";"via3",#N/A,TRUE,"general"}</definedName>
    <definedName name="wswswsqa" hidden="1">{"via1",#N/A,TRUE,"general";"via2",#N/A,TRUE,"general";"via3",#N/A,TRUE,"general"}</definedName>
    <definedName name="WSX" hidden="1">{#N/A,#N/A,FALSE,"EACT"}</definedName>
    <definedName name="WTI_PROYECTADO">#REF!</definedName>
    <definedName name="wtt" hidden="1">{"TAB1",#N/A,TRUE,"GENERAL";"TAB2",#N/A,TRUE,"GENERAL";"TAB3",#N/A,TRUE,"GENERAL";"TAB4",#N/A,TRUE,"GENERAL";"TAB5",#N/A,TRUE,"GENERAL"}</definedName>
    <definedName name="wvu.CASHFLOW." hidden="1">{TRUE,FALSE,0.25,-14,601.5,380.25,FALSE,TRUE,TRUE,TRUE,0,24,#N/A,1,#N/A,10.703125,26.4705882352941,1,FALSE,FALSE,3,TRUE,1,FALSE,100,"Swvu.CASHFLOW.","ACwvu.CASHFLOW.",#N/A,FALSE,FALSE,0,0,0,0,2,"&amp;C
","",TRUE,TRUE,FALSE,TRUE,1,80,#N/A,#N/A,"=R1C1:R55C16",FALSE,FALSE,FALSE,FALSE,FALSE,FALSE,1,65532,65532,FALSE,FALSE,TRUE,TRUE,TRUE}</definedName>
    <definedName name="wvu.COMPRIMIDA." hidden="1">{TRUE,TRUE,-1.25,-15.5,484.5,276.75,FALSE,TRUE,TRUE,TRUE,0,1,#N/A,5,#N/A,7.31764705882353,16.9411764705882,1,FALSE,FALSE,3,TRUE,1,FALSE,100,"Swvu.COMPRIMIDA.","ACwvu.COMPRIMIDA.",#N/A,FALSE,FALSE,0.118110236220472,0.118110236220472,0.511811023622047,0.511811023622047,2,"&amp;R&amp;""Arial,Negrita""&amp;11PRESUPUESTO 1995&amp;""Arial,Normal""&amp;10  -  &amp;D
&amp;T","&amp;CPágina 19",TRUE,TRUE,FALSE,TRUE,1,#N/A,1,1,"=R29C2:R96C18,R103C2:R138C19,R145C2:R216C19,R223C2:R284C19,R353C2:R384C19,R392C2:R437C19,R298C2:R346C19,R444C2:R474C19","=Inver!R7:R10",#N/A,"Cwvu.COMPRIMIDA.",FALSE,FALSE,FALSE,9,65532,65532,FALSE,FALSE,TRUE,TRUE,TRUE}</definedName>
    <definedName name="wvu.CSHFLW." hidden="1">{TRUE,TRUE,1,1.75,597.75,363,FALSE,TRUE,TRUE,TRUE,0,25,#N/A,1,#N/A,11.1875,25.1176470588235,1,FALSE,FALSE,1,TRUE,1,FALSE,100,"Swvu.CSHFLW.","ACwvu.CSHFLW.",#N/A,FALSE,FALSE,0,0,0,0,2,"&amp;C
","",TRUE,TRUE,FALSE,TRUE,1,80,#N/A,#N/A,"=R1C1:R55C16",FALSE,#N/A,#N/A,FALSE,FALSE,FALSE,1,65532,65532,FALSE,FALSE,TRUE,TRUE,TRUE}</definedName>
    <definedName name="wvu.normal." hidden="1">{TRUE,TRUE,-1.25,-15.5,484.5,255.75,FALSE,TRUE,TRUE,TRUE,0,1,#N/A,154,#N/A,7.45588235294118,17.1111111111111,1,FALSE,FALSE,3,TRUE,1,FALSE,100,"Swvu.normal.","ACwvu.normal.",#N/A,FALSE,FALSE,0.5,0.38,0.57,0.54,2,"&amp;A","Page &amp;P",FALSE,FALSE,FALSE,FALSE,1,63,#N/A,#N/A,FALSE,"=R1:R7",#N/A,#N/A,FALSE,FALSE,TRUE,9,600,600,FALSE,FALSE,TRUE,TRUE,TRUE}</definedName>
    <definedName name="wvu.oil." hidden="1">{TRUE,TRUE,-0.8,-17,618,378,FALSE,FALSE,TRUE,TRUE,0,33,#N/A,89,#N/A,14.5641025641026,175.058823529412,1,FALSE,FALSE,3,TRUE,1,FALSE,75,"Swvu.oil.","ACwvu.oil.",#N/A,FALSE,FALSE,0.196850393700787,0.196850393700787,0.196850393700787,0.196850393700787,2,"","",TRUE,TRUE,FALSE,FALSE,1,#N/A,1,1,"=R1C1:R248C39",FALSE,"Rwvu.oil.","Cwvu.oil.",FALSE,FALSE,FALSE,1,600,600,FALSE,FALSE,TRUE,TRUE,TRUE}</definedName>
    <definedName name="wvu.oilgasagua." hidden="1">{TRUE,TRUE,-0.8,-17,618,378,FALSE,FALSE,TRUE,TRUE,0,46,#N/A,77,#N/A,11.8461538461538,187.058823529412,1,FALSE,FALSE,3,TRUE,1,FALSE,75,"Swvu.oilgasagua.","ACwvu.oilgasagua.",#N/A,FALSE,FALSE,0.196850393700787,0.196850393700787,0.196850393700787,0.196850393700787,2,"","",TRUE,TRUE,FALSE,FALSE,1,#N/A,1,1,"=R1C1:R248C51",FALSE,"Rwvu.oilgasagua.","Cwvu.oilgasagua.",FALSE,FALSE,FALSE,1,600,600,FALSE,FALSE,TRUE,TRUE,TRUE}</definedName>
    <definedName name="wvu.Q1._.1995." hidden="1">{TRUE,TRUE,1,1,542,364,FALSE,FALSE,TRUE,FALSE,0,3,29,2,1,0.524,3,2,TRUE,TRUE,1,TRUE,1,FALSE,100,"Swvu.Q1._.1995.","ACwvu.Q1._.1995.",1,FALSE,FALSE,0,0,0.65,0.88,2,"&amp;C&amp;""Times""&amp;14&amp;BAnadrill Sales Plan  -  1995&amp;R&amp;""Times""&amp;9&amp;d     &amp;t","&amp;R&amp;""Times""Page &amp;p",TRUE,TRUE,FALSE,FALSE,2,100,#N/A,#N/A,"=R1C1:R112C32",FALSE,"Rwvu.Q1._.1995.",#N/A,FALSE,FALSE}</definedName>
    <definedName name="wvu.Q1._.1995._1" hidden="1">{TRUE,TRUE,1,1,542,364,FALSE,FALSE,TRUE,FALSE,0,3,29,2,1,0.524,3,2,TRUE,TRUE,1,TRUE,1,FALSE,100,"Swvu.Q1._.1995.","ACwvu.Q1._.1995.",1,FALSE,FALSE,0,0,0.65,0.88,2,"&amp;C&amp;""Times""&amp;14&amp;BAnadrill Sales Plan  -  1995&amp;R&amp;""Times""&amp;9&amp;d     &amp;t","&amp;R&amp;""Times""Page &amp;p",TRUE,TRUE,FALSE,FALSE,2,100,#N/A,#N/A,"=R1C1:R112C32",FALSE,"Rwvu.Q1._.1995.",#N/A,FALSE,FALSE}</definedName>
    <definedName name="wvu.Q1._.1995._2" hidden="1">{TRUE,TRUE,1,1,542,364,FALSE,FALSE,TRUE,FALSE,0,3,29,2,1,0.524,3,2,TRUE,TRUE,1,TRUE,1,FALSE,100,"Swvu.Q1._.1995.","ACwvu.Q1._.1995.",1,FALSE,FALSE,0,0,0.65,0.88,2,"&amp;C&amp;""Times""&amp;14&amp;BAnadrill Sales Plan  -  1995&amp;R&amp;""Times""&amp;9&amp;d     &amp;t","&amp;R&amp;""Times""Page &amp;p",TRUE,TRUE,FALSE,FALSE,2,100,#N/A,#N/A,"=R1C1:R112C32",FALSE,"Rwvu.Q1._.1995.",#N/A,FALSE,FALSE}</definedName>
    <definedName name="wvu.Q2._.1995." hidden="1">{TRUE,TRUE,1,1,542,364,FALSE,FALSE,TRUE,FALSE,0,3,21,1,1,0.524,3,2,TRUE,TRUE,1,TRUE,1,FALSE,100,"Swvu.Q2._.1995.","ACwvu.Q2._.1995.",1,FALSE,FALSE,0,0,0.65,0.88,2,"&amp;C&amp;""Times""&amp;14&amp;BAnadrill Sales Plan  -  1995&amp;R&amp;""Times""&amp;9&amp;d     &amp;t","&amp;R&amp;""Times""Page &amp;p",TRUE,TRUE,FALSE,FALSE,2,100,#N/A,#N/A,"=R1C1:R112C32",FALSE,"Rwvu.Q2._.1995.",#N/A,FALSE,FALSE}</definedName>
    <definedName name="wvu.Q2._.1995._1" hidden="1">{TRUE,TRUE,1,1,542,364,FALSE,FALSE,TRUE,FALSE,0,3,21,1,1,0.524,3,2,TRUE,TRUE,1,TRUE,1,FALSE,100,"Swvu.Q2._.1995.","ACwvu.Q2._.1995.",1,FALSE,FALSE,0,0,0.65,0.88,2,"&amp;C&amp;""Times""&amp;14&amp;BAnadrill Sales Plan  -  1995&amp;R&amp;""Times""&amp;9&amp;d     &amp;t","&amp;R&amp;""Times""Page &amp;p",TRUE,TRUE,FALSE,FALSE,2,100,#N/A,#N/A,"=R1C1:R112C32",FALSE,"Rwvu.Q2._.1995.",#N/A,FALSE,FALSE}</definedName>
    <definedName name="wvu.Q2._.1995._2" hidden="1">{TRUE,TRUE,1,1,542,364,FALSE,FALSE,TRUE,FALSE,0,3,21,1,1,0.524,3,2,TRUE,TRUE,1,TRUE,1,FALSE,100,"Swvu.Q2._.1995.","ACwvu.Q2._.1995.",1,FALSE,FALSE,0,0,0.65,0.88,2,"&amp;C&amp;""Times""&amp;14&amp;BAnadrill Sales Plan  -  1995&amp;R&amp;""Times""&amp;9&amp;d     &amp;t","&amp;R&amp;""Times""Page &amp;p",TRUE,TRUE,FALSE,FALSE,2,100,#N/A,#N/A,"=R1C1:R112C32",FALSE,"Rwvu.Q2._.1995.",#N/A,FALSE,FALSE}</definedName>
    <definedName name="wvu.RCEIBAS1." hidden="1">{TRUE,TRUE,-0.8,-17,618,355.8,FALSE,TRUE,TRUE,TRUE,0,1,#N/A,1,#N/A,16.9838709677419,50.6666666666667,1,FALSE,FALSE,3,TRUE,1,FALSE,80,"Swvu.RCEIBAS1.","ACwvu.RCEIBAS1.",#N/A,FALSE,FALSE,0.196850393700787,0.196850393700787,0.196850393700787,0.196850393700787,2,"","",TRUE,TRUE,FALSE,TRUE,1,#N/A,1,1,"=R1C1:R228C37",FALSE,#N/A,"Cwvu.RCEIBAS1.",FALSE,FALSE,FALSE,1,600,600,FALSE,FALSE,TRUE,TRUE,TRUE}</definedName>
    <definedName name="wvu.short." hidden="1">{TRUE,FALSE,-1.25,-15.5,484.5,255.75,FALSE,TRUE,TRUE,TRUE,0,1,#N/A,9,#N/A,7.45588235294118,32.6470588235294,1,FALSE,FALSE,3,TRUE,1,FALSE,100,"Swvu.short.","ACwvu.short.",#N/A,FALSE,FALSE,0.5,0.38,0.57,0.54,2,"&amp;A","Page &amp;P",FALSE,FALSE,FALSE,FALSE,1,63,#N/A,#N/A,FALSE,"=R1:R7",FALSE,FALSE,FALSE,FALSE,TRUE,9,600,600,FALSE,FALSE,TRUE,TRUE,TRUE}</definedName>
    <definedName name="wvu.STANDARD." hidden="1">{TRUE,TRUE,-1.25,-15.5,484.5,276.75,FALSE,TRUE,TRUE,TRUE,0,1,#N/A,10,#N/A,7.31764705882353,17.7058823529412,1,FALSE,FALSE,3,TRUE,1,FALSE,100,"Swvu.STANDARD.","ACwvu.STANDARD.",#N/A,FALSE,FALSE,0.118110236220472,0.118110236220472,0.511811023622047,0.511811023622047,2,"&amp;R&amp;""Arial,Negrita""&amp;11PRESUPUESTO 1995&amp;""Arial,Normal""&amp;10  -  &amp;D
&amp;T","&amp;CPágina 19",TRUE,TRUE,FALSE,TRUE,1,#N/A,1,1,"=R29C2:R92C18,R99C2:R134C19,R141C2:R212C19,R219C2:R280C19,R349C2:R380C19,R388C2:R433C19,R294C2:R342C19,R440C2:R470C19","=Inver!R7:R10",#N/A,"Cwvu.STANDARD.",FALSE,FALSE,FALSE,9,65532,65532,FALSE,FALSE,TRUE,TRUE,TRUE}</definedName>
    <definedName name="wvu.TAB1." hidden="1">{TRUE,TRUE,-1.25,-16.25,772.5,492.75,FALSE,FALSE,TRUE,FALSE,0,1,#N/A,10,#N/A,15.5208333333333,44.3846153846154,1,FALSE,FALSE,3,TRUE,1,FALSE,75,"Swvu.TAB1.","ACwvu.TAB1.",39,FALSE,FALSE,0.669291338582677,0.551181102362205,0.511811023622047,0.708661417322835,2,"","&amp;L&amp;8Adendo No. 6&amp;R&amp;8Página 5.&amp;P",TRUE,FALSE,FALSE,FALSE,1,100,#N/A,#N/A,"=R10C1:R190C9","=R1:R9",#N/A,#N/A,FALSE,FALSE,TRUE,1,300,300,FALSE,FALSE,TRUE,TRUE,TRUE}</definedName>
    <definedName name="wvu.TAB2." hidden="1">{TRUE,TRUE,-1.25,-16.25,772.5,492.75,FALSE,FALSE,TRUE,FALSE,0,1,#N/A,203,#N/A,15.5208333333333,45.2307692307692,1,FALSE,FALSE,3,TRUE,1,FALSE,75,"Swvu.TAB2.","ACwvu.TAB2.",39,FALSE,FALSE,0.65,0.55,0.5,0.71,2,"","&amp;L&amp;8Adendo No. 6&amp;R&amp;8Página 5.&amp;P",TRUE,FALSE,FALSE,FALSE,1,100,#N/A,#N/A,"=R203C1:R331C9","=R193:R202",#N/A,#N/A,FALSE,FALSE,TRUE,1,300,300,FALSE,FALSE,TRUE,TRUE,TRUE}</definedName>
    <definedName name="wvu.TAB3." hidden="1">{TRUE,TRUE,-1.25,-16.25,772.5,492.75,FALSE,FALSE,TRUE,FALSE,0,1,#N/A,305,#N/A,15.5208333333333,41.5714285714286,1,FALSE,FALSE,3,TRUE,1,FALSE,75,"Swvu.TAB3.","ACwvu.TAB3.",39,FALSE,FALSE,0.65,0.55,0.5,0.71,2,"","&amp;L&amp;8Adendo No. 6&amp;R&amp;8Página 5.&amp;P",TRUE,FALSE,FALSE,FALSE,1,100,#N/A,#N/A,"=R346C1:R558C9","=R336:R345",#N/A,#N/A,FALSE,FALSE,TRUE,1,300,300,FALSE,FALSE,TRUE,TRUE,TRUE}</definedName>
    <definedName name="wvu.TAB4." hidden="1">{TRUE,TRUE,-1.25,-16.25,772.5,492.75,FALSE,FALSE,TRUE,FALSE,0,1,#N/A,574,#N/A,15.5208333333333,45.1538461538462,1,FALSE,FALSE,3,TRUE,1,FALSE,75,"Swvu.TAB4.","ACwvu.TAB4.",39,FALSE,FALSE,0.65,0.55,0.5,0.71,2,"","&amp;L&amp;8Adendo No. 6
&amp;R&amp;8Página 5.&amp;P",TRUE,FALSE,FALSE,FALSE,1,100,#N/A,#N/A,"=R574C1:R842C9","=R564:R573",#N/A,#N/A,FALSE,FALSE,TRUE,1,300,300,FALSE,FALSE,TRUE,TRUE,TRUE}</definedName>
    <definedName name="wvu.TAB5." hidden="1">{TRUE,TRUE,-1.25,-16.25,772.5,492.75,FALSE,FALSE,TRUE,FALSE,0,1,#N/A,856,#N/A,15.5208333333333,42.2307692307692,1,FALSE,FALSE,3,TRUE,1,FALSE,75,"Swvu.TAB5.","ACwvu.TAB5.",70,FALSE,FALSE,0.65,0.55,0.5,0.71,2,"","&amp;L&amp;8Adendo No. 6&amp;R&amp;8Página 5.&amp;P",TRUE,FALSE,FALSE,FALSE,1,100,#N/A,#N/A,"=R856C1:R1054C9","=R846:R855",#N/A,#N/A,FALSE,FALSE,TRUE,1,300,300,FALSE,FALSE,TRUE,TRUE,TRUE}</definedName>
    <definedName name="wvu.TODO_ABIERTO." hidden="1">{TRUE,TRUE,-1.25,-15.5,484.5,276.75,FALSE,TRUE,TRUE,TRUE,0,1,#N/A,70,#N/A,7.31764705882353,18.2941176470588,1,FALSE,FALSE,3,TRUE,1,FALSE,100,"Swvu.TODO_ABIERTO.","ACwvu.TODO_ABIERTO.",#N/A,FALSE,FALSE,0.118110236220472,0.118110236220472,0.511811023622047,0.511811023622047,2,"&amp;R&amp;""Arial,Negrita""&amp;11PRESUPUESTO 1995&amp;""Arial,Normal""&amp;10  -  &amp;D
&amp;T","&amp;CPágina 19",TRUE,TRUE,FALSE,TRUE,1,#N/A,1,1,"=R29C2:R92C18,R99C2:R134C19,R141C2:R212C19,R219C2:R280C19,R349C2:R380C19,R388C2:R433C19,R294C2:R342C19,R440C2:R470C19","=Inver!R7:R10",#N/A,#N/A,FALSE,FALSE,FALSE,9,65532,65532,FALSE,FALSE,TRUE,TRUE,TRUE}</definedName>
    <definedName name="wvu.VIEW._.ALL." hidden="1">{TRUE,TRUE,1,1,542,364,FALSE,FALSE,TRUE,FALSE,0,3,4,3,1,0.98,3,1,TRUE,TRUE,1,TRUE,1,FALSE,100,"Swvu.VIEW._.ALL.","ACwvu.VIEW._.ALL.",1,FALSE,FALSE,0,0,0.65,0.88,2,"&amp;C&amp;""Times""&amp;14&amp;BAnadrill Sales Plan  -  1995&amp;R&amp;""Times""&amp;9&amp;d     &amp;t","&amp;R&amp;""Times""Page &amp;p",TRUE,TRUE,FALSE,FALSE,2,100,#N/A,#N/A,"=R1C1:R112C32",FALSE,#N/A,#N/A,FALSE,FALSE}</definedName>
    <definedName name="wvu.VIEW._.ALL._1" hidden="1">{TRUE,TRUE,1,1,542,364,FALSE,FALSE,TRUE,FALSE,0,3,4,3,1,0.98,3,1,TRUE,TRUE,1,TRUE,1,FALSE,100,"Swvu.VIEW._.ALL.","ACwvu.VIEW._.ALL.",1,FALSE,FALSE,0,0,0.65,0.88,2,"&amp;C&amp;""Times""&amp;14&amp;BAnadrill Sales Plan  -  1995&amp;R&amp;""Times""&amp;9&amp;d     &amp;t","&amp;R&amp;""Times""Page &amp;p",TRUE,TRUE,FALSE,FALSE,2,100,#N/A,#N/A,"=R1C1:R112C32",FALSE,#N/A,#N/A,FALSE,FALSE}</definedName>
    <definedName name="wvu.VIEW._.ALL._2" hidden="1">{TRUE,TRUE,1,1,542,364,FALSE,FALSE,TRUE,FALSE,0,3,4,3,1,0.98,3,1,TRUE,TRUE,1,TRUE,1,FALSE,100,"Swvu.VIEW._.ALL.","ACwvu.VIEW._.ALL.",1,FALSE,FALSE,0,0,0.65,0.88,2,"&amp;C&amp;""Times""&amp;14&amp;BAnadrill Sales Plan  -  1995&amp;R&amp;""Times""&amp;9&amp;d     &amp;t","&amp;R&amp;""Times""Page &amp;p",TRUE,TRUE,FALSE,FALSE,2,100,#N/A,#N/A,"=R1C1:R112C32",FALSE,#N/A,#N/A,FALSE,FALSE}</definedName>
    <definedName name="wvu.week3." hidden="1">{TRUE,TRUE,-1.25,-15.5,484.5,255.75,FALSE,TRUE,TRUE,TRUE,0,1,#N/A,50,#N/A,7.45588235294118,16.6470588235294,1,FALSE,FALSE,3,TRUE,1,FALSE,100,"Swvu.week3.","ACwvu.week3.",#N/A,FALSE,FALSE,0.42,0.38,0.73,0.56,2,"&amp;A","Page &amp;P",FALSE,FALSE,FALSE,FALSE,1,63,#N/A,#N/A,FALSE,"=R1:R7",#N/A,"Cwvu.week3.",FALSE,FALSE,TRUE,9,600,600,FALSE,FALSE,TRUE,TRUE,TRUE}</definedName>
    <definedName name="wvu.week3short." hidden="1">{TRUE,FALSE,-1.25,-15.5,484.5,255.75,FALSE,TRUE,TRUE,TRUE,0,1,#N/A,46,#N/A,7.45588235294118,61.6470588235294,1,FALSE,FALSE,3,TRUE,1,FALSE,100,"Swvu.week3short.","ACwvu.week3short.",#N/A,FALSE,FALSE,0.42,0.38,0.73,0.56,2,"&amp;A","Page &amp;P",FALSE,FALSE,FALSE,FALSE,1,63,#N/A,#N/A,FALSE,"=R1:R7",FALSE,FALSE,FALSE,FALSE,TRUE,9,600,600,FALSE,FALSE,TRUE,TRUE,TRUE}</definedName>
    <definedName name="ww" hidden="1">{TRUE,TRUE,1,1,542,364,FALSE,FALSE,TRUE,FALSE,0,3,29,2,1,0.524,3,2,TRUE,TRUE,1,TRUE,1,FALSE,100,"Swvu.Q1._.1995.","ACwvu.Q1._.1995.",1,FALSE,FALSE,0,0,0.65,0.88,2,"&amp;C&amp;""Times""&amp;14&amp;BAnadrill Sales Plan  -  1995&amp;R&amp;""Times""&amp;9&amp;d     &amp;t","&amp;R&amp;""Times""Page &amp;p",TRUE,TRUE,FALSE,FALSE,2,100,#N/A,#N/A,"=R1C1:R112C32",FALSE,"Rwvu.Q1._.1995.",#N/A,FALSE,FALSE}</definedName>
    <definedName name="ww_1" hidden="1">{TRUE,TRUE,1,1,542,364,FALSE,FALSE,TRUE,FALSE,0,3,29,2,1,0.524,3,2,TRUE,TRUE,1,TRUE,1,FALSE,100,"Swvu.Q1._.1995.","ACwvu.Q1._.1995.",1,FALSE,FALSE,0,0,0.65,0.88,2,"&amp;C&amp;""Times""&amp;14&amp;BAnadrill Sales Plan  -  1995&amp;R&amp;""Times""&amp;9&amp;d     &amp;t","&amp;R&amp;""Times""Page &amp;p",TRUE,TRUE,FALSE,FALSE,2,100,#N/A,#N/A,"=R1C1:R112C32",FALSE,"Rwvu.Q1._.1995.",#N/A,FALSE,FALSE}</definedName>
    <definedName name="ww_2" hidden="1">{TRUE,TRUE,1,1,542,364,FALSE,FALSE,TRUE,FALSE,0,3,29,2,1,0.524,3,2,TRUE,TRUE,1,TRUE,1,FALSE,100,"Swvu.Q1._.1995.","ACwvu.Q1._.1995.",1,FALSE,FALSE,0,0,0.65,0.88,2,"&amp;C&amp;""Times""&amp;14&amp;BAnadrill Sales Plan  -  1995&amp;R&amp;""Times""&amp;9&amp;d     &amp;t","&amp;R&amp;""Times""Page &amp;p",TRUE,TRUE,FALSE,FALSE,2,100,#N/A,#N/A,"=R1C1:R112C32",FALSE,"Rwvu.Q1._.1995.",#N/A,FALSE,FALSE}</definedName>
    <definedName name="wwded3" hidden="1">{"via1",#N/A,TRUE,"general";"via2",#N/A,TRUE,"general";"via3",#N/A,TRUE,"general"}</definedName>
    <definedName name="wwecbh" hidden="1">{#N/A,#N/A,FALSE,"단축1";#N/A,#N/A,FALSE,"단축2";#N/A,#N/A,FALSE,"단축3";#N/A,#N/A,FALSE,"장축";#N/A,#N/A,FALSE,"4WD"}</definedName>
    <definedName name="wwn.infocib" hidden="1">{#N/A,#N/A,FALSE,"VOL695";#N/A,#N/A,FALSE,"anexo1";#N/A,#N/A,FALSE,"anexo2";#N/A,#N/A,FALSE,"anexo3";#N/A,#N/A,FALSE,"anexo4";#N/A,#N/A,FALSE,"anexo5a";#N/A,#N/A,FALSE,"anexo5b";#N/A,#N/A,FALSE,"anexo6a";#N/A,#N/A,FALSE,"anexo6a";#N/A,#N/A,FALSE,"anexo6c";#N/A,#N/A,FALSE,"anexo7a";#N/A,#N/A,FALSE,"anexo7b";#N/A,#N/A,FALSE,"anexo7c"}</definedName>
    <definedName name="wwn.infocib_1" hidden="1">{#N/A,#N/A,FALSE,"VOL695";#N/A,#N/A,FALSE,"anexo1";#N/A,#N/A,FALSE,"anexo2";#N/A,#N/A,FALSE,"anexo3";#N/A,#N/A,FALSE,"anexo4";#N/A,#N/A,FALSE,"anexo5a";#N/A,#N/A,FALSE,"anexo5b";#N/A,#N/A,FALSE,"anexo6a";#N/A,#N/A,FALSE,"anexo6a";#N/A,#N/A,FALSE,"anexo6c";#N/A,#N/A,FALSE,"anexo7a";#N/A,#N/A,FALSE,"anexo7b";#N/A,#N/A,FALSE,"anexo7c"}</definedName>
    <definedName name="WWRENT" hidden="1">{#N/A,#N/A,FALSE,"F-01";#N/A,#N/A,FALSE,"F-01";#N/A,#N/A,FALSE,"F-01"}</definedName>
    <definedName name="www">#REF!</definedName>
    <definedName name="www_1" hidden="1">{"Plot1",#N/A,FALSE,"Plots";"plot2",#N/A,FALSE,"Plots";"plot3",#N/A,FALSE,"Plots";"plot4",#N/A,FALSE,"Plots";"plot5",#N/A,FALSE,"Plots";"plot6",#N/A,FALSE,"Plots"}</definedName>
    <definedName name="wwww" hidden="1">{#N/A,#N/A,FALSE,"Costos Contables CIB A 12 1994";#N/A,#N/A,FALSE,"Cuadre Contab. y C. OP"}</definedName>
    <definedName name="wwwwe" hidden="1">{"TAB1",#N/A,TRUE,"GENERAL";"TAB2",#N/A,TRUE,"GENERAL";"TAB3",#N/A,TRUE,"GENERAL";"TAB4",#N/A,TRUE,"GENERAL";"TAB5",#N/A,TRUE,"GENERAL"}</definedName>
    <definedName name="WWWWW" hidden="1">{#N/A,#N/A,FALSE,"Costos Productos 6A";#N/A,#N/A,FALSE,"Costo Unitario Total H-94-12"}</definedName>
    <definedName name="WWWWWW" hidden="1">{"CONSEJO",#N/A,FALSE,"Dist p0";"CONSEJO",#N/A,FALSE,"Ficha CODICE"}</definedName>
    <definedName name="WWWWWWW" hidden="1">{"uno",#N/A,FALSE,"Dist total";"COMENTARIO",#N/A,FALSE,"Ficha CODICE"}</definedName>
    <definedName name="wwwwwwwww" hidden="1">{"CONSEJO",#N/A,FALSE,"Dist p0";"CONSEJO",#N/A,FALSE,"Ficha CODICE"}</definedName>
    <definedName name="wwwwwwwwwww" hidden="1">{#N/A,#N/A,FALSE,"Costos Productos 6A";#N/A,#N/A,FALSE,"Costo Unitario Total H-94-12"}</definedName>
    <definedName name="wwwwwwwwwwwwww" hidden="1">{#N/A,#N/A,FALSE,"VOL695";#N/A,#N/A,FALSE,"anexo1";#N/A,#N/A,FALSE,"anexo2";#N/A,#N/A,FALSE,"anexo3";#N/A,#N/A,FALSE,"anexo4";#N/A,#N/A,FALSE,"anexo5a";#N/A,#N/A,FALSE,"anexo5b";#N/A,#N/A,FALSE,"anexo6a";#N/A,#N/A,FALSE,"anexo6a";#N/A,#N/A,FALSE,"anexo6c";#N/A,#N/A,FALSE,"anexo7a";#N/A,#N/A,FALSE,"anexo7b";#N/A,#N/A,FALSE,"anexo7c"}</definedName>
    <definedName name="WYNIK" hidden="1">{#N/A,#N/A,FALSE,"F-01";#N/A,#N/A,FALSE,"F-01";#N/A,#N/A,FALSE,"F-01"}</definedName>
    <definedName name="wyty" hidden="1">{"via1",#N/A,TRUE,"general";"via2",#N/A,TRUE,"general";"via3",#N/A,TRUE,"general"}</definedName>
    <definedName name="WYWY" hidden="1">{#N/A,#N/A,FALSE,"TABLE"}</definedName>
    <definedName name="x" hidden="1">{#N/A,#N/A,FALSE,"SMT1";#N/A,#N/A,FALSE,"SMT2";#N/A,#N/A,FALSE,"Summary";#N/A,#N/A,FALSE,"Graphs";#N/A,#N/A,FALSE,"4 Panel"}</definedName>
    <definedName name="X_Axis">OFFSET(#REF!,0,0,COUNTIF(#REF!,"&gt;3000"),1)</definedName>
    <definedName name="X_PIMS">#REF!</definedName>
    <definedName name="xbxb" hidden="1">#REF!</definedName>
    <definedName name="xc" hidden="1">{#N/A,#N/A,FALSE,"TABLE"}</definedName>
    <definedName name="XC4NA">#REF!</definedName>
    <definedName name="xcbcvba" hidden="1">{#N/A,#N/A,FALSE,"Solids &amp; Flow"}</definedName>
    <definedName name="xcbvbs" hidden="1">{"TAB1",#N/A,TRUE,"GENERAL";"TAB2",#N/A,TRUE,"GENERAL";"TAB3",#N/A,TRUE,"GENERAL";"TAB4",#N/A,TRUE,"GENERAL";"TAB5",#N/A,TRUE,"GENERAL"}</definedName>
    <definedName name="xcbvcb" hidden="1">{#N/A,#N/A,FALSE,"Solids &amp; Flow"}</definedName>
    <definedName name="XCD" hidden="1">{"'banner (abr)'!$A$14:$G$22"}</definedName>
    <definedName name="xcdghb" hidden="1">{#N/A,#N/A,FALSE,"orthoflow";#N/A,#N/A,FALSE,"Miscelaneos";#N/A,#N/A,FALSE,"Instrumentacio";#N/A,#N/A,FALSE,"Electrico";#N/A,#N/A,FALSE,"Valv. Seguridad"}</definedName>
    <definedName name="xcfvsdfdsf" hidden="1">{#N/A,#N/A,FALSE,"Solids &amp; Flow"}</definedName>
    <definedName name="XCG" hidden="1">{"'banner (abr)'!$A$14:$G$22"}</definedName>
    <definedName name="xcoincidencefactor_001">#REF!</definedName>
    <definedName name="XCRUDOS">#REF!</definedName>
    <definedName name="xcs">#REF!</definedName>
    <definedName name="xcsdfs" hidden="1">#REF!</definedName>
    <definedName name="xcvz" hidden="1">{#N/A,#N/A,FALSE,"Solids &amp; Flow"}</definedName>
    <definedName name="XDRTHR" hidden="1">{"DETALLE_1996",#N/A,FALSE,"flujo";"DETALLE_1997",#N/A,FALSE,"flujo";"GASTOS_INCURRIDOS_1996",#N/A,FALSE,"flujo";"GASTOS_PROGRAMADOS_PARA_1997",#N/A,FALSE,"flujo";#N/A,#N/A,FALSE,"comparat";#N/A,#N/A,FALSE,"costos";#N/A,#N/A,FALSE,"proyctrol"}</definedName>
    <definedName name="xiom" hidden="1">#REF!</definedName>
    <definedName name="XPIMS">#REF!</definedName>
    <definedName name="XPLOT" hidden="1">{"krl1",#N/A,FALSE,"kr";"krl2",#N/A,FALSE,"kr";"compara",#N/A,FALSE,"kr";"desconp1",#N/A,FALSE,"kr";"desconp12",#N/A,FALSE,"kr";"krnp1",#N/A,FALSE,"kr";"krnp2",#N/A,FALSE,"kr";"krp12avg",#N/A,FALSE,"kr";"krp1avg",#N/A,FALSE,"kr"}</definedName>
    <definedName name="xs" hidden="1">{"CONSEJO",#N/A,FALSE,"Dist p0";"CONSEJO",#N/A,FALSE,"Ficha CODICE"}</definedName>
    <definedName name="XSD" hidden="1">#REF!</definedName>
    <definedName name="xsfzsethrthkedoiuwsifjALjn" hidden="1">{"'banner (abr)'!$A$14:$G$22"}</definedName>
    <definedName name="XSW" hidden="1">{#N/A,#N/A,TRUE,"1842CWN0"}</definedName>
    <definedName name="xsxs" hidden="1">{"TAB1",#N/A,TRUE,"GENERAL";"TAB2",#N/A,TRUE,"GENERAL";"TAB3",#N/A,TRUE,"GENERAL";"TAB4",#N/A,TRUE,"GENERAL";"TAB5",#N/A,TRUE,"GENERAL"}</definedName>
    <definedName name="xsxsxsxsxs" hidden="1">{#N/A,#N/A,TRUE,"1842CWN0"}</definedName>
    <definedName name="XTXTX">#REF!</definedName>
    <definedName name="XVKSDGOFKDS" hidden="1">{#N/A,#N/A,FALSE,"VOL695";#N/A,#N/A,FALSE,"anexo1";#N/A,#N/A,FALSE,"anexo2";#N/A,#N/A,FALSE,"anexo3";#N/A,#N/A,FALSE,"anexo4";#N/A,#N/A,FALSE,"anexo5a";#N/A,#N/A,FALSE,"anexo5b";#N/A,#N/A,FALSE,"anexo6a";#N/A,#N/A,FALSE,"anexo6a";#N/A,#N/A,FALSE,"anexo6c";#N/A,#N/A,FALSE,"anexo7a";#N/A,#N/A,FALSE,"anexo7b";#N/A,#N/A,FALSE,"anexo7c"}</definedName>
    <definedName name="xvxv" hidden="1">#REF!</definedName>
    <definedName name="XX">#REF!</definedName>
    <definedName name="XX_51">#REF!</definedName>
    <definedName name="xxc" hidden="1">{#N/A,#N/A,FALSE,"SMT1";#N/A,#N/A,FALSE,"SMT2";#N/A,#N/A,FALSE,"Summary";#N/A,#N/A,FALSE,"Graphs";#N/A,#N/A,FALSE,"4 Panel"}</definedName>
    <definedName name="xxfg" hidden="1">{"via1",#N/A,TRUE,"general";"via2",#N/A,TRUE,"general";"via3",#N/A,TRUE,"general"}</definedName>
    <definedName name="XXX" hidden="1">#REF!</definedName>
    <definedName name="xxxs" hidden="1">#REF!</definedName>
    <definedName name="XXXX" hidden="1">#REF!</definedName>
    <definedName name="xxxxx" hidden="1">{#N/A,#N/A,FALSE,"VOL695";#N/A,#N/A,FALSE,"anexo1";#N/A,#N/A,FALSE,"anexo2";#N/A,#N/A,FALSE,"anexo3";#N/A,#N/A,FALSE,"anexo4";#N/A,#N/A,FALSE,"anexo5a";#N/A,#N/A,FALSE,"anexo5b";#N/A,#N/A,FALSE,"anexo6a";#N/A,#N/A,FALSE,"anexo6a";#N/A,#N/A,FALSE,"anexo6c";#N/A,#N/A,FALSE,"anexo7a";#N/A,#N/A,FALSE,"anexo7b";#N/A,#N/A,FALSE,"anexo7c"}</definedName>
    <definedName name="xxxxxds" hidden="1">{"via1",#N/A,TRUE,"general";"via2",#N/A,TRUE,"general";"via3",#N/A,TRUE,"general"}</definedName>
    <definedName name="XXXXXX" hidden="1">{#N/A,#N/A,FALSE,"orthoflow";#N/A,#N/A,FALSE,"Miscelaneos";#N/A,#N/A,FALSE,"Instrumentacio";#N/A,#N/A,FALSE,"Electrico";#N/A,#N/A,FALSE,"Valv. Seguridad"}</definedName>
    <definedName name="XXXXXXXX" hidden="1">#REF!</definedName>
    <definedName name="XXXXXXXXXX">#REF!</definedName>
    <definedName name="xxxxxxxxxx29" hidden="1">{"via1",#N/A,TRUE,"general";"via2",#N/A,TRUE,"general";"via3",#N/A,TRUE,"general"}</definedName>
    <definedName name="XXXXXXXXXXXX">#REF!</definedName>
    <definedName name="xxxxxxxxxxxxx" hidden="1">{#N/A,#N/A,FALSE,"Costos Productos 6A";#N/A,#N/A,FALSE,"Costo Unitario Total H-94-12"}</definedName>
    <definedName name="XXXXXXXXXXXXXXXX" hidden="1">#REF!</definedName>
    <definedName name="xxxxxxxxxxxxxxxxxxxxxxxxxx" hidden="1">{"uno",#N/A,FALSE,"Dist total";"COMENTARIO",#N/A,FALSE,"Ficha CODICE"}</definedName>
    <definedName name="xyz" hidden="1">#REF!</definedName>
    <definedName name="XZ" hidden="1">{#N/A,#N/A,FALSE,"TABLE"}</definedName>
    <definedName name="xzcgfdg" hidden="1">{#N/A,#N/A,FALSE,"Solids &amp; Flow"}</definedName>
    <definedName name="xzcgsfgf" hidden="1">{#N/A,#N/A,FALSE,"Solids Only"}</definedName>
    <definedName name="XZS" hidden="1">#REF!</definedName>
    <definedName name="XZXZV" hidden="1">{"via1",#N/A,TRUE,"general";"via2",#N/A,TRUE,"general";"via3",#N/A,TRUE,"general"}</definedName>
    <definedName name="y" hidden="1">{#N/A,#N/A,FALSE,"Full";#N/A,#N/A,FALSE,"Half";#N/A,#N/A,FALSE,"Op Expenses";#N/A,#N/A,FALSE,"Cap Charge";#N/A,#N/A,FALSE,"Cost C";#N/A,#N/A,FALSE,"PP&amp;E";#N/A,#N/A,FALSE,"R&amp;D"}</definedName>
    <definedName name="y6y6" hidden="1">{"via1",#N/A,TRUE,"general";"via2",#N/A,TRUE,"general";"via3",#N/A,TRUE,"general"}</definedName>
    <definedName name="ycoincidencefactor_001">#REF!</definedName>
    <definedName name="yery" hidden="1">{"via1",#N/A,TRUE,"general";"via2",#N/A,TRUE,"general";"via3",#N/A,TRUE,"general"}</definedName>
    <definedName name="Yes">#REF!</definedName>
    <definedName name="yfc" hidden="1">{#N/A,#N/A,TRUE,"INGENIERIA";#N/A,#N/A,TRUE,"COMPRAS";#N/A,#N/A,TRUE,"DIRECCION";#N/A,#N/A,TRUE,"RESUMEN"}</definedName>
    <definedName name="YFUFY" hidden="1">{#N/A,#N/A,FALSE,"TABLE"}</definedName>
    <definedName name="yhgd" hidden="1">{#N/A,#N/A,TRUE,"1842CWN0"}</definedName>
    <definedName name="yhy" hidden="1">{"TAB1",#N/A,TRUE,"GENERAL";"TAB2",#N/A,TRUE,"GENERAL";"TAB3",#N/A,TRUE,"GENERAL";"TAB4",#N/A,TRUE,"GENERAL";"TAB5",#N/A,TRUE,"GENERAL"}</definedName>
    <definedName name="yij" hidden="1">#REF!</definedName>
    <definedName name="yjhf" hidden="1">{#N/A,#N/A,TRUE,"1842CWN0"}</definedName>
    <definedName name="yjyj" hidden="1">{"TAB1",#N/A,TRUE,"GENERAL";"TAB2",#N/A,TRUE,"GENERAL";"TAB3",#N/A,TRUE,"GENERAL";"TAB4",#N/A,TRUE,"GENERAL";"TAB5",#N/A,TRUE,"GENERAL"}</definedName>
    <definedName name="yms" hidden="1">{#N/A,#N/A,TRUE,"INGENIERIA";#N/A,#N/A,TRUE,"COMPRAS";#N/A,#N/A,TRUE,"DIRECCION";#N/A,#N/A,TRUE,"RESUMEN"}</definedName>
    <definedName name="YMYM" hidden="1">{#N/A,#N/A,FALSE,"TABLE"}</definedName>
    <definedName name="ynkim" hidden="1">{#N/A,#N/A,TRUE,"Basic";#N/A,#N/A,TRUE,"EXT-TABLE";#N/A,#N/A,TRUE,"STEEL";#N/A,#N/A,TRUE,"INT-Table";#N/A,#N/A,TRUE,"STEEL";#N/A,#N/A,TRUE,"Door"}</definedName>
    <definedName name="yopl" hidden="1">#REF!</definedName>
    <definedName name="you" hidden="1">{#N/A,#N/A,FALSE,"3mthsum.xls";#N/A,#N/A,FALSE,"fcstmth1.xls";#N/A,#N/A,FALSE,"fcstmth2.xls";#N/A,#N/A,FALSE,"fcstmth3.xls";#N/A,#N/A,FALSE,"cntsprt.xls";#N/A,#N/A,FALSE,"fldind.xls";#N/A,#N/A,FALSE,"epo.xls";#N/A,#N/A,FALSE,"tech.xls";#N/A,#N/A,FALSE,"train.xls";#N/A,#N/A,FALSE,"realest.xls";#N/A,#N/A,FALSE,"cfs.xls"}</definedName>
    <definedName name="youb" hidden="1">#REF!</definedName>
    <definedName name="YOYO" hidden="1">{#N/A,#N/A,FALSE,"TABLE"}</definedName>
    <definedName name="yr" hidden="1">{"'표지'!$B$5"}</definedName>
    <definedName name="yrdtytyt" hidden="1">{#N/A,#N/A,FALSE,"CCTV"}</definedName>
    <definedName name="yrey" hidden="1">{"via1",#N/A,TRUE,"general";"via2",#N/A,TRUE,"general";"via3",#N/A,TRUE,"general"}</definedName>
    <definedName name="YRUEYU" hidden="1">{#N/A,#N/A,FALSE,"TABLE"}</definedName>
    <definedName name="yry" hidden="1">{"via1",#N/A,TRUE,"general";"via2",#N/A,TRUE,"general";"via3",#N/A,TRUE,"general"}</definedName>
    <definedName name="yt8jih" hidden="1">{"uno",#N/A,FALSE,"Dist total";"COMENTARIO",#N/A,FALSE,"Ficha CODICE"}</definedName>
    <definedName name="YTD_Cash_In">OFFSET(#REF!,0,0,COUNTIF(#REF!,"&gt;3000"),1)</definedName>
    <definedName name="YTD_Cash_out">OFFSET(#REF!,0,0,COUNTIF(#REF!,"&gt;3000"),1)</definedName>
    <definedName name="YTDate">#REF!</definedName>
    <definedName name="ytj" hidden="1">{"TAB1",#N/A,TRUE,"GENERAL";"TAB2",#N/A,TRUE,"GENERAL";"TAB3",#N/A,TRUE,"GENERAL";"TAB4",#N/A,TRUE,"GENERAL";"TAB5",#N/A,TRUE,"GENERAL"}</definedName>
    <definedName name="ytjt" hidden="1">{#N/A,#N/A,TRUE,"INGENIERIA";#N/A,#N/A,TRUE,"COMPRAS";#N/A,#N/A,TRUE,"DIRECCION";#N/A,#N/A,TRUE,"RESUMEN"}</definedName>
    <definedName name="ytjt6" hidden="1">{"via1",#N/A,TRUE,"general";"via2",#N/A,TRUE,"general";"via3",#N/A,TRUE,"general"}</definedName>
    <definedName name="ytrwyr" hidden="1">{"TAB1",#N/A,TRUE,"GENERAL";"TAB2",#N/A,TRUE,"GENERAL";"TAB3",#N/A,TRUE,"GENERAL";"TAB4",#N/A,TRUE,"GENERAL";"TAB5",#N/A,TRUE,"GENERAL"}</definedName>
    <definedName name="ytry" hidden="1">{"via1",#N/A,TRUE,"general";"via2",#N/A,TRUE,"general";"via3",#N/A,TRUE,"general"}</definedName>
    <definedName name="ytryrty" hidden="1">{"via1",#N/A,TRUE,"general";"via2",#N/A,TRUE,"general";"via3",#N/A,TRUE,"general"}</definedName>
    <definedName name="YTRYUYT" hidden="1">{"TAB1",#N/A,TRUE,"GENERAL";"TAB2",#N/A,TRUE,"GENERAL";"TAB3",#N/A,TRUE,"GENERAL";"TAB4",#N/A,TRUE,"GENERAL";"TAB5",#N/A,TRUE,"GENERAL"}</definedName>
    <definedName name="ytu" hidden="1">#REF!</definedName>
    <definedName name="ytudfgd" hidden="1">{"TAB1",#N/A,TRUE,"GENERAL";"TAB2",#N/A,TRUE,"GENERAL";"TAB3",#N/A,TRUE,"GENERAL";"TAB4",#N/A,TRUE,"GENERAL";"TAB5",#N/A,TRUE,"GENERAL"}</definedName>
    <definedName name="yturtu7" hidden="1">{"TAB1",#N/A,TRUE,"GENERAL";"TAB2",#N/A,TRUE,"GENERAL";"TAB3",#N/A,TRUE,"GENERAL";"TAB4",#N/A,TRUE,"GENERAL";"TAB5",#N/A,TRUE,"GENERAL"}</definedName>
    <definedName name="yturu" hidden="1">{"TAB1",#N/A,TRUE,"GENERAL";"TAB2",#N/A,TRUE,"GENERAL";"TAB3",#N/A,TRUE,"GENERAL";"TAB4",#N/A,TRUE,"GENERAL";"TAB5",#N/A,TRUE,"GENERAL"}</definedName>
    <definedName name="ytuytfgh" hidden="1">{"via1",#N/A,TRUE,"general";"via2",#N/A,TRUE,"general";"via3",#N/A,TRUE,"general"}</definedName>
    <definedName name="yty" hidden="1">{"TAB1",#N/A,TRUE,"GENERAL";"TAB2",#N/A,TRUE,"GENERAL";"TAB3",#N/A,TRUE,"GENERAL";"TAB4",#N/A,TRUE,"GENERAL";"TAB5",#N/A,TRUE,"GENERAL"}</definedName>
    <definedName name="ytyyh" hidden="1">{"via1",#N/A,TRUE,"general";"via2",#N/A,TRUE,"general";"via3",#N/A,TRUE,"general"}</definedName>
    <definedName name="ytzacdfg" hidden="1">{"TAB1",#N/A,TRUE,"GENERAL";"TAB2",#N/A,TRUE,"GENERAL";"TAB3",#N/A,TRUE,"GENERAL";"TAB4",#N/A,TRUE,"GENERAL";"TAB5",#N/A,TRUE,"GENERAL"}</definedName>
    <definedName name="yu" hidden="1">{"TAB1",#N/A,TRUE,"GENERAL";"TAB2",#N/A,TRUE,"GENERAL";"TAB3",#N/A,TRUE,"GENERAL";"TAB4",#N/A,TRUE,"GENERAL";"TAB5",#N/A,TRUE,"GENERAL"}</definedName>
    <definedName name="yudre54" hidden="1">{"TAB1",#N/A,TRUE,"GENERAL";"TAB2",#N/A,TRUE,"GENERAL";"TAB3",#N/A,TRUE,"GENERAL";"TAB4",#N/A,TRUE,"GENERAL";"TAB5",#N/A,TRUE,"GENERAL"}</definedName>
    <definedName name="yuhgh" hidden="1">{"TAB1",#N/A,TRUE,"GENERAL";"TAB2",#N/A,TRUE,"GENERAL";"TAB3",#N/A,TRUE,"GENERAL";"TAB4",#N/A,TRUE,"GENERAL";"TAB5",#N/A,TRUE,"GENERAL"}</definedName>
    <definedName name="YUI" hidden="1">{"ANAR",#N/A,FALSE,"Dist total";"MARGEN",#N/A,FALSE,"Dist total";"COMENTARIO",#N/A,FALSE,"Ficha CODICE";"CONSEJO",#N/A,FALSE,"Dist p0";"uno",#N/A,FALSE,"Dist total"}</definedName>
    <definedName name="YUIYU" hidden="1">{#N/A,#N/A,FALSE,"Solids Only"}</definedName>
    <definedName name="YUTREFSF" hidden="1">{#N/A,#N/A,FALSE,"PERSONAL"}</definedName>
    <definedName name="YUTTYE" hidden="1">{#N/A,#N/A,FALSE,"Solids &amp; Flow"}</definedName>
    <definedName name="yutu" hidden="1">{"via1",#N/A,TRUE,"general";"via2",#N/A,TRUE,"general";"via3",#N/A,TRUE,"general"}</definedName>
    <definedName name="YUTY" hidden="1">{#N/A,#N/A,FALSE,"Solids Only"}</definedName>
    <definedName name="yuuiiy" hidden="1">{"via1",#N/A,TRUE,"general";"via2",#N/A,TRUE,"general";"via3",#N/A,TRUE,"general"}</definedName>
    <definedName name="yuuuuuu" hidden="1">{"via1",#N/A,TRUE,"general";"via2",#N/A,TRUE,"general";"via3",#N/A,TRUE,"general"}</definedName>
    <definedName name="yy" hidden="1">{"via1",#N/A,TRUE,"general";"via2",#N/A,TRUE,"general";"via3",#N/A,TRUE,"general"}</definedName>
    <definedName name="yyui" hidden="1">{#N/A,#N/A,FALSE,"단축1";#N/A,#N/A,FALSE,"단축2";#N/A,#N/A,FALSE,"단축3";#N/A,#N/A,FALSE,"장축";#N/A,#N/A,FALSE,"4WD"}</definedName>
    <definedName name="yyy" hidden="1">{"TAB1",#N/A,TRUE,"GENERAL";"TAB2",#N/A,TRUE,"GENERAL";"TAB3",#N/A,TRUE,"GENERAL";"TAB4",#N/A,TRUE,"GENERAL";"TAB5",#N/A,TRUE,"GENERAL"}</definedName>
    <definedName name="yyyuh" hidden="1">{"TAB1",#N/A,TRUE,"GENERAL";"TAB2",#N/A,TRUE,"GENERAL";"TAB3",#N/A,TRUE,"GENERAL";"TAB4",#N/A,TRUE,"GENERAL";"TAB5",#N/A,TRUE,"GENERAL"}</definedName>
    <definedName name="yyyyhhh" hidden="1">{"TAB1",#N/A,TRUE,"GENERAL";"TAB2",#N/A,TRUE,"GENERAL";"TAB3",#N/A,TRUE,"GENERAL";"TAB4",#N/A,TRUE,"GENERAL";"TAB5",#N/A,TRUE,"GENERAL"}</definedName>
    <definedName name="yyyyy" hidden="1">{#N/A,#N/A,FALSE,"Costos Productos 6A";#N/A,#N/A,FALSE,"Costo Unitario Total H-94-12"}</definedName>
    <definedName name="yyyyyf" hidden="1">{"via1",#N/A,TRUE,"general";"via2",#N/A,TRUE,"general";"via3",#N/A,TRUE,"general"}</definedName>
    <definedName name="yyyyyy" hidden="1">{#N/A,#N/A,FALSE,"Costos Productos 6A";#N/A,#N/A,FALSE,"Costo Unitario Total H-94-12"}</definedName>
    <definedName name="YYYYYYYYYYY" hidden="1">#REF!</definedName>
    <definedName name="YZ" hidden="1">{#N/A,#N/A,FALSE,"TABLE"}</definedName>
    <definedName name="z" hidden="1">#REF!</definedName>
    <definedName name="Z_026CD6D7_F7CA_4BE8_B625_9A1778CFA739_.wvu.FilterData" hidden="1">#REF!</definedName>
    <definedName name="Z_026CD6D7_F7CA_4BE8_B625_9A1778CFA739_.wvu.PrintArea" hidden="1">#REF!</definedName>
    <definedName name="Z_026CD6D7_F7CA_4BE8_B625_9A1778CFA739_.wvu.PrintTitles" hidden="1">#REF!</definedName>
    <definedName name="Z_05670E35_1347_49D9_AD91_AA9A31A4EF61_.wvu.FilterData" hidden="1">#REF!</definedName>
    <definedName name="Z_05670E35_1347_49D9_AD91_AA9A31A4EF61_.wvu.PrintArea" hidden="1">#REF!</definedName>
    <definedName name="Z_05670E35_1347_49D9_AD91_AA9A31A4EF61_.wvu.PrintTitles" hidden="1">#REF!</definedName>
    <definedName name="Z_0890F28A_A8C8_451C_A3E6_C3AFDD239B64_.wvu.FilterData" hidden="1">#REF!</definedName>
    <definedName name="Z_0890F28A_A8C8_451C_A3E6_C3AFDD239B64_.wvu.PrintArea" hidden="1">#REF!</definedName>
    <definedName name="Z_0890F28A_A8C8_451C_A3E6_C3AFDD239B64_.wvu.PrintTitles" hidden="1">#REF!</definedName>
    <definedName name="Z_0A4C2D72_EA87_11DA_B6F6_00609720E0A1_.wvu.FilterData" hidden="1">#REF!</definedName>
    <definedName name="Z_0A4C2D72_EA87_11DA_B6F6_00609720E0A1_.wvu.PrintArea" hidden="1">#REF!</definedName>
    <definedName name="Z_0A4C2D72_EA87_11DA_B6F6_00609720E0A1_.wvu.PrintTitles" hidden="1">#REF!</definedName>
    <definedName name="Z_0A4C2D73_EA87_11DA_B6F6_00609720E0A1_.wvu.FilterData" hidden="1">#REF!</definedName>
    <definedName name="Z_0A4C2D73_EA87_11DA_B6F6_00609720E0A1_.wvu.PrintArea" hidden="1">#REF!</definedName>
    <definedName name="Z_0A4C2D73_EA87_11DA_B6F6_00609720E0A1_.wvu.PrintTitles" hidden="1">#REF!</definedName>
    <definedName name="Z_0A4C2D74_EA87_11DA_B6F6_00609720E0A1_.wvu.FilterData" hidden="1">#REF!</definedName>
    <definedName name="Z_0A4C2D74_EA87_11DA_B6F6_00609720E0A1_.wvu.PrintArea" hidden="1">#REF!</definedName>
    <definedName name="Z_0A4C2D74_EA87_11DA_B6F6_00609720E0A1_.wvu.PrintTitles" hidden="1">#REF!</definedName>
    <definedName name="Z_0A4C2D75_EA87_11DA_B6F6_00609720E0A1_.wvu.FilterData" hidden="1">#REF!</definedName>
    <definedName name="Z_0A4C2D75_EA87_11DA_B6F6_00609720E0A1_.wvu.PrintArea" hidden="1">#REF!</definedName>
    <definedName name="Z_0A4C2D75_EA87_11DA_B6F6_00609720E0A1_.wvu.PrintTitles" hidden="1">#REF!</definedName>
    <definedName name="Z_0A4C2D76_EA87_11DA_B6F6_00609720E0A1_.wvu.FilterData" hidden="1">#REF!</definedName>
    <definedName name="Z_0A4C2D76_EA87_11DA_B6F6_00609720E0A1_.wvu.PrintArea" hidden="1">#REF!</definedName>
    <definedName name="Z_0A4C2D76_EA87_11DA_B6F6_00609720E0A1_.wvu.PrintTitles" hidden="1">#REF!</definedName>
    <definedName name="Z_0E0DE1F8_394A_4093_8E74_B2A631A3A88C_.wvu.FilterData" hidden="1">#REF!</definedName>
    <definedName name="Z_0E0DE1F8_394A_4093_8E74_B2A631A3A88C_.wvu.PrintArea" hidden="1">#REF!</definedName>
    <definedName name="Z_0E0DE1F8_394A_4093_8E74_B2A631A3A88C_.wvu.PrintTitles" hidden="1">#REF!</definedName>
    <definedName name="Z_18C710ED_70CF_48D0_92F5_038A88335068_.wvu.FilterData" hidden="1">#REF!</definedName>
    <definedName name="Z_18C710ED_70CF_48D0_92F5_038A88335068_.wvu.PrintArea" hidden="1">#REF!</definedName>
    <definedName name="Z_18C710ED_70CF_48D0_92F5_038A88335068_.wvu.PrintTitles" hidden="1">#REF!</definedName>
    <definedName name="Z_1F15347C_EA70_491F_A73D_DE5CDEF7875A_.wvu.PrintTitles" hidden="1">#REF!</definedName>
    <definedName name="Z_235A93C1_87C6_11D4_BB51_444553540000_.wvu.Cols" hidden="1">#REF!,#REF!</definedName>
    <definedName name="Z_235A93C2_87C6_11D4_BB51_444553540000_.wvu.Cols" hidden="1">#REF!,#REF!</definedName>
    <definedName name="Z_235A93C3_87C6_11D4_BB51_444553540000_.wvu.Cols" hidden="1">#REF!,#REF!</definedName>
    <definedName name="Z_235A93C4_87C6_11D4_BB51_444553540000_.wvu.Cols" hidden="1">#REF!,#REF!</definedName>
    <definedName name="Z_235A93C5_87C6_11D4_BB51_444553540000_.wvu.Cols" hidden="1">#REF!,#REF!</definedName>
    <definedName name="Z_235A93C6_87C6_11D4_BB51_444553540000_.wvu.Cols" hidden="1">#REF!,#REF!</definedName>
    <definedName name="Z_235A93C7_87C6_11D4_BB51_444553540000_.wvu.Cols" hidden="1">#REF!,#REF!</definedName>
    <definedName name="Z_378D82E8_FE69_4712_AE73_9D578C4190DE_.wvu.FilterData" hidden="1">#REF!</definedName>
    <definedName name="Z_378D82E8_FE69_4712_AE73_9D578C4190DE_.wvu.PrintArea" hidden="1">#REF!</definedName>
    <definedName name="Z_378D82E8_FE69_4712_AE73_9D578C4190DE_.wvu.PrintTitles" hidden="1">#REF!</definedName>
    <definedName name="Z_381FCF61_DF95_4756_B103_A1118DFFDE02_.wvu.FilterData" hidden="1">#REF!</definedName>
    <definedName name="Z_381FCF61_DF95_4756_B103_A1118DFFDE02_.wvu.PrintArea" hidden="1">#REF!</definedName>
    <definedName name="Z_381FCF61_DF95_4756_B103_A1118DFFDE02_.wvu.PrintTitles" hidden="1">#REF!</definedName>
    <definedName name="Z_3B3C0CA1_2A9C_45FD_9823_50B200F6C0D1_.wvu.FilterData" hidden="1">#REF!</definedName>
    <definedName name="Z_3B3C0CA1_2A9C_45FD_9823_50B200F6C0D1_.wvu.PrintArea" hidden="1">#REF!</definedName>
    <definedName name="Z_3B3C0CA1_2A9C_45FD_9823_50B200F6C0D1_.wvu.PrintTitles" hidden="1">#REF!</definedName>
    <definedName name="Z_3E9430E5_6A83_435B_9E47_1B8F7E18D67C_.wvu.FilterData" hidden="1">#REF!</definedName>
    <definedName name="Z_3E9430E5_6A83_435B_9E47_1B8F7E18D67C_.wvu.PrintArea" hidden="1">#REF!</definedName>
    <definedName name="Z_3E9430E5_6A83_435B_9E47_1B8F7E18D67C_.wvu.PrintTitles" hidden="1">#REF!</definedName>
    <definedName name="Z_4A14CB5C_2287_4F6E_9A65_22F0A4D81D81_.wvu.FilterData" hidden="1">#REF!</definedName>
    <definedName name="Z_4A14CB5C_2287_4F6E_9A65_22F0A4D81D81_.wvu.PrintArea" hidden="1">#REF!</definedName>
    <definedName name="Z_4A14CB5C_2287_4F6E_9A65_22F0A4D81D81_.wvu.PrintTitles" hidden="1">#REF!</definedName>
    <definedName name="Z_4BBC24C4_A093_4EC9_8AFF_49C6F602CC39_.wvu.FilterData" hidden="1">#REF!</definedName>
    <definedName name="Z_4BBC24C4_A093_4EC9_8AFF_49C6F602CC39_.wvu.PrintArea" hidden="1">#REF!</definedName>
    <definedName name="Z_4BBC24C4_A093_4EC9_8AFF_49C6F602CC39_.wvu.PrintTitles" hidden="1">#REF!</definedName>
    <definedName name="Z_504A8F9D_2C46_439E_975A_DF1C1FA56E7B_.wvu.FilterData" hidden="1">#REF!</definedName>
    <definedName name="Z_504A8F9D_2C46_439E_975A_DF1C1FA56E7B_.wvu.PrintArea" hidden="1">#REF!</definedName>
    <definedName name="Z_504A8F9D_2C46_439E_975A_DF1C1FA56E7B_.wvu.PrintTitles" hidden="1">#REF!</definedName>
    <definedName name="Z_56770540_A97A_11D1_870B_00002143DF72_.wvu.Rows" hidden="1">#REF!,#REF!,#REF!,#REF!,#REF!,#REF!,#REF!,#REF!,#REF!,#REF!,#REF!,#REF!,#REF!</definedName>
    <definedName name="Z_5950F5A2_2290_11D4_B6FA_0000C0968CE7_.wvu.PrintArea" hidden="1">#REF!</definedName>
    <definedName name="Z_5950F5A2_2290_11D4_B6FA_0000C0968CE7_.wvu.Rows" hidden="1">#REF!,#REF!</definedName>
    <definedName name="Z_653348E7_CDAD_4F62_A236_641A4BB6425A_.wvu.FilterData" hidden="1">#REF!</definedName>
    <definedName name="Z_653348E7_CDAD_4F62_A236_641A4BB6425A_.wvu.PrintArea" hidden="1">#REF!</definedName>
    <definedName name="Z_653348E7_CDAD_4F62_A236_641A4BB6425A_.wvu.PrintTitles" hidden="1">#REF!</definedName>
    <definedName name="Z_68C48519_C8C2_4287_96F6_0F561F815CE8_.wvu.FilterData" hidden="1">#REF!</definedName>
    <definedName name="Z_68C48519_C8C2_4287_96F6_0F561F815CE8_.wvu.PrintArea" hidden="1">#REF!</definedName>
    <definedName name="Z_68C48519_C8C2_4287_96F6_0F561F815CE8_.wvu.PrintTitles" hidden="1">#REF!</definedName>
    <definedName name="Z_6BA141F2_E104_11DA_B6F6_00609720E0A1_.wvu.FilterData" hidden="1">#REF!</definedName>
    <definedName name="Z_6BA141F2_E104_11DA_B6F6_00609720E0A1_.wvu.PrintArea" hidden="1">#REF!</definedName>
    <definedName name="Z_6BA141F2_E104_11DA_B6F6_00609720E0A1_.wvu.PrintTitles" hidden="1">#REF!</definedName>
    <definedName name="Z_6BA141F3_E104_11DA_B6F6_00609720E0A1_.wvu.FilterData" hidden="1">#REF!</definedName>
    <definedName name="Z_6BA141F3_E104_11DA_B6F6_00609720E0A1_.wvu.PrintArea" hidden="1">#REF!</definedName>
    <definedName name="Z_6BA141F3_E104_11DA_B6F6_00609720E0A1_.wvu.PrintTitles" hidden="1">#REF!</definedName>
    <definedName name="Z_6BA141F4_E104_11DA_B6F6_00609720E0A1_.wvu.FilterData" hidden="1">#REF!</definedName>
    <definedName name="Z_6BA141F4_E104_11DA_B6F6_00609720E0A1_.wvu.PrintArea" hidden="1">#REF!</definedName>
    <definedName name="Z_6BA141F4_E104_11DA_B6F6_00609720E0A1_.wvu.PrintTitles" hidden="1">#REF!</definedName>
    <definedName name="Z_6BA141F5_E104_11DA_B6F6_00609720E0A1_.wvu.FilterData" hidden="1">#REF!</definedName>
    <definedName name="Z_6BA141F5_E104_11DA_B6F6_00609720E0A1_.wvu.PrintArea" hidden="1">#REF!</definedName>
    <definedName name="Z_6BA141F5_E104_11DA_B6F6_00609720E0A1_.wvu.PrintTitles" hidden="1">#REF!</definedName>
    <definedName name="Z_6BA141F6_E104_11DA_B6F6_00609720E0A1_.wvu.FilterData" hidden="1">#REF!</definedName>
    <definedName name="Z_6BA141F6_E104_11DA_B6F6_00609720E0A1_.wvu.PrintArea" hidden="1">#REF!</definedName>
    <definedName name="Z_6BA141F6_E104_11DA_B6F6_00609720E0A1_.wvu.PrintTitles" hidden="1">#REF!</definedName>
    <definedName name="Z_6CDBE1A1_8642_11D4_8E16_005004999978_.wvu.PrintTitles" hidden="1">#REF!</definedName>
    <definedName name="Z_6CDBE1A1_8642_11D4_8E16_005004999978_.wvu.Rows" hidden="1">#REF!,#REF!,#REF!,#REF!,#REF!</definedName>
    <definedName name="Z_6CDBE1A2_8642_11D4_8E16_005004999978_.wvu.PrintTitles" hidden="1">#REF!</definedName>
    <definedName name="Z_6CDBE1A2_8642_11D4_8E16_005004999978_.wvu.Rows" hidden="1">#REF!,#REF!,#REF!,#REF!,#REF!</definedName>
    <definedName name="Z_6CDBE1AE_8642_11D4_8E16_005004999978_.wvu.Cols" hidden="1">#REF!,#REF!</definedName>
    <definedName name="Z_6CDBE1AE_8642_11D4_8E16_005004999978_.wvu.PrintArea" hidden="1">#REF!</definedName>
    <definedName name="Z_6CDBE1AE_8642_11D4_8E16_005004999978_.wvu.Rows" hidden="1">#REF!,#REF!,#REF!,#REF!,#REF!</definedName>
    <definedName name="Z_6CDBE1AF_8642_11D4_8E16_005004999978_.wvu.Cols" hidden="1">#REF!,#REF!</definedName>
    <definedName name="Z_6CDBE1AF_8642_11D4_8E16_005004999978_.wvu.Rows" hidden="1">#REF!,#REF!,#REF!,#REF!,#REF!</definedName>
    <definedName name="Z_726673D2_C579_4EF3_83C7_45DC3792EA6A_.wvu.FilterData" hidden="1">#REF!</definedName>
    <definedName name="Z_726673D2_C579_4EF3_83C7_45DC3792EA6A_.wvu.PrintArea" hidden="1">#REF!</definedName>
    <definedName name="Z_726673D2_C579_4EF3_83C7_45DC3792EA6A_.wvu.PrintTitles" hidden="1">#REF!</definedName>
    <definedName name="Z_729969D8_DFDA_47B9_ADA2_E05CF62B3DEF_.wvu.FilterData" hidden="1">#REF!</definedName>
    <definedName name="Z_729969D8_DFDA_47B9_ADA2_E05CF62B3DEF_.wvu.PrintArea" hidden="1">#REF!</definedName>
    <definedName name="Z_729969D8_DFDA_47B9_ADA2_E05CF62B3DEF_.wvu.PrintTitles" hidden="1">#REF!</definedName>
    <definedName name="Z_75EDDC88_CA8C_4671_911D_25D74F37EC47_.wvu.FilterData" hidden="1">#REF!</definedName>
    <definedName name="Z_75EDDC88_CA8C_4671_911D_25D74F37EC47_.wvu.PrintArea" hidden="1">#REF!</definedName>
    <definedName name="Z_75EDDC88_CA8C_4671_911D_25D74F37EC47_.wvu.PrintTitles" hidden="1">#REF!</definedName>
    <definedName name="Z_80573755_2D8B_4158_BD3A_CC331B950748_.wvu.FilterData" hidden="1">#REF!</definedName>
    <definedName name="Z_80573755_2D8B_4158_BD3A_CC331B950748_.wvu.PrintArea" hidden="1">#REF!</definedName>
    <definedName name="Z_80573755_2D8B_4158_BD3A_CC331B950748_.wvu.PrintTitles" hidden="1">#REF!</definedName>
    <definedName name="Z_9C7B0D6D_4DDE_4C72_B23F_2E183F63ECB1_.wvu.FilterData" hidden="1">#REF!</definedName>
    <definedName name="Z_9C7B0D6D_4DDE_4C72_B23F_2E183F63ECB1_.wvu.PrintArea" hidden="1">#REF!</definedName>
    <definedName name="Z_9C7B0D6D_4DDE_4C72_B23F_2E183F63ECB1_.wvu.PrintTitles" hidden="1">#REF!</definedName>
    <definedName name="Z_9C8B6436_249F_426A_96DC_EEE5E7CB7D1B_.wvu.FilterData" hidden="1">#REF!</definedName>
    <definedName name="Z_9C8B6436_249F_426A_96DC_EEE5E7CB7D1B_.wvu.PrintArea" hidden="1">#REF!</definedName>
    <definedName name="Z_9C8B6436_249F_426A_96DC_EEE5E7CB7D1B_.wvu.PrintTitles" hidden="1">#REF!</definedName>
    <definedName name="Z_9FCFD0D5_270B_4F36_B422_02EF7A3700B8_.wvu.FilterData" hidden="1">#REF!</definedName>
    <definedName name="Z_9FCFD0D5_270B_4F36_B422_02EF7A3700B8_.wvu.PrintArea" hidden="1">#REF!</definedName>
    <definedName name="Z_9FCFD0D5_270B_4F36_B422_02EF7A3700B8_.wvu.PrintTitles" hidden="1">#REF!</definedName>
    <definedName name="Z_9FE8FF3F_4486_44D6_9AFB_43CC5B824BF9_.wvu.FilterData" hidden="1">#REF!</definedName>
    <definedName name="Z_9FE8FF3F_4486_44D6_9AFB_43CC5B824BF9_.wvu.PrintArea" hidden="1">#REF!</definedName>
    <definedName name="Z_9FE8FF3F_4486_44D6_9AFB_43CC5B824BF9_.wvu.PrintTitles" hidden="1">#REF!</definedName>
    <definedName name="Z_A3DE26BA_CF48_4654_9BE9_FAEB3C301C95_.wvu.FilterData" hidden="1">#REF!</definedName>
    <definedName name="Z_A3DE26BA_CF48_4654_9BE9_FAEB3C301C95_.wvu.PrintArea" hidden="1">#REF!</definedName>
    <definedName name="Z_A3DE26BA_CF48_4654_9BE9_FAEB3C301C95_.wvu.PrintTitles" hidden="1">#REF!</definedName>
    <definedName name="Z_AAA1DD33_F1E3_423A_B1F2_E8567F4D95A5_.wvu.FilterData" hidden="1">#REF!</definedName>
    <definedName name="Z_AAA1DD33_F1E3_423A_B1F2_E8567F4D95A5_.wvu.PrintArea" hidden="1">#REF!</definedName>
    <definedName name="Z_AAA1DD33_F1E3_423A_B1F2_E8567F4D95A5_.wvu.PrintTitles" hidden="1">#REF!</definedName>
    <definedName name="Z_B3255642_8A6B_11D5_916F_005004920FCB_.wvu.PrintTitles" hidden="1">#REF!</definedName>
    <definedName name="Z_B4899972_EBDC_11DA_B6F6_00609720E0A1_.wvu.FilterData" hidden="1">#REF!</definedName>
    <definedName name="Z_B4899972_EBDC_11DA_B6F6_00609720E0A1_.wvu.PrintArea" hidden="1">#REF!</definedName>
    <definedName name="Z_B4899972_EBDC_11DA_B6F6_00609720E0A1_.wvu.PrintTitles" hidden="1">#REF!</definedName>
    <definedName name="Z_B4899973_EBDC_11DA_B6F6_00609720E0A1_.wvu.FilterData" hidden="1">#REF!</definedName>
    <definedName name="Z_B4899973_EBDC_11DA_B6F6_00609720E0A1_.wvu.PrintArea" hidden="1">#REF!</definedName>
    <definedName name="Z_B4899973_EBDC_11DA_B6F6_00609720E0A1_.wvu.PrintTitles" hidden="1">#REF!</definedName>
    <definedName name="Z_B4899974_EBDC_11DA_B6F6_00609720E0A1_.wvu.FilterData" hidden="1">#REF!</definedName>
    <definedName name="Z_B4899974_EBDC_11DA_B6F6_00609720E0A1_.wvu.PrintArea" hidden="1">#REF!</definedName>
    <definedName name="Z_B4899974_EBDC_11DA_B6F6_00609720E0A1_.wvu.PrintTitles" hidden="1">#REF!</definedName>
    <definedName name="Z_B4899975_EBDC_11DA_B6F6_00609720E0A1_.wvu.FilterData" hidden="1">#REF!</definedName>
    <definedName name="Z_B4899975_EBDC_11DA_B6F6_00609720E0A1_.wvu.PrintArea" hidden="1">#REF!</definedName>
    <definedName name="Z_B4899975_EBDC_11DA_B6F6_00609720E0A1_.wvu.PrintTitles" hidden="1">#REF!</definedName>
    <definedName name="Z_B4899976_EBDC_11DA_B6F6_00609720E0A1_.wvu.FilterData" hidden="1">#REF!</definedName>
    <definedName name="Z_B4899976_EBDC_11DA_B6F6_00609720E0A1_.wvu.PrintArea" hidden="1">#REF!</definedName>
    <definedName name="Z_B4899976_EBDC_11DA_B6F6_00609720E0A1_.wvu.PrintTitles" hidden="1">#REF!</definedName>
    <definedName name="Z_C24E6469_C4CC_430B_8814_72DD019DF2C8_.wvu.FilterData" hidden="1">#REF!</definedName>
    <definedName name="Z_C24E6469_C4CC_430B_8814_72DD019DF2C8_.wvu.PrintArea" hidden="1">#REF!</definedName>
    <definedName name="Z_C24E6469_C4CC_430B_8814_72DD019DF2C8_.wvu.PrintTitles" hidden="1">#REF!</definedName>
    <definedName name="Z_CA61CA57_E7CE_4A4D_974A_F3124BCA2797_.wvu.FilterData" hidden="1">#REF!</definedName>
    <definedName name="Z_CA61CA57_E7CE_4A4D_974A_F3124BCA2797_.wvu.PrintArea" hidden="1">#REF!</definedName>
    <definedName name="Z_CA61CA57_E7CE_4A4D_974A_F3124BCA2797_.wvu.PrintTitles" hidden="1">#REF!</definedName>
    <definedName name="Z_DA4D5A8F_12FA_42F5_A8BB_526600E97433_.wvu.FilterData" hidden="1">#REF!</definedName>
    <definedName name="Z_DA4D5A8F_12FA_42F5_A8BB_526600E97433_.wvu.PrintArea" hidden="1">#REF!</definedName>
    <definedName name="Z_DA4D5A8F_12FA_42F5_A8BB_526600E97433_.wvu.PrintTitles" hidden="1">#REF!</definedName>
    <definedName name="Z_DEE952E1_FD1C_11D4_ADB1_00D0B74E2E7F_.wvu.Rows" hidden="1">#REF!</definedName>
    <definedName name="Z_DFB4C5EB_A8D3_475E_B627_EA98F95F9220_.wvu.FilterData" hidden="1">#REF!</definedName>
    <definedName name="Z_DFB4C5EB_A8D3_475E_B627_EA98F95F9220_.wvu.PrintArea" hidden="1">#REF!</definedName>
    <definedName name="Z_DFB4C5EB_A8D3_475E_B627_EA98F95F9220_.wvu.PrintTitles" hidden="1">#REF!</definedName>
    <definedName name="Z_E8FEE9A5_163A_11D2_AED0_0000E81DA68C_.wvu.Rows" hidden="1">#REF!</definedName>
    <definedName name="Z_EFB04AA6_723C_11D6_BF85_0050DA064609_.wvu.FilterData" hidden="1">#REF!</definedName>
    <definedName name="Z_F2B990A1_57B3_4766_8C3D_4D3A5265BAEF_.wvu.FilterData" hidden="1">#REF!</definedName>
    <definedName name="Z_F2B990A1_57B3_4766_8C3D_4D3A5265BAEF_.wvu.PrintArea" hidden="1">#REF!</definedName>
    <definedName name="Z_F2B990A1_57B3_4766_8C3D_4D3A5265BAEF_.wvu.PrintTitles" hidden="1">#REF!</definedName>
    <definedName name="Z_F9482E1F_92B8_43D8_949A_7DDCF2E63A19_.wvu.FilterData" hidden="1">#REF!</definedName>
    <definedName name="Z_F9482E1F_92B8_43D8_949A_7DDCF2E63A19_.wvu.PrintArea" hidden="1">#REF!</definedName>
    <definedName name="Z_F9482E1F_92B8_43D8_949A_7DDCF2E63A19_.wvu.PrintTitles" hidden="1">#REF!</definedName>
    <definedName name="ZA" hidden="1">{#N/A,#N/A,FALSE,"TABLE"}</definedName>
    <definedName name="ZAQ" hidden="1">{#N/A,#N/A,TRUE,"INGENIERIA";#N/A,#N/A,TRUE,"COMPRAS";#N/A,#N/A,TRUE,"DIRECCION";#N/A,#N/A,TRUE,"RESUMEN"}</definedName>
    <definedName name="ZAR">#REF!</definedName>
    <definedName name="zc" hidden="1">{#N/A,#N/A,FALSE,"TABLE"}</definedName>
    <definedName name="zcf" hidden="1">#REF!</definedName>
    <definedName name="zcoincidencefactor_001">#REF!</definedName>
    <definedName name="ZD" hidden="1">{"Sin detalle",#N/A,FALSE,"Flujo (redondeado)";"Detallado",#N/A,FALSE,"Flujo (redondeado)"}</definedName>
    <definedName name="zdervr" hidden="1">{"via1",#N/A,TRUE,"general";"via2",#N/A,TRUE,"general";"via3",#N/A,TRUE,"general"}</definedName>
    <definedName name="ZESTAW" hidden="1">{#N/A,#N/A,FALSE,"F-01";#N/A,#N/A,FALSE,"F-01";#N/A,#N/A,FALSE,"F-01"}</definedName>
    <definedName name="ZMK">#REF!</definedName>
    <definedName name="Zonas">#REF!</definedName>
    <definedName name="zsaa" hidden="1">{#N/A,#N/A,FALSE,"신규dep";#N/A,#N/A,FALSE,"신규dep-금형상각후";#N/A,#N/A,FALSE,"신규dep-연구비상각후";#N/A,#N/A,FALSE,"신규dep-기계,공구상각후"}</definedName>
    <definedName name="ZSDFGSERGASDGF" hidden="1">{"EVA",#N/A,FALSE,"SMT2";#N/A,#N/A,FALSE,"Summary";#N/A,#N/A,FALSE,"Graphs";#N/A,#N/A,FALSE,"4 Panel"}</definedName>
    <definedName name="ZWD">#REF!</definedName>
    <definedName name="ZX" hidden="1">#REF!</definedName>
    <definedName name="ZXC" hidden="1">{#N/A,#N/A,FALSE,"이태원철근"}</definedName>
    <definedName name="zxczds" hidden="1">{"TAB1",#N/A,TRUE,"GENERAL";"TAB2",#N/A,TRUE,"GENERAL";"TAB3",#N/A,TRUE,"GENERAL";"TAB4",#N/A,TRUE,"GENERAL";"TAB5",#N/A,TRUE,"GENERAL"}</definedName>
    <definedName name="zxd" hidden="1">{"ANAR",#N/A,FALSE,"Dist total";"MARGEN",#N/A,FALSE,"Dist total";"COMENTARIO",#N/A,FALSE,"Ficha CODICE";"CONSEJO",#N/A,FALSE,"Dist p0";"uno",#N/A,FALSE,"Dist total"}</definedName>
    <definedName name="zxdd" hidden="1">{"ANAR",#N/A,FALSE,"Dist total";"MARGEN",#N/A,FALSE,"Dist total";"COMENTARIO",#N/A,FALSE,"Ficha CODICE";"CONSEJO",#N/A,FALSE,"Dist p0";"uno",#N/A,FALSE,"Dist total"}</definedName>
    <definedName name="zxs" hidden="1">#REF!</definedName>
    <definedName name="zxsdftyu" hidden="1">{"via1",#N/A,TRUE,"general";"via2",#N/A,TRUE,"general";"via3",#N/A,TRUE,"general"}</definedName>
    <definedName name="zxvxczv" hidden="1">{"via1",#N/A,TRUE,"general";"via2",#N/A,TRUE,"general";"via3",#N/A,TRUE,"general"}</definedName>
    <definedName name="ZXXX" hidden="1">{#N/A,#N/A,FALSE,"TABLE"}</definedName>
    <definedName name="zy" hidden="1">{#N/A,#N/A,FALSE,"TABLE"}</definedName>
    <definedName name="ZZ">MATCH(0.01,End_Bal,-1)+1</definedName>
    <definedName name="zzcoincidencefactor_001">#REF!</definedName>
    <definedName name="zzv" hidden="1">{TRUE,TRUE,1,1,542,364,FALSE,FALSE,TRUE,FALSE,0,3,4,3,1,0.98,3,1,TRUE,TRUE,1,TRUE,1,FALSE,100,"Swvu.VIEW._.ALL.","ACwvu.VIEW._.ALL.",1,FALSE,FALSE,0,0,0.65,0.88,2,"&amp;C&amp;""Times""&amp;14&amp;BAnadrill Sales Plan  -  1995&amp;R&amp;""Times""&amp;9&amp;d     &amp;t","&amp;R&amp;""Times""Page &amp;p",TRUE,TRUE,FALSE,FALSE,2,100,#N/A,#N/A,"=R1C1:R112C32",FALSE,#N/A,#N/A,FALSE,FALSE}</definedName>
    <definedName name="zzz" hidden="1">{#N/A,#N/A,FALSE,"Costos Productos 6A";#N/A,#N/A,FALSE,"Costo Unitario Total H-94-12"}</definedName>
    <definedName name="ZZZZ" hidden="1">#REF!</definedName>
    <definedName name="ZZZZZ" hidden="1">{"CONSEJO",#N/A,FALSE,"Dist p0";"CONSEJO",#N/A,FALSE,"Ficha CODICE"}</definedName>
    <definedName name="ZZZZZZ" hidden="1">{#N/A,#N/A,FALSE,"VOL695";#N/A,#N/A,FALSE,"anexo1";#N/A,#N/A,FALSE,"anexo2";#N/A,#N/A,FALSE,"anexo3";#N/A,#N/A,FALSE,"anexo4";#N/A,#N/A,FALSE,"anexo5a";#N/A,#N/A,FALSE,"anexo5b";#N/A,#N/A,FALSE,"anexo6a";#N/A,#N/A,FALSE,"anexo6a";#N/A,#N/A,FALSE,"anexo6c";#N/A,#N/A,FALSE,"anexo7a";#N/A,#N/A,FALSE,"anexo7b";#N/A,#N/A,FALSE,"anexo7c"}</definedName>
    <definedName name="zzzzzzz" hidden="1">#REF!</definedName>
    <definedName name="zzzzzzzzz" hidden="1">{#N/A,#N/A,FALSE,"DITCAR";#N/A,#N/A,FALSE,"a1";#N/A,#N/A,FALSE,"a2";#N/A,#N/A,FALSE,"a3";#N/A,#N/A,FALSE,"a4";#N/A,#N/A,FALSE,"a4a";#N/A,#N/A,FALSE,"a4B";#N/A,#N/A,FALSE,"a4C";#N/A,#N/A,FALSE,"A5a ";#N/A,#N/A,FALSE,"A5b";#N/A,#N/A,FALSE,"A6A";#N/A,#N/A,FALSE,"A6B";#N/A,#N/A,FALSE,"A6C";#N/A,#N/A,FALSE,"04PG12NB"}</definedName>
    <definedName name="zzzzzzzzz_1" hidden="1">{#N/A,#N/A,FALSE,"DITCAR";#N/A,#N/A,FALSE,"a1";#N/A,#N/A,FALSE,"a2";#N/A,#N/A,FALSE,"a3";#N/A,#N/A,FALSE,"a4";#N/A,#N/A,FALSE,"a4a";#N/A,#N/A,FALSE,"a4B";#N/A,#N/A,FALSE,"a4C";#N/A,#N/A,FALSE,"A5a ";#N/A,#N/A,FALSE,"A5b";#N/A,#N/A,FALSE,"A6A";#N/A,#N/A,FALSE,"A6B";#N/A,#N/A,FALSE,"A6C";#N/A,#N/A,FALSE,"04PG12NB"}</definedName>
    <definedName name="ZZZZZZZZZZZ">#REF!</definedName>
    <definedName name="zzzzzzzzzzzzzzzzzzzzzzzzzz" hidden="1">{"ANAR",#N/A,FALSE,"Dist total";"MARGEN",#N/A,FALSE,"Dist total";"COMENTARIO",#N/A,FALSE,"Ficha CODICE";"CONSEJO",#N/A,FALSE,"Dist p0";"uno",#N/A,FALSE,"Dist total"}</definedName>
    <definedName name="ㄱㄱ" hidden="1">{#N/A,#N/A,FALSE,"TABLE"}</definedName>
    <definedName name="ㄱㄱㄱ" hidden="1">{#N/A,#N/A,FALSE,"이태원철근"}</definedName>
    <definedName name="ㄱㄱㄱㄱ" hidden="1">{#N/A,#N/A,FALSE,"이태원철근"}</definedName>
    <definedName name="ㄱㄱㄱㄱㄱ"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ㄱㄱㄱㄱㄱㄱㄱㄱㄱㄱㄱㄱㄱㄱㄱㄱㄱㄱ" hidden="1">{#N/A,#N/A,FALSE,"단축1";#N/A,#N/A,FALSE,"단축2";#N/A,#N/A,FALSE,"단축3";#N/A,#N/A,FALSE,"장축";#N/A,#N/A,FALSE,"4WD"}</definedName>
    <definedName name="ㄱㄱㄱㄱㄱㄱㄱㄱㄱㄱㄱㄱㄱㄱㄱㄱㄱㄱㄱㄱㄱㄱㄱㄱㄱㄱㄱㄱㄱㄱㄱ" hidden="1">{#N/A,#N/A,FALSE,"단축1";#N/A,#N/A,FALSE,"단축2";#N/A,#N/A,FALSE,"단축3";#N/A,#N/A,FALSE,"장축";#N/A,#N/A,FALSE,"4WD"}</definedName>
    <definedName name="ㄱ미" hidden="1">{#N/A,#N/A,TRUE,"Basic";#N/A,#N/A,TRUE,"EXT-TABLE";#N/A,#N/A,TRUE,"STEEL";#N/A,#N/A,TRUE,"INT-Table";#N/A,#N/A,TRUE,"STEEL";#N/A,#N/A,TRUE,"Door"}</definedName>
    <definedName name="ㄱ쇽숏교" hidden="1">{#N/A,#N/A,FALSE,"이태원철근"}</definedName>
    <definedName name="ㄱ숏ㄱ요오헐" hidden="1">{#N/A,#N/A,FALSE,"이태원철근"}</definedName>
    <definedName name="ㄱㅇ" hidden="1">{#N/A,#N/A,FALSE,"단축1";#N/A,#N/A,FALSE,"단축2";#N/A,#N/A,FALSE,"단축3";#N/A,#N/A,FALSE,"장축";#N/A,#N/A,FALSE,"4WD"}</definedName>
    <definedName name="가" hidden="1">#REF!</definedName>
    <definedName name="가가" hidden="1">{#N/A,#N/A,FALSE,"단축1";#N/A,#N/A,FALSE,"단축2";#N/A,#N/A,FALSE,"단축3";#N/A,#N/A,FALSE,"장축";#N/A,#N/A,FALSE,"4WD"}</definedName>
    <definedName name="가나" hidden="1">{"'5'!$A$1:$BB$147"}</definedName>
    <definedName name="가나다" hidden="1">{"'5'!$A$1:$BB$147"}</definedName>
    <definedName name="가다라다라" hidden="1">{"'5'!$A$1:$BB$147"}</definedName>
    <definedName name="가다자자다" hidden="1">{"'5'!$A$1:$BB$147"}</definedName>
    <definedName name="가자나다라" hidden="1">{"'5'!$A$1:$BB$147"}</definedName>
    <definedName name="가자자라다라" hidden="1">{"'5'!$A$1:$BB$147"}</definedName>
    <definedName name="감" hidden="1">{"'표지'!$B$5"}</definedName>
    <definedName name="강강농" hidden="1">{#N/A,#N/A,FALSE,"단축1";#N/A,#N/A,FALSE,"단축2";#N/A,#N/A,FALSE,"단축3";#N/A,#N/A,FALSE,"장축";#N/A,#N/A,FALSE,"4WD"}</definedName>
    <definedName name="강릉교동" hidden="1">#REF!</definedName>
    <definedName name="강릉교동터파기" hidden="1">#REF!</definedName>
    <definedName name="강릉교동토목" hidden="1">#REF!</definedName>
    <definedName name="강릉교동흙막이" hidden="1">#REF!</definedName>
    <definedName name="강릉토공사" hidden="1">#REF!</definedName>
    <definedName name="강릉토목공사" hidden="1">#REF!</definedName>
    <definedName name="강릉토목임" hidden="1">#REF!</definedName>
    <definedName name="개발시험종합" hidden="1">#REF!</definedName>
    <definedName name="개발일정수정" hidden="1">{#N/A,#N/A,FALSE,"단축1";#N/A,#N/A,FALSE,"단축2";#N/A,#N/A,FALSE,"단축3";#N/A,#N/A,FALSE,"장축";#N/A,#N/A,FALSE,"4WD"}</definedName>
    <definedName name="개선과장1" hidden="1">{#N/A,#N/A,FALSE,"단축1";#N/A,#N/A,FALSE,"단축2";#N/A,#N/A,FALSE,"단축3";#N/A,#N/A,FALSE,"장축";#N/A,#N/A,FALSE,"4WD"}</definedName>
    <definedName name="개선과정" hidden="1">{#N/A,#N/A,FALSE,"단축1";#N/A,#N/A,FALSE,"단축2";#N/A,#N/A,FALSE,"단축3";#N/A,#N/A,FALSE,"장축";#N/A,#N/A,FALSE,"4WD"}</definedName>
    <definedName name="개선과제1" hidden="1">{#N/A,#N/A,FALSE,"단축1";#N/A,#N/A,FALSE,"단축2";#N/A,#N/A,FALSE,"단축3";#N/A,#N/A,FALSE,"장축";#N/A,#N/A,FALSE,"4WD"}</definedName>
    <definedName name="개선내용" hidden="1">{#N/A,#N/A,TRUE,"Y생산";#N/A,#N/A,TRUE,"Y판매";#N/A,#N/A,TRUE,"Y총물량";#N/A,#N/A,TRUE,"Y능력";#N/A,#N/A,TRUE,"YKD"}</definedName>
    <definedName name="개선실적" hidden="1">{#N/A,#N/A,TRUE,"Y생산";#N/A,#N/A,TRUE,"Y판매";#N/A,#N/A,TRUE,"Y총물량";#N/A,#N/A,TRUE,"Y능력";#N/A,#N/A,TRUE,"YKD"}</definedName>
    <definedName name="거짓말" hidden="1">{#N/A,#N/A,FALSE,"단축1";#N/A,#N/A,FALSE,"단축2";#N/A,#N/A,FALSE,"단축3";#N/A,#N/A,FALSE,"장축";#N/A,#N/A,FALSE,"4WD"}</definedName>
    <definedName name="걸" hidden="1">{#N/A,#N/A,FALSE,"단축1";#N/A,#N/A,FALSE,"단축2";#N/A,#N/A,FALSE,"단축3";#N/A,#N/A,FALSE,"장축";#N/A,#N/A,FALSE,"4WD"}</definedName>
    <definedName name="겉표지" hidden="1">{#N/A,#N/A,TRUE,"Basic";#N/A,#N/A,TRUE,"EXT-TABLE";#N/A,#N/A,TRUE,"STEEL";#N/A,#N/A,TRUE,"INT-Table";#N/A,#N/A,TRUE,"STEEL";#N/A,#N/A,TRUE,"Door"}</definedName>
    <definedName name="견적" hidden="1">{#N/A,#N/A,FALSE,"CCTV"}</definedName>
    <definedName name="견적2" hidden="1">{#N/A,#N/A,FALSE,"CCTV"}</definedName>
    <definedName name="견적list3" hidden="1">{#N/A,#N/A,FALSE,"단축1";#N/A,#N/A,FALSE,"단축2";#N/A,#N/A,FALSE,"단축3";#N/A,#N/A,FALSE,"장축";#N/A,#N/A,FALSE,"4WD"}</definedName>
    <definedName name="견적SHEET" hidden="1">{#N/A,#N/A,FALSE,"CCTV"}</definedName>
    <definedName name="견적조건" hidden="1">#REF!</definedName>
    <definedName name="경"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로별" hidden="1">{"'5'!$A$1:$BB$147"}</definedName>
    <definedName name="경수" hidden="1">{#N/A,#N/A,FALSE,"도급대비시행율";#N/A,#N/A,FALSE,"결의서";#N/A,#N/A,FALSE,"내역서";#N/A,#N/A,FALSE,"도급예상"}</definedName>
    <definedName name="경수을지"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영" hidden="1">#REF!</definedName>
    <definedName name="계약고햔황2" hidden="1">#REF!</definedName>
    <definedName name="계약고현황2" hidden="1">#REF!</definedName>
    <definedName name="계획" hidden="1">{#N/A,#N/A,FALSE,"단축1";#N/A,#N/A,FALSE,"단축2";#N/A,#N/A,FALSE,"단축3";#N/A,#N/A,FALSE,"장축";#N/A,#N/A,FALSE,"4WD"}</definedName>
    <definedName name="계획.1" hidden="1">{#N/A,#N/A,FALSE,"단축1";#N/A,#N/A,FALSE,"단축2";#N/A,#N/A,FALSE,"단축3";#N/A,#N/A,FALSE,"장축";#N/A,#N/A,FALSE,"4WD"}</definedName>
    <definedName name="계획1" hidden="1">{#N/A,#N/A,FALSE,"단축1";#N/A,#N/A,FALSE,"단축2";#N/A,#N/A,FALSE,"단축3";#N/A,#N/A,FALSE,"장축";#N/A,#N/A,FALSE,"4WD"}</definedName>
    <definedName name="계획3" hidden="1">{"Acq_matrix",#N/A,FALSE,"Acquisition Matrix"}</definedName>
    <definedName name="계획표지" hidden="1">{#N/A,#N/A,FALSE,"단축1";#N/A,#N/A,FALSE,"단축2";#N/A,#N/A,FALSE,"단축3";#N/A,#N/A,FALSE,"장축";#N/A,#N/A,FALSE,"4WD"}</definedName>
    <definedName name="골" hidden="1">{#N/A,#N/A,FALSE,"단축1";#N/A,#N/A,FALSE,"단축2";#N/A,#N/A,FALSE,"단축3";#N/A,#N/A,FALSE,"장축";#N/A,#N/A,FALSE,"4WD"}</definedName>
    <definedName name="공공" hidden="1">{#N/A,#N/A,FALSE,"단축1";#N/A,#N/A,FALSE,"단축2";#N/A,#N/A,FALSE,"단축3";#N/A,#N/A,FALSE,"장축";#N/A,#N/A,FALSE,"4WD"}</definedName>
    <definedName name="공공공표"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급"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급표표"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사손익" hidden="1">#REF!</definedName>
    <definedName name="공사하도급입력" hidden="1">{#N/A,#N/A,FALSE,"자재비 (2)";#N/A,#N/A,FALSE,"공사비 (2)";#N/A,#N/A,FALSE,"설계외주비";#N/A,#N/A,FALSE,"노무비";#N/A,#N/A,FALSE,"기계장치비";#N/A,#N/A,FALSE,"경비"}</definedName>
    <definedName name="공사현황2" hidden="1">{#N/A,#N/A,FALSE,"이태원철근"}</definedName>
    <definedName name="공성환" hidden="1">{#N/A,#N/A,FALSE,"단축1";#N/A,#N/A,FALSE,"단축2";#N/A,#N/A,FALSE,"단축3";#N/A,#N/A,FALSE,"장축";#N/A,#N/A,FALSE,"4WD"}</definedName>
    <definedName name="공장현황" hidden="1">{#N/A,#N/A,TRUE,"Y생산";#N/A,#N/A,TRUE,"Y판매";#N/A,#N/A,TRUE,"Y총물량";#N/A,#N/A,TRUE,"Y능력";#N/A,#N/A,TRUE,"YKD"}</definedName>
    <definedName name="공통비" hidden="1">#REF!</definedName>
    <definedName name="광주" hidden="1">{"'5'!$A$1:$BB$147"}</definedName>
    <definedName name="광주추진" hidden="1">{"'5'!$A$1:$BB$147"}</definedName>
    <definedName name="교동토" hidden="1">#REF!</definedName>
    <definedName name="교동토목" hidden="1">{#N/A,#N/A,FALSE,"이태원철근"}</definedName>
    <definedName name="교동토목공사" hidden="1">{#N/A,#N/A,FALSE,"이태원철근"}</definedName>
    <definedName name="교ㅗ" hidden="1">{#N/A,#N/A,FALSE,"이태원철근"}</definedName>
    <definedName name="구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구"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구국"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기달성" hidden="1">{"targetdcf",#N/A,FALSE,"Merger consequences";"TARGETASSU",#N/A,FALSE,"Merger consequences";"TERMINAL VALUE",#N/A,FALSE,"Merger consequences"}</definedName>
    <definedName name="구매기획" hidden="1">{"AQUIRORDCF",#N/A,FALSE,"Merger consequences";"Acquirorassns",#N/A,FALSE,"Merger consequences"}</definedName>
    <definedName name="구분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입"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자관" hidden="1">{#N/A,#N/A,FALSE,"신청통보";#N/A,#N/A,FALSE,"기성확인서";#N/A,#N/A,FALSE,"기성내역서"}</definedName>
    <definedName name="국구구" hidden="1">{#N/A,#N/A,FALSE,"단축1";#N/A,#N/A,FALSE,"단축2";#N/A,#N/A,FALSE,"단축3";#N/A,#N/A,FALSE,"장축";#N/A,#N/A,FALSE,"4WD"}</definedName>
    <definedName name="근거2" hidden="1">{#N/A,#N/A,FALSE,"단축1";#N/A,#N/A,FALSE,"단축2";#N/A,#N/A,FALSE,"단축3";#N/A,#N/A,FALSE,"장축";#N/A,#N/A,FALSE,"4WD"}</definedName>
    <definedName name="금형" hidden="1">{#N/A,#N/A,FALSE,"단축1";#N/A,#N/A,FALSE,"단축2";#N/A,#N/A,FALSE,"단축3";#N/A,#N/A,FALSE,"장축";#N/A,#N/A,FALSE,"4WD"}</definedName>
    <definedName name="금형편성표" hidden="1">{#N/A,#N/A,FALSE,"단축1";#N/A,#N/A,FALSE,"단축2";#N/A,#N/A,FALSE,"단축3";#N/A,#N/A,FALSE,"장축";#N/A,#N/A,FALSE,"4WD"}</definedName>
    <definedName name="기아" hidden="1">{"'5'!$A$1:$BB$147"}</definedName>
    <definedName name="기전1" hidden="1">{#N/A,#N/A,FALSE,"TABLE"}</definedName>
    <definedName name="기존안비교" hidden="1">{#N/A,#N/A,FALSE,"단축1";#N/A,#N/A,FALSE,"단축2";#N/A,#N/A,FALSE,"단축3";#N/A,#N/A,FALSE,"장축";#N/A,#N/A,FALSE,"4WD"}</definedName>
    <definedName name="기획" hidden="1">{"targetdcf",#N/A,FALSE,"Merger consequences";"TARGETASSU",#N/A,FALSE,"Merger consequences";"TERMINAL VALUE",#N/A,FALSE,"Merger consequences"}</definedName>
    <definedName name="길화"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건" hidden="1">{#N/A,#N/A,FALSE,"도급대비시행율";#N/A,#N/A,FALSE,"결의서";#N/A,#N/A,FALSE,"내역서";#N/A,#N/A,FALSE,"도급예상"}</definedName>
    <definedName name="길화건업" hidden="1">{#N/A,#N/A,FALSE,"집계";#N/A,#N/A,FALSE,"표지";#N/A,#N/A,FALSE,"터빈집계";#N/A,#N/A,FALSE,"터빈내역";#N/A,#N/A,FALSE,"주제어집계";#N/A,#N/A,FALSE,"주제어내역";#N/A,#N/A,FALSE,"보일러집계";#N/A,#N/A,FALSE,"보일러내역"}</definedName>
    <definedName name="김" hidden="1">{#N/A,#N/A,TRUE,"Basic";#N/A,#N/A,TRUE,"EXT-TABLE";#N/A,#N/A,TRUE,"STEEL";#N/A,#N/A,TRUE,"INT-Table";#N/A,#N/A,TRUE,"STEEL";#N/A,#N/A,TRUE,"Door"}</definedName>
    <definedName name="김1" hidden="1">{#N/A,#N/A,TRUE,"Basic";#N/A,#N/A,TRUE,"EXT-TABLE";#N/A,#N/A,TRUE,"STEEL";#N/A,#N/A,TRUE,"INT-Table";#N/A,#N/A,TRUE,"STEEL";#N/A,#N/A,TRUE,"Door"}</definedName>
    <definedName name="김3" hidden="1">{#N/A,#N/A,TRUE,"Basic";#N/A,#N/A,TRUE,"EXT-TABLE";#N/A,#N/A,TRUE,"STEEL";#N/A,#N/A,TRUE,"INT-Table";#N/A,#N/A,TRUE,"STEEL";#N/A,#N/A,TRUE,"Door"}</definedName>
    <definedName name="김베" hidden="1">{#N/A,#N/A,FALSE,"단축1";#N/A,#N/A,FALSE,"단축2";#N/A,#N/A,FALSE,"단축3";#N/A,#N/A,FALSE,"장축";#N/A,#N/A,FALSE,"4WD"}</definedName>
    <definedName name="김상억"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김석철" hidden="1">{#N/A,#N/A,FALSE,"TABLE"}</definedName>
    <definedName name="김영" hidden="1">{#N/A,#N/A,FALSE,"단축1";#N/A,#N/A,FALSE,"단축2";#N/A,#N/A,FALSE,"단축3";#N/A,#N/A,FALSE,"장축";#N/A,#N/A,FALSE,"4WD"}</definedName>
    <definedName name="김인섭" hidden="1">{"'5'!$A$1:$BB$147"}</definedName>
    <definedName name="김정희" hidden="1">{"'5'!$A$1:$BB$147"}</definedName>
    <definedName name="김차" hidden="1">{#N/A,#N/A,FALSE,"단축1";#N/A,#N/A,FALSE,"단축2";#N/A,#N/A,FALSE,"단축3";#N/A,#N/A,FALSE,"장축";#N/A,#N/A,FALSE,"4WD"}</definedName>
    <definedName name="김태헌" hidden="1">{"'5'!$A$1:$BB$147"}</definedName>
    <definedName name="ㄳㄱ소쇼ㅓ" hidden="1">#REF!</definedName>
    <definedName name="ㄳㄳㅅㄱ" hidden="1">{#N/A,#N/A,FALSE,"단축1";#N/A,#N/A,FALSE,"단축2";#N/A,#N/A,FALSE,"단축3";#N/A,#N/A,FALSE,"장축";#N/A,#N/A,FALSE,"4WD"}</definedName>
    <definedName name="ㄳㄷㄳ" hidden="1">{#N/A,#N/A,FALSE,"단축1";#N/A,#N/A,FALSE,"단축2";#N/A,#N/A,FALSE,"단축3";#N/A,#N/A,FALSE,"장축";#N/A,#N/A,FALSE,"4WD"}</definedName>
    <definedName name="ㄳㄷㅅㄷㄱㅈ" hidden="1">{"'5'!$A$1:$BB$147"}</definedName>
    <definedName name="ㄴㄴㄷ" hidden="1">{#N/A,#N/A,FALSE,"이태원철근"}</definedName>
    <definedName name="ㄴㄷ더" hidden="1">{#N/A,#N/A,FALSE,"단축1";#N/A,#N/A,FALSE,"단축2";#N/A,#N/A,FALSE,"단축3";#N/A,#N/A,FALSE,"장축";#N/A,#N/A,FALSE,"4WD"}</definedName>
    <definedName name="ㄴㅁ논ㄹ홍" hidden="1">{#N/A,#N/A,FALSE,"이태원철근"}</definedName>
    <definedName name="ㄴㅁㅁㅁㅁㅁㅁ" hidden="1">{#N/A,#N/A,FALSE,"이태원철근"}</definedName>
    <definedName name="ㄴㅁㅇㄹ" hidden="1">{#N/A,#N/A,FALSE,"CCTV"}</definedName>
    <definedName name="ㄴㅁㅇㅂㅈㄷㅁㄴㅂㅈㄷ" hidden="1">{#N/A,#N/A,FALSE,"이태원철근"}</definedName>
    <definedName name="ㄴㅁㅇㅎㅁㄴㅇㄻㄴㄷㅈㄹㄴㅇ" hidden="1">{#N/A,#N/A,FALSE,"이태원철근"}</definedName>
    <definedName name="ㄴㅇ" hidden="1">{#N/A,#N/A,FALSE,"이태원철근"}</definedName>
    <definedName name="ㄴㅇㄴ"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ㄴㅇㄴㅇㅀㄹㅇㅎㅇㅀㅎ" hidden="1">{#N/A,#N/A,FALSE,"단축1";#N/A,#N/A,FALSE,"단축2";#N/A,#N/A,FALSE,"단축3";#N/A,#N/A,FALSE,"장축";#N/A,#N/A,FALSE,"4WD"}</definedName>
    <definedName name="ㄴㅇㄹ" hidden="1">{#N/A,#N/A,FALSE,"CCTV"}</definedName>
    <definedName name="ㄴㅇㄹㄴㅇㄹㄴㅇㅁㄹㄴㄷㅈㄱㄹ" hidden="1">{#N/A,#N/A,FALSE,"이태원철근"}</definedName>
    <definedName name="ㄴㅇㄹㄴㅇㄻㄴㅇㄹ" hidden="1">{#N/A,#N/A,FALSE,"이태원철근"}</definedName>
    <definedName name="ㄴㅇㄹㅇㄴㄹ" hidden="1">{#N/A,#N/A,FALSE,"단축1";#N/A,#N/A,FALSE,"단축2";#N/A,#N/A,FALSE,"단축3";#N/A,#N/A,FALSE,"장축";#N/A,#N/A,FALSE,"4WD"}</definedName>
    <definedName name="ㄴㅇㄻㄴㅇㄹ" hidden="1">{#N/A,#N/A,FALSE,"이태원철근"}</definedName>
    <definedName name="ㄴㅇㄻㄴㅇㄻㄴㅇㄻㄴㅇ" hidden="1">{#N/A,#N/A,FALSE,"이태원철근"}</definedName>
    <definedName name="ㄴㅇㅁㄴㅇㅂㅈㄷㅁㄴ" hidden="1">{#N/A,#N/A,FALSE,"이태원철근"}</definedName>
    <definedName name="ㄴㅇㅁㄹㄴㅇㄹㄴㅇㅁㄹㄴㅇㅁ" hidden="1">{#N/A,#N/A,FALSE,"이태원철근"}</definedName>
    <definedName name="ㄴㅇㅁㄹㄴㅇㄻㄴㅇㄹ" hidden="1">{#N/A,#N/A,FALSE,"이태원철근"}</definedName>
    <definedName name="ㄴㅇㅁㄻㄴㅇㅎㅁㄴㅇㅎ" hidden="1">{#N/A,#N/A,FALSE,"이태원철근"}</definedName>
    <definedName name="ㄴㅇㅁㅎㄴㅇㅁㄻㄴㅇㅎㅁㄴㅇㅎ" hidden="1">{#N/A,#N/A,FALSE,"이태원철근"}</definedName>
    <definedName name="ㄴㅇㅂㅈㄷㅇㅁㄴㅇㅁㅈㄷ" hidden="1">{#N/A,#N/A,FALSE,"이태원철근"}</definedName>
    <definedName name="ㄴㅇㅊㄹㄴㅇㄹ" hidden="1">{#N/A,#N/A,FALSE,"단축1";#N/A,#N/A,FALSE,"단축2";#N/A,#N/A,FALSE,"단축3";#N/A,#N/A,FALSE,"장축";#N/A,#N/A,FALSE,"4WD"}</definedName>
    <definedName name="ㄴㅇㅎ" hidden="1">{#N/A,#N/A,FALSE,"이태원철근"}</definedName>
    <definedName name="ㄴㅇㅎㄻㄴㄻㄴㅇ" hidden="1">{#N/A,#N/A,FALSE,"이태원철근"}</definedName>
    <definedName name="ㄴㅋ" hidden="1">{#N/A,#N/A,FALSE,"단축1";#N/A,#N/A,FALSE,"단축2";#N/A,#N/A,FALSE,"단축3";#N/A,#N/A,FALSE,"장축";#N/A,#N/A,FALSE,"4WD"}</definedName>
    <definedName name="나나나ㅏ난" hidden="1">{"'5'!$A$1:$BB$147"}</definedName>
    <definedName name="낙규" hidden="1">{"'5'!$A$1:$BB$147"}</definedName>
    <definedName name="내구재" hidden="1">{"'5'!$A$1:$BB$147"}</definedName>
    <definedName name="내역" hidden="1">{#N/A,#N/A,FALSE,"CCTV"}</definedName>
    <definedName name="노무인력투입계획교사" hidden="1">{#N/A,#N/A,FALSE,"이태원철근"}</definedName>
    <definedName name="놀ㄴ홀옿ㅇ" hidden="1">{#N/A,#N/A,FALSE,"이태원철근"}</definedName>
    <definedName name="놓롢론ㄹ" hidden="1">{#N/A,#N/A,FALSE,"이태원철근"}</definedName>
    <definedName name="ㄵㅈ" hidden="1">{#N/A,#N/A,FALSE,"집계";#N/A,#N/A,FALSE,"표지";#N/A,#N/A,FALSE,"터빈집계";#N/A,#N/A,FALSE,"터빈내역";#N/A,#N/A,FALSE,"주제어집계";#N/A,#N/A,FALSE,"주제어내역";#N/A,#N/A,FALSE,"보일러집계";#N/A,#N/A,FALSE,"보일러내역"}</definedName>
    <definedName name="ㄶㅇㅁㄶㅇㅎㅇㅁㄶㅁㄶㅇ" hidden="1">{#N/A,#N/A,FALSE,"이태원철근"}</definedName>
    <definedName name="ㄷ" hidden="1">{#N/A,#N/A,FALSE,"이태원철근"}</definedName>
    <definedName name="ㄷㄱ" hidden="1">{#N/A,#N/A,FALSE,"이태원철근"}</definedName>
    <definedName name="ㄷㄱㄷㄱ" hidden="1">{#N/A,#N/A,FALSE,"단축1";#N/A,#N/A,FALSE,"단축2";#N/A,#N/A,FALSE,"단축3";#N/A,#N/A,FALSE,"장축";#N/A,#N/A,FALSE,"4WD"}</definedName>
    <definedName name="ㄷㄱㅈ" hidden="1">{#N/A,#N/A,FALSE,"이태원철근"}</definedName>
    <definedName name="ㄷㄱㅈㄱㄷㅈ" hidden="1">{#N/A,#N/A,FALSE,"이태원철근"}</definedName>
    <definedName name="ㄷ굦ㄷ굗ㄱㅈ" hidden="1">{#N/A,#N/A,FALSE,"이태원철근"}</definedName>
    <definedName name="ㄷㄳ" hidden="1">{#N/A,#N/A,FALSE,"이태원철근"}</definedName>
    <definedName name="ㄷㅇ" hidden="1">{#N/A,#N/A,TRUE,"Y생산";#N/A,#N/A,TRUE,"Y판매";#N/A,#N/A,TRUE,"Y총물량";#N/A,#N/A,TRUE,"Y능력";#N/A,#N/A,TRUE,"YKD"}</definedName>
    <definedName name="ㄷㅈㄱㅈㄷㄱㅈㄱ주" hidden="1">{#N/A,#N/A,FALSE,"이태원철근"}</definedName>
    <definedName name="ㄷㅈㅈㅈㅈㅂ" hidden="1">{#N/A,#N/A,FALSE,"이태원철근"}</definedName>
    <definedName name="다다" hidden="1">{"'5'!$A$1:$BB$147"}</definedName>
    <definedName name="다다라라다라" hidden="1">{"'5'!$A$1:$BB$147"}</definedName>
    <definedName name="다라다라라" hidden="1">{"'5'!$A$1:$BB$147"}</definedName>
    <definedName name="다라라" hidden="1">{"'5'!$A$1:$BB$147"}</definedName>
    <definedName name="다라자라" hidden="1">{"'5'!$A$1:$BB$147"}</definedName>
    <definedName name="다라자라파" hidden="1">{"'5'!$A$1:$BB$147"}</definedName>
    <definedName name="단" hidden="1">{"'5'!$A$1:$BB$147"}</definedName>
    <definedName name="단가기준" hidden="1">{#N/A,#N/A,TRUE,"Y생산";#N/A,#N/A,TRUE,"Y판매";#N/A,#N/A,TRUE,"Y총물량";#N/A,#N/A,TRUE,"Y능력";#N/A,#N/A,TRUE,"YKD"}</definedName>
    <definedName name="단기" hidden="1">{#N/A,#N/A,TRUE,"Y생산";#N/A,#N/A,TRUE,"Y판매";#N/A,#N/A,TRUE,"Y총물량";#N/A,#N/A,TRUE,"Y능력";#N/A,#N/A,TRUE,"YKD"}</definedName>
    <definedName name="단조편성표" hidden="1">{#N/A,#N/A,FALSE,"단축1";#N/A,#N/A,FALSE,"단축2";#N/A,#N/A,FALSE,"단축3";#N/A,#N/A,FALSE,"장축";#N/A,#N/A,FALSE,"4WD"}</definedName>
    <definedName name="달성" hidden="1">{"Acq_matrix",#N/A,FALSE,"Acquisition Matrix"}</definedName>
    <definedName name="담당별조정" hidden="1">{#N/A,#N/A,FALSE,"신규dep";#N/A,#N/A,FALSE,"신규dep-금형상각후";#N/A,#N/A,FALSE,"신규dep-연구비상각후";#N/A,#N/A,FALSE,"신규dep-기계,공구상각후"}</definedName>
    <definedName name="당초계획" hidden="1">#REF!</definedName>
    <definedName name="대2" hidden="1">{#N/A,#N/A,FALSE,"단축1";#N/A,#N/A,FALSE,"단축2";#N/A,#N/A,FALSE,"단축3";#N/A,#N/A,FALSE,"장축";#N/A,#N/A,FALSE,"4WD"}</definedName>
    <definedName name="대내對현시세" hidden="1">{"targetdcf",#N/A,FALSE,"Merger consequences";"TARGETASSU",#N/A,FALSE,"Merger consequences";"TERMINAL VALUE",#N/A,FALSE,"Merger consequences"}</definedName>
    <definedName name="대방총괄" hidden="1">{#N/A,#N/A,FALSE,"단축1";#N/A,#N/A,FALSE,"단축2";#N/A,#N/A,FALSE,"단축3";#N/A,#N/A,FALSE,"장축";#N/A,#N/A,FALSE,"4WD"}</definedName>
    <definedName name="대부" hidden="1">{#N/A,#N/A,FALSE,"단축1";#N/A,#N/A,FALSE,"단축2";#N/A,#N/A,FALSE,"단축3";#N/A,#N/A,FALSE,"장축";#N/A,#N/A,FALSE,"4WD"}</definedName>
    <definedName name="대책서" hidden="1">{#N/A,#N/A,FALSE,"단축1";#N/A,#N/A,FALSE,"단축2";#N/A,#N/A,FALSE,"단축3";#N/A,#N/A,FALSE,"장축";#N/A,#N/A,FALSE,"4WD"}</definedName>
    <definedName name="도" hidden="1">{#N/A,#N/A,FALSE,"단축1";#N/A,#N/A,FALSE,"단축2";#N/A,#N/A,FALSE,"단축3";#N/A,#N/A,FALSE,"장축";#N/A,#N/A,FALSE,"4WD"}</definedName>
    <definedName name="도면외주" hidden="1">#REF!</definedName>
    <definedName name="도면용역비" hidden="1">#REF!</definedName>
    <definedName name="동력성능1" hidden="1">{#N/A,#N/A,FALSE,"단축1";#N/A,#N/A,FALSE,"단축2";#N/A,#N/A,FALSE,"단축3";#N/A,#N/A,FALSE,"장축";#N/A,#N/A,FALSE,"4WD"}</definedName>
    <definedName name="들" hidden="1">{#N/A,#N/A,FALSE,"이태원철근"}</definedName>
    <definedName name="똥" hidden="1">{"'5'!$A$1:$BB$147"}</definedName>
    <definedName name="똥1" hidden="1">{"'5'!$A$1:$BB$147"}</definedName>
    <definedName name="ㄹ" hidden="1">{#N/A,#N/A,FALSE,"이태원철근"}</definedName>
    <definedName name="ㄹㄴㄴㄴ" hidden="1">{#N/A,#N/A,FALSE,"이태원철근"}</definedName>
    <definedName name="ㄹㄷㅈ" hidden="1">{#N/A,#N/A,FALSE,"이태원철근"}</definedName>
    <definedName name="ㄹㄹ" hidden="1">{#N/A,#N/A,FALSE,"TABLE"}</definedName>
    <definedName name="ㄹㄹㄴ" hidden="1">{#N/A,#N/A,FALSE,"단축1";#N/A,#N/A,FALSE,"단축2";#N/A,#N/A,FALSE,"단축3";#N/A,#N/A,FALSE,"장축";#N/A,#N/A,FALSE,"4WD"}</definedName>
    <definedName name="ㄹㄹㄹ" hidden="1">{#N/A,#N/A,FALSE,"이태원철근"}</definedName>
    <definedName name="ㄹㅀㅎ" hidden="1">{"'5'!$A$1:$BB$147"}</definedName>
    <definedName name="ㄹㅇ" hidden="1">{#N/A,#N/A,FALSE,"도급대비시행율";#N/A,#N/A,FALSE,"결의서";#N/A,#N/A,FALSE,"내역서";#N/A,#N/A,FALSE,"도급예상"}</definedName>
    <definedName name="ㄹㅇㅂ" hidden="1">{#N/A,#N/A,FALSE,"이태원철근"}</definedName>
    <definedName name="ㄹ어ㅓ럴" hidden="1">{#N/A,#N/A,FALSE,"단축1";#N/A,#N/A,FALSE,"단축2";#N/A,#N/A,FALSE,"단축3";#N/A,#N/A,FALSE,"장축";#N/A,#N/A,FALSE,"4WD"}</definedName>
    <definedName name="ㄹ헝ㅀㅇㄹ" hidden="1">{"'5'!$A$1:$BB$147"}</definedName>
    <definedName name="ㄹ호ㅓㅓ" hidden="1">{#N/A,#N/A,FALSE,"단축1";#N/A,#N/A,FALSE,"단축2";#N/A,#N/A,FALSE,"단축3";#N/A,#N/A,FALSE,"장축";#N/A,#N/A,FALSE,"4WD"}</definedName>
    <definedName name="라나라" hidden="1">{"'5'!$A$1:$BB$147"}</definedName>
    <definedName name="라라라라라" hidden="1">{"'5'!$A$1:$BB$147"}</definedName>
    <definedName name="라랑" hidden="1">{"'5'!$A$1:$BB$147"}</definedName>
    <definedName name="랄"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래그" hidden="1">{#N/A,#N/A,FALSE,"CCTV"}</definedName>
    <definedName name="러시아" hidden="1">{#N/A,#N/A,FALSE,"단축1";#N/A,#N/A,FALSE,"단축2";#N/A,#N/A,FALSE,"단축3";#N/A,#N/A,FALSE,"장축";#N/A,#N/A,FALSE,"4WD"}</definedName>
    <definedName name="러헐" hidden="1">{#N/A,#N/A,FALSE,"도급대비시행율";#N/A,#N/A,FALSE,"결의서";#N/A,#N/A,FALSE,"내역서";#N/A,#N/A,FALSE,"도급예상"}</definedName>
    <definedName name="러ㅛ" hidden="1">{#N/A,#N/A,FALSE,"이태원철근"}</definedName>
    <definedName name="로하ㅗㅎ러ㅏㅓㅗㅎ려" hidden="1">{#N/A,#N/A,FALSE,"이태원철근"}</definedName>
    <definedName name="로허ㅗㅎ러ㅗㅎ러" hidden="1">{#N/A,#N/A,FALSE,"이태원철근"}</definedName>
    <definedName name="로허ㅗㅎ렁호ㅓ" hidden="1">{#N/A,#N/A,FALSE,"이태원철근"}</definedName>
    <definedName name="롤설계1" hidden="1">{"'표지'!$B$5"}</definedName>
    <definedName name="롱" hidden="1">{#N/A,#N/A,FALSE,"단축1";#N/A,#N/A,FALSE,"단축2";#N/A,#N/A,FALSE,"단축3";#N/A,#N/A,FALSE,"장축";#N/A,#N/A,FALSE,"4WD"}</definedName>
    <definedName name="롷럻" hidden="1">{#N/A,#N/A,FALSE,"이태원철근"}</definedName>
    <definedName name="리" hidden="1">{#N/A,#N/A,FALSE,"단축1";#N/A,#N/A,FALSE,"단축2";#N/A,#N/A,FALSE,"단축3";#N/A,#N/A,FALSE,"장축";#N/A,#N/A,FALSE,"4WD"}</definedName>
    <definedName name="ㄺㅅ" hidden="1">{#N/A,#N/A,FALSE,"단축1";#N/A,#N/A,FALSE,"단축2";#N/A,#N/A,FALSE,"단축3";#N/A,#N/A,FALSE,"장축";#N/A,#N/A,FALSE,"4WD"}</definedName>
    <definedName name="ㄼ" hidden="1">{#N/A,#N/A,FALSE,"이태원철근"}</definedName>
    <definedName name="ㄼㅂ" hidden="1">{#N/A,#N/A,FALSE,"이태원철근"}</definedName>
    <definedName name="ㄽ허쇼ㅓ쇼ㅓㅛ서" hidden="1">#REF!</definedName>
    <definedName name="ㅀ" hidden="1">#REF!</definedName>
    <definedName name="ㅁ" hidden="1">{#N/A,#N/A,FALSE,"이태원철근"}</definedName>
    <definedName name="ㅁㄴㅁㅇ" hidden="1">#REF!</definedName>
    <definedName name="ㅁㄴㅇ" hidden="1">{#N/A,#N/A,FALSE,"단축1";#N/A,#N/A,FALSE,"단축2";#N/A,#N/A,FALSE,"단축3";#N/A,#N/A,FALSE,"장축";#N/A,#N/A,FALSE,"4WD"}</definedName>
    <definedName name="ㅁㄴㅇㄷㅂㅈㄷㅇㅂㅈㄷ" hidden="1">{#N/A,#N/A,FALSE,"이태원철근"}</definedName>
    <definedName name="ㅁㄴㅇㄹ" hidden="1">{#N/A,#N/A,FALSE,"이태원철근"}</definedName>
    <definedName name="ㅁㄴㅇㄹㄴㅇㄹ" hidden="1">{#N/A,#N/A,FALSE,"이태원철근"}</definedName>
    <definedName name="ㅁㄴㅇㄹㄴㅇㄻㄴㅇㄹㄴ" hidden="1">{#N/A,#N/A,FALSE,"이태원철근"}</definedName>
    <definedName name="ㅁㄴㅇㄹㄴㅇㅁㄹㄴㅇㅁㄻ누" hidden="1">{#N/A,#N/A,FALSE,"이태원철근"}</definedName>
    <definedName name="ㅁㄴㅇㄹㄴㅇㅁㄻㄴㅇㄻ" hidden="1">{#N/A,#N/A,FALSE,"이태원철근"}</definedName>
    <definedName name="ㅁㄴㅇㄹㄴㅇㅁㅎㄷㅈㅅㅎㄻㄴ" hidden="1">{#N/A,#N/A,FALSE,"이태원철근"}</definedName>
    <definedName name="ㅁㄴㅇㄹㄻㄴ" hidden="1">{#N/A,#N/A,FALSE,"이태원철근"}</definedName>
    <definedName name="ㅁㄴㅇㄻㄴㄹㄴㅁㅇ" hidden="1">{#N/A,#N/A,FALSE,"이태원철근"}</definedName>
    <definedName name="ㅁㄴㅇㄻㄴㅇㄹ" hidden="1">{#N/A,#N/A,FALSE,"이태원철근"}</definedName>
    <definedName name="ㅁㄴㅇㄻㄴㅇㄹㄴㅁㅇㄹ" hidden="1">{#N/A,#N/A,FALSE,"이태원철근"}</definedName>
    <definedName name="ㅁㄴㅇㄻㄴㅇㄻㄴㅇ" hidden="1">{#N/A,#N/A,FALSE,"이태원철근"}</definedName>
    <definedName name="ㅁㄴㅇㄻㄹ" hidden="1">{#N/A,#N/A,FALSE,"이태원철근"}</definedName>
    <definedName name="ㅁㄴㅇㅁㄶㅇㄶㅇㄶㅇㅁㅎㅇ" hidden="1">{#N/A,#N/A,FALSE,"이태원철근"}</definedName>
    <definedName name="ㅁㄴㅇㅂㅈㄷㅁㄴㄷㅇㅁㄴ" hidden="1">{#N/A,#N/A,FALSE,"이태원철근"}</definedName>
    <definedName name="ㅁㄴㅇㅂㅈㄷㅁㄴㅇㅂㅈ" hidden="1">{#N/A,#N/A,FALSE,"이태원철근"}</definedName>
    <definedName name="ㅁㄴㅇㅎㄴㅇㅁㄹㄷㅈㄹㄴㅇ" hidden="1">{#N/A,#N/A,FALSE,"이태원철근"}</definedName>
    <definedName name="ㅁㄴㅇㅎㄴㅇㅁㄹㄷㅈㄹㄴㅇㄹ" hidden="1">{#N/A,#N/A,FALSE,"이태원철근"}</definedName>
    <definedName name="ㅁㄴㅇㅎㄴㅇㅁㅎㅁㄴㅇㄻㄴㅇ" hidden="1">{#N/A,#N/A,FALSE,"이태원철근"}</definedName>
    <definedName name="ㅁㄴㅇㅎㄴㅇㅁㅎㅁㄴㅇㅎㅁㄴㅇㄹ" hidden="1">{#N/A,#N/A,FALSE,"이태원철근"}</definedName>
    <definedName name="ㅁㄴㅇㅎㄴㅇㅎㄶㅇㄶㅇㅁ" hidden="1">{#N/A,#N/A,FALSE,"이태원철근"}</definedName>
    <definedName name="ㅁㄴㅇㅎㅁㄴㄷㅇㅎㄴㅇㅁㅎㅁㄴ" hidden="1">{#N/A,#N/A,FALSE,"이태원철근"}</definedName>
    <definedName name="ㅁㄴㅇㅎㅁㄴㄷㅈㅎㄻㄴㅇㄻㄴㅇ" hidden="1">{#N/A,#N/A,FALSE,"이태원철근"}</definedName>
    <definedName name="ㅁㄴㅇㅎㅁㄴㅇㅅㄷㅈㅁㄻㄴㅇㄹ" hidden="1">{#N/A,#N/A,FALSE,"이태원철근"}</definedName>
    <definedName name="ㅁㄴㅇㅎㅁㄴㅇㅎㄻㄴㅇㄱㄹㄴㅇ" hidden="1">{#N/A,#N/A,FALSE,"이태원철근"}</definedName>
    <definedName name="ㅁㄴㅇㅎㅁㄴㅇㅎㄻㄴㅇㅎㅁㄴㅇ" hidden="1">{#N/A,#N/A,FALSE,"이태원철근"}</definedName>
    <definedName name="ㅁㄴㅇㅎㅁㄴㅇㅎㅁㄴㅇㄻㄴㅇㄹ" hidden="1">{#N/A,#N/A,FALSE,"이태원철근"}</definedName>
    <definedName name="ㅁㄴㅇㅎㅁㄴㅇㅎㅁㄴㅇㅎ" hidden="1">{#N/A,#N/A,FALSE,"이태원철근"}</definedName>
    <definedName name="ㅁㄴㅇㅎㅁㄴㅇㅎㅁㄴㅇㅎㄴㅇㅁㅎ" hidden="1">{#N/A,#N/A,FALSE,"이태원철근"}</definedName>
    <definedName name="ㅁㄴㅇㅎㅁㄴㅇㅎㅁㄴㅇㅎㄹㄴㅇㅁㅎㄴ" hidden="1">{#N/A,#N/A,FALSE,"이태원철근"}</definedName>
    <definedName name="ㅁㄴㅇㅎㅁㄴㅇㅎㅁㄴㅇㅎㅁ" hidden="1">{#N/A,#N/A,FALSE,"이태원철근"}</definedName>
    <definedName name="ㅁㄴㅇㅎㅁㄴㅇㅎㅁㄴㅇㅎㅁㄴ" hidden="1">{#N/A,#N/A,FALSE,"이태원철근"}</definedName>
    <definedName name="ㅁㄴㅇㅎㅁㄴㅇㅎㅁㄶㅇㅁㄶㅇ" hidden="1">{#N/A,#N/A,FALSE,"이태원철근"}</definedName>
    <definedName name="ㅁㄴㅇㅎㅁㄶㅇㅁㄶㅇㄶㅇㅁ" hidden="1">{#N/A,#N/A,FALSE,"이태원철근"}</definedName>
    <definedName name="ㅁㄴㅇㅎㅁㄶㅇㅇㅁㄶ" hidden="1">{#N/A,#N/A,FALSE,"이태원철근"}</definedName>
    <definedName name="ㅁㄴㅇㅎㅁㄷㅈㅎㅁㄴㄷㄱㄻㄴㅇ" hidden="1">{#N/A,#N/A,FALSE,"이태원철근"}</definedName>
    <definedName name="ㅁㄴㅇㅎㅁㅎㅇㅁㅎㅇ" hidden="1">{#N/A,#N/A,FALSE,"이태원철근"}</definedName>
    <definedName name="ㅁ뇬ㄱ쇿ㄴ" hidden="1">{#N/A,#N/A,FALSE,"이태원철근"}</definedName>
    <definedName name="ㅁㄶㅇㄶㅇㄶㅇㄶㅇㅁ" hidden="1">{#N/A,#N/A,FALSE,"이태원철근"}</definedName>
    <definedName name="ㅁㄶㅇㄶㅇㄶㅇㅁㅁㄶㅇㅎㅇ" hidden="1">{#N/A,#N/A,FALSE,"이태원철근"}</definedName>
    <definedName name="ㅁㄶㅇㄶㅇㅁㄶㅇㅁㄶㅇㄶㅇㅁ" hidden="1">{#N/A,#N/A,FALSE,"이태원철근"}</definedName>
    <definedName name="ㅁㄶㅇㄶㅇㅁㄶㅇㅁㄶㅇㅁㄶㅇ" hidden="1">{#N/A,#N/A,FALSE,"이태원철근"}</definedName>
    <definedName name="ㅁㄶㅇㅁㄶㅇㄶㅇㄶㅇㄶㅇ" hidden="1">{#N/A,#N/A,FALSE,"이태원철근"}</definedName>
    <definedName name="ㅁㄶㅇㅎㅎㅇㄴㄶㅇㅁㄶㅇ" hidden="1">{#N/A,#N/A,FALSE,"이태원철근"}</definedName>
    <definedName name="ㅁㄹㅇㄴ" hidden="1">{#N/A,#N/A,FALSE,"이태원철근"}</definedName>
    <definedName name="ㅁㅁ" hidden="1">{#N/A,#N/A,FALSE,"이태원철근"}</definedName>
    <definedName name="ㅁㅁㅁㅁ" hidden="1">{#N/A,#N/A,FALSE,"별표20 ";#N/A,#N/A,FALSE,"부표";#N/A,#N/A,FALSE,"품셈내역";#N/A,#N/A,FALSE,"품셈집계";#N/A,#N/A,FALSE,"내역서";#N/A,#N/A,FALSE,"집계표";#N/A,#N/A,FALSE,"표지";#N/A,#N/A,FALSE,"별표총괄표"}</definedName>
    <definedName name="ㅁㅁㅁㅁㅁㅁ" hidden="1">{#N/A,#N/A,FALSE,"이태원철근"}</definedName>
    <definedName name="ㅁㅁㅁㅁㅁㅁㅁㅁㅁㅁㅁ" hidden="1">{#N/A,#N/A,FALSE,"이태원철근"}</definedName>
    <definedName name="ㅁㅁㅁㅁㅁㅁㅁㅁㅁㅁㅁㅁ" hidden="1">{#N/A,#N/A,FALSE,"이태원철근"}</definedName>
    <definedName name="ㅁㅁㅁㅁㅁㅁㅁㅁㅁㅁㅁㅁㅁ" hidden="1">{#N/A,#N/A,FALSE,"이태원철근"}</definedName>
    <definedName name="ㅁㅁㅁㅇ" hidden="1">{#N/A,#N/A,FALSE,"단축1";#N/A,#N/A,FALSE,"단축2";#N/A,#N/A,FALSE,"단축3";#N/A,#N/A,FALSE,"장축";#N/A,#N/A,FALSE,"4WD"}</definedName>
    <definedName name="ㅁㅇㄴㄻㄴㅇㄻㄴㅇㄹ" hidden="1">{#N/A,#N/A,FALSE,"이태원철근"}</definedName>
    <definedName name="ㅁㅇㄻㄴㄻ" hidden="1">{#N/A,#N/A,FALSE,"이태원철근"}</definedName>
    <definedName name="ㅁㅇㅂㅈㄷㅇㅂㅈㄷㅁㄴ" hidden="1">{#N/A,#N/A,FALSE,"이태원철근"}</definedName>
    <definedName name="ㅁㅇㅊㅁㄴㅇㄹ" hidden="1">{#N/A,#N/A,FALSE,"단축1";#N/A,#N/A,FALSE,"단축2";#N/A,#N/A,FALSE,"단축3";#N/A,#N/A,FALSE,"장축";#N/A,#N/A,FALSE,"4WD"}</definedName>
    <definedName name="ㅁㅇㅎㅁㄴㅇㅎㅇㅁㄶㄻㅇㄴ" hidden="1">{#N/A,#N/A,FALSE,"이태원철근"}</definedName>
    <definedName name="ㅁㅇㅎㅁㄶㅇㅁㅎㅇㄶㅇ" hidden="1">{#N/A,#N/A,FALSE,"이태원철근"}</definedName>
    <definedName name="ㅁㅈㄷㄹ" hidden="1">{"targetdcf",#N/A,FALSE,"Merger consequences";"TARGETASSU",#N/A,FALSE,"Merger consequences";"TERMINAL VALUE",#N/A,FALSE,"Merger consequences"}</definedName>
    <definedName name="마지막예산" hidden="1">{#N/A,#N/A,FALSE,"단축1";#N/A,#N/A,FALSE,"단축2";#N/A,#N/A,FALSE,"단축3";#N/A,#N/A,FALSE,"장축";#N/A,#N/A,FALSE,"4WD"}</definedName>
    <definedName name="말자" hidden="1">{#N/A,#N/A,FALSE,"단축1";#N/A,#N/A,FALSE,"단축2";#N/A,#N/A,FALSE,"단축3";#N/A,#N/A,FALSE,"장축";#N/A,#N/A,FALSE,"4WD"}</definedName>
    <definedName name="목표03" hidden="1">{"AQUIRORDCF",#N/A,FALSE,"Merger consequences";"Acquirorassns",#N/A,FALSE,"Merger consequences"}</definedName>
    <definedName name="목표관리" hidden="1">{"'5'!$A$1:$BB$147"}</definedName>
    <definedName name="뫃ㄹ놓ㄴ오" hidden="1">{#N/A,#N/A,FALSE,"이태원철근"}</definedName>
    <definedName name="문" hidden="1">{"'5'!$A$1:$BB$147"}</definedName>
    <definedName name="문길원" hidden="1">{"'5'!$A$1:$BB$147"}</definedName>
    <definedName name="물" hidden="1">{#N/A,#N/A,FALSE,"이태원철근"}</definedName>
    <definedName name="물가" hidden="1">{#N/A,#N/A,FALSE,"이태원철근"}</definedName>
    <definedName name="물가2" hidden="1">{#N/A,#N/A,FALSE,"이태원철근"}</definedName>
    <definedName name="물랴자" hidden="1">{#N/A,#N/A,TRUE,"Y생산";#N/A,#N/A,TRUE,"Y판매";#N/A,#N/A,TRUE,"Y총물량";#N/A,#N/A,TRUE,"Y능력";#N/A,#N/A,TRUE,"YKD"}</definedName>
    <definedName name="물량산출근거조서"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물량수" hidden="1">{#N/A,#N/A,TRUE,"Y생산";#N/A,#N/A,TRUE,"Y판매";#N/A,#N/A,TRUE,"Y총물량";#N/A,#N/A,TRUE,"Y능력";#N/A,#N/A,TRUE,"YKD"}</definedName>
    <definedName name="물량수정" hidden="1">{#N/A,#N/A,TRUE,"Y생산";#N/A,#N/A,TRUE,"Y판매";#N/A,#N/A,TRUE,"Y총물량";#N/A,#N/A,TRUE,"Y능력";#N/A,#N/A,TRUE,"YKD"}</definedName>
    <definedName name="물량수정1" hidden="1">{#N/A,#N/A,TRUE,"Y생산";#N/A,#N/A,TRUE,"Y판매";#N/A,#N/A,TRUE,"Y총물량";#N/A,#N/A,TRUE,"Y능력";#N/A,#N/A,TRUE,"YKD"}</definedName>
    <definedName name="물량수정2" hidden="1">{#N/A,#N/A,TRUE,"Y생산";#N/A,#N/A,TRUE,"Y판매";#N/A,#N/A,TRUE,"Y총물량";#N/A,#N/A,TRUE,"Y능력";#N/A,#N/A,TRUE,"YKD"}</definedName>
    <definedName name="물량정" hidden="1">{#N/A,#N/A,TRUE,"Y생산";#N/A,#N/A,TRUE,"Y판매";#N/A,#N/A,TRUE,"Y총물량";#N/A,#N/A,TRUE,"Y능력";#N/A,#N/A,TRUE,"YKD"}</definedName>
    <definedName name="물량조정" hidden="1">{#N/A,#N/A,TRUE,"Y생산";#N/A,#N/A,TRUE,"Y판매";#N/A,#N/A,TRUE,"Y총물량";#N/A,#N/A,TRUE,"Y능력";#N/A,#N/A,TRUE,"YKD"}</definedName>
    <definedName name="물수" hidden="1">{#N/A,#N/A,TRUE,"Y생산";#N/A,#N/A,TRUE,"Y판매";#N/A,#N/A,TRUE,"Y총물량";#N/A,#N/A,TRUE,"Y능력";#N/A,#N/A,TRUE,"YKD"}</definedName>
    <definedName name="뭐" hidden="1">{#N/A,#N/A,FALSE,"이태원철근"}</definedName>
    <definedName name="뭐가이태원이야" hidden="1">{#N/A,#N/A,FALSE,"이태원철근"}</definedName>
    <definedName name="뮤직" hidden="1">{#N/A,#N/A,FALSE,"이태원철근"}</definedName>
    <definedName name="ㅂㄴㅁㅋ" hidden="1">{#N/A,#N/A,FALSE,"단축1";#N/A,#N/A,FALSE,"단축2";#N/A,#N/A,FALSE,"단축3";#N/A,#N/A,FALSE,"장축";#N/A,#N/A,FALSE,"4WD"}</definedName>
    <definedName name="ㅂㄷ" hidden="1">{#N/A,#N/A,FALSE,"이태원철근"}</definedName>
    <definedName name="ㅂㅂ" hidden="1">{#N/A,#N/A,FALSE,"기안지";#N/A,#N/A,FALSE,"통신지"}</definedName>
    <definedName name="ㅂㅂㅂㅂㅂㅂㅂ" hidden="1">{#N/A,#N/A,FALSE,"이태원철근"}</definedName>
    <definedName name="ㅂㅂㅂㅂㅂㅂㅂㅂ" hidden="1">{#N/A,#N/A,FALSE,"이태원철근"}</definedName>
    <definedName name="ㅂㅂㅂㅂㅂㅂㅂㅂㅂ" hidden="1">{#N/A,#N/A,FALSE,"이태원철근"}</definedName>
    <definedName name="ㅂㅂㅂㅂㅂㅂㅂㅂㅂㅂㅂ" hidden="1">{#N/A,#N/A,FALSE,"이태원철근"}</definedName>
    <definedName name="ㅂㅂㅂㅂㅂㅂㅂㅂㅂㅂㅂㅂ" hidden="1">{#N/A,#N/A,FALSE,"이태원철근"}</definedName>
    <definedName name="ㅂㅂㅂㅂㅂㅂㅂㅂㅂㅂㅂㅂㅂ" hidden="1">{#N/A,#N/A,FALSE,"이태원철근"}</definedName>
    <definedName name="ㅂㅂㅂㅂㅂㅂㅂㅂㅂㅂㅂㅂㅂㅂㅂㅂㅂ" hidden="1">{#N/A,#N/A,FALSE,"이태원철근"}</definedName>
    <definedName name="ㅂㅂㅂㅂㅂㅂㅂㅂㅂㅂㅂㅂㅂㅂㅂㅂㅂㅂ" hidden="1">{#N/A,#N/A,FALSE,"이태원철근"}</definedName>
    <definedName name="ㅂㅂㅂㅂㅂㅂㅂㅂㅂㅂㅂㅂㅂㅂㅂㅂㅂㅂㅂ" hidden="1">{#N/A,#N/A,FALSE,"이태원철근"}</definedName>
    <definedName name="ㅂㅂㅂㅂㅂㅂㅂㅂㅂㅂㅂㅂㅂㅂㅂㅂㅂㅂㅂㅂ" hidden="1">{#N/A,#N/A,FALSE,"이태원철근"}</definedName>
    <definedName name="ㅂㅂㅂㅂㅂㅂㅂㅂㅂㅂㅂㅂㅂㅂㅂㅂㅂㅂㅂㅂㅂㅂㅂㅂㅂㅂ" hidden="1">{#N/A,#N/A,FALSE,"이태원철근"}</definedName>
    <definedName name="ㅂㅂㅂㅂㅂㅂㅂㅂㅂㅂㅂㅂㅂㅂㅂㅂㅂㅂㅂㅂㅂㅂㅂㅂㅂㅂㅂㅂ" hidden="1">{#N/A,#N/A,FALSE,"이태원철근"}</definedName>
    <definedName name="ㅂㅂㅂㅂㅂㅂㅂㅂㅂㅂㅂㅂㅂㅂㅂㅂㅂㅂㅂㅂㅂㅂㅂㅂㅂㅂㅂㅂㅂㅂ" hidden="1">{#N/A,#N/A,FALSE,"이태원철근"}</definedName>
    <definedName name="ㅂㅂㅂㅂㅂㅂㅂㅂㅂㅂㅂㅂㅂㅂㅂㅂㅂㅂㅂㅂㅂㅂㅂㅂㅂㅂㅂㅂㅂㅂㅂㅂ" hidden="1">{#N/A,#N/A,FALSE,"이태원철근"}</definedName>
    <definedName name="ㅂㅂㅂㅂㅂㅂㅂㅂㅂㅂㅂㅂㅂㅂㅂㅂㅂㅂㅂㅂㅂㅂㅂㅂㅂㅂㅂㅂㅂㅂㅂㅂㅂㅂㅂㅂㅂ" hidden="1">{#N/A,#N/A,FALSE,"이태원철근"}</definedName>
    <definedName name="ㅂㅂㅂㅂㅂㅂㅂㅂㅂㅂㅂㅂㅂㅂㅂㅂ부" hidden="1">{#N/A,#N/A,FALSE,"이태원철근"}</definedName>
    <definedName name="ㅂㅂㅂㅂㅂㅂㅂㅂㅂㅂㅂ부" hidden="1">{#N/A,#N/A,FALSE,"이태원철근"}</definedName>
    <definedName name="ㅂㅂㅂㅂㅂㅂㅂㅂㅂㅂ붑ㅂ" hidden="1">{#N/A,#N/A,FALSE,"이태원철근"}</definedName>
    <definedName name="ㅂㅂㅂㅂㅂㅂㅂㅂㅂ부" hidden="1">{#N/A,#N/A,FALSE,"이태원철근"}</definedName>
    <definedName name="ㅂㅂㅂㅂㅂㅂㅂㅂ부" hidden="1">{#N/A,#N/A,FALSE,"이태원철근"}</definedName>
    <definedName name="ㅂㅂㅂㅂㅂㅂㅂ부" hidden="1">{#N/A,#N/A,FALSE,"이태원철근"}</definedName>
    <definedName name="ㅂㅂㅂㅂㅂ부" hidden="1">{#N/A,#N/A,FALSE,"이태원철근"}</definedName>
    <definedName name="ㅂㅂㅂㅂ붑ㅂㅂ" hidden="1">{#N/A,#N/A,FALSE,"이태원철근"}</definedName>
    <definedName name="ㅂㅂ붑ㅂㅂㅂㅂㅂㅂㅂㅂ" hidden="1">{#N/A,#N/A,FALSE,"이태원철근"}</definedName>
    <definedName name="ㅂㅈ" hidden="1">{#N/A,#N/A,FALSE,"이태원철근"}</definedName>
    <definedName name="ㅂㅈㄱㅂㅈㄱ" hidden="1">{#N/A,#N/A,FALSE,"이태원철근"}</definedName>
    <definedName name="ㅂㅈㄱㅂㅈㄱㄷㅂ" hidden="1">{#N/A,#N/A,FALSE,"이태원철근"}</definedName>
    <definedName name="ㅂㅈㄱㅂㅈㄱㄷㅂㅈㄱ" hidden="1">{#N/A,#N/A,FALSE,"이태원철근"}</definedName>
    <definedName name="ㅂㅈㄱㅂㅈㄱㅇㅂㅈ" hidden="1">{#N/A,#N/A,FALSE,"이태원철근"}</definedName>
    <definedName name="ㅂㅈㄱㅂㅈㄱㅇㅂㅈㄱ" hidden="1">{#N/A,#N/A,FALSE,"이태원철근"}</definedName>
    <definedName name="ㅂㅈㄱㅂㅈㄷㄱㅂㅈㄷ" hidden="1">{#N/A,#N/A,FALSE,"이태원철근"}</definedName>
    <definedName name="ㅂㅈㄱㅂㅈㄷㅂㅈㄷ" hidden="1">{#N/A,#N/A,FALSE,"이태원철근"}</definedName>
    <definedName name="ㅂㅈㄱㅂㅈㅇㅂㅈㅇㄷㅂㅈ" hidden="1">{#N/A,#N/A,FALSE,"이태원철근"}</definedName>
    <definedName name="ㅂㅈㄷ" hidden="1">{#N/A,#N/A,FALSE,"이태원철근"}</definedName>
    <definedName name="ㅂㅈㄷㄱㅂㅈㄱㅂㅈ" hidden="1">{#N/A,#N/A,FALSE,"이태원철근"}</definedName>
    <definedName name="ㅂㅈㄷㅂㅈㄱㅂㅈㅇ" hidden="1">{#N/A,#N/A,FALSE,"이태원철근"}</definedName>
    <definedName name="ㅂㅈㄷㅂㅈㅈㅇ부" hidden="1">{#N/A,#N/A,FALSE,"이태원철근"}</definedName>
    <definedName name="ㅂㅈㄷㅈㄷ" hidden="1">{#N/A,#N/A,FALSE,"이태원철근"}</definedName>
    <definedName name="ㅂㅈㅇㅁㄴㅇㅂㅈㄷㅁㄴ" hidden="1">{#N/A,#N/A,FALSE,"이태원철근"}</definedName>
    <definedName name="ㅂㅈㅇㅁㅇㅂㅈㄷㅁㄴ" hidden="1">{#N/A,#N/A,FALSE,"이태원철근"}</definedName>
    <definedName name="ㅂㅈㅇㅂㄴㅇㄴㅂㅇㅂㅈ" hidden="1">{#N/A,#N/A,FALSE,"이태원철근"}</definedName>
    <definedName name="ㅂㅈㅇㅂㅈㅇㅂㅈㅇ" hidden="1">{#N/A,#N/A,FALSE,"이태원철근"}</definedName>
    <definedName name="바바라" hidden="1">{#N/A,#N/A,TRUE,"Y생산";#N/A,#N/A,TRUE,"Y판매";#N/A,#N/A,TRUE,"Y총물량";#N/A,#N/A,TRUE,"Y능력";#N/A,#N/A,TRUE,"YKD"}</definedName>
    <definedName name="바바바밥바바바바" hidden="1">{"'5'!$A$1:$BB$147"}</definedName>
    <definedName name="바밥" hidden="1">{"'5'!$A$1:$BB$147"}</definedName>
    <definedName name="바밥바" hidden="1">{"'5'!$A$1:$BB$147"}</definedName>
    <definedName name="바보ㅗ옹아아러ㅏ" hidden="1">{"'5'!$A$1:$BB$147"}</definedName>
    <definedName name="밥바" hidden="1">{"'5'!$A$1:$BB$147"}</definedName>
    <definedName name="밥바자" hidden="1">{"'5'!$A$1:$BB$147"}</definedName>
    <definedName name="방진고무" hidden="1">{#N/A,#N/A,FALSE,"단축1";#N/A,#N/A,FALSE,"단축2";#N/A,#N/A,FALSE,"단축3";#N/A,#N/A,FALSE,"장축";#N/A,#N/A,FALSE,"4WD"}</definedName>
    <definedName name="변경2" hidden="1">{#N/A,#N/A,FALSE,"단축1";#N/A,#N/A,FALSE,"단축2";#N/A,#N/A,FALSE,"단축3";#N/A,#N/A,FALSE,"장축";#N/A,#N/A,FALSE,"4WD"}</definedName>
    <definedName name="변경후" hidden="1">{#N/A,#N/A,FALSE,"단축1";#N/A,#N/A,FALSE,"단축2";#N/A,#N/A,FALSE,"단축3";#N/A,#N/A,FALSE,"장축";#N/A,#N/A,FALSE,"4WD"}</definedName>
    <definedName name="보"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보고1" hidden="1">{#N/A,#N/A,FALSE,"단축1";#N/A,#N/A,FALSE,"단축2";#N/A,#N/A,FALSE,"단축3";#N/A,#N/A,FALSE,"장축";#N/A,#N/A,FALSE,"4WD"}</definedName>
    <definedName name="보고서1" hidden="1">{#N/A,#N/A,FALSE,"단축1";#N/A,#N/A,FALSE,"단축2";#N/A,#N/A,FALSE,"단축3";#N/A,#N/A,FALSE,"장축";#N/A,#N/A,FALSE,"4WD"}</definedName>
    <definedName name="보지" hidden="1">{"'5'!$A$1:$BB$147"}</definedName>
    <definedName name="보충" hidden="1">#REF!</definedName>
    <definedName name="본공사공정표"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본문1" hidden="1">{#N/A,#N/A,FALSE,"단축1";#N/A,#N/A,FALSE,"단축2";#N/A,#N/A,FALSE,"단축3";#N/A,#N/A,FALSE,"장축";#N/A,#N/A,FALSE,"4WD"}</definedName>
    <definedName name="본문2" hidden="1">{#N/A,#N/A,FALSE,"단축1";#N/A,#N/A,FALSE,"단축2";#N/A,#N/A,FALSE,"단축3";#N/A,#N/A,FALSE,"장축";#N/A,#N/A,FALSE,"4WD"}</definedName>
    <definedName name="본문3" hidden="1">{#N/A,#N/A,FALSE,"단축1";#N/A,#N/A,FALSE,"단축2";#N/A,#N/A,FALSE,"단축3";#N/A,#N/A,FALSE,"장축";#N/A,#N/A,FALSE,"4WD"}</definedName>
    <definedName name="본부" hidden="1">{"'5'!$A$1:$BB$147"}</definedName>
    <definedName name="부대건축2" hidden="1">#REF!</definedName>
    <definedName name="부대공사" hidden="1">#REF!</definedName>
    <definedName name="부품문제" hidden="1">{#N/A,#N/A,FALSE,"단축1";#N/A,#N/A,FALSE,"단축2";#N/A,#N/A,FALSE,"단축3";#N/A,#N/A,FALSE,"장축";#N/A,#N/A,FALSE,"4WD"}</definedName>
    <definedName name="분" hidden="1">{#N/A,#N/A,FALSE,"이태원철근"}</definedName>
    <definedName name="분기별" hidden="1">{#N/A,#N/A,TRUE,"Y생산";#N/A,#N/A,TRUE,"Y판매";#N/A,#N/A,TRUE,"Y총물량";#N/A,#N/A,TRUE,"Y능력";#N/A,#N/A,TRUE,"YKD"}</definedName>
    <definedName name="분당공" hidden="1">#REF!</definedName>
    <definedName name="분당물가" hidden="1">#REF!</definedName>
    <definedName name="분당코아" hidden="1">#REF!</definedName>
    <definedName name="분당협조" hidden="1">{#N/A,#N/A,FALSE,"이태원철근"}</definedName>
    <definedName name="비교차종" hidden="1">{#N/A,#N/A,FALSE,"단축1";#N/A,#N/A,FALSE,"단축2";#N/A,#N/A,FALSE,"단축3";#N/A,#N/A,FALSE,"장축";#N/A,#N/A,FALSE,"4WD"}</definedName>
    <definedName name="ㅅ" hidden="1">{#N/A,#N/A,FALSE,"이태원철근"}</definedName>
    <definedName name="ㅅㅅ" hidden="1">{#N/A,#N/A,FALSE,"단축1";#N/A,#N/A,FALSE,"단축2";#N/A,#N/A,FALSE,"단축3";#N/A,#N/A,FALSE,"장축";#N/A,#N/A,FALSE,"4WD"}</definedName>
    <definedName name="ㅅㅅㅅ" hidden="1">{"targetdcf",#N/A,FALSE,"Merger consequences";"TARGETASSU",#N/A,FALSE,"Merger consequences";"TERMINAL VALUE",#N/A,FALSE,"Merger consequences"}</definedName>
    <definedName name="사내" hidden="1">{"'5'!$A$1:$BB$147"}</definedName>
    <definedName name="사다라다라" hidden="1">{"'5'!$A$1:$BB$147"}</definedName>
    <definedName name="사라다라사" hidden="1">{"'5'!$A$1:$BB$147"}</definedName>
    <definedName name="사랑" hidden="1">{"'5'!$A$1:$BB$147"}</definedName>
    <definedName name="사랑2" hidden="1">{"'5'!$A$1:$BB$147"}</definedName>
    <definedName name="사랑3" hidden="1">{"'5'!$A$1:$BB$147"}</definedName>
    <definedName name="사마ㅏ" hidden="1">{"targetdcf",#N/A,FALSE,"Merger consequences";"TARGETASSU",#N/A,FALSE,"Merger consequences";"TERMINAL VALUE",#N/A,FALSE,"Merger consequences"}</definedName>
    <definedName name="사양안" hidden="1">{#N/A,#N/A,FALSE,"단축1";#N/A,#N/A,FALSE,"단축2";#N/A,#N/A,FALSE,"단축3";#N/A,#N/A,FALSE,"장축";#N/A,#N/A,FALSE,"4WD"}</definedName>
    <definedName name="사업계획수정" hidden="1">#REF!</definedName>
    <definedName name="사업ㅂ3" hidden="1">{"AQUIRORDCF",#N/A,FALSE,"Merger consequences";"Acquirorassns",#N/A,FALSE,"Merger consequences"}</definedName>
    <definedName name="사업부양식2" hidden="1">#REF!</definedName>
    <definedName name="사업비최종" hidden="1">{#N/A,#N/A,FALSE,"손익표지";#N/A,#N/A,FALSE,"손익계산";#N/A,#N/A,FALSE,"일반관리비";#N/A,#N/A,FALSE,"영업외수익";#N/A,#N/A,FALSE,"영업외비용";#N/A,#N/A,FALSE,"매출액";#N/A,#N/A,FALSE,"요약손익";#N/A,#N/A,FALSE,"요약대차";#N/A,#N/A,FALSE,"매출채권현황";#N/A,#N/A,FALSE,"매출채권명세"}</definedName>
    <definedName name="사진" hidden="1">{#N/A,#N/A,FALSE,"단축1";#N/A,#N/A,FALSE,"단축2";#N/A,#N/A,FALSE,"단축3";#N/A,#N/A,FALSE,"장축";#N/A,#N/A,FALSE,"4WD"}</definedName>
    <definedName name="사진2" hidden="1">{#N/A,#N/A,FALSE,"단축1";#N/A,#N/A,FALSE,"단축2";#N/A,#N/A,FALSE,"단축3";#N/A,#N/A,FALSE,"장축";#N/A,#N/A,FALSE,"4WD"}</definedName>
    <definedName name="산업수요2" hidden="1">{#N/A,#N/A,FALSE,"단축1";#N/A,#N/A,FALSE,"단축2";#N/A,#N/A,FALSE,"단축3";#N/A,#N/A,FALSE,"장축";#N/A,#N/A,FALSE,"4WD"}</definedName>
    <definedName name="산출" hidden="1">#REF!</definedName>
    <definedName name="상각비2" hidden="1">#REF!</definedName>
    <definedName name="상반기" hidden="1">{#N/A,#N/A,FALSE,"단축1";#N/A,#N/A,FALSE,"단축2";#N/A,#N/A,FALSE,"단축3";#N/A,#N/A,FALSE,"장축";#N/A,#N/A,FALSE,"4WD"}</definedName>
    <definedName name="상품" hidden="1">{"'5'!$A$1:$BB$147"}</definedName>
    <definedName name="상품별" hidden="1">{"'5'!$A$1:$BB$147"}</definedName>
    <definedName name="상품별연체율추이" hidden="1">{"'5'!$A$1:$BB$147"}</definedName>
    <definedName name="새공통" hidden="1">{#N/A,#N/A,FALSE,"이태원철근"}</definedName>
    <definedName name="새안" hidden="1">{#N/A,#N/A,FALSE,"TABLE"}</definedName>
    <definedName name="새파일" hidden="1">#REF!</definedName>
    <definedName name="샘풀카피" hidden="1">{#N/A,#N/A,FALSE,"CCTV"}</definedName>
    <definedName name="샘플카피2" hidden="1">{#N/A,#N/A,FALSE,"CCTV"}</definedName>
    <definedName name="샘플카피3" hidden="1">{#N/A,#N/A,FALSE,"CCTV"}</definedName>
    <definedName name="생공안" hidden="1">{"targetdcf",#N/A,FALSE,"Merger consequences";"TARGETASSU",#N/A,FALSE,"Merger consequences";"TERMINAL VALUE",#N/A,FALSE,"Merger consequences"}</definedName>
    <definedName name="생산설비일정" hidden="1">{#N/A,#N/A,FALSE,"단축1";#N/A,#N/A,FALSE,"단축2";#N/A,#N/A,FALSE,"단축3";#N/A,#N/A,FALSE,"장축";#N/A,#N/A,FALSE,"4WD"}</definedName>
    <definedName name="생산전체일정" hidden="1">{#N/A,#N/A,FALSE,"단축1";#N/A,#N/A,FALSE,"단축2";#N/A,#N/A,FALSE,"단축3";#N/A,#N/A,FALSE,"장축";#N/A,#N/A,FALSE,"4WD"}</definedName>
    <definedName name="서광" hidden="1">{"'5'!$A$1:$BB$147"}</definedName>
    <definedName name="서대원" hidden="1">{"'5'!$A$1:$BB$147"}</definedName>
    <definedName name="서미선" hidden="1">{"'5'!$A$1:$BB$147"}</definedName>
    <definedName name="서미선1" hidden="1">{"'5'!$A$1:$BB$147"}</definedName>
    <definedName name="서미선10" hidden="1">{"'5'!$A$1:$BB$147"}</definedName>
    <definedName name="서미선2" hidden="1">{"'5'!$A$1:$BB$147"}</definedName>
    <definedName name="서미선3" hidden="1">{"'5'!$A$1:$BB$147"}</definedName>
    <definedName name="서미선4" hidden="1">{"'5'!$A$1:$BB$147"}</definedName>
    <definedName name="서미선5" hidden="1">{"'5'!$A$1:$BB$147"}</definedName>
    <definedName name="서미선6" hidden="1">{"'5'!$A$1:$BB$147"}</definedName>
    <definedName name="서미선서미선" hidden="1">{"'5'!$A$1:$BB$147"}</definedName>
    <definedName name="설계지침수정중" hidden="1">{#N/A,#N/A,FALSE,"단축1";#N/A,#N/A,FALSE,"단축2";#N/A,#N/A,FALSE,"단축3";#N/A,#N/A,FALSE,"장축";#N/A,#N/A,FALSE,"4WD"}</definedName>
    <definedName name="설비" hidden="1">{#N/A,#N/A,FALSE,"이태원철근"}</definedName>
    <definedName name="설설" hidden="1">{#N/A,#N/A,FALSE,"단축1";#N/A,#N/A,FALSE,"단축2";#N/A,#N/A,FALSE,"단축3";#N/A,#N/A,FALSE,"장축";#N/A,#N/A,FALSE,"4WD"}</definedName>
    <definedName name="성"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능보장"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세부생산계획" hidden="1">{#N/A,#N/A,TRUE,"Y생산";#N/A,#N/A,TRUE,"Y판매";#N/A,#N/A,TRUE,"Y총물량";#N/A,#N/A,TRUE,"Y능력";#N/A,#N/A,TRUE,"YKD"}</definedName>
    <definedName name="세부일정" hidden="1">{#N/A,#N/A,FALSE,"단축1";#N/A,#N/A,FALSE,"단축2";#N/A,#N/A,FALSE,"단축3";#N/A,#N/A,FALSE,"장축";#N/A,#N/A,FALSE,"4WD"}</definedName>
    <definedName name="세부일정.1" hidden="1">{#N/A,#N/A,FALSE,"단축1";#N/A,#N/A,FALSE,"단축2";#N/A,#N/A,FALSE,"단축3";#N/A,#N/A,FALSE,"장축";#N/A,#N/A,FALSE,"4WD"}</definedName>
    <definedName name="세왕123" hidden="1">{#N/A,#N/A,FALSE,"단축1";#N/A,#N/A,FALSE,"단축2";#N/A,#N/A,FALSE,"단축3";#N/A,#N/A,FALSE,"장축";#N/A,#N/A,FALSE,"4WD"}</definedName>
    <definedName name="셀리카" hidden="1">#REF!</definedName>
    <definedName name="소하프로젝트" hidden="1">{#N/A,#N/A,FALSE,"단축1";#N/A,#N/A,FALSE,"단축2";#N/A,#N/A,FALSE,"단축3";#N/A,#N/A,FALSE,"장축";#N/A,#N/A,FALSE,"4WD"}</definedName>
    <definedName name="손익계산서" hidden="1">#REF!</definedName>
    <definedName name="송" hidden="1">{#N/A,#N/A,TRUE,"Y생산";#N/A,#N/A,TRUE,"Y판매";#N/A,#N/A,TRUE,"Y총물량";#N/A,#N/A,TRUE,"Y능력";#N/A,#N/A,TRUE,"YKD"}</definedName>
    <definedName name="송창기" hidden="1">{#N/A,#N/A,TRUE,"Y생산";#N/A,#N/A,TRUE,"Y판매";#N/A,#N/A,TRUE,"Y총물량";#N/A,#N/A,TRUE,"Y능력";#N/A,#N/A,TRUE,"YKD"}</definedName>
    <definedName name="쇼" hidden="1">{#N/A,#N/A,FALSE,"이태원철근"}</definedName>
    <definedName name="쇼쇼쇼쇼쇼쇼쇼쇼쇼쇼" hidden="1">{#N/A,#N/A,FALSE,"단축1";#N/A,#N/A,FALSE,"단축2";#N/A,#N/A,FALSE,"단축3";#N/A,#N/A,FALSE,"장축";#N/A,#N/A,FALSE,"4WD"}</definedName>
    <definedName name="수" hidden="1">{#N/A,#N/A,TRUE,"Basic";#N/A,#N/A,TRUE,"EXT-TABLE";#N/A,#N/A,TRUE,"STEEL";#N/A,#N/A,TRUE,"INT-Table";#N/A,#N/A,TRUE,"STEEL";#N/A,#N/A,TRUE,"Door"}</definedName>
    <definedName name="수급계획" hidden="1">{"targetdcf",#N/A,FALSE,"Merger consequences";"TARGETASSU",#N/A,FALSE,"Merger consequences";"TERMINAL VALUE",#N/A,FALSE,"Merger consequences"}</definedName>
    <definedName name="수당" hidden="1">#N/A</definedName>
    <definedName name="수익4속" hidden="1">{#N/A,#N/A,FALSE,"단축1";#N/A,#N/A,FALSE,"단축2";#N/A,#N/A,FALSE,"단축3";#N/A,#N/A,FALSE,"장축";#N/A,#N/A,FALSE,"4WD"}</definedName>
    <definedName name="수정물량" hidden="1">{#N/A,#N/A,TRUE,"Y생산";#N/A,#N/A,TRUE,"Y판매";#N/A,#N/A,TRUE,"Y총물량";#N/A,#N/A,TRUE,"Y능력";#N/A,#N/A,TRUE,"YKD"}</definedName>
    <definedName name="승인보고21차" hidden="1">{#N/A,#N/A,FALSE,"기안지";#N/A,#N/A,FALSE,"통신지"}</definedName>
    <definedName name="승인보고22차" hidden="1">{#N/A,#N/A,FALSE,"기안지";#N/A,#N/A,FALSE,"통신지"}</definedName>
    <definedName name="시" hidden="1">{#N/A,#N/A,FALSE,"이태원철근"}</definedName>
    <definedName name="시행" hidden="1">{#N/A,#N/A,FALSE,"이태원철근"}</definedName>
    <definedName name="신" hidden="1">{"'표지'!$B$5"}</definedName>
    <definedName name="신AT종합" hidden="1">{#N/A,#N/A,FALSE,"단축1";#N/A,#N/A,FALSE,"단축2";#N/A,#N/A,FALSE,"단축3";#N/A,#N/A,FALSE,"장축";#N/A,#N/A,FALSE,"4WD"}</definedName>
    <definedName name="신동" hidden="1">{#N/A,#N/A,FALSE,"신규dep";#N/A,#N/A,FALSE,"신규dep-금형상각후";#N/A,#N/A,FALSE,"신규dep-연구비상각후";#N/A,#N/A,FALSE,"신규dep-기계,공구상각후"}</definedName>
    <definedName name="신동조" hidden="1">{#N/A,#N/A,FALSE,"신규dep";#N/A,#N/A,FALSE,"신규dep-금형상각후";#N/A,#N/A,FALSE,"신규dep-연구비상각후";#N/A,#N/A,FALSE,"신규dep-기계,공구상각후"}</definedName>
    <definedName name="신동좁" hidden="1">{#N/A,#N/A,FALSE,"단축1";#N/A,#N/A,FALSE,"단축2";#N/A,#N/A,FALSE,"단축3";#N/A,#N/A,FALSE,"장축";#N/A,#N/A,FALSE,"4WD"}</definedName>
    <definedName name="신세대종합" hidden="1">{#N/A,#N/A,FALSE,"단축1";#N/A,#N/A,FALSE,"단축2";#N/A,#N/A,FALSE,"단축3";#N/A,#N/A,FALSE,"장축";#N/A,#N/A,FALSE,"4WD"}</definedName>
    <definedName name="신양식" hidden="1">{#N/A,#N/A,FALSE,"단축1";#N/A,#N/A,FALSE,"단축2";#N/A,#N/A,FALSE,"단축3";#N/A,#N/A,FALSE,"장축";#N/A,#N/A,FALSE,"4WD"}</definedName>
    <definedName name="신입시론" hidden="1">{#N/A,#N/A,FALSE,"단축1";#N/A,#N/A,FALSE,"단축2";#N/A,#N/A,FALSE,"단축3";#N/A,#N/A,FALSE,"장축";#N/A,#N/A,FALSE,"4WD"}</definedName>
    <definedName name="신차개발" hidden="1">{#N/A,#N/A,FALSE,"단축1";#N/A,#N/A,FALSE,"단축2";#N/A,#N/A,FALSE,"단축3";#N/A,#N/A,FALSE,"장축";#N/A,#N/A,FALSE,"4WD"}</definedName>
    <definedName name="신차품질일정" hidden="1">{#N/A,#N/A,FALSE,"단축1";#N/A,#N/A,FALSE,"단축2";#N/A,#N/A,FALSE,"단축3";#N/A,#N/A,FALSE,"장축";#N/A,#N/A,FALSE,"4WD"}</definedName>
    <definedName name="실적총괄1" hidden="1">#REF!</definedName>
    <definedName name="실총" hidden="1">#REF!</definedName>
    <definedName name="실행"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ㅇ9" hidden="1">{0}</definedName>
    <definedName name="ㅇㄴㄹ" hidden="1">{#N/A,#N/A,FALSE,"단축1";#N/A,#N/A,FALSE,"단축2";#N/A,#N/A,FALSE,"단축3";#N/A,#N/A,FALSE,"장축";#N/A,#N/A,FALSE,"4WD"}</definedName>
    <definedName name="ㅇㄴㅀㅇ" hidden="1">{#N/A,#N/A,FALSE,"단축1";#N/A,#N/A,FALSE,"단축2";#N/A,#N/A,FALSE,"단축3";#N/A,#N/A,FALSE,"장축";#N/A,#N/A,FALSE,"4WD"}</definedName>
    <definedName name="ㅇㄹ" hidden="1">{#N/A,#N/A,FALSE,"이태원철근"}</definedName>
    <definedName name="ㅇㄹㄴㄻㄴㅇㄹ" hidden="1">{#N/A,#N/A,FALSE,"이태원철근"}</definedName>
    <definedName name="ㅇㄹㄹㄹㄴㄹ" hidden="1">{#N/A,#N/A,FALSE,"단축1";#N/A,#N/A,FALSE,"단축2";#N/A,#N/A,FALSE,"단축3";#N/A,#N/A,FALSE,"장축";#N/A,#N/A,FALSE,"4WD"}</definedName>
    <definedName name="ㅇㅁㅎㅁㅇㄶㄻㅇㄶㄹ" hidden="1">{#N/A,#N/A,FALSE,"이태원철근"}</definedName>
    <definedName name="ㅇㅂㄴㅇㄴㅁㅇㄷㅂㅈ" hidden="1">{#N/A,#N/A,FALSE,"이태원철근"}</definedName>
    <definedName name="ㅇㅂㅁ" hidden="1">{#N/A,#N/A,FALSE,"이태원철근"}</definedName>
    <definedName name="ㅇㅅ굓요" hidden="1">{#N/A,#N/A,FALSE,"이태원철근"}</definedName>
    <definedName name="ㅇㅇㅇㅇㅇ" hidden="1">{#N/A,#N/A,FALSE,"단축1";#N/A,#N/A,FALSE,"단축2";#N/A,#N/A,FALSE,"단축3";#N/A,#N/A,FALSE,"장축";#N/A,#N/A,FALSE,"4WD"}</definedName>
    <definedName name="ㅇㅇㅇㅇㅇㅇㅇ" hidden="1">{#N/A,#N/A,FALSE,"이태원철근"}</definedName>
    <definedName name="ㅇㅎ오" hidden="1">{#N/A,#N/A,FALSE,"단축1";#N/A,#N/A,FALSE,"단축2";#N/A,#N/A,FALSE,"단축3";#N/A,#N/A,FALSE,"장축";#N/A,#N/A,FALSE,"4WD"}</definedName>
    <definedName name="ㅇ호ㅓㅗ허" hidden="1">{#N/A,#N/A,FALSE,"이태원철근"}</definedName>
    <definedName name="아라" hidden="1">{"'5'!$A$1:$BB$147"}</definedName>
    <definedName name="아무" hidden="1">{#N/A,#N/A,TRUE,"일반적사항";#N/A,#N/A,TRUE,"주요재무자료"}</definedName>
    <definedName name="아아아" hidden="1">{#N/A,#N/A,FALSE,"TABLE"}</definedName>
    <definedName name="아알" hidden="1">{"'5'!$A$1:$BB$147"}</definedName>
    <definedName name="아야아야아야야야야야야야양" hidden="1">#REF!</definedName>
    <definedName name="아자" hidden="1">{"'5'!$A$1:$BB$147"}</definedName>
    <definedName name="아ㅓㅏㅓ" hidden="1">{#N/A,#N/A,FALSE,"단축1";#N/A,#N/A,FALSE,"단축2";#N/A,#N/A,FALSE,"단축3";#N/A,#N/A,FALSE,"장축";#N/A,#N/A,FALSE,"4WD"}</definedName>
    <definedName name="안녕" hidden="1">{"'5'!$A$1:$BB$147"}</definedName>
    <definedName name="안양현대" hidden="1">{#N/A,#N/A,FALSE,"이태원철근"}</definedName>
    <definedName name="안현모" hidden="1">{#N/A,#N/A,FALSE,"단축1";#N/A,#N/A,FALSE,"단축2";#N/A,#N/A,FALSE,"단축3";#N/A,#N/A,FALSE,"장축";#N/A,#N/A,FALSE,"4WD"}</definedName>
    <definedName name="액슬" hidden="1">{#N/A,#N/A,FALSE,"단축1";#N/A,#N/A,FALSE,"단축2";#N/A,#N/A,FALSE,"단축3";#N/A,#N/A,FALSE,"장축";#N/A,#N/A,FALSE,"4WD"}</definedName>
    <definedName name="양대호" hidden="1">{#N/A,#N/A,FALSE,"단축1";#N/A,#N/A,FALSE,"단축2";#N/A,#N/A,FALSE,"단축3";#N/A,#N/A,FALSE,"장축";#N/A,#N/A,FALSE,"4WD"}</definedName>
    <definedName name="어음배분기준1018" hidden="1">#REF!</definedName>
    <definedName name="어ㅏㅣ" hidden="1">{#N/A,#N/A,FALSE,"이태원철근"}</definedName>
    <definedName name="업" hidden="1">{#N/A,#N/A,FALSE,"집계";#N/A,#N/A,FALSE,"표지";#N/A,#N/A,FALSE,"터빈집계";#N/A,#N/A,FALSE,"터빈내역";#N/A,#N/A,FALSE,"주제어집계";#N/A,#N/A,FALSE,"주제어내역";#N/A,#N/A,FALSE,"보일러집계";#N/A,#N/A,FALSE,"보일러내역"}</definedName>
    <definedName name="업체" hidden="1">{#N/A,#N/A,FALSE,"단축1";#N/A,#N/A,FALSE,"단축2";#N/A,#N/A,FALSE,"단축3";#N/A,#N/A,FALSE,"장축";#N/A,#N/A,FALSE,"4WD"}</definedName>
    <definedName name="업체별" hidden="1">{#N/A,#N/A,FALSE,"총괄수정"}</definedName>
    <definedName name="에어벤트" hidden="1">{#N/A,#N/A,FALSE,"단축1";#N/A,#N/A,FALSE,"단축2";#N/A,#N/A,FALSE,"단축3";#N/A,#N/A,FALSE,"장축";#N/A,#N/A,FALSE,"4WD"}</definedName>
    <definedName name="에쿠스" hidden="1">{#N/A,#N/A,FALSE,"견적대비-2"}</definedName>
    <definedName name="엔진" hidden="1">{#N/A,#N/A,FALSE,"단축1";#N/A,#N/A,FALSE,"단축2";#N/A,#N/A,FALSE,"단축3";#N/A,#N/A,FALSE,"장축";#N/A,#N/A,FALSE,"4WD"}</definedName>
    <definedName name="여신" hidden="1">{"'5'!$A$1:$BB$147"}</definedName>
    <definedName name="연체" hidden="1">{"'5'!$A$1:$BB$147"}</definedName>
    <definedName name="열처리" hidden="1">{#N/A,#N/A,FALSE,"단축1";#N/A,#N/A,FALSE,"단축2";#N/A,#N/A,FALSE,"단축3";#N/A,#N/A,FALSE,"장축";#N/A,#N/A,FALSE,"4WD"}</definedName>
    <definedName name="영" hidden="1">{#N/A,#N/A,FALSE,"일반적사항";#N/A,#N/A,FALSE,"주요재무자료";#N/A,#N/A,FALSE,"표지";#N/A,#N/A,FALSE,"총괄표";#N/A,#N/A,FALSE,"1호 과표세액";#N/A,#N/A,FALSE,"1-2호 농어촌과표";#N/A,#N/A,FALSE,"2호 서식";#N/A,#N/A,FALSE,"2호부표 최저한세";#N/A,#N/A,FALSE,"3(1)호 공제감면";#N/A,#N/A,FALSE,"3(1) 부3 세액조정";#N/A,#N/A,FALSE,"3호 임시투자공제";#N/A,#N/A,FALSE,"조8호 기술인력";#N/A,#N/A,FALSE,"3(1)부7 기업합리";#N/A,#N/A,FALSE,"3(3)호(갑) 원천납부";#N/A,#N/A,FALSE,"5호 농어촌";#N/A,#N/A,FALSE,"5호2 농감면(갑)";#N/A,#N/A,FALSE,"6호 소득금액";#N/A,#N/A,FALSE,"6호 첨부(익)";#N/A,#N/A,FALSE,"6호 첨부(손)";#N/A,#N/A,FALSE,"6-1호 수입금액";#N/A,#N/A,FALSE,"6-3호 퇴충";#N/A,#N/A,FALSE,"6-3(4)호 대손";#N/A,#N/A,FALSE,"6-4호 접대(갑)";#N/A,#N/A,FALSE,"6-4호 접대(을)";#N/A,#N/A,FALSE,"6-5호 외화(갑)";#N/A,#N/A,FALSE,"6-6호(부표)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조정수입";#N/A,#N/A,FALSE,"14(1)호 갑 주식";#N/A,#N/A,FALSE,"59호 해외특수";#N/A,#N/A,FALSE,"60호 갑 적정유보";#N/A,#N/A,FALSE,"60호 을 적정유보";#N/A,#N/A,FALSE,"요약 BS";#N/A,#N/A,FALSE,"요약 PL";#N/A,#N/A,FALSE,"요약원가";#N/A,#N/A,FALSE,"요약RE"}</definedName>
    <definedName name="영문공정표"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영복" hidden="1">{#N/A,#N/A,FALSE,"단축1";#N/A,#N/A,FALSE,"단축2";#N/A,#N/A,FALSE,"단축3";#N/A,#N/A,FALSE,"장축";#N/A,#N/A,FALSE,"4WD"}</definedName>
    <definedName name="영영영"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영희" hidden="1">{"'5'!$A$1:$BB$147"}</definedName>
    <definedName name="오성협" hidden="1">{#N/A,#N/A,TRUE,"Y생산";#N/A,#N/A,TRUE,"Y판매";#N/A,#N/A,TRUE,"Y총물량";#N/A,#N/A,TRUE,"Y능력";#N/A,#N/A,TRUE,"YKD"}</definedName>
    <definedName name="오영한"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오영환"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오토" hidden="1">{"'5'!$A$1:$BB$147"}</definedName>
    <definedName name="오토리스" hidden="1">{"'5'!$A$1:$BB$147"}</definedName>
    <definedName name="오토리스1" hidden="1">{"'5'!$A$1:$BB$147"}</definedName>
    <definedName name="오토리스실적" hidden="1">{"'5'!$A$1:$BB$147"}</definedName>
    <definedName name="오토본부" hidden="1">{"'5'!$A$1:$BB$147"}</definedName>
    <definedName name="오토토" hidden="1">{"'5'!$A$1:$BB$147"}</definedName>
    <definedName name="오포" hidden="1">{"'5'!$A$1:$BB$147"}</definedName>
    <definedName name="옥외공사" hidden="1">{#N/A,#N/A,FALSE,"이태원철근"}</definedName>
    <definedName name="옥외대비" hidden="1">{#N/A,#N/A,FALSE,"이태원철근"}</definedName>
    <definedName name="요약공정"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요인비교차종1" hidden="1">{#N/A,#N/A,FALSE,"단축1";#N/A,#N/A,FALSE,"단축2";#N/A,#N/A,FALSE,"단축3";#N/A,#N/A,FALSE,"장축";#N/A,#N/A,FALSE,"4WD"}</definedName>
    <definedName name="요인비교차종별1" hidden="1">{#N/A,#N/A,FALSE,"단축1";#N/A,#N/A,FALSE,"단축2";#N/A,#N/A,FALSE,"단축3";#N/A,#N/A,FALSE,"장축";#N/A,#N/A,FALSE,"4WD"}</definedName>
    <definedName name="용도차" hidden="1">{#N/A,#N/A,FALSE,"단축1";#N/A,#N/A,FALSE,"단축2";#N/A,#N/A,FALSE,"단축3";#N/A,#N/A,FALSE,"장축";#N/A,#N/A,FALSE,"4WD"}</definedName>
    <definedName name="용역하도급" hidden="1">{#N/A,#N/A,FALSE,"자재비 (2)";#N/A,#N/A,FALSE,"공사비 (2)";#N/A,#N/A,FALSE,"설계외주비";#N/A,#N/A,FALSE,"노무비";#N/A,#N/A,FALSE,"기계장치비";#N/A,#N/A,FALSE,"경비"}</definedName>
    <definedName name="우가" hidden="1">{#N/A,#N/A,FALSE,"이태원철근"}</definedName>
    <definedName name="우리"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운영1" hidden="1">{#N/A,#N/A,FALSE,"단축1";#N/A,#N/A,FALSE,"단축2";#N/A,#N/A,FALSE,"단축3";#N/A,#N/A,FALSE,"장축";#N/A,#N/A,FALSE,"4WD"}</definedName>
    <definedName name="울랄라" hidden="1">{"'5'!$A$1:$BB$147"}</definedName>
    <definedName name="원가" hidden="1">{"Acq_matrix",#N/A,FALSE,"Acquisition Matrix"}</definedName>
    <definedName name="원천납부8"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월드건설" hidden="1">{#N/A,#N/A,FALSE,"이태원철근"}</definedName>
    <definedName name="유럽별도" hidden="1">{#N/A,#N/A,FALSE,"단축1";#N/A,#N/A,FALSE,"단축2";#N/A,#N/A,FALSE,"단축3";#N/A,#N/A,FALSE,"장축";#N/A,#N/A,FALSE,"4WD"}</definedName>
    <definedName name="윤" hidden="1">{"'5'!$A$1:$BB$147"}</definedName>
    <definedName name="을" hidden="1">{#N/A,#N/A,FALSE,"도급대비시행율";#N/A,#N/A,FALSE,"결의서";#N/A,#N/A,FALSE,"내역서";#N/A,#N/A,FALSE,"도급예상"}</definedName>
    <definedName name="이" hidden="1">{#N/A,#N/A,FALSE,"이태원철근"}</definedName>
    <definedName name="이건형" hidden="1">{#N/A,#N/A,FALSE,"단축1";#N/A,#N/A,FALSE,"단축2";#N/A,#N/A,FALSE,"단축3";#N/A,#N/A,FALSE,"장축";#N/A,#N/A,FALSE,"4WD"}</definedName>
    <definedName name="이겅ㄴ" hidden="1">{#N/A,#N/A,FALSE,"단축1";#N/A,#N/A,FALSE,"단축2";#N/A,#N/A,FALSE,"단축3";#N/A,#N/A,FALSE,"장축";#N/A,#N/A,FALSE,"4WD"}</definedName>
    <definedName name="이국" hidden="1">{#N/A,#N/A,FALSE,"단축1";#N/A,#N/A,FALSE,"단축2";#N/A,#N/A,FALSE,"단축3";#N/A,#N/A,FALSE,"장축";#N/A,#N/A,FALSE,"4WD"}</definedName>
    <definedName name="이근한" hidden="1">{#N/A,#N/A,FALSE,"단축1";#N/A,#N/A,FALSE,"단축2";#N/A,#N/A,FALSE,"단축3";#N/A,#N/A,FALSE,"장축";#N/A,#N/A,FALSE,"4WD"}</definedName>
    <definedName name="이기성" hidden="1">{"'5'!$A$1:$BB$147"}</definedName>
    <definedName name="이남식"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이남식1"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이란" hidden="1">{#N/A,#N/A,FALSE,"단축1";#N/A,#N/A,FALSE,"단축2";#N/A,#N/A,FALSE,"단축3";#N/A,#N/A,FALSE,"장축";#N/A,#N/A,FALSE,"4WD"}</definedName>
    <definedName name="이름" hidden="1">{#N/A,#N/A,FALSE,"CCTV"}</definedName>
    <definedName name="이름니"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병석" hidden="1">{"'5'!$A$1:$BB$147"}</definedName>
    <definedName name="이승훈" hidden="1">{#N/A,#N/A,FALSE,"TABLE"}</definedName>
    <definedName name="이영준" hidden="1">{#N/A,#N/A,FALSE,"도급대비시행율";#N/A,#N/A,FALSE,"결의서";#N/A,#N/A,FALSE,"내역서";#N/A,#N/A,FALSE,"도급예상"}</definedName>
    <definedName name="이원일" hidden="1">{"targetdcf",#N/A,FALSE,"Merger consequences";"TARGETASSU",#N/A,FALSE,"Merger consequences";"TERMINAL VALUE",#N/A,FALSE,"Merger consequences"}</definedName>
    <definedName name="이월" hidden="1">#REF!</definedName>
    <definedName name="이이" hidden="1">{#N/A,#N/A,FALSE,"이태원철근"}</definedName>
    <definedName name="이종원" hidden="1">{#N/A,#N/A,FALSE,"신청통보";#N/A,#N/A,FALSE,"기성확인서";#N/A,#N/A,FALSE,"기성내역서"}</definedName>
    <definedName name="이ㅏㅎ" hidden="1">{#N/A,#N/A,FALSE,"이태원철근"}</definedName>
    <definedName name="인건비사용내역" hidden="1">{#N/A,#N/A,FALSE,"자재비 (2)";#N/A,#N/A,FALSE,"공사비 (2)";#N/A,#N/A,FALSE,"설계외주비";#N/A,#N/A,FALSE,"노무비";#N/A,#N/A,FALSE,"기계장치비";#N/A,#N/A,FALSE,"경비"}</definedName>
    <definedName name="인당" hidden="1">{#N/A,#N/A,FALSE,"총괄수정"}</definedName>
    <definedName name="인몰드2" hidden="1">{#N/A,#N/A,FALSE,"단축1";#N/A,#N/A,FALSE,"단축2";#N/A,#N/A,FALSE,"단축3";#N/A,#N/A,FALSE,"장축";#N/A,#N/A,FALSE,"4WD"}</definedName>
    <definedName name="인몰드성형" hidden="1">{#N/A,#N/A,FALSE,"단축1";#N/A,#N/A,FALSE,"단축2";#N/A,#N/A,FALSE,"단축3";#N/A,#N/A,FALSE,"장축";#N/A,#N/A,FALSE,"4WD"}</definedName>
    <definedName name="인상1안" hidden="1">{#N/A,#N/A,FALSE,"단축1";#N/A,#N/A,FALSE,"단축2";#N/A,#N/A,FALSE,"단축3";#N/A,#N/A,FALSE,"장축";#N/A,#N/A,FALSE,"4WD"}</definedName>
    <definedName name="인수" hidden="1">{"'5'!$A$1:$BB$147"}</definedName>
    <definedName name="인수보고" hidden="1">{"'5'!$A$1:$BB$147"}</definedName>
    <definedName name="인수보고종합" hidden="1">{"'5'!$A$1:$BB$147"}</definedName>
    <definedName name="인숭" hidden="1">{"'5'!$A$1:$BB$147"}</definedName>
    <definedName name="인천대형" hidden="1">{"AQUIRORDCF",#N/A,FALSE,"Merger consequences";"Acquirorassns",#N/A,FALSE,"Merger consequences"}</definedName>
    <definedName name="일이ㅏㄹ" hidden="1">{#N/A,#N/A,FALSE,"단축1";#N/A,#N/A,FALSE,"단축2";#N/A,#N/A,FALSE,"단축3";#N/A,#N/A,FALSE,"장축";#N/A,#N/A,FALSE,"4WD"}</definedName>
    <definedName name="일자별현황" hidden="1">{"'5'!$A$1:$BB$147"}</definedName>
    <definedName name="임시2" hidden="1">{#N/A,#N/A,FALSE,"단축1";#N/A,#N/A,FALSE,"단축2";#N/A,#N/A,FALSE,"단축3";#N/A,#N/A,FALSE,"장축";#N/A,#N/A,FALSE,"4WD"}</definedName>
    <definedName name="ㅈ고모" hidden="1">{#N/A,#N/A,FALSE,"단축1";#N/A,#N/A,FALSE,"단축2";#N/A,#N/A,FALSE,"단축3";#N/A,#N/A,FALSE,"장축";#N/A,#N/A,FALSE,"4WD"}</definedName>
    <definedName name="ㅈㄴㅇㄹㅊㅁ" hidden="1">{#N/A,#N/A,FALSE,"단축1";#N/A,#N/A,FALSE,"단축2";#N/A,#N/A,FALSE,"단축3";#N/A,#N/A,FALSE,"장축";#N/A,#N/A,FALSE,"4WD"}</definedName>
    <definedName name="ㅈㄷㄱ" hidden="1">{#N/A,#N/A,FALSE,"이태원철근"}</definedName>
    <definedName name="ㅈㄷㄱㅈㄷㄱ" hidden="1">{#N/A,#N/A,FALSE,"이태원철근"}</definedName>
    <definedName name="ㅈㄷㄱㅈㄷㄱㄷ주" hidden="1">{#N/A,#N/A,FALSE,"이태원철근"}</definedName>
    <definedName name="ㅈㄷㄱㅈㄷㄱㅈ" hidden="1">{#N/A,#N/A,FALSE,"이태원철근"}</definedName>
    <definedName name="ㅈㄷㄱㅈㄷㄱㅈㄷ" hidden="1">{#N/A,#N/A,FALSE,"이태원철근"}</definedName>
    <definedName name="ㅈㄷㄱㅈㄷㄱㅈㄷㄱ" hidden="1">{#N/A,#N/A,FALSE,"이태원철근"}</definedName>
    <definedName name="ㅈㄷㄱㅈㄷㄱㅈㄷㄱㅈㄷ" hidden="1">{#N/A,#N/A,FALSE,"이태원철근"}</definedName>
    <definedName name="ㅈㄷㄱㅈㄷㄱㅈㅈ" hidden="1">{#N/A,#N/A,FALSE,"이태원철근"}</definedName>
    <definedName name="ㅈㄷ교죠ㅜ" hidden="1">{#N/A,#N/A,FALSE,"이태원철근"}</definedName>
    <definedName name="ㅈㄷ굗ㄱ죠죠" hidden="1">{#N/A,#N/A,FALSE,"이태원철근"}</definedName>
    <definedName name="ㅈㄷ굦ㄷ굑ㅈ됴죧ㄱ" hidden="1">{#N/A,#N/A,FALSE,"이태원철근"}</definedName>
    <definedName name="ㅈㄷㄳ" hidden="1">{#N/A,#N/A,FALSE,"이태원철근"}</definedName>
    <definedName name="ㅈㄷㅅㅅㅈㅅㅈㄷ" hidden="1">{#N/A,#N/A,FALSE,"이태원철근"}</definedName>
    <definedName name="ㅈㄷㅅㅈㅅ" hidden="1">{#N/A,#N/A,FALSE,"이태원철근"}</definedName>
    <definedName name="ㅈㄷ쇼ㅛㅈㄱ" hidden="1">{#N/A,#N/A,FALSE,"이태원철근"}</definedName>
    <definedName name="ㅈㅂㅇㄴㅁㅇㅈㅇㅂ" hidden="1">{#N/A,#N/A,FALSE,"이태원철근"}</definedName>
    <definedName name="ㅈㅂㅎㄹㅈㄷㅎ" hidden="1">{"'5'!$A$1:$BB$147"}</definedName>
    <definedName name="ㅈㅇㅁㄴㅇㅂㄴㄷㅇㅁ" hidden="1">{#N/A,#N/A,FALSE,"이태원철근"}</definedName>
    <definedName name="ㅈㅈㅈ" hidden="1">{#N/A,#N/A,FALSE,"표지";#N/A,#N/A,FALSE,"총괄표";#N/A,#N/A,FALSE,"1호 과표세액";#N/A,#N/A,FALSE,"2호 서식";#N/A,#N/A,FALSE,"3(3)호(갑) 원천납부";#N/A,#N/A,FALSE,"6호 소득금액";#N/A,#N/A,FALSE,"6호 첨부(익)";#N/A,#N/A,FALSE,"6호 첨부(손)";#N/A,#N/A,FALSE,"6-1호 수입금액";#N/A,#N/A,FALSE,"6-3호 퇴충";#N/A,#N/A,FALSE,"6-3(3)호 단퇴";#N/A,#N/A,FALSE,"6-3(4)호 대손";#N/A,#N/A,FALSE,"6-4호 접대(갑)";#N/A,#N/A,FALSE,"6-4호 접대(을)";#N/A,#N/A,FALSE,"6-5호 외화(갑)";#N/A,#N/A,FALSE,"6-5호 외화(을)";#N/A,#N/A,FALSE,"6-6호(부표) 자본적지출";#N/A,#N/A,FALSE,"6-11호 세금과공과";#N/A,#N/A,FALSE,"6-12호 선급비용";#N/A,#N/A,FALSE,"9호 자본금(갑)";#N/A,#N/A,FALSE,"9호 자본금(을)";#N/A,#N/A,FALSE,"10(3)호 주요계정";#N/A,#N/A,FALSE,"10(3)호 부표";#N/A,#N/A,FALSE,"10(4)호 조정수입";#N/A,#N/A,FALSE,"요약 BS";#N/A,#N/A,FALSE,"요약 PL";#N/A,#N/A,FALSE,"요약RE"}</definedName>
    <definedName name="자" hidden="1">{#N/A,#N/A,FALSE,"이태원철근"}</definedName>
    <definedName name="자나" hidden="1">{"'5'!$A$1:$BB$147"}</definedName>
    <definedName name="자나다다라" hidden="1">{"'5'!$A$1:$BB$147"}</definedName>
    <definedName name="자다라다" hidden="1">{"'5'!$A$1:$BB$147"}</definedName>
    <definedName name="자다라다가라" hidden="1">{"'5'!$A$1:$BB$147"}</definedName>
    <definedName name="자다라다라다라" hidden="1">{"'5'!$A$1:$BB$147"}</definedName>
    <definedName name="자사아다" hidden="1">{"'5'!$A$1:$BB$147"}</definedName>
    <definedName name="자산현황" hidden="1">{#N/A,#N/A,FALSE,"단축1";#N/A,#N/A,FALSE,"단축2";#N/A,#N/A,FALSE,"단축3";#N/A,#N/A,FALSE,"장축";#N/A,#N/A,FALSE,"4WD"}</definedName>
    <definedName name="자운" hidden="1">#REF!</definedName>
    <definedName name="자자자잦" hidden="1">{"'5'!$A$1:$BB$147"}</definedName>
    <definedName name="자잦" hidden="1">{"'5'!$A$1:$BB$147"}</definedName>
    <definedName name="자지" hidden="1">{"'5'!$A$1:$BB$147"}</definedName>
    <definedName name="작업2" hidden="1">{"'표지'!$B$5"}</definedName>
    <definedName name="작업장" hidden="1">{"'표지'!$B$5"}</definedName>
    <definedName name="장비비입력" hidden="1">{#N/A,#N/A,FALSE,"자재비 (2)";#N/A,#N/A,FALSE,"공사비 (2)";#N/A,#N/A,FALSE,"설계외주비";#N/A,#N/A,FALSE,"노무비";#N/A,#N/A,FALSE,"기계장치비";#N/A,#N/A,FALSE,"경비"}</definedName>
    <definedName name="장호대" hidden="1">{#N/A,#N/A,FALSE,"단축1";#N/A,#N/A,FALSE,"단축2";#N/A,#N/A,FALSE,"단축3";#N/A,#N/A,FALSE,"장축";#N/A,#N/A,FALSE,"4WD"}</definedName>
    <definedName name="재민" hidden="1">{"'5'!$A$1:$BB$147"}</definedName>
    <definedName name="전개계획" hidden="1">{#N/A,#N/A,FALSE,"단축1";#N/A,#N/A,FALSE,"단축2";#N/A,#N/A,FALSE,"단축3";#N/A,#N/A,FALSE,"장축";#N/A,#N/A,FALSE,"4WD"}</definedName>
    <definedName name="전개방안2" hidden="1">{#N/A,#N/A,FALSE,"단축1";#N/A,#N/A,FALSE,"단축2";#N/A,#N/A,FALSE,"단축3";#N/A,#N/A,FALSE,"장축";#N/A,#N/A,FALSE,"4WD"}</definedName>
    <definedName name="전개방안3" hidden="1">{#N/A,#N/A,FALSE,"단축1";#N/A,#N/A,FALSE,"단축2";#N/A,#N/A,FALSE,"단축3";#N/A,#N/A,FALSE,"장축";#N/A,#N/A,FALSE,"4WD"}</definedName>
    <definedName name="전개방안4" hidden="1">{#N/A,#N/A,FALSE,"단축1";#N/A,#N/A,FALSE,"단축2";#N/A,#N/A,FALSE,"단축3";#N/A,#N/A,FALSE,"장축";#N/A,#N/A,FALSE,"4WD"}</definedName>
    <definedName name="전계장금액" hidden="1">#REF!</definedName>
    <definedName name="전기공사비교" hidden="1">{#N/A,#N/A,FALSE,"손익표지";#N/A,#N/A,FALSE,"손익계산";#N/A,#N/A,FALSE,"일반관리비";#N/A,#N/A,FALSE,"영업외수익";#N/A,#N/A,FALSE,"영업외비용";#N/A,#N/A,FALSE,"매출액";#N/A,#N/A,FALSE,"요약손익";#N/A,#N/A,FALSE,"요약대차";#N/A,#N/A,FALSE,"매출채권현황";#N/A,#N/A,FALSE,"매출채권명세"}</definedName>
    <definedName name="전기사양_SAMPLE"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부" hidden="1">{#N/A,#N/A,FALSE,"단축1";#N/A,#N/A,FALSE,"단축2";#N/A,#N/A,FALSE,"단축3";#N/A,#N/A,FALSE,"장축";#N/A,#N/A,FALSE,"4WD"}</definedName>
    <definedName name="전차종" hidden="1">{#N/A,#N/A,FALSE,"표지";#N/A,#N/A,FALSE,"전제";#N/A,#N/A,FALSE,"대당";#N/A,#N/A,FALSE,"가공비";#N/A,#N/A,FALSE,"재료비";#N/A,#N/A,FALSE,"손익"}</definedName>
    <definedName name="전체현황" hidden="1">{#N/A,#N/A,FALSE,"단축1";#N/A,#N/A,FALSE,"단축2";#N/A,#N/A,FALSE,"단축3";#N/A,#N/A,FALSE,"장축";#N/A,#N/A,FALSE,"4WD"}</definedName>
    <definedName name="절" hidden="1">#REF!</definedName>
    <definedName name="정보기술1" hidden="1">{"'표지'!$B$5"}</definedName>
    <definedName name="정영환자료" hidden="1">{"'5'!$A$1:$BB$147"}</definedName>
    <definedName name="젖" hidden="1">{#N/A,#N/A,FALSE,"단축1";#N/A,#N/A,FALSE,"단축2";#N/A,#N/A,FALSE,"단축3";#N/A,#N/A,FALSE,"장축";#N/A,#N/A,FALSE,"4WD"}</definedName>
    <definedName name="제원종합" hidden="1">#REF!</definedName>
    <definedName name="제작현황" hidden="1">{#N/A,#N/A,FALSE,"단축1";#N/A,#N/A,FALSE,"단축2";#N/A,#N/A,FALSE,"단축3";#N/A,#N/A,FALSE,"장축";#N/A,#N/A,FALSE,"4WD"}</definedName>
    <definedName name="조동" hidden="1">{#N/A,#N/A,FALSE,"단축1";#N/A,#N/A,FALSE,"단축2";#N/A,#N/A,FALSE,"단축3";#N/A,#N/A,FALSE,"장축";#N/A,#N/A,FALSE,"4WD"}</definedName>
    <definedName name="조동신" hidden="1">{#N/A,#N/A,FALSE,"단축1";#N/A,#N/A,FALSE,"단축2";#N/A,#N/A,FALSE,"단축3";#N/A,#N/A,FALSE,"장축";#N/A,#N/A,FALSE,"4WD"}</definedName>
    <definedName name="조립" hidden="1">{#N/A,#N/A,FALSE,"단축1";#N/A,#N/A,FALSE,"단축2";#N/A,#N/A,FALSE,"단축3";#N/A,#N/A,FALSE,"장축";#N/A,#N/A,FALSE,"4WD"}</definedName>
    <definedName name="조직도1" hidden="1">{#N/A,#N/A,FALSE,"기안지";#N/A,#N/A,FALSE,"통신지"}</definedName>
    <definedName name="조직도2" hidden="1">{#N/A,#N/A,FALSE,"기안지";#N/A,#N/A,FALSE,"통신지"}</definedName>
    <definedName name="조직표현장" hidden="1">#REF!</definedName>
    <definedName name="종주" hidden="1">{#N/A,#N/A,FALSE,"단축1";#N/A,#N/A,FALSE,"단축2";#N/A,#N/A,FALSE,"단축3";#N/A,#N/A,FALSE,"장축";#N/A,#N/A,FALSE,"4WD"}</definedName>
    <definedName name="종합" hidden="1">{#N/A,#N/A,FALSE,"ITHALAT";#N/A,#N/A,FALSE,"ÜRETİM"}</definedName>
    <definedName name="종합그래프" hidden="1">{#N/A,#N/A,FALSE,"단축1";#N/A,#N/A,FALSE,"단축2";#N/A,#N/A,FALSE,"단축3";#N/A,#N/A,FALSE,"장축";#N/A,#N/A,FALSE,"4WD"}</definedName>
    <definedName name="주거" hidden="1">{#N/A,#N/A,FALSE,"이태원철근"}</definedName>
    <definedName name="주요제원" hidden="1">{#N/A,#N/A,FALSE,"단축1";#N/A,#N/A,FALSE,"단축2";#N/A,#N/A,FALSE,"단축3";#N/A,#N/A,FALSE,"장축";#N/A,#N/A,FALSE,"4WD"}</definedName>
    <definedName name="죽전5차" hidden="1">{#N/A,#N/A,FALSE,"이태원철근"}</definedName>
    <definedName name="중앙" hidden="1">{#N/A,#N/A,FALSE,"단축1";#N/A,#N/A,FALSE,"단축2";#N/A,#N/A,FALSE,"단축3";#N/A,#N/A,FALSE,"장축";#N/A,#N/A,FALSE,"4WD"}</definedName>
    <definedName name="중일정3" hidden="1">{#N/A,#N/A,FALSE,"단축1";#N/A,#N/A,FALSE,"단축2";#N/A,#N/A,FALSE,"단축3";#N/A,#N/A,FALSE,"장축";#N/A,#N/A,FALSE,"4WD"}</definedName>
    <definedName name="중점0601" hidden="1">{#N/A,#N/A,FALSE,"이태원철근"}</definedName>
    <definedName name="중점관리" hidden="1">{#N/A,#N/A,FALSE,"이태원철근"}</definedName>
    <definedName name="지" hidden="1">{"'5'!$A$1:$BB$147"}</definedName>
    <definedName name="지역실" hidden="1">{"'5'!$A$1:$BB$147"}</definedName>
    <definedName name="직원조직" hidden="1">{#N/A,#N/A,FALSE,"이태원철근"}</definedName>
    <definedName name="직원조직표" hidden="1">{#N/A,#N/A,FALSE,"이태원철근"}</definedName>
    <definedName name="ㅊ" hidden="1">{#N/A,#N/A,FALSE,"단축1";#N/A,#N/A,FALSE,"단축2";#N/A,#N/A,FALSE,"단축3";#N/A,#N/A,FALSE,"장축";#N/A,#N/A,FALSE,"4WD"}</definedName>
    <definedName name="ㅊㅊ" hidden="1">{#N/A,#N/A,FALSE,"단축1";#N/A,#N/A,FALSE,"단축2";#N/A,#N/A,FALSE,"단축3";#N/A,#N/A,FALSE,"장축";#N/A,#N/A,FALSE,"4WD"}</definedName>
    <definedName name="ㅊㅊㅊ" hidden="1">{#N/A,#N/A,FALSE,"단축1";#N/A,#N/A,FALSE,"단축2";#N/A,#N/A,FALSE,"단축3";#N/A,#N/A,FALSE,"장축";#N/A,#N/A,FALSE,"4WD"}</definedName>
    <definedName name="창원" hidden="1">{#N/A,#N/A,FALSE,"이태원철근"}</definedName>
    <definedName name="창원공사현황" hidden="1">{#N/A,#N/A,FALSE,"이태원철근"}</definedName>
    <definedName name="채권강조" hidden="1">{"'5'!$A$1:$BB$147"}</definedName>
    <definedName name="철거현황" hidden="1">{#N/A,#N/A,FALSE,"단축1";#N/A,#N/A,FALSE,"단축2";#N/A,#N/A,FALSE,"단축3";#N/A,#N/A,FALSE,"장축";#N/A,#N/A,FALSE,"4WD"}</definedName>
    <definedName name="첨부." hidden="1">#REF!</definedName>
    <definedName name="초기예산서보고" hidden="1">{#N/A,#N/A,FALSE,"이태원철근"}</definedName>
    <definedName name="총괄2" hidden="1">{"'표지'!$B$5"}</definedName>
    <definedName name="총여신" hidden="1">{"'5'!$A$1:$BB$147"}</definedName>
    <definedName name="최종견적가"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 hidden="1">{"'5'!$A$1:$BB$147"}</definedName>
    <definedName name="추가" hidden="1">#REF!</definedName>
    <definedName name="추가예산" hidden="1">{#N/A,#N/A,FALSE,"단축1";#N/A,#N/A,FALSE,"단축2";#N/A,#N/A,FALSE,"단축3";#N/A,#N/A,FALSE,"장축";#N/A,#N/A,FALSE,"4WD"}</definedName>
    <definedName name="추정" hidden="1">#REF!</definedName>
    <definedName name="추진2" hidden="1">{#N/A,#N/A,FALSE,"단축1";#N/A,#N/A,FALSE,"단축2";#N/A,#N/A,FALSE,"단축3";#N/A,#N/A,FALSE,"장축";#N/A,#N/A,FALSE,"4WD"}</definedName>
    <definedName name="추진과제" hidden="1">{#N/A,#N/A,FALSE,"단축1";#N/A,#N/A,FALSE,"단축2";#N/A,#N/A,FALSE,"단축3";#N/A,#N/A,FALSE,"장축";#N/A,#N/A,FALSE,"4WD"}</definedName>
    <definedName name="취수장정리수량" hidden="1">#REF!</definedName>
    <definedName name="취하1" hidden="1">{#N/A,#N/A,FALSE,"이태원철근"}</definedName>
    <definedName name="츄ㅗㄹㅊㄹ초"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ㅋ" hidden="1">{#N/A,#N/A,FALSE,"이태원철근"}</definedName>
    <definedName name="ㅋㄴ" hidden="1">{#N/A,#N/A,FALSE,"단축1";#N/A,#N/A,FALSE,"단축2";#N/A,#N/A,FALSE,"단축3";#N/A,#N/A,FALSE,"장축";#N/A,#N/A,FALSE,"4WD"}</definedName>
    <definedName name="ㅋ츄" hidden="1">{#N/A,#N/A,FALSE,"이태원철근"}</definedName>
    <definedName name="ㅋㅋㅋㅋ"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ㅋㅋㅋㅋㅋㅋ" hidden="1">{#N/A,#N/A,FALSE,"이태원철근"}</definedName>
    <definedName name="케이스" hidden="1">{#N/A,#N/A,FALSE,"단축1";#N/A,#N/A,FALSE,"단축2";#N/A,#N/A,FALSE,"단축3";#N/A,#N/A,FALSE,"장축";#N/A,#N/A,FALSE,"4WD"}</definedName>
    <definedName name="크" hidden="1">{#N/A,#N/A,FALSE,"단축1";#N/A,#N/A,FALSE,"단축2";#N/A,#N/A,FALSE,"단축3";#N/A,#N/A,FALSE,"장축";#N/A,#N/A,FALSE,"4WD"}</definedName>
    <definedName name="ㅌㄵㅅ" hidden="1">{#N/A,#N/A,FALSE,"이태원철근"}</definedName>
    <definedName name="ㅌㅇ" hidden="1">{#N/A,#N/A,FALSE,"이태원철근"}</definedName>
    <definedName name="ㅌㅊ" hidden="1">{#N/A,#N/A,FALSE,"이태원철근"}</definedName>
    <definedName name="ㅌㅍㅊㅇㅌㅎ" hidden="1">{#N/A,#N/A,FALSE,"도급대비시행율";#N/A,#N/A,FALSE,"결의서";#N/A,#N/A,FALSE,"내역서";#N/A,#N/A,FALSE,"도급예상"}</definedName>
    <definedName name="타다라다" hidden="1">{"'5'!$A$1:$BB$147"}</definedName>
    <definedName name="타다라라" hidden="1">{"'5'!$A$1:$BB$147"}</definedName>
    <definedName name="토목" hidden="1">#REF!</definedName>
    <definedName name="토목공사" hidden="1">{#N/A,#N/A,FALSE,"이태원철근"}</definedName>
    <definedName name="토목공사강릉" hidden="1">#REF!</definedName>
    <definedName name="토목실견적" hidden="1">{#N/A,#N/A,FALSE,"이태원철근"}</definedName>
    <definedName name="통보용" hidden="1">{#N/A,#N/A,FALSE,"총괄수정"}</definedName>
    <definedName name="통보현황" hidden="1">{#N/A,#N/A,FALSE,"총괄수정"}</definedName>
    <definedName name="퇴충명세"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투자CONC.182억" hidden="1">{#N/A,#N/A,FALSE,"단축1";#N/A,#N/A,FALSE,"단축2";#N/A,#N/A,FALSE,"단축3";#N/A,#N/A,FALSE,"장축";#N/A,#N/A,FALSE,"4WD"}</definedName>
    <definedName name="투자비.현재" hidden="1">{#N/A,#N/A,FALSE,"단축1";#N/A,#N/A,FALSE,"단축2";#N/A,#N/A,FALSE,"단축3";#N/A,#N/A,FALSE,"장축";#N/A,#N/A,FALSE,"4WD"}</definedName>
    <definedName name="투자비000" hidden="1">{#N/A,#N/A,FALSE,"단축1";#N/A,#N/A,FALSE,"단축2";#N/A,#N/A,FALSE,"단축3";#N/A,#N/A,FALSE,"장축";#N/A,#N/A,FALSE,"4WD"}</definedName>
    <definedName name="투자비3" hidden="1">{#N/A,#N/A,FALSE,"단축1";#N/A,#N/A,FALSE,"단축2";#N/A,#N/A,FALSE,"단축3";#N/A,#N/A,FALSE,"장축";#N/A,#N/A,FALSE,"4WD"}</definedName>
    <definedName name="투자비비교" hidden="1">{#N/A,#N/A,FALSE,"단축1";#N/A,#N/A,FALSE,"단축2";#N/A,#N/A,FALSE,"단축3";#N/A,#N/A,FALSE,"장축";#N/A,#N/A,FALSE,"4WD"}</definedName>
    <definedName name="투자비실적" hidden="1">{#N/A,#N/A,FALSE,"단축1";#N/A,#N/A,FALSE,"단축2";#N/A,#N/A,FALSE,"단축3";#N/A,#N/A,FALSE,"장축";#N/A,#N/A,FALSE,"4WD"}</definedName>
    <definedName name="ㅍ" hidden="1">{#N/A,#N/A,FALSE,"이태원철근"}</definedName>
    <definedName name="ㅍㅇㄴ" hidden="1">{#N/A,#N/A,FALSE,"이태원철근"}</definedName>
    <definedName name="ㅍㅇㅁㅂ" hidden="1">{#N/A,#N/A,FALSE,"이태원철근"}</definedName>
    <definedName name="ㅍㅈ" hidden="1">{#N/A,#N/A,FALSE,"이태원철근"}</definedName>
    <definedName name="ㅍㅍㅍㅍㅍㅍㅍ" hidden="1">{#N/A,#N/A,FALSE,"이태원철근"}</definedName>
    <definedName name="ㅍㅎㄷ" hidden="1">{#N/A,#N/A,FALSE,"이태원철근"}</definedName>
    <definedName name="파다다다다다" hidden="1">{"'5'!$A$1:$BB$147"}</definedName>
    <definedName name="파라다" hidden="1">{"'5'!$A$1:$BB$147"}</definedName>
    <definedName name="파자다라달" hidden="1">{"'5'!$A$1:$BB$147"}</definedName>
    <definedName name="판매목표2" hidden="1">{#N/A,#N/A,FALSE,"단축1";#N/A,#N/A,FALSE,"단축2";#N/A,#N/A,FALSE,"단축3";#N/A,#N/A,FALSE,"장축";#N/A,#N/A,FALSE,"4WD"}</definedName>
    <definedName name="표준화실적99" hidden="1">{#N/A,#N/A,FALSE,"단축1";#N/A,#N/A,FALSE,"단축2";#N/A,#N/A,FALSE,"단축3";#N/A,#N/A,FALSE,"장축";#N/A,#N/A,FALSE,"4WD"}</definedName>
    <definedName name="표지" hidden="1">{#N/A,#N/A,TRUE,"Basic";#N/A,#N/A,TRUE,"EXT-TABLE";#N/A,#N/A,TRUE,"STEEL";#N/A,#N/A,TRUE,"INT-Table";#N/A,#N/A,TRUE,"STEEL";#N/A,#N/A,TRUE,"Door"}</definedName>
    <definedName name="표지1" hidden="1">{#N/A,#N/A,FALSE,"단축1";#N/A,#N/A,FALSE,"단축2";#N/A,#N/A,FALSE,"단축3";#N/A,#N/A,FALSE,"장축";#N/A,#N/A,FALSE,"4WD"}</definedName>
    <definedName name="표지2" hidden="1">#REF!</definedName>
    <definedName name="푸" hidden="1">{#N/A,#N/A,FALSE,"단축1";#N/A,#N/A,FALSE,"단축2";#N/A,#N/A,FALSE,"단축3";#N/A,#N/A,FALSE,"장축";#N/A,#N/A,FALSE,"4WD"}</definedName>
    <definedName name="품확차조립계획일정" hidden="1">{#N/A,#N/A,FALSE,"단축1";#N/A,#N/A,FALSE,"단축2";#N/A,#N/A,FALSE,"단축3";#N/A,#N/A,FALSE,"장축";#N/A,#N/A,FALSE,"4WD"}</definedName>
    <definedName name="풍납동" hidden="1">#REF!</definedName>
    <definedName name="풍납동아파트" hidden="1">#REF!</definedName>
    <definedName name="프레스" hidden="1">{#N/A,#N/A,FALSE,"단축1";#N/A,#N/A,FALSE,"단축2";#N/A,#N/A,FALSE,"단축3";#N/A,#N/A,FALSE,"장축";#N/A,#N/A,FALSE,"4WD"}</definedName>
    <definedName name="프로젝트" hidden="1">#REF!</definedName>
    <definedName name="피로티" hidden="1">{#N/A,#N/A,FALSE,"이태원철근"}</definedName>
    <definedName name="피로티1" hidden="1">{#N/A,#N/A,FALSE,"이태원철근"}</definedName>
    <definedName name="ㅎ" hidden="1">{#N/A,#N/A,FALSE,"이태원철근"}</definedName>
    <definedName name="ㅎ4ㄷㅈ" hidden="1">{#N/A,#N/A,FALSE,"이태원철근"}</definedName>
    <definedName name="ㅎㄱㄷㅂㅈ" hidden="1">{#N/A,#N/A,FALSE,"이태원철근"}</definedName>
    <definedName name="ㅎㄱㄷㅈ" hidden="1">{#N/A,#N/A,FALSE,"이태원철근"}</definedName>
    <definedName name="ㅎㄱㅈ" hidden="1">{#N/A,#N/A,FALSE,"이태원철근"}</definedName>
    <definedName name="ㅎㄴ" hidden="1">{#N/A,#N/A,FALSE,"단축1";#N/A,#N/A,FALSE,"단축2";#N/A,#N/A,FALSE,"단축3";#N/A,#N/A,FALSE,"장축";#N/A,#N/A,FALSE,"4WD"}</definedName>
    <definedName name="ㅎㄷ" hidden="1">{#N/A,#N/A,FALSE,"이태원철근"}</definedName>
    <definedName name="ㅎㄷㅈㅈ" hidden="1">{#N/A,#N/A,FALSE,"이태원철근"}</definedName>
    <definedName name="ㅎ라ㅓㅓㅗㅎ라러" hidden="1">{#N/A,#N/A,FALSE,"이태원철근"}</definedName>
    <definedName name="ㅎ러ㅗ엉ㅎ러ㅗㅎㄹㅇ" hidden="1">{#N/A,#N/A,FALSE,"이태원철근"}</definedName>
    <definedName name="ㅎ룰후ㅎㅎ" hidden="1">{#N/A,#N/A,FALSE,"단축1";#N/A,#N/A,FALSE,"단축2";#N/A,#N/A,FALSE,"단축3";#N/A,#N/A,FALSE,"장축";#N/A,#N/A,FALSE,"4WD"}</definedName>
    <definedName name="ㅎㅎㅎ" hidden="1">{"'5'!$A$1:$BB$147"}</definedName>
    <definedName name="하" hidden="1">{"'5'!$A$1:$BB$147"}</definedName>
    <definedName name="하늘" hidden="1">{"'5'!$A$1:$BB$147"}</definedName>
    <definedName name="하성연" hidden="1">{"'5'!$A$1:$BB$147"}</definedName>
    <definedName name="하하하" hidden="1">{"'5'!$A$1:$BB$147"}</definedName>
    <definedName name="학다" hidden="1">{"'5'!$A$1:$BB$147"}</definedName>
    <definedName name="학자" hidden="1">{"'5'!$A$1:$BB$147"}</definedName>
    <definedName name="학자금" hidden="1">{"'5'!$A$1:$BB$147"}</definedName>
    <definedName name="한" hidden="1">{#N/A,#N/A,FALSE,"단축1";#N/A,#N/A,FALSE,"단축2";#N/A,#N/A,FALSE,"단축3";#N/A,#N/A,FALSE,"장축";#N/A,#N/A,FALSE,"4WD"}</definedName>
    <definedName name="한영사전" hidden="1">{#N/A,#N/A,TRUE,"Y생산";#N/A,#N/A,TRUE,"Y판매";#N/A,#N/A,TRUE,"Y총물량";#N/A,#N/A,TRUE,"Y능력";#N/A,#N/A,TRUE,"YKD"}</definedName>
    <definedName name="향후계획1" hidden="1">{#N/A,#N/A,FALSE,"단축1";#N/A,#N/A,FALSE,"단축2";#N/A,#N/A,FALSE,"단축3";#N/A,#N/A,FALSE,"장축";#N/A,#N/A,FALSE,"4WD"}</definedName>
    <definedName name="현" hidden="1">{#N/A,#N/A,FALSE,"단축1";#N/A,#N/A,FALSE,"단축2";#N/A,#N/A,FALSE,"단축3";#N/A,#N/A,FALSE,"장축";#N/A,#N/A,FALSE,"4WD"}</definedName>
    <definedName name="현대코아공통비" hidden="1">#REF!</definedName>
    <definedName name="협조전" hidden="1">#REF!</definedName>
    <definedName name="혜진" hidden="1">{#N/A,#N/A,FALSE,"이태원철근"}</definedName>
    <definedName name="호ㅓ" hidden="1">#REF!</definedName>
    <definedName name="화ㅓㅗ허ㅏㅎ" hidden="1">{#N/A,#N/A,FALSE,"이태원철근"}</definedName>
    <definedName name="회장님업무보고재재수정" hidden="1">{"'5'!$A$1:$BB$147"}</definedName>
    <definedName name="휻" hidden="1">{#N/A,#N/A,FALSE,"이태원철근"}</definedName>
    <definedName name="ㅏ" hidden="1">{#N/A,#N/A,FALSE,"이태원철근"}</definedName>
    <definedName name="ㅏㅏㅣ"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ㅏㅓㅏ" hidden="1">{#N/A,#N/A,FALSE,"물가변동 (2)";#N/A,#N/A,FALSE,"공사비";#N/A,#N/A,FALSE,"사급";#N/A,#N/A,FALSE,"도급집계";#N/A,#N/A,FALSE,"재료비";#N/A,#N/A,FALSE,"노무비";#N/A,#N/A,FALSE,"경비"}</definedName>
    <definedName name="ㅏㅓㅏㅓㅣ" hidden="1">{#N/A,#N/A,FALSE,"이태원철근"}</definedName>
    <definedName name="ㅏㅓㅣㅏㅓㅣㅏㅓㅣ" hidden="1">{#N/A,#N/A,FALSE,"이태원철근"}</definedName>
    <definedName name="ㅏㅓㅣㅏㅓㅣㅏㅓㅣㅓ" hidden="1">{#N/A,#N/A,FALSE,"이태원철근"}</definedName>
    <definedName name="ㅏㅣㅇㄹ" hidden="1">{"'5'!$A$1:$BB$147"}</definedName>
    <definedName name="ㅐ" hidden="1">{#N/A,#N/A,FALSE,"이태원철근"}</definedName>
    <definedName name="ㅐㅐ" hidden="1">{#N/A,#N/A,FALSE,"단축1";#N/A,#N/A,FALSE,"단축2";#N/A,#N/A,FALSE,"단축3";#N/A,#N/A,FALSE,"장축";#N/A,#N/A,FALSE,"4WD"}</definedName>
    <definedName name="ㅑ" hidden="1">{#N/A,#N/A,FALSE,"이태원철근"}</definedName>
    <definedName name="ㅓ" hidden="1">{#N/A,#N/A,FALSE,"이태원철근"}</definedName>
    <definedName name="ㅓㅏㅣㅓㅣㅓㅣㅓㅏ" hidden="1">{#N/A,#N/A,FALSE,"이태원철근"}</definedName>
    <definedName name="ㅓㅏㅣㅕㅑㅔ" hidden="1">{#N/A,#N/A,FALSE,"단축1";#N/A,#N/A,FALSE,"단축2";#N/A,#N/A,FALSE,"단축3";#N/A,#N/A,FALSE,"장축";#N/A,#N/A,FALSE,"4WD"}</definedName>
    <definedName name="ㅓㅓ" hidden="1">{#N/A,#N/A,FALSE,"단축1";#N/A,#N/A,FALSE,"단축2";#N/A,#N/A,FALSE,"단축3";#N/A,#N/A,FALSE,"장축";#N/A,#N/A,FALSE,"4WD"}</definedName>
    <definedName name="ㅓㅓㅓ" hidden="1">{#N/A,#N/A,FALSE,"이태원철근"}</definedName>
    <definedName name="ㅓㅛㅅㄱ" hidden="1">{#N/A,#N/A,FALSE,"이태원철근"}</definedName>
    <definedName name="ㅓㅛ서ㅛ서ㅑ쇼ㅕ" hidden="1">{#N/A,#N/A,FALSE,"이태원철근"}</definedName>
    <definedName name="ㅔ" hidden="1">{#N/A,#N/A,FALSE,"이태원철근"}</definedName>
    <definedName name="ㅔㅔㅔ" hidden="1">{#N/A,#N/A,FALSE,"단축1";#N/A,#N/A,FALSE,"단축2";#N/A,#N/A,FALSE,"단축3";#N/A,#N/A,FALSE,"장축";#N/A,#N/A,FALSE,"4WD"}</definedName>
    <definedName name="ㅔㅔㅔㅔㅔ"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ㅔㅔㅔㅔㅔㅔㅔㅔㅔㅔㅔㅔㅔㅔ" hidden="1">{#N/A,#N/A,FALSE,"이태원철근"}</definedName>
    <definedName name="ㅕ" hidden="1">{#N/A,#N/A,FALSE,"이태원철근"}</definedName>
    <definedName name="ㅕㅑ" hidden="1">{#N/A,#N/A,FALSE,"이태원철근"}</definedName>
    <definedName name="ㅕㅑㅐㅕㅑ" hidden="1">{#N/A,#N/A,FALSE,"이태원철근"}</definedName>
    <definedName name="ㅕㅑㅐㅕㅑㅐ" hidden="1">{#N/A,#N/A,FALSE,"이태원철근"}</definedName>
    <definedName name="ㅕㅑㅜㅐㅑ" hidden="1">{#N/A,#N/A,FALSE,"이태원철근"}</definedName>
    <definedName name="ㅕㅕ" hidden="1">{#N/A,#N/A,FALSE,"단축1";#N/A,#N/A,FALSE,"단축2";#N/A,#N/A,FALSE,"단축3";#N/A,#N/A,FALSE,"장축";#N/A,#N/A,FALSE,"4WD"}</definedName>
    <definedName name="ㅕㅕㅕ" hidden="1">{"'5'!$A$1:$BB$147"}</definedName>
    <definedName name="ㅕㅕㅕㅕㅕ"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ㅗ" hidden="1">{#N/A,#N/A,FALSE,"이태원철근"}</definedName>
    <definedName name="ㅗㄱ" hidden="1">{#N/A,#N/A,FALSE,"이태원철근"}</definedName>
    <definedName name="ㅗㄳ" hidden="1">{#N/A,#N/A,FALSE,"이태원철근"}</definedName>
    <definedName name="ㅗ돟ㄷ" hidden="1">{#N/A,#N/A,FALSE,"단축1";#N/A,#N/A,FALSE,"단축2";#N/A,#N/A,FALSE,"단축3";#N/A,#N/A,FALSE,"장축";#N/A,#N/A,FALSE,"4WD"}</definedName>
    <definedName name="ㅗ라옹" hidden="1">{"'5'!$A$1:$BB$147"}</definedName>
    <definedName name="ㅗㅁㅈ몸조" hidden="1">{#N/A,#N/A,FALSE,"단축1";#N/A,#N/A,FALSE,"단축2";#N/A,#N/A,FALSE,"단축3";#N/A,#N/A,FALSE,"장축";#N/A,#N/A,FALSE,"4WD"}</definedName>
    <definedName name="ㅗㅎ러ㅗㅎ럴호" hidden="1">{#N/A,#N/A,FALSE,"이태원철근"}</definedName>
    <definedName name="ㅗㅎㅈㅈㅈㅈㅈㅈㅈㅈ" hidden="1">{#N/A,#N/A,FALSE,"이태원철근"}</definedName>
    <definedName name="ㅗㅓㅏ" hidden="1">#REF!</definedName>
    <definedName name="ㅗㅓㅏㅣ" hidden="1">{#N/A,#N/A,FALSE,"단축1";#N/A,#N/A,FALSE,"단축2";#N/A,#N/A,FALSE,"단축3";#N/A,#N/A,FALSE,"장축";#N/A,#N/A,FALSE,"4WD"}</definedName>
    <definedName name="ㅗㅓㅏㅣㅗㅓㅏㅣ" hidden="1">{#N/A,#N/A,FALSE,"이태원철근"}</definedName>
    <definedName name="ㅗㅗㅗ" hidden="1">{"targetdcf",#N/A,FALSE,"Merger consequences";"TARGETASSU",#N/A,FALSE,"Merger consequences";"TERMINAL VALUE",#N/A,FALSE,"Merger consequences"}</definedName>
    <definedName name="ㅗㅗㅗㅗㅗ" hidden="1">{#N/A,#N/A,FALSE,"단축1";#N/A,#N/A,FALSE,"단축2";#N/A,#N/A,FALSE,"단축3";#N/A,#N/A,FALSE,"장축";#N/A,#N/A,FALSE,"4WD"}</definedName>
    <definedName name="ㅗㅗㅗㅗㅗㅗㅗㅗ" hidden="1">{#N/A,#N/A,FALSE,"이태원철근"}</definedName>
    <definedName name="ㅗㅠㄱㅈ" hidden="1">{#N/A,#N/A,FALSE,"이태원철근"}</definedName>
    <definedName name="ㅛ" hidden="1">{#N/A,#N/A,FALSE,"이태원철근"}</definedName>
    <definedName name="ㅛ셔쇼려ㅛ셔" hidden="1">{#N/A,#N/A,FALSE,"이태원철근"}</definedName>
    <definedName name="ㅛ셔ㅛ셔ㅛ쇼ㅕ" hidden="1">{#N/A,#N/A,FALSE,"이태원철근"}</definedName>
    <definedName name="ㅛㅕㅑㅐㅕ샤ㅐㅑㅕ새" hidden="1">#REF!</definedName>
    <definedName name="ㅛㅛㅕㅗㅓ" hidden="1">{#N/A,#N/A,FALSE,"단축1";#N/A,#N/A,FALSE,"단축2";#N/A,#N/A,FALSE,"단축3";#N/A,#N/A,FALSE,"장축";#N/A,#N/A,FALSE,"4WD"}</definedName>
    <definedName name="ㅜ" hidden="1">{#N/A,#N/A,FALSE,"이태원철근"}</definedName>
    <definedName name="ㅜㄷㅈ" hidden="1">{#N/A,#N/A,FALSE,"단축1";#N/A,#N/A,FALSE,"단축2";#N/A,#N/A,FALSE,"단축3";#N/A,#N/A,FALSE,"장축";#N/A,#N/A,FALSE,"4WD"}</definedName>
    <definedName name="ㅜㅀㄴㅇ" hidden="1">{#N/A,#N/A,FALSE,"이태원철근"}</definedName>
    <definedName name="ㅜㅂㅂㅂㅂㅂㅂ" hidden="1">{#N/A,#N/A,FALSE,"이태원철근"}</definedName>
    <definedName name="ㅜㅂㅂㅂㅂㅂㅂㅂㅂㅂㅂㅂ" hidden="1">{#N/A,#N/A,FALSE,"이태원철근"}</definedName>
    <definedName name="ㅜㅅㅎㄹㅇ" hidden="1">{#N/A,#N/A,FALSE,"이태원철근"}</definedName>
    <definedName name="ㅜㅍ츄ㅜㅠㅍ춫ㅍ" hidden="1">{#N/A,#N/A,FALSE,"이태원철근"}</definedName>
    <definedName name="ㅠ" hidden="1">{#N/A,#N/A,FALSE,"이태원철근"}</definedName>
    <definedName name="ㅠㄷ" hidden="1">{#N/A,#N/A,FALSE,"이태원철근"}</definedName>
    <definedName name="ㅠㄹㄴ" hidden="1">{#N/A,#N/A,FALSE,"이태원철근"}</definedName>
    <definedName name="ㅠㄹㅈㅈ" hidden="1">{#N/A,#N/A,FALSE,"이태원철근"}</definedName>
    <definedName name="ㅠㅂㄷ" hidden="1">{#N/A,#N/A,FALSE,"이태원철근"}</definedName>
    <definedName name="ㅠㅇㄹㅈ" hidden="1">{#N/A,#N/A,FALSE,"이태원철근"}</definedName>
    <definedName name="ㅠㅗㄱㅈ" hidden="1">{#N/A,#N/A,FALSE,"이태원철근"}</definedName>
    <definedName name="ㅠㅗㄱㅈㅈㅈ" hidden="1">{#N/A,#N/A,FALSE,"이태원철근"}</definedName>
    <definedName name="ㅠㅗㅅㄱ" hidden="1">{#N/A,#N/A,FALSE,"이태원철근"}</definedName>
    <definedName name="ㅠㅠ" hidden="1">{#N/A,#N/A,FALSE,"TABLE"}</definedName>
    <definedName name="ㅡ" hidden="1">{#N/A,#N/A,FALSE,"이태원철근"}</definedName>
    <definedName name="ㅣ" hidden="1">{#N/A,#N/A,FALSE,"이태원철근"}</definedName>
    <definedName name="ㅣ너럊ㄷ로" hidden="1">{#N/A,#N/A,FALSE,"TABLE"}</definedName>
    <definedName name="ㅣㅏㅐㅏㅓㅓㅕ호ㅕㅑ형료" hidden="1">{#N/A,#N/A,FALSE,"신규dep";#N/A,#N/A,FALSE,"신규dep-금형상각후";#N/A,#N/A,FALSE,"신규dep-연구비상각후";#N/A,#N/A,FALSE,"신규dep-기계,공구상각후"}</definedName>
    <definedName name="ㅣㅣㅣ" hidden="1">{#N/A,#N/A,FALSE,"단축1";#N/A,#N/A,FALSE,"단축2";#N/A,#N/A,FALSE,"단축3";#N/A,#N/A,FALSE,"장축";#N/A,#N/A,FALSE,"4WD"}</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D703" i="1" l="1"/>
  <c r="D702" i="1"/>
  <c r="D701" i="1"/>
  <c r="D700" i="1"/>
  <c r="D698" i="1"/>
  <c r="D697" i="1"/>
  <c r="D696" i="1"/>
  <c r="D694" i="1"/>
  <c r="D693" i="1"/>
  <c r="D692" i="1"/>
  <c r="D691" i="1"/>
  <c r="D690" i="1"/>
  <c r="D688" i="1"/>
  <c r="D687" i="1"/>
  <c r="D686" i="1"/>
  <c r="D685" i="1"/>
  <c r="D684" i="1"/>
  <c r="D683" i="1"/>
  <c r="D682" i="1"/>
  <c r="D681" i="1"/>
  <c r="D680" i="1"/>
  <c r="D679" i="1"/>
  <c r="D678" i="1"/>
  <c r="D677" i="1"/>
  <c r="D676" i="1"/>
  <c r="D675" i="1"/>
  <c r="D674" i="1"/>
  <c r="D673" i="1"/>
  <c r="D672" i="1"/>
  <c r="D670" i="1"/>
  <c r="D669" i="1"/>
  <c r="D668" i="1"/>
  <c r="D667" i="1"/>
  <c r="D666" i="1"/>
  <c r="D665" i="1"/>
  <c r="D664" i="1"/>
  <c r="D663" i="1"/>
  <c r="D662" i="1"/>
  <c r="D661" i="1"/>
  <c r="D660" i="1"/>
  <c r="D659" i="1"/>
  <c r="D658" i="1"/>
  <c r="D657" i="1"/>
  <c r="D656" i="1"/>
  <c r="D655" i="1"/>
  <c r="D653" i="1"/>
  <c r="D652" i="1"/>
  <c r="D651" i="1"/>
  <c r="D650" i="1"/>
  <c r="D649" i="1"/>
  <c r="D648" i="1"/>
  <c r="D647" i="1"/>
  <c r="D646" i="1"/>
  <c r="D645" i="1"/>
  <c r="D644" i="1"/>
  <c r="D643" i="1"/>
  <c r="D642" i="1"/>
  <c r="D641" i="1"/>
  <c r="D640" i="1"/>
  <c r="D639" i="1"/>
  <c r="D638" i="1"/>
  <c r="D636" i="1"/>
  <c r="D635" i="1"/>
  <c r="D634" i="1"/>
  <c r="D633" i="1"/>
  <c r="D632" i="1"/>
  <c r="D631" i="1"/>
  <c r="D630" i="1"/>
  <c r="D629" i="1"/>
  <c r="D628" i="1"/>
  <c r="D627" i="1"/>
  <c r="D626" i="1"/>
  <c r="D625" i="1"/>
  <c r="D624" i="1"/>
  <c r="D623" i="1"/>
  <c r="D622" i="1"/>
  <c r="D621" i="1"/>
  <c r="D620" i="1" s="1"/>
  <c r="D619" i="1"/>
  <c r="D618" i="1"/>
  <c r="D617" i="1"/>
  <c r="D616" i="1"/>
  <c r="D615" i="1"/>
  <c r="D614" i="1"/>
  <c r="D613" i="1"/>
  <c r="D612" i="1"/>
  <c r="D611" i="1"/>
  <c r="D610" i="1"/>
  <c r="D609" i="1"/>
  <c r="D608" i="1"/>
  <c r="D607" i="1"/>
  <c r="D606" i="1"/>
  <c r="D605" i="1"/>
  <c r="D604" i="1"/>
  <c r="D602" i="1"/>
  <c r="D601" i="1"/>
  <c r="D600" i="1"/>
  <c r="D599" i="1"/>
  <c r="D598" i="1"/>
  <c r="D597" i="1"/>
  <c r="D596" i="1"/>
  <c r="D595" i="1"/>
  <c r="D594" i="1"/>
  <c r="D593" i="1"/>
  <c r="D592" i="1"/>
  <c r="D591" i="1"/>
  <c r="D590" i="1"/>
  <c r="D589" i="1"/>
  <c r="D588" i="1"/>
  <c r="D587" i="1"/>
  <c r="D585" i="1"/>
  <c r="D584" i="1"/>
  <c r="D583" i="1"/>
  <c r="D582" i="1"/>
  <c r="D581" i="1"/>
  <c r="D580" i="1"/>
  <c r="D579" i="1"/>
  <c r="D578" i="1"/>
  <c r="D577" i="1"/>
  <c r="D576" i="1"/>
  <c r="D575" i="1"/>
  <c r="D574" i="1"/>
  <c r="D573" i="1"/>
  <c r="D572" i="1"/>
  <c r="D571" i="1"/>
  <c r="D570" i="1"/>
  <c r="D568" i="1"/>
  <c r="D567" i="1"/>
  <c r="D566" i="1"/>
  <c r="D565" i="1"/>
  <c r="D564" i="1"/>
  <c r="D563" i="1"/>
  <c r="D562" i="1"/>
  <c r="D561" i="1"/>
  <c r="D560" i="1"/>
  <c r="D559" i="1"/>
  <c r="D558" i="1"/>
  <c r="D557" i="1"/>
  <c r="D556" i="1"/>
  <c r="D555" i="1"/>
  <c r="D554" i="1"/>
  <c r="D553" i="1"/>
  <c r="D551" i="1"/>
  <c r="D550" i="1"/>
  <c r="D549" i="1"/>
  <c r="D548" i="1"/>
  <c r="D547" i="1"/>
  <c r="D546" i="1"/>
  <c r="D545" i="1"/>
  <c r="D544" i="1"/>
  <c r="D543" i="1"/>
  <c r="D542" i="1"/>
  <c r="D541" i="1"/>
  <c r="D540" i="1"/>
  <c r="D539" i="1"/>
  <c r="D538" i="1"/>
  <c r="D537" i="1"/>
  <c r="D536" i="1"/>
  <c r="D534" i="1"/>
  <c r="D533" i="1"/>
  <c r="D532" i="1"/>
  <c r="D531" i="1"/>
  <c r="D530" i="1"/>
  <c r="D529" i="1"/>
  <c r="D528" i="1"/>
  <c r="D527" i="1"/>
  <c r="D526" i="1"/>
  <c r="D525" i="1"/>
  <c r="D524" i="1"/>
  <c r="D523" i="1"/>
  <c r="D522" i="1"/>
  <c r="D521" i="1"/>
  <c r="D518" i="1" s="1"/>
  <c r="D520" i="1"/>
  <c r="D519" i="1"/>
  <c r="D517" i="1"/>
  <c r="D516" i="1"/>
  <c r="D515" i="1"/>
  <c r="D514" i="1"/>
  <c r="D513" i="1"/>
  <c r="D512" i="1"/>
  <c r="D511" i="1"/>
  <c r="D510" i="1"/>
  <c r="D509" i="1"/>
  <c r="D508" i="1"/>
  <c r="D507" i="1"/>
  <c r="D506" i="1"/>
  <c r="D505" i="1"/>
  <c r="D504" i="1"/>
  <c r="D503" i="1"/>
  <c r="D502" i="1"/>
  <c r="D500" i="1"/>
  <c r="D499" i="1"/>
  <c r="D498" i="1"/>
  <c r="D497" i="1"/>
  <c r="D496" i="1"/>
  <c r="D495" i="1"/>
  <c r="D494" i="1"/>
  <c r="D493" i="1"/>
  <c r="D492" i="1"/>
  <c r="D491" i="1"/>
  <c r="D490" i="1"/>
  <c r="D489" i="1"/>
  <c r="D488" i="1"/>
  <c r="D487" i="1"/>
  <c r="D486" i="1"/>
  <c r="D485" i="1"/>
  <c r="D483" i="1"/>
  <c r="D482" i="1"/>
  <c r="D481" i="1"/>
  <c r="D480" i="1"/>
  <c r="D479" i="1"/>
  <c r="D478" i="1"/>
  <c r="D477" i="1"/>
  <c r="D476" i="1"/>
  <c r="D475" i="1"/>
  <c r="D474" i="1"/>
  <c r="D473" i="1"/>
  <c r="D472" i="1"/>
  <c r="D471" i="1"/>
  <c r="D470" i="1"/>
  <c r="D469" i="1"/>
  <c r="D468" i="1"/>
  <c r="D466" i="1"/>
  <c r="D465" i="1"/>
  <c r="D464" i="1"/>
  <c r="D463" i="1"/>
  <c r="D462" i="1"/>
  <c r="D461" i="1"/>
  <c r="D460" i="1"/>
  <c r="D459" i="1"/>
  <c r="D458" i="1"/>
  <c r="D457" i="1"/>
  <c r="D456" i="1"/>
  <c r="D455" i="1"/>
  <c r="D454" i="1"/>
  <c r="D453" i="1"/>
  <c r="D452" i="1"/>
  <c r="D451" i="1"/>
  <c r="D449" i="1"/>
  <c r="D448" i="1"/>
  <c r="D447" i="1"/>
  <c r="D446" i="1"/>
  <c r="D445" i="1"/>
  <c r="D444" i="1"/>
  <c r="D443" i="1"/>
  <c r="D442" i="1"/>
  <c r="D441" i="1"/>
  <c r="D440" i="1"/>
  <c r="D439" i="1"/>
  <c r="D438" i="1"/>
  <c r="D437" i="1"/>
  <c r="D436" i="1"/>
  <c r="D435" i="1"/>
  <c r="D434" i="1"/>
  <c r="D432" i="1"/>
  <c r="D431" i="1"/>
  <c r="D430" i="1"/>
  <c r="D429" i="1"/>
  <c r="D428" i="1"/>
  <c r="D427" i="1"/>
  <c r="D426" i="1"/>
  <c r="D425" i="1"/>
  <c r="D424" i="1"/>
  <c r="D423" i="1"/>
  <c r="D422" i="1"/>
  <c r="D421" i="1"/>
  <c r="D420" i="1"/>
  <c r="D419" i="1"/>
  <c r="D418" i="1"/>
  <c r="D417" i="1"/>
  <c r="D415" i="1"/>
  <c r="D414" i="1"/>
  <c r="D413" i="1"/>
  <c r="D412" i="1"/>
  <c r="D411" i="1"/>
  <c r="D410" i="1"/>
  <c r="D409" i="1"/>
  <c r="D408" i="1"/>
  <c r="D407" i="1"/>
  <c r="D406" i="1"/>
  <c r="D405" i="1"/>
  <c r="D404" i="1"/>
  <c r="D403" i="1"/>
  <c r="D402" i="1"/>
  <c r="D401" i="1"/>
  <c r="D400" i="1"/>
  <c r="D398" i="1"/>
  <c r="D397" i="1"/>
  <c r="D396" i="1"/>
  <c r="D395" i="1"/>
  <c r="D394" i="1"/>
  <c r="D393" i="1"/>
  <c r="D392" i="1"/>
  <c r="D391" i="1"/>
  <c r="D390" i="1"/>
  <c r="D389" i="1"/>
  <c r="D388" i="1"/>
  <c r="D387" i="1"/>
  <c r="D386" i="1"/>
  <c r="D385" i="1"/>
  <c r="D384" i="1"/>
  <c r="D383" i="1"/>
  <c r="D381" i="1"/>
  <c r="D380" i="1"/>
  <c r="D379" i="1"/>
  <c r="D378" i="1"/>
  <c r="D377" i="1"/>
  <c r="D376" i="1"/>
  <c r="D375" i="1"/>
  <c r="D374" i="1"/>
  <c r="D373" i="1"/>
  <c r="D372" i="1"/>
  <c r="D371" i="1"/>
  <c r="D370" i="1"/>
  <c r="D369" i="1"/>
  <c r="D368" i="1"/>
  <c r="D367" i="1"/>
  <c r="D366" i="1"/>
  <c r="D364" i="1"/>
  <c r="D363" i="1"/>
  <c r="D362" i="1"/>
  <c r="D361" i="1"/>
  <c r="D360" i="1"/>
  <c r="D359" i="1"/>
  <c r="D358" i="1"/>
  <c r="D357" i="1"/>
  <c r="D356" i="1"/>
  <c r="D355" i="1"/>
  <c r="D354" i="1"/>
  <c r="D353" i="1"/>
  <c r="D352" i="1"/>
  <c r="D351" i="1"/>
  <c r="D350" i="1"/>
  <c r="D349" i="1"/>
  <c r="D347" i="1"/>
  <c r="D346" i="1"/>
  <c r="D345" i="1"/>
  <c r="D344" i="1"/>
  <c r="D343" i="1"/>
  <c r="D342" i="1"/>
  <c r="D341" i="1"/>
  <c r="D340" i="1"/>
  <c r="D339" i="1"/>
  <c r="D338" i="1"/>
  <c r="D337" i="1"/>
  <c r="D336" i="1"/>
  <c r="D335" i="1"/>
  <c r="D334" i="1"/>
  <c r="D333" i="1"/>
  <c r="D332" i="1"/>
  <c r="D330" i="1"/>
  <c r="D329" i="1"/>
  <c r="D328" i="1"/>
  <c r="D327" i="1"/>
  <c r="D326" i="1"/>
  <c r="D325" i="1"/>
  <c r="D324" i="1"/>
  <c r="D323" i="1"/>
  <c r="D322" i="1"/>
  <c r="D321" i="1"/>
  <c r="D320" i="1"/>
  <c r="D319" i="1"/>
  <c r="D318" i="1"/>
  <c r="D317" i="1"/>
  <c r="D316" i="1"/>
  <c r="D315" i="1"/>
  <c r="D313" i="1"/>
  <c r="D312" i="1"/>
  <c r="D311" i="1"/>
  <c r="D310" i="1"/>
  <c r="D309" i="1"/>
  <c r="D308" i="1"/>
  <c r="D307" i="1"/>
  <c r="D306" i="1"/>
  <c r="D305" i="1"/>
  <c r="D304" i="1"/>
  <c r="D303" i="1"/>
  <c r="D302" i="1"/>
  <c r="D301" i="1"/>
  <c r="D300" i="1"/>
  <c r="D299" i="1"/>
  <c r="D298" i="1"/>
  <c r="D296" i="1"/>
  <c r="D295" i="1"/>
  <c r="D294" i="1"/>
  <c r="D293" i="1"/>
  <c r="D292" i="1"/>
  <c r="D291" i="1"/>
  <c r="D290" i="1"/>
  <c r="D289" i="1"/>
  <c r="D288" i="1"/>
  <c r="D287" i="1"/>
  <c r="D286" i="1"/>
  <c r="D285" i="1"/>
  <c r="D284" i="1"/>
  <c r="D283" i="1"/>
  <c r="D282" i="1"/>
  <c r="D281" i="1"/>
  <c r="D279" i="1"/>
  <c r="D278" i="1"/>
  <c r="D277" i="1"/>
  <c r="D276" i="1"/>
  <c r="D275" i="1"/>
  <c r="D274" i="1"/>
  <c r="D273" i="1"/>
  <c r="D272" i="1"/>
  <c r="D271" i="1"/>
  <c r="D270" i="1"/>
  <c r="D269" i="1"/>
  <c r="D268" i="1"/>
  <c r="D267" i="1"/>
  <c r="D266" i="1"/>
  <c r="D265" i="1"/>
  <c r="D264" i="1"/>
  <c r="D262" i="1"/>
  <c r="D261" i="1"/>
  <c r="D260" i="1"/>
  <c r="D259" i="1"/>
  <c r="D258" i="1"/>
  <c r="D257" i="1"/>
  <c r="D256" i="1"/>
  <c r="D255" i="1"/>
  <c r="D254" i="1"/>
  <c r="D253" i="1"/>
  <c r="D252" i="1"/>
  <c r="D251" i="1"/>
  <c r="D250" i="1"/>
  <c r="D249" i="1"/>
  <c r="D248" i="1"/>
  <c r="D247" i="1"/>
  <c r="D245" i="1"/>
  <c r="D244" i="1"/>
  <c r="D243" i="1"/>
  <c r="D242" i="1"/>
  <c r="D241" i="1"/>
  <c r="D240" i="1"/>
  <c r="D239" i="1"/>
  <c r="D238" i="1"/>
  <c r="D237" i="1"/>
  <c r="D236" i="1"/>
  <c r="D235" i="1"/>
  <c r="D234" i="1"/>
  <c r="D233" i="1"/>
  <c r="D232" i="1"/>
  <c r="D231" i="1"/>
  <c r="D230" i="1"/>
  <c r="D228" i="1"/>
  <c r="D227" i="1"/>
  <c r="D226" i="1"/>
  <c r="D225" i="1"/>
  <c r="D224" i="1"/>
  <c r="D223" i="1"/>
  <c r="D222" i="1"/>
  <c r="D221" i="1"/>
  <c r="D220" i="1"/>
  <c r="D219" i="1"/>
  <c r="D218" i="1"/>
  <c r="D217" i="1"/>
  <c r="D216" i="1"/>
  <c r="D215" i="1"/>
  <c r="D214" i="1"/>
  <c r="D213" i="1"/>
  <c r="D211" i="1"/>
  <c r="D210" i="1"/>
  <c r="D209" i="1"/>
  <c r="D208" i="1"/>
  <c r="D207" i="1"/>
  <c r="D206" i="1"/>
  <c r="D205" i="1"/>
  <c r="D204" i="1"/>
  <c r="D203" i="1"/>
  <c r="D202" i="1"/>
  <c r="D201" i="1"/>
  <c r="D200" i="1"/>
  <c r="D199" i="1"/>
  <c r="D198" i="1"/>
  <c r="D197" i="1"/>
  <c r="D196" i="1"/>
  <c r="D194" i="1"/>
  <c r="D193" i="1"/>
  <c r="D192" i="1"/>
  <c r="D191" i="1"/>
  <c r="D190" i="1"/>
  <c r="D189" i="1"/>
  <c r="D188" i="1"/>
  <c r="D187" i="1"/>
  <c r="D186" i="1"/>
  <c r="D185" i="1"/>
  <c r="D184" i="1"/>
  <c r="D183" i="1"/>
  <c r="D182" i="1"/>
  <c r="D181" i="1"/>
  <c r="D180" i="1"/>
  <c r="D179" i="1"/>
  <c r="D177" i="1"/>
  <c r="D176" i="1"/>
  <c r="D175" i="1"/>
  <c r="D174" i="1"/>
  <c r="D173" i="1"/>
  <c r="D172" i="1"/>
  <c r="D171" i="1"/>
  <c r="D170" i="1"/>
  <c r="D169" i="1"/>
  <c r="D168" i="1"/>
  <c r="D167" i="1"/>
  <c r="D166" i="1"/>
  <c r="D165" i="1"/>
  <c r="D164" i="1"/>
  <c r="D163" i="1"/>
  <c r="D162" i="1"/>
  <c r="D160" i="1"/>
  <c r="D159" i="1"/>
  <c r="D158" i="1"/>
  <c r="D157" i="1"/>
  <c r="D156" i="1"/>
  <c r="D155" i="1"/>
  <c r="D154" i="1"/>
  <c r="D153" i="1"/>
  <c r="D152" i="1"/>
  <c r="D151" i="1"/>
  <c r="D150" i="1"/>
  <c r="D149" i="1"/>
  <c r="D148" i="1"/>
  <c r="D147" i="1"/>
  <c r="D146" i="1"/>
  <c r="D145" i="1"/>
  <c r="D143" i="1"/>
  <c r="D142" i="1"/>
  <c r="D141" i="1"/>
  <c r="D140" i="1"/>
  <c r="D139" i="1"/>
  <c r="D138" i="1"/>
  <c r="D137" i="1"/>
  <c r="D136" i="1"/>
  <c r="D135" i="1"/>
  <c r="D134" i="1"/>
  <c r="D133" i="1"/>
  <c r="D132" i="1"/>
  <c r="D131" i="1"/>
  <c r="D130" i="1"/>
  <c r="D129" i="1"/>
  <c r="D128" i="1"/>
  <c r="D126" i="1"/>
  <c r="D125" i="1"/>
  <c r="D124" i="1"/>
  <c r="D123" i="1"/>
  <c r="D122" i="1"/>
  <c r="D121" i="1"/>
  <c r="D110" i="1" s="1"/>
  <c r="E123" i="1" s="1"/>
  <c r="D120" i="1"/>
  <c r="D119" i="1"/>
  <c r="D118" i="1"/>
  <c r="D117" i="1"/>
  <c r="D116" i="1"/>
  <c r="D115" i="1"/>
  <c r="D114" i="1"/>
  <c r="D113" i="1"/>
  <c r="D112" i="1"/>
  <c r="D111" i="1"/>
  <c r="D108" i="1"/>
  <c r="D107" i="1"/>
  <c r="D106" i="1"/>
  <c r="D105" i="1"/>
  <c r="D104" i="1"/>
  <c r="D103" i="1"/>
  <c r="D102" i="1"/>
  <c r="D101" i="1"/>
  <c r="D100" i="1"/>
  <c r="D98" i="1"/>
  <c r="D97" i="1"/>
  <c r="D96" i="1"/>
  <c r="D95" i="1"/>
  <c r="D94" i="1"/>
  <c r="D93" i="1"/>
  <c r="D92" i="1"/>
  <c r="D91" i="1"/>
  <c r="D89" i="1"/>
  <c r="D88" i="1"/>
  <c r="D87" i="1"/>
  <c r="D86" i="1"/>
  <c r="D85" i="1"/>
  <c r="D84" i="1"/>
  <c r="D83" i="1"/>
  <c r="D82" i="1"/>
  <c r="D81" i="1" s="1"/>
  <c r="D80" i="1"/>
  <c r="D79" i="1"/>
  <c r="D78" i="1"/>
  <c r="D77" i="1"/>
  <c r="D76" i="1"/>
  <c r="D75" i="1"/>
  <c r="D74" i="1"/>
  <c r="D73" i="1"/>
  <c r="D71" i="1"/>
  <c r="D70" i="1"/>
  <c r="D69" i="1"/>
  <c r="D68" i="1"/>
  <c r="D67" i="1"/>
  <c r="D66" i="1"/>
  <c r="D65" i="1"/>
  <c r="D64" i="1"/>
  <c r="D62" i="1"/>
  <c r="D61" i="1"/>
  <c r="D60" i="1"/>
  <c r="D59" i="1"/>
  <c r="D58" i="1"/>
  <c r="D57" i="1"/>
  <c r="D56" i="1"/>
  <c r="D55" i="1"/>
  <c r="D54" i="1" s="1"/>
  <c r="D53" i="1"/>
  <c r="D52" i="1"/>
  <c r="D51" i="1"/>
  <c r="D50" i="1"/>
  <c r="D49" i="1"/>
  <c r="D48" i="1"/>
  <c r="D47" i="1"/>
  <c r="D46" i="1"/>
  <c r="D43" i="1"/>
  <c r="D42" i="1"/>
  <c r="D41" i="1"/>
  <c r="D40" i="1"/>
  <c r="D38" i="1"/>
  <c r="D37" i="1"/>
  <c r="D36" i="1"/>
  <c r="D35" i="1"/>
  <c r="D33" i="1"/>
  <c r="D32" i="1"/>
  <c r="D31" i="1"/>
  <c r="D30" i="1"/>
  <c r="D29" i="1"/>
  <c r="D28" i="1"/>
  <c r="D27" i="1"/>
  <c r="D26" i="1"/>
  <c r="D25" i="1"/>
  <c r="D24" i="1"/>
  <c r="D23" i="1"/>
  <c r="D22" i="1"/>
  <c r="D21" i="1"/>
  <c r="D20" i="1"/>
  <c r="D19" i="1"/>
  <c r="D18" i="1"/>
  <c r="D17" i="1"/>
  <c r="D16" i="1"/>
  <c r="D15" i="1"/>
  <c r="D14" i="1"/>
  <c r="D13" i="1"/>
  <c r="D12" i="1"/>
  <c r="D11" i="1"/>
  <c r="D10" i="1"/>
  <c r="D9" i="1"/>
  <c r="H4" i="1"/>
  <c r="I4" i="1" s="1"/>
  <c r="E122" i="1" l="1"/>
  <c r="E622" i="1"/>
  <c r="E522" i="1"/>
  <c r="E627" i="1"/>
  <c r="E505" i="1"/>
  <c r="E517" i="1"/>
  <c r="D90" i="1"/>
  <c r="D467" i="1"/>
  <c r="E629" i="1"/>
  <c r="D45" i="1"/>
  <c r="D99" i="1"/>
  <c r="H6" i="1"/>
  <c r="H49" i="1" s="1"/>
  <c r="E32" i="1"/>
  <c r="D72" i="1"/>
  <c r="E508" i="1"/>
  <c r="E516" i="1"/>
  <c r="E621" i="1"/>
  <c r="E632" i="1"/>
  <c r="E116" i="1"/>
  <c r="D63" i="1"/>
  <c r="D699" i="1"/>
  <c r="E523" i="1"/>
  <c r="E635" i="1"/>
  <c r="D195" i="1"/>
  <c r="E202" i="1" s="1"/>
  <c r="E120" i="1"/>
  <c r="D501" i="1"/>
  <c r="I6" i="1"/>
  <c r="J4" i="1"/>
  <c r="E38" i="1"/>
  <c r="E43" i="1"/>
  <c r="D39" i="1"/>
  <c r="E41" i="1"/>
  <c r="D34" i="1"/>
  <c r="E37" i="1" s="1"/>
  <c r="H686" i="1"/>
  <c r="H675" i="1"/>
  <c r="H672" i="1"/>
  <c r="H636" i="1"/>
  <c r="H563" i="1"/>
  <c r="H566" i="1"/>
  <c r="H579" i="1"/>
  <c r="H508" i="1"/>
  <c r="H525" i="1"/>
  <c r="H511" i="1"/>
  <c r="H488" i="1"/>
  <c r="H492" i="1"/>
  <c r="H460" i="1"/>
  <c r="H489" i="1"/>
  <c r="H447" i="1"/>
  <c r="H452" i="1"/>
  <c r="H428" i="1"/>
  <c r="H451" i="1"/>
  <c r="H417" i="1"/>
  <c r="H385" i="1"/>
  <c r="H389" i="1"/>
  <c r="H327" i="1"/>
  <c r="H354" i="1"/>
  <c r="H357" i="1"/>
  <c r="H312" i="1"/>
  <c r="H271" i="1"/>
  <c r="H373" i="1"/>
  <c r="H287" i="1"/>
  <c r="H245" i="1"/>
  <c r="H266" i="1"/>
  <c r="H211" i="1"/>
  <c r="H214" i="1"/>
  <c r="H217" i="1"/>
  <c r="H192" i="1"/>
  <c r="H242" i="1"/>
  <c r="H176" i="1"/>
  <c r="H210" i="1"/>
  <c r="H135" i="1"/>
  <c r="H145" i="1"/>
  <c r="H114" i="1"/>
  <c r="H198" i="1"/>
  <c r="H116" i="1"/>
  <c r="H107" i="1"/>
  <c r="H149" i="1"/>
  <c r="H85" i="1"/>
  <c r="H71" i="1"/>
  <c r="H23" i="1"/>
  <c r="E35" i="1"/>
  <c r="E36" i="1"/>
  <c r="H40" i="1"/>
  <c r="E42" i="1"/>
  <c r="E31" i="1"/>
  <c r="E121" i="1"/>
  <c r="E113" i="1"/>
  <c r="E119" i="1"/>
  <c r="E128" i="1"/>
  <c r="E135" i="1"/>
  <c r="E118" i="1"/>
  <c r="E124" i="1"/>
  <c r="E117" i="1"/>
  <c r="E125" i="1"/>
  <c r="E112" i="1"/>
  <c r="E126" i="1"/>
  <c r="D127" i="1"/>
  <c r="E111" i="1"/>
  <c r="E114" i="1"/>
  <c r="E137" i="1"/>
  <c r="D161" i="1"/>
  <c r="E174" i="1" s="1"/>
  <c r="E131" i="1"/>
  <c r="E140" i="1"/>
  <c r="E142" i="1"/>
  <c r="E115" i="1"/>
  <c r="E130" i="1"/>
  <c r="D144" i="1"/>
  <c r="E147" i="1" s="1"/>
  <c r="E149" i="1"/>
  <c r="E150" i="1"/>
  <c r="D178" i="1"/>
  <c r="E181" i="1" s="1"/>
  <c r="D212" i="1"/>
  <c r="E215" i="1" s="1"/>
  <c r="E213" i="1"/>
  <c r="E138" i="1"/>
  <c r="E194" i="1"/>
  <c r="E192" i="1"/>
  <c r="E218" i="1"/>
  <c r="E184" i="1"/>
  <c r="E196" i="1"/>
  <c r="E255" i="1"/>
  <c r="E259" i="1"/>
  <c r="E242" i="1"/>
  <c r="D229" i="1"/>
  <c r="E233" i="1" s="1"/>
  <c r="E267" i="1"/>
  <c r="D246" i="1"/>
  <c r="E247" i="1" s="1"/>
  <c r="E252" i="1"/>
  <c r="D280" i="1"/>
  <c r="E287" i="1" s="1"/>
  <c r="D263" i="1"/>
  <c r="E328" i="1"/>
  <c r="E372" i="1"/>
  <c r="E319" i="1"/>
  <c r="D297" i="1"/>
  <c r="E302" i="1" s="1"/>
  <c r="E383" i="1"/>
  <c r="E325" i="1"/>
  <c r="E315" i="1"/>
  <c r="E324" i="1"/>
  <c r="E323" i="1"/>
  <c r="E346" i="1"/>
  <c r="E342" i="1"/>
  <c r="E344" i="1"/>
  <c r="E340" i="1"/>
  <c r="D314" i="1"/>
  <c r="E316" i="1" s="1"/>
  <c r="D331" i="1"/>
  <c r="E332" i="1" s="1"/>
  <c r="E333" i="1"/>
  <c r="D348" i="1"/>
  <c r="E359" i="1" s="1"/>
  <c r="E358" i="1"/>
  <c r="E366" i="1"/>
  <c r="D365" i="1"/>
  <c r="E367" i="1" s="1"/>
  <c r="E376" i="1"/>
  <c r="E336" i="1"/>
  <c r="E339" i="1"/>
  <c r="E327" i="1"/>
  <c r="E369" i="1"/>
  <c r="E345" i="1"/>
  <c r="E373" i="1"/>
  <c r="D382" i="1"/>
  <c r="E390" i="1" s="1"/>
  <c r="E374" i="1"/>
  <c r="E381" i="1"/>
  <c r="E396" i="1"/>
  <c r="D399" i="1"/>
  <c r="E400" i="1" s="1"/>
  <c r="E375" i="1"/>
  <c r="E425" i="1"/>
  <c r="D416" i="1"/>
  <c r="E432" i="1" s="1"/>
  <c r="E430" i="1"/>
  <c r="E431" i="1"/>
  <c r="D433" i="1"/>
  <c r="E434" i="1" s="1"/>
  <c r="E421" i="1"/>
  <c r="E426" i="1"/>
  <c r="D450" i="1"/>
  <c r="E453" i="1" s="1"/>
  <c r="E476" i="1"/>
  <c r="E482" i="1"/>
  <c r="E483" i="1"/>
  <c r="E469" i="1"/>
  <c r="E470" i="1"/>
  <c r="E420" i="1"/>
  <c r="E473" i="1"/>
  <c r="E474" i="1"/>
  <c r="E475" i="1"/>
  <c r="E471" i="1"/>
  <c r="E468" i="1"/>
  <c r="E479" i="1"/>
  <c r="E485" i="1"/>
  <c r="E478" i="1"/>
  <c r="E472" i="1"/>
  <c r="E477" i="1"/>
  <c r="D484" i="1"/>
  <c r="E498" i="1" s="1"/>
  <c r="E481" i="1"/>
  <c r="E487" i="1"/>
  <c r="E497" i="1"/>
  <c r="E500" i="1"/>
  <c r="E515" i="1"/>
  <c r="E503" i="1"/>
  <c r="E509" i="1"/>
  <c r="E493" i="1"/>
  <c r="E480" i="1"/>
  <c r="E513" i="1"/>
  <c r="E514" i="1"/>
  <c r="E512" i="1"/>
  <c r="E502" i="1"/>
  <c r="E507" i="1"/>
  <c r="E528" i="1"/>
  <c r="E529" i="1"/>
  <c r="E506" i="1"/>
  <c r="E521" i="1"/>
  <c r="E511" i="1"/>
  <c r="E531" i="1"/>
  <c r="E504" i="1"/>
  <c r="E519" i="1"/>
  <c r="E525" i="1"/>
  <c r="E532" i="1"/>
  <c r="E534" i="1"/>
  <c r="E527" i="1"/>
  <c r="E510" i="1"/>
  <c r="E492" i="1"/>
  <c r="E520" i="1"/>
  <c r="E526" i="1"/>
  <c r="D535" i="1"/>
  <c r="E537" i="1" s="1"/>
  <c r="E524" i="1"/>
  <c r="E533" i="1"/>
  <c r="E530" i="1"/>
  <c r="E592" i="1"/>
  <c r="E571" i="1"/>
  <c r="E559" i="1"/>
  <c r="E580" i="1"/>
  <c r="E570" i="1"/>
  <c r="D552" i="1"/>
  <c r="E565" i="1" s="1"/>
  <c r="E582" i="1"/>
  <c r="E584" i="1"/>
  <c r="D569" i="1"/>
  <c r="E574" i="1"/>
  <c r="D586" i="1"/>
  <c r="E589" i="1" s="1"/>
  <c r="E590" i="1"/>
  <c r="E598" i="1"/>
  <c r="E600" i="1"/>
  <c r="D603" i="1"/>
  <c r="E607" i="1" s="1"/>
  <c r="E615" i="1"/>
  <c r="E604" i="1"/>
  <c r="E610" i="1"/>
  <c r="E614" i="1"/>
  <c r="E625" i="1"/>
  <c r="E634" i="1"/>
  <c r="E628" i="1"/>
  <c r="E636" i="1"/>
  <c r="E630" i="1"/>
  <c r="E626" i="1"/>
  <c r="E631" i="1"/>
  <c r="E633" i="1"/>
  <c r="E624" i="1"/>
  <c r="E623" i="1"/>
  <c r="E656" i="1"/>
  <c r="D654" i="1"/>
  <c r="E657" i="1" s="1"/>
  <c r="D637" i="1"/>
  <c r="E660" i="1"/>
  <c r="E663" i="1"/>
  <c r="E655" i="1"/>
  <c r="E661" i="1"/>
  <c r="D671" i="1"/>
  <c r="E676" i="1" s="1"/>
  <c r="E683" i="1"/>
  <c r="E691" i="1"/>
  <c r="E694" i="1"/>
  <c r="E692" i="1"/>
  <c r="E700" i="1"/>
  <c r="E696" i="1"/>
  <c r="E697" i="1"/>
  <c r="E701" i="1"/>
  <c r="D689" i="1"/>
  <c r="E693" i="1" s="1"/>
  <c r="D695" i="1"/>
  <c r="E702" i="1"/>
  <c r="E220" i="1" l="1"/>
  <c r="H137" i="1"/>
  <c r="H268" i="1"/>
  <c r="H346" i="1"/>
  <c r="H443" i="1"/>
  <c r="H495" i="1"/>
  <c r="H529" i="1"/>
  <c r="H564" i="1"/>
  <c r="H596" i="1"/>
  <c r="H622" i="1"/>
  <c r="H620" i="1" s="1"/>
  <c r="E659" i="1"/>
  <c r="E605" i="1"/>
  <c r="E611" i="1"/>
  <c r="E496" i="1"/>
  <c r="E456" i="1"/>
  <c r="E384" i="1"/>
  <c r="E354" i="1"/>
  <c r="E258" i="1"/>
  <c r="E261" i="1"/>
  <c r="H12" i="1"/>
  <c r="H57" i="1"/>
  <c r="H78" i="1"/>
  <c r="H64" i="1"/>
  <c r="H66" i="1"/>
  <c r="H160" i="1"/>
  <c r="H89" i="1"/>
  <c r="H101" i="1"/>
  <c r="H138" i="1"/>
  <c r="H172" i="1"/>
  <c r="H121" i="1"/>
  <c r="H190" i="1"/>
  <c r="H201" i="1"/>
  <c r="H203" i="1"/>
  <c r="H216" i="1"/>
  <c r="H215" i="1"/>
  <c r="H236" i="1"/>
  <c r="H231" i="1"/>
  <c r="H238" i="1"/>
  <c r="H274" i="1"/>
  <c r="H281" i="1"/>
  <c r="H300" i="1"/>
  <c r="H283" i="1"/>
  <c r="H273" i="1"/>
  <c r="H359" i="1"/>
  <c r="H328" i="1"/>
  <c r="H350" i="1"/>
  <c r="H360" i="1"/>
  <c r="H387" i="1"/>
  <c r="H400" i="1"/>
  <c r="H391" i="1"/>
  <c r="H422" i="1"/>
  <c r="H458" i="1"/>
  <c r="H445" i="1"/>
  <c r="H468" i="1"/>
  <c r="H473" i="1"/>
  <c r="H497" i="1"/>
  <c r="H487" i="1"/>
  <c r="H504" i="1"/>
  <c r="H555" i="1"/>
  <c r="H515" i="1"/>
  <c r="H554" i="1"/>
  <c r="H575" i="1"/>
  <c r="H572" i="1"/>
  <c r="H599" i="1"/>
  <c r="H606" i="1"/>
  <c r="H609" i="1"/>
  <c r="H642" i="1"/>
  <c r="H650" i="1"/>
  <c r="H655" i="1"/>
  <c r="H659" i="1"/>
  <c r="H679" i="1"/>
  <c r="H701" i="1"/>
  <c r="H47" i="1"/>
  <c r="H13" i="1"/>
  <c r="E197" i="1"/>
  <c r="H80" i="1"/>
  <c r="H269" i="1"/>
  <c r="H471" i="1"/>
  <c r="H643" i="1"/>
  <c r="E305" i="1"/>
  <c r="E311" i="1"/>
  <c r="E228" i="1"/>
  <c r="E219" i="1"/>
  <c r="E207" i="1"/>
  <c r="E198" i="1"/>
  <c r="E204" i="1"/>
  <c r="H17" i="1"/>
  <c r="H69" i="1"/>
  <c r="H115" i="1"/>
  <c r="H67" i="1"/>
  <c r="H9" i="1"/>
  <c r="H86" i="1"/>
  <c r="H113" i="1"/>
  <c r="H147" i="1"/>
  <c r="H146" i="1"/>
  <c r="H125" i="1"/>
  <c r="H131" i="1"/>
  <c r="H206" i="1"/>
  <c r="H204" i="1"/>
  <c r="H185" i="1"/>
  <c r="H219" i="1"/>
  <c r="H224" i="1"/>
  <c r="H241" i="1"/>
  <c r="H249" i="1"/>
  <c r="H244" i="1"/>
  <c r="H260" i="1"/>
  <c r="H309" i="1"/>
  <c r="H305" i="1"/>
  <c r="H289" i="1"/>
  <c r="H279" i="1"/>
  <c r="H363" i="1"/>
  <c r="H332" i="1"/>
  <c r="H319" i="1"/>
  <c r="H364" i="1"/>
  <c r="H388" i="1"/>
  <c r="H405" i="1"/>
  <c r="H418" i="1"/>
  <c r="H425" i="1"/>
  <c r="H420" i="1"/>
  <c r="H406" i="1"/>
  <c r="H479" i="1"/>
  <c r="H476" i="1"/>
  <c r="H496" i="1"/>
  <c r="H520" i="1"/>
  <c r="H505" i="1"/>
  <c r="H532" i="1"/>
  <c r="H530" i="1"/>
  <c r="H542" i="1"/>
  <c r="H576" i="1"/>
  <c r="H573" i="1"/>
  <c r="H597" i="1"/>
  <c r="H602" i="1"/>
  <c r="H610" i="1"/>
  <c r="H619" i="1"/>
  <c r="H651" i="1"/>
  <c r="H662" i="1"/>
  <c r="H656" i="1"/>
  <c r="H674" i="1"/>
  <c r="H692" i="1"/>
  <c r="D44" i="1"/>
  <c r="H53" i="1"/>
  <c r="H31" i="1"/>
  <c r="H25" i="1"/>
  <c r="H55" i="1"/>
  <c r="H191" i="1"/>
  <c r="H220" i="1"/>
  <c r="H317" i="1"/>
  <c r="H466" i="1"/>
  <c r="H635" i="1"/>
  <c r="E201" i="1"/>
  <c r="H58" i="1"/>
  <c r="H79" i="1"/>
  <c r="H24" i="1"/>
  <c r="H70" i="1"/>
  <c r="H119" i="1"/>
  <c r="H166" i="1"/>
  <c r="H82" i="1"/>
  <c r="H132" i="1"/>
  <c r="H151" i="1"/>
  <c r="H117" i="1"/>
  <c r="H226" i="1"/>
  <c r="H189" i="1"/>
  <c r="H163" i="1"/>
  <c r="H250" i="1"/>
  <c r="H243" i="1"/>
  <c r="H270" i="1"/>
  <c r="H261" i="1"/>
  <c r="H275" i="1"/>
  <c r="H296" i="1"/>
  <c r="H345" i="1"/>
  <c r="H301" i="1"/>
  <c r="H285" i="1"/>
  <c r="H366" i="1"/>
  <c r="H347" i="1"/>
  <c r="H323" i="1"/>
  <c r="H381" i="1"/>
  <c r="H401" i="1"/>
  <c r="H408" i="1"/>
  <c r="H395" i="1"/>
  <c r="H432" i="1"/>
  <c r="H424" i="1"/>
  <c r="H412" i="1"/>
  <c r="H485" i="1"/>
  <c r="H449" i="1"/>
  <c r="H482" i="1"/>
  <c r="H521" i="1"/>
  <c r="H513" i="1"/>
  <c r="H528" i="1"/>
  <c r="H518" i="1" s="1"/>
  <c r="H526" i="1"/>
  <c r="H550" i="1"/>
  <c r="H561" i="1"/>
  <c r="H580" i="1"/>
  <c r="H595" i="1"/>
  <c r="H607" i="1"/>
  <c r="H605" i="1"/>
  <c r="H633" i="1"/>
  <c r="H631" i="1"/>
  <c r="H657" i="1"/>
  <c r="H661" i="1"/>
  <c r="H680" i="1"/>
  <c r="H683" i="1"/>
  <c r="H41" i="1"/>
  <c r="H697" i="1"/>
  <c r="E221" i="1"/>
  <c r="H74" i="1"/>
  <c r="H186" i="1"/>
  <c r="H264" i="1"/>
  <c r="H410" i="1"/>
  <c r="H527" i="1"/>
  <c r="H678" i="1"/>
  <c r="E208" i="1"/>
  <c r="H15" i="1"/>
  <c r="E658" i="1"/>
  <c r="E606" i="1"/>
  <c r="E549" i="1"/>
  <c r="E392" i="1"/>
  <c r="E357" i="1"/>
  <c r="E337" i="1"/>
  <c r="E380" i="1"/>
  <c r="E318" i="1"/>
  <c r="E251" i="1"/>
  <c r="E217" i="1"/>
  <c r="E189" i="1"/>
  <c r="E199" i="1"/>
  <c r="H195" i="1" s="1"/>
  <c r="E162" i="1"/>
  <c r="E200" i="1"/>
  <c r="H106" i="1"/>
  <c r="H30" i="1"/>
  <c r="H95" i="1"/>
  <c r="H21" i="1"/>
  <c r="H76" i="1"/>
  <c r="H128" i="1"/>
  <c r="H91" i="1"/>
  <c r="H93" i="1"/>
  <c r="H136" i="1"/>
  <c r="H154" i="1"/>
  <c r="H123" i="1"/>
  <c r="H254" i="1"/>
  <c r="H150" i="1"/>
  <c r="H169" i="1"/>
  <c r="H208" i="1"/>
  <c r="H248" i="1"/>
  <c r="H247" i="1"/>
  <c r="H267" i="1"/>
  <c r="H276" i="1"/>
  <c r="H321" i="1"/>
  <c r="H295" i="1"/>
  <c r="H302" i="1"/>
  <c r="H291" i="1"/>
  <c r="H367" i="1"/>
  <c r="H353" i="1"/>
  <c r="H342" i="1"/>
  <c r="H411" i="1"/>
  <c r="H378" i="1"/>
  <c r="H409" i="1"/>
  <c r="H403" i="1"/>
  <c r="H437" i="1"/>
  <c r="H430" i="1"/>
  <c r="H423" i="1"/>
  <c r="H478" i="1"/>
  <c r="H455" i="1"/>
  <c r="H502" i="1"/>
  <c r="H501" i="1" s="1"/>
  <c r="H512" i="1"/>
  <c r="H519" i="1"/>
  <c r="H537" i="1"/>
  <c r="H534" i="1"/>
  <c r="H562" i="1"/>
  <c r="H553" i="1"/>
  <c r="H588" i="1"/>
  <c r="H614" i="1"/>
  <c r="H608" i="1"/>
  <c r="H613" i="1"/>
  <c r="H627" i="1"/>
  <c r="H638" i="1"/>
  <c r="H658" i="1"/>
  <c r="H669" i="1"/>
  <c r="H684" i="1"/>
  <c r="H690" i="1"/>
  <c r="H37" i="1"/>
  <c r="H167" i="1"/>
  <c r="H293" i="1"/>
  <c r="H438" i="1"/>
  <c r="H543" i="1"/>
  <c r="H688" i="1"/>
  <c r="H97" i="1"/>
  <c r="E685" i="1"/>
  <c r="E617" i="1"/>
  <c r="E490" i="1"/>
  <c r="E378" i="1"/>
  <c r="E370" i="1"/>
  <c r="E368" i="1"/>
  <c r="E330" i="1"/>
  <c r="E334" i="1"/>
  <c r="E304" i="1"/>
  <c r="E223" i="1"/>
  <c r="E211" i="1"/>
  <c r="E185" i="1"/>
  <c r="E156" i="1"/>
  <c r="E146" i="1"/>
  <c r="E206" i="1"/>
  <c r="H35" i="1"/>
  <c r="H48" i="1"/>
  <c r="H36" i="1"/>
  <c r="H34" i="1" s="1"/>
  <c r="H14" i="1"/>
  <c r="H27" i="1"/>
  <c r="H87" i="1"/>
  <c r="H148" i="1"/>
  <c r="H102" i="1"/>
  <c r="H104" i="1"/>
  <c r="H153" i="1"/>
  <c r="H170" i="1"/>
  <c r="H141" i="1"/>
  <c r="H218" i="1"/>
  <c r="H156" i="1"/>
  <c r="H175" i="1"/>
  <c r="H230" i="1"/>
  <c r="H222" i="1"/>
  <c r="H259" i="1"/>
  <c r="H282" i="1"/>
  <c r="H284" i="1"/>
  <c r="H286" i="1"/>
  <c r="H333" i="1"/>
  <c r="H315" i="1"/>
  <c r="H299" i="1"/>
  <c r="H325" i="1"/>
  <c r="H324" i="1"/>
  <c r="H356" i="1"/>
  <c r="H414" i="1"/>
  <c r="H383" i="1"/>
  <c r="H421" i="1"/>
  <c r="H398" i="1"/>
  <c r="H448" i="1"/>
  <c r="H434" i="1"/>
  <c r="H440" i="1"/>
  <c r="H465" i="1"/>
  <c r="H461" i="1"/>
  <c r="H491" i="1"/>
  <c r="H499" i="1"/>
  <c r="H500" i="1"/>
  <c r="H536" i="1"/>
  <c r="H522" i="1"/>
  <c r="H571" i="1"/>
  <c r="H557" i="1"/>
  <c r="H570" i="1"/>
  <c r="H584" i="1"/>
  <c r="H600" i="1"/>
  <c r="H625" i="1"/>
  <c r="H641" i="1"/>
  <c r="H630" i="1"/>
  <c r="H670" i="1"/>
  <c r="H676" i="1"/>
  <c r="H685" i="1"/>
  <c r="H698" i="1"/>
  <c r="H22" i="1"/>
  <c r="H84" i="1"/>
  <c r="H157" i="1"/>
  <c r="H228" i="1"/>
  <c r="H277" i="1"/>
  <c r="H386" i="1"/>
  <c r="H453" i="1"/>
  <c r="H503" i="1"/>
  <c r="H583" i="1"/>
  <c r="H601" i="1"/>
  <c r="H43" i="1"/>
  <c r="E588" i="1"/>
  <c r="E499" i="1"/>
  <c r="E397" i="1"/>
  <c r="E395" i="1"/>
  <c r="E227" i="1"/>
  <c r="E260" i="1"/>
  <c r="E203" i="1"/>
  <c r="E205" i="1"/>
  <c r="E210" i="1"/>
  <c r="H16" i="1"/>
  <c r="H59" i="1"/>
  <c r="H42" i="1"/>
  <c r="H20" i="1"/>
  <c r="H33" i="1"/>
  <c r="H98" i="1"/>
  <c r="H100" i="1"/>
  <c r="H99" i="1" s="1"/>
  <c r="H112" i="1"/>
  <c r="H140" i="1"/>
  <c r="H164" i="1"/>
  <c r="H180" i="1"/>
  <c r="H152" i="1"/>
  <c r="H165" i="1"/>
  <c r="H162" i="1"/>
  <c r="H184" i="1"/>
  <c r="H232" i="1"/>
  <c r="H213" i="1"/>
  <c r="H255" i="1"/>
  <c r="H253" i="1"/>
  <c r="H290" i="1"/>
  <c r="H292" i="1"/>
  <c r="H288" i="1"/>
  <c r="H298" i="1"/>
  <c r="H322" i="1"/>
  <c r="H340" i="1"/>
  <c r="H339" i="1"/>
  <c r="H334" i="1"/>
  <c r="H372" i="1"/>
  <c r="H392" i="1"/>
  <c r="H435" i="1"/>
  <c r="H393" i="1"/>
  <c r="H429" i="1"/>
  <c r="H442" i="1"/>
  <c r="H419" i="1"/>
  <c r="H472" i="1"/>
  <c r="H463" i="1"/>
  <c r="H498" i="1"/>
  <c r="H523" i="1"/>
  <c r="H510" i="1"/>
  <c r="H539" i="1"/>
  <c r="H544" i="1"/>
  <c r="H541" i="1"/>
  <c r="H568" i="1"/>
  <c r="H578" i="1"/>
  <c r="H591" i="1"/>
  <c r="H592" i="1"/>
  <c r="H628" i="1"/>
  <c r="H649" i="1"/>
  <c r="H634" i="1"/>
  <c r="H666" i="1"/>
  <c r="H667" i="1"/>
  <c r="H694" i="1"/>
  <c r="H691" i="1"/>
  <c r="H18" i="1"/>
  <c r="E296" i="1"/>
  <c r="H594" i="1"/>
  <c r="H615" i="1"/>
  <c r="H647" i="1"/>
  <c r="H122" i="1"/>
  <c r="H374" i="1"/>
  <c r="E222" i="1"/>
  <c r="H60" i="1"/>
  <c r="H51" i="1"/>
  <c r="H26" i="1"/>
  <c r="H56" i="1"/>
  <c r="H108" i="1"/>
  <c r="H118" i="1"/>
  <c r="H110" i="1" s="1"/>
  <c r="H126" i="1"/>
  <c r="H83" i="1"/>
  <c r="H81" i="1" s="1"/>
  <c r="H173" i="1"/>
  <c r="H134" i="1"/>
  <c r="H155" i="1"/>
  <c r="H171" i="1"/>
  <c r="H168" i="1"/>
  <c r="H188" i="1"/>
  <c r="H235" i="1"/>
  <c r="H233" i="1"/>
  <c r="H265" i="1"/>
  <c r="H257" i="1"/>
  <c r="H240" i="1"/>
  <c r="H316" i="1"/>
  <c r="H294" i="1"/>
  <c r="H330" i="1"/>
  <c r="H326" i="1"/>
  <c r="H344" i="1"/>
  <c r="H343" i="1"/>
  <c r="H338" i="1"/>
  <c r="H380" i="1"/>
  <c r="H377" i="1"/>
  <c r="H390" i="1"/>
  <c r="H394" i="1"/>
  <c r="H444" i="1"/>
  <c r="H454" i="1"/>
  <c r="H431" i="1"/>
  <c r="H475" i="1"/>
  <c r="H470" i="1"/>
  <c r="H507" i="1"/>
  <c r="H506" i="1"/>
  <c r="H517" i="1"/>
  <c r="H531" i="1"/>
  <c r="H558" i="1"/>
  <c r="H559" i="1"/>
  <c r="H560" i="1"/>
  <c r="H581" i="1"/>
  <c r="H587" i="1"/>
  <c r="H598" i="1"/>
  <c r="H629" i="1"/>
  <c r="H652" i="1"/>
  <c r="H639" i="1"/>
  <c r="H646" i="1"/>
  <c r="H673" i="1"/>
  <c r="H687" i="1"/>
  <c r="H699" i="1"/>
  <c r="H582" i="1"/>
  <c r="H632" i="1"/>
  <c r="H199" i="1"/>
  <c r="H668" i="1"/>
  <c r="E618" i="1"/>
  <c r="E495" i="1"/>
  <c r="E352" i="1"/>
  <c r="E389" i="1"/>
  <c r="E257" i="1"/>
  <c r="E224" i="1"/>
  <c r="E209" i="1"/>
  <c r="E226" i="1"/>
  <c r="H10" i="1"/>
  <c r="H50" i="1"/>
  <c r="H45" i="1" s="1"/>
  <c r="H62" i="1"/>
  <c r="H32" i="1"/>
  <c r="H75" i="1"/>
  <c r="H129" i="1"/>
  <c r="H124" i="1"/>
  <c r="H92" i="1"/>
  <c r="H94" i="1"/>
  <c r="H139" i="1"/>
  <c r="H159" i="1"/>
  <c r="H194" i="1"/>
  <c r="H177" i="1"/>
  <c r="H174" i="1"/>
  <c r="H196" i="1"/>
  <c r="H223" i="1"/>
  <c r="H234" i="1"/>
  <c r="H258" i="1"/>
  <c r="H272" i="1"/>
  <c r="H252" i="1"/>
  <c r="H320" i="1"/>
  <c r="H304" i="1"/>
  <c r="H337" i="1"/>
  <c r="H341" i="1"/>
  <c r="H355" i="1"/>
  <c r="H361" i="1"/>
  <c r="H370" i="1"/>
  <c r="H362" i="1"/>
  <c r="H369" i="1"/>
  <c r="H396" i="1"/>
  <c r="H404" i="1"/>
  <c r="H446" i="1"/>
  <c r="H457" i="1"/>
  <c r="H439" i="1"/>
  <c r="H459" i="1"/>
  <c r="H456" i="1"/>
  <c r="H493" i="1"/>
  <c r="H509" i="1"/>
  <c r="H524" i="1"/>
  <c r="H533" i="1"/>
  <c r="H567" i="1"/>
  <c r="H546" i="1"/>
  <c r="H545" i="1"/>
  <c r="H577" i="1"/>
  <c r="H593" i="1"/>
  <c r="H604" i="1"/>
  <c r="H611" i="1"/>
  <c r="H640" i="1"/>
  <c r="H648" i="1"/>
  <c r="H665" i="1"/>
  <c r="H681" i="1"/>
  <c r="H693" i="1"/>
  <c r="H696" i="1"/>
  <c r="H46" i="1"/>
  <c r="H193" i="1"/>
  <c r="H318" i="1"/>
  <c r="H480" i="1"/>
  <c r="H700" i="1"/>
  <c r="E393" i="1"/>
  <c r="E662" i="1"/>
  <c r="E599" i="1"/>
  <c r="E684" i="1"/>
  <c r="E613" i="1"/>
  <c r="E594" i="1"/>
  <c r="E394" i="1"/>
  <c r="E320" i="1"/>
  <c r="E249" i="1"/>
  <c r="E214" i="1"/>
  <c r="E190" i="1"/>
  <c r="E180" i="1"/>
  <c r="H29" i="1"/>
  <c r="H61" i="1"/>
  <c r="H52" i="1"/>
  <c r="H38" i="1"/>
  <c r="H130" i="1"/>
  <c r="H77" i="1"/>
  <c r="H133" i="1"/>
  <c r="H103" i="1"/>
  <c r="H105" i="1"/>
  <c r="H143" i="1"/>
  <c r="H182" i="1"/>
  <c r="H200" i="1"/>
  <c r="H179" i="1"/>
  <c r="H181" i="1"/>
  <c r="H202" i="1"/>
  <c r="H251" i="1"/>
  <c r="H237" i="1"/>
  <c r="H262" i="1"/>
  <c r="H308" i="1"/>
  <c r="H256" i="1"/>
  <c r="H349" i="1"/>
  <c r="H313" i="1"/>
  <c r="H310" i="1"/>
  <c r="H368" i="1"/>
  <c r="H336" i="1"/>
  <c r="H335" i="1"/>
  <c r="H375" i="1"/>
  <c r="H371" i="1"/>
  <c r="H376" i="1"/>
  <c r="H402" i="1"/>
  <c r="H407" i="1"/>
  <c r="H426" i="1"/>
  <c r="H427" i="1"/>
  <c r="H474" i="1"/>
  <c r="H469" i="1"/>
  <c r="H462" i="1"/>
  <c r="H483" i="1"/>
  <c r="H516" i="1"/>
  <c r="H514" i="1"/>
  <c r="H540" i="1"/>
  <c r="H549" i="1"/>
  <c r="H548" i="1"/>
  <c r="H551" i="1"/>
  <c r="H585" i="1"/>
  <c r="H612" i="1"/>
  <c r="H616" i="1"/>
  <c r="H618" i="1"/>
  <c r="H621" i="1"/>
  <c r="H645" i="1"/>
  <c r="H653" i="1"/>
  <c r="H660" i="1"/>
  <c r="H677" i="1"/>
  <c r="H702" i="1"/>
  <c r="H11" i="1"/>
  <c r="H120" i="1"/>
  <c r="H225" i="1"/>
  <c r="H358" i="1"/>
  <c r="H464" i="1"/>
  <c r="H623" i="1"/>
  <c r="E602" i="1"/>
  <c r="E387" i="1"/>
  <c r="E386" i="1"/>
  <c r="E666" i="1"/>
  <c r="E619" i="1"/>
  <c r="E596" i="1"/>
  <c r="E568" i="1"/>
  <c r="E353" i="1"/>
  <c r="E256" i="1"/>
  <c r="E168" i="1"/>
  <c r="E148" i="1"/>
  <c r="H19" i="1"/>
  <c r="H68" i="1"/>
  <c r="H73" i="1"/>
  <c r="H72" i="1" s="1"/>
  <c r="H65" i="1"/>
  <c r="H63" i="1" s="1"/>
  <c r="H96" i="1"/>
  <c r="H90" i="1" s="1"/>
  <c r="H88" i="1"/>
  <c r="H158" i="1"/>
  <c r="H111" i="1"/>
  <c r="H142" i="1"/>
  <c r="H197" i="1"/>
  <c r="H187" i="1"/>
  <c r="H207" i="1"/>
  <c r="H183" i="1"/>
  <c r="H227" i="1"/>
  <c r="H221" i="1"/>
  <c r="H209" i="1"/>
  <c r="H205" i="1"/>
  <c r="H307" i="1"/>
  <c r="H239" i="1"/>
  <c r="H278" i="1"/>
  <c r="H306" i="1"/>
  <c r="H303" i="1"/>
  <c r="H311" i="1"/>
  <c r="H329" i="1"/>
  <c r="H351" i="1"/>
  <c r="H352" i="1"/>
  <c r="H384" i="1"/>
  <c r="H379" i="1"/>
  <c r="H397" i="1"/>
  <c r="H415" i="1"/>
  <c r="H413" i="1"/>
  <c r="H436" i="1"/>
  <c r="H441" i="1"/>
  <c r="H481" i="1"/>
  <c r="H477" i="1"/>
  <c r="H490" i="1"/>
  <c r="H486" i="1"/>
  <c r="H494" i="1"/>
  <c r="H538" i="1"/>
  <c r="H547" i="1"/>
  <c r="H574" i="1"/>
  <c r="H565" i="1"/>
  <c r="H556" i="1"/>
  <c r="H589" i="1"/>
  <c r="H590" i="1"/>
  <c r="H617" i="1"/>
  <c r="H624" i="1"/>
  <c r="H626" i="1"/>
  <c r="H644" i="1"/>
  <c r="H664" i="1"/>
  <c r="H663" i="1"/>
  <c r="H682" i="1"/>
  <c r="H703" i="1"/>
  <c r="H28" i="1"/>
  <c r="E647" i="1"/>
  <c r="E646" i="1"/>
  <c r="E644" i="1"/>
  <c r="E651" i="1"/>
  <c r="E650" i="1"/>
  <c r="E648" i="1"/>
  <c r="E403" i="1"/>
  <c r="E278" i="1"/>
  <c r="E272" i="1"/>
  <c r="E277" i="1"/>
  <c r="E275" i="1"/>
  <c r="E274" i="1"/>
  <c r="E268" i="1"/>
  <c r="E266" i="1"/>
  <c r="E240" i="1"/>
  <c r="E245" i="1"/>
  <c r="E238" i="1"/>
  <c r="E237" i="1"/>
  <c r="E679" i="1"/>
  <c r="E643" i="1"/>
  <c r="E567" i="1"/>
  <c r="E556" i="1"/>
  <c r="E539" i="1"/>
  <c r="E461" i="1"/>
  <c r="E448" i="1"/>
  <c r="E442" i="1"/>
  <c r="E363" i="1"/>
  <c r="E350" i="1"/>
  <c r="E301" i="1"/>
  <c r="E310" i="1"/>
  <c r="E312" i="1"/>
  <c r="E273" i="1"/>
  <c r="E291" i="1"/>
  <c r="E244" i="1"/>
  <c r="E154" i="1"/>
  <c r="E160" i="1"/>
  <c r="E234" i="1"/>
  <c r="E645" i="1"/>
  <c r="E654" i="1"/>
  <c r="E670" i="1"/>
  <c r="E669" i="1"/>
  <c r="E664" i="1"/>
  <c r="H654" i="1" s="1"/>
  <c r="E581" i="1"/>
  <c r="E578" i="1"/>
  <c r="E583" i="1"/>
  <c r="E572" i="1"/>
  <c r="H569" i="1" s="1"/>
  <c r="E573" i="1"/>
  <c r="E544" i="1"/>
  <c r="E576" i="1"/>
  <c r="E536" i="1"/>
  <c r="E447" i="1"/>
  <c r="E411" i="1"/>
  <c r="E440" i="1"/>
  <c r="E410" i="1"/>
  <c r="E402" i="1"/>
  <c r="E299" i="1"/>
  <c r="E298" i="1"/>
  <c r="E269" i="1"/>
  <c r="E243" i="1"/>
  <c r="E271" i="1"/>
  <c r="E542" i="1"/>
  <c r="E441" i="1"/>
  <c r="E405" i="1"/>
  <c r="E406" i="1"/>
  <c r="E290" i="1"/>
  <c r="E284" i="1"/>
  <c r="E289" i="1"/>
  <c r="E295" i="1"/>
  <c r="E292" i="1"/>
  <c r="E286" i="1"/>
  <c r="E283" i="1"/>
  <c r="E281" i="1"/>
  <c r="E285" i="1"/>
  <c r="E293" i="1"/>
  <c r="E265" i="1"/>
  <c r="E232" i="1"/>
  <c r="H695" i="1"/>
  <c r="E677" i="1"/>
  <c r="E686" i="1"/>
  <c r="E678" i="1"/>
  <c r="E673" i="1"/>
  <c r="E649" i="1"/>
  <c r="E541" i="1"/>
  <c r="E551" i="1"/>
  <c r="E449" i="1"/>
  <c r="E462" i="1"/>
  <c r="E464" i="1"/>
  <c r="E460" i="1"/>
  <c r="E457" i="1"/>
  <c r="E454" i="1"/>
  <c r="E451" i="1"/>
  <c r="E452" i="1"/>
  <c r="E458" i="1"/>
  <c r="E439" i="1"/>
  <c r="E415" i="1"/>
  <c r="E279" i="1"/>
  <c r="E282" i="1"/>
  <c r="E176" i="1"/>
  <c r="E166" i="1"/>
  <c r="E170" i="1"/>
  <c r="E177" i="1"/>
  <c r="E175" i="1"/>
  <c r="E163" i="1"/>
  <c r="E173" i="1"/>
  <c r="E164" i="1"/>
  <c r="E172" i="1"/>
  <c r="E171" i="1"/>
  <c r="E169" i="1"/>
  <c r="H54" i="1"/>
  <c r="E40" i="1"/>
  <c r="E414" i="1"/>
  <c r="E401" i="1"/>
  <c r="E407" i="1"/>
  <c r="E412" i="1"/>
  <c r="E413" i="1"/>
  <c r="E552" i="1"/>
  <c r="E563" i="1"/>
  <c r="E564" i="1"/>
  <c r="E558" i="1"/>
  <c r="E566" i="1"/>
  <c r="E555" i="1"/>
  <c r="E562" i="1"/>
  <c r="E561" i="1"/>
  <c r="E538" i="1"/>
  <c r="E466" i="1"/>
  <c r="H467" i="1"/>
  <c r="E428" i="1"/>
  <c r="E427" i="1"/>
  <c r="E416" i="1"/>
  <c r="E418" i="1"/>
  <c r="E417" i="1"/>
  <c r="E360" i="1"/>
  <c r="E361" i="1"/>
  <c r="E355" i="1"/>
  <c r="E364" i="1"/>
  <c r="E362" i="1"/>
  <c r="E356" i="1"/>
  <c r="E294" i="1"/>
  <c r="E239" i="1"/>
  <c r="E674" i="1"/>
  <c r="E652" i="1"/>
  <c r="E641" i="1"/>
  <c r="E687" i="1"/>
  <c r="E682" i="1"/>
  <c r="E640" i="1"/>
  <c r="E577" i="1"/>
  <c r="E585" i="1"/>
  <c r="E553" i="1"/>
  <c r="E463" i="1"/>
  <c r="E465" i="1"/>
  <c r="E419" i="1"/>
  <c r="E409" i="1"/>
  <c r="E408" i="1"/>
  <c r="E351" i="1"/>
  <c r="E313" i="1"/>
  <c r="E349" i="1"/>
  <c r="E288" i="1"/>
  <c r="E270" i="1"/>
  <c r="E300" i="1"/>
  <c r="E231" i="1"/>
  <c r="E158" i="1"/>
  <c r="E145" i="1"/>
  <c r="E151" i="1"/>
  <c r="E157" i="1"/>
  <c r="E153" i="1"/>
  <c r="E159" i="1"/>
  <c r="E152" i="1"/>
  <c r="E155" i="1"/>
  <c r="E276" i="1"/>
  <c r="E550" i="1"/>
  <c r="E438" i="1"/>
  <c r="E444" i="1"/>
  <c r="D109" i="1"/>
  <c r="E494" i="1"/>
  <c r="E488" i="1"/>
  <c r="E489" i="1"/>
  <c r="E443" i="1"/>
  <c r="E429" i="1"/>
  <c r="E424" i="1"/>
  <c r="E422" i="1"/>
  <c r="E338" i="1"/>
  <c r="E331" i="1"/>
  <c r="E335" i="1"/>
  <c r="E341" i="1"/>
  <c r="E309" i="1"/>
  <c r="E343" i="1"/>
  <c r="E262" i="1"/>
  <c r="E250" i="1"/>
  <c r="E254" i="1"/>
  <c r="E248" i="1"/>
  <c r="E235" i="1"/>
  <c r="E167" i="1"/>
  <c r="K4" i="1"/>
  <c r="J6" i="1"/>
  <c r="E672" i="1"/>
  <c r="E653" i="1"/>
  <c r="E680" i="1"/>
  <c r="E675" i="1"/>
  <c r="E681" i="1"/>
  <c r="E642" i="1"/>
  <c r="E597" i="1"/>
  <c r="E601" i="1"/>
  <c r="E595" i="1"/>
  <c r="E586" i="1"/>
  <c r="E591" i="1"/>
  <c r="E543" i="1"/>
  <c r="E668" i="1"/>
  <c r="E667" i="1"/>
  <c r="E639" i="1"/>
  <c r="E587" i="1"/>
  <c r="E579" i="1"/>
  <c r="E557" i="1"/>
  <c r="E554" i="1"/>
  <c r="E486" i="1"/>
  <c r="E435" i="1"/>
  <c r="E455" i="1"/>
  <c r="E436" i="1"/>
  <c r="E423" i="1"/>
  <c r="E398" i="1"/>
  <c r="E385" i="1"/>
  <c r="E391" i="1"/>
  <c r="E321" i="1"/>
  <c r="E308" i="1"/>
  <c r="E347" i="1"/>
  <c r="E303" i="1"/>
  <c r="E241" i="1"/>
  <c r="E230" i="1"/>
  <c r="E216" i="1"/>
  <c r="E225" i="1"/>
  <c r="E134" i="1"/>
  <c r="E141" i="1"/>
  <c r="E139" i="1"/>
  <c r="E136" i="1"/>
  <c r="E129" i="1"/>
  <c r="E143" i="1"/>
  <c r="E132" i="1"/>
  <c r="I702" i="1"/>
  <c r="I696" i="1"/>
  <c r="I690" i="1"/>
  <c r="I701" i="1"/>
  <c r="I703" i="1"/>
  <c r="I684" i="1"/>
  <c r="I699" i="1"/>
  <c r="I698" i="1"/>
  <c r="I692" i="1"/>
  <c r="I687" i="1"/>
  <c r="I700" i="1"/>
  <c r="I688" i="1"/>
  <c r="I686" i="1"/>
  <c r="I682" i="1"/>
  <c r="I693" i="1"/>
  <c r="I691" i="1"/>
  <c r="I679" i="1"/>
  <c r="I694" i="1"/>
  <c r="I685" i="1"/>
  <c r="I683" i="1"/>
  <c r="I676" i="1"/>
  <c r="I675" i="1"/>
  <c r="I665" i="1"/>
  <c r="I659" i="1"/>
  <c r="I653" i="1"/>
  <c r="I677" i="1"/>
  <c r="I670" i="1"/>
  <c r="I664" i="1"/>
  <c r="I658" i="1"/>
  <c r="I697" i="1"/>
  <c r="I681" i="1"/>
  <c r="I673" i="1"/>
  <c r="I667" i="1"/>
  <c r="I663" i="1"/>
  <c r="I660" i="1"/>
  <c r="I666" i="1"/>
  <c r="I680" i="1"/>
  <c r="I669" i="1"/>
  <c r="I668" i="1"/>
  <c r="I662" i="1"/>
  <c r="I655" i="1"/>
  <c r="I678" i="1"/>
  <c r="I674" i="1"/>
  <c r="I672" i="1"/>
  <c r="I646" i="1"/>
  <c r="I640" i="1"/>
  <c r="I634" i="1"/>
  <c r="I628" i="1"/>
  <c r="I652" i="1"/>
  <c r="I657" i="1"/>
  <c r="I661" i="1"/>
  <c r="I644" i="1"/>
  <c r="I638" i="1"/>
  <c r="I648" i="1"/>
  <c r="I656" i="1"/>
  <c r="I651" i="1"/>
  <c r="I650" i="1"/>
  <c r="I635" i="1"/>
  <c r="I622" i="1"/>
  <c r="I641" i="1"/>
  <c r="I631" i="1"/>
  <c r="I625" i="1"/>
  <c r="I613" i="1"/>
  <c r="I647" i="1"/>
  <c r="I639" i="1"/>
  <c r="I636" i="1"/>
  <c r="I630" i="1"/>
  <c r="I627" i="1"/>
  <c r="I612" i="1"/>
  <c r="I606" i="1"/>
  <c r="I645" i="1"/>
  <c r="I649" i="1"/>
  <c r="I642" i="1"/>
  <c r="I632" i="1"/>
  <c r="I618" i="1"/>
  <c r="I633" i="1"/>
  <c r="I621" i="1"/>
  <c r="I643" i="1"/>
  <c r="I629" i="1"/>
  <c r="I623" i="1"/>
  <c r="I611" i="1"/>
  <c r="I619" i="1"/>
  <c r="I604" i="1"/>
  <c r="I616" i="1"/>
  <c r="I615" i="1"/>
  <c r="I614" i="1"/>
  <c r="I617" i="1"/>
  <c r="I608" i="1"/>
  <c r="I626" i="1"/>
  <c r="I602" i="1"/>
  <c r="I598" i="1"/>
  <c r="I610" i="1"/>
  <c r="I609" i="1"/>
  <c r="I607" i="1"/>
  <c r="I624" i="1"/>
  <c r="I595" i="1"/>
  <c r="I589" i="1"/>
  <c r="I583" i="1"/>
  <c r="I605" i="1"/>
  <c r="I599" i="1"/>
  <c r="I593" i="1"/>
  <c r="I587" i="1"/>
  <c r="I591" i="1"/>
  <c r="I584" i="1"/>
  <c r="I576" i="1"/>
  <c r="I570" i="1"/>
  <c r="I564" i="1"/>
  <c r="I558" i="1"/>
  <c r="I597" i="1"/>
  <c r="I601" i="1"/>
  <c r="I596" i="1"/>
  <c r="I594" i="1"/>
  <c r="I582" i="1"/>
  <c r="I592" i="1"/>
  <c r="I579" i="1"/>
  <c r="I573" i="1"/>
  <c r="I567" i="1"/>
  <c r="I588" i="1"/>
  <c r="I585" i="1"/>
  <c r="I581" i="1"/>
  <c r="I578" i="1"/>
  <c r="I580" i="1"/>
  <c r="I590" i="1"/>
  <c r="I575" i="1"/>
  <c r="I563" i="1"/>
  <c r="I560" i="1"/>
  <c r="I550" i="1"/>
  <c r="I544" i="1"/>
  <c r="I600" i="1"/>
  <c r="I572" i="1"/>
  <c r="I568" i="1"/>
  <c r="I557" i="1"/>
  <c r="I577" i="1"/>
  <c r="I561" i="1"/>
  <c r="I549" i="1"/>
  <c r="I543" i="1"/>
  <c r="I571" i="1"/>
  <c r="I554" i="1"/>
  <c r="I548" i="1"/>
  <c r="I566" i="1"/>
  <c r="I565" i="1"/>
  <c r="I574" i="1"/>
  <c r="I559" i="1"/>
  <c r="I541" i="1"/>
  <c r="I562" i="1"/>
  <c r="I542" i="1"/>
  <c r="I529" i="1"/>
  <c r="I523" i="1"/>
  <c r="I517" i="1"/>
  <c r="I511" i="1"/>
  <c r="I505" i="1"/>
  <c r="I553" i="1"/>
  <c r="I547" i="1"/>
  <c r="I555" i="1"/>
  <c r="I538" i="1"/>
  <c r="I532" i="1"/>
  <c r="I556" i="1"/>
  <c r="I546" i="1"/>
  <c r="I534" i="1"/>
  <c r="I526" i="1"/>
  <c r="I530" i="1"/>
  <c r="I519" i="1"/>
  <c r="I504" i="1"/>
  <c r="I527" i="1"/>
  <c r="I540" i="1"/>
  <c r="I533" i="1"/>
  <c r="I531" i="1"/>
  <c r="I516" i="1"/>
  <c r="I512" i="1"/>
  <c r="I497" i="1"/>
  <c r="I491" i="1"/>
  <c r="I485" i="1"/>
  <c r="I479" i="1"/>
  <c r="I539" i="1"/>
  <c r="I536" i="1"/>
  <c r="I520" i="1"/>
  <c r="I537" i="1"/>
  <c r="I528" i="1"/>
  <c r="I521" i="1"/>
  <c r="I551" i="1"/>
  <c r="I545" i="1"/>
  <c r="I522" i="1"/>
  <c r="I508" i="1"/>
  <c r="I489" i="1"/>
  <c r="I515" i="1"/>
  <c r="I513" i="1"/>
  <c r="I503" i="1"/>
  <c r="I490" i="1"/>
  <c r="I486" i="1"/>
  <c r="I525" i="1"/>
  <c r="I494" i="1"/>
  <c r="I509" i="1"/>
  <c r="I506" i="1"/>
  <c r="I498" i="1"/>
  <c r="I507" i="1"/>
  <c r="I502" i="1"/>
  <c r="I514" i="1"/>
  <c r="I524" i="1"/>
  <c r="I510" i="1"/>
  <c r="I488" i="1"/>
  <c r="I483" i="1"/>
  <c r="I493" i="1"/>
  <c r="I499" i="1"/>
  <c r="I478" i="1"/>
  <c r="I477" i="1"/>
  <c r="I471" i="1"/>
  <c r="I465" i="1"/>
  <c r="I500" i="1"/>
  <c r="I476" i="1"/>
  <c r="I470" i="1"/>
  <c r="I495" i="1"/>
  <c r="I492" i="1"/>
  <c r="I463" i="1"/>
  <c r="I496" i="1"/>
  <c r="I461" i="1"/>
  <c r="I455" i="1"/>
  <c r="I449" i="1"/>
  <c r="I443" i="1"/>
  <c r="I437" i="1"/>
  <c r="I431" i="1"/>
  <c r="I425" i="1"/>
  <c r="I419" i="1"/>
  <c r="I473" i="1"/>
  <c r="I480" i="1"/>
  <c r="I464" i="1"/>
  <c r="I460" i="1"/>
  <c r="I454" i="1"/>
  <c r="I448" i="1"/>
  <c r="I442" i="1"/>
  <c r="I436" i="1"/>
  <c r="I469" i="1"/>
  <c r="I459" i="1"/>
  <c r="I482" i="1"/>
  <c r="I475" i="1"/>
  <c r="I472" i="1"/>
  <c r="I458" i="1"/>
  <c r="I452" i="1"/>
  <c r="I446" i="1"/>
  <c r="I440" i="1"/>
  <c r="I434" i="1"/>
  <c r="I428" i="1"/>
  <c r="I468" i="1"/>
  <c r="I481" i="1"/>
  <c r="I474" i="1"/>
  <c r="I466" i="1"/>
  <c r="I487" i="1"/>
  <c r="I423" i="1"/>
  <c r="I445" i="1"/>
  <c r="I447" i="1"/>
  <c r="I441" i="1"/>
  <c r="I427" i="1"/>
  <c r="I457" i="1"/>
  <c r="I430" i="1"/>
  <c r="I424" i="1"/>
  <c r="I420" i="1"/>
  <c r="I462" i="1"/>
  <c r="I453" i="1"/>
  <c r="I410" i="1"/>
  <c r="I451" i="1"/>
  <c r="I435" i="1"/>
  <c r="I417" i="1"/>
  <c r="I456" i="1"/>
  <c r="I444" i="1"/>
  <c r="I429" i="1"/>
  <c r="I432" i="1"/>
  <c r="I418" i="1"/>
  <c r="I414" i="1"/>
  <c r="I408" i="1"/>
  <c r="I402" i="1"/>
  <c r="I396" i="1"/>
  <c r="I422" i="1"/>
  <c r="I438" i="1"/>
  <c r="I439" i="1"/>
  <c r="I415" i="1"/>
  <c r="I394" i="1"/>
  <c r="I393" i="1"/>
  <c r="I387" i="1"/>
  <c r="I398" i="1"/>
  <c r="I392" i="1"/>
  <c r="I386" i="1"/>
  <c r="I380" i="1"/>
  <c r="I374" i="1"/>
  <c r="I403" i="1"/>
  <c r="I395" i="1"/>
  <c r="I426" i="1"/>
  <c r="I406" i="1"/>
  <c r="I391" i="1"/>
  <c r="I385" i="1"/>
  <c r="I379" i="1"/>
  <c r="I373" i="1"/>
  <c r="I367" i="1"/>
  <c r="I412" i="1"/>
  <c r="I421" i="1"/>
  <c r="I413" i="1"/>
  <c r="I409" i="1"/>
  <c r="I405" i="1"/>
  <c r="I400" i="1"/>
  <c r="I389" i="1"/>
  <c r="I383" i="1"/>
  <c r="I377" i="1"/>
  <c r="I371" i="1"/>
  <c r="I411" i="1"/>
  <c r="I366" i="1"/>
  <c r="I357" i="1"/>
  <c r="I378" i="1"/>
  <c r="I407" i="1"/>
  <c r="I401" i="1"/>
  <c r="I388" i="1"/>
  <c r="I362" i="1"/>
  <c r="I356" i="1"/>
  <c r="I350" i="1"/>
  <c r="I344" i="1"/>
  <c r="I338" i="1"/>
  <c r="I332" i="1"/>
  <c r="I326" i="1"/>
  <c r="I363" i="1"/>
  <c r="I370" i="1"/>
  <c r="I390" i="1"/>
  <c r="I368" i="1"/>
  <c r="I384" i="1"/>
  <c r="I375" i="1"/>
  <c r="I404" i="1"/>
  <c r="I397" i="1"/>
  <c r="I376" i="1"/>
  <c r="I369" i="1"/>
  <c r="I358" i="1"/>
  <c r="I352" i="1"/>
  <c r="I360" i="1"/>
  <c r="I342" i="1"/>
  <c r="I323" i="1"/>
  <c r="I319" i="1"/>
  <c r="I313" i="1"/>
  <c r="I307" i="1"/>
  <c r="I301" i="1"/>
  <c r="I295" i="1"/>
  <c r="I346" i="1"/>
  <c r="I327" i="1"/>
  <c r="I381" i="1"/>
  <c r="I335" i="1"/>
  <c r="I318" i="1"/>
  <c r="I312" i="1"/>
  <c r="I306" i="1"/>
  <c r="I361" i="1"/>
  <c r="I343" i="1"/>
  <c r="I339" i="1"/>
  <c r="I324" i="1"/>
  <c r="I353" i="1"/>
  <c r="I347" i="1"/>
  <c r="I328" i="1"/>
  <c r="I317" i="1"/>
  <c r="I311" i="1"/>
  <c r="I354" i="1"/>
  <c r="I351" i="1"/>
  <c r="I336" i="1"/>
  <c r="I355" i="1"/>
  <c r="I340" i="1"/>
  <c r="I325" i="1"/>
  <c r="I316" i="1"/>
  <c r="I310" i="1"/>
  <c r="I304" i="1"/>
  <c r="I298" i="1"/>
  <c r="I359" i="1"/>
  <c r="I329" i="1"/>
  <c r="I364" i="1"/>
  <c r="I337" i="1"/>
  <c r="I333" i="1"/>
  <c r="I321" i="1"/>
  <c r="I341" i="1"/>
  <c r="I372" i="1"/>
  <c r="I349" i="1"/>
  <c r="I345" i="1"/>
  <c r="I330" i="1"/>
  <c r="I320" i="1"/>
  <c r="I308" i="1"/>
  <c r="I322" i="1"/>
  <c r="I309" i="1"/>
  <c r="I290" i="1"/>
  <c r="I284" i="1"/>
  <c r="I278" i="1"/>
  <c r="I272" i="1"/>
  <c r="I266" i="1"/>
  <c r="I315" i="1"/>
  <c r="I302" i="1"/>
  <c r="I289" i="1"/>
  <c r="I283" i="1"/>
  <c r="I277" i="1"/>
  <c r="I271" i="1"/>
  <c r="I303" i="1"/>
  <c r="I294" i="1"/>
  <c r="I288" i="1"/>
  <c r="I305" i="1"/>
  <c r="I300" i="1"/>
  <c r="I293" i="1"/>
  <c r="I287" i="1"/>
  <c r="I281" i="1"/>
  <c r="I275" i="1"/>
  <c r="I269" i="1"/>
  <c r="I257" i="1"/>
  <c r="I251" i="1"/>
  <c r="I334" i="1"/>
  <c r="I292" i="1"/>
  <c r="I286" i="1"/>
  <c r="I296" i="1"/>
  <c r="I299" i="1"/>
  <c r="I291" i="1"/>
  <c r="I256" i="1"/>
  <c r="I252" i="1"/>
  <c r="I240" i="1"/>
  <c r="I234" i="1"/>
  <c r="I228" i="1"/>
  <c r="I222" i="1"/>
  <c r="I279" i="1"/>
  <c r="I276" i="1"/>
  <c r="I260" i="1"/>
  <c r="I274" i="1"/>
  <c r="I264" i="1"/>
  <c r="I245" i="1"/>
  <c r="I239" i="1"/>
  <c r="I233" i="1"/>
  <c r="I227" i="1"/>
  <c r="I253" i="1"/>
  <c r="I282" i="1"/>
  <c r="I273" i="1"/>
  <c r="I267" i="1"/>
  <c r="I261" i="1"/>
  <c r="I244" i="1"/>
  <c r="I238" i="1"/>
  <c r="I232" i="1"/>
  <c r="I226" i="1"/>
  <c r="I220" i="1"/>
  <c r="I285" i="1"/>
  <c r="I268" i="1"/>
  <c r="I250" i="1"/>
  <c r="I270" i="1"/>
  <c r="I248" i="1"/>
  <c r="I259" i="1"/>
  <c r="I247" i="1"/>
  <c r="I241" i="1"/>
  <c r="I235" i="1"/>
  <c r="I223" i="1"/>
  <c r="I217" i="1"/>
  <c r="I262" i="1"/>
  <c r="I249" i="1"/>
  <c r="I231" i="1"/>
  <c r="I237" i="1"/>
  <c r="I213" i="1"/>
  <c r="I242" i="1"/>
  <c r="I221" i="1"/>
  <c r="I210" i="1"/>
  <c r="I204" i="1"/>
  <c r="I258" i="1"/>
  <c r="I243" i="1"/>
  <c r="I236" i="1"/>
  <c r="I265" i="1"/>
  <c r="I230" i="1"/>
  <c r="I208" i="1"/>
  <c r="I202" i="1"/>
  <c r="I196" i="1"/>
  <c r="I255" i="1"/>
  <c r="I224" i="1"/>
  <c r="I215" i="1"/>
  <c r="I225" i="1"/>
  <c r="I207" i="1"/>
  <c r="I201" i="1"/>
  <c r="I189" i="1"/>
  <c r="I183" i="1"/>
  <c r="I254" i="1"/>
  <c r="I219" i="1"/>
  <c r="I216" i="1"/>
  <c r="I199" i="1"/>
  <c r="I192" i="1"/>
  <c r="I181" i="1"/>
  <c r="I185" i="1"/>
  <c r="I203" i="1"/>
  <c r="I195" i="1" s="1"/>
  <c r="I193" i="1"/>
  <c r="I173" i="1"/>
  <c r="I167" i="1"/>
  <c r="I155" i="1"/>
  <c r="I149" i="1"/>
  <c r="I143" i="1"/>
  <c r="I137" i="1"/>
  <c r="I131" i="1"/>
  <c r="I211" i="1"/>
  <c r="I198" i="1"/>
  <c r="I182" i="1"/>
  <c r="I205" i="1"/>
  <c r="I218" i="1"/>
  <c r="I200" i="1"/>
  <c r="I197" i="1"/>
  <c r="I187" i="1"/>
  <c r="I206" i="1"/>
  <c r="I180" i="1"/>
  <c r="I191" i="1"/>
  <c r="I190" i="1"/>
  <c r="I186" i="1"/>
  <c r="I158" i="1"/>
  <c r="I130" i="1"/>
  <c r="I209" i="1"/>
  <c r="I188" i="1"/>
  <c r="I184" i="1"/>
  <c r="I166" i="1"/>
  <c r="I160" i="1"/>
  <c r="I148" i="1"/>
  <c r="I145" i="1"/>
  <c r="I142" i="1"/>
  <c r="I138" i="1"/>
  <c r="I179" i="1"/>
  <c r="I168" i="1"/>
  <c r="I157" i="1"/>
  <c r="I135" i="1"/>
  <c r="I139" i="1"/>
  <c r="I126" i="1"/>
  <c r="I120" i="1"/>
  <c r="I114" i="1"/>
  <c r="I162" i="1"/>
  <c r="I147" i="1"/>
  <c r="I174" i="1"/>
  <c r="I172" i="1"/>
  <c r="I150" i="1"/>
  <c r="I140" i="1"/>
  <c r="I165" i="1"/>
  <c r="I156" i="1"/>
  <c r="I214" i="1"/>
  <c r="I171" i="1"/>
  <c r="I169" i="1"/>
  <c r="I146" i="1"/>
  <c r="I194" i="1"/>
  <c r="I176" i="1"/>
  <c r="I159" i="1"/>
  <c r="I141" i="1"/>
  <c r="I104" i="1"/>
  <c r="I93" i="1"/>
  <c r="I82" i="1"/>
  <c r="I136" i="1"/>
  <c r="I111" i="1"/>
  <c r="I103" i="1"/>
  <c r="I92" i="1"/>
  <c r="I71" i="1"/>
  <c r="I112" i="1"/>
  <c r="I102" i="1"/>
  <c r="I91" i="1"/>
  <c r="I101" i="1"/>
  <c r="I80" i="1"/>
  <c r="I154" i="1"/>
  <c r="I152" i="1"/>
  <c r="I133" i="1"/>
  <c r="I125" i="1"/>
  <c r="I124" i="1"/>
  <c r="I118" i="1"/>
  <c r="I117" i="1"/>
  <c r="I100" i="1"/>
  <c r="I79" i="1"/>
  <c r="I128" i="1"/>
  <c r="I119" i="1"/>
  <c r="I113" i="1"/>
  <c r="I89" i="1"/>
  <c r="I163" i="1"/>
  <c r="I116" i="1"/>
  <c r="I88" i="1"/>
  <c r="I129" i="1"/>
  <c r="I108" i="1"/>
  <c r="I98" i="1"/>
  <c r="I87" i="1"/>
  <c r="I177" i="1"/>
  <c r="I175" i="1"/>
  <c r="I170" i="1"/>
  <c r="I132" i="1"/>
  <c r="I97" i="1"/>
  <c r="I86" i="1"/>
  <c r="I75" i="1"/>
  <c r="I164" i="1"/>
  <c r="I122" i="1"/>
  <c r="I121" i="1"/>
  <c r="I107" i="1"/>
  <c r="I96" i="1"/>
  <c r="I85" i="1"/>
  <c r="I153" i="1"/>
  <c r="I115" i="1"/>
  <c r="I106" i="1"/>
  <c r="I95" i="1"/>
  <c r="I66" i="1"/>
  <c r="I55" i="1"/>
  <c r="I65" i="1"/>
  <c r="I70" i="1"/>
  <c r="I67" i="1"/>
  <c r="I64" i="1"/>
  <c r="I123" i="1"/>
  <c r="I84" i="1"/>
  <c r="I83" i="1"/>
  <c r="I53" i="1"/>
  <c r="I43" i="1"/>
  <c r="I37" i="1"/>
  <c r="I31" i="1"/>
  <c r="I25" i="1"/>
  <c r="I19" i="1"/>
  <c r="I13" i="1"/>
  <c r="I105" i="1"/>
  <c r="I77" i="1"/>
  <c r="I73" i="1"/>
  <c r="I76" i="1"/>
  <c r="I62" i="1"/>
  <c r="I51" i="1"/>
  <c r="I42" i="1"/>
  <c r="I36" i="1"/>
  <c r="I30" i="1"/>
  <c r="I24" i="1"/>
  <c r="I18" i="1"/>
  <c r="I78" i="1"/>
  <c r="I74" i="1"/>
  <c r="I68" i="1"/>
  <c r="I61" i="1"/>
  <c r="I50" i="1"/>
  <c r="I60" i="1"/>
  <c r="I49" i="1"/>
  <c r="I41" i="1"/>
  <c r="I35" i="1"/>
  <c r="I29" i="1"/>
  <c r="I23" i="1"/>
  <c r="I17" i="1"/>
  <c r="I11" i="1"/>
  <c r="I59" i="1"/>
  <c r="I151" i="1"/>
  <c r="I94" i="1"/>
  <c r="I58" i="1"/>
  <c r="I47" i="1"/>
  <c r="I40" i="1"/>
  <c r="I134" i="1"/>
  <c r="I69" i="1"/>
  <c r="I56" i="1"/>
  <c r="I33" i="1"/>
  <c r="I27" i="1"/>
  <c r="I21" i="1"/>
  <c r="I15" i="1"/>
  <c r="I48" i="1"/>
  <c r="I12" i="1"/>
  <c r="I57" i="1"/>
  <c r="I20" i="1"/>
  <c r="I16" i="1"/>
  <c r="I14" i="1"/>
  <c r="I10" i="1"/>
  <c r="I28" i="1"/>
  <c r="I9" i="1"/>
  <c r="I38" i="1"/>
  <c r="I22" i="1"/>
  <c r="I52" i="1"/>
  <c r="I46" i="1"/>
  <c r="I32" i="1"/>
  <c r="I26" i="1"/>
  <c r="E546" i="1"/>
  <c r="E540" i="1"/>
  <c r="E445" i="1"/>
  <c r="E548" i="1"/>
  <c r="E560" i="1"/>
  <c r="E690" i="1"/>
  <c r="E688" i="1"/>
  <c r="E665" i="1"/>
  <c r="E638" i="1"/>
  <c r="E616" i="1"/>
  <c r="E608" i="1"/>
  <c r="E609" i="1"/>
  <c r="E612" i="1"/>
  <c r="E593" i="1"/>
  <c r="E575" i="1"/>
  <c r="E545" i="1"/>
  <c r="E547" i="1"/>
  <c r="E491" i="1"/>
  <c r="E459" i="1"/>
  <c r="E437" i="1"/>
  <c r="E446" i="1"/>
  <c r="E404" i="1"/>
  <c r="E388" i="1"/>
  <c r="E377" i="1"/>
  <c r="E379" i="1"/>
  <c r="E371" i="1"/>
  <c r="H365" i="1" s="1"/>
  <c r="E329" i="1"/>
  <c r="E322" i="1"/>
  <c r="E326" i="1"/>
  <c r="E307" i="1"/>
  <c r="E317" i="1"/>
  <c r="E306" i="1"/>
  <c r="E264" i="1"/>
  <c r="E253" i="1"/>
  <c r="E236" i="1"/>
  <c r="E188" i="1"/>
  <c r="E191" i="1"/>
  <c r="E186" i="1"/>
  <c r="E179" i="1"/>
  <c r="E178" i="1"/>
  <c r="E193" i="1"/>
  <c r="E183" i="1"/>
  <c r="E182" i="1"/>
  <c r="E165" i="1"/>
  <c r="E133" i="1"/>
  <c r="E187" i="1"/>
  <c r="I654" i="1" l="1"/>
  <c r="H331" i="1"/>
  <c r="I501" i="1"/>
  <c r="E72" i="1"/>
  <c r="E54" i="1"/>
  <c r="E63" i="1"/>
  <c r="E90" i="1"/>
  <c r="E81" i="1"/>
  <c r="I365" i="1"/>
  <c r="H212" i="1"/>
  <c r="I331" i="1"/>
  <c r="H399" i="1"/>
  <c r="I695" i="1"/>
  <c r="H433" i="1"/>
  <c r="H603" i="1"/>
  <c r="I90" i="1"/>
  <c r="H484" i="1"/>
  <c r="H246" i="1"/>
  <c r="I603" i="1"/>
  <c r="I569" i="1"/>
  <c r="H161" i="1"/>
  <c r="I399" i="1"/>
  <c r="I127" i="1"/>
  <c r="E45" i="1"/>
  <c r="H44" i="1" s="1"/>
  <c r="I433" i="1"/>
  <c r="H314" i="1"/>
  <c r="I484" i="1"/>
  <c r="I110" i="1"/>
  <c r="H382" i="1"/>
  <c r="E99" i="1"/>
  <c r="E110" i="1"/>
  <c r="E501" i="1"/>
  <c r="E518" i="1"/>
  <c r="E195" i="1"/>
  <c r="E467" i="1"/>
  <c r="E620" i="1"/>
  <c r="E399" i="1"/>
  <c r="I34" i="1"/>
  <c r="I637" i="1"/>
  <c r="H637" i="1"/>
  <c r="E450" i="1"/>
  <c r="E535" i="1"/>
  <c r="I382" i="1"/>
  <c r="I416" i="1"/>
  <c r="H416" i="1"/>
  <c r="I314" i="1"/>
  <c r="E263" i="1"/>
  <c r="I178" i="1"/>
  <c r="H178" i="1"/>
  <c r="E314" i="1"/>
  <c r="E382" i="1"/>
  <c r="I586" i="1"/>
  <c r="H586" i="1"/>
  <c r="I212" i="1"/>
  <c r="E144" i="1"/>
  <c r="I518" i="1"/>
  <c r="H689" i="1"/>
  <c r="I689" i="1"/>
  <c r="I99" i="1"/>
  <c r="I45" i="1"/>
  <c r="I63" i="1"/>
  <c r="D8" i="1"/>
  <c r="H127" i="1"/>
  <c r="I552" i="1"/>
  <c r="H552" i="1"/>
  <c r="I246" i="1"/>
  <c r="H39" i="1"/>
  <c r="I39" i="1"/>
  <c r="I297" i="1"/>
  <c r="H297" i="1"/>
  <c r="L4" i="1"/>
  <c r="K6" i="1"/>
  <c r="H144" i="1"/>
  <c r="I144" i="1"/>
  <c r="I535" i="1"/>
  <c r="H535" i="1"/>
  <c r="I72" i="1"/>
  <c r="E127" i="1"/>
  <c r="E348" i="1"/>
  <c r="H450" i="1"/>
  <c r="I450" i="1"/>
  <c r="E280" i="1"/>
  <c r="E569" i="1"/>
  <c r="E229" i="1"/>
  <c r="J702" i="1"/>
  <c r="J694" i="1"/>
  <c r="J690" i="1"/>
  <c r="J691" i="1"/>
  <c r="J688" i="1"/>
  <c r="J687" i="1"/>
  <c r="J698" i="1"/>
  <c r="J692" i="1"/>
  <c r="J699" i="1"/>
  <c r="J703" i="1"/>
  <c r="J684" i="1"/>
  <c r="J696" i="1"/>
  <c r="J695" i="1" s="1"/>
  <c r="J701" i="1"/>
  <c r="J700" i="1"/>
  <c r="J686" i="1"/>
  <c r="J682" i="1"/>
  <c r="J677" i="1"/>
  <c r="J676" i="1"/>
  <c r="J693" i="1"/>
  <c r="J680" i="1"/>
  <c r="J679" i="1"/>
  <c r="J678" i="1"/>
  <c r="J697" i="1"/>
  <c r="J683" i="1"/>
  <c r="J681" i="1"/>
  <c r="J673" i="1"/>
  <c r="J667" i="1"/>
  <c r="J666" i="1"/>
  <c r="J674" i="1"/>
  <c r="J668" i="1"/>
  <c r="J670" i="1"/>
  <c r="J659" i="1"/>
  <c r="J662" i="1"/>
  <c r="J664" i="1"/>
  <c r="J672" i="1"/>
  <c r="J685" i="1"/>
  <c r="J675" i="1"/>
  <c r="J669" i="1"/>
  <c r="J665" i="1"/>
  <c r="J652" i="1"/>
  <c r="J657" i="1"/>
  <c r="J645" i="1"/>
  <c r="J661" i="1"/>
  <c r="J658" i="1"/>
  <c r="J663" i="1"/>
  <c r="J651" i="1"/>
  <c r="J655" i="1"/>
  <c r="J644" i="1"/>
  <c r="J640" i="1"/>
  <c r="J633" i="1"/>
  <c r="J629" i="1"/>
  <c r="J660" i="1"/>
  <c r="J648" i="1"/>
  <c r="J656" i="1"/>
  <c r="J646" i="1"/>
  <c r="J650" i="1"/>
  <c r="J641" i="1"/>
  <c r="J653" i="1"/>
  <c r="J649" i="1"/>
  <c r="J647" i="1"/>
  <c r="J642" i="1"/>
  <c r="J632" i="1"/>
  <c r="J628" i="1"/>
  <c r="J627" i="1"/>
  <c r="J638" i="1"/>
  <c r="J626" i="1"/>
  <c r="J621" i="1"/>
  <c r="J639" i="1"/>
  <c r="J643" i="1"/>
  <c r="J634" i="1"/>
  <c r="J624" i="1"/>
  <c r="J631" i="1"/>
  <c r="J619" i="1"/>
  <c r="J630" i="1"/>
  <c r="J622" i="1"/>
  <c r="J636" i="1"/>
  <c r="J618" i="1"/>
  <c r="J616" i="1"/>
  <c r="J615" i="1"/>
  <c r="J614" i="1"/>
  <c r="J625" i="1"/>
  <c r="J607" i="1"/>
  <c r="J635" i="1"/>
  <c r="J612" i="1"/>
  <c r="J610" i="1"/>
  <c r="J609" i="1"/>
  <c r="J613" i="1"/>
  <c r="J623" i="1"/>
  <c r="J611" i="1"/>
  <c r="J604" i="1"/>
  <c r="J617" i="1"/>
  <c r="J599" i="1"/>
  <c r="J600" i="1"/>
  <c r="J596" i="1"/>
  <c r="J585" i="1"/>
  <c r="J608" i="1"/>
  <c r="J602" i="1"/>
  <c r="J601" i="1"/>
  <c r="J591" i="1"/>
  <c r="J597" i="1"/>
  <c r="J595" i="1"/>
  <c r="J584" i="1"/>
  <c r="J581" i="1"/>
  <c r="J598" i="1"/>
  <c r="J605" i="1"/>
  <c r="J592" i="1"/>
  <c r="J589" i="1"/>
  <c r="J588" i="1"/>
  <c r="J606" i="1"/>
  <c r="J590" i="1"/>
  <c r="J582" i="1"/>
  <c r="J580" i="1"/>
  <c r="J594" i="1"/>
  <c r="J573" i="1"/>
  <c r="J583" i="1"/>
  <c r="J576" i="1"/>
  <c r="J587" i="1"/>
  <c r="J593" i="1"/>
  <c r="J579" i="1"/>
  <c r="J560" i="1"/>
  <c r="J550" i="1"/>
  <c r="J544" i="1"/>
  <c r="J572" i="1"/>
  <c r="J568" i="1"/>
  <c r="J557" i="1"/>
  <c r="J553" i="1"/>
  <c r="J577" i="1"/>
  <c r="J561" i="1"/>
  <c r="J578" i="1"/>
  <c r="J571" i="1"/>
  <c r="J554" i="1"/>
  <c r="J562" i="1"/>
  <c r="J558" i="1"/>
  <c r="J574" i="1"/>
  <c r="J570" i="1"/>
  <c r="J559" i="1"/>
  <c r="J567" i="1"/>
  <c r="J575" i="1"/>
  <c r="J542" i="1"/>
  <c r="J540" i="1"/>
  <c r="J543" i="1"/>
  <c r="J547" i="1"/>
  <c r="J545" i="1"/>
  <c r="J555" i="1"/>
  <c r="J566" i="1"/>
  <c r="J565" i="1"/>
  <c r="J564" i="1"/>
  <c r="J556" i="1"/>
  <c r="J563" i="1"/>
  <c r="J548" i="1"/>
  <c r="J541" i="1"/>
  <c r="J549" i="1"/>
  <c r="J530" i="1"/>
  <c r="J527" i="1"/>
  <c r="J523" i="1"/>
  <c r="J508" i="1"/>
  <c r="J533" i="1"/>
  <c r="J531" i="1"/>
  <c r="J539" i="1"/>
  <c r="J536" i="1"/>
  <c r="J535" i="1" s="1"/>
  <c r="J520" i="1"/>
  <c r="J537" i="1"/>
  <c r="J528" i="1"/>
  <c r="J524" i="1"/>
  <c r="J532" i="1"/>
  <c r="J551" i="1"/>
  <c r="J546" i="1"/>
  <c r="J525" i="1"/>
  <c r="J529" i="1"/>
  <c r="J538" i="1"/>
  <c r="J522" i="1"/>
  <c r="J534" i="1"/>
  <c r="J526" i="1"/>
  <c r="J507" i="1"/>
  <c r="J515" i="1"/>
  <c r="J493" i="1"/>
  <c r="J497" i="1"/>
  <c r="J513" i="1"/>
  <c r="J519" i="1"/>
  <c r="J505" i="1"/>
  <c r="J504" i="1"/>
  <c r="J494" i="1"/>
  <c r="J511" i="1"/>
  <c r="J509" i="1"/>
  <c r="J506" i="1"/>
  <c r="J498" i="1"/>
  <c r="J516" i="1"/>
  <c r="J487" i="1"/>
  <c r="J499" i="1"/>
  <c r="J514" i="1"/>
  <c r="J512" i="1"/>
  <c r="J521" i="1"/>
  <c r="J510" i="1"/>
  <c r="J500" i="1"/>
  <c r="J517" i="1"/>
  <c r="J486" i="1"/>
  <c r="J481" i="1"/>
  <c r="J491" i="1"/>
  <c r="J502" i="1"/>
  <c r="J489" i="1"/>
  <c r="J485" i="1"/>
  <c r="J482" i="1"/>
  <c r="J496" i="1"/>
  <c r="J490" i="1"/>
  <c r="J503" i="1"/>
  <c r="J480" i="1"/>
  <c r="J470" i="1"/>
  <c r="J461" i="1"/>
  <c r="J455" i="1"/>
  <c r="J473" i="1"/>
  <c r="J476" i="1"/>
  <c r="J464" i="1"/>
  <c r="J460" i="1"/>
  <c r="J454" i="1"/>
  <c r="J448" i="1"/>
  <c r="J469" i="1"/>
  <c r="J477" i="1"/>
  <c r="J459" i="1"/>
  <c r="J495" i="1"/>
  <c r="J475" i="1"/>
  <c r="J472" i="1"/>
  <c r="J465" i="1"/>
  <c r="J458" i="1"/>
  <c r="J483" i="1"/>
  <c r="J478" i="1"/>
  <c r="J468" i="1"/>
  <c r="J479" i="1"/>
  <c r="J492" i="1"/>
  <c r="J474" i="1"/>
  <c r="J471" i="1"/>
  <c r="J466" i="1"/>
  <c r="J488" i="1"/>
  <c r="J462" i="1"/>
  <c r="J445" i="1"/>
  <c r="J440" i="1"/>
  <c r="J447" i="1"/>
  <c r="J441" i="1"/>
  <c r="J427" i="1"/>
  <c r="J411" i="1"/>
  <c r="J405" i="1"/>
  <c r="J457" i="1"/>
  <c r="J430" i="1"/>
  <c r="J424" i="1"/>
  <c r="J420" i="1"/>
  <c r="J453" i="1"/>
  <c r="J442" i="1"/>
  <c r="J434" i="1"/>
  <c r="J452" i="1"/>
  <c r="J451" i="1"/>
  <c r="J449" i="1"/>
  <c r="J435" i="1"/>
  <c r="J417" i="1"/>
  <c r="J463" i="1"/>
  <c r="J443" i="1"/>
  <c r="J426" i="1"/>
  <c r="J421" i="1"/>
  <c r="J446" i="1"/>
  <c r="J432" i="1"/>
  <c r="J437" i="1"/>
  <c r="J422" i="1"/>
  <c r="J438" i="1"/>
  <c r="J425" i="1"/>
  <c r="J439" i="1"/>
  <c r="J428" i="1"/>
  <c r="J431" i="1"/>
  <c r="J423" i="1"/>
  <c r="J419" i="1"/>
  <c r="J429" i="1"/>
  <c r="J398" i="1"/>
  <c r="J444" i="1"/>
  <c r="J392" i="1"/>
  <c r="J456" i="1"/>
  <c r="J403" i="1"/>
  <c r="J395" i="1"/>
  <c r="J436" i="1"/>
  <c r="J406" i="1"/>
  <c r="J418" i="1"/>
  <c r="J412" i="1"/>
  <c r="J390" i="1"/>
  <c r="J415" i="1"/>
  <c r="J413" i="1"/>
  <c r="J409" i="1"/>
  <c r="J402" i="1"/>
  <c r="J400" i="1"/>
  <c r="J396" i="1"/>
  <c r="J408" i="1"/>
  <c r="J389" i="1"/>
  <c r="J410" i="1"/>
  <c r="J401" i="1"/>
  <c r="J414" i="1"/>
  <c r="J407" i="1"/>
  <c r="J377" i="1"/>
  <c r="J366" i="1"/>
  <c r="J393" i="1"/>
  <c r="J378" i="1"/>
  <c r="J388" i="1"/>
  <c r="J383" i="1"/>
  <c r="J387" i="1"/>
  <c r="J386" i="1"/>
  <c r="J385" i="1"/>
  <c r="J379" i="1"/>
  <c r="J371" i="1"/>
  <c r="J363" i="1"/>
  <c r="J372" i="1"/>
  <c r="J367" i="1"/>
  <c r="J361" i="1"/>
  <c r="J391" i="1"/>
  <c r="J381" i="1"/>
  <c r="J373" i="1"/>
  <c r="J364" i="1"/>
  <c r="J394" i="1"/>
  <c r="J384" i="1"/>
  <c r="J374" i="1"/>
  <c r="J359" i="1"/>
  <c r="J375" i="1"/>
  <c r="J404" i="1"/>
  <c r="J397" i="1"/>
  <c r="J376" i="1"/>
  <c r="J369" i="1"/>
  <c r="J356" i="1"/>
  <c r="J346" i="1"/>
  <c r="J327" i="1"/>
  <c r="J350" i="1"/>
  <c r="J335" i="1"/>
  <c r="J318" i="1"/>
  <c r="J352" i="1"/>
  <c r="J343" i="1"/>
  <c r="J339" i="1"/>
  <c r="J324" i="1"/>
  <c r="J353" i="1"/>
  <c r="J347" i="1"/>
  <c r="J328" i="1"/>
  <c r="J354" i="1"/>
  <c r="J351" i="1"/>
  <c r="J348" i="1" s="1"/>
  <c r="J336" i="1"/>
  <c r="J332" i="1"/>
  <c r="J355" i="1"/>
  <c r="J340" i="1"/>
  <c r="J325" i="1"/>
  <c r="J316" i="1"/>
  <c r="J344" i="1"/>
  <c r="J329" i="1"/>
  <c r="J358" i="1"/>
  <c r="J357" i="1"/>
  <c r="J337" i="1"/>
  <c r="J333" i="1"/>
  <c r="J321" i="1"/>
  <c r="J368" i="1"/>
  <c r="J362" i="1"/>
  <c r="J341" i="1"/>
  <c r="J322" i="1"/>
  <c r="J349" i="1"/>
  <c r="J345" i="1"/>
  <c r="J380" i="1"/>
  <c r="J334" i="1"/>
  <c r="J312" i="1"/>
  <c r="J311" i="1"/>
  <c r="J310" i="1"/>
  <c r="J309" i="1"/>
  <c r="J290" i="1"/>
  <c r="J284" i="1"/>
  <c r="J278" i="1"/>
  <c r="J272" i="1"/>
  <c r="J370" i="1"/>
  <c r="J342" i="1"/>
  <c r="J330" i="1"/>
  <c r="J308" i="1"/>
  <c r="J307" i="1"/>
  <c r="J323" i="1"/>
  <c r="J303" i="1"/>
  <c r="J301" i="1"/>
  <c r="J338" i="1"/>
  <c r="J294" i="1"/>
  <c r="J288" i="1"/>
  <c r="J282" i="1"/>
  <c r="J276" i="1"/>
  <c r="J270" i="1"/>
  <c r="J313" i="1"/>
  <c r="J304" i="1"/>
  <c r="J360" i="1"/>
  <c r="J305" i="1"/>
  <c r="J300" i="1"/>
  <c r="J295" i="1"/>
  <c r="J293" i="1"/>
  <c r="J287" i="1"/>
  <c r="J326" i="1"/>
  <c r="J317" i="1"/>
  <c r="J306" i="1"/>
  <c r="J292" i="1"/>
  <c r="J320" i="1"/>
  <c r="J319" i="1"/>
  <c r="J296" i="1"/>
  <c r="J299" i="1"/>
  <c r="J291" i="1"/>
  <c r="J285" i="1"/>
  <c r="J286" i="1"/>
  <c r="J279" i="1"/>
  <c r="J260" i="1"/>
  <c r="J277" i="1"/>
  <c r="J275" i="1"/>
  <c r="J274" i="1"/>
  <c r="J264" i="1"/>
  <c r="J245" i="1"/>
  <c r="J239" i="1"/>
  <c r="J253" i="1"/>
  <c r="J273" i="1"/>
  <c r="J267" i="1"/>
  <c r="J261" i="1"/>
  <c r="J257" i="1"/>
  <c r="J244" i="1"/>
  <c r="J238" i="1"/>
  <c r="J315" i="1"/>
  <c r="J271" i="1"/>
  <c r="J268" i="1"/>
  <c r="J250" i="1"/>
  <c r="J298" i="1"/>
  <c r="J266" i="1"/>
  <c r="J254" i="1"/>
  <c r="J249" i="1"/>
  <c r="J243" i="1"/>
  <c r="J237" i="1"/>
  <c r="J262" i="1"/>
  <c r="J258" i="1"/>
  <c r="J302" i="1"/>
  <c r="J289" i="1"/>
  <c r="J265" i="1"/>
  <c r="J255" i="1"/>
  <c r="J251" i="1"/>
  <c r="J283" i="1"/>
  <c r="J281" i="1"/>
  <c r="J269" i="1"/>
  <c r="J256" i="1"/>
  <c r="J252" i="1"/>
  <c r="J231" i="1"/>
  <c r="J242" i="1"/>
  <c r="J234" i="1"/>
  <c r="J233" i="1"/>
  <c r="J221" i="1"/>
  <c r="J210" i="1"/>
  <c r="J204" i="1"/>
  <c r="J226" i="1"/>
  <c r="J248" i="1"/>
  <c r="J241" i="1"/>
  <c r="J228" i="1"/>
  <c r="J230" i="1"/>
  <c r="J223" i="1"/>
  <c r="J208" i="1"/>
  <c r="J259" i="1"/>
  <c r="J235" i="1"/>
  <c r="J232" i="1"/>
  <c r="J229" i="1" s="1"/>
  <c r="J224" i="1"/>
  <c r="J215" i="1"/>
  <c r="J240" i="1"/>
  <c r="J225" i="1"/>
  <c r="J207" i="1"/>
  <c r="J217" i="1"/>
  <c r="J247" i="1"/>
  <c r="J227" i="1"/>
  <c r="J218" i="1"/>
  <c r="J216" i="1"/>
  <c r="J236" i="1"/>
  <c r="J181" i="1"/>
  <c r="J174" i="1"/>
  <c r="J168" i="1"/>
  <c r="J162" i="1"/>
  <c r="J185" i="1"/>
  <c r="J203" i="1"/>
  <c r="J193" i="1"/>
  <c r="J189" i="1"/>
  <c r="J173" i="1"/>
  <c r="J167" i="1"/>
  <c r="J155" i="1"/>
  <c r="J149" i="1"/>
  <c r="J211" i="1"/>
  <c r="J198" i="1"/>
  <c r="J182" i="1"/>
  <c r="J213" i="1"/>
  <c r="J205" i="1"/>
  <c r="J186" i="1"/>
  <c r="J220" i="1"/>
  <c r="J191" i="1"/>
  <c r="J176" i="1"/>
  <c r="J170" i="1"/>
  <c r="J214" i="1"/>
  <c r="J188" i="1"/>
  <c r="J184" i="1"/>
  <c r="J175" i="1"/>
  <c r="J219" i="1"/>
  <c r="J209" i="1"/>
  <c r="J206" i="1"/>
  <c r="J202" i="1"/>
  <c r="J159" i="1"/>
  <c r="J134" i="1"/>
  <c r="J122" i="1"/>
  <c r="J116" i="1"/>
  <c r="J187" i="1"/>
  <c r="J166" i="1"/>
  <c r="J160" i="1"/>
  <c r="J183" i="1"/>
  <c r="J154" i="1"/>
  <c r="J151" i="1"/>
  <c r="J201" i="1"/>
  <c r="J196" i="1"/>
  <c r="J139" i="1"/>
  <c r="J126" i="1"/>
  <c r="J120" i="1"/>
  <c r="J197" i="1"/>
  <c r="J147" i="1"/>
  <c r="J143" i="1"/>
  <c r="J128" i="1"/>
  <c r="J177" i="1"/>
  <c r="J164" i="1"/>
  <c r="J163" i="1"/>
  <c r="J153" i="1"/>
  <c r="J136" i="1"/>
  <c r="J132" i="1"/>
  <c r="J165" i="1"/>
  <c r="J156" i="1"/>
  <c r="J129" i="1"/>
  <c r="J124" i="1"/>
  <c r="J222" i="1"/>
  <c r="J199" i="1"/>
  <c r="J171" i="1"/>
  <c r="J169" i="1"/>
  <c r="J194" i="1"/>
  <c r="J152" i="1"/>
  <c r="J141" i="1"/>
  <c r="J137" i="1"/>
  <c r="J200" i="1"/>
  <c r="J192" i="1"/>
  <c r="J190" i="1"/>
  <c r="J140" i="1"/>
  <c r="J111" i="1"/>
  <c r="J103" i="1"/>
  <c r="J92" i="1"/>
  <c r="J146" i="1"/>
  <c r="J138" i="1"/>
  <c r="J131" i="1"/>
  <c r="J114" i="1"/>
  <c r="J112" i="1"/>
  <c r="J102" i="1"/>
  <c r="J91" i="1"/>
  <c r="J70" i="1"/>
  <c r="J101" i="1"/>
  <c r="J80" i="1"/>
  <c r="J133" i="1"/>
  <c r="J125" i="1"/>
  <c r="J118" i="1"/>
  <c r="J117" i="1"/>
  <c r="J100" i="1"/>
  <c r="J79" i="1"/>
  <c r="J158" i="1"/>
  <c r="J119" i="1"/>
  <c r="J113" i="1"/>
  <c r="J89" i="1"/>
  <c r="J78" i="1"/>
  <c r="J180" i="1"/>
  <c r="J172" i="1"/>
  <c r="J150" i="1"/>
  <c r="J148" i="1"/>
  <c r="J88" i="1"/>
  <c r="J135" i="1"/>
  <c r="J108" i="1"/>
  <c r="J98" i="1"/>
  <c r="J87" i="1"/>
  <c r="J97" i="1"/>
  <c r="J86" i="1"/>
  <c r="J121" i="1"/>
  <c r="J107" i="1"/>
  <c r="J96" i="1"/>
  <c r="J85" i="1"/>
  <c r="J74" i="1"/>
  <c r="J115" i="1"/>
  <c r="J106" i="1"/>
  <c r="J95" i="1"/>
  <c r="J84" i="1"/>
  <c r="J179" i="1"/>
  <c r="J157" i="1"/>
  <c r="J130" i="1"/>
  <c r="J123" i="1"/>
  <c r="J105" i="1"/>
  <c r="J94" i="1"/>
  <c r="J65" i="1"/>
  <c r="J38" i="1"/>
  <c r="J32" i="1"/>
  <c r="J26" i="1"/>
  <c r="J20" i="1"/>
  <c r="J14" i="1"/>
  <c r="J145" i="1"/>
  <c r="J67" i="1"/>
  <c r="J64" i="1"/>
  <c r="J83" i="1"/>
  <c r="J53" i="1"/>
  <c r="J43" i="1"/>
  <c r="J37" i="1"/>
  <c r="J31" i="1"/>
  <c r="J25" i="1"/>
  <c r="J19" i="1"/>
  <c r="J13" i="1"/>
  <c r="J93" i="1"/>
  <c r="J77" i="1"/>
  <c r="J73" i="1"/>
  <c r="J52" i="1"/>
  <c r="J76" i="1"/>
  <c r="J68" i="1"/>
  <c r="J61" i="1"/>
  <c r="J50" i="1"/>
  <c r="J71" i="1"/>
  <c r="J60" i="1"/>
  <c r="J49" i="1"/>
  <c r="J41" i="1"/>
  <c r="J35" i="1"/>
  <c r="J29" i="1"/>
  <c r="J23" i="1"/>
  <c r="J82" i="1"/>
  <c r="J59" i="1"/>
  <c r="J48" i="1"/>
  <c r="J58" i="1"/>
  <c r="J142" i="1"/>
  <c r="J69" i="1"/>
  <c r="J57" i="1"/>
  <c r="J46" i="1"/>
  <c r="J104" i="1"/>
  <c r="J75" i="1"/>
  <c r="J66" i="1"/>
  <c r="J55" i="1"/>
  <c r="J56" i="1"/>
  <c r="J51" i="1"/>
  <c r="J42" i="1"/>
  <c r="J40" i="1"/>
  <c r="J39" i="1" s="1"/>
  <c r="J16" i="1"/>
  <c r="J11" i="1"/>
  <c r="J9" i="1"/>
  <c r="J12" i="1"/>
  <c r="J36" i="1"/>
  <c r="J30" i="1"/>
  <c r="J15" i="1"/>
  <c r="J47" i="1"/>
  <c r="J24" i="1"/>
  <c r="J28" i="1"/>
  <c r="J17" i="1"/>
  <c r="J33" i="1"/>
  <c r="J22" i="1"/>
  <c r="J27" i="1"/>
  <c r="J62" i="1"/>
  <c r="J18" i="1"/>
  <c r="J21" i="1"/>
  <c r="J10" i="1"/>
  <c r="E365" i="1"/>
  <c r="I263" i="1"/>
  <c r="H263" i="1"/>
  <c r="E212" i="1"/>
  <c r="E246" i="1"/>
  <c r="I161" i="1"/>
  <c r="I280" i="1"/>
  <c r="H280" i="1"/>
  <c r="E297" i="1"/>
  <c r="E484" i="1"/>
  <c r="E603" i="1"/>
  <c r="I54" i="1"/>
  <c r="I671" i="1"/>
  <c r="H671" i="1"/>
  <c r="I348" i="1"/>
  <c r="H348" i="1"/>
  <c r="E161" i="1"/>
  <c r="E671" i="1"/>
  <c r="E637" i="1"/>
  <c r="I81" i="1"/>
  <c r="I620" i="1"/>
  <c r="I229" i="1"/>
  <c r="H229" i="1"/>
  <c r="E433" i="1"/>
  <c r="I467" i="1"/>
  <c r="J450" i="1" l="1"/>
  <c r="J552" i="1"/>
  <c r="J110" i="1"/>
  <c r="J689" i="1"/>
  <c r="J365" i="1"/>
  <c r="J280" i="1"/>
  <c r="J263" i="1"/>
  <c r="J34" i="1"/>
  <c r="J331" i="1"/>
  <c r="J416" i="1"/>
  <c r="J195" i="1"/>
  <c r="J518" i="1"/>
  <c r="J654" i="1"/>
  <c r="J45" i="1"/>
  <c r="J99" i="1"/>
  <c r="J467" i="1"/>
  <c r="J212" i="1"/>
  <c r="J161" i="1"/>
  <c r="J382" i="1"/>
  <c r="J484" i="1"/>
  <c r="J399" i="1"/>
  <c r="K701" i="1"/>
  <c r="K700" i="1"/>
  <c r="K683" i="1"/>
  <c r="K698" i="1"/>
  <c r="K692" i="1"/>
  <c r="K697" i="1"/>
  <c r="K699" i="1"/>
  <c r="K703" i="1"/>
  <c r="K696" i="1"/>
  <c r="K686" i="1"/>
  <c r="K688" i="1"/>
  <c r="K702" i="1"/>
  <c r="K690" i="1"/>
  <c r="K693" i="1"/>
  <c r="K678" i="1"/>
  <c r="K694" i="1"/>
  <c r="K685" i="1"/>
  <c r="K687" i="1"/>
  <c r="K670" i="1"/>
  <c r="K664" i="1"/>
  <c r="K658" i="1"/>
  <c r="K680" i="1"/>
  <c r="K674" i="1"/>
  <c r="K669" i="1"/>
  <c r="K663" i="1"/>
  <c r="K657" i="1"/>
  <c r="K679" i="1"/>
  <c r="K681" i="1"/>
  <c r="K672" i="1"/>
  <c r="K691" i="1"/>
  <c r="K673" i="1"/>
  <c r="K667" i="1"/>
  <c r="K666" i="1"/>
  <c r="K677" i="1"/>
  <c r="K668" i="1"/>
  <c r="K682" i="1"/>
  <c r="K684" i="1"/>
  <c r="K676" i="1"/>
  <c r="K662" i="1"/>
  <c r="K655" i="1"/>
  <c r="K652" i="1"/>
  <c r="K665" i="1"/>
  <c r="K675" i="1"/>
  <c r="K645" i="1"/>
  <c r="K639" i="1"/>
  <c r="K633" i="1"/>
  <c r="K661" i="1"/>
  <c r="K651" i="1"/>
  <c r="K656" i="1"/>
  <c r="K649" i="1"/>
  <c r="K643" i="1"/>
  <c r="K659" i="1"/>
  <c r="K660" i="1"/>
  <c r="K646" i="1"/>
  <c r="K631" i="1"/>
  <c r="K653" i="1"/>
  <c r="K647" i="1"/>
  <c r="K642" i="1"/>
  <c r="K632" i="1"/>
  <c r="K628" i="1"/>
  <c r="K627" i="1"/>
  <c r="K621" i="1"/>
  <c r="K636" i="1"/>
  <c r="K630" i="1"/>
  <c r="K612" i="1"/>
  <c r="K644" i="1"/>
  <c r="K640" i="1"/>
  <c r="K629" i="1"/>
  <c r="K624" i="1"/>
  <c r="K618" i="1"/>
  <c r="K617" i="1"/>
  <c r="K611" i="1"/>
  <c r="K650" i="1"/>
  <c r="K641" i="1"/>
  <c r="K638" i="1"/>
  <c r="K648" i="1"/>
  <c r="K623" i="1"/>
  <c r="K635" i="1"/>
  <c r="K625" i="1"/>
  <c r="K619" i="1"/>
  <c r="K616" i="1"/>
  <c r="K615" i="1"/>
  <c r="K614" i="1"/>
  <c r="K607" i="1"/>
  <c r="K610" i="1"/>
  <c r="K622" i="1"/>
  <c r="K626" i="1"/>
  <c r="K634" i="1"/>
  <c r="K613" i="1"/>
  <c r="K597" i="1"/>
  <c r="K604" i="1"/>
  <c r="K608" i="1"/>
  <c r="K600" i="1"/>
  <c r="K594" i="1"/>
  <c r="K588" i="1"/>
  <c r="K582" i="1"/>
  <c r="K596" i="1"/>
  <c r="K593" i="1"/>
  <c r="K589" i="1"/>
  <c r="K602" i="1"/>
  <c r="K601" i="1"/>
  <c r="K606" i="1"/>
  <c r="K609" i="1"/>
  <c r="K591" i="1"/>
  <c r="K595" i="1"/>
  <c r="K581" i="1"/>
  <c r="K575" i="1"/>
  <c r="K563" i="1"/>
  <c r="K557" i="1"/>
  <c r="K598" i="1"/>
  <c r="K605" i="1"/>
  <c r="K599" i="1"/>
  <c r="K590" i="1"/>
  <c r="K585" i="1"/>
  <c r="K578" i="1"/>
  <c r="K572" i="1"/>
  <c r="K566" i="1"/>
  <c r="K583" i="1"/>
  <c r="K574" i="1"/>
  <c r="K592" i="1"/>
  <c r="K576" i="1"/>
  <c r="K584" i="1"/>
  <c r="K568" i="1"/>
  <c r="K553" i="1"/>
  <c r="K577" i="1"/>
  <c r="K561" i="1"/>
  <c r="K549" i="1"/>
  <c r="K543" i="1"/>
  <c r="K573" i="1"/>
  <c r="K571" i="1"/>
  <c r="K554" i="1"/>
  <c r="K548" i="1"/>
  <c r="K542" i="1"/>
  <c r="K562" i="1"/>
  <c r="K558" i="1"/>
  <c r="K579" i="1"/>
  <c r="K547" i="1"/>
  <c r="K587" i="1"/>
  <c r="K567" i="1"/>
  <c r="K580" i="1"/>
  <c r="K570" i="1"/>
  <c r="K550" i="1"/>
  <c r="K540" i="1"/>
  <c r="K534" i="1"/>
  <c r="K528" i="1"/>
  <c r="K522" i="1"/>
  <c r="K516" i="1"/>
  <c r="K510" i="1"/>
  <c r="K504" i="1"/>
  <c r="K560" i="1"/>
  <c r="K545" i="1"/>
  <c r="K555" i="1"/>
  <c r="K551" i="1"/>
  <c r="K537" i="1"/>
  <c r="K565" i="1"/>
  <c r="K564" i="1"/>
  <c r="K559" i="1"/>
  <c r="K519" i="1"/>
  <c r="K527" i="1"/>
  <c r="K544" i="1"/>
  <c r="K533" i="1"/>
  <c r="K531" i="1"/>
  <c r="K512" i="1"/>
  <c r="K556" i="1"/>
  <c r="K539" i="1"/>
  <c r="K536" i="1"/>
  <c r="K524" i="1"/>
  <c r="K509" i="1"/>
  <c r="K505" i="1"/>
  <c r="K496" i="1"/>
  <c r="K490" i="1"/>
  <c r="K478" i="1"/>
  <c r="K532" i="1"/>
  <c r="K546" i="1"/>
  <c r="K529" i="1"/>
  <c r="K538" i="1"/>
  <c r="K526" i="1"/>
  <c r="K541" i="1"/>
  <c r="K530" i="1"/>
  <c r="K515" i="1"/>
  <c r="K511" i="1"/>
  <c r="K497" i="1"/>
  <c r="K513" i="1"/>
  <c r="K503" i="1"/>
  <c r="K525" i="1"/>
  <c r="K506" i="1"/>
  <c r="K498" i="1"/>
  <c r="K483" i="1"/>
  <c r="K502" i="1"/>
  <c r="K495" i="1"/>
  <c r="K491" i="1"/>
  <c r="K507" i="1"/>
  <c r="K514" i="1"/>
  <c r="K523" i="1"/>
  <c r="K521" i="1"/>
  <c r="K500" i="1"/>
  <c r="K520" i="1"/>
  <c r="K517" i="1"/>
  <c r="K508" i="1"/>
  <c r="K493" i="1"/>
  <c r="K481" i="1"/>
  <c r="K499" i="1"/>
  <c r="K489" i="1"/>
  <c r="K485" i="1"/>
  <c r="K476" i="1"/>
  <c r="K470" i="1"/>
  <c r="K464" i="1"/>
  <c r="K492" i="1"/>
  <c r="K479" i="1"/>
  <c r="K475" i="1"/>
  <c r="K469" i="1"/>
  <c r="K480" i="1"/>
  <c r="K494" i="1"/>
  <c r="K488" i="1"/>
  <c r="K487" i="1"/>
  <c r="K473" i="1"/>
  <c r="K460" i="1"/>
  <c r="K454" i="1"/>
  <c r="K448" i="1"/>
  <c r="K442" i="1"/>
  <c r="K436" i="1"/>
  <c r="K430" i="1"/>
  <c r="K424" i="1"/>
  <c r="K418" i="1"/>
  <c r="K486" i="1"/>
  <c r="K477" i="1"/>
  <c r="K459" i="1"/>
  <c r="K453" i="1"/>
  <c r="K447" i="1"/>
  <c r="K441" i="1"/>
  <c r="K435" i="1"/>
  <c r="K472" i="1"/>
  <c r="K482" i="1"/>
  <c r="K465" i="1"/>
  <c r="K458" i="1"/>
  <c r="K468" i="1"/>
  <c r="K457" i="1"/>
  <c r="K451" i="1"/>
  <c r="K445" i="1"/>
  <c r="K439" i="1"/>
  <c r="K427" i="1"/>
  <c r="K474" i="1"/>
  <c r="K471" i="1"/>
  <c r="K466" i="1"/>
  <c r="K463" i="1"/>
  <c r="K420" i="1"/>
  <c r="K434" i="1"/>
  <c r="K462" i="1"/>
  <c r="K461" i="1"/>
  <c r="K452" i="1"/>
  <c r="K449" i="1"/>
  <c r="K417" i="1"/>
  <c r="K443" i="1"/>
  <c r="K426" i="1"/>
  <c r="K421" i="1"/>
  <c r="K409" i="1"/>
  <c r="K456" i="1"/>
  <c r="K444" i="1"/>
  <c r="K429" i="1"/>
  <c r="K437" i="1"/>
  <c r="K438" i="1"/>
  <c r="K425" i="1"/>
  <c r="K413" i="1"/>
  <c r="K407" i="1"/>
  <c r="K401" i="1"/>
  <c r="K395" i="1"/>
  <c r="K455" i="1"/>
  <c r="K428" i="1"/>
  <c r="K431" i="1"/>
  <c r="K423" i="1"/>
  <c r="K419" i="1"/>
  <c r="K440" i="1"/>
  <c r="K392" i="1"/>
  <c r="K386" i="1"/>
  <c r="K403" i="1"/>
  <c r="K406" i="1"/>
  <c r="K391" i="1"/>
  <c r="K385" i="1"/>
  <c r="K379" i="1"/>
  <c r="K373" i="1"/>
  <c r="K412" i="1"/>
  <c r="K446" i="1"/>
  <c r="K390" i="1"/>
  <c r="K384" i="1"/>
  <c r="K378" i="1"/>
  <c r="K372" i="1"/>
  <c r="K366" i="1"/>
  <c r="K415" i="1"/>
  <c r="K402" i="1"/>
  <c r="K400" i="1"/>
  <c r="K396" i="1"/>
  <c r="K408" i="1"/>
  <c r="K405" i="1"/>
  <c r="K410" i="1"/>
  <c r="K397" i="1"/>
  <c r="K388" i="1"/>
  <c r="K376" i="1"/>
  <c r="K432" i="1"/>
  <c r="K422" i="1"/>
  <c r="K414" i="1"/>
  <c r="K411" i="1"/>
  <c r="K404" i="1"/>
  <c r="K393" i="1"/>
  <c r="K383" i="1"/>
  <c r="K362" i="1"/>
  <c r="K356" i="1"/>
  <c r="K387" i="1"/>
  <c r="K371" i="1"/>
  <c r="K367" i="1"/>
  <c r="K361" i="1"/>
  <c r="K355" i="1"/>
  <c r="K349" i="1"/>
  <c r="K343" i="1"/>
  <c r="K337" i="1"/>
  <c r="K325" i="1"/>
  <c r="K380" i="1"/>
  <c r="K370" i="1"/>
  <c r="K368" i="1"/>
  <c r="K375" i="1"/>
  <c r="K398" i="1"/>
  <c r="K389" i="1"/>
  <c r="K377" i="1"/>
  <c r="K357" i="1"/>
  <c r="K350" i="1"/>
  <c r="K335" i="1"/>
  <c r="K318" i="1"/>
  <c r="K312" i="1"/>
  <c r="K306" i="1"/>
  <c r="K300" i="1"/>
  <c r="K381" i="1"/>
  <c r="K369" i="1"/>
  <c r="K352" i="1"/>
  <c r="K339" i="1"/>
  <c r="K324" i="1"/>
  <c r="K374" i="1"/>
  <c r="K353" i="1"/>
  <c r="K347" i="1"/>
  <c r="K328" i="1"/>
  <c r="K317" i="1"/>
  <c r="K311" i="1"/>
  <c r="K305" i="1"/>
  <c r="K354" i="1"/>
  <c r="K351" i="1"/>
  <c r="K336" i="1"/>
  <c r="K332" i="1"/>
  <c r="K340" i="1"/>
  <c r="K316" i="1"/>
  <c r="K310" i="1"/>
  <c r="K344" i="1"/>
  <c r="K329" i="1"/>
  <c r="K359" i="1"/>
  <c r="K358" i="1"/>
  <c r="K333" i="1"/>
  <c r="K321" i="1"/>
  <c r="K315" i="1"/>
  <c r="K309" i="1"/>
  <c r="K303" i="1"/>
  <c r="K364" i="1"/>
  <c r="K363" i="1"/>
  <c r="K341" i="1"/>
  <c r="K322" i="1"/>
  <c r="K394" i="1"/>
  <c r="K345" i="1"/>
  <c r="K330" i="1"/>
  <c r="K326" i="1"/>
  <c r="K320" i="1"/>
  <c r="K360" i="1"/>
  <c r="K342" i="1"/>
  <c r="K338" i="1"/>
  <c r="K323" i="1"/>
  <c r="K319" i="1"/>
  <c r="K313" i="1"/>
  <c r="K307" i="1"/>
  <c r="K308" i="1"/>
  <c r="K302" i="1"/>
  <c r="K298" i="1"/>
  <c r="K289" i="1"/>
  <c r="K283" i="1"/>
  <c r="K277" i="1"/>
  <c r="K271" i="1"/>
  <c r="K265" i="1"/>
  <c r="K346" i="1"/>
  <c r="K294" i="1"/>
  <c r="K288" i="1"/>
  <c r="K282" i="1"/>
  <c r="K276" i="1"/>
  <c r="K270" i="1"/>
  <c r="K304" i="1"/>
  <c r="K295" i="1"/>
  <c r="K293" i="1"/>
  <c r="K287" i="1"/>
  <c r="K292" i="1"/>
  <c r="K286" i="1"/>
  <c r="K274" i="1"/>
  <c r="K268" i="1"/>
  <c r="K262" i="1"/>
  <c r="K256" i="1"/>
  <c r="K250" i="1"/>
  <c r="K334" i="1"/>
  <c r="K296" i="1"/>
  <c r="K327" i="1"/>
  <c r="K299" i="1"/>
  <c r="K291" i="1"/>
  <c r="K285" i="1"/>
  <c r="K290" i="1"/>
  <c r="K278" i="1"/>
  <c r="K275" i="1"/>
  <c r="K264" i="1"/>
  <c r="K245" i="1"/>
  <c r="K239" i="1"/>
  <c r="K233" i="1"/>
  <c r="K227" i="1"/>
  <c r="K221" i="1"/>
  <c r="K301" i="1"/>
  <c r="K284" i="1"/>
  <c r="K253" i="1"/>
  <c r="K273" i="1"/>
  <c r="K267" i="1"/>
  <c r="K261" i="1"/>
  <c r="K257" i="1"/>
  <c r="K244" i="1"/>
  <c r="K238" i="1"/>
  <c r="K232" i="1"/>
  <c r="K226" i="1"/>
  <c r="K272" i="1"/>
  <c r="K266" i="1"/>
  <c r="K254" i="1"/>
  <c r="K249" i="1"/>
  <c r="K243" i="1"/>
  <c r="K237" i="1"/>
  <c r="K231" i="1"/>
  <c r="K225" i="1"/>
  <c r="K219" i="1"/>
  <c r="K258" i="1"/>
  <c r="K259" i="1"/>
  <c r="K247" i="1"/>
  <c r="K281" i="1"/>
  <c r="K269" i="1"/>
  <c r="K252" i="1"/>
  <c r="K240" i="1"/>
  <c r="K234" i="1"/>
  <c r="K228" i="1"/>
  <c r="K222" i="1"/>
  <c r="K216" i="1"/>
  <c r="K279" i="1"/>
  <c r="K260" i="1"/>
  <c r="K242" i="1"/>
  <c r="K236" i="1"/>
  <c r="K214" i="1"/>
  <c r="K209" i="1"/>
  <c r="K203" i="1"/>
  <c r="K230" i="1"/>
  <c r="K223" i="1"/>
  <c r="K251" i="1"/>
  <c r="K235" i="1"/>
  <c r="K224" i="1"/>
  <c r="K215" i="1"/>
  <c r="K255" i="1"/>
  <c r="K207" i="1"/>
  <c r="K201" i="1"/>
  <c r="K217" i="1"/>
  <c r="K218" i="1"/>
  <c r="K206" i="1"/>
  <c r="K200" i="1"/>
  <c r="K194" i="1"/>
  <c r="K188" i="1"/>
  <c r="K182" i="1"/>
  <c r="K185" i="1"/>
  <c r="K193" i="1"/>
  <c r="K189" i="1"/>
  <c r="K211" i="1"/>
  <c r="K208" i="1"/>
  <c r="K198" i="1"/>
  <c r="K213" i="1"/>
  <c r="K205" i="1"/>
  <c r="K186" i="1"/>
  <c r="K172" i="1"/>
  <c r="K166" i="1"/>
  <c r="K160" i="1"/>
  <c r="K154" i="1"/>
  <c r="K148" i="1"/>
  <c r="K142" i="1"/>
  <c r="K136" i="1"/>
  <c r="K130" i="1"/>
  <c r="K220" i="1"/>
  <c r="K190" i="1"/>
  <c r="K248" i="1"/>
  <c r="K180" i="1"/>
  <c r="K241" i="1"/>
  <c r="K210" i="1"/>
  <c r="K202" i="1"/>
  <c r="K199" i="1"/>
  <c r="K196" i="1"/>
  <c r="K192" i="1"/>
  <c r="K187" i="1"/>
  <c r="K145" i="1"/>
  <c r="K138" i="1"/>
  <c r="K184" i="1"/>
  <c r="K183" i="1"/>
  <c r="K181" i="1"/>
  <c r="K179" i="1"/>
  <c r="K170" i="1"/>
  <c r="K157" i="1"/>
  <c r="K135" i="1"/>
  <c r="K131" i="1"/>
  <c r="K197" i="1"/>
  <c r="K147" i="1"/>
  <c r="K143" i="1"/>
  <c r="K128" i="1"/>
  <c r="K204" i="1"/>
  <c r="K177" i="1"/>
  <c r="K164" i="1"/>
  <c r="K163" i="1"/>
  <c r="K162" i="1"/>
  <c r="K153" i="1"/>
  <c r="K132" i="1"/>
  <c r="K125" i="1"/>
  <c r="K119" i="1"/>
  <c r="K113" i="1"/>
  <c r="K175" i="1"/>
  <c r="K150" i="1"/>
  <c r="K140" i="1"/>
  <c r="K171" i="1"/>
  <c r="K169" i="1"/>
  <c r="K167" i="1"/>
  <c r="K146" i="1"/>
  <c r="K133" i="1"/>
  <c r="K152" i="1"/>
  <c r="K176" i="1"/>
  <c r="K158" i="1"/>
  <c r="K149" i="1"/>
  <c r="K191" i="1"/>
  <c r="K168" i="1"/>
  <c r="K165" i="1"/>
  <c r="K139" i="1"/>
  <c r="K114" i="1"/>
  <c r="K112" i="1"/>
  <c r="K102" i="1"/>
  <c r="K91" i="1"/>
  <c r="K137" i="1"/>
  <c r="K101" i="1"/>
  <c r="K80" i="1"/>
  <c r="K69" i="1"/>
  <c r="K126" i="1"/>
  <c r="K118" i="1"/>
  <c r="K117" i="1"/>
  <c r="K100" i="1"/>
  <c r="K79" i="1"/>
  <c r="K174" i="1"/>
  <c r="K156" i="1"/>
  <c r="K124" i="1"/>
  <c r="K89" i="1"/>
  <c r="K78" i="1"/>
  <c r="K88" i="1"/>
  <c r="K77" i="1"/>
  <c r="K116" i="1"/>
  <c r="K108" i="1"/>
  <c r="K98" i="1"/>
  <c r="K87" i="1"/>
  <c r="K129" i="1"/>
  <c r="K120" i="1"/>
  <c r="K97" i="1"/>
  <c r="K86" i="1"/>
  <c r="K121" i="1"/>
  <c r="K107" i="1"/>
  <c r="K96" i="1"/>
  <c r="K85" i="1"/>
  <c r="K122" i="1"/>
  <c r="K115" i="1"/>
  <c r="K106" i="1"/>
  <c r="K95" i="1"/>
  <c r="K84" i="1"/>
  <c r="K73" i="1"/>
  <c r="K155" i="1"/>
  <c r="K123" i="1"/>
  <c r="K105" i="1"/>
  <c r="K94" i="1"/>
  <c r="K83" i="1"/>
  <c r="K173" i="1"/>
  <c r="K151" i="1"/>
  <c r="K134" i="1"/>
  <c r="K104" i="1"/>
  <c r="K93" i="1"/>
  <c r="K141" i="1"/>
  <c r="K67" i="1"/>
  <c r="K64" i="1"/>
  <c r="K70" i="1"/>
  <c r="K53" i="1"/>
  <c r="K43" i="1"/>
  <c r="K52" i="1"/>
  <c r="K76" i="1"/>
  <c r="K62" i="1"/>
  <c r="K51" i="1"/>
  <c r="K42" i="1"/>
  <c r="K36" i="1"/>
  <c r="K30" i="1"/>
  <c r="K24" i="1"/>
  <c r="K18" i="1"/>
  <c r="K12" i="1"/>
  <c r="K159" i="1"/>
  <c r="K103" i="1"/>
  <c r="K68" i="1"/>
  <c r="K111" i="1"/>
  <c r="K74" i="1"/>
  <c r="K71" i="1"/>
  <c r="K60" i="1"/>
  <c r="K49" i="1"/>
  <c r="K41" i="1"/>
  <c r="K35" i="1"/>
  <c r="K29" i="1"/>
  <c r="K23" i="1"/>
  <c r="K17" i="1"/>
  <c r="K82" i="1"/>
  <c r="K59" i="1"/>
  <c r="K48" i="1"/>
  <c r="K58" i="1"/>
  <c r="K47" i="1"/>
  <c r="K40" i="1"/>
  <c r="K28" i="1"/>
  <c r="K22" i="1"/>
  <c r="K16" i="1"/>
  <c r="K10" i="1"/>
  <c r="K57" i="1"/>
  <c r="K92" i="1"/>
  <c r="K56" i="1"/>
  <c r="K75" i="1"/>
  <c r="K66" i="1"/>
  <c r="K65" i="1"/>
  <c r="K38" i="1"/>
  <c r="K32" i="1"/>
  <c r="K26" i="1"/>
  <c r="K20" i="1"/>
  <c r="K14" i="1"/>
  <c r="K25" i="1"/>
  <c r="K15" i="1"/>
  <c r="K19" i="1"/>
  <c r="K61" i="1"/>
  <c r="K37" i="1"/>
  <c r="K50" i="1"/>
  <c r="K11" i="1"/>
  <c r="K9" i="1"/>
  <c r="K33" i="1"/>
  <c r="K13" i="1"/>
  <c r="K46" i="1"/>
  <c r="K27" i="1"/>
  <c r="K21" i="1"/>
  <c r="K31" i="1"/>
  <c r="K55" i="1"/>
  <c r="J637" i="1"/>
  <c r="J433" i="1"/>
  <c r="J501" i="1"/>
  <c r="J620" i="1"/>
  <c r="M4" i="1"/>
  <c r="L6" i="1"/>
  <c r="J178" i="1"/>
  <c r="J127" i="1"/>
  <c r="J603" i="1"/>
  <c r="J314" i="1"/>
  <c r="J144" i="1"/>
  <c r="J81" i="1"/>
  <c r="J63" i="1"/>
  <c r="J569" i="1"/>
  <c r="E28" i="1"/>
  <c r="E22" i="1"/>
  <c r="E16" i="1"/>
  <c r="E10" i="1"/>
  <c r="E15" i="1"/>
  <c r="E21" i="1"/>
  <c r="E33" i="1"/>
  <c r="E9" i="1"/>
  <c r="E27" i="1"/>
  <c r="E17" i="1"/>
  <c r="E19" i="1"/>
  <c r="E29" i="1"/>
  <c r="E24" i="1"/>
  <c r="E12" i="1"/>
  <c r="E703" i="1"/>
  <c r="E18" i="1"/>
  <c r="E20" i="1"/>
  <c r="E11" i="1"/>
  <c r="E25" i="1"/>
  <c r="E26" i="1"/>
  <c r="E23" i="1"/>
  <c r="E30" i="1"/>
  <c r="E13" i="1"/>
  <c r="E108" i="1"/>
  <c r="E699" i="1"/>
  <c r="E698" i="1"/>
  <c r="E14" i="1"/>
  <c r="E695" i="1"/>
  <c r="E44" i="1"/>
  <c r="E39" i="1"/>
  <c r="E34" i="1"/>
  <c r="E689" i="1"/>
  <c r="J671" i="1"/>
  <c r="J54" i="1"/>
  <c r="J72" i="1"/>
  <c r="J90" i="1"/>
  <c r="J586" i="1"/>
  <c r="E109" i="1"/>
  <c r="J246" i="1"/>
  <c r="J297" i="1"/>
  <c r="I44" i="1"/>
  <c r="I109" i="1"/>
  <c r="H109" i="1"/>
  <c r="K586" i="1" l="1"/>
  <c r="K280" i="1"/>
  <c r="K671" i="1"/>
  <c r="J109" i="1"/>
  <c r="K39" i="1"/>
  <c r="K246" i="1"/>
  <c r="K382" i="1"/>
  <c r="J7" i="1"/>
  <c r="H7" i="1"/>
  <c r="I7" i="1"/>
  <c r="K212" i="1"/>
  <c r="K127" i="1"/>
  <c r="K144" i="1"/>
  <c r="K297" i="1"/>
  <c r="K552" i="1"/>
  <c r="K654" i="1"/>
  <c r="K110" i="1"/>
  <c r="K637" i="1"/>
  <c r="K399" i="1"/>
  <c r="K518" i="1"/>
  <c r="K620" i="1"/>
  <c r="K81" i="1"/>
  <c r="K195" i="1"/>
  <c r="K689" i="1"/>
  <c r="J44" i="1"/>
  <c r="K54" i="1"/>
  <c r="K263" i="1"/>
  <c r="K348" i="1"/>
  <c r="K416" i="1"/>
  <c r="K484" i="1"/>
  <c r="K90" i="1"/>
  <c r="K365" i="1"/>
  <c r="K63" i="1"/>
  <c r="K161" i="1"/>
  <c r="K450" i="1"/>
  <c r="K535" i="1"/>
  <c r="E8" i="1"/>
  <c r="L703" i="1"/>
  <c r="L699" i="1"/>
  <c r="L696" i="1"/>
  <c r="L698" i="1"/>
  <c r="L686" i="1"/>
  <c r="L693" i="1"/>
  <c r="L697" i="1"/>
  <c r="L701" i="1"/>
  <c r="L700" i="1"/>
  <c r="L684" i="1"/>
  <c r="L680" i="1"/>
  <c r="L692" i="1"/>
  <c r="L702" i="1"/>
  <c r="L690" i="1"/>
  <c r="L676" i="1"/>
  <c r="L691" i="1"/>
  <c r="L681" i="1"/>
  <c r="L694" i="1"/>
  <c r="L683" i="1"/>
  <c r="L682" i="1"/>
  <c r="L677" i="1"/>
  <c r="L678" i="1"/>
  <c r="L673" i="1"/>
  <c r="L688" i="1"/>
  <c r="L687" i="1"/>
  <c r="L667" i="1"/>
  <c r="L666" i="1"/>
  <c r="L668" i="1"/>
  <c r="L674" i="1"/>
  <c r="L662" i="1"/>
  <c r="L659" i="1"/>
  <c r="L669" i="1"/>
  <c r="L670" i="1"/>
  <c r="L672" i="1"/>
  <c r="L655" i="1"/>
  <c r="L652" i="1"/>
  <c r="L653" i="1"/>
  <c r="L679" i="1"/>
  <c r="L665" i="1"/>
  <c r="L664" i="1"/>
  <c r="L685" i="1"/>
  <c r="L661" i="1"/>
  <c r="L657" i="1"/>
  <c r="L658" i="1"/>
  <c r="L644" i="1"/>
  <c r="L663" i="1"/>
  <c r="L656" i="1"/>
  <c r="L649" i="1"/>
  <c r="L660" i="1"/>
  <c r="L675" i="1"/>
  <c r="L648" i="1"/>
  <c r="L645" i="1"/>
  <c r="L650" i="1"/>
  <c r="L638" i="1"/>
  <c r="L635" i="1"/>
  <c r="L651" i="1"/>
  <c r="L636" i="1"/>
  <c r="L643" i="1"/>
  <c r="L626" i="1"/>
  <c r="L647" i="1"/>
  <c r="L639" i="1"/>
  <c r="L640" i="1"/>
  <c r="L622" i="1"/>
  <c r="L641" i="1"/>
  <c r="L642" i="1"/>
  <c r="L625" i="1"/>
  <c r="L631" i="1"/>
  <c r="L628" i="1"/>
  <c r="L633" i="1"/>
  <c r="L617" i="1"/>
  <c r="L630" i="1"/>
  <c r="L646" i="1"/>
  <c r="L632" i="1"/>
  <c r="L629" i="1"/>
  <c r="L621" i="1"/>
  <c r="L610" i="1"/>
  <c r="L627" i="1"/>
  <c r="L609" i="1"/>
  <c r="L634" i="1"/>
  <c r="L618" i="1"/>
  <c r="L607" i="1"/>
  <c r="L623" i="1"/>
  <c r="L615" i="1"/>
  <c r="L611" i="1"/>
  <c r="L624" i="1"/>
  <c r="L608" i="1"/>
  <c r="L600" i="1"/>
  <c r="L619" i="1"/>
  <c r="L614" i="1"/>
  <c r="L612" i="1"/>
  <c r="L601" i="1"/>
  <c r="L616" i="1"/>
  <c r="L606" i="1"/>
  <c r="L595" i="1"/>
  <c r="L597" i="1"/>
  <c r="L613" i="1"/>
  <c r="L605" i="1"/>
  <c r="L598" i="1"/>
  <c r="L591" i="1"/>
  <c r="L581" i="1"/>
  <c r="L580" i="1"/>
  <c r="L604" i="1"/>
  <c r="L599" i="1"/>
  <c r="L602" i="1"/>
  <c r="L594" i="1"/>
  <c r="L592" i="1"/>
  <c r="L590" i="1"/>
  <c r="L589" i="1"/>
  <c r="L588" i="1"/>
  <c r="L585" i="1"/>
  <c r="L583" i="1"/>
  <c r="L577" i="1"/>
  <c r="L584" i="1"/>
  <c r="L596" i="1"/>
  <c r="L576" i="1"/>
  <c r="L566" i="1"/>
  <c r="L587" i="1"/>
  <c r="L593" i="1"/>
  <c r="L579" i="1"/>
  <c r="L575" i="1"/>
  <c r="L571" i="1"/>
  <c r="L568" i="1"/>
  <c r="L582" i="1"/>
  <c r="L572" i="1"/>
  <c r="L561" i="1"/>
  <c r="L557" i="1"/>
  <c r="L549" i="1"/>
  <c r="L543" i="1"/>
  <c r="L578" i="1"/>
  <c r="L573" i="1"/>
  <c r="L562" i="1"/>
  <c r="L558" i="1"/>
  <c r="L565" i="1"/>
  <c r="L564" i="1"/>
  <c r="L555" i="1"/>
  <c r="L574" i="1"/>
  <c r="L563" i="1"/>
  <c r="L550" i="1"/>
  <c r="L540" i="1"/>
  <c r="L553" i="1"/>
  <c r="L539" i="1"/>
  <c r="L560" i="1"/>
  <c r="L554" i="1"/>
  <c r="L547" i="1"/>
  <c r="L545" i="1"/>
  <c r="L559" i="1"/>
  <c r="L570" i="1"/>
  <c r="L542" i="1"/>
  <c r="L527" i="1"/>
  <c r="L523" i="1"/>
  <c r="L567" i="1"/>
  <c r="L544" i="1"/>
  <c r="L533" i="1"/>
  <c r="L531" i="1"/>
  <c r="L556" i="1"/>
  <c r="L536" i="1"/>
  <c r="L520" i="1"/>
  <c r="L516" i="1"/>
  <c r="L548" i="1"/>
  <c r="L537" i="1"/>
  <c r="L528" i="1"/>
  <c r="L513" i="1"/>
  <c r="L532" i="1"/>
  <c r="L521" i="1"/>
  <c r="L546" i="1"/>
  <c r="L551" i="1"/>
  <c r="L529" i="1"/>
  <c r="L538" i="1"/>
  <c r="L541" i="1"/>
  <c r="L534" i="1"/>
  <c r="L530" i="1"/>
  <c r="L519" i="1"/>
  <c r="L503" i="1"/>
  <c r="L525" i="1"/>
  <c r="L511" i="1"/>
  <c r="L509" i="1"/>
  <c r="L487" i="1"/>
  <c r="L502" i="1"/>
  <c r="L495" i="1"/>
  <c r="L507" i="1"/>
  <c r="L499" i="1"/>
  <c r="L514" i="1"/>
  <c r="L512" i="1"/>
  <c r="L522" i="1"/>
  <c r="L517" i="1"/>
  <c r="L510" i="1"/>
  <c r="L524" i="1"/>
  <c r="L508" i="1"/>
  <c r="L526" i="1"/>
  <c r="L515" i="1"/>
  <c r="L506" i="1"/>
  <c r="L493" i="1"/>
  <c r="L491" i="1"/>
  <c r="L498" i="1"/>
  <c r="L489" i="1"/>
  <c r="L500" i="1"/>
  <c r="L496" i="1"/>
  <c r="L505" i="1"/>
  <c r="L504" i="1"/>
  <c r="L497" i="1"/>
  <c r="L490" i="1"/>
  <c r="L494" i="1"/>
  <c r="L488" i="1"/>
  <c r="L486" i="1"/>
  <c r="L483" i="1"/>
  <c r="L460" i="1"/>
  <c r="L454" i="1"/>
  <c r="L476" i="1"/>
  <c r="L464" i="1"/>
  <c r="L480" i="1"/>
  <c r="L477" i="1"/>
  <c r="L469" i="1"/>
  <c r="L459" i="1"/>
  <c r="L453" i="1"/>
  <c r="L447" i="1"/>
  <c r="L472" i="1"/>
  <c r="L482" i="1"/>
  <c r="L475" i="1"/>
  <c r="L465" i="1"/>
  <c r="L458" i="1"/>
  <c r="L468" i="1"/>
  <c r="L478" i="1"/>
  <c r="L457" i="1"/>
  <c r="L479" i="1"/>
  <c r="L474" i="1"/>
  <c r="L471" i="1"/>
  <c r="L466" i="1"/>
  <c r="L492" i="1"/>
  <c r="L485" i="1"/>
  <c r="L462" i="1"/>
  <c r="L481" i="1"/>
  <c r="L461" i="1"/>
  <c r="L473" i="1"/>
  <c r="L470" i="1"/>
  <c r="L441" i="1"/>
  <c r="L427" i="1"/>
  <c r="L420" i="1"/>
  <c r="L434" i="1"/>
  <c r="L430" i="1"/>
  <c r="L424" i="1"/>
  <c r="L410" i="1"/>
  <c r="L404" i="1"/>
  <c r="L452" i="1"/>
  <c r="L449" i="1"/>
  <c r="L442" i="1"/>
  <c r="L417" i="1"/>
  <c r="L451" i="1"/>
  <c r="L443" i="1"/>
  <c r="L435" i="1"/>
  <c r="L426" i="1"/>
  <c r="L421" i="1"/>
  <c r="L463" i="1"/>
  <c r="L456" i="1"/>
  <c r="L444" i="1"/>
  <c r="L429" i="1"/>
  <c r="L446" i="1"/>
  <c r="L436" i="1"/>
  <c r="L432" i="1"/>
  <c r="L414" i="1"/>
  <c r="L438" i="1"/>
  <c r="L425" i="1"/>
  <c r="L455" i="1"/>
  <c r="L448" i="1"/>
  <c r="L428" i="1"/>
  <c r="L415" i="1"/>
  <c r="L439" i="1"/>
  <c r="L431" i="1"/>
  <c r="L423" i="1"/>
  <c r="L440" i="1"/>
  <c r="L445" i="1"/>
  <c r="L403" i="1"/>
  <c r="L419" i="1"/>
  <c r="L406" i="1"/>
  <c r="L395" i="1"/>
  <c r="L391" i="1"/>
  <c r="L412" i="1"/>
  <c r="L418" i="1"/>
  <c r="L402" i="1"/>
  <c r="L400" i="1"/>
  <c r="L396" i="1"/>
  <c r="L413" i="1"/>
  <c r="L409" i="1"/>
  <c r="L408" i="1"/>
  <c r="L405" i="1"/>
  <c r="L389" i="1"/>
  <c r="L397" i="1"/>
  <c r="L388" i="1"/>
  <c r="L422" i="1"/>
  <c r="L411" i="1"/>
  <c r="L401" i="1"/>
  <c r="L407" i="1"/>
  <c r="L437" i="1"/>
  <c r="L383" i="1"/>
  <c r="L378" i="1"/>
  <c r="L362" i="1"/>
  <c r="L387" i="1"/>
  <c r="L371" i="1"/>
  <c r="L363" i="1"/>
  <c r="L392" i="1"/>
  <c r="L386" i="1"/>
  <c r="L385" i="1"/>
  <c r="L379" i="1"/>
  <c r="L380" i="1"/>
  <c r="L372" i="1"/>
  <c r="L370" i="1"/>
  <c r="L381" i="1"/>
  <c r="L364" i="1"/>
  <c r="L360" i="1"/>
  <c r="L394" i="1"/>
  <c r="L374" i="1"/>
  <c r="L398" i="1"/>
  <c r="L369" i="1"/>
  <c r="L358" i="1"/>
  <c r="L376" i="1"/>
  <c r="L377" i="1"/>
  <c r="L393" i="1"/>
  <c r="L366" i="1"/>
  <c r="L352" i="1"/>
  <c r="L339" i="1"/>
  <c r="L324" i="1"/>
  <c r="L353" i="1"/>
  <c r="L347" i="1"/>
  <c r="L343" i="1"/>
  <c r="L328" i="1"/>
  <c r="L361" i="1"/>
  <c r="L354" i="1"/>
  <c r="L351" i="1"/>
  <c r="L336" i="1"/>
  <c r="L332" i="1"/>
  <c r="L340" i="1"/>
  <c r="L355" i="1"/>
  <c r="L344" i="1"/>
  <c r="L329" i="1"/>
  <c r="L325" i="1"/>
  <c r="L375" i="1"/>
  <c r="L359" i="1"/>
  <c r="L333" i="1"/>
  <c r="L321" i="1"/>
  <c r="L315" i="1"/>
  <c r="L384" i="1"/>
  <c r="L357" i="1"/>
  <c r="L341" i="1"/>
  <c r="L337" i="1"/>
  <c r="L322" i="1"/>
  <c r="L390" i="1"/>
  <c r="L368" i="1"/>
  <c r="L367" i="1"/>
  <c r="L345" i="1"/>
  <c r="L330" i="1"/>
  <c r="L326" i="1"/>
  <c r="L320" i="1"/>
  <c r="L349" i="1"/>
  <c r="L334" i="1"/>
  <c r="L342" i="1"/>
  <c r="L373" i="1"/>
  <c r="L346" i="1"/>
  <c r="L327" i="1"/>
  <c r="L318" i="1"/>
  <c r="L307" i="1"/>
  <c r="L302" i="1"/>
  <c r="L298" i="1"/>
  <c r="L289" i="1"/>
  <c r="L283" i="1"/>
  <c r="L277" i="1"/>
  <c r="L271" i="1"/>
  <c r="L323" i="1"/>
  <c r="L301" i="1"/>
  <c r="L338" i="1"/>
  <c r="L304" i="1"/>
  <c r="L350" i="1"/>
  <c r="L313" i="1"/>
  <c r="L295" i="1"/>
  <c r="L293" i="1"/>
  <c r="L287" i="1"/>
  <c r="L281" i="1"/>
  <c r="L275" i="1"/>
  <c r="L269" i="1"/>
  <c r="L305" i="1"/>
  <c r="L300" i="1"/>
  <c r="L292" i="1"/>
  <c r="L286" i="1"/>
  <c r="L317" i="1"/>
  <c r="L306" i="1"/>
  <c r="L296" i="1"/>
  <c r="L319" i="1"/>
  <c r="L299" i="1"/>
  <c r="L291" i="1"/>
  <c r="L316" i="1"/>
  <c r="L356" i="1"/>
  <c r="L335" i="1"/>
  <c r="L290" i="1"/>
  <c r="L284" i="1"/>
  <c r="L312" i="1"/>
  <c r="L311" i="1"/>
  <c r="L310" i="1"/>
  <c r="L309" i="1"/>
  <c r="L308" i="1"/>
  <c r="L276" i="1"/>
  <c r="L274" i="1"/>
  <c r="L253" i="1"/>
  <c r="L273" i="1"/>
  <c r="L267" i="1"/>
  <c r="L261" i="1"/>
  <c r="L257" i="1"/>
  <c r="L244" i="1"/>
  <c r="L238" i="1"/>
  <c r="L294" i="1"/>
  <c r="L288" i="1"/>
  <c r="L272" i="1"/>
  <c r="L303" i="1"/>
  <c r="L282" i="1"/>
  <c r="L268" i="1"/>
  <c r="L266" i="1"/>
  <c r="L254" i="1"/>
  <c r="L250" i="1"/>
  <c r="L249" i="1"/>
  <c r="L243" i="1"/>
  <c r="L237" i="1"/>
  <c r="L285" i="1"/>
  <c r="L258" i="1"/>
  <c r="L270" i="1"/>
  <c r="L262" i="1"/>
  <c r="L248" i="1"/>
  <c r="L242" i="1"/>
  <c r="L236" i="1"/>
  <c r="L279" i="1"/>
  <c r="L260" i="1"/>
  <c r="L256" i="1"/>
  <c r="L278" i="1"/>
  <c r="L264" i="1"/>
  <c r="L245" i="1"/>
  <c r="L234" i="1"/>
  <c r="L233" i="1"/>
  <c r="L226" i="1"/>
  <c r="L214" i="1"/>
  <c r="L209" i="1"/>
  <c r="L203" i="1"/>
  <c r="L252" i="1"/>
  <c r="L241" i="1"/>
  <c r="L222" i="1"/>
  <c r="L251" i="1"/>
  <c r="L235" i="1"/>
  <c r="L224" i="1"/>
  <c r="L265" i="1"/>
  <c r="L259" i="1"/>
  <c r="L255" i="1"/>
  <c r="L232" i="1"/>
  <c r="L207" i="1"/>
  <c r="L240" i="1"/>
  <c r="L225" i="1"/>
  <c r="L217" i="1"/>
  <c r="L218" i="1"/>
  <c r="L247" i="1"/>
  <c r="L227" i="1"/>
  <c r="L216" i="1"/>
  <c r="L239" i="1"/>
  <c r="L219" i="1"/>
  <c r="L193" i="1"/>
  <c r="L189" i="1"/>
  <c r="L173" i="1"/>
  <c r="L167" i="1"/>
  <c r="L211" i="1"/>
  <c r="L208" i="1"/>
  <c r="L198" i="1"/>
  <c r="L223" i="1"/>
  <c r="L213" i="1"/>
  <c r="L205" i="1"/>
  <c r="L186" i="1"/>
  <c r="L182" i="1"/>
  <c r="L172" i="1"/>
  <c r="L166" i="1"/>
  <c r="L160" i="1"/>
  <c r="L154" i="1"/>
  <c r="L148" i="1"/>
  <c r="L230" i="1"/>
  <c r="L220" i="1"/>
  <c r="L190" i="1"/>
  <c r="L194" i="1"/>
  <c r="L179" i="1"/>
  <c r="L177" i="1"/>
  <c r="L215" i="1"/>
  <c r="L231" i="1"/>
  <c r="L206" i="1"/>
  <c r="L204" i="1"/>
  <c r="L201" i="1"/>
  <c r="L184" i="1"/>
  <c r="L175" i="1"/>
  <c r="L169" i="1"/>
  <c r="L181" i="1"/>
  <c r="L174" i="1"/>
  <c r="L188" i="1"/>
  <c r="L183" i="1"/>
  <c r="L151" i="1"/>
  <c r="L142" i="1"/>
  <c r="L121" i="1"/>
  <c r="L115" i="1"/>
  <c r="L210" i="1"/>
  <c r="L185" i="1"/>
  <c r="L170" i="1"/>
  <c r="L221" i="1"/>
  <c r="L180" i="1"/>
  <c r="L168" i="1"/>
  <c r="L139" i="1"/>
  <c r="L126" i="1"/>
  <c r="L197" i="1"/>
  <c r="L196" i="1"/>
  <c r="L164" i="1"/>
  <c r="L163" i="1"/>
  <c r="L162" i="1"/>
  <c r="L153" i="1"/>
  <c r="L132" i="1"/>
  <c r="L125" i="1"/>
  <c r="L119" i="1"/>
  <c r="L150" i="1"/>
  <c r="L140" i="1"/>
  <c r="L136" i="1"/>
  <c r="L165" i="1"/>
  <c r="L156" i="1"/>
  <c r="L199" i="1"/>
  <c r="L152" i="1"/>
  <c r="L141" i="1"/>
  <c r="L137" i="1"/>
  <c r="L176" i="1"/>
  <c r="L158" i="1"/>
  <c r="L149" i="1"/>
  <c r="L200" i="1"/>
  <c r="L192" i="1"/>
  <c r="L191" i="1"/>
  <c r="L159" i="1"/>
  <c r="L155" i="1"/>
  <c r="L228" i="1"/>
  <c r="L202" i="1"/>
  <c r="L187" i="1"/>
  <c r="L171" i="1"/>
  <c r="L146" i="1"/>
  <c r="L138" i="1"/>
  <c r="L131" i="1"/>
  <c r="L101" i="1"/>
  <c r="L80" i="1"/>
  <c r="L118" i="1"/>
  <c r="L117" i="1"/>
  <c r="L100" i="1"/>
  <c r="L79" i="1"/>
  <c r="L68" i="1"/>
  <c r="L133" i="1"/>
  <c r="L124" i="1"/>
  <c r="L89" i="1"/>
  <c r="L78" i="1"/>
  <c r="L147" i="1"/>
  <c r="L113" i="1"/>
  <c r="L88" i="1"/>
  <c r="L77" i="1"/>
  <c r="L128" i="1"/>
  <c r="L116" i="1"/>
  <c r="L108" i="1"/>
  <c r="L98" i="1"/>
  <c r="L87" i="1"/>
  <c r="L76" i="1"/>
  <c r="L135" i="1"/>
  <c r="L129" i="1"/>
  <c r="L120" i="1"/>
  <c r="L97" i="1"/>
  <c r="L86" i="1"/>
  <c r="L107" i="1"/>
  <c r="L96" i="1"/>
  <c r="L85" i="1"/>
  <c r="L122" i="1"/>
  <c r="L106" i="1"/>
  <c r="L95" i="1"/>
  <c r="L84" i="1"/>
  <c r="L123" i="1"/>
  <c r="L105" i="1"/>
  <c r="L94" i="1"/>
  <c r="L83" i="1"/>
  <c r="L157" i="1"/>
  <c r="L134" i="1"/>
  <c r="L130" i="1"/>
  <c r="L104" i="1"/>
  <c r="L93" i="1"/>
  <c r="L82" i="1"/>
  <c r="L145" i="1"/>
  <c r="L143" i="1"/>
  <c r="L111" i="1"/>
  <c r="L103" i="1"/>
  <c r="L92" i="1"/>
  <c r="L114" i="1"/>
  <c r="L70" i="1"/>
  <c r="L53" i="1"/>
  <c r="L43" i="1"/>
  <c r="L37" i="1"/>
  <c r="L31" i="1"/>
  <c r="L25" i="1"/>
  <c r="L19" i="1"/>
  <c r="L13" i="1"/>
  <c r="L52" i="1"/>
  <c r="L73" i="1"/>
  <c r="L62" i="1"/>
  <c r="L51" i="1"/>
  <c r="L42" i="1"/>
  <c r="L36" i="1"/>
  <c r="L30" i="1"/>
  <c r="L24" i="1"/>
  <c r="L18" i="1"/>
  <c r="L12" i="1"/>
  <c r="L91" i="1"/>
  <c r="L61" i="1"/>
  <c r="L50" i="1"/>
  <c r="L74" i="1"/>
  <c r="L71" i="1"/>
  <c r="L59" i="1"/>
  <c r="L48" i="1"/>
  <c r="L58" i="1"/>
  <c r="L47" i="1"/>
  <c r="L40" i="1"/>
  <c r="L28" i="1"/>
  <c r="L22" i="1"/>
  <c r="L57" i="1"/>
  <c r="L46" i="1"/>
  <c r="L69" i="1"/>
  <c r="L56" i="1"/>
  <c r="L75" i="1"/>
  <c r="L66" i="1"/>
  <c r="L55" i="1"/>
  <c r="L102" i="1"/>
  <c r="L65" i="1"/>
  <c r="L112" i="1"/>
  <c r="L67" i="1"/>
  <c r="L64" i="1"/>
  <c r="L20" i="1"/>
  <c r="L15" i="1"/>
  <c r="L35" i="1"/>
  <c r="L29" i="1"/>
  <c r="L14" i="1"/>
  <c r="L41" i="1"/>
  <c r="L17" i="1"/>
  <c r="L11" i="1"/>
  <c r="L9" i="1"/>
  <c r="L33" i="1"/>
  <c r="L23" i="1"/>
  <c r="L16" i="1"/>
  <c r="L38" i="1"/>
  <c r="L27" i="1"/>
  <c r="L49" i="1"/>
  <c r="L32" i="1"/>
  <c r="L21" i="1"/>
  <c r="L60" i="1"/>
  <c r="L10" i="1"/>
  <c r="L26" i="1"/>
  <c r="K34" i="1"/>
  <c r="K72" i="1"/>
  <c r="K178" i="1"/>
  <c r="K331" i="1"/>
  <c r="K501" i="1"/>
  <c r="K569" i="1"/>
  <c r="K695" i="1"/>
  <c r="M6" i="1"/>
  <c r="N4" i="1"/>
  <c r="K45" i="1"/>
  <c r="K44" i="1" s="1"/>
  <c r="K229" i="1"/>
  <c r="K467" i="1"/>
  <c r="K99" i="1"/>
  <c r="K314" i="1"/>
  <c r="K433" i="1"/>
  <c r="K603" i="1"/>
  <c r="L416" i="1" l="1"/>
  <c r="L637" i="1"/>
  <c r="L382" i="1"/>
  <c r="L63" i="1"/>
  <c r="L695" i="1"/>
  <c r="L45" i="1"/>
  <c r="L90" i="1"/>
  <c r="L39" i="1"/>
  <c r="L331" i="1"/>
  <c r="L365" i="1"/>
  <c r="L467" i="1"/>
  <c r="I8" i="1"/>
  <c r="I5" i="1"/>
  <c r="L348" i="1"/>
  <c r="L518" i="1"/>
  <c r="J8" i="1"/>
  <c r="J5" i="1"/>
  <c r="L280" i="1"/>
  <c r="L314" i="1"/>
  <c r="L399" i="1"/>
  <c r="L569" i="1"/>
  <c r="L620" i="1"/>
  <c r="L603" i="1"/>
  <c r="L99" i="1"/>
  <c r="L195" i="1"/>
  <c r="L689" i="1"/>
  <c r="L144" i="1"/>
  <c r="L81" i="1"/>
  <c r="L127" i="1"/>
  <c r="L297" i="1"/>
  <c r="L484" i="1"/>
  <c r="K109" i="1"/>
  <c r="L535" i="1"/>
  <c r="N6" i="1"/>
  <c r="O4" i="1"/>
  <c r="L178" i="1"/>
  <c r="L654" i="1"/>
  <c r="L161" i="1"/>
  <c r="M700" i="1"/>
  <c r="M694" i="1"/>
  <c r="M688" i="1"/>
  <c r="M699" i="1"/>
  <c r="M691" i="1"/>
  <c r="M682" i="1"/>
  <c r="M698" i="1"/>
  <c r="M692" i="1"/>
  <c r="M693" i="1"/>
  <c r="M697" i="1"/>
  <c r="M701" i="1"/>
  <c r="M703" i="1"/>
  <c r="M702" i="1"/>
  <c r="M696" i="1"/>
  <c r="M678" i="1"/>
  <c r="M681" i="1"/>
  <c r="M687" i="1"/>
  <c r="M680" i="1"/>
  <c r="M677" i="1"/>
  <c r="M684" i="1"/>
  <c r="M674" i="1"/>
  <c r="M669" i="1"/>
  <c r="M663" i="1"/>
  <c r="M657" i="1"/>
  <c r="M679" i="1"/>
  <c r="M668" i="1"/>
  <c r="M662" i="1"/>
  <c r="M656" i="1"/>
  <c r="M683" i="1"/>
  <c r="M675" i="1"/>
  <c r="M686" i="1"/>
  <c r="M685" i="1"/>
  <c r="M673" i="1"/>
  <c r="M659" i="1"/>
  <c r="M690" i="1"/>
  <c r="M665" i="1"/>
  <c r="M672" i="1"/>
  <c r="M653" i="1"/>
  <c r="M664" i="1"/>
  <c r="M651" i="1"/>
  <c r="M660" i="1"/>
  <c r="M676" i="1"/>
  <c r="M661" i="1"/>
  <c r="M658" i="1"/>
  <c r="M644" i="1"/>
  <c r="M638" i="1"/>
  <c r="M632" i="1"/>
  <c r="M666" i="1"/>
  <c r="M670" i="1"/>
  <c r="M648" i="1"/>
  <c r="M642" i="1"/>
  <c r="M667" i="1"/>
  <c r="M645" i="1"/>
  <c r="M630" i="1"/>
  <c r="M652" i="1"/>
  <c r="M646" i="1"/>
  <c r="M650" i="1"/>
  <c r="M641" i="1"/>
  <c r="M649" i="1"/>
  <c r="M643" i="1"/>
  <c r="M626" i="1"/>
  <c r="M640" i="1"/>
  <c r="M629" i="1"/>
  <c r="M636" i="1"/>
  <c r="M627" i="1"/>
  <c r="M624" i="1"/>
  <c r="M618" i="1"/>
  <c r="M617" i="1"/>
  <c r="M611" i="1"/>
  <c r="M635" i="1"/>
  <c r="M616" i="1"/>
  <c r="M610" i="1"/>
  <c r="M655" i="1"/>
  <c r="M631" i="1"/>
  <c r="M647" i="1"/>
  <c r="M628" i="1"/>
  <c r="M619" i="1"/>
  <c r="M633" i="1"/>
  <c r="M623" i="1"/>
  <c r="M622" i="1"/>
  <c r="M621" i="1"/>
  <c r="M639" i="1"/>
  <c r="M625" i="1"/>
  <c r="M634" i="1"/>
  <c r="M602" i="1"/>
  <c r="M613" i="1"/>
  <c r="M608" i="1"/>
  <c r="M612" i="1"/>
  <c r="M607" i="1"/>
  <c r="M596" i="1"/>
  <c r="M615" i="1"/>
  <c r="M614" i="1"/>
  <c r="M601" i="1"/>
  <c r="M606" i="1"/>
  <c r="M599" i="1"/>
  <c r="M593" i="1"/>
  <c r="M587" i="1"/>
  <c r="M581" i="1"/>
  <c r="M609" i="1"/>
  <c r="M600" i="1"/>
  <c r="M597" i="1"/>
  <c r="M605" i="1"/>
  <c r="M598" i="1"/>
  <c r="M592" i="1"/>
  <c r="M580" i="1"/>
  <c r="M574" i="1"/>
  <c r="M568" i="1"/>
  <c r="M562" i="1"/>
  <c r="M556" i="1"/>
  <c r="M604" i="1"/>
  <c r="M595" i="1"/>
  <c r="M594" i="1"/>
  <c r="M583" i="1"/>
  <c r="M577" i="1"/>
  <c r="M571" i="1"/>
  <c r="M565" i="1"/>
  <c r="M584" i="1"/>
  <c r="M590" i="1"/>
  <c r="M589" i="1"/>
  <c r="M588" i="1"/>
  <c r="M572" i="1"/>
  <c r="M591" i="1"/>
  <c r="M582" i="1"/>
  <c r="M561" i="1"/>
  <c r="M585" i="1"/>
  <c r="M578" i="1"/>
  <c r="M573" i="1"/>
  <c r="M554" i="1"/>
  <c r="M548" i="1"/>
  <c r="M542" i="1"/>
  <c r="M558" i="1"/>
  <c r="M547" i="1"/>
  <c r="M541" i="1"/>
  <c r="M579" i="1"/>
  <c r="M576" i="1"/>
  <c r="M564" i="1"/>
  <c r="M555" i="1"/>
  <c r="M575" i="1"/>
  <c r="M570" i="1"/>
  <c r="M559" i="1"/>
  <c r="M546" i="1"/>
  <c r="M563" i="1"/>
  <c r="M560" i="1"/>
  <c r="M553" i="1"/>
  <c r="M539" i="1"/>
  <c r="M533" i="1"/>
  <c r="M527" i="1"/>
  <c r="M521" i="1"/>
  <c r="M515" i="1"/>
  <c r="M509" i="1"/>
  <c r="M503" i="1"/>
  <c r="M545" i="1"/>
  <c r="M543" i="1"/>
  <c r="M557" i="1"/>
  <c r="M551" i="1"/>
  <c r="M549" i="1"/>
  <c r="M567" i="1"/>
  <c r="M536" i="1"/>
  <c r="M550" i="1"/>
  <c r="M540" i="1"/>
  <c r="M544" i="1"/>
  <c r="M531" i="1"/>
  <c r="M524" i="1"/>
  <c r="M505" i="1"/>
  <c r="M566" i="1"/>
  <c r="M537" i="1"/>
  <c r="M528" i="1"/>
  <c r="M532" i="1"/>
  <c r="M517" i="1"/>
  <c r="M502" i="1"/>
  <c r="M495" i="1"/>
  <c r="M489" i="1"/>
  <c r="M483" i="1"/>
  <c r="M525" i="1"/>
  <c r="M529" i="1"/>
  <c r="M538" i="1"/>
  <c r="M526" i="1"/>
  <c r="M522" i="1"/>
  <c r="M534" i="1"/>
  <c r="M530" i="1"/>
  <c r="M519" i="1"/>
  <c r="M523" i="1"/>
  <c r="M508" i="1"/>
  <c r="M513" i="1"/>
  <c r="M494" i="1"/>
  <c r="M490" i="1"/>
  <c r="M506" i="1"/>
  <c r="M504" i="1"/>
  <c r="M498" i="1"/>
  <c r="M511" i="1"/>
  <c r="M491" i="1"/>
  <c r="M516" i="1"/>
  <c r="M507" i="1"/>
  <c r="M499" i="1"/>
  <c r="M514" i="1"/>
  <c r="M488" i="1"/>
  <c r="M512" i="1"/>
  <c r="M500" i="1"/>
  <c r="M510" i="1"/>
  <c r="M520" i="1"/>
  <c r="M485" i="1"/>
  <c r="M484" i="1" s="1"/>
  <c r="M482" i="1"/>
  <c r="M496" i="1"/>
  <c r="M492" i="1"/>
  <c r="M479" i="1"/>
  <c r="M475" i="1"/>
  <c r="M469" i="1"/>
  <c r="M463" i="1"/>
  <c r="M474" i="1"/>
  <c r="M468" i="1"/>
  <c r="M487" i="1"/>
  <c r="M486" i="1"/>
  <c r="M493" i="1"/>
  <c r="M481" i="1"/>
  <c r="M476" i="1"/>
  <c r="M464" i="1"/>
  <c r="M480" i="1"/>
  <c r="M477" i="1"/>
  <c r="M459" i="1"/>
  <c r="M453" i="1"/>
  <c r="M447" i="1"/>
  <c r="M441" i="1"/>
  <c r="M435" i="1"/>
  <c r="M429" i="1"/>
  <c r="M423" i="1"/>
  <c r="M417" i="1"/>
  <c r="M416" i="1" s="1"/>
  <c r="M472" i="1"/>
  <c r="M465" i="1"/>
  <c r="M458" i="1"/>
  <c r="M452" i="1"/>
  <c r="M446" i="1"/>
  <c r="M440" i="1"/>
  <c r="M434" i="1"/>
  <c r="M478" i="1"/>
  <c r="M471" i="1"/>
  <c r="M466" i="1"/>
  <c r="M462" i="1"/>
  <c r="M456" i="1"/>
  <c r="M444" i="1"/>
  <c r="M438" i="1"/>
  <c r="M432" i="1"/>
  <c r="M426" i="1"/>
  <c r="M497" i="1"/>
  <c r="M473" i="1"/>
  <c r="M470" i="1"/>
  <c r="M430" i="1"/>
  <c r="M424" i="1"/>
  <c r="M457" i="1"/>
  <c r="M449" i="1"/>
  <c r="M442" i="1"/>
  <c r="M461" i="1"/>
  <c r="M460" i="1"/>
  <c r="M451" i="1"/>
  <c r="M443" i="1"/>
  <c r="M421" i="1"/>
  <c r="M454" i="1"/>
  <c r="M436" i="1"/>
  <c r="M414" i="1"/>
  <c r="M437" i="1"/>
  <c r="M422" i="1"/>
  <c r="M418" i="1"/>
  <c r="M455" i="1"/>
  <c r="M448" i="1"/>
  <c r="M428" i="1"/>
  <c r="M439" i="1"/>
  <c r="M431" i="1"/>
  <c r="M419" i="1"/>
  <c r="M412" i="1"/>
  <c r="M406" i="1"/>
  <c r="M400" i="1"/>
  <c r="M394" i="1"/>
  <c r="M445" i="1"/>
  <c r="M427" i="1"/>
  <c r="M420" i="1"/>
  <c r="M395" i="1"/>
  <c r="M391" i="1"/>
  <c r="M385" i="1"/>
  <c r="M390" i="1"/>
  <c r="M384" i="1"/>
  <c r="M378" i="1"/>
  <c r="M372" i="1"/>
  <c r="M402" i="1"/>
  <c r="M396" i="1"/>
  <c r="M415" i="1"/>
  <c r="M413" i="1"/>
  <c r="M409" i="1"/>
  <c r="M408" i="1"/>
  <c r="M405" i="1"/>
  <c r="M389" i="1"/>
  <c r="M383" i="1"/>
  <c r="M377" i="1"/>
  <c r="M371" i="1"/>
  <c r="M410" i="1"/>
  <c r="M397" i="1"/>
  <c r="M411" i="1"/>
  <c r="M401" i="1"/>
  <c r="M407" i="1"/>
  <c r="M404" i="1"/>
  <c r="M393" i="1"/>
  <c r="M387" i="1"/>
  <c r="M381" i="1"/>
  <c r="M375" i="1"/>
  <c r="M425" i="1"/>
  <c r="M398" i="1"/>
  <c r="M363" i="1"/>
  <c r="M392" i="1"/>
  <c r="M388" i="1"/>
  <c r="M386" i="1"/>
  <c r="M379" i="1"/>
  <c r="M367" i="1"/>
  <c r="M361" i="1"/>
  <c r="M355" i="1"/>
  <c r="M380" i="1"/>
  <c r="M370" i="1"/>
  <c r="M364" i="1"/>
  <c r="M360" i="1"/>
  <c r="M354" i="1"/>
  <c r="M342" i="1"/>
  <c r="M336" i="1"/>
  <c r="M330" i="1"/>
  <c r="M324" i="1"/>
  <c r="M373" i="1"/>
  <c r="M368" i="1"/>
  <c r="M403" i="1"/>
  <c r="M376" i="1"/>
  <c r="M362" i="1"/>
  <c r="M356" i="1"/>
  <c r="M369" i="1"/>
  <c r="M353" i="1"/>
  <c r="M347" i="1"/>
  <c r="M343" i="1"/>
  <c r="M328" i="1"/>
  <c r="M317" i="1"/>
  <c r="M311" i="1"/>
  <c r="M305" i="1"/>
  <c r="M299" i="1"/>
  <c r="M374" i="1"/>
  <c r="M351" i="1"/>
  <c r="M332" i="1"/>
  <c r="M340" i="1"/>
  <c r="M316" i="1"/>
  <c r="M310" i="1"/>
  <c r="M304" i="1"/>
  <c r="M344" i="1"/>
  <c r="M329" i="1"/>
  <c r="M325" i="1"/>
  <c r="M359" i="1"/>
  <c r="M333" i="1"/>
  <c r="M321" i="1"/>
  <c r="M315" i="1"/>
  <c r="M309" i="1"/>
  <c r="M358" i="1"/>
  <c r="M357" i="1"/>
  <c r="M341" i="1"/>
  <c r="M337" i="1"/>
  <c r="M322" i="1"/>
  <c r="M345" i="1"/>
  <c r="M326" i="1"/>
  <c r="M320" i="1"/>
  <c r="M308" i="1"/>
  <c r="M302" i="1"/>
  <c r="M296" i="1"/>
  <c r="M366" i="1"/>
  <c r="M349" i="1"/>
  <c r="M334" i="1"/>
  <c r="M338" i="1"/>
  <c r="M323" i="1"/>
  <c r="M319" i="1"/>
  <c r="M346" i="1"/>
  <c r="M350" i="1"/>
  <c r="M335" i="1"/>
  <c r="M318" i="1"/>
  <c r="M312" i="1"/>
  <c r="M301" i="1"/>
  <c r="M303" i="1"/>
  <c r="M294" i="1"/>
  <c r="M288" i="1"/>
  <c r="M282" i="1"/>
  <c r="M276" i="1"/>
  <c r="M270" i="1"/>
  <c r="M313" i="1"/>
  <c r="M295" i="1"/>
  <c r="M293" i="1"/>
  <c r="M287" i="1"/>
  <c r="M281" i="1"/>
  <c r="M275" i="1"/>
  <c r="M269" i="1"/>
  <c r="M300" i="1"/>
  <c r="M352" i="1"/>
  <c r="M292" i="1"/>
  <c r="M286" i="1"/>
  <c r="M339" i="1"/>
  <c r="M306" i="1"/>
  <c r="M291" i="1"/>
  <c r="M285" i="1"/>
  <c r="M279" i="1"/>
  <c r="M273" i="1"/>
  <c r="M267" i="1"/>
  <c r="M261" i="1"/>
  <c r="M255" i="1"/>
  <c r="M327" i="1"/>
  <c r="M290" i="1"/>
  <c r="M284" i="1"/>
  <c r="M307" i="1"/>
  <c r="M298" i="1"/>
  <c r="M289" i="1"/>
  <c r="M277" i="1"/>
  <c r="M257" i="1"/>
  <c r="M244" i="1"/>
  <c r="M238" i="1"/>
  <c r="M232" i="1"/>
  <c r="M226" i="1"/>
  <c r="M220" i="1"/>
  <c r="M272" i="1"/>
  <c r="M268" i="1"/>
  <c r="M266" i="1"/>
  <c r="M254" i="1"/>
  <c r="M250" i="1"/>
  <c r="M249" i="1"/>
  <c r="M243" i="1"/>
  <c r="M237" i="1"/>
  <c r="M231" i="1"/>
  <c r="M225" i="1"/>
  <c r="M271" i="1"/>
  <c r="M258" i="1"/>
  <c r="M262" i="1"/>
  <c r="M248" i="1"/>
  <c r="M242" i="1"/>
  <c r="M236" i="1"/>
  <c r="M230" i="1"/>
  <c r="M224" i="1"/>
  <c r="M218" i="1"/>
  <c r="M251" i="1"/>
  <c r="M265" i="1"/>
  <c r="M259" i="1"/>
  <c r="M252" i="1"/>
  <c r="M283" i="1"/>
  <c r="M278" i="1"/>
  <c r="M264" i="1"/>
  <c r="M245" i="1"/>
  <c r="M239" i="1"/>
  <c r="M233" i="1"/>
  <c r="M227" i="1"/>
  <c r="M221" i="1"/>
  <c r="M215" i="1"/>
  <c r="M274" i="1"/>
  <c r="M253" i="1"/>
  <c r="M234" i="1"/>
  <c r="M241" i="1"/>
  <c r="M222" i="1"/>
  <c r="M228" i="1"/>
  <c r="M223" i="1"/>
  <c r="M208" i="1"/>
  <c r="M240" i="1"/>
  <c r="M217" i="1"/>
  <c r="M206" i="1"/>
  <c r="M200" i="1"/>
  <c r="M194" i="1"/>
  <c r="M260" i="1"/>
  <c r="M247" i="1"/>
  <c r="M216" i="1"/>
  <c r="M219" i="1"/>
  <c r="M211" i="1"/>
  <c r="M205" i="1"/>
  <c r="M199" i="1"/>
  <c r="M193" i="1"/>
  <c r="M187" i="1"/>
  <c r="M181" i="1"/>
  <c r="M198" i="1"/>
  <c r="M213" i="1"/>
  <c r="M203" i="1"/>
  <c r="M186" i="1"/>
  <c r="M182" i="1"/>
  <c r="M190" i="1"/>
  <c r="M256" i="1"/>
  <c r="M179" i="1"/>
  <c r="M177" i="1"/>
  <c r="M171" i="1"/>
  <c r="M165" i="1"/>
  <c r="M159" i="1"/>
  <c r="M153" i="1"/>
  <c r="M147" i="1"/>
  <c r="M141" i="1"/>
  <c r="M135" i="1"/>
  <c r="M129" i="1"/>
  <c r="M197" i="1"/>
  <c r="M183" i="1"/>
  <c r="M235" i="1"/>
  <c r="M209" i="1"/>
  <c r="M210" i="1"/>
  <c r="M207" i="1"/>
  <c r="M202" i="1"/>
  <c r="M196" i="1"/>
  <c r="M192" i="1"/>
  <c r="M188" i="1"/>
  <c r="M214" i="1"/>
  <c r="M185" i="1"/>
  <c r="M189" i="1"/>
  <c r="M184" i="1"/>
  <c r="M170" i="1"/>
  <c r="M166" i="1"/>
  <c r="M160" i="1"/>
  <c r="M157" i="1"/>
  <c r="M148" i="1"/>
  <c r="M131" i="1"/>
  <c r="M180" i="1"/>
  <c r="M168" i="1"/>
  <c r="M143" i="1"/>
  <c r="M128" i="1"/>
  <c r="M201" i="1"/>
  <c r="M204" i="1"/>
  <c r="M150" i="1"/>
  <c r="M140" i="1"/>
  <c r="M136" i="1"/>
  <c r="M175" i="1"/>
  <c r="M156" i="1"/>
  <c r="M124" i="1"/>
  <c r="M118" i="1"/>
  <c r="M174" i="1"/>
  <c r="M173" i="1"/>
  <c r="M172" i="1"/>
  <c r="M146" i="1"/>
  <c r="M133" i="1"/>
  <c r="M176" i="1"/>
  <c r="M158" i="1"/>
  <c r="M149" i="1"/>
  <c r="M191" i="1"/>
  <c r="M155" i="1"/>
  <c r="M145" i="1"/>
  <c r="M138" i="1"/>
  <c r="M137" i="1"/>
  <c r="M117" i="1"/>
  <c r="M100" i="1"/>
  <c r="M79" i="1"/>
  <c r="M126" i="1"/>
  <c r="M89" i="1"/>
  <c r="M78" i="1"/>
  <c r="M67" i="1"/>
  <c r="M162" i="1"/>
  <c r="M125" i="1"/>
  <c r="M113" i="1"/>
  <c r="M88" i="1"/>
  <c r="M77" i="1"/>
  <c r="M154" i="1"/>
  <c r="M152" i="1"/>
  <c r="M119" i="1"/>
  <c r="M116" i="1"/>
  <c r="M108" i="1"/>
  <c r="M98" i="1"/>
  <c r="M87" i="1"/>
  <c r="M76" i="1"/>
  <c r="M169" i="1"/>
  <c r="M120" i="1"/>
  <c r="M97" i="1"/>
  <c r="M86" i="1"/>
  <c r="M75" i="1"/>
  <c r="M163" i="1"/>
  <c r="M107" i="1"/>
  <c r="M96" i="1"/>
  <c r="M85" i="1"/>
  <c r="M122" i="1"/>
  <c r="M121" i="1"/>
  <c r="M106" i="1"/>
  <c r="M95" i="1"/>
  <c r="M84" i="1"/>
  <c r="M132" i="1"/>
  <c r="M123" i="1"/>
  <c r="M115" i="1"/>
  <c r="M105" i="1"/>
  <c r="M94" i="1"/>
  <c r="M83" i="1"/>
  <c r="M167" i="1"/>
  <c r="M164" i="1"/>
  <c r="M134" i="1"/>
  <c r="M130" i="1"/>
  <c r="M104" i="1"/>
  <c r="M93" i="1"/>
  <c r="M82" i="1"/>
  <c r="M151" i="1"/>
  <c r="M111" i="1"/>
  <c r="M103" i="1"/>
  <c r="M92" i="1"/>
  <c r="M142" i="1"/>
  <c r="M114" i="1"/>
  <c r="M112" i="1"/>
  <c r="M102" i="1"/>
  <c r="M91" i="1"/>
  <c r="M52" i="1"/>
  <c r="M73" i="1"/>
  <c r="M62" i="1"/>
  <c r="M51" i="1"/>
  <c r="M42" i="1"/>
  <c r="M80" i="1"/>
  <c r="M61" i="1"/>
  <c r="M50" i="1"/>
  <c r="M74" i="1"/>
  <c r="M71" i="1"/>
  <c r="M68" i="1"/>
  <c r="M60" i="1"/>
  <c r="M49" i="1"/>
  <c r="M41" i="1"/>
  <c r="M35" i="1"/>
  <c r="M29" i="1"/>
  <c r="M23" i="1"/>
  <c r="M17" i="1"/>
  <c r="M11" i="1"/>
  <c r="M101" i="1"/>
  <c r="M58" i="1"/>
  <c r="M47" i="1"/>
  <c r="M40" i="1"/>
  <c r="M39" i="1" s="1"/>
  <c r="M28" i="1"/>
  <c r="M22" i="1"/>
  <c r="M139" i="1"/>
  <c r="M57" i="1"/>
  <c r="M46" i="1"/>
  <c r="M69" i="1"/>
  <c r="M56" i="1"/>
  <c r="M33" i="1"/>
  <c r="M27" i="1"/>
  <c r="M21" i="1"/>
  <c r="M15" i="1"/>
  <c r="M9" i="1"/>
  <c r="M66" i="1"/>
  <c r="M55" i="1"/>
  <c r="M65" i="1"/>
  <c r="M38" i="1"/>
  <c r="M64" i="1"/>
  <c r="M70" i="1"/>
  <c r="M53" i="1"/>
  <c r="M43" i="1"/>
  <c r="M37" i="1"/>
  <c r="M31" i="1"/>
  <c r="M25" i="1"/>
  <c r="M19" i="1"/>
  <c r="M36" i="1"/>
  <c r="M30" i="1"/>
  <c r="M14" i="1"/>
  <c r="M13" i="1"/>
  <c r="M24" i="1"/>
  <c r="M20" i="1"/>
  <c r="M59" i="1"/>
  <c r="M32" i="1"/>
  <c r="M10" i="1"/>
  <c r="M18" i="1"/>
  <c r="M26" i="1"/>
  <c r="M16" i="1"/>
  <c r="M12" i="1"/>
  <c r="M48" i="1"/>
  <c r="L212" i="1"/>
  <c r="L263" i="1"/>
  <c r="L433" i="1"/>
  <c r="L501" i="1"/>
  <c r="L671" i="1"/>
  <c r="L246" i="1"/>
  <c r="L586" i="1"/>
  <c r="H5" i="1"/>
  <c r="H8" i="1"/>
  <c r="L72" i="1"/>
  <c r="L552" i="1"/>
  <c r="L54" i="1"/>
  <c r="L34" i="1"/>
  <c r="L110" i="1"/>
  <c r="L229" i="1"/>
  <c r="L450" i="1"/>
  <c r="M263" i="1" l="1"/>
  <c r="L109" i="1"/>
  <c r="L44" i="1"/>
  <c r="M229" i="1"/>
  <c r="M178" i="1"/>
  <c r="P4" i="1"/>
  <c r="O6" i="1"/>
  <c r="M297" i="1"/>
  <c r="M569" i="1"/>
  <c r="N702" i="1"/>
  <c r="N693" i="1"/>
  <c r="N685" i="1"/>
  <c r="N697" i="1"/>
  <c r="N701" i="1"/>
  <c r="N703" i="1"/>
  <c r="N700" i="1"/>
  <c r="N696" i="1"/>
  <c r="N695" i="1" s="1"/>
  <c r="N686" i="1"/>
  <c r="N681" i="1"/>
  <c r="N679" i="1"/>
  <c r="N692" i="1"/>
  <c r="N691" i="1"/>
  <c r="N698" i="1"/>
  <c r="N699" i="1"/>
  <c r="N675" i="1"/>
  <c r="N694" i="1"/>
  <c r="N682" i="1"/>
  <c r="N678" i="1"/>
  <c r="N688" i="1"/>
  <c r="N683" i="1"/>
  <c r="N672" i="1"/>
  <c r="N687" i="1"/>
  <c r="N668" i="1"/>
  <c r="N690" i="1"/>
  <c r="N677" i="1"/>
  <c r="N674" i="1"/>
  <c r="N662" i="1"/>
  <c r="N669" i="1"/>
  <c r="N665" i="1"/>
  <c r="N684" i="1"/>
  <c r="N676" i="1"/>
  <c r="N670" i="1"/>
  <c r="N664" i="1"/>
  <c r="N651" i="1"/>
  <c r="N680" i="1"/>
  <c r="N666" i="1"/>
  <c r="N649" i="1"/>
  <c r="N643" i="1"/>
  <c r="N663" i="1"/>
  <c r="N656" i="1"/>
  <c r="N648" i="1"/>
  <c r="N667" i="1"/>
  <c r="N650" i="1"/>
  <c r="N659" i="1"/>
  <c r="N673" i="1"/>
  <c r="N660" i="1"/>
  <c r="N652" i="1"/>
  <c r="N646" i="1"/>
  <c r="N639" i="1"/>
  <c r="N634" i="1"/>
  <c r="N658" i="1"/>
  <c r="N661" i="1"/>
  <c r="N647" i="1"/>
  <c r="N628" i="1"/>
  <c r="N627" i="1"/>
  <c r="N653" i="1"/>
  <c r="N640" i="1"/>
  <c r="N629" i="1"/>
  <c r="N657" i="1"/>
  <c r="N633" i="1"/>
  <c r="N625" i="1"/>
  <c r="N622" i="1"/>
  <c r="N644" i="1"/>
  <c r="N645" i="1"/>
  <c r="N641" i="1"/>
  <c r="N619" i="1"/>
  <c r="N655" i="1"/>
  <c r="N654" i="1" s="1"/>
  <c r="N638" i="1"/>
  <c r="N618" i="1"/>
  <c r="N630" i="1"/>
  <c r="N642" i="1"/>
  <c r="N636" i="1"/>
  <c r="N632" i="1"/>
  <c r="N635" i="1"/>
  <c r="N626" i="1"/>
  <c r="N621" i="1"/>
  <c r="N610" i="1"/>
  <c r="N613" i="1"/>
  <c r="N608" i="1"/>
  <c r="N605" i="1"/>
  <c r="N624" i="1"/>
  <c r="N623" i="1"/>
  <c r="N631" i="1"/>
  <c r="N615" i="1"/>
  <c r="N611" i="1"/>
  <c r="N604" i="1"/>
  <c r="N612" i="1"/>
  <c r="N606" i="1"/>
  <c r="N599" i="1"/>
  <c r="N617" i="1"/>
  <c r="N616" i="1"/>
  <c r="N602" i="1"/>
  <c r="N590" i="1"/>
  <c r="N601" i="1"/>
  <c r="N607" i="1"/>
  <c r="N609" i="1"/>
  <c r="N598" i="1"/>
  <c r="N592" i="1"/>
  <c r="N580" i="1"/>
  <c r="N595" i="1"/>
  <c r="N614" i="1"/>
  <c r="N597" i="1"/>
  <c r="N594" i="1"/>
  <c r="N582" i="1"/>
  <c r="N579" i="1"/>
  <c r="N596" i="1"/>
  <c r="N600" i="1"/>
  <c r="N587" i="1"/>
  <c r="N584" i="1"/>
  <c r="N578" i="1"/>
  <c r="N589" i="1"/>
  <c r="N588" i="1"/>
  <c r="N583" i="1"/>
  <c r="N572" i="1"/>
  <c r="N575" i="1"/>
  <c r="N593" i="1"/>
  <c r="N591" i="1"/>
  <c r="N585" i="1"/>
  <c r="N574" i="1"/>
  <c r="N577" i="1"/>
  <c r="N573" i="1"/>
  <c r="N554" i="1"/>
  <c r="N548" i="1"/>
  <c r="N542" i="1"/>
  <c r="N558" i="1"/>
  <c r="N571" i="1"/>
  <c r="N562" i="1"/>
  <c r="N581" i="1"/>
  <c r="N576" i="1"/>
  <c r="N564" i="1"/>
  <c r="N555" i="1"/>
  <c r="N570" i="1"/>
  <c r="N565" i="1"/>
  <c r="N559" i="1"/>
  <c r="N567" i="1"/>
  <c r="N566" i="1"/>
  <c r="N539" i="1"/>
  <c r="N545" i="1"/>
  <c r="N543" i="1"/>
  <c r="N560" i="1"/>
  <c r="N547" i="1"/>
  <c r="N538" i="1"/>
  <c r="N557" i="1"/>
  <c r="N551" i="1"/>
  <c r="N549" i="1"/>
  <c r="N556" i="1"/>
  <c r="N546" i="1"/>
  <c r="N544" i="1"/>
  <c r="N563" i="1"/>
  <c r="N553" i="1"/>
  <c r="N533" i="1"/>
  <c r="N520" i="1"/>
  <c r="N536" i="1"/>
  <c r="N524" i="1"/>
  <c r="N561" i="1"/>
  <c r="N537" i="1"/>
  <c r="N528" i="1"/>
  <c r="N513" i="1"/>
  <c r="N509" i="1"/>
  <c r="N540" i="1"/>
  <c r="N532" i="1"/>
  <c r="N525" i="1"/>
  <c r="N521" i="1"/>
  <c r="N506" i="1"/>
  <c r="N529" i="1"/>
  <c r="N526" i="1"/>
  <c r="N534" i="1"/>
  <c r="N530" i="1"/>
  <c r="N541" i="1"/>
  <c r="N550" i="1"/>
  <c r="N523" i="1"/>
  <c r="N568" i="1"/>
  <c r="N531" i="1"/>
  <c r="N527" i="1"/>
  <c r="N512" i="1"/>
  <c r="N504" i="1"/>
  <c r="N498" i="1"/>
  <c r="N511" i="1"/>
  <c r="N505" i="1"/>
  <c r="N519" i="1"/>
  <c r="N516" i="1"/>
  <c r="N507" i="1"/>
  <c r="N502" i="1"/>
  <c r="N499" i="1"/>
  <c r="N495" i="1"/>
  <c r="N514" i="1"/>
  <c r="N492" i="1"/>
  <c r="N510" i="1"/>
  <c r="N522" i="1"/>
  <c r="N517" i="1"/>
  <c r="N508" i="1"/>
  <c r="N515" i="1"/>
  <c r="N491" i="1"/>
  <c r="N485" i="1"/>
  <c r="N482" i="1"/>
  <c r="N478" i="1"/>
  <c r="N489" i="1"/>
  <c r="N496" i="1"/>
  <c r="N500" i="1"/>
  <c r="N497" i="1"/>
  <c r="N480" i="1"/>
  <c r="N494" i="1"/>
  <c r="N488" i="1"/>
  <c r="N487" i="1"/>
  <c r="N486" i="1"/>
  <c r="N503" i="1"/>
  <c r="N493" i="1"/>
  <c r="N483" i="1"/>
  <c r="N481" i="1"/>
  <c r="N490" i="1"/>
  <c r="N477" i="1"/>
  <c r="N459" i="1"/>
  <c r="N453" i="1"/>
  <c r="N472" i="1"/>
  <c r="N469" i="1"/>
  <c r="N465" i="1"/>
  <c r="N458" i="1"/>
  <c r="N452" i="1"/>
  <c r="N446" i="1"/>
  <c r="N475" i="1"/>
  <c r="N468" i="1"/>
  <c r="N457" i="1"/>
  <c r="N471" i="1"/>
  <c r="N466" i="1"/>
  <c r="N479" i="1"/>
  <c r="N474" i="1"/>
  <c r="N462" i="1"/>
  <c r="N456" i="1"/>
  <c r="N463" i="1"/>
  <c r="N461" i="1"/>
  <c r="N473" i="1"/>
  <c r="N470" i="1"/>
  <c r="N460" i="1"/>
  <c r="N476" i="1"/>
  <c r="N449" i="1"/>
  <c r="N447" i="1"/>
  <c r="N442" i="1"/>
  <c r="N434" i="1"/>
  <c r="N451" i="1"/>
  <c r="N443" i="1"/>
  <c r="N421" i="1"/>
  <c r="N417" i="1"/>
  <c r="N409" i="1"/>
  <c r="N403" i="1"/>
  <c r="N454" i="1"/>
  <c r="N435" i="1"/>
  <c r="N426" i="1"/>
  <c r="N444" i="1"/>
  <c r="N436" i="1"/>
  <c r="N429" i="1"/>
  <c r="N414" i="1"/>
  <c r="N437" i="1"/>
  <c r="N432" i="1"/>
  <c r="N422" i="1"/>
  <c r="N418" i="1"/>
  <c r="N425" i="1"/>
  <c r="N413" i="1"/>
  <c r="N464" i="1"/>
  <c r="N439" i="1"/>
  <c r="N431" i="1"/>
  <c r="N423" i="1"/>
  <c r="N445" i="1"/>
  <c r="N440" i="1"/>
  <c r="N427" i="1"/>
  <c r="N420" i="1"/>
  <c r="N441" i="1"/>
  <c r="N430" i="1"/>
  <c r="N424" i="1"/>
  <c r="N419" i="1"/>
  <c r="N406" i="1"/>
  <c r="N412" i="1"/>
  <c r="N390" i="1"/>
  <c r="N402" i="1"/>
  <c r="N396" i="1"/>
  <c r="N415" i="1"/>
  <c r="N408" i="1"/>
  <c r="N405" i="1"/>
  <c r="N400" i="1"/>
  <c r="N455" i="1"/>
  <c r="N438" i="1"/>
  <c r="N428" i="1"/>
  <c r="N410" i="1"/>
  <c r="N397" i="1"/>
  <c r="N411" i="1"/>
  <c r="N401" i="1"/>
  <c r="N448" i="1"/>
  <c r="N407" i="1"/>
  <c r="N404" i="1"/>
  <c r="N393" i="1"/>
  <c r="N387" i="1"/>
  <c r="N398" i="1"/>
  <c r="N394" i="1"/>
  <c r="N392" i="1"/>
  <c r="N388" i="1"/>
  <c r="N386" i="1"/>
  <c r="N379" i="1"/>
  <c r="N371" i="1"/>
  <c r="N367" i="1"/>
  <c r="N361" i="1"/>
  <c r="N385" i="1"/>
  <c r="N380" i="1"/>
  <c r="N370" i="1"/>
  <c r="N372" i="1"/>
  <c r="N381" i="1"/>
  <c r="N373" i="1"/>
  <c r="N368" i="1"/>
  <c r="N395" i="1"/>
  <c r="N391" i="1"/>
  <c r="N374" i="1"/>
  <c r="N359" i="1"/>
  <c r="N384" i="1"/>
  <c r="N375" i="1"/>
  <c r="N369" i="1"/>
  <c r="N389" i="1"/>
  <c r="N357" i="1"/>
  <c r="N377" i="1"/>
  <c r="N383" i="1"/>
  <c r="N378" i="1"/>
  <c r="N363" i="1"/>
  <c r="N351" i="1"/>
  <c r="N332" i="1"/>
  <c r="N354" i="1"/>
  <c r="N340" i="1"/>
  <c r="N336" i="1"/>
  <c r="N344" i="1"/>
  <c r="N329" i="1"/>
  <c r="N325" i="1"/>
  <c r="N355" i="1"/>
  <c r="N333" i="1"/>
  <c r="N321" i="1"/>
  <c r="N358" i="1"/>
  <c r="N341" i="1"/>
  <c r="N337" i="1"/>
  <c r="N322" i="1"/>
  <c r="N345" i="1"/>
  <c r="N326" i="1"/>
  <c r="N320" i="1"/>
  <c r="N366" i="1"/>
  <c r="N364" i="1"/>
  <c r="N349" i="1"/>
  <c r="N334" i="1"/>
  <c r="N330" i="1"/>
  <c r="N362" i="1"/>
  <c r="N338" i="1"/>
  <c r="N323" i="1"/>
  <c r="N319" i="1"/>
  <c r="N376" i="1"/>
  <c r="N346" i="1"/>
  <c r="N342" i="1"/>
  <c r="N327" i="1"/>
  <c r="N360" i="1"/>
  <c r="N350" i="1"/>
  <c r="N356" i="1"/>
  <c r="N352" i="1"/>
  <c r="N339" i="1"/>
  <c r="N353" i="1"/>
  <c r="N303" i="1"/>
  <c r="N294" i="1"/>
  <c r="N288" i="1"/>
  <c r="N282" i="1"/>
  <c r="N276" i="1"/>
  <c r="N315" i="1"/>
  <c r="N324" i="1"/>
  <c r="N300" i="1"/>
  <c r="N305" i="1"/>
  <c r="N292" i="1"/>
  <c r="N286" i="1"/>
  <c r="N274" i="1"/>
  <c r="N268" i="1"/>
  <c r="N306" i="1"/>
  <c r="N317" i="1"/>
  <c r="N296" i="1"/>
  <c r="N291" i="1"/>
  <c r="N285" i="1"/>
  <c r="N343" i="1"/>
  <c r="N299" i="1"/>
  <c r="N347" i="1"/>
  <c r="N316" i="1"/>
  <c r="N290" i="1"/>
  <c r="N335" i="1"/>
  <c r="N328" i="1"/>
  <c r="N312" i="1"/>
  <c r="N311" i="1"/>
  <c r="N310" i="1"/>
  <c r="N309" i="1"/>
  <c r="N308" i="1"/>
  <c r="N307" i="1"/>
  <c r="N298" i="1"/>
  <c r="N289" i="1"/>
  <c r="N283" i="1"/>
  <c r="N318" i="1"/>
  <c r="N302" i="1"/>
  <c r="N301" i="1"/>
  <c r="N287" i="1"/>
  <c r="N284" i="1"/>
  <c r="N273" i="1"/>
  <c r="N272" i="1"/>
  <c r="N267" i="1"/>
  <c r="N261" i="1"/>
  <c r="N266" i="1"/>
  <c r="N254" i="1"/>
  <c r="N250" i="1"/>
  <c r="N249" i="1"/>
  <c r="N243" i="1"/>
  <c r="N237" i="1"/>
  <c r="N271" i="1"/>
  <c r="N258" i="1"/>
  <c r="N262" i="1"/>
  <c r="N248" i="1"/>
  <c r="N242" i="1"/>
  <c r="N236" i="1"/>
  <c r="N270" i="1"/>
  <c r="N251" i="1"/>
  <c r="N265" i="1"/>
  <c r="N259" i="1"/>
  <c r="N255" i="1"/>
  <c r="N247" i="1"/>
  <c r="N241" i="1"/>
  <c r="N235" i="1"/>
  <c r="N295" i="1"/>
  <c r="N293" i="1"/>
  <c r="N260" i="1"/>
  <c r="N256" i="1"/>
  <c r="N313" i="1"/>
  <c r="N304" i="1"/>
  <c r="N253" i="1"/>
  <c r="N277" i="1"/>
  <c r="N275" i="1"/>
  <c r="N257" i="1"/>
  <c r="N244" i="1"/>
  <c r="N238" i="1"/>
  <c r="N233" i="1"/>
  <c r="N226" i="1"/>
  <c r="N278" i="1"/>
  <c r="N252" i="1"/>
  <c r="N228" i="1"/>
  <c r="N223" i="1"/>
  <c r="N208" i="1"/>
  <c r="N202" i="1"/>
  <c r="N230" i="1"/>
  <c r="N240" i="1"/>
  <c r="N232" i="1"/>
  <c r="N281" i="1"/>
  <c r="N225" i="1"/>
  <c r="N279" i="1"/>
  <c r="N269" i="1"/>
  <c r="N218" i="1"/>
  <c r="N216" i="1"/>
  <c r="N227" i="1"/>
  <c r="N219" i="1"/>
  <c r="N211" i="1"/>
  <c r="N239" i="1"/>
  <c r="N213" i="1"/>
  <c r="N231" i="1"/>
  <c r="N220" i="1"/>
  <c r="N203" i="1"/>
  <c r="N186" i="1"/>
  <c r="N182" i="1"/>
  <c r="N172" i="1"/>
  <c r="N166" i="1"/>
  <c r="N160" i="1"/>
  <c r="N205" i="1"/>
  <c r="N190" i="1"/>
  <c r="N179" i="1"/>
  <c r="N177" i="1"/>
  <c r="N171" i="1"/>
  <c r="N165" i="1"/>
  <c r="N159" i="1"/>
  <c r="N153" i="1"/>
  <c r="N147" i="1"/>
  <c r="N245" i="1"/>
  <c r="N217" i="1"/>
  <c r="N197" i="1"/>
  <c r="N194" i="1"/>
  <c r="N183" i="1"/>
  <c r="N215" i="1"/>
  <c r="N209" i="1"/>
  <c r="N191" i="1"/>
  <c r="N187" i="1"/>
  <c r="N214" i="1"/>
  <c r="N199" i="1"/>
  <c r="N174" i="1"/>
  <c r="N168" i="1"/>
  <c r="N264" i="1"/>
  <c r="N224" i="1"/>
  <c r="N221" i="1"/>
  <c r="N189" i="1"/>
  <c r="N173" i="1"/>
  <c r="N210" i="1"/>
  <c r="N185" i="1"/>
  <c r="N180" i="1"/>
  <c r="N154" i="1"/>
  <c r="N139" i="1"/>
  <c r="N135" i="1"/>
  <c r="N126" i="1"/>
  <c r="N120" i="1"/>
  <c r="N114" i="1"/>
  <c r="N181" i="1"/>
  <c r="N201" i="1"/>
  <c r="N196" i="1"/>
  <c r="N164" i="1"/>
  <c r="N163" i="1"/>
  <c r="N162" i="1"/>
  <c r="N132" i="1"/>
  <c r="N125" i="1"/>
  <c r="N204" i="1"/>
  <c r="N175" i="1"/>
  <c r="N156" i="1"/>
  <c r="N124" i="1"/>
  <c r="N118" i="1"/>
  <c r="N146" i="1"/>
  <c r="N133" i="1"/>
  <c r="N129" i="1"/>
  <c r="N198" i="1"/>
  <c r="N169" i="1"/>
  <c r="N167" i="1"/>
  <c r="N152" i="1"/>
  <c r="N137" i="1"/>
  <c r="N222" i="1"/>
  <c r="N155" i="1"/>
  <c r="N134" i="1"/>
  <c r="N130" i="1"/>
  <c r="N234" i="1"/>
  <c r="N200" i="1"/>
  <c r="N192" i="1"/>
  <c r="N193" i="1"/>
  <c r="N151" i="1"/>
  <c r="N142" i="1"/>
  <c r="N207" i="1"/>
  <c r="N206" i="1"/>
  <c r="N188" i="1"/>
  <c r="N184" i="1"/>
  <c r="N170" i="1"/>
  <c r="N136" i="1"/>
  <c r="N89" i="1"/>
  <c r="N78" i="1"/>
  <c r="N176" i="1"/>
  <c r="N113" i="1"/>
  <c r="N88" i="1"/>
  <c r="N77" i="1"/>
  <c r="N119" i="1"/>
  <c r="N116" i="1"/>
  <c r="N108" i="1"/>
  <c r="N98" i="1"/>
  <c r="N87" i="1"/>
  <c r="N76" i="1"/>
  <c r="N158" i="1"/>
  <c r="N128" i="1"/>
  <c r="N97" i="1"/>
  <c r="N86" i="1"/>
  <c r="N75" i="1"/>
  <c r="N150" i="1"/>
  <c r="N148" i="1"/>
  <c r="N107" i="1"/>
  <c r="N96" i="1"/>
  <c r="N85" i="1"/>
  <c r="N74" i="1"/>
  <c r="N122" i="1"/>
  <c r="N121" i="1"/>
  <c r="N106" i="1"/>
  <c r="N95" i="1"/>
  <c r="N84" i="1"/>
  <c r="N123" i="1"/>
  <c r="N115" i="1"/>
  <c r="N105" i="1"/>
  <c r="N94" i="1"/>
  <c r="N83" i="1"/>
  <c r="N104" i="1"/>
  <c r="N93" i="1"/>
  <c r="N82" i="1"/>
  <c r="N157" i="1"/>
  <c r="N111" i="1"/>
  <c r="N103" i="1"/>
  <c r="N92" i="1"/>
  <c r="N145" i="1"/>
  <c r="N143" i="1"/>
  <c r="N112" i="1"/>
  <c r="N102" i="1"/>
  <c r="N91" i="1"/>
  <c r="N149" i="1"/>
  <c r="N141" i="1"/>
  <c r="N101" i="1"/>
  <c r="N73" i="1"/>
  <c r="N72" i="1" s="1"/>
  <c r="N62" i="1"/>
  <c r="N51" i="1"/>
  <c r="N42" i="1"/>
  <c r="N36" i="1"/>
  <c r="N30" i="1"/>
  <c r="N24" i="1"/>
  <c r="N18" i="1"/>
  <c r="N12" i="1"/>
  <c r="N80" i="1"/>
  <c r="N61" i="1"/>
  <c r="N50" i="1"/>
  <c r="N71" i="1"/>
  <c r="N68" i="1"/>
  <c r="N60" i="1"/>
  <c r="N49" i="1"/>
  <c r="N41" i="1"/>
  <c r="N35" i="1"/>
  <c r="N29" i="1"/>
  <c r="N23" i="1"/>
  <c r="N17" i="1"/>
  <c r="N11" i="1"/>
  <c r="N140" i="1"/>
  <c r="N59" i="1"/>
  <c r="N48" i="1"/>
  <c r="N57" i="1"/>
  <c r="N46" i="1"/>
  <c r="N69" i="1"/>
  <c r="N56" i="1"/>
  <c r="N33" i="1"/>
  <c r="N27" i="1"/>
  <c r="N21" i="1"/>
  <c r="N66" i="1"/>
  <c r="N55" i="1"/>
  <c r="N131" i="1"/>
  <c r="N117" i="1"/>
  <c r="N65" i="1"/>
  <c r="N138" i="1"/>
  <c r="N79" i="1"/>
  <c r="N64" i="1"/>
  <c r="N100" i="1"/>
  <c r="N70" i="1"/>
  <c r="N67" i="1"/>
  <c r="N52" i="1"/>
  <c r="N14" i="1"/>
  <c r="N58" i="1"/>
  <c r="N19" i="1"/>
  <c r="N15" i="1"/>
  <c r="N47" i="1"/>
  <c r="N37" i="1"/>
  <c r="N9" i="1"/>
  <c r="N40" i="1"/>
  <c r="N53" i="1"/>
  <c r="N28" i="1"/>
  <c r="N13" i="1"/>
  <c r="N22" i="1"/>
  <c r="N38" i="1"/>
  <c r="N25" i="1"/>
  <c r="N43" i="1"/>
  <c r="N32" i="1"/>
  <c r="N10" i="1"/>
  <c r="N26" i="1"/>
  <c r="N31" i="1"/>
  <c r="N16" i="1"/>
  <c r="N20" i="1"/>
  <c r="M399" i="1"/>
  <c r="M467" i="1"/>
  <c r="L7" i="1"/>
  <c r="M99" i="1"/>
  <c r="M433" i="1"/>
  <c r="M127" i="1"/>
  <c r="M110" i="1"/>
  <c r="M246" i="1"/>
  <c r="M348" i="1"/>
  <c r="M63" i="1"/>
  <c r="M45" i="1"/>
  <c r="M365" i="1"/>
  <c r="M331" i="1"/>
  <c r="M637" i="1"/>
  <c r="M34" i="1"/>
  <c r="M81" i="1"/>
  <c r="M212" i="1"/>
  <c r="M314" i="1"/>
  <c r="M382" i="1"/>
  <c r="M501" i="1"/>
  <c r="M535" i="1"/>
  <c r="M603" i="1"/>
  <c r="M695" i="1"/>
  <c r="K7" i="1"/>
  <c r="M144" i="1"/>
  <c r="M195" i="1"/>
  <c r="M280" i="1"/>
  <c r="M450" i="1"/>
  <c r="M518" i="1"/>
  <c r="M586" i="1"/>
  <c r="M654" i="1"/>
  <c r="M671" i="1"/>
  <c r="M552" i="1"/>
  <c r="M620" i="1"/>
  <c r="M72" i="1"/>
  <c r="M54" i="1"/>
  <c r="M90" i="1"/>
  <c r="M161" i="1"/>
  <c r="M689" i="1"/>
  <c r="N212" i="1" l="1"/>
  <c r="N81" i="1"/>
  <c r="N552" i="1"/>
  <c r="O699" i="1"/>
  <c r="O693" i="1"/>
  <c r="O698" i="1"/>
  <c r="O703" i="1"/>
  <c r="O687" i="1"/>
  <c r="O681" i="1"/>
  <c r="O697" i="1"/>
  <c r="O701" i="1"/>
  <c r="O700" i="1"/>
  <c r="O702" i="1"/>
  <c r="O696" i="1"/>
  <c r="O692" i="1"/>
  <c r="O691" i="1"/>
  <c r="O694" i="1"/>
  <c r="O684" i="1"/>
  <c r="O679" i="1"/>
  <c r="O690" i="1"/>
  <c r="O689" i="1" s="1"/>
  <c r="O688" i="1"/>
  <c r="O676" i="1"/>
  <c r="O680" i="1"/>
  <c r="O668" i="1"/>
  <c r="O662" i="1"/>
  <c r="O656" i="1"/>
  <c r="O673" i="1"/>
  <c r="O667" i="1"/>
  <c r="O661" i="1"/>
  <c r="O655" i="1"/>
  <c r="O683" i="1"/>
  <c r="O686" i="1"/>
  <c r="O685" i="1"/>
  <c r="O670" i="1"/>
  <c r="O677" i="1"/>
  <c r="O674" i="1"/>
  <c r="O669" i="1"/>
  <c r="O665" i="1"/>
  <c r="O682" i="1"/>
  <c r="O678" i="1"/>
  <c r="O675" i="1"/>
  <c r="O660" i="1"/>
  <c r="O650" i="1"/>
  <c r="O672" i="1"/>
  <c r="O666" i="1"/>
  <c r="O658" i="1"/>
  <c r="O657" i="1"/>
  <c r="O664" i="1"/>
  <c r="O649" i="1"/>
  <c r="O643" i="1"/>
  <c r="O631" i="1"/>
  <c r="O663" i="1"/>
  <c r="O651" i="1"/>
  <c r="O659" i="1"/>
  <c r="O647" i="1"/>
  <c r="O641" i="1"/>
  <c r="O653" i="1"/>
  <c r="O648" i="1"/>
  <c r="O642" i="1"/>
  <c r="O636" i="1"/>
  <c r="O632" i="1"/>
  <c r="O633" i="1"/>
  <c r="O625" i="1"/>
  <c r="O619" i="1"/>
  <c r="O644" i="1"/>
  <c r="O640" i="1"/>
  <c r="O635" i="1"/>
  <c r="O629" i="1"/>
  <c r="O616" i="1"/>
  <c r="O610" i="1"/>
  <c r="O645" i="1"/>
  <c r="O634" i="1"/>
  <c r="O628" i="1"/>
  <c r="O623" i="1"/>
  <c r="O615" i="1"/>
  <c r="O609" i="1"/>
  <c r="O652" i="1"/>
  <c r="O638" i="1"/>
  <c r="O630" i="1"/>
  <c r="O626" i="1"/>
  <c r="O646" i="1"/>
  <c r="O639" i="1"/>
  <c r="O624" i="1"/>
  <c r="O613" i="1"/>
  <c r="O601" i="1"/>
  <c r="O622" i="1"/>
  <c r="O606" i="1"/>
  <c r="O614" i="1"/>
  <c r="O611" i="1"/>
  <c r="O627" i="1"/>
  <c r="O621" i="1"/>
  <c r="O605" i="1"/>
  <c r="O598" i="1"/>
  <c r="O592" i="1"/>
  <c r="O617" i="1"/>
  <c r="O602" i="1"/>
  <c r="O594" i="1"/>
  <c r="O608" i="1"/>
  <c r="O607" i="1"/>
  <c r="O618" i="1"/>
  <c r="O612" i="1"/>
  <c r="O604" i="1"/>
  <c r="O599" i="1"/>
  <c r="O596" i="1"/>
  <c r="O595" i="1"/>
  <c r="O597" i="1"/>
  <c r="O582" i="1"/>
  <c r="O579" i="1"/>
  <c r="O573" i="1"/>
  <c r="O567" i="1"/>
  <c r="O561" i="1"/>
  <c r="O555" i="1"/>
  <c r="O600" i="1"/>
  <c r="O587" i="1"/>
  <c r="O584" i="1"/>
  <c r="O576" i="1"/>
  <c r="O570" i="1"/>
  <c r="O564" i="1"/>
  <c r="O593" i="1"/>
  <c r="O590" i="1"/>
  <c r="O583" i="1"/>
  <c r="O575" i="1"/>
  <c r="O591" i="1"/>
  <c r="O577" i="1"/>
  <c r="O572" i="1"/>
  <c r="O588" i="1"/>
  <c r="O585" i="1"/>
  <c r="O578" i="1"/>
  <c r="O558" i="1"/>
  <c r="O571" i="1"/>
  <c r="O562" i="1"/>
  <c r="O547" i="1"/>
  <c r="O541" i="1"/>
  <c r="O581" i="1"/>
  <c r="O565" i="1"/>
  <c r="O559" i="1"/>
  <c r="O546" i="1"/>
  <c r="O566" i="1"/>
  <c r="O551" i="1"/>
  <c r="O545" i="1"/>
  <c r="O580" i="1"/>
  <c r="O568" i="1"/>
  <c r="O543" i="1"/>
  <c r="O589" i="1"/>
  <c r="O560" i="1"/>
  <c r="O538" i="1"/>
  <c r="O532" i="1"/>
  <c r="O526" i="1"/>
  <c r="O520" i="1"/>
  <c r="O514" i="1"/>
  <c r="O508" i="1"/>
  <c r="O502" i="1"/>
  <c r="O557" i="1"/>
  <c r="O554" i="1"/>
  <c r="O549" i="1"/>
  <c r="O574" i="1"/>
  <c r="O556" i="1"/>
  <c r="O563" i="1"/>
  <c r="O539" i="1"/>
  <c r="O536" i="1"/>
  <c r="O524" i="1"/>
  <c r="O537" i="1"/>
  <c r="O528" i="1"/>
  <c r="O548" i="1"/>
  <c r="O540" i="1"/>
  <c r="O517" i="1"/>
  <c r="O529" i="1"/>
  <c r="O510" i="1"/>
  <c r="O500" i="1"/>
  <c r="O494" i="1"/>
  <c r="O488" i="1"/>
  <c r="O482" i="1"/>
  <c r="O553" i="1"/>
  <c r="O534" i="1"/>
  <c r="O530" i="1"/>
  <c r="O550" i="1"/>
  <c r="O531" i="1"/>
  <c r="O527" i="1"/>
  <c r="O544" i="1"/>
  <c r="O542" i="1"/>
  <c r="O533" i="1"/>
  <c r="O516" i="1"/>
  <c r="O511" i="1"/>
  <c r="O506" i="1"/>
  <c r="O505" i="1"/>
  <c r="O525" i="1"/>
  <c r="O519" i="1"/>
  <c r="O509" i="1"/>
  <c r="O496" i="1"/>
  <c r="O512" i="1"/>
  <c r="O523" i="1"/>
  <c r="O522" i="1"/>
  <c r="O521" i="1"/>
  <c r="O515" i="1"/>
  <c r="O503" i="1"/>
  <c r="O513" i="1"/>
  <c r="O504" i="1"/>
  <c r="O491" i="1"/>
  <c r="O489" i="1"/>
  <c r="O499" i="1"/>
  <c r="O498" i="1"/>
  <c r="O507" i="1"/>
  <c r="O492" i="1"/>
  <c r="O474" i="1"/>
  <c r="O468" i="1"/>
  <c r="O497" i="1"/>
  <c r="O495" i="1"/>
  <c r="O490" i="1"/>
  <c r="O473" i="1"/>
  <c r="O493" i="1"/>
  <c r="O483" i="1"/>
  <c r="O480" i="1"/>
  <c r="O472" i="1"/>
  <c r="O469" i="1"/>
  <c r="O465" i="1"/>
  <c r="O458" i="1"/>
  <c r="O452" i="1"/>
  <c r="O446" i="1"/>
  <c r="O440" i="1"/>
  <c r="O434" i="1"/>
  <c r="O428" i="1"/>
  <c r="O422" i="1"/>
  <c r="O486" i="1"/>
  <c r="O475" i="1"/>
  <c r="O457" i="1"/>
  <c r="O451" i="1"/>
  <c r="O445" i="1"/>
  <c r="O439" i="1"/>
  <c r="O478" i="1"/>
  <c r="O471" i="1"/>
  <c r="O466" i="1"/>
  <c r="O479" i="1"/>
  <c r="O462" i="1"/>
  <c r="O485" i="1"/>
  <c r="O463" i="1"/>
  <c r="O461" i="1"/>
  <c r="O455" i="1"/>
  <c r="O449" i="1"/>
  <c r="O443" i="1"/>
  <c r="O437" i="1"/>
  <c r="O431" i="1"/>
  <c r="O425" i="1"/>
  <c r="O481" i="1"/>
  <c r="O470" i="1"/>
  <c r="O487" i="1"/>
  <c r="O476" i="1"/>
  <c r="O464" i="1"/>
  <c r="O477" i="1"/>
  <c r="O421" i="1"/>
  <c r="O460" i="1"/>
  <c r="O459" i="1"/>
  <c r="O454" i="1"/>
  <c r="O435" i="1"/>
  <c r="O426" i="1"/>
  <c r="O453" i="1"/>
  <c r="O444" i="1"/>
  <c r="O436" i="1"/>
  <c r="O429" i="1"/>
  <c r="O456" i="1"/>
  <c r="O432" i="1"/>
  <c r="O418" i="1"/>
  <c r="O413" i="1"/>
  <c r="O448" i="1"/>
  <c r="O438" i="1"/>
  <c r="O415" i="1"/>
  <c r="O411" i="1"/>
  <c r="O405" i="1"/>
  <c r="O427" i="1"/>
  <c r="O441" i="1"/>
  <c r="O430" i="1"/>
  <c r="O424" i="1"/>
  <c r="O447" i="1"/>
  <c r="O442" i="1"/>
  <c r="O412" i="1"/>
  <c r="O390" i="1"/>
  <c r="O384" i="1"/>
  <c r="O402" i="1"/>
  <c r="O396" i="1"/>
  <c r="O408" i="1"/>
  <c r="O400" i="1"/>
  <c r="O389" i="1"/>
  <c r="O383" i="1"/>
  <c r="O377" i="1"/>
  <c r="O371" i="1"/>
  <c r="O409" i="1"/>
  <c r="O410" i="1"/>
  <c r="O397" i="1"/>
  <c r="O388" i="1"/>
  <c r="O376" i="1"/>
  <c r="O370" i="1"/>
  <c r="O364" i="1"/>
  <c r="O401" i="1"/>
  <c r="O407" i="1"/>
  <c r="O404" i="1"/>
  <c r="O398" i="1"/>
  <c r="O394" i="1"/>
  <c r="O414" i="1"/>
  <c r="O392" i="1"/>
  <c r="O386" i="1"/>
  <c r="O380" i="1"/>
  <c r="O374" i="1"/>
  <c r="O420" i="1"/>
  <c r="O423" i="1"/>
  <c r="O417" i="1"/>
  <c r="O387" i="1"/>
  <c r="O385" i="1"/>
  <c r="O372" i="1"/>
  <c r="O360" i="1"/>
  <c r="O354" i="1"/>
  <c r="O381" i="1"/>
  <c r="O373" i="1"/>
  <c r="O395" i="1"/>
  <c r="O391" i="1"/>
  <c r="O359" i="1"/>
  <c r="O353" i="1"/>
  <c r="O347" i="1"/>
  <c r="O341" i="1"/>
  <c r="O335" i="1"/>
  <c r="O329" i="1"/>
  <c r="O323" i="1"/>
  <c r="O406" i="1"/>
  <c r="O366" i="1"/>
  <c r="O393" i="1"/>
  <c r="O378" i="1"/>
  <c r="O379" i="1"/>
  <c r="O367" i="1"/>
  <c r="O361" i="1"/>
  <c r="O355" i="1"/>
  <c r="O340" i="1"/>
  <c r="O336" i="1"/>
  <c r="O316" i="1"/>
  <c r="O310" i="1"/>
  <c r="O304" i="1"/>
  <c r="O298" i="1"/>
  <c r="O344" i="1"/>
  <c r="O325" i="1"/>
  <c r="O333" i="1"/>
  <c r="O321" i="1"/>
  <c r="O315" i="1"/>
  <c r="O309" i="1"/>
  <c r="O303" i="1"/>
  <c r="O403" i="1"/>
  <c r="O358" i="1"/>
  <c r="O337" i="1"/>
  <c r="O322" i="1"/>
  <c r="O375" i="1"/>
  <c r="O357" i="1"/>
  <c r="O345" i="1"/>
  <c r="O326" i="1"/>
  <c r="O320" i="1"/>
  <c r="O308" i="1"/>
  <c r="O349" i="1"/>
  <c r="O334" i="1"/>
  <c r="O330" i="1"/>
  <c r="O419" i="1"/>
  <c r="O368" i="1"/>
  <c r="O363" i="1"/>
  <c r="O362" i="1"/>
  <c r="O338" i="1"/>
  <c r="O319" i="1"/>
  <c r="O313" i="1"/>
  <c r="O307" i="1"/>
  <c r="O301" i="1"/>
  <c r="O346" i="1"/>
  <c r="O342" i="1"/>
  <c r="O327" i="1"/>
  <c r="O350" i="1"/>
  <c r="O318" i="1"/>
  <c r="O356" i="1"/>
  <c r="O352" i="1"/>
  <c r="O339" i="1"/>
  <c r="O343" i="1"/>
  <c r="O328" i="1"/>
  <c r="O324" i="1"/>
  <c r="O317" i="1"/>
  <c r="O311" i="1"/>
  <c r="O295" i="1"/>
  <c r="O293" i="1"/>
  <c r="O287" i="1"/>
  <c r="O281" i="1"/>
  <c r="O275" i="1"/>
  <c r="O269" i="1"/>
  <c r="O369" i="1"/>
  <c r="O305" i="1"/>
  <c r="O292" i="1"/>
  <c r="O286" i="1"/>
  <c r="O274" i="1"/>
  <c r="O268" i="1"/>
  <c r="O306" i="1"/>
  <c r="O332" i="1"/>
  <c r="O296" i="1"/>
  <c r="O291" i="1"/>
  <c r="O299" i="1"/>
  <c r="O290" i="1"/>
  <c r="O284" i="1"/>
  <c r="O278" i="1"/>
  <c r="O272" i="1"/>
  <c r="O266" i="1"/>
  <c r="O260" i="1"/>
  <c r="O254" i="1"/>
  <c r="O312" i="1"/>
  <c r="O289" i="1"/>
  <c r="O283" i="1"/>
  <c r="O351" i="1"/>
  <c r="O302" i="1"/>
  <c r="O294" i="1"/>
  <c r="O288" i="1"/>
  <c r="O250" i="1"/>
  <c r="O249" i="1"/>
  <c r="O243" i="1"/>
  <c r="O237" i="1"/>
  <c r="O231" i="1"/>
  <c r="O225" i="1"/>
  <c r="O219" i="1"/>
  <c r="O271" i="1"/>
  <c r="O258" i="1"/>
  <c r="O282" i="1"/>
  <c r="O262" i="1"/>
  <c r="O248" i="1"/>
  <c r="O242" i="1"/>
  <c r="O236" i="1"/>
  <c r="O230" i="1"/>
  <c r="O285" i="1"/>
  <c r="O270" i="1"/>
  <c r="O251" i="1"/>
  <c r="O265" i="1"/>
  <c r="O259" i="1"/>
  <c r="O255" i="1"/>
  <c r="O247" i="1"/>
  <c r="O241" i="1"/>
  <c r="O235" i="1"/>
  <c r="O223" i="1"/>
  <c r="O217" i="1"/>
  <c r="O300" i="1"/>
  <c r="O279" i="1"/>
  <c r="O264" i="1"/>
  <c r="O277" i="1"/>
  <c r="O257" i="1"/>
  <c r="O244" i="1"/>
  <c r="O238" i="1"/>
  <c r="O232" i="1"/>
  <c r="O226" i="1"/>
  <c r="O220" i="1"/>
  <c r="O214" i="1"/>
  <c r="O276" i="1"/>
  <c r="O273" i="1"/>
  <c r="O267" i="1"/>
  <c r="O261" i="1"/>
  <c r="O253" i="1"/>
  <c r="O252" i="1"/>
  <c r="O228" i="1"/>
  <c r="O256" i="1"/>
  <c r="O224" i="1"/>
  <c r="O215" i="1"/>
  <c r="O207" i="1"/>
  <c r="O218" i="1"/>
  <c r="O216" i="1"/>
  <c r="O227" i="1"/>
  <c r="O211" i="1"/>
  <c r="O205" i="1"/>
  <c r="O199" i="1"/>
  <c r="O239" i="1"/>
  <c r="O213" i="1"/>
  <c r="O210" i="1"/>
  <c r="O204" i="1"/>
  <c r="O198" i="1"/>
  <c r="O192" i="1"/>
  <c r="O186" i="1"/>
  <c r="O180" i="1"/>
  <c r="O245" i="1"/>
  <c r="O234" i="1"/>
  <c r="O208" i="1"/>
  <c r="O190" i="1"/>
  <c r="O179" i="1"/>
  <c r="O177" i="1"/>
  <c r="O197" i="1"/>
  <c r="O194" i="1"/>
  <c r="O183" i="1"/>
  <c r="O240" i="1"/>
  <c r="O209" i="1"/>
  <c r="O191" i="1"/>
  <c r="O187" i="1"/>
  <c r="O176" i="1"/>
  <c r="O170" i="1"/>
  <c r="O164" i="1"/>
  <c r="O158" i="1"/>
  <c r="O152" i="1"/>
  <c r="O146" i="1"/>
  <c r="O140" i="1"/>
  <c r="O134" i="1"/>
  <c r="O128" i="1"/>
  <c r="O200" i="1"/>
  <c r="O233" i="1"/>
  <c r="O222" i="1"/>
  <c r="O201" i="1"/>
  <c r="O185" i="1"/>
  <c r="O181" i="1"/>
  <c r="O221" i="1"/>
  <c r="O193" i="1"/>
  <c r="O168" i="1"/>
  <c r="O143" i="1"/>
  <c r="O196" i="1"/>
  <c r="O182" i="1"/>
  <c r="O163" i="1"/>
  <c r="O162" i="1"/>
  <c r="O150" i="1"/>
  <c r="O147" i="1"/>
  <c r="O136" i="1"/>
  <c r="O133" i="1"/>
  <c r="O129" i="1"/>
  <c r="O174" i="1"/>
  <c r="O173" i="1"/>
  <c r="O172" i="1"/>
  <c r="O169" i="1"/>
  <c r="O167" i="1"/>
  <c r="O165" i="1"/>
  <c r="O137" i="1"/>
  <c r="O123" i="1"/>
  <c r="O117" i="1"/>
  <c r="O171" i="1"/>
  <c r="O149" i="1"/>
  <c r="O141" i="1"/>
  <c r="O145" i="1"/>
  <c r="O138" i="1"/>
  <c r="O159" i="1"/>
  <c r="O151" i="1"/>
  <c r="O206" i="1"/>
  <c r="O202" i="1"/>
  <c r="O188" i="1"/>
  <c r="O184" i="1"/>
  <c r="O157" i="1"/>
  <c r="O148" i="1"/>
  <c r="O189" i="1"/>
  <c r="O166" i="1"/>
  <c r="O126" i="1"/>
  <c r="O118" i="1"/>
  <c r="O113" i="1"/>
  <c r="O88" i="1"/>
  <c r="O77" i="1"/>
  <c r="O125" i="1"/>
  <c r="O124" i="1"/>
  <c r="O119" i="1"/>
  <c r="O116" i="1"/>
  <c r="O108" i="1"/>
  <c r="O98" i="1"/>
  <c r="O87" i="1"/>
  <c r="O76" i="1"/>
  <c r="O156" i="1"/>
  <c r="O154" i="1"/>
  <c r="O97" i="1"/>
  <c r="O86" i="1"/>
  <c r="O75" i="1"/>
  <c r="O120" i="1"/>
  <c r="O107" i="1"/>
  <c r="O96" i="1"/>
  <c r="O85" i="1"/>
  <c r="O74" i="1"/>
  <c r="O203" i="1"/>
  <c r="O135" i="1"/>
  <c r="O122" i="1"/>
  <c r="O121" i="1"/>
  <c r="O106" i="1"/>
  <c r="O95" i="1"/>
  <c r="O84" i="1"/>
  <c r="O73" i="1"/>
  <c r="O115" i="1"/>
  <c r="O105" i="1"/>
  <c r="O94" i="1"/>
  <c r="O83" i="1"/>
  <c r="O132" i="1"/>
  <c r="O104" i="1"/>
  <c r="O93" i="1"/>
  <c r="O82" i="1"/>
  <c r="O175" i="1"/>
  <c r="O130" i="1"/>
  <c r="O111" i="1"/>
  <c r="O103" i="1"/>
  <c r="O92" i="1"/>
  <c r="O155" i="1"/>
  <c r="O112" i="1"/>
  <c r="O102" i="1"/>
  <c r="O91" i="1"/>
  <c r="O160" i="1"/>
  <c r="O153" i="1"/>
  <c r="O142" i="1"/>
  <c r="O114" i="1"/>
  <c r="O101" i="1"/>
  <c r="O80" i="1"/>
  <c r="O139" i="1"/>
  <c r="O131" i="1"/>
  <c r="O100" i="1"/>
  <c r="O61" i="1"/>
  <c r="O50" i="1"/>
  <c r="O71" i="1"/>
  <c r="O68" i="1"/>
  <c r="O60" i="1"/>
  <c r="O49" i="1"/>
  <c r="O41" i="1"/>
  <c r="O59" i="1"/>
  <c r="O48" i="1"/>
  <c r="O58" i="1"/>
  <c r="O47" i="1"/>
  <c r="O40" i="1"/>
  <c r="O28" i="1"/>
  <c r="O22" i="1"/>
  <c r="O16" i="1"/>
  <c r="O10" i="1"/>
  <c r="O78" i="1"/>
  <c r="O69" i="1"/>
  <c r="O56" i="1"/>
  <c r="O33" i="1"/>
  <c r="O27" i="1"/>
  <c r="O21" i="1"/>
  <c r="O66" i="1"/>
  <c r="O55" i="1"/>
  <c r="O65" i="1"/>
  <c r="O38" i="1"/>
  <c r="O32" i="1"/>
  <c r="O26" i="1"/>
  <c r="O20" i="1"/>
  <c r="O14" i="1"/>
  <c r="O79" i="1"/>
  <c r="O64" i="1"/>
  <c r="O89" i="1"/>
  <c r="O70" i="1"/>
  <c r="O67" i="1"/>
  <c r="O53" i="1"/>
  <c r="O43" i="1"/>
  <c r="O37" i="1"/>
  <c r="O62" i="1"/>
  <c r="O51" i="1"/>
  <c r="O42" i="1"/>
  <c r="O36" i="1"/>
  <c r="O30" i="1"/>
  <c r="O24" i="1"/>
  <c r="O18" i="1"/>
  <c r="O57" i="1"/>
  <c r="O35" i="1"/>
  <c r="O19" i="1"/>
  <c r="O9" i="1"/>
  <c r="O29" i="1"/>
  <c r="O11" i="1"/>
  <c r="O17" i="1"/>
  <c r="O23" i="1"/>
  <c r="O13" i="1"/>
  <c r="O46" i="1"/>
  <c r="O52" i="1"/>
  <c r="O31" i="1"/>
  <c r="O12" i="1"/>
  <c r="O25" i="1"/>
  <c r="O15" i="1"/>
  <c r="N382" i="1"/>
  <c r="N467" i="1"/>
  <c r="P6" i="1"/>
  <c r="Q4" i="1"/>
  <c r="N54" i="1"/>
  <c r="N263" i="1"/>
  <c r="N297" i="1"/>
  <c r="N348" i="1"/>
  <c r="N620" i="1"/>
  <c r="N90" i="1"/>
  <c r="N501" i="1"/>
  <c r="M44" i="1"/>
  <c r="M7" i="1" s="1"/>
  <c r="N314" i="1"/>
  <c r="N365" i="1"/>
  <c r="N399" i="1"/>
  <c r="N416" i="1"/>
  <c r="N484" i="1"/>
  <c r="N603" i="1"/>
  <c r="L8" i="1"/>
  <c r="L5" i="1"/>
  <c r="K8" i="1"/>
  <c r="K5" i="1"/>
  <c r="N34" i="1"/>
  <c r="N518" i="1"/>
  <c r="N569" i="1"/>
  <c r="N586" i="1"/>
  <c r="N689" i="1"/>
  <c r="M109" i="1"/>
  <c r="N99" i="1"/>
  <c r="N144" i="1"/>
  <c r="N161" i="1"/>
  <c r="N280" i="1"/>
  <c r="N450" i="1"/>
  <c r="N39" i="1"/>
  <c r="N63" i="1"/>
  <c r="N433" i="1"/>
  <c r="N246" i="1"/>
  <c r="N331" i="1"/>
  <c r="N535" i="1"/>
  <c r="N671" i="1"/>
  <c r="N45" i="1"/>
  <c r="N110" i="1"/>
  <c r="N127" i="1"/>
  <c r="N195" i="1"/>
  <c r="N178" i="1"/>
  <c r="N229" i="1"/>
  <c r="N637" i="1"/>
  <c r="O63" i="1" l="1"/>
  <c r="O280" i="1"/>
  <c r="O110" i="1"/>
  <c r="M5" i="1"/>
  <c r="M8" i="1"/>
  <c r="O127" i="1"/>
  <c r="O45" i="1"/>
  <c r="O195" i="1"/>
  <c r="O297" i="1"/>
  <c r="O365" i="1"/>
  <c r="O450" i="1"/>
  <c r="O81" i="1"/>
  <c r="O246" i="1"/>
  <c r="O569" i="1"/>
  <c r="O501" i="1"/>
  <c r="O671" i="1"/>
  <c r="O518" i="1"/>
  <c r="O620" i="1"/>
  <c r="O178" i="1"/>
  <c r="O331" i="1"/>
  <c r="O382" i="1"/>
  <c r="O484" i="1"/>
  <c r="O586" i="1"/>
  <c r="O603" i="1"/>
  <c r="O637" i="1"/>
  <c r="O654" i="1"/>
  <c r="Q6" i="1"/>
  <c r="R4" i="1"/>
  <c r="O90" i="1"/>
  <c r="O552" i="1"/>
  <c r="O212" i="1"/>
  <c r="O263" i="1"/>
  <c r="O348" i="1"/>
  <c r="O416" i="1"/>
  <c r="O399" i="1"/>
  <c r="O433" i="1"/>
  <c r="O535" i="1"/>
  <c r="O54" i="1"/>
  <c r="O39" i="1"/>
  <c r="O99" i="1"/>
  <c r="O314" i="1"/>
  <c r="N109" i="1"/>
  <c r="N44" i="1"/>
  <c r="O34" i="1"/>
  <c r="O229" i="1"/>
  <c r="O695" i="1"/>
  <c r="O144" i="1"/>
  <c r="P703" i="1"/>
  <c r="P701" i="1"/>
  <c r="P692" i="1"/>
  <c r="P688" i="1"/>
  <c r="P697" i="1"/>
  <c r="P700" i="1"/>
  <c r="P702" i="1"/>
  <c r="P694" i="1"/>
  <c r="P696" i="1"/>
  <c r="P695" i="1" s="1"/>
  <c r="P691" i="1"/>
  <c r="P678" i="1"/>
  <c r="P698" i="1"/>
  <c r="P685" i="1"/>
  <c r="P693" i="1"/>
  <c r="P681" i="1"/>
  <c r="P674" i="1"/>
  <c r="P684" i="1"/>
  <c r="P687" i="1"/>
  <c r="P682" i="1"/>
  <c r="P690" i="1"/>
  <c r="P686" i="1"/>
  <c r="P699" i="1"/>
  <c r="P675" i="1"/>
  <c r="P676" i="1"/>
  <c r="P673" i="1"/>
  <c r="P677" i="1"/>
  <c r="P669" i="1"/>
  <c r="P665" i="1"/>
  <c r="P683" i="1"/>
  <c r="P670" i="1"/>
  <c r="P658" i="1"/>
  <c r="P680" i="1"/>
  <c r="P672" i="1"/>
  <c r="P662" i="1"/>
  <c r="P660" i="1"/>
  <c r="P650" i="1"/>
  <c r="P679" i="1"/>
  <c r="P668" i="1"/>
  <c r="P666" i="1"/>
  <c r="P663" i="1"/>
  <c r="P651" i="1"/>
  <c r="P656" i="1"/>
  <c r="P648" i="1"/>
  <c r="P642" i="1"/>
  <c r="P667" i="1"/>
  <c r="P659" i="1"/>
  <c r="P647" i="1"/>
  <c r="P655" i="1"/>
  <c r="P652" i="1"/>
  <c r="P661" i="1"/>
  <c r="P626" i="1"/>
  <c r="P649" i="1"/>
  <c r="P657" i="1"/>
  <c r="P644" i="1"/>
  <c r="P664" i="1"/>
  <c r="P645" i="1"/>
  <c r="P630" i="1"/>
  <c r="P624" i="1"/>
  <c r="P641" i="1"/>
  <c r="P643" i="1"/>
  <c r="P646" i="1"/>
  <c r="P638" i="1"/>
  <c r="P639" i="1"/>
  <c r="P621" i="1"/>
  <c r="P617" i="1"/>
  <c r="P633" i="1"/>
  <c r="P640" i="1"/>
  <c r="P653" i="1"/>
  <c r="P636" i="1"/>
  <c r="P635" i="1"/>
  <c r="P634" i="1"/>
  <c r="P627" i="1"/>
  <c r="P625" i="1"/>
  <c r="P622" i="1"/>
  <c r="P629" i="1"/>
  <c r="P628" i="1"/>
  <c r="P631" i="1"/>
  <c r="P623" i="1"/>
  <c r="P615" i="1"/>
  <c r="P632" i="1"/>
  <c r="P618" i="1"/>
  <c r="P604" i="1"/>
  <c r="P614" i="1"/>
  <c r="P612" i="1"/>
  <c r="P619" i="1"/>
  <c r="P605" i="1"/>
  <c r="P598" i="1"/>
  <c r="P602" i="1"/>
  <c r="P616" i="1"/>
  <c r="P613" i="1"/>
  <c r="P610" i="1"/>
  <c r="P608" i="1"/>
  <c r="P607" i="1"/>
  <c r="P606" i="1"/>
  <c r="P609" i="1"/>
  <c r="P597" i="1"/>
  <c r="P599" i="1"/>
  <c r="P596" i="1"/>
  <c r="P611" i="1"/>
  <c r="P600" i="1"/>
  <c r="P582" i="1"/>
  <c r="P579" i="1"/>
  <c r="P594" i="1"/>
  <c r="P589" i="1"/>
  <c r="P588" i="1"/>
  <c r="P585" i="1"/>
  <c r="P578" i="1"/>
  <c r="P601" i="1"/>
  <c r="P587" i="1"/>
  <c r="P584" i="1"/>
  <c r="P593" i="1"/>
  <c r="P591" i="1"/>
  <c r="P573" i="1"/>
  <c r="P592" i="1"/>
  <c r="P595" i="1"/>
  <c r="P575" i="1"/>
  <c r="P565" i="1"/>
  <c r="P568" i="1"/>
  <c r="P574" i="1"/>
  <c r="P583" i="1"/>
  <c r="P577" i="1"/>
  <c r="P571" i="1"/>
  <c r="P562" i="1"/>
  <c r="P547" i="1"/>
  <c r="P541" i="1"/>
  <c r="P590" i="1"/>
  <c r="P581" i="1"/>
  <c r="P576" i="1"/>
  <c r="P564" i="1"/>
  <c r="P559" i="1"/>
  <c r="P570" i="1"/>
  <c r="P566" i="1"/>
  <c r="P567" i="1"/>
  <c r="P563" i="1"/>
  <c r="P560" i="1"/>
  <c r="P556" i="1"/>
  <c r="P580" i="1"/>
  <c r="P545" i="1"/>
  <c r="P538" i="1"/>
  <c r="P557" i="1"/>
  <c r="P554" i="1"/>
  <c r="P549" i="1"/>
  <c r="P537" i="1"/>
  <c r="P551" i="1"/>
  <c r="P555" i="1"/>
  <c r="P544" i="1"/>
  <c r="P572" i="1"/>
  <c r="P561" i="1"/>
  <c r="P558" i="1"/>
  <c r="P543" i="1"/>
  <c r="P528" i="1"/>
  <c r="P548" i="1"/>
  <c r="P540" i="1"/>
  <c r="P539" i="1"/>
  <c r="P532" i="1"/>
  <c r="P525" i="1"/>
  <c r="P521" i="1"/>
  <c r="P506" i="1"/>
  <c r="P529" i="1"/>
  <c r="P553" i="1"/>
  <c r="P514" i="1"/>
  <c r="P546" i="1"/>
  <c r="P522" i="1"/>
  <c r="P534" i="1"/>
  <c r="P530" i="1"/>
  <c r="P550" i="1"/>
  <c r="P523" i="1"/>
  <c r="P531" i="1"/>
  <c r="P542" i="1"/>
  <c r="P533" i="1"/>
  <c r="P536" i="1"/>
  <c r="P524" i="1"/>
  <c r="P520" i="1"/>
  <c r="P519" i="1"/>
  <c r="P491" i="1"/>
  <c r="P527" i="1"/>
  <c r="P509" i="1"/>
  <c r="P507" i="1"/>
  <c r="P499" i="1"/>
  <c r="P516" i="1"/>
  <c r="P492" i="1"/>
  <c r="P488" i="1"/>
  <c r="P496" i="1"/>
  <c r="P512" i="1"/>
  <c r="P500" i="1"/>
  <c r="P510" i="1"/>
  <c r="P517" i="1"/>
  <c r="P515" i="1"/>
  <c r="P503" i="1"/>
  <c r="P526" i="1"/>
  <c r="P513" i="1"/>
  <c r="P504" i="1"/>
  <c r="P511" i="1"/>
  <c r="P505" i="1"/>
  <c r="P498" i="1"/>
  <c r="P479" i="1"/>
  <c r="P502" i="1"/>
  <c r="P497" i="1"/>
  <c r="P480" i="1"/>
  <c r="P495" i="1"/>
  <c r="P487" i="1"/>
  <c r="P486" i="1"/>
  <c r="P508" i="1"/>
  <c r="P477" i="1"/>
  <c r="P485" i="1"/>
  <c r="P484" i="1" s="1"/>
  <c r="P465" i="1"/>
  <c r="P458" i="1"/>
  <c r="P452" i="1"/>
  <c r="P493" i="1"/>
  <c r="P475" i="1"/>
  <c r="P457" i="1"/>
  <c r="P451" i="1"/>
  <c r="P445" i="1"/>
  <c r="P482" i="1"/>
  <c r="P478" i="1"/>
  <c r="P471" i="1"/>
  <c r="P468" i="1"/>
  <c r="P467" i="1" s="1"/>
  <c r="P466" i="1"/>
  <c r="P462" i="1"/>
  <c r="P456" i="1"/>
  <c r="P474" i="1"/>
  <c r="P483" i="1"/>
  <c r="P463" i="1"/>
  <c r="P461" i="1"/>
  <c r="P455" i="1"/>
  <c r="P481" i="1"/>
  <c r="P470" i="1"/>
  <c r="P473" i="1"/>
  <c r="P460" i="1"/>
  <c r="P494" i="1"/>
  <c r="P476" i="1"/>
  <c r="P489" i="1"/>
  <c r="P459" i="1"/>
  <c r="P490" i="1"/>
  <c r="P472" i="1"/>
  <c r="P469" i="1"/>
  <c r="P454" i="1"/>
  <c r="P443" i="1"/>
  <c r="P435" i="1"/>
  <c r="P426" i="1"/>
  <c r="P453" i="1"/>
  <c r="P444" i="1"/>
  <c r="P436" i="1"/>
  <c r="P429" i="1"/>
  <c r="P414" i="1"/>
  <c r="P408" i="1"/>
  <c r="P402" i="1"/>
  <c r="P432" i="1"/>
  <c r="P418" i="1"/>
  <c r="P437" i="1"/>
  <c r="P422" i="1"/>
  <c r="P413" i="1"/>
  <c r="P448" i="1"/>
  <c r="P446" i="1"/>
  <c r="P438" i="1"/>
  <c r="P425" i="1"/>
  <c r="P415" i="1"/>
  <c r="P464" i="1"/>
  <c r="P428" i="1"/>
  <c r="P419" i="1"/>
  <c r="P412" i="1"/>
  <c r="P440" i="1"/>
  <c r="P427" i="1"/>
  <c r="P420" i="1"/>
  <c r="P441" i="1"/>
  <c r="P430" i="1"/>
  <c r="P424" i="1"/>
  <c r="P447" i="1"/>
  <c r="P442" i="1"/>
  <c r="P449" i="1"/>
  <c r="P434" i="1"/>
  <c r="P421" i="1"/>
  <c r="P417" i="1"/>
  <c r="P439" i="1"/>
  <c r="P396" i="1"/>
  <c r="P400" i="1"/>
  <c r="P389" i="1"/>
  <c r="P431" i="1"/>
  <c r="P409" i="1"/>
  <c r="P405" i="1"/>
  <c r="P410" i="1"/>
  <c r="P397" i="1"/>
  <c r="P401" i="1"/>
  <c r="P411" i="1"/>
  <c r="P407" i="1"/>
  <c r="P404" i="1"/>
  <c r="P393" i="1"/>
  <c r="P398" i="1"/>
  <c r="P394" i="1"/>
  <c r="P392" i="1"/>
  <c r="P386" i="1"/>
  <c r="P423" i="1"/>
  <c r="P403" i="1"/>
  <c r="P406" i="1"/>
  <c r="P380" i="1"/>
  <c r="P372" i="1"/>
  <c r="P370" i="1"/>
  <c r="P360" i="1"/>
  <c r="P381" i="1"/>
  <c r="P373" i="1"/>
  <c r="P368" i="1"/>
  <c r="P364" i="1"/>
  <c r="P395" i="1"/>
  <c r="P391" i="1"/>
  <c r="P374" i="1"/>
  <c r="P375" i="1"/>
  <c r="P369" i="1"/>
  <c r="P358" i="1"/>
  <c r="P384" i="1"/>
  <c r="P390" i="1"/>
  <c r="P376" i="1"/>
  <c r="P377" i="1"/>
  <c r="P362" i="1"/>
  <c r="P356" i="1"/>
  <c r="P378" i="1"/>
  <c r="P383" i="1"/>
  <c r="P379" i="1"/>
  <c r="P388" i="1"/>
  <c r="P387" i="1"/>
  <c r="P385" i="1"/>
  <c r="P371" i="1"/>
  <c r="P354" i="1"/>
  <c r="P344" i="1"/>
  <c r="P325" i="1"/>
  <c r="P361" i="1"/>
  <c r="P333" i="1"/>
  <c r="P329" i="1"/>
  <c r="P321" i="1"/>
  <c r="P355" i="1"/>
  <c r="P337" i="1"/>
  <c r="P322" i="1"/>
  <c r="P359" i="1"/>
  <c r="P357" i="1"/>
  <c r="P345" i="1"/>
  <c r="P341" i="1"/>
  <c r="P326" i="1"/>
  <c r="P320" i="1"/>
  <c r="P349" i="1"/>
  <c r="P334" i="1"/>
  <c r="P330" i="1"/>
  <c r="P366" i="1"/>
  <c r="P363" i="1"/>
  <c r="P338" i="1"/>
  <c r="P319" i="1"/>
  <c r="P313" i="1"/>
  <c r="P367" i="1"/>
  <c r="P346" i="1"/>
  <c r="P342" i="1"/>
  <c r="P327" i="1"/>
  <c r="P323" i="1"/>
  <c r="P350" i="1"/>
  <c r="P318" i="1"/>
  <c r="P352" i="1"/>
  <c r="P339" i="1"/>
  <c r="P335" i="1"/>
  <c r="P343" i="1"/>
  <c r="P353" i="1"/>
  <c r="P351" i="1"/>
  <c r="P347" i="1"/>
  <c r="P332" i="1"/>
  <c r="P340" i="1"/>
  <c r="P315" i="1"/>
  <c r="P295" i="1"/>
  <c r="P293" i="1"/>
  <c r="P287" i="1"/>
  <c r="P281" i="1"/>
  <c r="P275" i="1"/>
  <c r="P304" i="1"/>
  <c r="P300" i="1"/>
  <c r="P324" i="1"/>
  <c r="P306" i="1"/>
  <c r="P296" i="1"/>
  <c r="P291" i="1"/>
  <c r="P285" i="1"/>
  <c r="P279" i="1"/>
  <c r="P273" i="1"/>
  <c r="P267" i="1"/>
  <c r="P317" i="1"/>
  <c r="P299" i="1"/>
  <c r="P290" i="1"/>
  <c r="P284" i="1"/>
  <c r="P316" i="1"/>
  <c r="P312" i="1"/>
  <c r="P289" i="1"/>
  <c r="P328" i="1"/>
  <c r="P311" i="1"/>
  <c r="P310" i="1"/>
  <c r="P309" i="1"/>
  <c r="P308" i="1"/>
  <c r="P307" i="1"/>
  <c r="P302" i="1"/>
  <c r="P298" i="1"/>
  <c r="P301" i="1"/>
  <c r="P294" i="1"/>
  <c r="P288" i="1"/>
  <c r="P282" i="1"/>
  <c r="P336" i="1"/>
  <c r="P303" i="1"/>
  <c r="P271" i="1"/>
  <c r="P266" i="1"/>
  <c r="P258" i="1"/>
  <c r="P254" i="1"/>
  <c r="P268" i="1"/>
  <c r="P262" i="1"/>
  <c r="P248" i="1"/>
  <c r="P242" i="1"/>
  <c r="P236" i="1"/>
  <c r="P292" i="1"/>
  <c r="P270" i="1"/>
  <c r="P251" i="1"/>
  <c r="P265" i="1"/>
  <c r="P259" i="1"/>
  <c r="P255" i="1"/>
  <c r="P247" i="1"/>
  <c r="P241" i="1"/>
  <c r="P235" i="1"/>
  <c r="P305" i="1"/>
  <c r="P252" i="1"/>
  <c r="P240" i="1"/>
  <c r="P234" i="1"/>
  <c r="P278" i="1"/>
  <c r="P269" i="1"/>
  <c r="P253" i="1"/>
  <c r="P276" i="1"/>
  <c r="P274" i="1"/>
  <c r="P261" i="1"/>
  <c r="P286" i="1"/>
  <c r="P272" i="1"/>
  <c r="P250" i="1"/>
  <c r="P249" i="1"/>
  <c r="P243" i="1"/>
  <c r="P228" i="1"/>
  <c r="P226" i="1"/>
  <c r="P237" i="1"/>
  <c r="P257" i="1"/>
  <c r="P256" i="1"/>
  <c r="P230" i="1"/>
  <c r="P224" i="1"/>
  <c r="P215" i="1"/>
  <c r="P207" i="1"/>
  <c r="P201" i="1"/>
  <c r="P264" i="1"/>
  <c r="P225" i="1"/>
  <c r="P283" i="1"/>
  <c r="P227" i="1"/>
  <c r="P211" i="1"/>
  <c r="P260" i="1"/>
  <c r="P239" i="1"/>
  <c r="P219" i="1"/>
  <c r="P213" i="1"/>
  <c r="P244" i="1"/>
  <c r="P210" i="1"/>
  <c r="P277" i="1"/>
  <c r="P245" i="1"/>
  <c r="P231" i="1"/>
  <c r="P220" i="1"/>
  <c r="P233" i="1"/>
  <c r="P221" i="1"/>
  <c r="P232" i="1"/>
  <c r="P205" i="1"/>
  <c r="P179" i="1"/>
  <c r="P177" i="1"/>
  <c r="P171" i="1"/>
  <c r="P165" i="1"/>
  <c r="P159" i="1"/>
  <c r="P238" i="1"/>
  <c r="P223" i="1"/>
  <c r="P197" i="1"/>
  <c r="P194" i="1"/>
  <c r="P183" i="1"/>
  <c r="P217" i="1"/>
  <c r="P209" i="1"/>
  <c r="P191" i="1"/>
  <c r="P187" i="1"/>
  <c r="P176" i="1"/>
  <c r="P170" i="1"/>
  <c r="P164" i="1"/>
  <c r="P158" i="1"/>
  <c r="P152" i="1"/>
  <c r="P146" i="1"/>
  <c r="P200" i="1"/>
  <c r="P222" i="1"/>
  <c r="P184" i="1"/>
  <c r="P180" i="1"/>
  <c r="P206" i="1"/>
  <c r="P204" i="1"/>
  <c r="P189" i="1"/>
  <c r="P173" i="1"/>
  <c r="P167" i="1"/>
  <c r="P203" i="1"/>
  <c r="P198" i="1"/>
  <c r="P182" i="1"/>
  <c r="P172" i="1"/>
  <c r="P208" i="1"/>
  <c r="P196" i="1"/>
  <c r="P181" i="1"/>
  <c r="P163" i="1"/>
  <c r="P162" i="1"/>
  <c r="P132" i="1"/>
  <c r="P128" i="1"/>
  <c r="P125" i="1"/>
  <c r="P119" i="1"/>
  <c r="P113" i="1"/>
  <c r="P175" i="1"/>
  <c r="P156" i="1"/>
  <c r="P153" i="1"/>
  <c r="P140" i="1"/>
  <c r="P124" i="1"/>
  <c r="P174" i="1"/>
  <c r="P169" i="1"/>
  <c r="P137" i="1"/>
  <c r="P123" i="1"/>
  <c r="P117" i="1"/>
  <c r="P149" i="1"/>
  <c r="P141" i="1"/>
  <c r="P218" i="1"/>
  <c r="P216" i="1"/>
  <c r="P155" i="1"/>
  <c r="P192" i="1"/>
  <c r="P151" i="1"/>
  <c r="P142" i="1"/>
  <c r="P214" i="1"/>
  <c r="P202" i="1"/>
  <c r="P193" i="1"/>
  <c r="P188" i="1"/>
  <c r="P157" i="1"/>
  <c r="P190" i="1"/>
  <c r="P166" i="1"/>
  <c r="P160" i="1"/>
  <c r="P154" i="1"/>
  <c r="P139" i="1"/>
  <c r="P186" i="1"/>
  <c r="P185" i="1"/>
  <c r="P168" i="1"/>
  <c r="P116" i="1"/>
  <c r="P108" i="1"/>
  <c r="P98" i="1"/>
  <c r="P87" i="1"/>
  <c r="P76" i="1"/>
  <c r="P133" i="1"/>
  <c r="P97" i="1"/>
  <c r="P86" i="1"/>
  <c r="P75" i="1"/>
  <c r="P199" i="1"/>
  <c r="P147" i="1"/>
  <c r="P120" i="1"/>
  <c r="P107" i="1"/>
  <c r="P96" i="1"/>
  <c r="P85" i="1"/>
  <c r="P74" i="1"/>
  <c r="P150" i="1"/>
  <c r="P148" i="1"/>
  <c r="P135" i="1"/>
  <c r="P122" i="1"/>
  <c r="P121" i="1"/>
  <c r="P106" i="1"/>
  <c r="P95" i="1"/>
  <c r="P84" i="1"/>
  <c r="P73" i="1"/>
  <c r="P129" i="1"/>
  <c r="P115" i="1"/>
  <c r="P105" i="1"/>
  <c r="P94" i="1"/>
  <c r="P83" i="1"/>
  <c r="P104" i="1"/>
  <c r="P93" i="1"/>
  <c r="P130" i="1"/>
  <c r="P111" i="1"/>
  <c r="P103" i="1"/>
  <c r="P92" i="1"/>
  <c r="P134" i="1"/>
  <c r="P112" i="1"/>
  <c r="P102" i="1"/>
  <c r="P91" i="1"/>
  <c r="P145" i="1"/>
  <c r="P143" i="1"/>
  <c r="P114" i="1"/>
  <c r="P101" i="1"/>
  <c r="P80" i="1"/>
  <c r="P131" i="1"/>
  <c r="P100" i="1"/>
  <c r="P79" i="1"/>
  <c r="P138" i="1"/>
  <c r="P71" i="1"/>
  <c r="P68" i="1"/>
  <c r="P60" i="1"/>
  <c r="P49" i="1"/>
  <c r="P41" i="1"/>
  <c r="P35" i="1"/>
  <c r="P34" i="1" s="1"/>
  <c r="P29" i="1"/>
  <c r="P23" i="1"/>
  <c r="P17" i="1"/>
  <c r="P11" i="1"/>
  <c r="P59" i="1"/>
  <c r="P48" i="1"/>
  <c r="P126" i="1"/>
  <c r="P77" i="1"/>
  <c r="P58" i="1"/>
  <c r="P47" i="1"/>
  <c r="P40" i="1"/>
  <c r="P28" i="1"/>
  <c r="P22" i="1"/>
  <c r="P16" i="1"/>
  <c r="P10" i="1"/>
  <c r="P136" i="1"/>
  <c r="P118" i="1"/>
  <c r="P57" i="1"/>
  <c r="P46" i="1"/>
  <c r="P78" i="1"/>
  <c r="P69" i="1"/>
  <c r="P82" i="1"/>
  <c r="P66" i="1"/>
  <c r="P55" i="1"/>
  <c r="P65" i="1"/>
  <c r="P38" i="1"/>
  <c r="P32" i="1"/>
  <c r="P26" i="1"/>
  <c r="P20" i="1"/>
  <c r="P64" i="1"/>
  <c r="P89" i="1"/>
  <c r="P88" i="1"/>
  <c r="P70" i="1"/>
  <c r="P67" i="1"/>
  <c r="P52" i="1"/>
  <c r="P62" i="1"/>
  <c r="P61" i="1"/>
  <c r="P50" i="1"/>
  <c r="P9" i="1"/>
  <c r="P37" i="1"/>
  <c r="P24" i="1"/>
  <c r="P30" i="1"/>
  <c r="P53" i="1"/>
  <c r="P13" i="1"/>
  <c r="P33" i="1"/>
  <c r="P42" i="1"/>
  <c r="P56" i="1"/>
  <c r="P14" i="1"/>
  <c r="P43" i="1"/>
  <c r="P27" i="1"/>
  <c r="P51" i="1"/>
  <c r="P36" i="1"/>
  <c r="P31" i="1"/>
  <c r="P21" i="1"/>
  <c r="P18" i="1"/>
  <c r="P12" i="1"/>
  <c r="P25" i="1"/>
  <c r="P15" i="1"/>
  <c r="P19" i="1"/>
  <c r="O72" i="1"/>
  <c r="O161" i="1"/>
  <c r="O467" i="1"/>
  <c r="O109" i="1" l="1"/>
  <c r="N7" i="1"/>
  <c r="P314" i="1"/>
  <c r="P348" i="1"/>
  <c r="N5" i="1"/>
  <c r="N8" i="1"/>
  <c r="P54" i="1"/>
  <c r="P586" i="1"/>
  <c r="P39" i="1"/>
  <c r="P331" i="1"/>
  <c r="P399" i="1"/>
  <c r="P654" i="1"/>
  <c r="P81" i="1"/>
  <c r="P144" i="1"/>
  <c r="P569" i="1"/>
  <c r="P90" i="1"/>
  <c r="P263" i="1"/>
  <c r="P603" i="1"/>
  <c r="P416" i="1"/>
  <c r="P671" i="1"/>
  <c r="P45" i="1"/>
  <c r="P127" i="1"/>
  <c r="P297" i="1"/>
  <c r="P450" i="1"/>
  <c r="P689" i="1"/>
  <c r="P63" i="1"/>
  <c r="P72" i="1"/>
  <c r="P433" i="1"/>
  <c r="P161" i="1"/>
  <c r="P212" i="1"/>
  <c r="P246" i="1"/>
  <c r="P280" i="1"/>
  <c r="P518" i="1"/>
  <c r="O44" i="1"/>
  <c r="O7" i="1" s="1"/>
  <c r="P99" i="1"/>
  <c r="P178" i="1"/>
  <c r="P229" i="1"/>
  <c r="P365" i="1"/>
  <c r="P501" i="1"/>
  <c r="P110" i="1"/>
  <c r="P382" i="1"/>
  <c r="P552" i="1"/>
  <c r="P620" i="1"/>
  <c r="S4" i="1"/>
  <c r="R6" i="1"/>
  <c r="P195" i="1"/>
  <c r="P535" i="1"/>
  <c r="Q698" i="1"/>
  <c r="Q692" i="1"/>
  <c r="Q703" i="1"/>
  <c r="Q697" i="1"/>
  <c r="Q702" i="1"/>
  <c r="Q686" i="1"/>
  <c r="Q693" i="1"/>
  <c r="Q701" i="1"/>
  <c r="Q700" i="1"/>
  <c r="Q690" i="1"/>
  <c r="Q694" i="1"/>
  <c r="Q696" i="1"/>
  <c r="Q695" i="1" s="1"/>
  <c r="Q699" i="1"/>
  <c r="Q684" i="1"/>
  <c r="Q679" i="1"/>
  <c r="Q691" i="1"/>
  <c r="Q687" i="1"/>
  <c r="Q683" i="1"/>
  <c r="Q688" i="1"/>
  <c r="Q678" i="1"/>
  <c r="Q675" i="1"/>
  <c r="Q673" i="1"/>
  <c r="Q667" i="1"/>
  <c r="Q661" i="1"/>
  <c r="Q655" i="1"/>
  <c r="Q672" i="1"/>
  <c r="Q666" i="1"/>
  <c r="Q660" i="1"/>
  <c r="Q681" i="1"/>
  <c r="Q685" i="1"/>
  <c r="Q677" i="1"/>
  <c r="Q669" i="1"/>
  <c r="Q682" i="1"/>
  <c r="Q670" i="1"/>
  <c r="Q658" i="1"/>
  <c r="Q680" i="1"/>
  <c r="Q676" i="1"/>
  <c r="Q664" i="1"/>
  <c r="Q668" i="1"/>
  <c r="Q665" i="1"/>
  <c r="Q657" i="1"/>
  <c r="Q663" i="1"/>
  <c r="Q674" i="1"/>
  <c r="Q656" i="1"/>
  <c r="Q648" i="1"/>
  <c r="Q642" i="1"/>
  <c r="Q636" i="1"/>
  <c r="Q630" i="1"/>
  <c r="Q659" i="1"/>
  <c r="Q650" i="1"/>
  <c r="Q646" i="1"/>
  <c r="Q640" i="1"/>
  <c r="Q662" i="1"/>
  <c r="Q635" i="1"/>
  <c r="Q631" i="1"/>
  <c r="Q647" i="1"/>
  <c r="Q653" i="1"/>
  <c r="Q629" i="1"/>
  <c r="Q645" i="1"/>
  <c r="Q624" i="1"/>
  <c r="Q618" i="1"/>
  <c r="Q639" i="1"/>
  <c r="Q634" i="1"/>
  <c r="Q644" i="1"/>
  <c r="Q641" i="1"/>
  <c r="Q628" i="1"/>
  <c r="Q623" i="1"/>
  <c r="Q619" i="1"/>
  <c r="Q615" i="1"/>
  <c r="Q614" i="1"/>
  <c r="Q608" i="1"/>
  <c r="Q652" i="1"/>
  <c r="Q651" i="1"/>
  <c r="Q649" i="1"/>
  <c r="Q643" i="1"/>
  <c r="Q627" i="1"/>
  <c r="Q633" i="1"/>
  <c r="Q622" i="1"/>
  <c r="Q616" i="1"/>
  <c r="Q632" i="1"/>
  <c r="Q626" i="1"/>
  <c r="Q625" i="1"/>
  <c r="Q617" i="1"/>
  <c r="Q612" i="1"/>
  <c r="Q609" i="1"/>
  <c r="Q638" i="1"/>
  <c r="Q611" i="1"/>
  <c r="Q600" i="1"/>
  <c r="Q601" i="1"/>
  <c r="Q621" i="1"/>
  <c r="Q602" i="1"/>
  <c r="Q597" i="1"/>
  <c r="Q591" i="1"/>
  <c r="Q585" i="1"/>
  <c r="Q613" i="1"/>
  <c r="Q610" i="1"/>
  <c r="Q607" i="1"/>
  <c r="Q587" i="1"/>
  <c r="Q606" i="1"/>
  <c r="Q605" i="1"/>
  <c r="Q599" i="1"/>
  <c r="Q596" i="1"/>
  <c r="Q589" i="1"/>
  <c r="Q604" i="1"/>
  <c r="Q593" i="1"/>
  <c r="Q594" i="1"/>
  <c r="Q588" i="1"/>
  <c r="Q578" i="1"/>
  <c r="Q572" i="1"/>
  <c r="Q566" i="1"/>
  <c r="Q560" i="1"/>
  <c r="Q554" i="1"/>
  <c r="Q598" i="1"/>
  <c r="Q592" i="1"/>
  <c r="Q590" i="1"/>
  <c r="Q583" i="1"/>
  <c r="Q575" i="1"/>
  <c r="Q563" i="1"/>
  <c r="Q581" i="1"/>
  <c r="Q580" i="1"/>
  <c r="Q576" i="1"/>
  <c r="Q595" i="1"/>
  <c r="Q568" i="1"/>
  <c r="Q579" i="1"/>
  <c r="Q571" i="1"/>
  <c r="Q577" i="1"/>
  <c r="Q570" i="1"/>
  <c r="Q584" i="1"/>
  <c r="Q582" i="1"/>
  <c r="Q573" i="1"/>
  <c r="Q562" i="1"/>
  <c r="Q564" i="1"/>
  <c r="Q559" i="1"/>
  <c r="Q555" i="1"/>
  <c r="Q546" i="1"/>
  <c r="Q565" i="1"/>
  <c r="Q567" i="1"/>
  <c r="Q551" i="1"/>
  <c r="Q545" i="1"/>
  <c r="Q556" i="1"/>
  <c r="Q574" i="1"/>
  <c r="Q550" i="1"/>
  <c r="Q544" i="1"/>
  <c r="Q561" i="1"/>
  <c r="Q557" i="1"/>
  <c r="Q549" i="1"/>
  <c r="Q547" i="1"/>
  <c r="Q537" i="1"/>
  <c r="Q531" i="1"/>
  <c r="Q525" i="1"/>
  <c r="Q519" i="1"/>
  <c r="Q513" i="1"/>
  <c r="Q507" i="1"/>
  <c r="Q548" i="1"/>
  <c r="Q541" i="1"/>
  <c r="Q540" i="1"/>
  <c r="Q534" i="1"/>
  <c r="Q539" i="1"/>
  <c r="Q532" i="1"/>
  <c r="Q529" i="1"/>
  <c r="Q510" i="1"/>
  <c r="Q558" i="1"/>
  <c r="Q553" i="1"/>
  <c r="Q543" i="1"/>
  <c r="Q522" i="1"/>
  <c r="Q503" i="1"/>
  <c r="Q499" i="1"/>
  <c r="Q493" i="1"/>
  <c r="Q487" i="1"/>
  <c r="Q481" i="1"/>
  <c r="Q530" i="1"/>
  <c r="Q526" i="1"/>
  <c r="Q538" i="1"/>
  <c r="Q527" i="1"/>
  <c r="Q542" i="1"/>
  <c r="Q533" i="1"/>
  <c r="Q536" i="1"/>
  <c r="Q524" i="1"/>
  <c r="Q520" i="1"/>
  <c r="Q528" i="1"/>
  <c r="Q509" i="1"/>
  <c r="Q495" i="1"/>
  <c r="Q516" i="1"/>
  <c r="Q502" i="1"/>
  <c r="Q514" i="1"/>
  <c r="Q496" i="1"/>
  <c r="Q512" i="1"/>
  <c r="Q500" i="1"/>
  <c r="Q489" i="1"/>
  <c r="Q523" i="1"/>
  <c r="Q517" i="1"/>
  <c r="Q521" i="1"/>
  <c r="Q515" i="1"/>
  <c r="Q508" i="1"/>
  <c r="Q504" i="1"/>
  <c r="Q498" i="1"/>
  <c r="Q511" i="1"/>
  <c r="Q505" i="1"/>
  <c r="Q506" i="1"/>
  <c r="Q479" i="1"/>
  <c r="Q492" i="1"/>
  <c r="Q497" i="1"/>
  <c r="Q490" i="1"/>
  <c r="Q473" i="1"/>
  <c r="Q494" i="1"/>
  <c r="Q483" i="1"/>
  <c r="Q472" i="1"/>
  <c r="Q485" i="1"/>
  <c r="Q478" i="1"/>
  <c r="Q491" i="1"/>
  <c r="Q482" i="1"/>
  <c r="Q475" i="1"/>
  <c r="Q486" i="1"/>
  <c r="Q457" i="1"/>
  <c r="Q451" i="1"/>
  <c r="Q445" i="1"/>
  <c r="Q439" i="1"/>
  <c r="Q427" i="1"/>
  <c r="Q421" i="1"/>
  <c r="Q415" i="1"/>
  <c r="Q471" i="1"/>
  <c r="Q468" i="1"/>
  <c r="Q466" i="1"/>
  <c r="Q462" i="1"/>
  <c r="Q456" i="1"/>
  <c r="Q444" i="1"/>
  <c r="Q438" i="1"/>
  <c r="Q474" i="1"/>
  <c r="Q463" i="1"/>
  <c r="Q461" i="1"/>
  <c r="Q470" i="1"/>
  <c r="Q460" i="1"/>
  <c r="Q454" i="1"/>
  <c r="Q448" i="1"/>
  <c r="Q442" i="1"/>
  <c r="Q436" i="1"/>
  <c r="Q430" i="1"/>
  <c r="Q476" i="1"/>
  <c r="Q464" i="1"/>
  <c r="Q488" i="1"/>
  <c r="Q477" i="1"/>
  <c r="Q469" i="1"/>
  <c r="Q480" i="1"/>
  <c r="Q459" i="1"/>
  <c r="Q453" i="1"/>
  <c r="Q429" i="1"/>
  <c r="Q452" i="1"/>
  <c r="Q432" i="1"/>
  <c r="Q418" i="1"/>
  <c r="Q437" i="1"/>
  <c r="Q422" i="1"/>
  <c r="Q446" i="1"/>
  <c r="Q425" i="1"/>
  <c r="Q458" i="1"/>
  <c r="Q428" i="1"/>
  <c r="Q419" i="1"/>
  <c r="Q412" i="1"/>
  <c r="Q455" i="1"/>
  <c r="Q431" i="1"/>
  <c r="Q423" i="1"/>
  <c r="Q440" i="1"/>
  <c r="Q465" i="1"/>
  <c r="Q441" i="1"/>
  <c r="Q424" i="1"/>
  <c r="Q410" i="1"/>
  <c r="Q404" i="1"/>
  <c r="Q398" i="1"/>
  <c r="Q447" i="1"/>
  <c r="Q449" i="1"/>
  <c r="Q434" i="1"/>
  <c r="Q417" i="1"/>
  <c r="Q443" i="1"/>
  <c r="Q435" i="1"/>
  <c r="Q426" i="1"/>
  <c r="Q402" i="1"/>
  <c r="Q400" i="1"/>
  <c r="Q389" i="1"/>
  <c r="Q383" i="1"/>
  <c r="Q409" i="1"/>
  <c r="Q408" i="1"/>
  <c r="Q405" i="1"/>
  <c r="Q397" i="1"/>
  <c r="Q388" i="1"/>
  <c r="Q376" i="1"/>
  <c r="Q370" i="1"/>
  <c r="Q413" i="1"/>
  <c r="Q401" i="1"/>
  <c r="Q411" i="1"/>
  <c r="Q407" i="1"/>
  <c r="Q393" i="1"/>
  <c r="Q387" i="1"/>
  <c r="Q381" i="1"/>
  <c r="Q375" i="1"/>
  <c r="Q369" i="1"/>
  <c r="Q363" i="1"/>
  <c r="Q394" i="1"/>
  <c r="Q414" i="1"/>
  <c r="Q420" i="1"/>
  <c r="Q403" i="1"/>
  <c r="Q395" i="1"/>
  <c r="Q391" i="1"/>
  <c r="Q385" i="1"/>
  <c r="Q379" i="1"/>
  <c r="Q373" i="1"/>
  <c r="Q406" i="1"/>
  <c r="Q368" i="1"/>
  <c r="Q364" i="1"/>
  <c r="Q396" i="1"/>
  <c r="Q359" i="1"/>
  <c r="Q353" i="1"/>
  <c r="Q374" i="1"/>
  <c r="Q358" i="1"/>
  <c r="Q352" i="1"/>
  <c r="Q346" i="1"/>
  <c r="Q340" i="1"/>
  <c r="Q334" i="1"/>
  <c r="Q328" i="1"/>
  <c r="Q322" i="1"/>
  <c r="Q384" i="1"/>
  <c r="Q390" i="1"/>
  <c r="Q366" i="1"/>
  <c r="Q378" i="1"/>
  <c r="Q371" i="1"/>
  <c r="Q392" i="1"/>
  <c r="Q386" i="1"/>
  <c r="Q380" i="1"/>
  <c r="Q372" i="1"/>
  <c r="Q360" i="1"/>
  <c r="Q354" i="1"/>
  <c r="Q361" i="1"/>
  <c r="Q333" i="1"/>
  <c r="Q329" i="1"/>
  <c r="Q321" i="1"/>
  <c r="Q315" i="1"/>
  <c r="Q309" i="1"/>
  <c r="Q303" i="1"/>
  <c r="Q355" i="1"/>
  <c r="Q337" i="1"/>
  <c r="Q357" i="1"/>
  <c r="Q345" i="1"/>
  <c r="Q341" i="1"/>
  <c r="Q326" i="1"/>
  <c r="Q320" i="1"/>
  <c r="Q308" i="1"/>
  <c r="Q302" i="1"/>
  <c r="Q349" i="1"/>
  <c r="Q330" i="1"/>
  <c r="Q338" i="1"/>
  <c r="Q319" i="1"/>
  <c r="Q313" i="1"/>
  <c r="Q307" i="1"/>
  <c r="Q367" i="1"/>
  <c r="Q362" i="1"/>
  <c r="Q342" i="1"/>
  <c r="Q327" i="1"/>
  <c r="Q323" i="1"/>
  <c r="Q350" i="1"/>
  <c r="Q318" i="1"/>
  <c r="Q312" i="1"/>
  <c r="Q306" i="1"/>
  <c r="Q300" i="1"/>
  <c r="Q339" i="1"/>
  <c r="Q335" i="1"/>
  <c r="Q356" i="1"/>
  <c r="Q343" i="1"/>
  <c r="Q324" i="1"/>
  <c r="Q317" i="1"/>
  <c r="Q351" i="1"/>
  <c r="Q347" i="1"/>
  <c r="Q336" i="1"/>
  <c r="Q316" i="1"/>
  <c r="Q310" i="1"/>
  <c r="Q304" i="1"/>
  <c r="Q344" i="1"/>
  <c r="Q305" i="1"/>
  <c r="Q292" i="1"/>
  <c r="Q286" i="1"/>
  <c r="Q274" i="1"/>
  <c r="Q268" i="1"/>
  <c r="Q377" i="1"/>
  <c r="Q296" i="1"/>
  <c r="Q291" i="1"/>
  <c r="Q285" i="1"/>
  <c r="Q279" i="1"/>
  <c r="Q273" i="1"/>
  <c r="Q332" i="1"/>
  <c r="Q299" i="1"/>
  <c r="Q325" i="1"/>
  <c r="Q290" i="1"/>
  <c r="Q289" i="1"/>
  <c r="Q283" i="1"/>
  <c r="Q277" i="1"/>
  <c r="Q271" i="1"/>
  <c r="Q265" i="1"/>
  <c r="Q259" i="1"/>
  <c r="Q253" i="1"/>
  <c r="Q311" i="1"/>
  <c r="Q298" i="1"/>
  <c r="Q301" i="1"/>
  <c r="Q294" i="1"/>
  <c r="Q288" i="1"/>
  <c r="Q295" i="1"/>
  <c r="Q293" i="1"/>
  <c r="Q287" i="1"/>
  <c r="Q262" i="1"/>
  <c r="Q248" i="1"/>
  <c r="Q242" i="1"/>
  <c r="Q236" i="1"/>
  <c r="Q230" i="1"/>
  <c r="Q224" i="1"/>
  <c r="Q218" i="1"/>
  <c r="Q282" i="1"/>
  <c r="Q270" i="1"/>
  <c r="Q251" i="1"/>
  <c r="Q255" i="1"/>
  <c r="Q247" i="1"/>
  <c r="Q241" i="1"/>
  <c r="Q235" i="1"/>
  <c r="Q252" i="1"/>
  <c r="Q240" i="1"/>
  <c r="Q234" i="1"/>
  <c r="Q228" i="1"/>
  <c r="Q222" i="1"/>
  <c r="Q256" i="1"/>
  <c r="Q264" i="1"/>
  <c r="Q260" i="1"/>
  <c r="Q281" i="1"/>
  <c r="Q257" i="1"/>
  <c r="Q275" i="1"/>
  <c r="Q272" i="1"/>
  <c r="Q267" i="1"/>
  <c r="Q250" i="1"/>
  <c r="Q249" i="1"/>
  <c r="Q243" i="1"/>
  <c r="Q237" i="1"/>
  <c r="Q231" i="1"/>
  <c r="Q225" i="1"/>
  <c r="Q219" i="1"/>
  <c r="Q213" i="1"/>
  <c r="Q284" i="1"/>
  <c r="Q266" i="1"/>
  <c r="Q258" i="1"/>
  <c r="Q254" i="1"/>
  <c r="Q278" i="1"/>
  <c r="Q232" i="1"/>
  <c r="Q217" i="1"/>
  <c r="Q206" i="1"/>
  <c r="Q227" i="1"/>
  <c r="Q269" i="1"/>
  <c r="Q239" i="1"/>
  <c r="Q244" i="1"/>
  <c r="Q210" i="1"/>
  <c r="Q204" i="1"/>
  <c r="Q198" i="1"/>
  <c r="Q245" i="1"/>
  <c r="Q220" i="1"/>
  <c r="Q233" i="1"/>
  <c r="Q221" i="1"/>
  <c r="Q209" i="1"/>
  <c r="Q203" i="1"/>
  <c r="Q197" i="1"/>
  <c r="Q191" i="1"/>
  <c r="Q185" i="1"/>
  <c r="Q179" i="1"/>
  <c r="Q261" i="1"/>
  <c r="Q238" i="1"/>
  <c r="Q223" i="1"/>
  <c r="Q211" i="1"/>
  <c r="Q194" i="1"/>
  <c r="Q183" i="1"/>
  <c r="Q187" i="1"/>
  <c r="Q176" i="1"/>
  <c r="Q200" i="1"/>
  <c r="Q276" i="1"/>
  <c r="Q215" i="1"/>
  <c r="Q184" i="1"/>
  <c r="Q180" i="1"/>
  <c r="Q175" i="1"/>
  <c r="Q169" i="1"/>
  <c r="Q163" i="1"/>
  <c r="Q157" i="1"/>
  <c r="Q151" i="1"/>
  <c r="Q145" i="1"/>
  <c r="Q139" i="1"/>
  <c r="Q133" i="1"/>
  <c r="Q201" i="1"/>
  <c r="Q196" i="1"/>
  <c r="Q188" i="1"/>
  <c r="Q202" i="1"/>
  <c r="Q193" i="1"/>
  <c r="Q226" i="1"/>
  <c r="Q216" i="1"/>
  <c r="Q208" i="1"/>
  <c r="Q190" i="1"/>
  <c r="Q186" i="1"/>
  <c r="Q182" i="1"/>
  <c r="Q150" i="1"/>
  <c r="Q147" i="1"/>
  <c r="Q136" i="1"/>
  <c r="Q164" i="1"/>
  <c r="Q205" i="1"/>
  <c r="Q129" i="1"/>
  <c r="Q177" i="1"/>
  <c r="Q173" i="1"/>
  <c r="Q172" i="1"/>
  <c r="Q167" i="1"/>
  <c r="Q165" i="1"/>
  <c r="Q149" i="1"/>
  <c r="Q146" i="1"/>
  <c r="Q141" i="1"/>
  <c r="Q171" i="1"/>
  <c r="Q155" i="1"/>
  <c r="Q152" i="1"/>
  <c r="Q130" i="1"/>
  <c r="Q122" i="1"/>
  <c r="Q116" i="1"/>
  <c r="Q199" i="1"/>
  <c r="Q158" i="1"/>
  <c r="Q138" i="1"/>
  <c r="Q134" i="1"/>
  <c r="Q214" i="1"/>
  <c r="Q159" i="1"/>
  <c r="Q148" i="1"/>
  <c r="Q131" i="1"/>
  <c r="Q166" i="1"/>
  <c r="Q160" i="1"/>
  <c r="Q154" i="1"/>
  <c r="Q207" i="1"/>
  <c r="Q189" i="1"/>
  <c r="Q170" i="1"/>
  <c r="Q168" i="1"/>
  <c r="Q143" i="1"/>
  <c r="Q181" i="1"/>
  <c r="Q162" i="1"/>
  <c r="Q125" i="1"/>
  <c r="Q124" i="1"/>
  <c r="Q119" i="1"/>
  <c r="Q97" i="1"/>
  <c r="Q86" i="1"/>
  <c r="Q75" i="1"/>
  <c r="Q156" i="1"/>
  <c r="Q120" i="1"/>
  <c r="Q107" i="1"/>
  <c r="Q96" i="1"/>
  <c r="Q85" i="1"/>
  <c r="Q74" i="1"/>
  <c r="Q174" i="1"/>
  <c r="Q135" i="1"/>
  <c r="Q128" i="1"/>
  <c r="Q121" i="1"/>
  <c r="Q106" i="1"/>
  <c r="Q95" i="1"/>
  <c r="Q84" i="1"/>
  <c r="Q115" i="1"/>
  <c r="Q105" i="1"/>
  <c r="Q94" i="1"/>
  <c r="Q83" i="1"/>
  <c r="Q104" i="1"/>
  <c r="Q93" i="1"/>
  <c r="Q82" i="1"/>
  <c r="Q132" i="1"/>
  <c r="Q123" i="1"/>
  <c r="Q111" i="1"/>
  <c r="Q103" i="1"/>
  <c r="Q92" i="1"/>
  <c r="Q112" i="1"/>
  <c r="Q102" i="1"/>
  <c r="Q91" i="1"/>
  <c r="Q114" i="1"/>
  <c r="Q101" i="1"/>
  <c r="Q80" i="1"/>
  <c r="Q192" i="1"/>
  <c r="Q153" i="1"/>
  <c r="Q142" i="1"/>
  <c r="Q100" i="1"/>
  <c r="Q79" i="1"/>
  <c r="Q89" i="1"/>
  <c r="Q78" i="1"/>
  <c r="Q140" i="1"/>
  <c r="Q126" i="1"/>
  <c r="Q118" i="1"/>
  <c r="Q117" i="1"/>
  <c r="Q137" i="1"/>
  <c r="Q59" i="1"/>
  <c r="Q48" i="1"/>
  <c r="Q77" i="1"/>
  <c r="Q58" i="1"/>
  <c r="Q47" i="1"/>
  <c r="Q76" i="1"/>
  <c r="Q57" i="1"/>
  <c r="Q46" i="1"/>
  <c r="Q69" i="1"/>
  <c r="Q56" i="1"/>
  <c r="Q33" i="1"/>
  <c r="Q27" i="1"/>
  <c r="Q21" i="1"/>
  <c r="Q15" i="1"/>
  <c r="Q9" i="1"/>
  <c r="Q66" i="1"/>
  <c r="Q113" i="1"/>
  <c r="Q65" i="1"/>
  <c r="Q38" i="1"/>
  <c r="Q32" i="1"/>
  <c r="Q26" i="1"/>
  <c r="Q20" i="1"/>
  <c r="Q64" i="1"/>
  <c r="Q88" i="1"/>
  <c r="Q87" i="1"/>
  <c r="Q70" i="1"/>
  <c r="Q67" i="1"/>
  <c r="Q53" i="1"/>
  <c r="Q43" i="1"/>
  <c r="Q37" i="1"/>
  <c r="Q31" i="1"/>
  <c r="Q25" i="1"/>
  <c r="Q19" i="1"/>
  <c r="Q13" i="1"/>
  <c r="Q98" i="1"/>
  <c r="Q62" i="1"/>
  <c r="Q51" i="1"/>
  <c r="Q42" i="1"/>
  <c r="Q36" i="1"/>
  <c r="Q108" i="1"/>
  <c r="Q61" i="1"/>
  <c r="Q73" i="1"/>
  <c r="Q71" i="1"/>
  <c r="Q68" i="1"/>
  <c r="Q60" i="1"/>
  <c r="Q49" i="1"/>
  <c r="Q41" i="1"/>
  <c r="Q35" i="1"/>
  <c r="Q29" i="1"/>
  <c r="Q23" i="1"/>
  <c r="Q17" i="1"/>
  <c r="Q24" i="1"/>
  <c r="Q11" i="1"/>
  <c r="Q28" i="1"/>
  <c r="Q50" i="1"/>
  <c r="Q22" i="1"/>
  <c r="Q52" i="1"/>
  <c r="Q18" i="1"/>
  <c r="Q10" i="1"/>
  <c r="Q12" i="1"/>
  <c r="Q16" i="1"/>
  <c r="Q55" i="1"/>
  <c r="Q40" i="1"/>
  <c r="Q30" i="1"/>
  <c r="Q14" i="1"/>
  <c r="P637" i="1"/>
  <c r="Q45" i="1" l="1"/>
  <c r="Q144" i="1"/>
  <c r="O8" i="1"/>
  <c r="O5" i="1"/>
  <c r="Q297" i="1"/>
  <c r="Q331" i="1"/>
  <c r="Q382" i="1"/>
  <c r="Q586" i="1"/>
  <c r="Q637" i="1"/>
  <c r="Q671" i="1"/>
  <c r="Q72" i="1"/>
  <c r="Q229" i="1"/>
  <c r="Q654" i="1"/>
  <c r="Q399" i="1"/>
  <c r="Q99" i="1"/>
  <c r="Q110" i="1"/>
  <c r="Q450" i="1"/>
  <c r="Q39" i="1"/>
  <c r="Q348" i="1"/>
  <c r="Q314" i="1"/>
  <c r="Q689" i="1"/>
  <c r="R703" i="1"/>
  <c r="R702" i="1"/>
  <c r="R698" i="1"/>
  <c r="R697" i="1"/>
  <c r="R701" i="1"/>
  <c r="R700" i="1"/>
  <c r="R694" i="1"/>
  <c r="R696" i="1"/>
  <c r="R699" i="1"/>
  <c r="R685" i="1"/>
  <c r="R682" i="1"/>
  <c r="R677" i="1"/>
  <c r="R693" i="1"/>
  <c r="R691" i="1"/>
  <c r="R687" i="1"/>
  <c r="R673" i="1"/>
  <c r="R692" i="1"/>
  <c r="R683" i="1"/>
  <c r="R680" i="1"/>
  <c r="R690" i="1"/>
  <c r="R688" i="1"/>
  <c r="R679" i="1"/>
  <c r="R678" i="1"/>
  <c r="R681" i="1"/>
  <c r="R675" i="1"/>
  <c r="R670" i="1"/>
  <c r="R676" i="1"/>
  <c r="R686" i="1"/>
  <c r="R674" i="1"/>
  <c r="R684" i="1"/>
  <c r="R672" i="1"/>
  <c r="R664" i="1"/>
  <c r="R661" i="1"/>
  <c r="R665" i="1"/>
  <c r="R657" i="1"/>
  <c r="R666" i="1"/>
  <c r="R663" i="1"/>
  <c r="R668" i="1"/>
  <c r="R659" i="1"/>
  <c r="R647" i="1"/>
  <c r="R641" i="1"/>
  <c r="R667" i="1"/>
  <c r="R655" i="1"/>
  <c r="R646" i="1"/>
  <c r="R669" i="1"/>
  <c r="R638" i="1"/>
  <c r="R660" i="1"/>
  <c r="R658" i="1"/>
  <c r="R656" i="1"/>
  <c r="R650" i="1"/>
  <c r="R653" i="1"/>
  <c r="R651" i="1"/>
  <c r="R649" i="1"/>
  <c r="R643" i="1"/>
  <c r="R640" i="1"/>
  <c r="R633" i="1"/>
  <c r="R625" i="1"/>
  <c r="R639" i="1"/>
  <c r="R634" i="1"/>
  <c r="R630" i="1"/>
  <c r="R662" i="1"/>
  <c r="R652" i="1"/>
  <c r="R623" i="1"/>
  <c r="R645" i="1"/>
  <c r="R636" i="1"/>
  <c r="R624" i="1"/>
  <c r="R648" i="1"/>
  <c r="R632" i="1"/>
  <c r="R642" i="1"/>
  <c r="R635" i="1"/>
  <c r="R627" i="1"/>
  <c r="R631" i="1"/>
  <c r="R622" i="1"/>
  <c r="R629" i="1"/>
  <c r="R628" i="1"/>
  <c r="R617" i="1"/>
  <c r="R612" i="1"/>
  <c r="R609" i="1"/>
  <c r="R614" i="1"/>
  <c r="R607" i="1"/>
  <c r="R618" i="1"/>
  <c r="R616" i="1"/>
  <c r="R621" i="1"/>
  <c r="R619" i="1"/>
  <c r="R608" i="1"/>
  <c r="R606" i="1"/>
  <c r="R597" i="1"/>
  <c r="R644" i="1"/>
  <c r="R611" i="1"/>
  <c r="R626" i="1"/>
  <c r="R601" i="1"/>
  <c r="R595" i="1"/>
  <c r="R591" i="1"/>
  <c r="R615" i="1"/>
  <c r="R604" i="1"/>
  <c r="R593" i="1"/>
  <c r="R613" i="1"/>
  <c r="R600" i="1"/>
  <c r="R610" i="1"/>
  <c r="R588" i="1"/>
  <c r="R578" i="1"/>
  <c r="R598" i="1"/>
  <c r="R592" i="1"/>
  <c r="R590" i="1"/>
  <c r="R589" i="1"/>
  <c r="R585" i="1"/>
  <c r="R583" i="1"/>
  <c r="R599" i="1"/>
  <c r="R577" i="1"/>
  <c r="R605" i="1"/>
  <c r="R602" i="1"/>
  <c r="R596" i="1"/>
  <c r="R581" i="1"/>
  <c r="R580" i="1"/>
  <c r="R594" i="1"/>
  <c r="R587" i="1"/>
  <c r="R579" i="1"/>
  <c r="R571" i="1"/>
  <c r="R574" i="1"/>
  <c r="R582" i="1"/>
  <c r="R584" i="1"/>
  <c r="R573" i="1"/>
  <c r="R564" i="1"/>
  <c r="R559" i="1"/>
  <c r="R555" i="1"/>
  <c r="R546" i="1"/>
  <c r="R540" i="1"/>
  <c r="R576" i="1"/>
  <c r="R565" i="1"/>
  <c r="R570" i="1"/>
  <c r="R567" i="1"/>
  <c r="R566" i="1"/>
  <c r="R556" i="1"/>
  <c r="R575" i="1"/>
  <c r="R563" i="1"/>
  <c r="R560" i="1"/>
  <c r="R553" i="1"/>
  <c r="R568" i="1"/>
  <c r="R572" i="1"/>
  <c r="R562" i="1"/>
  <c r="R554" i="1"/>
  <c r="R549" i="1"/>
  <c r="R547" i="1"/>
  <c r="R551" i="1"/>
  <c r="R536" i="1"/>
  <c r="R544" i="1"/>
  <c r="R561" i="1"/>
  <c r="R550" i="1"/>
  <c r="R542" i="1"/>
  <c r="R557" i="1"/>
  <c r="R545" i="1"/>
  <c r="R548" i="1"/>
  <c r="R539" i="1"/>
  <c r="R537" i="1"/>
  <c r="R532" i="1"/>
  <c r="R521" i="1"/>
  <c r="R529" i="1"/>
  <c r="R525" i="1"/>
  <c r="R558" i="1"/>
  <c r="R543" i="1"/>
  <c r="R514" i="1"/>
  <c r="R530" i="1"/>
  <c r="R526" i="1"/>
  <c r="R511" i="1"/>
  <c r="R507" i="1"/>
  <c r="R538" i="1"/>
  <c r="R534" i="1"/>
  <c r="R527" i="1"/>
  <c r="R541" i="1"/>
  <c r="R533" i="1"/>
  <c r="R531" i="1"/>
  <c r="R528" i="1"/>
  <c r="R517" i="1"/>
  <c r="R513" i="1"/>
  <c r="R516" i="1"/>
  <c r="R509" i="1"/>
  <c r="R502" i="1"/>
  <c r="R499" i="1"/>
  <c r="R512" i="1"/>
  <c r="R500" i="1"/>
  <c r="R485" i="1"/>
  <c r="R523" i="1"/>
  <c r="R510" i="1"/>
  <c r="R497" i="1"/>
  <c r="R493" i="1"/>
  <c r="R522" i="1"/>
  <c r="R515" i="1"/>
  <c r="R508" i="1"/>
  <c r="R520" i="1"/>
  <c r="R524" i="1"/>
  <c r="R505" i="1"/>
  <c r="R506" i="1"/>
  <c r="R519" i="1"/>
  <c r="R498" i="1"/>
  <c r="R492" i="1"/>
  <c r="R496" i="1"/>
  <c r="R490" i="1"/>
  <c r="R495" i="1"/>
  <c r="R486" i="1"/>
  <c r="R494" i="1"/>
  <c r="R488" i="1"/>
  <c r="R481" i="1"/>
  <c r="R504" i="1"/>
  <c r="R503" i="1"/>
  <c r="R491" i="1"/>
  <c r="R482" i="1"/>
  <c r="R476" i="1"/>
  <c r="R489" i="1"/>
  <c r="R457" i="1"/>
  <c r="R451" i="1"/>
  <c r="R471" i="1"/>
  <c r="R468" i="1"/>
  <c r="R466" i="1"/>
  <c r="R478" i="1"/>
  <c r="R462" i="1"/>
  <c r="R456" i="1"/>
  <c r="R444" i="1"/>
  <c r="R474" i="1"/>
  <c r="R479" i="1"/>
  <c r="R463" i="1"/>
  <c r="R461" i="1"/>
  <c r="R455" i="1"/>
  <c r="R483" i="1"/>
  <c r="R470" i="1"/>
  <c r="R460" i="1"/>
  <c r="R454" i="1"/>
  <c r="R473" i="1"/>
  <c r="R464" i="1"/>
  <c r="R459" i="1"/>
  <c r="R487" i="1"/>
  <c r="R477" i="1"/>
  <c r="R469" i="1"/>
  <c r="R480" i="1"/>
  <c r="R472" i="1"/>
  <c r="R465" i="1"/>
  <c r="R458" i="1"/>
  <c r="R475" i="1"/>
  <c r="R452" i="1"/>
  <c r="R436" i="1"/>
  <c r="R432" i="1"/>
  <c r="R418" i="1"/>
  <c r="R437" i="1"/>
  <c r="R422" i="1"/>
  <c r="R413" i="1"/>
  <c r="R407" i="1"/>
  <c r="R401" i="1"/>
  <c r="R446" i="1"/>
  <c r="R425" i="1"/>
  <c r="R448" i="1"/>
  <c r="R438" i="1"/>
  <c r="R428" i="1"/>
  <c r="R419" i="1"/>
  <c r="R415" i="1"/>
  <c r="R412" i="1"/>
  <c r="R431" i="1"/>
  <c r="R423" i="1"/>
  <c r="R439" i="1"/>
  <c r="R411" i="1"/>
  <c r="R441" i="1"/>
  <c r="R427" i="1"/>
  <c r="R424" i="1"/>
  <c r="R447" i="1"/>
  <c r="R445" i="1"/>
  <c r="R430" i="1"/>
  <c r="R449" i="1"/>
  <c r="R442" i="1"/>
  <c r="R434" i="1"/>
  <c r="R433" i="1" s="1"/>
  <c r="R443" i="1"/>
  <c r="R435" i="1"/>
  <c r="R426" i="1"/>
  <c r="R421" i="1"/>
  <c r="R453" i="1"/>
  <c r="R429" i="1"/>
  <c r="R414" i="1"/>
  <c r="R409" i="1"/>
  <c r="R408" i="1"/>
  <c r="R405" i="1"/>
  <c r="R397" i="1"/>
  <c r="R388" i="1"/>
  <c r="R410" i="1"/>
  <c r="R393" i="1"/>
  <c r="R404" i="1"/>
  <c r="R394" i="1"/>
  <c r="R398" i="1"/>
  <c r="R392" i="1"/>
  <c r="R440" i="1"/>
  <c r="R420" i="1"/>
  <c r="R403" i="1"/>
  <c r="R395" i="1"/>
  <c r="R391" i="1"/>
  <c r="R385" i="1"/>
  <c r="R406" i="1"/>
  <c r="R417" i="1"/>
  <c r="R396" i="1"/>
  <c r="R381" i="1"/>
  <c r="R373" i="1"/>
  <c r="R359" i="1"/>
  <c r="R400" i="1"/>
  <c r="R374" i="1"/>
  <c r="R384" i="1"/>
  <c r="R375" i="1"/>
  <c r="R369" i="1"/>
  <c r="R390" i="1"/>
  <c r="R357" i="1"/>
  <c r="R402" i="1"/>
  <c r="R377" i="1"/>
  <c r="R362" i="1"/>
  <c r="R367" i="1"/>
  <c r="R363" i="1"/>
  <c r="R361" i="1"/>
  <c r="R355" i="1"/>
  <c r="R383" i="1"/>
  <c r="R379" i="1"/>
  <c r="R387" i="1"/>
  <c r="R386" i="1"/>
  <c r="R380" i="1"/>
  <c r="R372" i="1"/>
  <c r="R370" i="1"/>
  <c r="R368" i="1"/>
  <c r="R364" i="1"/>
  <c r="R337" i="1"/>
  <c r="R345" i="1"/>
  <c r="R341" i="1"/>
  <c r="R326" i="1"/>
  <c r="R322" i="1"/>
  <c r="R320" i="1"/>
  <c r="R378" i="1"/>
  <c r="R358" i="1"/>
  <c r="R349" i="1"/>
  <c r="R330" i="1"/>
  <c r="R338" i="1"/>
  <c r="R334" i="1"/>
  <c r="R319" i="1"/>
  <c r="R366" i="1"/>
  <c r="R342" i="1"/>
  <c r="R327" i="1"/>
  <c r="R323" i="1"/>
  <c r="R350" i="1"/>
  <c r="R346" i="1"/>
  <c r="R318" i="1"/>
  <c r="R312" i="1"/>
  <c r="R339" i="1"/>
  <c r="R335" i="1"/>
  <c r="R376" i="1"/>
  <c r="R356" i="1"/>
  <c r="R352" i="1"/>
  <c r="R343" i="1"/>
  <c r="R324" i="1"/>
  <c r="R317" i="1"/>
  <c r="R360" i="1"/>
  <c r="R351" i="1"/>
  <c r="R347" i="1"/>
  <c r="R332" i="1"/>
  <c r="R328" i="1"/>
  <c r="R371" i="1"/>
  <c r="R353" i="1"/>
  <c r="R389" i="1"/>
  <c r="R344" i="1"/>
  <c r="R340" i="1"/>
  <c r="R325" i="1"/>
  <c r="R305" i="1"/>
  <c r="R300" i="1"/>
  <c r="R292" i="1"/>
  <c r="R286" i="1"/>
  <c r="R274" i="1"/>
  <c r="R313" i="1"/>
  <c r="R299" i="1"/>
  <c r="R290" i="1"/>
  <c r="R284" i="1"/>
  <c r="R278" i="1"/>
  <c r="R272" i="1"/>
  <c r="R333" i="1"/>
  <c r="R316" i="1"/>
  <c r="R289" i="1"/>
  <c r="R283" i="1"/>
  <c r="R354" i="1"/>
  <c r="R311" i="1"/>
  <c r="R298" i="1"/>
  <c r="R310" i="1"/>
  <c r="R309" i="1"/>
  <c r="R308" i="1"/>
  <c r="R307" i="1"/>
  <c r="R302" i="1"/>
  <c r="R301" i="1"/>
  <c r="R294" i="1"/>
  <c r="R288" i="1"/>
  <c r="R336" i="1"/>
  <c r="R321" i="1"/>
  <c r="R303" i="1"/>
  <c r="R295" i="1"/>
  <c r="R293" i="1"/>
  <c r="R287" i="1"/>
  <c r="R281" i="1"/>
  <c r="R329" i="1"/>
  <c r="R315" i="1"/>
  <c r="R304" i="1"/>
  <c r="R306" i="1"/>
  <c r="R282" i="1"/>
  <c r="R270" i="1"/>
  <c r="R268" i="1"/>
  <c r="R251" i="1"/>
  <c r="R255" i="1"/>
  <c r="R247" i="1"/>
  <c r="R241" i="1"/>
  <c r="R235" i="1"/>
  <c r="R296" i="1"/>
  <c r="R285" i="1"/>
  <c r="R265" i="1"/>
  <c r="R259" i="1"/>
  <c r="R252" i="1"/>
  <c r="R240" i="1"/>
  <c r="R234" i="1"/>
  <c r="R256" i="1"/>
  <c r="R264" i="1"/>
  <c r="R260" i="1"/>
  <c r="R245" i="1"/>
  <c r="R239" i="1"/>
  <c r="R233" i="1"/>
  <c r="R269" i="1"/>
  <c r="R291" i="1"/>
  <c r="R277" i="1"/>
  <c r="R276" i="1"/>
  <c r="R261" i="1"/>
  <c r="R273" i="1"/>
  <c r="R266" i="1"/>
  <c r="R258" i="1"/>
  <c r="R254" i="1"/>
  <c r="R271" i="1"/>
  <c r="R262" i="1"/>
  <c r="R248" i="1"/>
  <c r="R242" i="1"/>
  <c r="R275" i="1"/>
  <c r="R267" i="1"/>
  <c r="R249" i="1"/>
  <c r="R237" i="1"/>
  <c r="R257" i="1"/>
  <c r="R230" i="1"/>
  <c r="R236" i="1"/>
  <c r="R232" i="1"/>
  <c r="R217" i="1"/>
  <c r="R206" i="1"/>
  <c r="R200" i="1"/>
  <c r="R216" i="1"/>
  <c r="R279" i="1"/>
  <c r="R244" i="1"/>
  <c r="R219" i="1"/>
  <c r="R213" i="1"/>
  <c r="R212" i="1" s="1"/>
  <c r="R210" i="1"/>
  <c r="R220" i="1"/>
  <c r="R250" i="1"/>
  <c r="R231" i="1"/>
  <c r="R221" i="1"/>
  <c r="R209" i="1"/>
  <c r="R238" i="1"/>
  <c r="R214" i="1"/>
  <c r="R226" i="1"/>
  <c r="R222" i="1"/>
  <c r="R243" i="1"/>
  <c r="R197" i="1"/>
  <c r="R187" i="1"/>
  <c r="R176" i="1"/>
  <c r="R170" i="1"/>
  <c r="R164" i="1"/>
  <c r="R158" i="1"/>
  <c r="R253" i="1"/>
  <c r="R227" i="1"/>
  <c r="R191" i="1"/>
  <c r="R215" i="1"/>
  <c r="R184" i="1"/>
  <c r="R180" i="1"/>
  <c r="R175" i="1"/>
  <c r="R169" i="1"/>
  <c r="R163" i="1"/>
  <c r="R157" i="1"/>
  <c r="R151" i="1"/>
  <c r="R145" i="1"/>
  <c r="R201" i="1"/>
  <c r="R196" i="1"/>
  <c r="R188" i="1"/>
  <c r="R204" i="1"/>
  <c r="R202" i="1"/>
  <c r="R192" i="1"/>
  <c r="R228" i="1"/>
  <c r="R225" i="1"/>
  <c r="R207" i="1"/>
  <c r="R224" i="1"/>
  <c r="R182" i="1"/>
  <c r="R172" i="1"/>
  <c r="R166" i="1"/>
  <c r="R205" i="1"/>
  <c r="R177" i="1"/>
  <c r="R171" i="1"/>
  <c r="R156" i="1"/>
  <c r="R153" i="1"/>
  <c r="R140" i="1"/>
  <c r="R124" i="1"/>
  <c r="R118" i="1"/>
  <c r="R112" i="1"/>
  <c r="R211" i="1"/>
  <c r="R179" i="1"/>
  <c r="R174" i="1"/>
  <c r="R137" i="1"/>
  <c r="R133" i="1"/>
  <c r="R123" i="1"/>
  <c r="R223" i="1"/>
  <c r="R155" i="1"/>
  <c r="R152" i="1"/>
  <c r="R130" i="1"/>
  <c r="R122" i="1"/>
  <c r="R218" i="1"/>
  <c r="R199" i="1"/>
  <c r="R198" i="1"/>
  <c r="R138" i="1"/>
  <c r="R134" i="1"/>
  <c r="R203" i="1"/>
  <c r="R142" i="1"/>
  <c r="R193" i="1"/>
  <c r="R160" i="1"/>
  <c r="R154" i="1"/>
  <c r="R135" i="1"/>
  <c r="R126" i="1"/>
  <c r="R194" i="1"/>
  <c r="R190" i="1"/>
  <c r="R189" i="1"/>
  <c r="R168" i="1"/>
  <c r="R186" i="1"/>
  <c r="R185" i="1"/>
  <c r="R181" i="1"/>
  <c r="R162" i="1"/>
  <c r="R208" i="1"/>
  <c r="R183" i="1"/>
  <c r="R120" i="1"/>
  <c r="R107" i="1"/>
  <c r="R96" i="1"/>
  <c r="R85" i="1"/>
  <c r="R74" i="1"/>
  <c r="R147" i="1"/>
  <c r="R128" i="1"/>
  <c r="R121" i="1"/>
  <c r="R106" i="1"/>
  <c r="R95" i="1"/>
  <c r="R84" i="1"/>
  <c r="R73" i="1"/>
  <c r="R72" i="1" s="1"/>
  <c r="R150" i="1"/>
  <c r="R148" i="1"/>
  <c r="R115" i="1"/>
  <c r="R105" i="1"/>
  <c r="R94" i="1"/>
  <c r="R83" i="1"/>
  <c r="R129" i="1"/>
  <c r="R104" i="1"/>
  <c r="R93" i="1"/>
  <c r="R82" i="1"/>
  <c r="R132" i="1"/>
  <c r="R111" i="1"/>
  <c r="R110" i="1" s="1"/>
  <c r="R103" i="1"/>
  <c r="R92" i="1"/>
  <c r="R102" i="1"/>
  <c r="R91" i="1"/>
  <c r="R114" i="1"/>
  <c r="R101" i="1"/>
  <c r="R80" i="1"/>
  <c r="R167" i="1"/>
  <c r="R143" i="1"/>
  <c r="R100" i="1"/>
  <c r="R79" i="1"/>
  <c r="R131" i="1"/>
  <c r="R89" i="1"/>
  <c r="R78" i="1"/>
  <c r="R173" i="1"/>
  <c r="R149" i="1"/>
  <c r="R141" i="1"/>
  <c r="R139" i="1"/>
  <c r="R117" i="1"/>
  <c r="R88" i="1"/>
  <c r="R77" i="1"/>
  <c r="R159" i="1"/>
  <c r="R136" i="1"/>
  <c r="R113" i="1"/>
  <c r="R108" i="1"/>
  <c r="R98" i="1"/>
  <c r="R58" i="1"/>
  <c r="R47" i="1"/>
  <c r="R40" i="1"/>
  <c r="R28" i="1"/>
  <c r="R22" i="1"/>
  <c r="R16" i="1"/>
  <c r="R10" i="1"/>
  <c r="R116" i="1"/>
  <c r="R76" i="1"/>
  <c r="R57" i="1"/>
  <c r="R46" i="1"/>
  <c r="R69" i="1"/>
  <c r="R56" i="1"/>
  <c r="R33" i="1"/>
  <c r="R27" i="1"/>
  <c r="R21" i="1"/>
  <c r="R15" i="1"/>
  <c r="R9" i="1"/>
  <c r="R97" i="1"/>
  <c r="R66" i="1"/>
  <c r="R55" i="1"/>
  <c r="R65" i="1"/>
  <c r="R64" i="1"/>
  <c r="R125" i="1"/>
  <c r="R87" i="1"/>
  <c r="R86" i="1"/>
  <c r="R70" i="1"/>
  <c r="R67" i="1"/>
  <c r="R53" i="1"/>
  <c r="R43" i="1"/>
  <c r="R37" i="1"/>
  <c r="R31" i="1"/>
  <c r="R25" i="1"/>
  <c r="R19" i="1"/>
  <c r="R165" i="1"/>
  <c r="R52" i="1"/>
  <c r="R75" i="1"/>
  <c r="R62" i="1"/>
  <c r="R61" i="1"/>
  <c r="R50" i="1"/>
  <c r="R146" i="1"/>
  <c r="R119" i="1"/>
  <c r="R71" i="1"/>
  <c r="R68" i="1"/>
  <c r="R60" i="1"/>
  <c r="R59" i="1"/>
  <c r="R48" i="1"/>
  <c r="R29" i="1"/>
  <c r="R11" i="1"/>
  <c r="R17" i="1"/>
  <c r="R13" i="1"/>
  <c r="R41" i="1"/>
  <c r="R23" i="1"/>
  <c r="R24" i="1"/>
  <c r="R38" i="1"/>
  <c r="R18" i="1"/>
  <c r="R35" i="1"/>
  <c r="R32" i="1"/>
  <c r="R49" i="1"/>
  <c r="R12" i="1"/>
  <c r="R26" i="1"/>
  <c r="R30" i="1"/>
  <c r="R20" i="1"/>
  <c r="R14" i="1"/>
  <c r="R51" i="1"/>
  <c r="R42" i="1"/>
  <c r="R36" i="1"/>
  <c r="P44" i="1"/>
  <c r="P7" i="1" s="1"/>
  <c r="Q54" i="1"/>
  <c r="Q127" i="1"/>
  <c r="Q365" i="1"/>
  <c r="Q535" i="1"/>
  <c r="S6" i="1"/>
  <c r="T4" i="1"/>
  <c r="Q81" i="1"/>
  <c r="Q178" i="1"/>
  <c r="Q246" i="1"/>
  <c r="Q603" i="1"/>
  <c r="Q34" i="1"/>
  <c r="Q195" i="1"/>
  <c r="Q212" i="1"/>
  <c r="Q280" i="1"/>
  <c r="Q416" i="1"/>
  <c r="Q552" i="1"/>
  <c r="Q518" i="1"/>
  <c r="Q569" i="1"/>
  <c r="Q63" i="1"/>
  <c r="Q161" i="1"/>
  <c r="Q433" i="1"/>
  <c r="Q467" i="1"/>
  <c r="Q620" i="1"/>
  <c r="Q263" i="1"/>
  <c r="P109" i="1"/>
  <c r="Q90" i="1"/>
  <c r="Q484" i="1"/>
  <c r="Q501" i="1"/>
  <c r="Q44" i="1" l="1"/>
  <c r="P8" i="1"/>
  <c r="P5" i="1"/>
  <c r="R63" i="1"/>
  <c r="R45" i="1"/>
  <c r="R34" i="1"/>
  <c r="R54" i="1"/>
  <c r="R99" i="1"/>
  <c r="R81" i="1"/>
  <c r="R161" i="1"/>
  <c r="R518" i="1"/>
  <c r="R484" i="1"/>
  <c r="R535" i="1"/>
  <c r="R382" i="1"/>
  <c r="R314" i="1"/>
  <c r="R603" i="1"/>
  <c r="R620" i="1"/>
  <c r="R127" i="1"/>
  <c r="R195" i="1"/>
  <c r="R365" i="1"/>
  <c r="R399" i="1"/>
  <c r="R569" i="1"/>
  <c r="R637" i="1"/>
  <c r="R280" i="1"/>
  <c r="R501" i="1"/>
  <c r="T6" i="1"/>
  <c r="U4" i="1"/>
  <c r="R39" i="1"/>
  <c r="R178" i="1"/>
  <c r="R144" i="1"/>
  <c r="R467" i="1"/>
  <c r="R586" i="1"/>
  <c r="R689" i="1"/>
  <c r="R695" i="1"/>
  <c r="S703" i="1"/>
  <c r="S697" i="1"/>
  <c r="S691" i="1"/>
  <c r="S702" i="1"/>
  <c r="S696" i="1"/>
  <c r="S685" i="1"/>
  <c r="S701" i="1"/>
  <c r="S700" i="1"/>
  <c r="S690" i="1"/>
  <c r="S699" i="1"/>
  <c r="S698" i="1"/>
  <c r="S693" i="1"/>
  <c r="S692" i="1"/>
  <c r="S683" i="1"/>
  <c r="S680" i="1"/>
  <c r="S694" i="1"/>
  <c r="S686" i="1"/>
  <c r="S678" i="1"/>
  <c r="S681" i="1"/>
  <c r="S674" i="1"/>
  <c r="S672" i="1"/>
  <c r="S666" i="1"/>
  <c r="S660" i="1"/>
  <c r="S665" i="1"/>
  <c r="S659" i="1"/>
  <c r="S688" i="1"/>
  <c r="S676" i="1"/>
  <c r="S668" i="1"/>
  <c r="S687" i="1"/>
  <c r="S684" i="1"/>
  <c r="S677" i="1"/>
  <c r="S682" i="1"/>
  <c r="S670" i="1"/>
  <c r="S664" i="1"/>
  <c r="S661" i="1"/>
  <c r="S675" i="1"/>
  <c r="S679" i="1"/>
  <c r="S663" i="1"/>
  <c r="S658" i="1"/>
  <c r="S656" i="1"/>
  <c r="S669" i="1"/>
  <c r="S647" i="1"/>
  <c r="S641" i="1"/>
  <c r="S635" i="1"/>
  <c r="S629" i="1"/>
  <c r="S667" i="1"/>
  <c r="S650" i="1"/>
  <c r="S655" i="1"/>
  <c r="S653" i="1"/>
  <c r="S645" i="1"/>
  <c r="S639" i="1"/>
  <c r="S662" i="1"/>
  <c r="S673" i="1"/>
  <c r="S628" i="1"/>
  <c r="S651" i="1"/>
  <c r="S649" i="1"/>
  <c r="S644" i="1"/>
  <c r="S657" i="1"/>
  <c r="S652" i="1"/>
  <c r="S623" i="1"/>
  <c r="S646" i="1"/>
  <c r="S634" i="1"/>
  <c r="S614" i="1"/>
  <c r="S643" i="1"/>
  <c r="S633" i="1"/>
  <c r="S613" i="1"/>
  <c r="S607" i="1"/>
  <c r="S648" i="1"/>
  <c r="S642" i="1"/>
  <c r="S636" i="1"/>
  <c r="S640" i="1"/>
  <c r="S632" i="1"/>
  <c r="S625" i="1"/>
  <c r="S631" i="1"/>
  <c r="S624" i="1"/>
  <c r="S617" i="1"/>
  <c r="S612" i="1"/>
  <c r="S609" i="1"/>
  <c r="S605" i="1"/>
  <c r="S630" i="1"/>
  <c r="S606" i="1"/>
  <c r="S638" i="1"/>
  <c r="S626" i="1"/>
  <c r="S615" i="1"/>
  <c r="S621" i="1"/>
  <c r="S619" i="1"/>
  <c r="S601" i="1"/>
  <c r="S599" i="1"/>
  <c r="S608" i="1"/>
  <c r="S622" i="1"/>
  <c r="S627" i="1"/>
  <c r="S596" i="1"/>
  <c r="S590" i="1"/>
  <c r="S584" i="1"/>
  <c r="S616" i="1"/>
  <c r="S618" i="1"/>
  <c r="S595" i="1"/>
  <c r="S598" i="1"/>
  <c r="S600" i="1"/>
  <c r="S611" i="1"/>
  <c r="S594" i="1"/>
  <c r="S597" i="1"/>
  <c r="S592" i="1"/>
  <c r="S589" i="1"/>
  <c r="S585" i="1"/>
  <c r="S583" i="1"/>
  <c r="S604" i="1"/>
  <c r="S577" i="1"/>
  <c r="S571" i="1"/>
  <c r="S565" i="1"/>
  <c r="S559" i="1"/>
  <c r="S553" i="1"/>
  <c r="S602" i="1"/>
  <c r="S593" i="1"/>
  <c r="S581" i="1"/>
  <c r="S591" i="1"/>
  <c r="S580" i="1"/>
  <c r="S574" i="1"/>
  <c r="S568" i="1"/>
  <c r="S588" i="1"/>
  <c r="S587" i="1"/>
  <c r="S579" i="1"/>
  <c r="S610" i="1"/>
  <c r="S578" i="1"/>
  <c r="S576" i="1"/>
  <c r="S564" i="1"/>
  <c r="S570" i="1"/>
  <c r="S567" i="1"/>
  <c r="S566" i="1"/>
  <c r="S551" i="1"/>
  <c r="S545" i="1"/>
  <c r="S556" i="1"/>
  <c r="S575" i="1"/>
  <c r="S563" i="1"/>
  <c r="S560" i="1"/>
  <c r="S550" i="1"/>
  <c r="S544" i="1"/>
  <c r="S557" i="1"/>
  <c r="S549" i="1"/>
  <c r="S543" i="1"/>
  <c r="S572" i="1"/>
  <c r="S558" i="1"/>
  <c r="S562" i="1"/>
  <c r="S536" i="1"/>
  <c r="S530" i="1"/>
  <c r="S524" i="1"/>
  <c r="S512" i="1"/>
  <c r="S506" i="1"/>
  <c r="S555" i="1"/>
  <c r="S561" i="1"/>
  <c r="S548" i="1"/>
  <c r="S546" i="1"/>
  <c r="S582" i="1"/>
  <c r="S539" i="1"/>
  <c r="S533" i="1"/>
  <c r="S573" i="1"/>
  <c r="S554" i="1"/>
  <c r="S547" i="1"/>
  <c r="S540" i="1"/>
  <c r="S529" i="1"/>
  <c r="S525" i="1"/>
  <c r="S522" i="1"/>
  <c r="S503" i="1"/>
  <c r="S526" i="1"/>
  <c r="S538" i="1"/>
  <c r="S534" i="1"/>
  <c r="S515" i="1"/>
  <c r="S498" i="1"/>
  <c r="S492" i="1"/>
  <c r="S486" i="1"/>
  <c r="S480" i="1"/>
  <c r="S523" i="1"/>
  <c r="S519" i="1"/>
  <c r="S527" i="1"/>
  <c r="S541" i="1"/>
  <c r="S531" i="1"/>
  <c r="S542" i="1"/>
  <c r="S520" i="1"/>
  <c r="S528" i="1"/>
  <c r="S537" i="1"/>
  <c r="S532" i="1"/>
  <c r="S521" i="1"/>
  <c r="S507" i="1"/>
  <c r="S488" i="1"/>
  <c r="S496" i="1"/>
  <c r="S514" i="1"/>
  <c r="S489" i="1"/>
  <c r="S510" i="1"/>
  <c r="S497" i="1"/>
  <c r="S493" i="1"/>
  <c r="S517" i="1"/>
  <c r="S508" i="1"/>
  <c r="S504" i="1"/>
  <c r="S513" i="1"/>
  <c r="S511" i="1"/>
  <c r="S516" i="1"/>
  <c r="S509" i="1"/>
  <c r="S499" i="1"/>
  <c r="S502" i="1"/>
  <c r="S490" i="1"/>
  <c r="S500" i="1"/>
  <c r="S495" i="1"/>
  <c r="S494" i="1"/>
  <c r="S487" i="1"/>
  <c r="S483" i="1"/>
  <c r="S472" i="1"/>
  <c r="S466" i="1"/>
  <c r="S477" i="1"/>
  <c r="S471" i="1"/>
  <c r="S505" i="1"/>
  <c r="S491" i="1"/>
  <c r="S485" i="1"/>
  <c r="S482" i="1"/>
  <c r="S479" i="1"/>
  <c r="S468" i="1"/>
  <c r="S478" i="1"/>
  <c r="S462" i="1"/>
  <c r="S456" i="1"/>
  <c r="S444" i="1"/>
  <c r="S438" i="1"/>
  <c r="S432" i="1"/>
  <c r="S426" i="1"/>
  <c r="S420" i="1"/>
  <c r="S414" i="1"/>
  <c r="S474" i="1"/>
  <c r="S463" i="1"/>
  <c r="S461" i="1"/>
  <c r="S455" i="1"/>
  <c r="S449" i="1"/>
  <c r="S443" i="1"/>
  <c r="S437" i="1"/>
  <c r="S470" i="1"/>
  <c r="S460" i="1"/>
  <c r="S481" i="1"/>
  <c r="S473" i="1"/>
  <c r="S464" i="1"/>
  <c r="S476" i="1"/>
  <c r="S459" i="1"/>
  <c r="S453" i="1"/>
  <c r="S447" i="1"/>
  <c r="S441" i="1"/>
  <c r="S435" i="1"/>
  <c r="S429" i="1"/>
  <c r="S469" i="1"/>
  <c r="S465" i="1"/>
  <c r="S475" i="1"/>
  <c r="S457" i="1"/>
  <c r="S451" i="1"/>
  <c r="S422" i="1"/>
  <c r="S446" i="1"/>
  <c r="S425" i="1"/>
  <c r="S448" i="1"/>
  <c r="S428" i="1"/>
  <c r="S419" i="1"/>
  <c r="S415" i="1"/>
  <c r="S458" i="1"/>
  <c r="S431" i="1"/>
  <c r="S423" i="1"/>
  <c r="S439" i="1"/>
  <c r="S411" i="1"/>
  <c r="S440" i="1"/>
  <c r="S445" i="1"/>
  <c r="S430" i="1"/>
  <c r="S442" i="1"/>
  <c r="S434" i="1"/>
  <c r="S417" i="1"/>
  <c r="S409" i="1"/>
  <c r="S403" i="1"/>
  <c r="S397" i="1"/>
  <c r="S421" i="1"/>
  <c r="S454" i="1"/>
  <c r="S452" i="1"/>
  <c r="S436" i="1"/>
  <c r="S418" i="1"/>
  <c r="S388" i="1"/>
  <c r="S410" i="1"/>
  <c r="S424" i="1"/>
  <c r="S413" i="1"/>
  <c r="S401" i="1"/>
  <c r="S393" i="1"/>
  <c r="S387" i="1"/>
  <c r="S381" i="1"/>
  <c r="S375" i="1"/>
  <c r="S407" i="1"/>
  <c r="S404" i="1"/>
  <c r="S394" i="1"/>
  <c r="S398" i="1"/>
  <c r="S392" i="1"/>
  <c r="S386" i="1"/>
  <c r="S380" i="1"/>
  <c r="S374" i="1"/>
  <c r="S368" i="1"/>
  <c r="S395" i="1"/>
  <c r="S406" i="1"/>
  <c r="S390" i="1"/>
  <c r="S384" i="1"/>
  <c r="S378" i="1"/>
  <c r="S372" i="1"/>
  <c r="S427" i="1"/>
  <c r="S400" i="1"/>
  <c r="S405" i="1"/>
  <c r="S391" i="1"/>
  <c r="S358" i="1"/>
  <c r="S352" i="1"/>
  <c r="S369" i="1"/>
  <c r="S412" i="1"/>
  <c r="S357" i="1"/>
  <c r="S351" i="1"/>
  <c r="S345" i="1"/>
  <c r="S339" i="1"/>
  <c r="S333" i="1"/>
  <c r="S327" i="1"/>
  <c r="S402" i="1"/>
  <c r="S376" i="1"/>
  <c r="S366" i="1"/>
  <c r="S389" i="1"/>
  <c r="S383" i="1"/>
  <c r="S379" i="1"/>
  <c r="S371" i="1"/>
  <c r="S408" i="1"/>
  <c r="S385" i="1"/>
  <c r="S370" i="1"/>
  <c r="S396" i="1"/>
  <c r="S373" i="1"/>
  <c r="S359" i="1"/>
  <c r="S353" i="1"/>
  <c r="S355" i="1"/>
  <c r="S341" i="1"/>
  <c r="S326" i="1"/>
  <c r="S322" i="1"/>
  <c r="S320" i="1"/>
  <c r="S308" i="1"/>
  <c r="S302" i="1"/>
  <c r="S296" i="1"/>
  <c r="S349" i="1"/>
  <c r="S330" i="1"/>
  <c r="S338" i="1"/>
  <c r="S334" i="1"/>
  <c r="S319" i="1"/>
  <c r="S313" i="1"/>
  <c r="S307" i="1"/>
  <c r="S342" i="1"/>
  <c r="S323" i="1"/>
  <c r="S367" i="1"/>
  <c r="S363" i="1"/>
  <c r="S362" i="1"/>
  <c r="S350" i="1"/>
  <c r="S346" i="1"/>
  <c r="S318" i="1"/>
  <c r="S312" i="1"/>
  <c r="S364" i="1"/>
  <c r="S335" i="1"/>
  <c r="S356" i="1"/>
  <c r="S343" i="1"/>
  <c r="S324" i="1"/>
  <c r="S317" i="1"/>
  <c r="S311" i="1"/>
  <c r="S305" i="1"/>
  <c r="S299" i="1"/>
  <c r="S360" i="1"/>
  <c r="S347" i="1"/>
  <c r="S332" i="1"/>
  <c r="S328" i="1"/>
  <c r="S336" i="1"/>
  <c r="S316" i="1"/>
  <c r="S344" i="1"/>
  <c r="S340" i="1"/>
  <c r="S377" i="1"/>
  <c r="S354" i="1"/>
  <c r="S329" i="1"/>
  <c r="S321" i="1"/>
  <c r="S315" i="1"/>
  <c r="S309" i="1"/>
  <c r="S337" i="1"/>
  <c r="S306" i="1"/>
  <c r="S291" i="1"/>
  <c r="S285" i="1"/>
  <c r="S279" i="1"/>
  <c r="S273" i="1"/>
  <c r="S267" i="1"/>
  <c r="S361" i="1"/>
  <c r="S290" i="1"/>
  <c r="S284" i="1"/>
  <c r="S278" i="1"/>
  <c r="S272" i="1"/>
  <c r="S325" i="1"/>
  <c r="S289" i="1"/>
  <c r="S298" i="1"/>
  <c r="S310" i="1"/>
  <c r="S301" i="1"/>
  <c r="S294" i="1"/>
  <c r="S288" i="1"/>
  <c r="S282" i="1"/>
  <c r="S276" i="1"/>
  <c r="S270" i="1"/>
  <c r="S264" i="1"/>
  <c r="S258" i="1"/>
  <c r="S252" i="1"/>
  <c r="S303" i="1"/>
  <c r="S295" i="1"/>
  <c r="S293" i="1"/>
  <c r="S287" i="1"/>
  <c r="S304" i="1"/>
  <c r="S300" i="1"/>
  <c r="S292" i="1"/>
  <c r="S286" i="1"/>
  <c r="S255" i="1"/>
  <c r="S247" i="1"/>
  <c r="S241" i="1"/>
  <c r="S235" i="1"/>
  <c r="S223" i="1"/>
  <c r="S217" i="1"/>
  <c r="S265" i="1"/>
  <c r="S259" i="1"/>
  <c r="S240" i="1"/>
  <c r="S234" i="1"/>
  <c r="S228" i="1"/>
  <c r="S256" i="1"/>
  <c r="S260" i="1"/>
  <c r="S245" i="1"/>
  <c r="S239" i="1"/>
  <c r="S233" i="1"/>
  <c r="S227" i="1"/>
  <c r="S221" i="1"/>
  <c r="S269" i="1"/>
  <c r="S257" i="1"/>
  <c r="S283" i="1"/>
  <c r="S275" i="1"/>
  <c r="S250" i="1"/>
  <c r="S249" i="1"/>
  <c r="S271" i="1"/>
  <c r="S262" i="1"/>
  <c r="S248" i="1"/>
  <c r="S242" i="1"/>
  <c r="S236" i="1"/>
  <c r="S230" i="1"/>
  <c r="S224" i="1"/>
  <c r="S218" i="1"/>
  <c r="S268" i="1"/>
  <c r="S251" i="1"/>
  <c r="S232" i="1"/>
  <c r="S216" i="1"/>
  <c r="S243" i="1"/>
  <c r="S225" i="1"/>
  <c r="S211" i="1"/>
  <c r="S205" i="1"/>
  <c r="S281" i="1"/>
  <c r="S244" i="1"/>
  <c r="S274" i="1"/>
  <c r="S220" i="1"/>
  <c r="S231" i="1"/>
  <c r="S209" i="1"/>
  <c r="S203" i="1"/>
  <c r="S197" i="1"/>
  <c r="S277" i="1"/>
  <c r="S266" i="1"/>
  <c r="S238" i="1"/>
  <c r="S214" i="1"/>
  <c r="S261" i="1"/>
  <c r="S254" i="1"/>
  <c r="S226" i="1"/>
  <c r="S222" i="1"/>
  <c r="S208" i="1"/>
  <c r="S202" i="1"/>
  <c r="S196" i="1"/>
  <c r="S190" i="1"/>
  <c r="S184" i="1"/>
  <c r="S253" i="1"/>
  <c r="S213" i="1"/>
  <c r="S191" i="1"/>
  <c r="S215" i="1"/>
  <c r="S200" i="1"/>
  <c r="S180" i="1"/>
  <c r="S175" i="1"/>
  <c r="S201" i="1"/>
  <c r="S188" i="1"/>
  <c r="S204" i="1"/>
  <c r="S192" i="1"/>
  <c r="S174" i="1"/>
  <c r="S168" i="1"/>
  <c r="S162" i="1"/>
  <c r="S156" i="1"/>
  <c r="S150" i="1"/>
  <c r="S138" i="1"/>
  <c r="S132" i="1"/>
  <c r="S207" i="1"/>
  <c r="S206" i="1"/>
  <c r="S199" i="1"/>
  <c r="S181" i="1"/>
  <c r="S198" i="1"/>
  <c r="S186" i="1"/>
  <c r="S219" i="1"/>
  <c r="S194" i="1"/>
  <c r="S183" i="1"/>
  <c r="S179" i="1"/>
  <c r="S164" i="1"/>
  <c r="S129" i="1"/>
  <c r="S237" i="1"/>
  <c r="S173" i="1"/>
  <c r="S167" i="1"/>
  <c r="S165" i="1"/>
  <c r="S149" i="1"/>
  <c r="S146" i="1"/>
  <c r="S141" i="1"/>
  <c r="S171" i="1"/>
  <c r="S134" i="1"/>
  <c r="S158" i="1"/>
  <c r="S142" i="1"/>
  <c r="S121" i="1"/>
  <c r="S115" i="1"/>
  <c r="S176" i="1"/>
  <c r="S159" i="1"/>
  <c r="S148" i="1"/>
  <c r="S145" i="1"/>
  <c r="S131" i="1"/>
  <c r="S189" i="1"/>
  <c r="S166" i="1"/>
  <c r="S157" i="1"/>
  <c r="S143" i="1"/>
  <c r="S139" i="1"/>
  <c r="S185" i="1"/>
  <c r="S170" i="1"/>
  <c r="S187" i="1"/>
  <c r="S147" i="1"/>
  <c r="S136" i="1"/>
  <c r="S210" i="1"/>
  <c r="S182" i="1"/>
  <c r="S163" i="1"/>
  <c r="S133" i="1"/>
  <c r="S128" i="1"/>
  <c r="S106" i="1"/>
  <c r="S95" i="1"/>
  <c r="S84" i="1"/>
  <c r="S73" i="1"/>
  <c r="S154" i="1"/>
  <c r="S135" i="1"/>
  <c r="S105" i="1"/>
  <c r="S94" i="1"/>
  <c r="S83" i="1"/>
  <c r="S152" i="1"/>
  <c r="S122" i="1"/>
  <c r="S104" i="1"/>
  <c r="S93" i="1"/>
  <c r="S82" i="1"/>
  <c r="S169" i="1"/>
  <c r="S111" i="1"/>
  <c r="S103" i="1"/>
  <c r="S92" i="1"/>
  <c r="S172" i="1"/>
  <c r="S123" i="1"/>
  <c r="S102" i="1"/>
  <c r="S91" i="1"/>
  <c r="S90" i="1" s="1"/>
  <c r="S193" i="1"/>
  <c r="S130" i="1"/>
  <c r="S114" i="1"/>
  <c r="S112" i="1"/>
  <c r="S101" i="1"/>
  <c r="S100" i="1"/>
  <c r="S177" i="1"/>
  <c r="S155" i="1"/>
  <c r="S153" i="1"/>
  <c r="S89" i="1"/>
  <c r="S78" i="1"/>
  <c r="S160" i="1"/>
  <c r="S151" i="1"/>
  <c r="S117" i="1"/>
  <c r="S88" i="1"/>
  <c r="S77" i="1"/>
  <c r="S140" i="1"/>
  <c r="S126" i="1"/>
  <c r="S118" i="1"/>
  <c r="S113" i="1"/>
  <c r="S108" i="1"/>
  <c r="S98" i="1"/>
  <c r="S87" i="1"/>
  <c r="S76" i="1"/>
  <c r="S137" i="1"/>
  <c r="S125" i="1"/>
  <c r="S119" i="1"/>
  <c r="S116" i="1"/>
  <c r="S97" i="1"/>
  <c r="S80" i="1"/>
  <c r="S57" i="1"/>
  <c r="S46" i="1"/>
  <c r="S69" i="1"/>
  <c r="S56" i="1"/>
  <c r="S74" i="1"/>
  <c r="S66" i="1"/>
  <c r="S55" i="1"/>
  <c r="S65" i="1"/>
  <c r="S38" i="1"/>
  <c r="S32" i="1"/>
  <c r="S26" i="1"/>
  <c r="S20" i="1"/>
  <c r="S14" i="1"/>
  <c r="S107" i="1"/>
  <c r="S85" i="1"/>
  <c r="S64" i="1"/>
  <c r="S120" i="1"/>
  <c r="S86" i="1"/>
  <c r="S70" i="1"/>
  <c r="S67" i="1"/>
  <c r="S53" i="1"/>
  <c r="S43" i="1"/>
  <c r="S37" i="1"/>
  <c r="S31" i="1"/>
  <c r="S25" i="1"/>
  <c r="S19" i="1"/>
  <c r="S52" i="1"/>
  <c r="S79" i="1"/>
  <c r="S75" i="1"/>
  <c r="S62" i="1"/>
  <c r="S51" i="1"/>
  <c r="S42" i="1"/>
  <c r="S36" i="1"/>
  <c r="S30" i="1"/>
  <c r="S24" i="1"/>
  <c r="S18" i="1"/>
  <c r="S12" i="1"/>
  <c r="S61" i="1"/>
  <c r="S96" i="1"/>
  <c r="S71" i="1"/>
  <c r="S68" i="1"/>
  <c r="S60" i="1"/>
  <c r="S49" i="1"/>
  <c r="S41" i="1"/>
  <c r="S124" i="1"/>
  <c r="S59" i="1"/>
  <c r="S58" i="1"/>
  <c r="S47" i="1"/>
  <c r="S40" i="1"/>
  <c r="S39" i="1" s="1"/>
  <c r="S28" i="1"/>
  <c r="S22" i="1"/>
  <c r="S16" i="1"/>
  <c r="S17" i="1"/>
  <c r="S13" i="1"/>
  <c r="S9" i="1"/>
  <c r="S23" i="1"/>
  <c r="S50" i="1"/>
  <c r="S33" i="1"/>
  <c r="S27" i="1"/>
  <c r="S10" i="1"/>
  <c r="S11" i="1"/>
  <c r="S21" i="1"/>
  <c r="S15" i="1"/>
  <c r="S29" i="1"/>
  <c r="S48" i="1"/>
  <c r="S35" i="1"/>
  <c r="S34" i="1" s="1"/>
  <c r="R90" i="1"/>
  <c r="R246" i="1"/>
  <c r="R654" i="1"/>
  <c r="R671" i="1"/>
  <c r="Q109" i="1"/>
  <c r="Q7" i="1" s="1"/>
  <c r="R263" i="1"/>
  <c r="R297" i="1"/>
  <c r="R450" i="1"/>
  <c r="R229" i="1"/>
  <c r="R331" i="1"/>
  <c r="R348" i="1"/>
  <c r="R416" i="1"/>
  <c r="R552" i="1"/>
  <c r="S54" i="1" l="1"/>
  <c r="S212" i="1"/>
  <c r="S433" i="1"/>
  <c r="S586" i="1"/>
  <c r="S620" i="1"/>
  <c r="R109" i="1"/>
  <c r="S695" i="1"/>
  <c r="Q5" i="1"/>
  <c r="Q8" i="1"/>
  <c r="S246" i="1"/>
  <c r="S263" i="1"/>
  <c r="S314" i="1"/>
  <c r="S399" i="1"/>
  <c r="S535" i="1"/>
  <c r="S654" i="1"/>
  <c r="S348" i="1"/>
  <c r="S467" i="1"/>
  <c r="S603" i="1"/>
  <c r="S63" i="1"/>
  <c r="S144" i="1"/>
  <c r="S637" i="1"/>
  <c r="S195" i="1"/>
  <c r="S671" i="1"/>
  <c r="S689" i="1"/>
  <c r="S45" i="1"/>
  <c r="S450" i="1"/>
  <c r="S484" i="1"/>
  <c r="S501" i="1"/>
  <c r="S569" i="1"/>
  <c r="S161" i="1"/>
  <c r="S99" i="1"/>
  <c r="S110" i="1"/>
  <c r="S72" i="1"/>
  <c r="S382" i="1"/>
  <c r="S518" i="1"/>
  <c r="U6" i="1"/>
  <c r="V4" i="1"/>
  <c r="R44" i="1"/>
  <c r="S81" i="1"/>
  <c r="S229" i="1"/>
  <c r="S297" i="1"/>
  <c r="S552" i="1"/>
  <c r="T693" i="1"/>
  <c r="T701" i="1"/>
  <c r="T700" i="1"/>
  <c r="T694" i="1"/>
  <c r="T696" i="1"/>
  <c r="T695" i="1" s="1"/>
  <c r="T702" i="1"/>
  <c r="T699" i="1"/>
  <c r="T703" i="1"/>
  <c r="T698" i="1"/>
  <c r="T688" i="1"/>
  <c r="T680" i="1"/>
  <c r="T685" i="1"/>
  <c r="T697" i="1"/>
  <c r="T684" i="1"/>
  <c r="T679" i="1"/>
  <c r="T692" i="1"/>
  <c r="T683" i="1"/>
  <c r="T686" i="1"/>
  <c r="T677" i="1"/>
  <c r="T691" i="1"/>
  <c r="T687" i="1"/>
  <c r="T682" i="1"/>
  <c r="T690" i="1"/>
  <c r="T674" i="1"/>
  <c r="T664" i="1"/>
  <c r="T676" i="1"/>
  <c r="T672" i="1"/>
  <c r="T681" i="1"/>
  <c r="T678" i="1"/>
  <c r="T666" i="1"/>
  <c r="T663" i="1"/>
  <c r="T658" i="1"/>
  <c r="T675" i="1"/>
  <c r="T669" i="1"/>
  <c r="T673" i="1"/>
  <c r="T665" i="1"/>
  <c r="T667" i="1"/>
  <c r="T659" i="1"/>
  <c r="T650" i="1"/>
  <c r="T670" i="1"/>
  <c r="T655" i="1"/>
  <c r="T646" i="1"/>
  <c r="T653" i="1"/>
  <c r="T662" i="1"/>
  <c r="T652" i="1"/>
  <c r="T660" i="1"/>
  <c r="T661" i="1"/>
  <c r="T657" i="1"/>
  <c r="T651" i="1"/>
  <c r="T632" i="1"/>
  <c r="T656" i="1"/>
  <c r="T668" i="1"/>
  <c r="T649" i="1"/>
  <c r="T647" i="1"/>
  <c r="T648" i="1"/>
  <c r="T631" i="1"/>
  <c r="T643" i="1"/>
  <c r="T642" i="1"/>
  <c r="T639" i="1"/>
  <c r="T640" i="1"/>
  <c r="T635" i="1"/>
  <c r="T629" i="1"/>
  <c r="T623" i="1"/>
  <c r="T616" i="1"/>
  <c r="T630" i="1"/>
  <c r="T645" i="1"/>
  <c r="T641" i="1"/>
  <c r="T625" i="1"/>
  <c r="T636" i="1"/>
  <c r="T626" i="1"/>
  <c r="T634" i="1"/>
  <c r="T638" i="1"/>
  <c r="T628" i="1"/>
  <c r="T622" i="1"/>
  <c r="T644" i="1"/>
  <c r="T606" i="1"/>
  <c r="T633" i="1"/>
  <c r="T627" i="1"/>
  <c r="T618" i="1"/>
  <c r="T624" i="1"/>
  <c r="T613" i="1"/>
  <c r="T608" i="1"/>
  <c r="T614" i="1"/>
  <c r="T612" i="1"/>
  <c r="T605" i="1"/>
  <c r="T602" i="1"/>
  <c r="T621" i="1"/>
  <c r="T619" i="1"/>
  <c r="T617" i="1"/>
  <c r="T615" i="1"/>
  <c r="T607" i="1"/>
  <c r="T601" i="1"/>
  <c r="T588" i="1"/>
  <c r="T584" i="1"/>
  <c r="T609" i="1"/>
  <c r="T604" i="1"/>
  <c r="T611" i="1"/>
  <c r="T594" i="1"/>
  <c r="T590" i="1"/>
  <c r="T610" i="1"/>
  <c r="T598" i="1"/>
  <c r="T599" i="1"/>
  <c r="T596" i="1"/>
  <c r="T600" i="1"/>
  <c r="T591" i="1"/>
  <c r="T582" i="1"/>
  <c r="T592" i="1"/>
  <c r="T581" i="1"/>
  <c r="T572" i="1"/>
  <c r="T595" i="1"/>
  <c r="T589" i="1"/>
  <c r="T574" i="1"/>
  <c r="T564" i="1"/>
  <c r="T593" i="1"/>
  <c r="T567" i="1"/>
  <c r="T597" i="1"/>
  <c r="T585" i="1"/>
  <c r="T573" i="1"/>
  <c r="T578" i="1"/>
  <c r="T571" i="1"/>
  <c r="T559" i="1"/>
  <c r="T576" i="1"/>
  <c r="T570" i="1"/>
  <c r="T566" i="1"/>
  <c r="T565" i="1"/>
  <c r="T551" i="1"/>
  <c r="T545" i="1"/>
  <c r="T556" i="1"/>
  <c r="T575" i="1"/>
  <c r="T563" i="1"/>
  <c r="T560" i="1"/>
  <c r="T579" i="1"/>
  <c r="T557" i="1"/>
  <c r="T553" i="1"/>
  <c r="T561" i="1"/>
  <c r="T562" i="1"/>
  <c r="T580" i="1"/>
  <c r="T577" i="1"/>
  <c r="T555" i="1"/>
  <c r="T583" i="1"/>
  <c r="T544" i="1"/>
  <c r="T548" i="1"/>
  <c r="T546" i="1"/>
  <c r="T587" i="1"/>
  <c r="T568" i="1"/>
  <c r="T558" i="1"/>
  <c r="T549" i="1"/>
  <c r="T543" i="1"/>
  <c r="T526" i="1"/>
  <c r="T511" i="1"/>
  <c r="T507" i="1"/>
  <c r="T538" i="1"/>
  <c r="T534" i="1"/>
  <c r="T530" i="1"/>
  <c r="T547" i="1"/>
  <c r="T523" i="1"/>
  <c r="T519" i="1"/>
  <c r="T504" i="1"/>
  <c r="T554" i="1"/>
  <c r="T527" i="1"/>
  <c r="T541" i="1"/>
  <c r="T531" i="1"/>
  <c r="T550" i="1"/>
  <c r="T542" i="1"/>
  <c r="T533" i="1"/>
  <c r="T528" i="1"/>
  <c r="T524" i="1"/>
  <c r="T536" i="1"/>
  <c r="T537" i="1"/>
  <c r="T532" i="1"/>
  <c r="T521" i="1"/>
  <c r="T540" i="1"/>
  <c r="T539" i="1"/>
  <c r="T529" i="1"/>
  <c r="T525" i="1"/>
  <c r="T510" i="1"/>
  <c r="T496" i="1"/>
  <c r="T492" i="1"/>
  <c r="T514" i="1"/>
  <c r="T500" i="1"/>
  <c r="T512" i="1"/>
  <c r="T497" i="1"/>
  <c r="T493" i="1"/>
  <c r="T517" i="1"/>
  <c r="T508" i="1"/>
  <c r="T522" i="1"/>
  <c r="T515" i="1"/>
  <c r="T490" i="1"/>
  <c r="T520" i="1"/>
  <c r="T505" i="1"/>
  <c r="T503" i="1"/>
  <c r="T498" i="1"/>
  <c r="T513" i="1"/>
  <c r="T506" i="1"/>
  <c r="T516" i="1"/>
  <c r="T509" i="1"/>
  <c r="T502" i="1"/>
  <c r="T499" i="1"/>
  <c r="T480" i="1"/>
  <c r="T495" i="1"/>
  <c r="T494" i="1"/>
  <c r="T487" i="1"/>
  <c r="T486" i="1"/>
  <c r="T483" i="1"/>
  <c r="T481" i="1"/>
  <c r="T478" i="1"/>
  <c r="T489" i="1"/>
  <c r="T479" i="1"/>
  <c r="T471" i="1"/>
  <c r="T466" i="1"/>
  <c r="T462" i="1"/>
  <c r="T456" i="1"/>
  <c r="T474" i="1"/>
  <c r="T482" i="1"/>
  <c r="T463" i="1"/>
  <c r="T461" i="1"/>
  <c r="T455" i="1"/>
  <c r="T449" i="1"/>
  <c r="T470" i="1"/>
  <c r="T491" i="1"/>
  <c r="T460" i="1"/>
  <c r="T473" i="1"/>
  <c r="T464" i="1"/>
  <c r="T485" i="1"/>
  <c r="T476" i="1"/>
  <c r="T459" i="1"/>
  <c r="T469" i="1"/>
  <c r="T488" i="1"/>
  <c r="T477" i="1"/>
  <c r="T465" i="1"/>
  <c r="T475" i="1"/>
  <c r="T472" i="1"/>
  <c r="T468" i="1"/>
  <c r="T446" i="1"/>
  <c r="T444" i="1"/>
  <c r="T437" i="1"/>
  <c r="T425" i="1"/>
  <c r="T448" i="1"/>
  <c r="T428" i="1"/>
  <c r="T419" i="1"/>
  <c r="T415" i="1"/>
  <c r="T412" i="1"/>
  <c r="T406" i="1"/>
  <c r="T458" i="1"/>
  <c r="T438" i="1"/>
  <c r="T431" i="1"/>
  <c r="T423" i="1"/>
  <c r="T439" i="1"/>
  <c r="T440" i="1"/>
  <c r="T427" i="1"/>
  <c r="T424" i="1"/>
  <c r="T420" i="1"/>
  <c r="T447" i="1"/>
  <c r="T442" i="1"/>
  <c r="T434" i="1"/>
  <c r="T421" i="1"/>
  <c r="T443" i="1"/>
  <c r="T435" i="1"/>
  <c r="T426" i="1"/>
  <c r="T454" i="1"/>
  <c r="T453" i="1"/>
  <c r="T452" i="1"/>
  <c r="T436" i="1"/>
  <c r="T429" i="1"/>
  <c r="T418" i="1"/>
  <c r="T457" i="1"/>
  <c r="T451" i="1"/>
  <c r="T432" i="1"/>
  <c r="T422" i="1"/>
  <c r="T413" i="1"/>
  <c r="T410" i="1"/>
  <c r="T397" i="1"/>
  <c r="T401" i="1"/>
  <c r="T393" i="1"/>
  <c r="T441" i="1"/>
  <c r="T407" i="1"/>
  <c r="T404" i="1"/>
  <c r="T394" i="1"/>
  <c r="T411" i="1"/>
  <c r="T398" i="1"/>
  <c r="T395" i="1"/>
  <c r="T391" i="1"/>
  <c r="T414" i="1"/>
  <c r="T403" i="1"/>
  <c r="T430" i="1"/>
  <c r="T390" i="1"/>
  <c r="T445" i="1"/>
  <c r="T417" i="1"/>
  <c r="T396" i="1"/>
  <c r="T402" i="1"/>
  <c r="T400" i="1"/>
  <c r="T408" i="1"/>
  <c r="T405" i="1"/>
  <c r="T374" i="1"/>
  <c r="T369" i="1"/>
  <c r="T384" i="1"/>
  <c r="T375" i="1"/>
  <c r="T376" i="1"/>
  <c r="T366" i="1"/>
  <c r="T409" i="1"/>
  <c r="T377" i="1"/>
  <c r="T362" i="1"/>
  <c r="T389" i="1"/>
  <c r="T378" i="1"/>
  <c r="T367" i="1"/>
  <c r="T363" i="1"/>
  <c r="T360" i="1"/>
  <c r="T387" i="1"/>
  <c r="T386" i="1"/>
  <c r="T385" i="1"/>
  <c r="T380" i="1"/>
  <c r="T392" i="1"/>
  <c r="T388" i="1"/>
  <c r="T373" i="1"/>
  <c r="T368" i="1"/>
  <c r="T381" i="1"/>
  <c r="T349" i="1"/>
  <c r="T345" i="1"/>
  <c r="T330" i="1"/>
  <c r="T358" i="1"/>
  <c r="T357" i="1"/>
  <c r="T338" i="1"/>
  <c r="T334" i="1"/>
  <c r="T319" i="1"/>
  <c r="T359" i="1"/>
  <c r="T342" i="1"/>
  <c r="T323" i="1"/>
  <c r="T350" i="1"/>
  <c r="T346" i="1"/>
  <c r="T327" i="1"/>
  <c r="T364" i="1"/>
  <c r="T335" i="1"/>
  <c r="T379" i="1"/>
  <c r="T356" i="1"/>
  <c r="T343" i="1"/>
  <c r="T339" i="1"/>
  <c r="T324" i="1"/>
  <c r="T317" i="1"/>
  <c r="T352" i="1"/>
  <c r="T347" i="1"/>
  <c r="T332" i="1"/>
  <c r="T328" i="1"/>
  <c r="T351" i="1"/>
  <c r="T336" i="1"/>
  <c r="T371" i="1"/>
  <c r="T353" i="1"/>
  <c r="T344" i="1"/>
  <c r="T340" i="1"/>
  <c r="T325" i="1"/>
  <c r="T372" i="1"/>
  <c r="T354" i="1"/>
  <c r="T383" i="1"/>
  <c r="T370" i="1"/>
  <c r="T361" i="1"/>
  <c r="T337" i="1"/>
  <c r="T333" i="1"/>
  <c r="T313" i="1"/>
  <c r="T306" i="1"/>
  <c r="T291" i="1"/>
  <c r="T285" i="1"/>
  <c r="T279" i="1"/>
  <c r="T273" i="1"/>
  <c r="T296" i="1"/>
  <c r="T355" i="1"/>
  <c r="T289" i="1"/>
  <c r="T283" i="1"/>
  <c r="T277" i="1"/>
  <c r="T271" i="1"/>
  <c r="T316" i="1"/>
  <c r="T298" i="1"/>
  <c r="T341" i="1"/>
  <c r="T326" i="1"/>
  <c r="T311" i="1"/>
  <c r="T310" i="1"/>
  <c r="T301" i="1"/>
  <c r="T294" i="1"/>
  <c r="T288" i="1"/>
  <c r="T312" i="1"/>
  <c r="T309" i="1"/>
  <c r="T308" i="1"/>
  <c r="T307" i="1"/>
  <c r="T302" i="1"/>
  <c r="T320" i="1"/>
  <c r="T303" i="1"/>
  <c r="T295" i="1"/>
  <c r="T293" i="1"/>
  <c r="T321" i="1"/>
  <c r="T304" i="1"/>
  <c r="T329" i="1"/>
  <c r="T318" i="1"/>
  <c r="T315" i="1"/>
  <c r="T300" i="1"/>
  <c r="T292" i="1"/>
  <c r="T286" i="1"/>
  <c r="T322" i="1"/>
  <c r="T305" i="1"/>
  <c r="T265" i="1"/>
  <c r="T259" i="1"/>
  <c r="T290" i="1"/>
  <c r="T240" i="1"/>
  <c r="T256" i="1"/>
  <c r="T252" i="1"/>
  <c r="T260" i="1"/>
  <c r="T245" i="1"/>
  <c r="T239" i="1"/>
  <c r="T269" i="1"/>
  <c r="T264" i="1"/>
  <c r="T257" i="1"/>
  <c r="T253" i="1"/>
  <c r="T244" i="1"/>
  <c r="T238" i="1"/>
  <c r="T281" i="1"/>
  <c r="T278" i="1"/>
  <c r="T261" i="1"/>
  <c r="T274" i="1"/>
  <c r="T267" i="1"/>
  <c r="T266" i="1"/>
  <c r="T254" i="1"/>
  <c r="T284" i="1"/>
  <c r="T268" i="1"/>
  <c r="T251" i="1"/>
  <c r="T299" i="1"/>
  <c r="T287" i="1"/>
  <c r="T282" i="1"/>
  <c r="T270" i="1"/>
  <c r="T255" i="1"/>
  <c r="T247" i="1"/>
  <c r="T262" i="1"/>
  <c r="T242" i="1"/>
  <c r="T232" i="1"/>
  <c r="T230" i="1"/>
  <c r="T241" i="1"/>
  <c r="T236" i="1"/>
  <c r="T243" i="1"/>
  <c r="T225" i="1"/>
  <c r="T211" i="1"/>
  <c r="T205" i="1"/>
  <c r="T276" i="1"/>
  <c r="T248" i="1"/>
  <c r="T235" i="1"/>
  <c r="T227" i="1"/>
  <c r="T218" i="1"/>
  <c r="T231" i="1"/>
  <c r="T209" i="1"/>
  <c r="T250" i="1"/>
  <c r="T221" i="1"/>
  <c r="T214" i="1"/>
  <c r="T272" i="1"/>
  <c r="T233" i="1"/>
  <c r="T226" i="1"/>
  <c r="T222" i="1"/>
  <c r="T208" i="1"/>
  <c r="T234" i="1"/>
  <c r="T275" i="1"/>
  <c r="T237" i="1"/>
  <c r="T228" i="1"/>
  <c r="T223" i="1"/>
  <c r="T215" i="1"/>
  <c r="T200" i="1"/>
  <c r="T180" i="1"/>
  <c r="T175" i="1"/>
  <c r="T169" i="1"/>
  <c r="T163" i="1"/>
  <c r="T249" i="1"/>
  <c r="T217" i="1"/>
  <c r="T201" i="1"/>
  <c r="T188" i="1"/>
  <c r="T184" i="1"/>
  <c r="T220" i="1"/>
  <c r="T204" i="1"/>
  <c r="T196" i="1"/>
  <c r="T192" i="1"/>
  <c r="T174" i="1"/>
  <c r="T168" i="1"/>
  <c r="T162" i="1"/>
  <c r="T156" i="1"/>
  <c r="T150" i="1"/>
  <c r="T207" i="1"/>
  <c r="T206" i="1"/>
  <c r="T202" i="1"/>
  <c r="T199" i="1"/>
  <c r="T181" i="1"/>
  <c r="T189" i="1"/>
  <c r="T185" i="1"/>
  <c r="T210" i="1"/>
  <c r="T203" i="1"/>
  <c r="T190" i="1"/>
  <c r="T177" i="1"/>
  <c r="T171" i="1"/>
  <c r="T165" i="1"/>
  <c r="T258" i="1"/>
  <c r="T219" i="1"/>
  <c r="T216" i="1"/>
  <c r="T187" i="1"/>
  <c r="T176" i="1"/>
  <c r="T179" i="1"/>
  <c r="T137" i="1"/>
  <c r="T133" i="1"/>
  <c r="T123" i="1"/>
  <c r="T117" i="1"/>
  <c r="T173" i="1"/>
  <c r="T167" i="1"/>
  <c r="T197" i="1"/>
  <c r="T172" i="1"/>
  <c r="T155" i="1"/>
  <c r="T152" i="1"/>
  <c r="T130" i="1"/>
  <c r="T198" i="1"/>
  <c r="T158" i="1"/>
  <c r="T142" i="1"/>
  <c r="T138" i="1"/>
  <c r="T121" i="1"/>
  <c r="T213" i="1"/>
  <c r="T159" i="1"/>
  <c r="T148" i="1"/>
  <c r="T145" i="1"/>
  <c r="T131" i="1"/>
  <c r="T193" i="1"/>
  <c r="T160" i="1"/>
  <c r="T154" i="1"/>
  <c r="T151" i="1"/>
  <c r="T135" i="1"/>
  <c r="T194" i="1"/>
  <c r="T191" i="1"/>
  <c r="T170" i="1"/>
  <c r="T128" i="1"/>
  <c r="T125" i="1"/>
  <c r="T186" i="1"/>
  <c r="T224" i="1"/>
  <c r="T183" i="1"/>
  <c r="T182" i="1"/>
  <c r="T153" i="1"/>
  <c r="T140" i="1"/>
  <c r="T164" i="1"/>
  <c r="T147" i="1"/>
  <c r="T105" i="1"/>
  <c r="T94" i="1"/>
  <c r="T83" i="1"/>
  <c r="T122" i="1"/>
  <c r="T115" i="1"/>
  <c r="T104" i="1"/>
  <c r="T93" i="1"/>
  <c r="T82" i="1"/>
  <c r="T129" i="1"/>
  <c r="T111" i="1"/>
  <c r="T103" i="1"/>
  <c r="T92" i="1"/>
  <c r="T166" i="1"/>
  <c r="T132" i="1"/>
  <c r="T102" i="1"/>
  <c r="T91" i="1"/>
  <c r="T114" i="1"/>
  <c r="T112" i="1"/>
  <c r="T101" i="1"/>
  <c r="T80" i="1"/>
  <c r="T100" i="1"/>
  <c r="T143" i="1"/>
  <c r="T134" i="1"/>
  <c r="T89" i="1"/>
  <c r="T157" i="1"/>
  <c r="T88" i="1"/>
  <c r="T77" i="1"/>
  <c r="T149" i="1"/>
  <c r="T141" i="1"/>
  <c r="T139" i="1"/>
  <c r="T126" i="1"/>
  <c r="T118" i="1"/>
  <c r="T113" i="1"/>
  <c r="T108" i="1"/>
  <c r="T98" i="1"/>
  <c r="T87" i="1"/>
  <c r="T76" i="1"/>
  <c r="T136" i="1"/>
  <c r="T119" i="1"/>
  <c r="T116" i="1"/>
  <c r="T97" i="1"/>
  <c r="T86" i="1"/>
  <c r="T146" i="1"/>
  <c r="T124" i="1"/>
  <c r="T120" i="1"/>
  <c r="T107" i="1"/>
  <c r="T96" i="1"/>
  <c r="T69" i="1"/>
  <c r="T56" i="1"/>
  <c r="T33" i="1"/>
  <c r="T27" i="1"/>
  <c r="T21" i="1"/>
  <c r="T15" i="1"/>
  <c r="T9" i="1"/>
  <c r="T74" i="1"/>
  <c r="T66" i="1"/>
  <c r="T55" i="1"/>
  <c r="T95" i="1"/>
  <c r="T84" i="1"/>
  <c r="T65" i="1"/>
  <c r="T38" i="1"/>
  <c r="T32" i="1"/>
  <c r="T26" i="1"/>
  <c r="T20" i="1"/>
  <c r="T14" i="1"/>
  <c r="T85" i="1"/>
  <c r="T78" i="1"/>
  <c r="T64" i="1"/>
  <c r="T70" i="1"/>
  <c r="T67" i="1"/>
  <c r="T52" i="1"/>
  <c r="T79" i="1"/>
  <c r="T75" i="1"/>
  <c r="T62" i="1"/>
  <c r="T51" i="1"/>
  <c r="T42" i="1"/>
  <c r="T36" i="1"/>
  <c r="T30" i="1"/>
  <c r="T24" i="1"/>
  <c r="T61" i="1"/>
  <c r="T50" i="1"/>
  <c r="T71" i="1"/>
  <c r="T68" i="1"/>
  <c r="T60" i="1"/>
  <c r="T106" i="1"/>
  <c r="T59" i="1"/>
  <c r="T48" i="1"/>
  <c r="T73" i="1"/>
  <c r="T57" i="1"/>
  <c r="T46" i="1"/>
  <c r="T58" i="1"/>
  <c r="T37" i="1"/>
  <c r="T23" i="1"/>
  <c r="T17" i="1"/>
  <c r="T53" i="1"/>
  <c r="T47" i="1"/>
  <c r="T41" i="1"/>
  <c r="T28" i="1"/>
  <c r="T22" i="1"/>
  <c r="T10" i="1"/>
  <c r="T12" i="1"/>
  <c r="T43" i="1"/>
  <c r="T18" i="1"/>
  <c r="T49" i="1"/>
  <c r="T31" i="1"/>
  <c r="T16" i="1"/>
  <c r="T25" i="1"/>
  <c r="T40" i="1"/>
  <c r="T35" i="1"/>
  <c r="T29" i="1"/>
  <c r="T19" i="1"/>
  <c r="T11" i="1"/>
  <c r="T13" i="1"/>
  <c r="S178" i="1"/>
  <c r="S280" i="1"/>
  <c r="S365" i="1"/>
  <c r="S127" i="1"/>
  <c r="S331" i="1"/>
  <c r="S416" i="1"/>
  <c r="T72" i="1" l="1"/>
  <c r="T90" i="1"/>
  <c r="T263" i="1"/>
  <c r="T689" i="1"/>
  <c r="T212" i="1"/>
  <c r="T34" i="1"/>
  <c r="R7" i="1"/>
  <c r="R5" i="1" s="1"/>
  <c r="R8" i="1"/>
  <c r="T229" i="1"/>
  <c r="T365" i="1"/>
  <c r="T127" i="1"/>
  <c r="T297" i="1"/>
  <c r="T484" i="1"/>
  <c r="T39" i="1"/>
  <c r="T161" i="1"/>
  <c r="T246" i="1"/>
  <c r="T314" i="1"/>
  <c r="V6" i="1"/>
  <c r="W4" i="1"/>
  <c r="U702" i="1"/>
  <c r="U696" i="1"/>
  <c r="U690" i="1"/>
  <c r="U701" i="1"/>
  <c r="U684" i="1"/>
  <c r="U699" i="1"/>
  <c r="U691" i="1"/>
  <c r="U703" i="1"/>
  <c r="U698" i="1"/>
  <c r="U693" i="1"/>
  <c r="U683" i="1"/>
  <c r="U688" i="1"/>
  <c r="U687" i="1"/>
  <c r="U700" i="1"/>
  <c r="U694" i="1"/>
  <c r="U697" i="1"/>
  <c r="U685" i="1"/>
  <c r="U677" i="1"/>
  <c r="U681" i="1"/>
  <c r="U673" i="1"/>
  <c r="U678" i="1"/>
  <c r="U665" i="1"/>
  <c r="U659" i="1"/>
  <c r="U653" i="1"/>
  <c r="U675" i="1"/>
  <c r="U670" i="1"/>
  <c r="U664" i="1"/>
  <c r="U658" i="1"/>
  <c r="U686" i="1"/>
  <c r="U674" i="1"/>
  <c r="U682" i="1"/>
  <c r="U667" i="1"/>
  <c r="U676" i="1"/>
  <c r="U672" i="1"/>
  <c r="U680" i="1"/>
  <c r="U679" i="1"/>
  <c r="U656" i="1"/>
  <c r="U661" i="1"/>
  <c r="U666" i="1"/>
  <c r="U663" i="1"/>
  <c r="U655" i="1"/>
  <c r="U646" i="1"/>
  <c r="U640" i="1"/>
  <c r="U634" i="1"/>
  <c r="U628" i="1"/>
  <c r="U662" i="1"/>
  <c r="U652" i="1"/>
  <c r="U660" i="1"/>
  <c r="U644" i="1"/>
  <c r="U638" i="1"/>
  <c r="U692" i="1"/>
  <c r="U641" i="1"/>
  <c r="U636" i="1"/>
  <c r="U642" i="1"/>
  <c r="U668" i="1"/>
  <c r="U651" i="1"/>
  <c r="U645" i="1"/>
  <c r="U630" i="1"/>
  <c r="U657" i="1"/>
  <c r="U648" i="1"/>
  <c r="U631" i="1"/>
  <c r="U622" i="1"/>
  <c r="U635" i="1"/>
  <c r="U643" i="1"/>
  <c r="U633" i="1"/>
  <c r="U613" i="1"/>
  <c r="U650" i="1"/>
  <c r="U649" i="1"/>
  <c r="U632" i="1"/>
  <c r="U621" i="1"/>
  <c r="U612" i="1"/>
  <c r="U606" i="1"/>
  <c r="U669" i="1"/>
  <c r="U625" i="1"/>
  <c r="U615" i="1"/>
  <c r="U626" i="1"/>
  <c r="U639" i="1"/>
  <c r="U629" i="1"/>
  <c r="U627" i="1"/>
  <c r="U604" i="1"/>
  <c r="U611" i="1"/>
  <c r="U647" i="1"/>
  <c r="U619" i="1"/>
  <c r="U616" i="1"/>
  <c r="U610" i="1"/>
  <c r="U598" i="1"/>
  <c r="U623" i="1"/>
  <c r="U614" i="1"/>
  <c r="U605" i="1"/>
  <c r="U624" i="1"/>
  <c r="U617" i="1"/>
  <c r="U609" i="1"/>
  <c r="U607" i="1"/>
  <c r="U595" i="1"/>
  <c r="U589" i="1"/>
  <c r="U583" i="1"/>
  <c r="U618" i="1"/>
  <c r="U608" i="1"/>
  <c r="U597" i="1"/>
  <c r="U592" i="1"/>
  <c r="U599" i="1"/>
  <c r="U596" i="1"/>
  <c r="U600" i="1"/>
  <c r="U594" i="1"/>
  <c r="U590" i="1"/>
  <c r="U602" i="1"/>
  <c r="U576" i="1"/>
  <c r="U570" i="1"/>
  <c r="U564" i="1"/>
  <c r="U558" i="1"/>
  <c r="U587" i="1"/>
  <c r="U601" i="1"/>
  <c r="U593" i="1"/>
  <c r="U582" i="1"/>
  <c r="U579" i="1"/>
  <c r="U573" i="1"/>
  <c r="U567" i="1"/>
  <c r="U575" i="1"/>
  <c r="U588" i="1"/>
  <c r="U574" i="1"/>
  <c r="U591" i="1"/>
  <c r="U577" i="1"/>
  <c r="U578" i="1"/>
  <c r="U580" i="1"/>
  <c r="U585" i="1"/>
  <c r="U566" i="1"/>
  <c r="U565" i="1"/>
  <c r="U581" i="1"/>
  <c r="U556" i="1"/>
  <c r="U563" i="1"/>
  <c r="U560" i="1"/>
  <c r="U550" i="1"/>
  <c r="U544" i="1"/>
  <c r="U557" i="1"/>
  <c r="U553" i="1"/>
  <c r="U549" i="1"/>
  <c r="U543" i="1"/>
  <c r="U561" i="1"/>
  <c r="U548" i="1"/>
  <c r="U572" i="1"/>
  <c r="U584" i="1"/>
  <c r="U571" i="1"/>
  <c r="U555" i="1"/>
  <c r="U551" i="1"/>
  <c r="U529" i="1"/>
  <c r="U523" i="1"/>
  <c r="U517" i="1"/>
  <c r="U511" i="1"/>
  <c r="U505" i="1"/>
  <c r="U546" i="1"/>
  <c r="U541" i="1"/>
  <c r="U542" i="1"/>
  <c r="U568" i="1"/>
  <c r="U538" i="1"/>
  <c r="U532" i="1"/>
  <c r="U562" i="1"/>
  <c r="U522" i="1"/>
  <c r="U526" i="1"/>
  <c r="U534" i="1"/>
  <c r="U530" i="1"/>
  <c r="U515" i="1"/>
  <c r="U547" i="1"/>
  <c r="U554" i="1"/>
  <c r="U527" i="1"/>
  <c r="U508" i="1"/>
  <c r="U497" i="1"/>
  <c r="U491" i="1"/>
  <c r="U485" i="1"/>
  <c r="U479" i="1"/>
  <c r="U531" i="1"/>
  <c r="U533" i="1"/>
  <c r="U528" i="1"/>
  <c r="U536" i="1"/>
  <c r="U545" i="1"/>
  <c r="U537" i="1"/>
  <c r="U559" i="1"/>
  <c r="U540" i="1"/>
  <c r="U539" i="1"/>
  <c r="U525" i="1"/>
  <c r="U514" i="1"/>
  <c r="U500" i="1"/>
  <c r="U512" i="1"/>
  <c r="U510" i="1"/>
  <c r="U482" i="1"/>
  <c r="U494" i="1"/>
  <c r="U521" i="1"/>
  <c r="U520" i="1"/>
  <c r="U513" i="1"/>
  <c r="U524" i="1"/>
  <c r="U516" i="1"/>
  <c r="U509" i="1"/>
  <c r="U502" i="1"/>
  <c r="U499" i="1"/>
  <c r="U519" i="1"/>
  <c r="U507" i="1"/>
  <c r="U492" i="1"/>
  <c r="U480" i="1"/>
  <c r="U496" i="1"/>
  <c r="U495" i="1"/>
  <c r="U490" i="1"/>
  <c r="U487" i="1"/>
  <c r="U488" i="1"/>
  <c r="U477" i="1"/>
  <c r="U471" i="1"/>
  <c r="U465" i="1"/>
  <c r="U504" i="1"/>
  <c r="U493" i="1"/>
  <c r="U476" i="1"/>
  <c r="U470" i="1"/>
  <c r="U503" i="1"/>
  <c r="U489" i="1"/>
  <c r="U506" i="1"/>
  <c r="U498" i="1"/>
  <c r="U486" i="1"/>
  <c r="U478" i="1"/>
  <c r="U474" i="1"/>
  <c r="U463" i="1"/>
  <c r="U461" i="1"/>
  <c r="U455" i="1"/>
  <c r="U449" i="1"/>
  <c r="U443" i="1"/>
  <c r="U437" i="1"/>
  <c r="U431" i="1"/>
  <c r="U425" i="1"/>
  <c r="U419" i="1"/>
  <c r="U460" i="1"/>
  <c r="U454" i="1"/>
  <c r="U448" i="1"/>
  <c r="U442" i="1"/>
  <c r="U436" i="1"/>
  <c r="U483" i="1"/>
  <c r="U473" i="1"/>
  <c r="U464" i="1"/>
  <c r="U481" i="1"/>
  <c r="U459" i="1"/>
  <c r="U469" i="1"/>
  <c r="U458" i="1"/>
  <c r="U452" i="1"/>
  <c r="U446" i="1"/>
  <c r="U440" i="1"/>
  <c r="U434" i="1"/>
  <c r="U428" i="1"/>
  <c r="U475" i="1"/>
  <c r="U472" i="1"/>
  <c r="U468" i="1"/>
  <c r="U438" i="1"/>
  <c r="U423" i="1"/>
  <c r="U466" i="1"/>
  <c r="U462" i="1"/>
  <c r="U456" i="1"/>
  <c r="U439" i="1"/>
  <c r="U427" i="1"/>
  <c r="U424" i="1"/>
  <c r="U420" i="1"/>
  <c r="U410" i="1"/>
  <c r="U445" i="1"/>
  <c r="U441" i="1"/>
  <c r="U430" i="1"/>
  <c r="U435" i="1"/>
  <c r="U426" i="1"/>
  <c r="U408" i="1"/>
  <c r="U402" i="1"/>
  <c r="U396" i="1"/>
  <c r="U453" i="1"/>
  <c r="U429" i="1"/>
  <c r="U457" i="1"/>
  <c r="U451" i="1"/>
  <c r="U432" i="1"/>
  <c r="U422" i="1"/>
  <c r="U444" i="1"/>
  <c r="U401" i="1"/>
  <c r="U393" i="1"/>
  <c r="U387" i="1"/>
  <c r="U413" i="1"/>
  <c r="U407" i="1"/>
  <c r="U404" i="1"/>
  <c r="U394" i="1"/>
  <c r="U418" i="1"/>
  <c r="U415" i="1"/>
  <c r="U411" i="1"/>
  <c r="U398" i="1"/>
  <c r="U392" i="1"/>
  <c r="U386" i="1"/>
  <c r="U380" i="1"/>
  <c r="U374" i="1"/>
  <c r="U395" i="1"/>
  <c r="U391" i="1"/>
  <c r="U385" i="1"/>
  <c r="U379" i="1"/>
  <c r="U373" i="1"/>
  <c r="U367" i="1"/>
  <c r="U414" i="1"/>
  <c r="U403" i="1"/>
  <c r="U421" i="1"/>
  <c r="U406" i="1"/>
  <c r="U417" i="1"/>
  <c r="U400" i="1"/>
  <c r="U389" i="1"/>
  <c r="U383" i="1"/>
  <c r="U377" i="1"/>
  <c r="U371" i="1"/>
  <c r="U405" i="1"/>
  <c r="U412" i="1"/>
  <c r="U409" i="1"/>
  <c r="U369" i="1"/>
  <c r="U384" i="1"/>
  <c r="U375" i="1"/>
  <c r="U357" i="1"/>
  <c r="U351" i="1"/>
  <c r="U376" i="1"/>
  <c r="U390" i="1"/>
  <c r="U362" i="1"/>
  <c r="U356" i="1"/>
  <c r="U350" i="1"/>
  <c r="U344" i="1"/>
  <c r="U338" i="1"/>
  <c r="U332" i="1"/>
  <c r="U326" i="1"/>
  <c r="U447" i="1"/>
  <c r="U372" i="1"/>
  <c r="U370" i="1"/>
  <c r="U364" i="1"/>
  <c r="U397" i="1"/>
  <c r="U388" i="1"/>
  <c r="U381" i="1"/>
  <c r="U358" i="1"/>
  <c r="U352" i="1"/>
  <c r="U334" i="1"/>
  <c r="U319" i="1"/>
  <c r="U313" i="1"/>
  <c r="U307" i="1"/>
  <c r="U301" i="1"/>
  <c r="U295" i="1"/>
  <c r="U378" i="1"/>
  <c r="U359" i="1"/>
  <c r="U342" i="1"/>
  <c r="U323" i="1"/>
  <c r="U346" i="1"/>
  <c r="U327" i="1"/>
  <c r="U318" i="1"/>
  <c r="U312" i="1"/>
  <c r="U306" i="1"/>
  <c r="U366" i="1"/>
  <c r="U363" i="1"/>
  <c r="U335" i="1"/>
  <c r="U343" i="1"/>
  <c r="U339" i="1"/>
  <c r="U324" i="1"/>
  <c r="U317" i="1"/>
  <c r="U311" i="1"/>
  <c r="U368" i="1"/>
  <c r="U347" i="1"/>
  <c r="U328" i="1"/>
  <c r="U360" i="1"/>
  <c r="U336" i="1"/>
  <c r="U316" i="1"/>
  <c r="U310" i="1"/>
  <c r="U304" i="1"/>
  <c r="U298" i="1"/>
  <c r="U353" i="1"/>
  <c r="U340" i="1"/>
  <c r="U325" i="1"/>
  <c r="U354" i="1"/>
  <c r="U329" i="1"/>
  <c r="U321" i="1"/>
  <c r="U361" i="1"/>
  <c r="U355" i="1"/>
  <c r="U341" i="1"/>
  <c r="U322" i="1"/>
  <c r="U320" i="1"/>
  <c r="U308" i="1"/>
  <c r="U337" i="1"/>
  <c r="U330" i="1"/>
  <c r="U296" i="1"/>
  <c r="U299" i="1"/>
  <c r="U290" i="1"/>
  <c r="U284" i="1"/>
  <c r="U278" i="1"/>
  <c r="U272" i="1"/>
  <c r="U266" i="1"/>
  <c r="U289" i="1"/>
  <c r="U283" i="1"/>
  <c r="U277" i="1"/>
  <c r="U271" i="1"/>
  <c r="U333" i="1"/>
  <c r="U294" i="1"/>
  <c r="U288" i="1"/>
  <c r="U309" i="1"/>
  <c r="U302" i="1"/>
  <c r="U345" i="1"/>
  <c r="U303" i="1"/>
  <c r="U293" i="1"/>
  <c r="U287" i="1"/>
  <c r="U281" i="1"/>
  <c r="U275" i="1"/>
  <c r="U269" i="1"/>
  <c r="U257" i="1"/>
  <c r="U251" i="1"/>
  <c r="U349" i="1"/>
  <c r="U315" i="1"/>
  <c r="U300" i="1"/>
  <c r="U292" i="1"/>
  <c r="U286" i="1"/>
  <c r="U305" i="1"/>
  <c r="U291" i="1"/>
  <c r="U240" i="1"/>
  <c r="U234" i="1"/>
  <c r="U228" i="1"/>
  <c r="U222" i="1"/>
  <c r="U216" i="1"/>
  <c r="U285" i="1"/>
  <c r="U256" i="1"/>
  <c r="U252" i="1"/>
  <c r="U260" i="1"/>
  <c r="U245" i="1"/>
  <c r="U239" i="1"/>
  <c r="U233" i="1"/>
  <c r="U227" i="1"/>
  <c r="U264" i="1"/>
  <c r="U253" i="1"/>
  <c r="U244" i="1"/>
  <c r="U238" i="1"/>
  <c r="U232" i="1"/>
  <c r="U226" i="1"/>
  <c r="U220" i="1"/>
  <c r="U261" i="1"/>
  <c r="U279" i="1"/>
  <c r="U276" i="1"/>
  <c r="U262" i="1"/>
  <c r="U258" i="1"/>
  <c r="U248" i="1"/>
  <c r="U282" i="1"/>
  <c r="U270" i="1"/>
  <c r="U255" i="1"/>
  <c r="U247" i="1"/>
  <c r="U241" i="1"/>
  <c r="U235" i="1"/>
  <c r="U223" i="1"/>
  <c r="U217" i="1"/>
  <c r="U265" i="1"/>
  <c r="U259" i="1"/>
  <c r="U236" i="1"/>
  <c r="U273" i="1"/>
  <c r="U243" i="1"/>
  <c r="U225" i="1"/>
  <c r="U268" i="1"/>
  <c r="U218" i="1"/>
  <c r="U219" i="1"/>
  <c r="U213" i="1"/>
  <c r="U210" i="1"/>
  <c r="U204" i="1"/>
  <c r="U274" i="1"/>
  <c r="U231" i="1"/>
  <c r="U250" i="1"/>
  <c r="U221" i="1"/>
  <c r="U214" i="1"/>
  <c r="U208" i="1"/>
  <c r="U202" i="1"/>
  <c r="U196" i="1"/>
  <c r="U254" i="1"/>
  <c r="U237" i="1"/>
  <c r="U215" i="1"/>
  <c r="U207" i="1"/>
  <c r="U201" i="1"/>
  <c r="U189" i="1"/>
  <c r="U183" i="1"/>
  <c r="U267" i="1"/>
  <c r="U249" i="1"/>
  <c r="U188" i="1"/>
  <c r="U184" i="1"/>
  <c r="U209" i="1"/>
  <c r="U192" i="1"/>
  <c r="U230" i="1"/>
  <c r="U206" i="1"/>
  <c r="U199" i="1"/>
  <c r="U181" i="1"/>
  <c r="U185" i="1"/>
  <c r="U173" i="1"/>
  <c r="U167" i="1"/>
  <c r="U155" i="1"/>
  <c r="U149" i="1"/>
  <c r="U143" i="1"/>
  <c r="U137" i="1"/>
  <c r="U131" i="1"/>
  <c r="U242" i="1"/>
  <c r="U193" i="1"/>
  <c r="U194" i="1"/>
  <c r="U179" i="1"/>
  <c r="U211" i="1"/>
  <c r="U197" i="1"/>
  <c r="U191" i="1"/>
  <c r="U146" i="1"/>
  <c r="U141" i="1"/>
  <c r="U205" i="1"/>
  <c r="U175" i="1"/>
  <c r="U174" i="1"/>
  <c r="U172" i="1"/>
  <c r="U165" i="1"/>
  <c r="U177" i="1"/>
  <c r="U169" i="1"/>
  <c r="U134" i="1"/>
  <c r="U198" i="1"/>
  <c r="U159" i="1"/>
  <c r="U148" i="1"/>
  <c r="U145" i="1"/>
  <c r="U203" i="1"/>
  <c r="U176" i="1"/>
  <c r="U160" i="1"/>
  <c r="U154" i="1"/>
  <c r="U151" i="1"/>
  <c r="U135" i="1"/>
  <c r="U126" i="1"/>
  <c r="U120" i="1"/>
  <c r="U114" i="1"/>
  <c r="U166" i="1"/>
  <c r="U157" i="1"/>
  <c r="U139" i="1"/>
  <c r="U200" i="1"/>
  <c r="U190" i="1"/>
  <c r="U186" i="1"/>
  <c r="U168" i="1"/>
  <c r="U147" i="1"/>
  <c r="U136" i="1"/>
  <c r="U132" i="1"/>
  <c r="U224" i="1"/>
  <c r="U187" i="1"/>
  <c r="U182" i="1"/>
  <c r="U162" i="1"/>
  <c r="U153" i="1"/>
  <c r="U164" i="1"/>
  <c r="U163" i="1"/>
  <c r="U150" i="1"/>
  <c r="U180" i="1"/>
  <c r="U156" i="1"/>
  <c r="U122" i="1"/>
  <c r="U121" i="1"/>
  <c r="U115" i="1"/>
  <c r="U104" i="1"/>
  <c r="U93" i="1"/>
  <c r="U82" i="1"/>
  <c r="U152" i="1"/>
  <c r="U129" i="1"/>
  <c r="U111" i="1"/>
  <c r="U103" i="1"/>
  <c r="U92" i="1"/>
  <c r="U71" i="1"/>
  <c r="U158" i="1"/>
  <c r="U102" i="1"/>
  <c r="U91" i="1"/>
  <c r="U123" i="1"/>
  <c r="U112" i="1"/>
  <c r="U101" i="1"/>
  <c r="U80" i="1"/>
  <c r="U130" i="1"/>
  <c r="U100" i="1"/>
  <c r="U79" i="1"/>
  <c r="U89" i="1"/>
  <c r="U88" i="1"/>
  <c r="U170" i="1"/>
  <c r="U142" i="1"/>
  <c r="U118" i="1"/>
  <c r="U117" i="1"/>
  <c r="U113" i="1"/>
  <c r="U108" i="1"/>
  <c r="U98" i="1"/>
  <c r="U87" i="1"/>
  <c r="U140" i="1"/>
  <c r="U119" i="1"/>
  <c r="U116" i="1"/>
  <c r="U97" i="1"/>
  <c r="U86" i="1"/>
  <c r="U75" i="1"/>
  <c r="U138" i="1"/>
  <c r="U125" i="1"/>
  <c r="U124" i="1"/>
  <c r="U107" i="1"/>
  <c r="U96" i="1"/>
  <c r="U85" i="1"/>
  <c r="U106" i="1"/>
  <c r="U95" i="1"/>
  <c r="U77" i="1"/>
  <c r="U76" i="1"/>
  <c r="U74" i="1"/>
  <c r="U66" i="1"/>
  <c r="U55" i="1"/>
  <c r="U133" i="1"/>
  <c r="U84" i="1"/>
  <c r="U83" i="1"/>
  <c r="U65" i="1"/>
  <c r="U78" i="1"/>
  <c r="U64" i="1"/>
  <c r="U105" i="1"/>
  <c r="U70" i="1"/>
  <c r="U67" i="1"/>
  <c r="U53" i="1"/>
  <c r="U43" i="1"/>
  <c r="U37" i="1"/>
  <c r="U31" i="1"/>
  <c r="U25" i="1"/>
  <c r="U19" i="1"/>
  <c r="U13" i="1"/>
  <c r="U62" i="1"/>
  <c r="U51" i="1"/>
  <c r="U42" i="1"/>
  <c r="U36" i="1"/>
  <c r="U30" i="1"/>
  <c r="U24" i="1"/>
  <c r="U18" i="1"/>
  <c r="U61" i="1"/>
  <c r="U50" i="1"/>
  <c r="U128" i="1"/>
  <c r="U68" i="1"/>
  <c r="U60" i="1"/>
  <c r="U49" i="1"/>
  <c r="U41" i="1"/>
  <c r="U35" i="1"/>
  <c r="U29" i="1"/>
  <c r="U23" i="1"/>
  <c r="U17" i="1"/>
  <c r="U11" i="1"/>
  <c r="U94" i="1"/>
  <c r="U59" i="1"/>
  <c r="U171" i="1"/>
  <c r="U73" i="1"/>
  <c r="U58" i="1"/>
  <c r="U47" i="1"/>
  <c r="U40" i="1"/>
  <c r="U69" i="1"/>
  <c r="U56" i="1"/>
  <c r="U33" i="1"/>
  <c r="U27" i="1"/>
  <c r="U21" i="1"/>
  <c r="U15" i="1"/>
  <c r="U28" i="1"/>
  <c r="U22" i="1"/>
  <c r="U38" i="1"/>
  <c r="U10" i="1"/>
  <c r="U32" i="1"/>
  <c r="U12" i="1"/>
  <c r="U52" i="1"/>
  <c r="U46" i="1"/>
  <c r="U57" i="1"/>
  <c r="U26" i="1"/>
  <c r="U16" i="1"/>
  <c r="U20" i="1"/>
  <c r="U14" i="1"/>
  <c r="U48" i="1"/>
  <c r="U9" i="1"/>
  <c r="S44" i="1"/>
  <c r="T110" i="1"/>
  <c r="T331" i="1"/>
  <c r="T348" i="1"/>
  <c r="T467" i="1"/>
  <c r="T501" i="1"/>
  <c r="T654" i="1"/>
  <c r="T54" i="1"/>
  <c r="T99" i="1"/>
  <c r="T178" i="1"/>
  <c r="T280" i="1"/>
  <c r="T382" i="1"/>
  <c r="T63" i="1"/>
  <c r="T81" i="1"/>
  <c r="T195" i="1"/>
  <c r="T399" i="1"/>
  <c r="T450" i="1"/>
  <c r="T433" i="1"/>
  <c r="T569" i="1"/>
  <c r="T620" i="1"/>
  <c r="T671" i="1"/>
  <c r="T552" i="1"/>
  <c r="T45" i="1"/>
  <c r="T518" i="1"/>
  <c r="S109" i="1"/>
  <c r="T144" i="1"/>
  <c r="T416" i="1"/>
  <c r="T535" i="1"/>
  <c r="T586" i="1"/>
  <c r="T603" i="1"/>
  <c r="T637" i="1"/>
  <c r="U280" i="1" l="1"/>
  <c r="U620" i="1"/>
  <c r="U671" i="1"/>
  <c r="U416" i="1"/>
  <c r="U54" i="1"/>
  <c r="U90" i="1"/>
  <c r="U399" i="1"/>
  <c r="U178" i="1"/>
  <c r="U603" i="1"/>
  <c r="U365" i="1"/>
  <c r="U45" i="1"/>
  <c r="U229" i="1"/>
  <c r="U212" i="1"/>
  <c r="U331" i="1"/>
  <c r="U467" i="1"/>
  <c r="U535" i="1"/>
  <c r="U654" i="1"/>
  <c r="U34" i="1"/>
  <c r="U314" i="1"/>
  <c r="U39" i="1"/>
  <c r="U63" i="1"/>
  <c r="U99" i="1"/>
  <c r="U110" i="1"/>
  <c r="U195" i="1"/>
  <c r="U246" i="1"/>
  <c r="U348" i="1"/>
  <c r="U450" i="1"/>
  <c r="U552" i="1"/>
  <c r="U586" i="1"/>
  <c r="U689" i="1"/>
  <c r="T109" i="1"/>
  <c r="U518" i="1"/>
  <c r="U637" i="1"/>
  <c r="U695" i="1"/>
  <c r="S7" i="1"/>
  <c r="U144" i="1"/>
  <c r="U433" i="1"/>
  <c r="U72" i="1"/>
  <c r="U81" i="1"/>
  <c r="U161" i="1"/>
  <c r="U501" i="1"/>
  <c r="U484" i="1"/>
  <c r="U569" i="1"/>
  <c r="X4" i="1"/>
  <c r="W6" i="1"/>
  <c r="T44" i="1"/>
  <c r="T7" i="1" s="1"/>
  <c r="U127" i="1"/>
  <c r="U263" i="1"/>
  <c r="U297" i="1"/>
  <c r="U382" i="1"/>
  <c r="V700" i="1"/>
  <c r="V697" i="1"/>
  <c r="V701" i="1"/>
  <c r="V699" i="1"/>
  <c r="V696" i="1"/>
  <c r="V695" i="1" s="1"/>
  <c r="V703" i="1"/>
  <c r="V702" i="1"/>
  <c r="V687" i="1"/>
  <c r="V692" i="1"/>
  <c r="V698" i="1"/>
  <c r="V688" i="1"/>
  <c r="V694" i="1"/>
  <c r="V685" i="1"/>
  <c r="V693" i="1"/>
  <c r="V682" i="1"/>
  <c r="V676" i="1"/>
  <c r="V686" i="1"/>
  <c r="V679" i="1"/>
  <c r="V681" i="1"/>
  <c r="V677" i="1"/>
  <c r="V674" i="1"/>
  <c r="V691" i="1"/>
  <c r="V690" i="1"/>
  <c r="V684" i="1"/>
  <c r="V680" i="1"/>
  <c r="V683" i="1"/>
  <c r="V678" i="1"/>
  <c r="V663" i="1"/>
  <c r="V660" i="1"/>
  <c r="V675" i="1"/>
  <c r="V656" i="1"/>
  <c r="V672" i="1"/>
  <c r="V661" i="1"/>
  <c r="V667" i="1"/>
  <c r="V669" i="1"/>
  <c r="V673" i="1"/>
  <c r="V670" i="1"/>
  <c r="V645" i="1"/>
  <c r="V662" i="1"/>
  <c r="V653" i="1"/>
  <c r="V668" i="1"/>
  <c r="V659" i="1"/>
  <c r="V642" i="1"/>
  <c r="V658" i="1"/>
  <c r="V650" i="1"/>
  <c r="V649" i="1"/>
  <c r="V647" i="1"/>
  <c r="V643" i="1"/>
  <c r="V644" i="1"/>
  <c r="V665" i="1"/>
  <c r="V657" i="1"/>
  <c r="V639" i="1"/>
  <c r="V634" i="1"/>
  <c r="V652" i="1"/>
  <c r="V648" i="1"/>
  <c r="V664" i="1"/>
  <c r="V646" i="1"/>
  <c r="V635" i="1"/>
  <c r="V655" i="1"/>
  <c r="V638" i="1"/>
  <c r="V627" i="1"/>
  <c r="V651" i="1"/>
  <c r="V625" i="1"/>
  <c r="V640" i="1"/>
  <c r="V628" i="1"/>
  <c r="V630" i="1"/>
  <c r="V632" i="1"/>
  <c r="V641" i="1"/>
  <c r="V626" i="1"/>
  <c r="V636" i="1"/>
  <c r="V629" i="1"/>
  <c r="V624" i="1"/>
  <c r="V618" i="1"/>
  <c r="V631" i="1"/>
  <c r="V622" i="1"/>
  <c r="V666" i="1"/>
  <c r="V633" i="1"/>
  <c r="V611" i="1"/>
  <c r="V623" i="1"/>
  <c r="V621" i="1"/>
  <c r="V608" i="1"/>
  <c r="V617" i="1"/>
  <c r="V614" i="1"/>
  <c r="V605" i="1"/>
  <c r="V602" i="1"/>
  <c r="V612" i="1"/>
  <c r="V606" i="1"/>
  <c r="V619" i="1"/>
  <c r="V609" i="1"/>
  <c r="V607" i="1"/>
  <c r="V616" i="1"/>
  <c r="V610" i="1"/>
  <c r="V615" i="1"/>
  <c r="V597" i="1"/>
  <c r="V599" i="1"/>
  <c r="V604" i="1"/>
  <c r="V600" i="1"/>
  <c r="V613" i="1"/>
  <c r="V590" i="1"/>
  <c r="V596" i="1"/>
  <c r="V587" i="1"/>
  <c r="V601" i="1"/>
  <c r="V584" i="1"/>
  <c r="V593" i="1"/>
  <c r="V591" i="1"/>
  <c r="V582" i="1"/>
  <c r="V595" i="1"/>
  <c r="V588" i="1"/>
  <c r="V589" i="1"/>
  <c r="V583" i="1"/>
  <c r="V594" i="1"/>
  <c r="V577" i="1"/>
  <c r="V567" i="1"/>
  <c r="V585" i="1"/>
  <c r="V570" i="1"/>
  <c r="V576" i="1"/>
  <c r="V581" i="1"/>
  <c r="V572" i="1"/>
  <c r="V563" i="1"/>
  <c r="V560" i="1"/>
  <c r="V550" i="1"/>
  <c r="V544" i="1"/>
  <c r="V575" i="1"/>
  <c r="V579" i="1"/>
  <c r="V557" i="1"/>
  <c r="V561" i="1"/>
  <c r="V574" i="1"/>
  <c r="V598" i="1"/>
  <c r="V592" i="1"/>
  <c r="V580" i="1"/>
  <c r="V568" i="1"/>
  <c r="V554" i="1"/>
  <c r="V573" i="1"/>
  <c r="V571" i="1"/>
  <c r="V555" i="1"/>
  <c r="V551" i="1"/>
  <c r="V546" i="1"/>
  <c r="V541" i="1"/>
  <c r="V548" i="1"/>
  <c r="V542" i="1"/>
  <c r="V556" i="1"/>
  <c r="V558" i="1"/>
  <c r="V566" i="1"/>
  <c r="V553" i="1"/>
  <c r="V543" i="1"/>
  <c r="V578" i="1"/>
  <c r="V562" i="1"/>
  <c r="V526" i="1"/>
  <c r="V534" i="1"/>
  <c r="V530" i="1"/>
  <c r="V547" i="1"/>
  <c r="V538" i="1"/>
  <c r="V519" i="1"/>
  <c r="V504" i="1"/>
  <c r="V527" i="1"/>
  <c r="V531" i="1"/>
  <c r="V516" i="1"/>
  <c r="V512" i="1"/>
  <c r="V565" i="1"/>
  <c r="V533" i="1"/>
  <c r="V520" i="1"/>
  <c r="V528" i="1"/>
  <c r="V564" i="1"/>
  <c r="V536" i="1"/>
  <c r="V545" i="1"/>
  <c r="V537" i="1"/>
  <c r="V521" i="1"/>
  <c r="V559" i="1"/>
  <c r="V540" i="1"/>
  <c r="V539" i="1"/>
  <c r="V532" i="1"/>
  <c r="V529" i="1"/>
  <c r="V549" i="1"/>
  <c r="V522" i="1"/>
  <c r="V525" i="1"/>
  <c r="V514" i="1"/>
  <c r="V489" i="1"/>
  <c r="V510" i="1"/>
  <c r="V517" i="1"/>
  <c r="V508" i="1"/>
  <c r="V490" i="1"/>
  <c r="V486" i="1"/>
  <c r="V523" i="1"/>
  <c r="V515" i="1"/>
  <c r="V494" i="1"/>
  <c r="V503" i="1"/>
  <c r="V498" i="1"/>
  <c r="V513" i="1"/>
  <c r="V505" i="1"/>
  <c r="V524" i="1"/>
  <c r="V506" i="1"/>
  <c r="V511" i="1"/>
  <c r="V509" i="1"/>
  <c r="V507" i="1"/>
  <c r="V492" i="1"/>
  <c r="V502" i="1"/>
  <c r="V496" i="1"/>
  <c r="V495" i="1"/>
  <c r="V487" i="1"/>
  <c r="V483" i="1"/>
  <c r="V500" i="1"/>
  <c r="V497" i="1"/>
  <c r="V488" i="1"/>
  <c r="V478" i="1"/>
  <c r="V493" i="1"/>
  <c r="V491" i="1"/>
  <c r="V485" i="1"/>
  <c r="V482" i="1"/>
  <c r="V499" i="1"/>
  <c r="V463" i="1"/>
  <c r="V461" i="1"/>
  <c r="V455" i="1"/>
  <c r="V470" i="1"/>
  <c r="V460" i="1"/>
  <c r="V454" i="1"/>
  <c r="V448" i="1"/>
  <c r="V479" i="1"/>
  <c r="V473" i="1"/>
  <c r="V464" i="1"/>
  <c r="V481" i="1"/>
  <c r="V459" i="1"/>
  <c r="V476" i="1"/>
  <c r="V469" i="1"/>
  <c r="V458" i="1"/>
  <c r="V477" i="1"/>
  <c r="V475" i="1"/>
  <c r="V472" i="1"/>
  <c r="V465" i="1"/>
  <c r="V480" i="1"/>
  <c r="V468" i="1"/>
  <c r="V466" i="1"/>
  <c r="V462" i="1"/>
  <c r="V474" i="1"/>
  <c r="V471" i="1"/>
  <c r="V438" i="1"/>
  <c r="V428" i="1"/>
  <c r="V423" i="1"/>
  <c r="V419" i="1"/>
  <c r="V456" i="1"/>
  <c r="V439" i="1"/>
  <c r="V431" i="1"/>
  <c r="V411" i="1"/>
  <c r="V405" i="1"/>
  <c r="V440" i="1"/>
  <c r="V427" i="1"/>
  <c r="V424" i="1"/>
  <c r="V420" i="1"/>
  <c r="V445" i="1"/>
  <c r="V441" i="1"/>
  <c r="V430" i="1"/>
  <c r="V447" i="1"/>
  <c r="V417" i="1"/>
  <c r="V435" i="1"/>
  <c r="V426" i="1"/>
  <c r="V453" i="1"/>
  <c r="V449" i="1"/>
  <c r="V443" i="1"/>
  <c r="V429" i="1"/>
  <c r="V418" i="1"/>
  <c r="V414" i="1"/>
  <c r="V457" i="1"/>
  <c r="V452" i="1"/>
  <c r="V451" i="1"/>
  <c r="V436" i="1"/>
  <c r="V432" i="1"/>
  <c r="V422" i="1"/>
  <c r="V444" i="1"/>
  <c r="V446" i="1"/>
  <c r="V437" i="1"/>
  <c r="V425" i="1"/>
  <c r="V415" i="1"/>
  <c r="V434" i="1"/>
  <c r="V413" i="1"/>
  <c r="V407" i="1"/>
  <c r="V404" i="1"/>
  <c r="V394" i="1"/>
  <c r="V398" i="1"/>
  <c r="V392" i="1"/>
  <c r="V395" i="1"/>
  <c r="V403" i="1"/>
  <c r="V421" i="1"/>
  <c r="V406" i="1"/>
  <c r="V390" i="1"/>
  <c r="V400" i="1"/>
  <c r="V396" i="1"/>
  <c r="V389" i="1"/>
  <c r="V402" i="1"/>
  <c r="V412" i="1"/>
  <c r="V409" i="1"/>
  <c r="V408" i="1"/>
  <c r="V442" i="1"/>
  <c r="V410" i="1"/>
  <c r="V391" i="1"/>
  <c r="V384" i="1"/>
  <c r="V375" i="1"/>
  <c r="V376" i="1"/>
  <c r="V366" i="1"/>
  <c r="V401" i="1"/>
  <c r="V377" i="1"/>
  <c r="V378" i="1"/>
  <c r="V363" i="1"/>
  <c r="V361" i="1"/>
  <c r="V383" i="1"/>
  <c r="V379" i="1"/>
  <c r="V371" i="1"/>
  <c r="V397" i="1"/>
  <c r="V388" i="1"/>
  <c r="V387" i="1"/>
  <c r="V386" i="1"/>
  <c r="V385" i="1"/>
  <c r="V380" i="1"/>
  <c r="V368" i="1"/>
  <c r="V359" i="1"/>
  <c r="V393" i="1"/>
  <c r="V381" i="1"/>
  <c r="V373" i="1"/>
  <c r="V374" i="1"/>
  <c r="V369" i="1"/>
  <c r="V358" i="1"/>
  <c r="V357" i="1"/>
  <c r="V342" i="1"/>
  <c r="V338" i="1"/>
  <c r="V323" i="1"/>
  <c r="V346" i="1"/>
  <c r="V327" i="1"/>
  <c r="V318" i="1"/>
  <c r="V350" i="1"/>
  <c r="V335" i="1"/>
  <c r="V367" i="1"/>
  <c r="V364" i="1"/>
  <c r="V362" i="1"/>
  <c r="V343" i="1"/>
  <c r="V339" i="1"/>
  <c r="V324" i="1"/>
  <c r="V356" i="1"/>
  <c r="V347" i="1"/>
  <c r="V328" i="1"/>
  <c r="V360" i="1"/>
  <c r="V352" i="1"/>
  <c r="V336" i="1"/>
  <c r="V332" i="1"/>
  <c r="V316" i="1"/>
  <c r="V353" i="1"/>
  <c r="V351" i="1"/>
  <c r="V340" i="1"/>
  <c r="V325" i="1"/>
  <c r="V354" i="1"/>
  <c r="V344" i="1"/>
  <c r="V329" i="1"/>
  <c r="V321" i="1"/>
  <c r="V372" i="1"/>
  <c r="V337" i="1"/>
  <c r="V333" i="1"/>
  <c r="V370" i="1"/>
  <c r="V355" i="1"/>
  <c r="V341" i="1"/>
  <c r="V349" i="1"/>
  <c r="V345" i="1"/>
  <c r="V330" i="1"/>
  <c r="V326" i="1"/>
  <c r="V299" i="1"/>
  <c r="V290" i="1"/>
  <c r="V284" i="1"/>
  <c r="V278" i="1"/>
  <c r="V272" i="1"/>
  <c r="V317" i="1"/>
  <c r="V298" i="1"/>
  <c r="V294" i="1"/>
  <c r="V288" i="1"/>
  <c r="V282" i="1"/>
  <c r="V276" i="1"/>
  <c r="V270" i="1"/>
  <c r="V311" i="1"/>
  <c r="V310" i="1"/>
  <c r="V309" i="1"/>
  <c r="V302" i="1"/>
  <c r="V301" i="1"/>
  <c r="V312" i="1"/>
  <c r="V308" i="1"/>
  <c r="V307" i="1"/>
  <c r="V303" i="1"/>
  <c r="V293" i="1"/>
  <c r="V287" i="1"/>
  <c r="V334" i="1"/>
  <c r="V320" i="1"/>
  <c r="V319" i="1"/>
  <c r="V295" i="1"/>
  <c r="V315" i="1"/>
  <c r="V304" i="1"/>
  <c r="V300" i="1"/>
  <c r="V292" i="1"/>
  <c r="V305" i="1"/>
  <c r="V322" i="1"/>
  <c r="V291" i="1"/>
  <c r="V285" i="1"/>
  <c r="V313" i="1"/>
  <c r="V306" i="1"/>
  <c r="V296" i="1"/>
  <c r="V256" i="1"/>
  <c r="V252" i="1"/>
  <c r="V260" i="1"/>
  <c r="V245" i="1"/>
  <c r="V239" i="1"/>
  <c r="V264" i="1"/>
  <c r="V269" i="1"/>
  <c r="V253" i="1"/>
  <c r="V244" i="1"/>
  <c r="V238" i="1"/>
  <c r="V261" i="1"/>
  <c r="V257" i="1"/>
  <c r="V281" i="1"/>
  <c r="V279" i="1"/>
  <c r="V250" i="1"/>
  <c r="V249" i="1"/>
  <c r="V243" i="1"/>
  <c r="V237" i="1"/>
  <c r="V277" i="1"/>
  <c r="V275" i="1"/>
  <c r="V274" i="1"/>
  <c r="V267" i="1"/>
  <c r="V273" i="1"/>
  <c r="V268" i="1"/>
  <c r="V286" i="1"/>
  <c r="V265" i="1"/>
  <c r="V259" i="1"/>
  <c r="V241" i="1"/>
  <c r="V225" i="1"/>
  <c r="V248" i="1"/>
  <c r="V235" i="1"/>
  <c r="V227" i="1"/>
  <c r="V219" i="1"/>
  <c r="V213" i="1"/>
  <c r="V210" i="1"/>
  <c r="V204" i="1"/>
  <c r="V271" i="1"/>
  <c r="V258" i="1"/>
  <c r="V240" i="1"/>
  <c r="V283" i="1"/>
  <c r="V255" i="1"/>
  <c r="V221" i="1"/>
  <c r="V208" i="1"/>
  <c r="V266" i="1"/>
  <c r="V254" i="1"/>
  <c r="V247" i="1"/>
  <c r="V233" i="1"/>
  <c r="V226" i="1"/>
  <c r="V222" i="1"/>
  <c r="V234" i="1"/>
  <c r="V215" i="1"/>
  <c r="V207" i="1"/>
  <c r="V228" i="1"/>
  <c r="V223" i="1"/>
  <c r="V289" i="1"/>
  <c r="V262" i="1"/>
  <c r="V242" i="1"/>
  <c r="V230" i="1"/>
  <c r="V224" i="1"/>
  <c r="V217" i="1"/>
  <c r="V209" i="1"/>
  <c r="V201" i="1"/>
  <c r="V192" i="1"/>
  <c r="V174" i="1"/>
  <c r="V168" i="1"/>
  <c r="V162" i="1"/>
  <c r="V220" i="1"/>
  <c r="V206" i="1"/>
  <c r="V199" i="1"/>
  <c r="V196" i="1"/>
  <c r="V181" i="1"/>
  <c r="V202" i="1"/>
  <c r="V185" i="1"/>
  <c r="V173" i="1"/>
  <c r="V167" i="1"/>
  <c r="V155" i="1"/>
  <c r="V149" i="1"/>
  <c r="V193" i="1"/>
  <c r="V189" i="1"/>
  <c r="V182" i="1"/>
  <c r="V218" i="1"/>
  <c r="V214" i="1"/>
  <c r="V216" i="1"/>
  <c r="V205" i="1"/>
  <c r="V187" i="1"/>
  <c r="V183" i="1"/>
  <c r="V176" i="1"/>
  <c r="V170" i="1"/>
  <c r="V200" i="1"/>
  <c r="V180" i="1"/>
  <c r="V175" i="1"/>
  <c r="V211" i="1"/>
  <c r="V172" i="1"/>
  <c r="V165" i="1"/>
  <c r="V152" i="1"/>
  <c r="V130" i="1"/>
  <c r="V122" i="1"/>
  <c r="V116" i="1"/>
  <c r="V232" i="1"/>
  <c r="V197" i="1"/>
  <c r="V177" i="1"/>
  <c r="V169" i="1"/>
  <c r="V198" i="1"/>
  <c r="V171" i="1"/>
  <c r="V158" i="1"/>
  <c r="V142" i="1"/>
  <c r="V138" i="1"/>
  <c r="V251" i="1"/>
  <c r="V231" i="1"/>
  <c r="V203" i="1"/>
  <c r="V160" i="1"/>
  <c r="V154" i="1"/>
  <c r="V151" i="1"/>
  <c r="V135" i="1"/>
  <c r="V131" i="1"/>
  <c r="V126" i="1"/>
  <c r="V120" i="1"/>
  <c r="V236" i="1"/>
  <c r="V166" i="1"/>
  <c r="V157" i="1"/>
  <c r="V139" i="1"/>
  <c r="V143" i="1"/>
  <c r="V188" i="1"/>
  <c r="V153" i="1"/>
  <c r="V140" i="1"/>
  <c r="V124" i="1"/>
  <c r="V184" i="1"/>
  <c r="V164" i="1"/>
  <c r="V163" i="1"/>
  <c r="V150" i="1"/>
  <c r="V156" i="1"/>
  <c r="V179" i="1"/>
  <c r="V129" i="1"/>
  <c r="V111" i="1"/>
  <c r="V103" i="1"/>
  <c r="V92" i="1"/>
  <c r="V191" i="1"/>
  <c r="V186" i="1"/>
  <c r="V148" i="1"/>
  <c r="V102" i="1"/>
  <c r="V91" i="1"/>
  <c r="V70" i="1"/>
  <c r="V194" i="1"/>
  <c r="V132" i="1"/>
  <c r="V123" i="1"/>
  <c r="V112" i="1"/>
  <c r="V101" i="1"/>
  <c r="V80" i="1"/>
  <c r="V114" i="1"/>
  <c r="V100" i="1"/>
  <c r="V79" i="1"/>
  <c r="V89" i="1"/>
  <c r="V78" i="1"/>
  <c r="V134" i="1"/>
  <c r="V88" i="1"/>
  <c r="V190" i="1"/>
  <c r="V118" i="1"/>
  <c r="V117" i="1"/>
  <c r="V113" i="1"/>
  <c r="V108" i="1"/>
  <c r="V98" i="1"/>
  <c r="V87" i="1"/>
  <c r="V145" i="1"/>
  <c r="V141" i="1"/>
  <c r="V119" i="1"/>
  <c r="V97" i="1"/>
  <c r="V86" i="1"/>
  <c r="V136" i="1"/>
  <c r="V125" i="1"/>
  <c r="V107" i="1"/>
  <c r="V96" i="1"/>
  <c r="V85" i="1"/>
  <c r="V74" i="1"/>
  <c r="V159" i="1"/>
  <c r="V146" i="1"/>
  <c r="V137" i="1"/>
  <c r="V106" i="1"/>
  <c r="V95" i="1"/>
  <c r="V84" i="1"/>
  <c r="V133" i="1"/>
  <c r="V128" i="1"/>
  <c r="V105" i="1"/>
  <c r="V94" i="1"/>
  <c r="V121" i="1"/>
  <c r="V83" i="1"/>
  <c r="V65" i="1"/>
  <c r="V38" i="1"/>
  <c r="V32" i="1"/>
  <c r="V26" i="1"/>
  <c r="V20" i="1"/>
  <c r="V14" i="1"/>
  <c r="V64" i="1"/>
  <c r="V93" i="1"/>
  <c r="V67" i="1"/>
  <c r="V53" i="1"/>
  <c r="V43" i="1"/>
  <c r="V37" i="1"/>
  <c r="V31" i="1"/>
  <c r="V25" i="1"/>
  <c r="V19" i="1"/>
  <c r="V13" i="1"/>
  <c r="V52" i="1"/>
  <c r="V82" i="1"/>
  <c r="V75" i="1"/>
  <c r="V61" i="1"/>
  <c r="V50" i="1"/>
  <c r="V115" i="1"/>
  <c r="V68" i="1"/>
  <c r="V60" i="1"/>
  <c r="V49" i="1"/>
  <c r="V41" i="1"/>
  <c r="V35" i="1"/>
  <c r="V29" i="1"/>
  <c r="V23" i="1"/>
  <c r="V147" i="1"/>
  <c r="V71" i="1"/>
  <c r="V59" i="1"/>
  <c r="V48" i="1"/>
  <c r="V73" i="1"/>
  <c r="V58" i="1"/>
  <c r="V104" i="1"/>
  <c r="V57" i="1"/>
  <c r="V46" i="1"/>
  <c r="V69" i="1"/>
  <c r="V77" i="1"/>
  <c r="V76" i="1"/>
  <c r="V66" i="1"/>
  <c r="V55" i="1"/>
  <c r="V47" i="1"/>
  <c r="V33" i="1"/>
  <c r="V22" i="1"/>
  <c r="V10" i="1"/>
  <c r="V16" i="1"/>
  <c r="V27" i="1"/>
  <c r="V18" i="1"/>
  <c r="V12" i="1"/>
  <c r="V21" i="1"/>
  <c r="V28" i="1"/>
  <c r="V15" i="1"/>
  <c r="V62" i="1"/>
  <c r="V40" i="1"/>
  <c r="V30" i="1"/>
  <c r="V51" i="1"/>
  <c r="V42" i="1"/>
  <c r="V36" i="1"/>
  <c r="V11" i="1"/>
  <c r="V9" i="1"/>
  <c r="V56" i="1"/>
  <c r="V24" i="1"/>
  <c r="V17" i="1"/>
  <c r="V81" i="1" l="1"/>
  <c r="V195" i="1"/>
  <c r="V246" i="1"/>
  <c r="V416" i="1"/>
  <c r="V603" i="1"/>
  <c r="V637" i="1"/>
  <c r="V450" i="1"/>
  <c r="V654" i="1"/>
  <c r="V689" i="1"/>
  <c r="T5" i="1"/>
  <c r="T8" i="1"/>
  <c r="V229" i="1"/>
  <c r="V212" i="1"/>
  <c r="V552" i="1"/>
  <c r="V90" i="1"/>
  <c r="V34" i="1"/>
  <c r="V45" i="1"/>
  <c r="V144" i="1"/>
  <c r="V348" i="1"/>
  <c r="V365" i="1"/>
  <c r="V518" i="1"/>
  <c r="S8" i="1"/>
  <c r="S5" i="1"/>
  <c r="U109" i="1"/>
  <c r="U7" i="1" s="1"/>
  <c r="U44" i="1"/>
  <c r="V99" i="1"/>
  <c r="V161" i="1"/>
  <c r="V263" i="1"/>
  <c r="V399" i="1"/>
  <c r="V433" i="1"/>
  <c r="V535" i="1"/>
  <c r="V620" i="1"/>
  <c r="V671" i="1"/>
  <c r="V297" i="1"/>
  <c r="V569" i="1"/>
  <c r="W701" i="1"/>
  <c r="W700" i="1"/>
  <c r="W694" i="1"/>
  <c r="W690" i="1"/>
  <c r="W683" i="1"/>
  <c r="W699" i="1"/>
  <c r="W696" i="1"/>
  <c r="W695" i="1" s="1"/>
  <c r="W691" i="1"/>
  <c r="W703" i="1"/>
  <c r="W702" i="1"/>
  <c r="W688" i="1"/>
  <c r="W692" i="1"/>
  <c r="W698" i="1"/>
  <c r="W684" i="1"/>
  <c r="W697" i="1"/>
  <c r="W693" i="1"/>
  <c r="W677" i="1"/>
  <c r="W682" i="1"/>
  <c r="W687" i="1"/>
  <c r="W680" i="1"/>
  <c r="W675" i="1"/>
  <c r="W670" i="1"/>
  <c r="W664" i="1"/>
  <c r="W658" i="1"/>
  <c r="W676" i="1"/>
  <c r="W669" i="1"/>
  <c r="W663" i="1"/>
  <c r="W657" i="1"/>
  <c r="W686" i="1"/>
  <c r="W685" i="1"/>
  <c r="W673" i="1"/>
  <c r="W672" i="1"/>
  <c r="W678" i="1"/>
  <c r="W681" i="1"/>
  <c r="W660" i="1"/>
  <c r="W666" i="1"/>
  <c r="W679" i="1"/>
  <c r="W661" i="1"/>
  <c r="W652" i="1"/>
  <c r="W667" i="1"/>
  <c r="W659" i="1"/>
  <c r="W655" i="1"/>
  <c r="W668" i="1"/>
  <c r="W645" i="1"/>
  <c r="W639" i="1"/>
  <c r="W633" i="1"/>
  <c r="W674" i="1"/>
  <c r="W662" i="1"/>
  <c r="W653" i="1"/>
  <c r="W649" i="1"/>
  <c r="W643" i="1"/>
  <c r="W650" i="1"/>
  <c r="W647" i="1"/>
  <c r="W629" i="1"/>
  <c r="W656" i="1"/>
  <c r="W651" i="1"/>
  <c r="W665" i="1"/>
  <c r="W638" i="1"/>
  <c r="W627" i="1"/>
  <c r="W621" i="1"/>
  <c r="W632" i="1"/>
  <c r="W628" i="1"/>
  <c r="W612" i="1"/>
  <c r="W626" i="1"/>
  <c r="W617" i="1"/>
  <c r="W611" i="1"/>
  <c r="W642" i="1"/>
  <c r="W648" i="1"/>
  <c r="W646" i="1"/>
  <c r="W635" i="1"/>
  <c r="W644" i="1"/>
  <c r="W641" i="1"/>
  <c r="W640" i="1"/>
  <c r="W636" i="1"/>
  <c r="W624" i="1"/>
  <c r="W619" i="1"/>
  <c r="W634" i="1"/>
  <c r="W623" i="1"/>
  <c r="W630" i="1"/>
  <c r="W614" i="1"/>
  <c r="W607" i="1"/>
  <c r="W631" i="1"/>
  <c r="W613" i="1"/>
  <c r="W606" i="1"/>
  <c r="W597" i="1"/>
  <c r="W622" i="1"/>
  <c r="W616" i="1"/>
  <c r="W610" i="1"/>
  <c r="W625" i="1"/>
  <c r="W604" i="1"/>
  <c r="W600" i="1"/>
  <c r="W594" i="1"/>
  <c r="W588" i="1"/>
  <c r="W582" i="1"/>
  <c r="W618" i="1"/>
  <c r="W615" i="1"/>
  <c r="W608" i="1"/>
  <c r="W598" i="1"/>
  <c r="W585" i="1"/>
  <c r="W609" i="1"/>
  <c r="W605" i="1"/>
  <c r="W602" i="1"/>
  <c r="W591" i="1"/>
  <c r="W601" i="1"/>
  <c r="W595" i="1"/>
  <c r="W599" i="1"/>
  <c r="W596" i="1"/>
  <c r="W587" i="1"/>
  <c r="W584" i="1"/>
  <c r="W575" i="1"/>
  <c r="W563" i="1"/>
  <c r="W557" i="1"/>
  <c r="W593" i="1"/>
  <c r="W581" i="1"/>
  <c r="W578" i="1"/>
  <c r="W572" i="1"/>
  <c r="W566" i="1"/>
  <c r="W589" i="1"/>
  <c r="W583" i="1"/>
  <c r="W590" i="1"/>
  <c r="W577" i="1"/>
  <c r="W570" i="1"/>
  <c r="W573" i="1"/>
  <c r="W580" i="1"/>
  <c r="W592" i="1"/>
  <c r="W576" i="1"/>
  <c r="W560" i="1"/>
  <c r="W567" i="1"/>
  <c r="W579" i="1"/>
  <c r="W553" i="1"/>
  <c r="W549" i="1"/>
  <c r="W543" i="1"/>
  <c r="W561" i="1"/>
  <c r="W574" i="1"/>
  <c r="W548" i="1"/>
  <c r="W542" i="1"/>
  <c r="W568" i="1"/>
  <c r="W554" i="1"/>
  <c r="W562" i="1"/>
  <c r="W558" i="1"/>
  <c r="W547" i="1"/>
  <c r="W571" i="1"/>
  <c r="W559" i="1"/>
  <c r="W565" i="1"/>
  <c r="W564" i="1"/>
  <c r="W546" i="1"/>
  <c r="W541" i="1"/>
  <c r="W534" i="1"/>
  <c r="W528" i="1"/>
  <c r="W522" i="1"/>
  <c r="W516" i="1"/>
  <c r="W510" i="1"/>
  <c r="W504" i="1"/>
  <c r="W544" i="1"/>
  <c r="W540" i="1"/>
  <c r="W556" i="1"/>
  <c r="W550" i="1"/>
  <c r="W537" i="1"/>
  <c r="W555" i="1"/>
  <c r="W551" i="1"/>
  <c r="W530" i="1"/>
  <c r="W538" i="1"/>
  <c r="W527" i="1"/>
  <c r="W523" i="1"/>
  <c r="W508" i="1"/>
  <c r="W531" i="1"/>
  <c r="W533" i="1"/>
  <c r="W520" i="1"/>
  <c r="W496" i="1"/>
  <c r="W490" i="1"/>
  <c r="W478" i="1"/>
  <c r="W524" i="1"/>
  <c r="W536" i="1"/>
  <c r="W545" i="1"/>
  <c r="W539" i="1"/>
  <c r="W532" i="1"/>
  <c r="W525" i="1"/>
  <c r="W529" i="1"/>
  <c r="W526" i="1"/>
  <c r="W507" i="1"/>
  <c r="W512" i="1"/>
  <c r="W493" i="1"/>
  <c r="W497" i="1"/>
  <c r="W517" i="1"/>
  <c r="W515" i="1"/>
  <c r="W494" i="1"/>
  <c r="W503" i="1"/>
  <c r="W498" i="1"/>
  <c r="W521" i="1"/>
  <c r="W513" i="1"/>
  <c r="W505" i="1"/>
  <c r="W487" i="1"/>
  <c r="W506" i="1"/>
  <c r="W511" i="1"/>
  <c r="W509" i="1"/>
  <c r="W502" i="1"/>
  <c r="W499" i="1"/>
  <c r="W519" i="1"/>
  <c r="W500" i="1"/>
  <c r="W514" i="1"/>
  <c r="W495" i="1"/>
  <c r="W483" i="1"/>
  <c r="W486" i="1"/>
  <c r="W481" i="1"/>
  <c r="W488" i="1"/>
  <c r="W476" i="1"/>
  <c r="W470" i="1"/>
  <c r="W464" i="1"/>
  <c r="W475" i="1"/>
  <c r="W469" i="1"/>
  <c r="W492" i="1"/>
  <c r="W480" i="1"/>
  <c r="W482" i="1"/>
  <c r="W460" i="1"/>
  <c r="W454" i="1"/>
  <c r="W448" i="1"/>
  <c r="W442" i="1"/>
  <c r="W436" i="1"/>
  <c r="W430" i="1"/>
  <c r="W424" i="1"/>
  <c r="W418" i="1"/>
  <c r="W479" i="1"/>
  <c r="W473" i="1"/>
  <c r="W491" i="1"/>
  <c r="W459" i="1"/>
  <c r="W453" i="1"/>
  <c r="W447" i="1"/>
  <c r="W441" i="1"/>
  <c r="W435" i="1"/>
  <c r="W485" i="1"/>
  <c r="W458" i="1"/>
  <c r="W477" i="1"/>
  <c r="W472" i="1"/>
  <c r="W465" i="1"/>
  <c r="W457" i="1"/>
  <c r="W451" i="1"/>
  <c r="W445" i="1"/>
  <c r="W439" i="1"/>
  <c r="W427" i="1"/>
  <c r="W468" i="1"/>
  <c r="W489" i="1"/>
  <c r="W466" i="1"/>
  <c r="W474" i="1"/>
  <c r="W471" i="1"/>
  <c r="W456" i="1"/>
  <c r="W431" i="1"/>
  <c r="W462" i="1"/>
  <c r="W461" i="1"/>
  <c r="W440" i="1"/>
  <c r="W420" i="1"/>
  <c r="W463" i="1"/>
  <c r="W455" i="1"/>
  <c r="W417" i="1"/>
  <c r="W409" i="1"/>
  <c r="W434" i="1"/>
  <c r="W421" i="1"/>
  <c r="W449" i="1"/>
  <c r="W443" i="1"/>
  <c r="W429" i="1"/>
  <c r="W452" i="1"/>
  <c r="W432" i="1"/>
  <c r="W422" i="1"/>
  <c r="W413" i="1"/>
  <c r="W407" i="1"/>
  <c r="W401" i="1"/>
  <c r="W395" i="1"/>
  <c r="W444" i="1"/>
  <c r="W446" i="1"/>
  <c r="W437" i="1"/>
  <c r="W425" i="1"/>
  <c r="W438" i="1"/>
  <c r="W428" i="1"/>
  <c r="W423" i="1"/>
  <c r="W419" i="1"/>
  <c r="W398" i="1"/>
  <c r="W392" i="1"/>
  <c r="W386" i="1"/>
  <c r="W415" i="1"/>
  <c r="W411" i="1"/>
  <c r="W391" i="1"/>
  <c r="W385" i="1"/>
  <c r="W379" i="1"/>
  <c r="W373" i="1"/>
  <c r="W426" i="1"/>
  <c r="W403" i="1"/>
  <c r="W414" i="1"/>
  <c r="W406" i="1"/>
  <c r="W390" i="1"/>
  <c r="W384" i="1"/>
  <c r="W378" i="1"/>
  <c r="W372" i="1"/>
  <c r="W366" i="1"/>
  <c r="W400" i="1"/>
  <c r="W396" i="1"/>
  <c r="W402" i="1"/>
  <c r="W412" i="1"/>
  <c r="W408" i="1"/>
  <c r="W405" i="1"/>
  <c r="W388" i="1"/>
  <c r="W376" i="1"/>
  <c r="W410" i="1"/>
  <c r="W362" i="1"/>
  <c r="W356" i="1"/>
  <c r="W377" i="1"/>
  <c r="W363" i="1"/>
  <c r="W361" i="1"/>
  <c r="W355" i="1"/>
  <c r="W349" i="1"/>
  <c r="W343" i="1"/>
  <c r="W337" i="1"/>
  <c r="W325" i="1"/>
  <c r="W389" i="1"/>
  <c r="W367" i="1"/>
  <c r="W394" i="1"/>
  <c r="W383" i="1"/>
  <c r="W370" i="1"/>
  <c r="W364" i="1"/>
  <c r="W393" i="1"/>
  <c r="W381" i="1"/>
  <c r="W404" i="1"/>
  <c r="W374" i="1"/>
  <c r="W369" i="1"/>
  <c r="W375" i="1"/>
  <c r="W357" i="1"/>
  <c r="W359" i="1"/>
  <c r="W346" i="1"/>
  <c r="W327" i="1"/>
  <c r="W318" i="1"/>
  <c r="W312" i="1"/>
  <c r="W306" i="1"/>
  <c r="W300" i="1"/>
  <c r="W397" i="1"/>
  <c r="W350" i="1"/>
  <c r="W335" i="1"/>
  <c r="W339" i="1"/>
  <c r="W324" i="1"/>
  <c r="W317" i="1"/>
  <c r="W311" i="1"/>
  <c r="W305" i="1"/>
  <c r="W347" i="1"/>
  <c r="W328" i="1"/>
  <c r="W368" i="1"/>
  <c r="W360" i="1"/>
  <c r="W352" i="1"/>
  <c r="W336" i="1"/>
  <c r="W332" i="1"/>
  <c r="W316" i="1"/>
  <c r="W310" i="1"/>
  <c r="W387" i="1"/>
  <c r="W353" i="1"/>
  <c r="W351" i="1"/>
  <c r="W340" i="1"/>
  <c r="W354" i="1"/>
  <c r="W344" i="1"/>
  <c r="W329" i="1"/>
  <c r="W321" i="1"/>
  <c r="W315" i="1"/>
  <c r="W309" i="1"/>
  <c r="W303" i="1"/>
  <c r="W371" i="1"/>
  <c r="W333" i="1"/>
  <c r="W341" i="1"/>
  <c r="W322" i="1"/>
  <c r="W320" i="1"/>
  <c r="W380" i="1"/>
  <c r="W345" i="1"/>
  <c r="W334" i="1"/>
  <c r="W319" i="1"/>
  <c r="W313" i="1"/>
  <c r="W307" i="1"/>
  <c r="W342" i="1"/>
  <c r="W323" i="1"/>
  <c r="W358" i="1"/>
  <c r="W289" i="1"/>
  <c r="W283" i="1"/>
  <c r="W277" i="1"/>
  <c r="W271" i="1"/>
  <c r="W265" i="1"/>
  <c r="W338" i="1"/>
  <c r="W298" i="1"/>
  <c r="W294" i="1"/>
  <c r="W288" i="1"/>
  <c r="W282" i="1"/>
  <c r="W276" i="1"/>
  <c r="W270" i="1"/>
  <c r="W302" i="1"/>
  <c r="W301" i="1"/>
  <c r="W326" i="1"/>
  <c r="W308" i="1"/>
  <c r="W293" i="1"/>
  <c r="W287" i="1"/>
  <c r="W295" i="1"/>
  <c r="W304" i="1"/>
  <c r="W292" i="1"/>
  <c r="W286" i="1"/>
  <c r="W274" i="1"/>
  <c r="W268" i="1"/>
  <c r="W262" i="1"/>
  <c r="W256" i="1"/>
  <c r="W250" i="1"/>
  <c r="W291" i="1"/>
  <c r="W285" i="1"/>
  <c r="W296" i="1"/>
  <c r="W330" i="1"/>
  <c r="W299" i="1"/>
  <c r="W290" i="1"/>
  <c r="W260" i="1"/>
  <c r="W245" i="1"/>
  <c r="W239" i="1"/>
  <c r="W233" i="1"/>
  <c r="W227" i="1"/>
  <c r="W221" i="1"/>
  <c r="W264" i="1"/>
  <c r="W269" i="1"/>
  <c r="W253" i="1"/>
  <c r="W244" i="1"/>
  <c r="W238" i="1"/>
  <c r="W232" i="1"/>
  <c r="W226" i="1"/>
  <c r="W261" i="1"/>
  <c r="W257" i="1"/>
  <c r="W281" i="1"/>
  <c r="W279" i="1"/>
  <c r="W249" i="1"/>
  <c r="W243" i="1"/>
  <c r="W237" i="1"/>
  <c r="W231" i="1"/>
  <c r="W225" i="1"/>
  <c r="W219" i="1"/>
  <c r="W278" i="1"/>
  <c r="W275" i="1"/>
  <c r="W267" i="1"/>
  <c r="W254" i="1"/>
  <c r="W266" i="1"/>
  <c r="W258" i="1"/>
  <c r="W272" i="1"/>
  <c r="W255" i="1"/>
  <c r="W251" i="1"/>
  <c r="W247" i="1"/>
  <c r="W240" i="1"/>
  <c r="W234" i="1"/>
  <c r="W228" i="1"/>
  <c r="W222" i="1"/>
  <c r="W216" i="1"/>
  <c r="W252" i="1"/>
  <c r="W273" i="1"/>
  <c r="W284" i="1"/>
  <c r="W248" i="1"/>
  <c r="W235" i="1"/>
  <c r="W220" i="1"/>
  <c r="W209" i="1"/>
  <c r="W203" i="1"/>
  <c r="W259" i="1"/>
  <c r="W215" i="1"/>
  <c r="W207" i="1"/>
  <c r="W201" i="1"/>
  <c r="W223" i="1"/>
  <c r="W242" i="1"/>
  <c r="W230" i="1"/>
  <c r="W224" i="1"/>
  <c r="W206" i="1"/>
  <c r="W200" i="1"/>
  <c r="W194" i="1"/>
  <c r="W188" i="1"/>
  <c r="W182" i="1"/>
  <c r="W236" i="1"/>
  <c r="W199" i="1"/>
  <c r="W196" i="1"/>
  <c r="W181" i="1"/>
  <c r="W204" i="1"/>
  <c r="W202" i="1"/>
  <c r="W185" i="1"/>
  <c r="W193" i="1"/>
  <c r="W189" i="1"/>
  <c r="W172" i="1"/>
  <c r="W166" i="1"/>
  <c r="W160" i="1"/>
  <c r="W154" i="1"/>
  <c r="W148" i="1"/>
  <c r="W142" i="1"/>
  <c r="W136" i="1"/>
  <c r="W130" i="1"/>
  <c r="W218" i="1"/>
  <c r="W214" i="1"/>
  <c r="W210" i="1"/>
  <c r="W198" i="1"/>
  <c r="W186" i="1"/>
  <c r="W211" i="1"/>
  <c r="W208" i="1"/>
  <c r="W197" i="1"/>
  <c r="W191" i="1"/>
  <c r="W241" i="1"/>
  <c r="W213" i="1"/>
  <c r="W184" i="1"/>
  <c r="W205" i="1"/>
  <c r="W177" i="1"/>
  <c r="W175" i="1"/>
  <c r="W174" i="1"/>
  <c r="W173" i="1"/>
  <c r="W169" i="1"/>
  <c r="W167" i="1"/>
  <c r="W149" i="1"/>
  <c r="W134" i="1"/>
  <c r="W171" i="1"/>
  <c r="W159" i="1"/>
  <c r="W145" i="1"/>
  <c r="W176" i="1"/>
  <c r="W157" i="1"/>
  <c r="W139" i="1"/>
  <c r="W143" i="1"/>
  <c r="W128" i="1"/>
  <c r="W125" i="1"/>
  <c r="W119" i="1"/>
  <c r="W113" i="1"/>
  <c r="W192" i="1"/>
  <c r="W190" i="1"/>
  <c r="W170" i="1"/>
  <c r="W147" i="1"/>
  <c r="W132" i="1"/>
  <c r="W187" i="1"/>
  <c r="W164" i="1"/>
  <c r="W163" i="1"/>
  <c r="W162" i="1"/>
  <c r="W150" i="1"/>
  <c r="W129" i="1"/>
  <c r="W183" i="1"/>
  <c r="W156" i="1"/>
  <c r="W180" i="1"/>
  <c r="W179" i="1"/>
  <c r="W146" i="1"/>
  <c r="W141" i="1"/>
  <c r="W137" i="1"/>
  <c r="W217" i="1"/>
  <c r="W165" i="1"/>
  <c r="W152" i="1"/>
  <c r="W135" i="1"/>
  <c r="W102" i="1"/>
  <c r="W91" i="1"/>
  <c r="W158" i="1"/>
  <c r="W123" i="1"/>
  <c r="W112" i="1"/>
  <c r="W101" i="1"/>
  <c r="W80" i="1"/>
  <c r="W69" i="1"/>
  <c r="W114" i="1"/>
  <c r="W100" i="1"/>
  <c r="W79" i="1"/>
  <c r="W89" i="1"/>
  <c r="W78" i="1"/>
  <c r="W88" i="1"/>
  <c r="W77" i="1"/>
  <c r="W118" i="1"/>
  <c r="W117" i="1"/>
  <c r="W108" i="1"/>
  <c r="W98" i="1"/>
  <c r="W87" i="1"/>
  <c r="W155" i="1"/>
  <c r="W153" i="1"/>
  <c r="W97" i="1"/>
  <c r="W86" i="1"/>
  <c r="W151" i="1"/>
  <c r="W140" i="1"/>
  <c r="W131" i="1"/>
  <c r="W126" i="1"/>
  <c r="W116" i="1"/>
  <c r="W107" i="1"/>
  <c r="W96" i="1"/>
  <c r="W85" i="1"/>
  <c r="W138" i="1"/>
  <c r="W124" i="1"/>
  <c r="W106" i="1"/>
  <c r="W95" i="1"/>
  <c r="W84" i="1"/>
  <c r="W73" i="1"/>
  <c r="W133" i="1"/>
  <c r="W120" i="1"/>
  <c r="W105" i="1"/>
  <c r="W94" i="1"/>
  <c r="W83" i="1"/>
  <c r="W121" i="1"/>
  <c r="W115" i="1"/>
  <c r="W104" i="1"/>
  <c r="W93" i="1"/>
  <c r="W64" i="1"/>
  <c r="W67" i="1"/>
  <c r="W53" i="1"/>
  <c r="W43" i="1"/>
  <c r="W168" i="1"/>
  <c r="W70" i="1"/>
  <c r="W52" i="1"/>
  <c r="W103" i="1"/>
  <c r="W82" i="1"/>
  <c r="W62" i="1"/>
  <c r="W51" i="1"/>
  <c r="W42" i="1"/>
  <c r="W36" i="1"/>
  <c r="W30" i="1"/>
  <c r="W24" i="1"/>
  <c r="W18" i="1"/>
  <c r="W12" i="1"/>
  <c r="W111" i="1"/>
  <c r="W75" i="1"/>
  <c r="W68" i="1"/>
  <c r="W60" i="1"/>
  <c r="W49" i="1"/>
  <c r="W41" i="1"/>
  <c r="W35" i="1"/>
  <c r="W29" i="1"/>
  <c r="W23" i="1"/>
  <c r="W17" i="1"/>
  <c r="W71" i="1"/>
  <c r="W59" i="1"/>
  <c r="W48" i="1"/>
  <c r="W122" i="1"/>
  <c r="W58" i="1"/>
  <c r="W47" i="1"/>
  <c r="W40" i="1"/>
  <c r="W28" i="1"/>
  <c r="W22" i="1"/>
  <c r="W16" i="1"/>
  <c r="W10" i="1"/>
  <c r="W92" i="1"/>
  <c r="W57" i="1"/>
  <c r="W56" i="1"/>
  <c r="W76" i="1"/>
  <c r="W66" i="1"/>
  <c r="W74" i="1"/>
  <c r="W65" i="1"/>
  <c r="W38" i="1"/>
  <c r="W32" i="1"/>
  <c r="W26" i="1"/>
  <c r="W20" i="1"/>
  <c r="W14" i="1"/>
  <c r="W33" i="1"/>
  <c r="W50" i="1"/>
  <c r="W61" i="1"/>
  <c r="W27" i="1"/>
  <c r="W46" i="1"/>
  <c r="W21" i="1"/>
  <c r="W37" i="1"/>
  <c r="W31" i="1"/>
  <c r="W15" i="1"/>
  <c r="W25" i="1"/>
  <c r="W11" i="1"/>
  <c r="W9" i="1"/>
  <c r="W55" i="1"/>
  <c r="W19" i="1"/>
  <c r="W13" i="1"/>
  <c r="Y4" i="1"/>
  <c r="X6" i="1"/>
  <c r="V72" i="1"/>
  <c r="V331" i="1"/>
  <c r="V586" i="1"/>
  <c r="V110" i="1"/>
  <c r="V314" i="1"/>
  <c r="V501" i="1"/>
  <c r="V39" i="1"/>
  <c r="V127" i="1"/>
  <c r="V280" i="1"/>
  <c r="V382" i="1"/>
  <c r="V484" i="1"/>
  <c r="V54" i="1"/>
  <c r="V63" i="1"/>
  <c r="V178" i="1"/>
  <c r="V467" i="1"/>
  <c r="W552" i="1" l="1"/>
  <c r="W63" i="1"/>
  <c r="W671" i="1"/>
  <c r="W72" i="1"/>
  <c r="W54" i="1"/>
  <c r="W331" i="1"/>
  <c r="W90" i="1"/>
  <c r="W637" i="1"/>
  <c r="U8" i="1"/>
  <c r="U5" i="1"/>
  <c r="W314" i="1"/>
  <c r="W297" i="1"/>
  <c r="W348" i="1"/>
  <c r="W450" i="1"/>
  <c r="W34" i="1"/>
  <c r="W161" i="1"/>
  <c r="W127" i="1"/>
  <c r="W246" i="1"/>
  <c r="V109" i="1"/>
  <c r="W99" i="1"/>
  <c r="W518" i="1"/>
  <c r="W603" i="1"/>
  <c r="W654" i="1"/>
  <c r="V44" i="1"/>
  <c r="V7" i="1" s="1"/>
  <c r="W39" i="1"/>
  <c r="W263" i="1"/>
  <c r="W399" i="1"/>
  <c r="W535" i="1"/>
  <c r="W81" i="1"/>
  <c r="W365" i="1"/>
  <c r="W501" i="1"/>
  <c r="W689" i="1"/>
  <c r="W229" i="1"/>
  <c r="W382" i="1"/>
  <c r="W433" i="1"/>
  <c r="X703" i="1"/>
  <c r="X701" i="1"/>
  <c r="X702" i="1"/>
  <c r="X692" i="1"/>
  <c r="X686" i="1"/>
  <c r="X698" i="1"/>
  <c r="X696" i="1"/>
  <c r="X687" i="1"/>
  <c r="X680" i="1"/>
  <c r="X694" i="1"/>
  <c r="X700" i="1"/>
  <c r="X690" i="1"/>
  <c r="X682" i="1"/>
  <c r="X676" i="1"/>
  <c r="X678" i="1"/>
  <c r="X675" i="1"/>
  <c r="X684" i="1"/>
  <c r="X697" i="1"/>
  <c r="X691" i="1"/>
  <c r="X683" i="1"/>
  <c r="X681" i="1"/>
  <c r="X688" i="1"/>
  <c r="X699" i="1"/>
  <c r="X677" i="1"/>
  <c r="X685" i="1"/>
  <c r="X693" i="1"/>
  <c r="X679" i="1"/>
  <c r="X672" i="1"/>
  <c r="X663" i="1"/>
  <c r="X666" i="1"/>
  <c r="X667" i="1"/>
  <c r="X673" i="1"/>
  <c r="X669" i="1"/>
  <c r="X661" i="1"/>
  <c r="X652" i="1"/>
  <c r="X674" i="1"/>
  <c r="X670" i="1"/>
  <c r="X668" i="1"/>
  <c r="X662" i="1"/>
  <c r="X653" i="1"/>
  <c r="X644" i="1"/>
  <c r="X660" i="1"/>
  <c r="X649" i="1"/>
  <c r="X651" i="1"/>
  <c r="X665" i="1"/>
  <c r="X664" i="1"/>
  <c r="X658" i="1"/>
  <c r="X656" i="1"/>
  <c r="X643" i="1"/>
  <c r="X640" i="1"/>
  <c r="X633" i="1"/>
  <c r="X657" i="1"/>
  <c r="X645" i="1"/>
  <c r="X648" i="1"/>
  <c r="X631" i="1"/>
  <c r="X655" i="1"/>
  <c r="X632" i="1"/>
  <c r="X628" i="1"/>
  <c r="X641" i="1"/>
  <c r="X636" i="1"/>
  <c r="X626" i="1"/>
  <c r="X659" i="1"/>
  <c r="X625" i="1"/>
  <c r="X621" i="1"/>
  <c r="X650" i="1"/>
  <c r="X642" i="1"/>
  <c r="X618" i="1"/>
  <c r="X646" i="1"/>
  <c r="X638" i="1"/>
  <c r="X647" i="1"/>
  <c r="X634" i="1"/>
  <c r="X629" i="1"/>
  <c r="X624" i="1"/>
  <c r="X639" i="1"/>
  <c r="X627" i="1"/>
  <c r="X635" i="1"/>
  <c r="X623" i="1"/>
  <c r="X630" i="1"/>
  <c r="X611" i="1"/>
  <c r="X614" i="1"/>
  <c r="X607" i="1"/>
  <c r="X615" i="1"/>
  <c r="X617" i="1"/>
  <c r="X622" i="1"/>
  <c r="X612" i="1"/>
  <c r="X619" i="1"/>
  <c r="X616" i="1"/>
  <c r="X604" i="1"/>
  <c r="X600" i="1"/>
  <c r="X613" i="1"/>
  <c r="X598" i="1"/>
  <c r="X609" i="1"/>
  <c r="X606" i="1"/>
  <c r="X599" i="1"/>
  <c r="X596" i="1"/>
  <c r="X593" i="1"/>
  <c r="X589" i="1"/>
  <c r="X605" i="1"/>
  <c r="X602" i="1"/>
  <c r="X591" i="1"/>
  <c r="X610" i="1"/>
  <c r="X601" i="1"/>
  <c r="X595" i="1"/>
  <c r="X584" i="1"/>
  <c r="X581" i="1"/>
  <c r="X580" i="1"/>
  <c r="X608" i="1"/>
  <c r="X592" i="1"/>
  <c r="X588" i="1"/>
  <c r="X585" i="1"/>
  <c r="X583" i="1"/>
  <c r="X579" i="1"/>
  <c r="X590" i="1"/>
  <c r="X594" i="1"/>
  <c r="X587" i="1"/>
  <c r="X573" i="1"/>
  <c r="X597" i="1"/>
  <c r="X582" i="1"/>
  <c r="X578" i="1"/>
  <c r="X576" i="1"/>
  <c r="X575" i="1"/>
  <c r="X570" i="1"/>
  <c r="X567" i="1"/>
  <c r="X563" i="1"/>
  <c r="X553" i="1"/>
  <c r="X549" i="1"/>
  <c r="X543" i="1"/>
  <c r="X561" i="1"/>
  <c r="X557" i="1"/>
  <c r="X574" i="1"/>
  <c r="X568" i="1"/>
  <c r="X554" i="1"/>
  <c r="X562" i="1"/>
  <c r="X558" i="1"/>
  <c r="X571" i="1"/>
  <c r="X565" i="1"/>
  <c r="X564" i="1"/>
  <c r="X577" i="1"/>
  <c r="X566" i="1"/>
  <c r="X560" i="1"/>
  <c r="X546" i="1"/>
  <c r="X541" i="1"/>
  <c r="X544" i="1"/>
  <c r="X540" i="1"/>
  <c r="X548" i="1"/>
  <c r="X542" i="1"/>
  <c r="X539" i="1"/>
  <c r="X556" i="1"/>
  <c r="X550" i="1"/>
  <c r="X572" i="1"/>
  <c r="X559" i="1"/>
  <c r="X547" i="1"/>
  <c r="X545" i="1"/>
  <c r="X555" i="1"/>
  <c r="X538" i="1"/>
  <c r="X534" i="1"/>
  <c r="X519" i="1"/>
  <c r="X527" i="1"/>
  <c r="X531" i="1"/>
  <c r="X512" i="1"/>
  <c r="X533" i="1"/>
  <c r="X524" i="1"/>
  <c r="X509" i="1"/>
  <c r="X505" i="1"/>
  <c r="X536" i="1"/>
  <c r="X528" i="1"/>
  <c r="X551" i="1"/>
  <c r="X537" i="1"/>
  <c r="X532" i="1"/>
  <c r="X529" i="1"/>
  <c r="X526" i="1"/>
  <c r="X522" i="1"/>
  <c r="X530" i="1"/>
  <c r="X515" i="1"/>
  <c r="X511" i="1"/>
  <c r="X497" i="1"/>
  <c r="X517" i="1"/>
  <c r="X510" i="1"/>
  <c r="X508" i="1"/>
  <c r="X523" i="1"/>
  <c r="X503" i="1"/>
  <c r="X498" i="1"/>
  <c r="X483" i="1"/>
  <c r="X521" i="1"/>
  <c r="X513" i="1"/>
  <c r="X520" i="1"/>
  <c r="X506" i="1"/>
  <c r="X504" i="1"/>
  <c r="X495" i="1"/>
  <c r="X491" i="1"/>
  <c r="X516" i="1"/>
  <c r="X507" i="1"/>
  <c r="X500" i="1"/>
  <c r="X514" i="1"/>
  <c r="X525" i="1"/>
  <c r="X502" i="1"/>
  <c r="X496" i="1"/>
  <c r="X490" i="1"/>
  <c r="X487" i="1"/>
  <c r="X486" i="1"/>
  <c r="X481" i="1"/>
  <c r="X488" i="1"/>
  <c r="X494" i="1"/>
  <c r="X493" i="1"/>
  <c r="X485" i="1"/>
  <c r="X482" i="1"/>
  <c r="X489" i="1"/>
  <c r="X479" i="1"/>
  <c r="X499" i="1"/>
  <c r="X492" i="1"/>
  <c r="X480" i="1"/>
  <c r="X460" i="1"/>
  <c r="X454" i="1"/>
  <c r="X473" i="1"/>
  <c r="X470" i="1"/>
  <c r="X464" i="1"/>
  <c r="X459" i="1"/>
  <c r="X453" i="1"/>
  <c r="X447" i="1"/>
  <c r="X476" i="1"/>
  <c r="X469" i="1"/>
  <c r="X458" i="1"/>
  <c r="X477" i="1"/>
  <c r="X472" i="1"/>
  <c r="X465" i="1"/>
  <c r="X475" i="1"/>
  <c r="X457" i="1"/>
  <c r="X468" i="1"/>
  <c r="X466" i="1"/>
  <c r="X462" i="1"/>
  <c r="X474" i="1"/>
  <c r="X471" i="1"/>
  <c r="X463" i="1"/>
  <c r="X461" i="1"/>
  <c r="X478" i="1"/>
  <c r="X448" i="1"/>
  <c r="X439" i="1"/>
  <c r="X440" i="1"/>
  <c r="X420" i="1"/>
  <c r="X410" i="1"/>
  <c r="X404" i="1"/>
  <c r="X427" i="1"/>
  <c r="X424" i="1"/>
  <c r="X455" i="1"/>
  <c r="X445" i="1"/>
  <c r="X441" i="1"/>
  <c r="X430" i="1"/>
  <c r="X417" i="1"/>
  <c r="X434" i="1"/>
  <c r="X421" i="1"/>
  <c r="X442" i="1"/>
  <c r="X426" i="1"/>
  <c r="X452" i="1"/>
  <c r="X432" i="1"/>
  <c r="X451" i="1"/>
  <c r="X444" i="1"/>
  <c r="X436" i="1"/>
  <c r="X446" i="1"/>
  <c r="X437" i="1"/>
  <c r="X425" i="1"/>
  <c r="X438" i="1"/>
  <c r="X428" i="1"/>
  <c r="X423" i="1"/>
  <c r="X419" i="1"/>
  <c r="X456" i="1"/>
  <c r="X431" i="1"/>
  <c r="X415" i="1"/>
  <c r="X411" i="1"/>
  <c r="X418" i="1"/>
  <c r="X391" i="1"/>
  <c r="X449" i="1"/>
  <c r="X403" i="1"/>
  <c r="X395" i="1"/>
  <c r="X414" i="1"/>
  <c r="X406" i="1"/>
  <c r="X443" i="1"/>
  <c r="X400" i="1"/>
  <c r="X396" i="1"/>
  <c r="X389" i="1"/>
  <c r="X402" i="1"/>
  <c r="X435" i="1"/>
  <c r="X422" i="1"/>
  <c r="X412" i="1"/>
  <c r="X408" i="1"/>
  <c r="X405" i="1"/>
  <c r="X388" i="1"/>
  <c r="X409" i="1"/>
  <c r="X397" i="1"/>
  <c r="X376" i="1"/>
  <c r="X366" i="1"/>
  <c r="X362" i="1"/>
  <c r="X401" i="1"/>
  <c r="X377" i="1"/>
  <c r="X407" i="1"/>
  <c r="X390" i="1"/>
  <c r="X378" i="1"/>
  <c r="X367" i="1"/>
  <c r="X429" i="1"/>
  <c r="X394" i="1"/>
  <c r="X383" i="1"/>
  <c r="X371" i="1"/>
  <c r="X360" i="1"/>
  <c r="X387" i="1"/>
  <c r="X380" i="1"/>
  <c r="X372" i="1"/>
  <c r="X368" i="1"/>
  <c r="X373" i="1"/>
  <c r="X358" i="1"/>
  <c r="X392" i="1"/>
  <c r="X374" i="1"/>
  <c r="X375" i="1"/>
  <c r="X413" i="1"/>
  <c r="X384" i="1"/>
  <c r="X381" i="1"/>
  <c r="X350" i="1"/>
  <c r="X335" i="1"/>
  <c r="X385" i="1"/>
  <c r="X339" i="1"/>
  <c r="X324" i="1"/>
  <c r="X364" i="1"/>
  <c r="X363" i="1"/>
  <c r="X347" i="1"/>
  <c r="X343" i="1"/>
  <c r="X328" i="1"/>
  <c r="X356" i="1"/>
  <c r="X352" i="1"/>
  <c r="X336" i="1"/>
  <c r="X332" i="1"/>
  <c r="X379" i="1"/>
  <c r="X353" i="1"/>
  <c r="X351" i="1"/>
  <c r="X340" i="1"/>
  <c r="X354" i="1"/>
  <c r="X344" i="1"/>
  <c r="X329" i="1"/>
  <c r="X325" i="1"/>
  <c r="X321" i="1"/>
  <c r="X315" i="1"/>
  <c r="X333" i="1"/>
  <c r="X341" i="1"/>
  <c r="X337" i="1"/>
  <c r="X322" i="1"/>
  <c r="X320" i="1"/>
  <c r="X370" i="1"/>
  <c r="X361" i="1"/>
  <c r="X355" i="1"/>
  <c r="X345" i="1"/>
  <c r="X330" i="1"/>
  <c r="X326" i="1"/>
  <c r="X386" i="1"/>
  <c r="X349" i="1"/>
  <c r="X393" i="1"/>
  <c r="X369" i="1"/>
  <c r="X342" i="1"/>
  <c r="X338" i="1"/>
  <c r="X323" i="1"/>
  <c r="X289" i="1"/>
  <c r="X283" i="1"/>
  <c r="X277" i="1"/>
  <c r="X271" i="1"/>
  <c r="X346" i="1"/>
  <c r="X398" i="1"/>
  <c r="X317" i="1"/>
  <c r="X302" i="1"/>
  <c r="X301" i="1"/>
  <c r="X316" i="1"/>
  <c r="X311" i="1"/>
  <c r="X310" i="1"/>
  <c r="X309" i="1"/>
  <c r="X308" i="1"/>
  <c r="X293" i="1"/>
  <c r="X287" i="1"/>
  <c r="X281" i="1"/>
  <c r="X275" i="1"/>
  <c r="X269" i="1"/>
  <c r="X357" i="1"/>
  <c r="X312" i="1"/>
  <c r="X307" i="1"/>
  <c r="X303" i="1"/>
  <c r="X295" i="1"/>
  <c r="X334" i="1"/>
  <c r="X319" i="1"/>
  <c r="X304" i="1"/>
  <c r="X292" i="1"/>
  <c r="X286" i="1"/>
  <c r="X327" i="1"/>
  <c r="X300" i="1"/>
  <c r="X305" i="1"/>
  <c r="X291" i="1"/>
  <c r="X359" i="1"/>
  <c r="X318" i="1"/>
  <c r="X296" i="1"/>
  <c r="X313" i="1"/>
  <c r="X306" i="1"/>
  <c r="X299" i="1"/>
  <c r="X290" i="1"/>
  <c r="X284" i="1"/>
  <c r="X285" i="1"/>
  <c r="X264" i="1"/>
  <c r="X294" i="1"/>
  <c r="X288" i="1"/>
  <c r="X253" i="1"/>
  <c r="X244" i="1"/>
  <c r="X238" i="1"/>
  <c r="X261" i="1"/>
  <c r="X257" i="1"/>
  <c r="X279" i="1"/>
  <c r="X249" i="1"/>
  <c r="X243" i="1"/>
  <c r="X237" i="1"/>
  <c r="X298" i="1"/>
  <c r="X278" i="1"/>
  <c r="X267" i="1"/>
  <c r="X254" i="1"/>
  <c r="X250" i="1"/>
  <c r="X276" i="1"/>
  <c r="X274" i="1"/>
  <c r="X266" i="1"/>
  <c r="X258" i="1"/>
  <c r="X248" i="1"/>
  <c r="X242" i="1"/>
  <c r="X236" i="1"/>
  <c r="X273" i="1"/>
  <c r="X262" i="1"/>
  <c r="X259" i="1"/>
  <c r="X252" i="1"/>
  <c r="X260" i="1"/>
  <c r="X256" i="1"/>
  <c r="X245" i="1"/>
  <c r="X282" i="1"/>
  <c r="X235" i="1"/>
  <c r="X268" i="1"/>
  <c r="X227" i="1"/>
  <c r="X240" i="1"/>
  <c r="X220" i="1"/>
  <c r="X209" i="1"/>
  <c r="X203" i="1"/>
  <c r="X251" i="1"/>
  <c r="X231" i="1"/>
  <c r="X214" i="1"/>
  <c r="X265" i="1"/>
  <c r="X239" i="1"/>
  <c r="X247" i="1"/>
  <c r="X233" i="1"/>
  <c r="X226" i="1"/>
  <c r="X222" i="1"/>
  <c r="X215" i="1"/>
  <c r="X207" i="1"/>
  <c r="X272" i="1"/>
  <c r="X234" i="1"/>
  <c r="X223" i="1"/>
  <c r="X230" i="1"/>
  <c r="X228" i="1"/>
  <c r="X224" i="1"/>
  <c r="X206" i="1"/>
  <c r="X270" i="1"/>
  <c r="X241" i="1"/>
  <c r="X232" i="1"/>
  <c r="X217" i="1"/>
  <c r="X204" i="1"/>
  <c r="X202" i="1"/>
  <c r="X185" i="1"/>
  <c r="X173" i="1"/>
  <c r="X167" i="1"/>
  <c r="X193" i="1"/>
  <c r="X189" i="1"/>
  <c r="X172" i="1"/>
  <c r="X166" i="1"/>
  <c r="X160" i="1"/>
  <c r="X154" i="1"/>
  <c r="X148" i="1"/>
  <c r="X218" i="1"/>
  <c r="X210" i="1"/>
  <c r="X198" i="1"/>
  <c r="X186" i="1"/>
  <c r="X182" i="1"/>
  <c r="X225" i="1"/>
  <c r="X190" i="1"/>
  <c r="X177" i="1"/>
  <c r="X221" i="1"/>
  <c r="X219" i="1"/>
  <c r="X180" i="1"/>
  <c r="X175" i="1"/>
  <c r="X169" i="1"/>
  <c r="X213" i="1"/>
  <c r="X192" i="1"/>
  <c r="X188" i="1"/>
  <c r="X174" i="1"/>
  <c r="X197" i="1"/>
  <c r="X171" i="1"/>
  <c r="X158" i="1"/>
  <c r="X155" i="1"/>
  <c r="X138" i="1"/>
  <c r="X121" i="1"/>
  <c r="X115" i="1"/>
  <c r="X201" i="1"/>
  <c r="X151" i="1"/>
  <c r="X135" i="1"/>
  <c r="X131" i="1"/>
  <c r="X126" i="1"/>
  <c r="X199" i="1"/>
  <c r="X143" i="1"/>
  <c r="X128" i="1"/>
  <c r="X125" i="1"/>
  <c r="X119" i="1"/>
  <c r="X216" i="1"/>
  <c r="X170" i="1"/>
  <c r="X147" i="1"/>
  <c r="X132" i="1"/>
  <c r="X194" i="1"/>
  <c r="X191" i="1"/>
  <c r="X168" i="1"/>
  <c r="X153" i="1"/>
  <c r="X140" i="1"/>
  <c r="X136" i="1"/>
  <c r="X184" i="1"/>
  <c r="X183" i="1"/>
  <c r="X156" i="1"/>
  <c r="X133" i="1"/>
  <c r="X255" i="1"/>
  <c r="X181" i="1"/>
  <c r="X179" i="1"/>
  <c r="X208" i="1"/>
  <c r="X165" i="1"/>
  <c r="X152" i="1"/>
  <c r="X211" i="1"/>
  <c r="X205" i="1"/>
  <c r="X196" i="1"/>
  <c r="X176" i="1"/>
  <c r="X123" i="1"/>
  <c r="X112" i="1"/>
  <c r="X101" i="1"/>
  <c r="X80" i="1"/>
  <c r="X162" i="1"/>
  <c r="X150" i="1"/>
  <c r="X114" i="1"/>
  <c r="X100" i="1"/>
  <c r="X79" i="1"/>
  <c r="X68" i="1"/>
  <c r="X89" i="1"/>
  <c r="X78" i="1"/>
  <c r="X130" i="1"/>
  <c r="X88" i="1"/>
  <c r="X77" i="1"/>
  <c r="X163" i="1"/>
  <c r="X134" i="1"/>
  <c r="X118" i="1"/>
  <c r="X117" i="1"/>
  <c r="X108" i="1"/>
  <c r="X98" i="1"/>
  <c r="X87" i="1"/>
  <c r="X76" i="1"/>
  <c r="X113" i="1"/>
  <c r="X97" i="1"/>
  <c r="X86" i="1"/>
  <c r="X157" i="1"/>
  <c r="X145" i="1"/>
  <c r="X142" i="1"/>
  <c r="X141" i="1"/>
  <c r="X116" i="1"/>
  <c r="X107" i="1"/>
  <c r="X96" i="1"/>
  <c r="X85" i="1"/>
  <c r="X164" i="1"/>
  <c r="X149" i="1"/>
  <c r="X139" i="1"/>
  <c r="X124" i="1"/>
  <c r="X106" i="1"/>
  <c r="X95" i="1"/>
  <c r="X84" i="1"/>
  <c r="X159" i="1"/>
  <c r="X146" i="1"/>
  <c r="X137" i="1"/>
  <c r="X120" i="1"/>
  <c r="X105" i="1"/>
  <c r="X94" i="1"/>
  <c r="X83" i="1"/>
  <c r="X187" i="1"/>
  <c r="X104" i="1"/>
  <c r="X93" i="1"/>
  <c r="X82" i="1"/>
  <c r="X122" i="1"/>
  <c r="X111" i="1"/>
  <c r="X103" i="1"/>
  <c r="X92" i="1"/>
  <c r="X67" i="1"/>
  <c r="X53" i="1"/>
  <c r="X43" i="1"/>
  <c r="X37" i="1"/>
  <c r="X31" i="1"/>
  <c r="X25" i="1"/>
  <c r="X19" i="1"/>
  <c r="X13" i="1"/>
  <c r="X70" i="1"/>
  <c r="X52" i="1"/>
  <c r="X91" i="1"/>
  <c r="X62" i="1"/>
  <c r="X51" i="1"/>
  <c r="X42" i="1"/>
  <c r="X36" i="1"/>
  <c r="X30" i="1"/>
  <c r="X24" i="1"/>
  <c r="X18" i="1"/>
  <c r="X12" i="1"/>
  <c r="X129" i="1"/>
  <c r="X75" i="1"/>
  <c r="X61" i="1"/>
  <c r="X50" i="1"/>
  <c r="X71" i="1"/>
  <c r="X59" i="1"/>
  <c r="X48" i="1"/>
  <c r="X58" i="1"/>
  <c r="X47" i="1"/>
  <c r="X40" i="1"/>
  <c r="X28" i="1"/>
  <c r="X22" i="1"/>
  <c r="X73" i="1"/>
  <c r="X57" i="1"/>
  <c r="X46" i="1"/>
  <c r="X56" i="1"/>
  <c r="X102" i="1"/>
  <c r="X69" i="1"/>
  <c r="X66" i="1"/>
  <c r="X55" i="1"/>
  <c r="X200" i="1"/>
  <c r="X74" i="1"/>
  <c r="X65" i="1"/>
  <c r="X64" i="1"/>
  <c r="X41" i="1"/>
  <c r="X23" i="1"/>
  <c r="X27" i="1"/>
  <c r="X10" i="1"/>
  <c r="X26" i="1"/>
  <c r="X38" i="1"/>
  <c r="X32" i="1"/>
  <c r="X21" i="1"/>
  <c r="X49" i="1"/>
  <c r="X16" i="1"/>
  <c r="X33" i="1"/>
  <c r="X15" i="1"/>
  <c r="X20" i="1"/>
  <c r="X14" i="1"/>
  <c r="X11" i="1"/>
  <c r="X9" i="1"/>
  <c r="X60" i="1"/>
  <c r="X35" i="1"/>
  <c r="X29" i="1"/>
  <c r="X17" i="1"/>
  <c r="W45" i="1"/>
  <c r="W44" i="1" s="1"/>
  <c r="W144" i="1"/>
  <c r="W280" i="1"/>
  <c r="W484" i="1"/>
  <c r="W569" i="1"/>
  <c r="Z4" i="1"/>
  <c r="Y6" i="1"/>
  <c r="W110" i="1"/>
  <c r="W178" i="1"/>
  <c r="W212" i="1"/>
  <c r="W416" i="1"/>
  <c r="W195" i="1"/>
  <c r="W467" i="1"/>
  <c r="W586" i="1"/>
  <c r="W620" i="1"/>
  <c r="X72" i="1" l="1"/>
  <c r="X81" i="1"/>
  <c r="X144" i="1"/>
  <c r="X212" i="1"/>
  <c r="X63" i="1"/>
  <c r="X501" i="1"/>
  <c r="X603" i="1"/>
  <c r="X671" i="1"/>
  <c r="AA4" i="1"/>
  <c r="Z6" i="1"/>
  <c r="X161" i="1"/>
  <c r="X178" i="1"/>
  <c r="X552" i="1"/>
  <c r="V8" i="1"/>
  <c r="V5" i="1"/>
  <c r="X331" i="1"/>
  <c r="X620" i="1"/>
  <c r="X297" i="1"/>
  <c r="X263" i="1"/>
  <c r="X348" i="1"/>
  <c r="X450" i="1"/>
  <c r="X39" i="1"/>
  <c r="X314" i="1"/>
  <c r="X365" i="1"/>
  <c r="X569" i="1"/>
  <c r="X280" i="1"/>
  <c r="X399" i="1"/>
  <c r="X484" i="1"/>
  <c r="X518" i="1"/>
  <c r="X54" i="1"/>
  <c r="X195" i="1"/>
  <c r="X382" i="1"/>
  <c r="X467" i="1"/>
  <c r="X689" i="1"/>
  <c r="X127" i="1"/>
  <c r="X246" i="1"/>
  <c r="X34" i="1"/>
  <c r="X99" i="1"/>
  <c r="X433" i="1"/>
  <c r="X535" i="1"/>
  <c r="X637" i="1"/>
  <c r="W109" i="1"/>
  <c r="W7" i="1" s="1"/>
  <c r="X90" i="1"/>
  <c r="X229" i="1"/>
  <c r="X416" i="1"/>
  <c r="X654" i="1"/>
  <c r="Y700" i="1"/>
  <c r="Y694" i="1"/>
  <c r="Y688" i="1"/>
  <c r="Y699" i="1"/>
  <c r="Y682" i="1"/>
  <c r="Y702" i="1"/>
  <c r="Y703" i="1"/>
  <c r="Y698" i="1"/>
  <c r="Y693" i="1"/>
  <c r="Y697" i="1"/>
  <c r="Y684" i="1"/>
  <c r="Y690" i="1"/>
  <c r="Y701" i="1"/>
  <c r="Y686" i="1"/>
  <c r="Y696" i="1"/>
  <c r="Y691" i="1"/>
  <c r="Y687" i="1"/>
  <c r="Y692" i="1"/>
  <c r="Y685" i="1"/>
  <c r="Y683" i="1"/>
  <c r="Y669" i="1"/>
  <c r="Y663" i="1"/>
  <c r="Y657" i="1"/>
  <c r="Y674" i="1"/>
  <c r="Y668" i="1"/>
  <c r="Y662" i="1"/>
  <c r="Y656" i="1"/>
  <c r="Y680" i="1"/>
  <c r="Y679" i="1"/>
  <c r="Y678" i="1"/>
  <c r="Y676" i="1"/>
  <c r="Y681" i="1"/>
  <c r="Y666" i="1"/>
  <c r="Y675" i="1"/>
  <c r="Y667" i="1"/>
  <c r="Y673" i="1"/>
  <c r="Y677" i="1"/>
  <c r="Y672" i="1"/>
  <c r="Y659" i="1"/>
  <c r="Y655" i="1"/>
  <c r="Y653" i="1"/>
  <c r="Y651" i="1"/>
  <c r="Y670" i="1"/>
  <c r="Y644" i="1"/>
  <c r="Y638" i="1"/>
  <c r="Y632" i="1"/>
  <c r="Y652" i="1"/>
  <c r="Y660" i="1"/>
  <c r="Y648" i="1"/>
  <c r="Y642" i="1"/>
  <c r="Y665" i="1"/>
  <c r="Y664" i="1"/>
  <c r="Y661" i="1"/>
  <c r="Y658" i="1"/>
  <c r="Y649" i="1"/>
  <c r="Y645" i="1"/>
  <c r="Y646" i="1"/>
  <c r="Y635" i="1"/>
  <c r="Y641" i="1"/>
  <c r="Y636" i="1"/>
  <c r="Y626" i="1"/>
  <c r="Y650" i="1"/>
  <c r="Y617" i="1"/>
  <c r="Y611" i="1"/>
  <c r="Y631" i="1"/>
  <c r="Y624" i="1"/>
  <c r="Y622" i="1"/>
  <c r="Y616" i="1"/>
  <c r="Y610" i="1"/>
  <c r="Y647" i="1"/>
  <c r="Y634" i="1"/>
  <c r="Y640" i="1"/>
  <c r="Y639" i="1"/>
  <c r="Y627" i="1"/>
  <c r="Y619" i="1"/>
  <c r="Y618" i="1"/>
  <c r="Y614" i="1"/>
  <c r="Y643" i="1"/>
  <c r="Y628" i="1"/>
  <c r="Y633" i="1"/>
  <c r="Y630" i="1"/>
  <c r="Y629" i="1"/>
  <c r="Y615" i="1"/>
  <c r="Y602" i="1"/>
  <c r="Y609" i="1"/>
  <c r="Y612" i="1"/>
  <c r="Y623" i="1"/>
  <c r="Y596" i="1"/>
  <c r="Y621" i="1"/>
  <c r="Y625" i="1"/>
  <c r="Y613" i="1"/>
  <c r="Y601" i="1"/>
  <c r="Y599" i="1"/>
  <c r="Y593" i="1"/>
  <c r="Y587" i="1"/>
  <c r="Y581" i="1"/>
  <c r="Y606" i="1"/>
  <c r="Y605" i="1"/>
  <c r="Y604" i="1"/>
  <c r="Y600" i="1"/>
  <c r="Y595" i="1"/>
  <c r="Y607" i="1"/>
  <c r="Y580" i="1"/>
  <c r="Y574" i="1"/>
  <c r="Y568" i="1"/>
  <c r="Y562" i="1"/>
  <c r="Y556" i="1"/>
  <c r="Y608" i="1"/>
  <c r="Y592" i="1"/>
  <c r="Y588" i="1"/>
  <c r="Y585" i="1"/>
  <c r="Y583" i="1"/>
  <c r="Y577" i="1"/>
  <c r="Y571" i="1"/>
  <c r="Y565" i="1"/>
  <c r="Y594" i="1"/>
  <c r="Y589" i="1"/>
  <c r="Y590" i="1"/>
  <c r="Y591" i="1"/>
  <c r="Y597" i="1"/>
  <c r="Y582" i="1"/>
  <c r="Y578" i="1"/>
  <c r="Y576" i="1"/>
  <c r="Y584" i="1"/>
  <c r="Y598" i="1"/>
  <c r="Y579" i="1"/>
  <c r="Y575" i="1"/>
  <c r="Y561" i="1"/>
  <c r="Y557" i="1"/>
  <c r="Y548" i="1"/>
  <c r="Y542" i="1"/>
  <c r="Y558" i="1"/>
  <c r="Y547" i="1"/>
  <c r="Y541" i="1"/>
  <c r="Y572" i="1"/>
  <c r="Y555" i="1"/>
  <c r="Y546" i="1"/>
  <c r="Y573" i="1"/>
  <c r="Y566" i="1"/>
  <c r="Y544" i="1"/>
  <c r="Y540" i="1"/>
  <c r="Y539" i="1"/>
  <c r="Y533" i="1"/>
  <c r="Y527" i="1"/>
  <c r="Y521" i="1"/>
  <c r="Y515" i="1"/>
  <c r="Y509" i="1"/>
  <c r="Y503" i="1"/>
  <c r="Y550" i="1"/>
  <c r="Y567" i="1"/>
  <c r="Y559" i="1"/>
  <c r="Y564" i="1"/>
  <c r="Y536" i="1"/>
  <c r="Y570" i="1"/>
  <c r="Y560" i="1"/>
  <c r="Y543" i="1"/>
  <c r="Y523" i="1"/>
  <c r="Y531" i="1"/>
  <c r="Y553" i="1"/>
  <c r="Y520" i="1"/>
  <c r="Y516" i="1"/>
  <c r="Y554" i="1"/>
  <c r="Y528" i="1"/>
  <c r="Y513" i="1"/>
  <c r="Y495" i="1"/>
  <c r="Y489" i="1"/>
  <c r="Y483" i="1"/>
  <c r="Y551" i="1"/>
  <c r="Y545" i="1"/>
  <c r="Y537" i="1"/>
  <c r="Y532" i="1"/>
  <c r="Y529" i="1"/>
  <c r="Y563" i="1"/>
  <c r="Y549" i="1"/>
  <c r="Y530" i="1"/>
  <c r="Y538" i="1"/>
  <c r="Y534" i="1"/>
  <c r="Y519" i="1"/>
  <c r="Y517" i="1"/>
  <c r="Y510" i="1"/>
  <c r="Y508" i="1"/>
  <c r="Y487" i="1"/>
  <c r="Y522" i="1"/>
  <c r="Y506" i="1"/>
  <c r="Y505" i="1"/>
  <c r="Y504" i="1"/>
  <c r="Y502" i="1"/>
  <c r="Y499" i="1"/>
  <c r="Y524" i="1"/>
  <c r="Y511" i="1"/>
  <c r="Y526" i="1"/>
  <c r="Y514" i="1"/>
  <c r="Y525" i="1"/>
  <c r="Y512" i="1"/>
  <c r="Y490" i="1"/>
  <c r="Y488" i="1"/>
  <c r="Y507" i="1"/>
  <c r="Y500" i="1"/>
  <c r="Y497" i="1"/>
  <c r="Y494" i="1"/>
  <c r="Y493" i="1"/>
  <c r="Y485" i="1"/>
  <c r="Y491" i="1"/>
  <c r="Y475" i="1"/>
  <c r="Y469" i="1"/>
  <c r="Y463" i="1"/>
  <c r="Y474" i="1"/>
  <c r="Y468" i="1"/>
  <c r="Y492" i="1"/>
  <c r="Y498" i="1"/>
  <c r="Y496" i="1"/>
  <c r="Y482" i="1"/>
  <c r="Y473" i="1"/>
  <c r="Y470" i="1"/>
  <c r="Y479" i="1"/>
  <c r="Y464" i="1"/>
  <c r="Y459" i="1"/>
  <c r="Y453" i="1"/>
  <c r="Y447" i="1"/>
  <c r="Y441" i="1"/>
  <c r="Y435" i="1"/>
  <c r="Y429" i="1"/>
  <c r="Y423" i="1"/>
  <c r="Y417" i="1"/>
  <c r="Y481" i="1"/>
  <c r="Y476" i="1"/>
  <c r="Y458" i="1"/>
  <c r="Y452" i="1"/>
  <c r="Y446" i="1"/>
  <c r="Y440" i="1"/>
  <c r="Y434" i="1"/>
  <c r="Y477" i="1"/>
  <c r="Y472" i="1"/>
  <c r="Y465" i="1"/>
  <c r="Y457" i="1"/>
  <c r="Y466" i="1"/>
  <c r="Y462" i="1"/>
  <c r="Y456" i="1"/>
  <c r="Y444" i="1"/>
  <c r="Y438" i="1"/>
  <c r="Y432" i="1"/>
  <c r="Y426" i="1"/>
  <c r="Y480" i="1"/>
  <c r="Y471" i="1"/>
  <c r="Y478" i="1"/>
  <c r="Y486" i="1"/>
  <c r="Y461" i="1"/>
  <c r="Y460" i="1"/>
  <c r="Y420" i="1"/>
  <c r="Y427" i="1"/>
  <c r="Y424" i="1"/>
  <c r="Y455" i="1"/>
  <c r="Y445" i="1"/>
  <c r="Y430" i="1"/>
  <c r="Y421" i="1"/>
  <c r="Y442" i="1"/>
  <c r="Y449" i="1"/>
  <c r="Y443" i="1"/>
  <c r="Y414" i="1"/>
  <c r="Y451" i="1"/>
  <c r="Y436" i="1"/>
  <c r="Y437" i="1"/>
  <c r="Y425" i="1"/>
  <c r="Y415" i="1"/>
  <c r="Y412" i="1"/>
  <c r="Y406" i="1"/>
  <c r="Y400" i="1"/>
  <c r="Y394" i="1"/>
  <c r="Y454" i="1"/>
  <c r="Y428" i="1"/>
  <c r="Y431" i="1"/>
  <c r="Y448" i="1"/>
  <c r="Y439" i="1"/>
  <c r="Y418" i="1"/>
  <c r="Y391" i="1"/>
  <c r="Y385" i="1"/>
  <c r="Y403" i="1"/>
  <c r="Y395" i="1"/>
  <c r="Y390" i="1"/>
  <c r="Y384" i="1"/>
  <c r="Y378" i="1"/>
  <c r="Y372" i="1"/>
  <c r="Y396" i="1"/>
  <c r="Y389" i="1"/>
  <c r="Y383" i="1"/>
  <c r="Y377" i="1"/>
  <c r="Y371" i="1"/>
  <c r="Y402" i="1"/>
  <c r="Y422" i="1"/>
  <c r="Y408" i="1"/>
  <c r="Y405" i="1"/>
  <c r="Y409" i="1"/>
  <c r="Y397" i="1"/>
  <c r="Y393" i="1"/>
  <c r="Y387" i="1"/>
  <c r="Y381" i="1"/>
  <c r="Y375" i="1"/>
  <c r="Y410" i="1"/>
  <c r="Y401" i="1"/>
  <c r="Y419" i="1"/>
  <c r="Y413" i="1"/>
  <c r="Y407" i="1"/>
  <c r="Y363" i="1"/>
  <c r="Y361" i="1"/>
  <c r="Y355" i="1"/>
  <c r="Y360" i="1"/>
  <c r="Y354" i="1"/>
  <c r="Y342" i="1"/>
  <c r="Y336" i="1"/>
  <c r="Y330" i="1"/>
  <c r="Y324" i="1"/>
  <c r="Y379" i="1"/>
  <c r="Y370" i="1"/>
  <c r="Y364" i="1"/>
  <c r="Y398" i="1"/>
  <c r="Y386" i="1"/>
  <c r="Y404" i="1"/>
  <c r="Y392" i="1"/>
  <c r="Y374" i="1"/>
  <c r="Y369" i="1"/>
  <c r="Y376" i="1"/>
  <c r="Y366" i="1"/>
  <c r="Y362" i="1"/>
  <c r="Y356" i="1"/>
  <c r="Y339" i="1"/>
  <c r="Y317" i="1"/>
  <c r="Y311" i="1"/>
  <c r="Y305" i="1"/>
  <c r="Y299" i="1"/>
  <c r="Y388" i="1"/>
  <c r="Y347" i="1"/>
  <c r="Y343" i="1"/>
  <c r="Y328" i="1"/>
  <c r="Y367" i="1"/>
  <c r="Y352" i="1"/>
  <c r="Y332" i="1"/>
  <c r="Y316" i="1"/>
  <c r="Y310" i="1"/>
  <c r="Y304" i="1"/>
  <c r="Y411" i="1"/>
  <c r="Y368" i="1"/>
  <c r="Y353" i="1"/>
  <c r="Y351" i="1"/>
  <c r="Y340" i="1"/>
  <c r="Y344" i="1"/>
  <c r="Y329" i="1"/>
  <c r="Y325" i="1"/>
  <c r="Y321" i="1"/>
  <c r="Y315" i="1"/>
  <c r="Y309" i="1"/>
  <c r="Y333" i="1"/>
  <c r="Y341" i="1"/>
  <c r="Y337" i="1"/>
  <c r="Y322" i="1"/>
  <c r="Y320" i="1"/>
  <c r="Y308" i="1"/>
  <c r="Y302" i="1"/>
  <c r="Y296" i="1"/>
  <c r="Y345" i="1"/>
  <c r="Y326" i="1"/>
  <c r="Y380" i="1"/>
  <c r="Y349" i="1"/>
  <c r="Y334" i="1"/>
  <c r="Y319" i="1"/>
  <c r="Y373" i="1"/>
  <c r="Y359" i="1"/>
  <c r="Y358" i="1"/>
  <c r="Y357" i="1"/>
  <c r="Y346" i="1"/>
  <c r="Y327" i="1"/>
  <c r="Y318" i="1"/>
  <c r="Y312" i="1"/>
  <c r="Y338" i="1"/>
  <c r="Y298" i="1"/>
  <c r="Y294" i="1"/>
  <c r="Y288" i="1"/>
  <c r="Y282" i="1"/>
  <c r="Y276" i="1"/>
  <c r="Y270" i="1"/>
  <c r="Y264" i="1"/>
  <c r="Y350" i="1"/>
  <c r="Y293" i="1"/>
  <c r="Y287" i="1"/>
  <c r="Y281" i="1"/>
  <c r="Y275" i="1"/>
  <c r="Y269" i="1"/>
  <c r="Y307" i="1"/>
  <c r="Y303" i="1"/>
  <c r="Y295" i="1"/>
  <c r="Y292" i="1"/>
  <c r="Y286" i="1"/>
  <c r="Y300" i="1"/>
  <c r="Y291" i="1"/>
  <c r="Y285" i="1"/>
  <c r="Y279" i="1"/>
  <c r="Y273" i="1"/>
  <c r="Y267" i="1"/>
  <c r="Y261" i="1"/>
  <c r="Y255" i="1"/>
  <c r="Y335" i="1"/>
  <c r="Y313" i="1"/>
  <c r="Y306" i="1"/>
  <c r="Y290" i="1"/>
  <c r="Y284" i="1"/>
  <c r="Y323" i="1"/>
  <c r="Y289" i="1"/>
  <c r="Y301" i="1"/>
  <c r="Y253" i="1"/>
  <c r="Y244" i="1"/>
  <c r="Y238" i="1"/>
  <c r="Y232" i="1"/>
  <c r="Y226" i="1"/>
  <c r="Y220" i="1"/>
  <c r="Y257" i="1"/>
  <c r="Y249" i="1"/>
  <c r="Y243" i="1"/>
  <c r="Y237" i="1"/>
  <c r="Y231" i="1"/>
  <c r="Y225" i="1"/>
  <c r="Y278" i="1"/>
  <c r="Y254" i="1"/>
  <c r="Y250" i="1"/>
  <c r="Y274" i="1"/>
  <c r="Y266" i="1"/>
  <c r="Y258" i="1"/>
  <c r="Y248" i="1"/>
  <c r="Y242" i="1"/>
  <c r="Y236" i="1"/>
  <c r="Y230" i="1"/>
  <c r="Y224" i="1"/>
  <c r="Y218" i="1"/>
  <c r="Y277" i="1"/>
  <c r="Y262" i="1"/>
  <c r="Y283" i="1"/>
  <c r="Y272" i="1"/>
  <c r="Y268" i="1"/>
  <c r="Y271" i="1"/>
  <c r="Y265" i="1"/>
  <c r="Y260" i="1"/>
  <c r="Y256" i="1"/>
  <c r="Y245" i="1"/>
  <c r="Y239" i="1"/>
  <c r="Y233" i="1"/>
  <c r="Y227" i="1"/>
  <c r="Y221" i="1"/>
  <c r="Y215" i="1"/>
  <c r="Y252" i="1"/>
  <c r="Y240" i="1"/>
  <c r="Y251" i="1"/>
  <c r="Y214" i="1"/>
  <c r="Y208" i="1"/>
  <c r="Y247" i="1"/>
  <c r="Y222" i="1"/>
  <c r="Y234" i="1"/>
  <c r="Y223" i="1"/>
  <c r="Y228" i="1"/>
  <c r="Y206" i="1"/>
  <c r="Y200" i="1"/>
  <c r="Y194" i="1"/>
  <c r="Y241" i="1"/>
  <c r="Y217" i="1"/>
  <c r="Y211" i="1"/>
  <c r="Y205" i="1"/>
  <c r="Y199" i="1"/>
  <c r="Y193" i="1"/>
  <c r="Y187" i="1"/>
  <c r="Y181" i="1"/>
  <c r="Y216" i="1"/>
  <c r="Y189" i="1"/>
  <c r="Y210" i="1"/>
  <c r="Y207" i="1"/>
  <c r="Y198" i="1"/>
  <c r="Y186" i="1"/>
  <c r="Y182" i="1"/>
  <c r="Y190" i="1"/>
  <c r="Y177" i="1"/>
  <c r="Y171" i="1"/>
  <c r="Y165" i="1"/>
  <c r="Y159" i="1"/>
  <c r="Y153" i="1"/>
  <c r="Y147" i="1"/>
  <c r="Y141" i="1"/>
  <c r="Y135" i="1"/>
  <c r="Y129" i="1"/>
  <c r="Y235" i="1"/>
  <c r="Y179" i="1"/>
  <c r="Y203" i="1"/>
  <c r="Y213" i="1"/>
  <c r="Y184" i="1"/>
  <c r="Y201" i="1"/>
  <c r="Y196" i="1"/>
  <c r="Y145" i="1"/>
  <c r="Y142" i="1"/>
  <c r="Y204" i="1"/>
  <c r="Y176" i="1"/>
  <c r="Y157" i="1"/>
  <c r="Y148" i="1"/>
  <c r="Y139" i="1"/>
  <c r="Y259" i="1"/>
  <c r="Y170" i="1"/>
  <c r="Y166" i="1"/>
  <c r="Y132" i="1"/>
  <c r="Y192" i="1"/>
  <c r="Y191" i="1"/>
  <c r="Y168" i="1"/>
  <c r="Y140" i="1"/>
  <c r="Y136" i="1"/>
  <c r="Y124" i="1"/>
  <c r="Y118" i="1"/>
  <c r="Y164" i="1"/>
  <c r="Y163" i="1"/>
  <c r="Y162" i="1"/>
  <c r="Y150" i="1"/>
  <c r="Y202" i="1"/>
  <c r="Y185" i="1"/>
  <c r="Y146" i="1"/>
  <c r="Y137" i="1"/>
  <c r="Y180" i="1"/>
  <c r="Y152" i="1"/>
  <c r="Y149" i="1"/>
  <c r="Y219" i="1"/>
  <c r="Y209" i="1"/>
  <c r="Y197" i="1"/>
  <c r="Y175" i="1"/>
  <c r="Y174" i="1"/>
  <c r="Y173" i="1"/>
  <c r="Y172" i="1"/>
  <c r="Y169" i="1"/>
  <c r="Y167" i="1"/>
  <c r="Y158" i="1"/>
  <c r="Y154" i="1"/>
  <c r="Y114" i="1"/>
  <c r="Y100" i="1"/>
  <c r="Y79" i="1"/>
  <c r="Y89" i="1"/>
  <c r="Y78" i="1"/>
  <c r="Y67" i="1"/>
  <c r="Y183" i="1"/>
  <c r="Y130" i="1"/>
  <c r="Y88" i="1"/>
  <c r="Y77" i="1"/>
  <c r="Y134" i="1"/>
  <c r="Y117" i="1"/>
  <c r="Y108" i="1"/>
  <c r="Y98" i="1"/>
  <c r="Y87" i="1"/>
  <c r="Y76" i="1"/>
  <c r="Y188" i="1"/>
  <c r="Y113" i="1"/>
  <c r="Y97" i="1"/>
  <c r="Y86" i="1"/>
  <c r="Y75" i="1"/>
  <c r="Y155" i="1"/>
  <c r="Y143" i="1"/>
  <c r="Y116" i="1"/>
  <c r="Y107" i="1"/>
  <c r="Y96" i="1"/>
  <c r="Y85" i="1"/>
  <c r="Y151" i="1"/>
  <c r="Y131" i="1"/>
  <c r="Y126" i="1"/>
  <c r="Y119" i="1"/>
  <c r="Y106" i="1"/>
  <c r="Y95" i="1"/>
  <c r="Y84" i="1"/>
  <c r="Y160" i="1"/>
  <c r="Y138" i="1"/>
  <c r="Y125" i="1"/>
  <c r="Y120" i="1"/>
  <c r="Y105" i="1"/>
  <c r="Y94" i="1"/>
  <c r="Y83" i="1"/>
  <c r="Y133" i="1"/>
  <c r="Y104" i="1"/>
  <c r="Y93" i="1"/>
  <c r="Y82" i="1"/>
  <c r="Y128" i="1"/>
  <c r="Y122" i="1"/>
  <c r="Y121" i="1"/>
  <c r="Y115" i="1"/>
  <c r="Y111" i="1"/>
  <c r="Y103" i="1"/>
  <c r="Y92" i="1"/>
  <c r="Y102" i="1"/>
  <c r="Y91" i="1"/>
  <c r="Y70" i="1"/>
  <c r="Y52" i="1"/>
  <c r="Y62" i="1"/>
  <c r="Y51" i="1"/>
  <c r="Y42" i="1"/>
  <c r="Y123" i="1"/>
  <c r="Y61" i="1"/>
  <c r="Y50" i="1"/>
  <c r="Y101" i="1"/>
  <c r="Y60" i="1"/>
  <c r="Y49" i="1"/>
  <c r="Y41" i="1"/>
  <c r="Y35" i="1"/>
  <c r="Y29" i="1"/>
  <c r="Y23" i="1"/>
  <c r="Y17" i="1"/>
  <c r="Y11" i="1"/>
  <c r="Y71" i="1"/>
  <c r="Y68" i="1"/>
  <c r="Y58" i="1"/>
  <c r="Y47" i="1"/>
  <c r="Y40" i="1"/>
  <c r="Y28" i="1"/>
  <c r="Y22" i="1"/>
  <c r="Y16" i="1"/>
  <c r="Y73" i="1"/>
  <c r="Y57" i="1"/>
  <c r="Y46" i="1"/>
  <c r="Y56" i="1"/>
  <c r="Y33" i="1"/>
  <c r="Y27" i="1"/>
  <c r="Y21" i="1"/>
  <c r="Y15" i="1"/>
  <c r="Y9" i="1"/>
  <c r="Y69" i="1"/>
  <c r="Y66" i="1"/>
  <c r="Y55" i="1"/>
  <c r="Y74" i="1"/>
  <c r="Y65" i="1"/>
  <c r="Y38" i="1"/>
  <c r="Y156" i="1"/>
  <c r="Y112" i="1"/>
  <c r="Y64" i="1"/>
  <c r="Y80" i="1"/>
  <c r="Y53" i="1"/>
  <c r="Y43" i="1"/>
  <c r="Y37" i="1"/>
  <c r="Y31" i="1"/>
  <c r="Y25" i="1"/>
  <c r="Y19" i="1"/>
  <c r="Y10" i="1"/>
  <c r="Y59" i="1"/>
  <c r="Y32" i="1"/>
  <c r="Y18" i="1"/>
  <c r="Y12" i="1"/>
  <c r="Y26" i="1"/>
  <c r="Y20" i="1"/>
  <c r="Y14" i="1"/>
  <c r="Y30" i="1"/>
  <c r="Y48" i="1"/>
  <c r="Y36" i="1"/>
  <c r="Y24" i="1"/>
  <c r="Y13" i="1"/>
  <c r="X45" i="1"/>
  <c r="X110" i="1"/>
  <c r="X586" i="1"/>
  <c r="X695" i="1"/>
  <c r="Y90" i="1" l="1"/>
  <c r="Y229" i="1"/>
  <c r="Y382" i="1"/>
  <c r="Y535" i="1"/>
  <c r="Y99" i="1"/>
  <c r="Y695" i="1"/>
  <c r="W8" i="1"/>
  <c r="W5" i="1"/>
  <c r="Y161" i="1"/>
  <c r="Y212" i="1"/>
  <c r="Y246" i="1"/>
  <c r="Y263" i="1"/>
  <c r="Y450" i="1"/>
  <c r="Y416" i="1"/>
  <c r="Y39" i="1"/>
  <c r="Y501" i="1"/>
  <c r="Y178" i="1"/>
  <c r="Y620" i="1"/>
  <c r="Y63" i="1"/>
  <c r="Y467" i="1"/>
  <c r="Y654" i="1"/>
  <c r="Y399" i="1"/>
  <c r="Y433" i="1"/>
  <c r="Y552" i="1"/>
  <c r="Y603" i="1"/>
  <c r="X109" i="1"/>
  <c r="Y297" i="1"/>
  <c r="Y348" i="1"/>
  <c r="Y671" i="1"/>
  <c r="Y110" i="1"/>
  <c r="X44" i="1"/>
  <c r="Y45" i="1"/>
  <c r="Y127" i="1"/>
  <c r="Y314" i="1"/>
  <c r="Y81" i="1"/>
  <c r="Y144" i="1"/>
  <c r="Y280" i="1"/>
  <c r="Y331" i="1"/>
  <c r="Y689" i="1"/>
  <c r="Y637" i="1"/>
  <c r="Y72" i="1"/>
  <c r="Y195" i="1"/>
  <c r="Y586" i="1"/>
  <c r="Z702" i="1"/>
  <c r="Z696" i="1"/>
  <c r="Z691" i="1"/>
  <c r="Z703" i="1"/>
  <c r="Z692" i="1"/>
  <c r="Z698" i="1"/>
  <c r="Z685" i="1"/>
  <c r="Z693" i="1"/>
  <c r="Z697" i="1"/>
  <c r="Z694" i="1"/>
  <c r="Z690" i="1"/>
  <c r="Z679" i="1"/>
  <c r="Z700" i="1"/>
  <c r="Z701" i="1"/>
  <c r="Z686" i="1"/>
  <c r="Z699" i="1"/>
  <c r="Z678" i="1"/>
  <c r="Z675" i="1"/>
  <c r="Z681" i="1"/>
  <c r="Z688" i="1"/>
  <c r="Z687" i="1"/>
  <c r="Z683" i="1"/>
  <c r="Z680" i="1"/>
  <c r="Z677" i="1"/>
  <c r="Z676" i="1"/>
  <c r="Z673" i="1"/>
  <c r="Z672" i="1"/>
  <c r="Z682" i="1"/>
  <c r="Z684" i="1"/>
  <c r="Z666" i="1"/>
  <c r="Z667" i="1"/>
  <c r="Z659" i="1"/>
  <c r="Z668" i="1"/>
  <c r="Z669" i="1"/>
  <c r="Z655" i="1"/>
  <c r="Z653" i="1"/>
  <c r="Z651" i="1"/>
  <c r="Z674" i="1"/>
  <c r="Z662" i="1"/>
  <c r="Z670" i="1"/>
  <c r="Z652" i="1"/>
  <c r="Z660" i="1"/>
  <c r="Z649" i="1"/>
  <c r="Z643" i="1"/>
  <c r="Z648" i="1"/>
  <c r="Z657" i="1"/>
  <c r="Z665" i="1"/>
  <c r="Z664" i="1"/>
  <c r="Z656" i="1"/>
  <c r="Z630" i="1"/>
  <c r="Z644" i="1"/>
  <c r="Z663" i="1"/>
  <c r="Z661" i="1"/>
  <c r="Z646" i="1"/>
  <c r="Z627" i="1"/>
  <c r="Z650" i="1"/>
  <c r="Z647" i="1"/>
  <c r="Z642" i="1"/>
  <c r="Z629" i="1"/>
  <c r="Z625" i="1"/>
  <c r="Z632" i="1"/>
  <c r="Z618" i="1"/>
  <c r="Z658" i="1"/>
  <c r="Z639" i="1"/>
  <c r="Z636" i="1"/>
  <c r="Z640" i="1"/>
  <c r="Z641" i="1"/>
  <c r="Z633" i="1"/>
  <c r="Z645" i="1"/>
  <c r="Z635" i="1"/>
  <c r="Z634" i="1"/>
  <c r="Z631" i="1"/>
  <c r="Z622" i="1"/>
  <c r="Z621" i="1"/>
  <c r="Z638" i="1"/>
  <c r="Z628" i="1"/>
  <c r="Z615" i="1"/>
  <c r="Z614" i="1"/>
  <c r="Z616" i="1"/>
  <c r="Z610" i="1"/>
  <c r="Z608" i="1"/>
  <c r="Z624" i="1"/>
  <c r="Z605" i="1"/>
  <c r="Z619" i="1"/>
  <c r="Z609" i="1"/>
  <c r="Z617" i="1"/>
  <c r="Z601" i="1"/>
  <c r="Z599" i="1"/>
  <c r="Z626" i="1"/>
  <c r="Z596" i="1"/>
  <c r="Z604" i="1"/>
  <c r="Z623" i="1"/>
  <c r="Z613" i="1"/>
  <c r="Z612" i="1"/>
  <c r="Z611" i="1"/>
  <c r="Z592" i="1"/>
  <c r="Z597" i="1"/>
  <c r="Z607" i="1"/>
  <c r="Z581" i="1"/>
  <c r="Z580" i="1"/>
  <c r="Z602" i="1"/>
  <c r="Z593" i="1"/>
  <c r="Z591" i="1"/>
  <c r="Z579" i="1"/>
  <c r="Z600" i="1"/>
  <c r="Z588" i="1"/>
  <c r="Z585" i="1"/>
  <c r="Z583" i="1"/>
  <c r="Z606" i="1"/>
  <c r="Z595" i="1"/>
  <c r="Z594" i="1"/>
  <c r="Z589" i="1"/>
  <c r="Z590" i="1"/>
  <c r="Z574" i="1"/>
  <c r="Z587" i="1"/>
  <c r="Z582" i="1"/>
  <c r="Z578" i="1"/>
  <c r="Z576" i="1"/>
  <c r="Z566" i="1"/>
  <c r="Z575" i="1"/>
  <c r="Z598" i="1"/>
  <c r="Z568" i="1"/>
  <c r="Z561" i="1"/>
  <c r="Z548" i="1"/>
  <c r="Z542" i="1"/>
  <c r="Z554" i="1"/>
  <c r="Z558" i="1"/>
  <c r="Z562" i="1"/>
  <c r="Z572" i="1"/>
  <c r="Z555" i="1"/>
  <c r="Z559" i="1"/>
  <c r="Z573" i="1"/>
  <c r="Z577" i="1"/>
  <c r="Z560" i="1"/>
  <c r="Z584" i="1"/>
  <c r="Z570" i="1"/>
  <c r="Z567" i="1"/>
  <c r="Z563" i="1"/>
  <c r="Z571" i="1"/>
  <c r="Z539" i="1"/>
  <c r="Z556" i="1"/>
  <c r="Z550" i="1"/>
  <c r="Z538" i="1"/>
  <c r="Z553" i="1"/>
  <c r="Z545" i="1"/>
  <c r="Z543" i="1"/>
  <c r="Z564" i="1"/>
  <c r="Z565" i="1"/>
  <c r="Z557" i="1"/>
  <c r="Z546" i="1"/>
  <c r="Z544" i="1"/>
  <c r="Z541" i="1"/>
  <c r="Z540" i="1"/>
  <c r="Z531" i="1"/>
  <c r="Z527" i="1"/>
  <c r="Z547" i="1"/>
  <c r="Z533" i="1"/>
  <c r="Z524" i="1"/>
  <c r="Z505" i="1"/>
  <c r="Z528" i="1"/>
  <c r="Z551" i="1"/>
  <c r="Z536" i="1"/>
  <c r="Z517" i="1"/>
  <c r="Z502" i="1"/>
  <c r="Z537" i="1"/>
  <c r="Z532" i="1"/>
  <c r="Z525" i="1"/>
  <c r="Z521" i="1"/>
  <c r="Z529" i="1"/>
  <c r="Z526" i="1"/>
  <c r="Z522" i="1"/>
  <c r="Z549" i="1"/>
  <c r="Z530" i="1"/>
  <c r="Z534" i="1"/>
  <c r="Z519" i="1"/>
  <c r="Z523" i="1"/>
  <c r="Z508" i="1"/>
  <c r="Z494" i="1"/>
  <c r="Z490" i="1"/>
  <c r="Z498" i="1"/>
  <c r="Z515" i="1"/>
  <c r="Z513" i="1"/>
  <c r="Z506" i="1"/>
  <c r="Z504" i="1"/>
  <c r="Z491" i="1"/>
  <c r="Z520" i="1"/>
  <c r="Z499" i="1"/>
  <c r="Z495" i="1"/>
  <c r="Z511" i="1"/>
  <c r="Z488" i="1"/>
  <c r="Z509" i="1"/>
  <c r="Z516" i="1"/>
  <c r="Z507" i="1"/>
  <c r="Z500" i="1"/>
  <c r="Z514" i="1"/>
  <c r="Z512" i="1"/>
  <c r="Z510" i="1"/>
  <c r="Z497" i="1"/>
  <c r="Z493" i="1"/>
  <c r="Z479" i="1"/>
  <c r="Z503" i="1"/>
  <c r="Z496" i="1"/>
  <c r="Z486" i="1"/>
  <c r="Z481" i="1"/>
  <c r="Z464" i="1"/>
  <c r="Z459" i="1"/>
  <c r="Z453" i="1"/>
  <c r="Z476" i="1"/>
  <c r="Z458" i="1"/>
  <c r="Z452" i="1"/>
  <c r="Z446" i="1"/>
  <c r="Z483" i="1"/>
  <c r="Z477" i="1"/>
  <c r="Z472" i="1"/>
  <c r="Z469" i="1"/>
  <c r="Z465" i="1"/>
  <c r="Z485" i="1"/>
  <c r="Z457" i="1"/>
  <c r="Z475" i="1"/>
  <c r="Z468" i="1"/>
  <c r="Z466" i="1"/>
  <c r="Z462" i="1"/>
  <c r="Z456" i="1"/>
  <c r="Z492" i="1"/>
  <c r="Z480" i="1"/>
  <c r="Z471" i="1"/>
  <c r="Z489" i="1"/>
  <c r="Z487" i="1"/>
  <c r="Z474" i="1"/>
  <c r="Z461" i="1"/>
  <c r="Z478" i="1"/>
  <c r="Z460" i="1"/>
  <c r="Z482" i="1"/>
  <c r="Z473" i="1"/>
  <c r="Z470" i="1"/>
  <c r="Z440" i="1"/>
  <c r="Z427" i="1"/>
  <c r="Z424" i="1"/>
  <c r="Z455" i="1"/>
  <c r="Z445" i="1"/>
  <c r="Z430" i="1"/>
  <c r="Z409" i="1"/>
  <c r="Z403" i="1"/>
  <c r="Z463" i="1"/>
  <c r="Z441" i="1"/>
  <c r="Z421" i="1"/>
  <c r="Z417" i="1"/>
  <c r="Z442" i="1"/>
  <c r="Z434" i="1"/>
  <c r="Z449" i="1"/>
  <c r="Z447" i="1"/>
  <c r="Z443" i="1"/>
  <c r="Z426" i="1"/>
  <c r="Z414" i="1"/>
  <c r="Z435" i="1"/>
  <c r="Z429" i="1"/>
  <c r="Z422" i="1"/>
  <c r="Z418" i="1"/>
  <c r="Z413" i="1"/>
  <c r="Z444" i="1"/>
  <c r="Z437" i="1"/>
  <c r="Z425" i="1"/>
  <c r="Z454" i="1"/>
  <c r="Z428" i="1"/>
  <c r="Z419" i="1"/>
  <c r="Z438" i="1"/>
  <c r="Z431" i="1"/>
  <c r="Z423" i="1"/>
  <c r="Z448" i="1"/>
  <c r="Z439" i="1"/>
  <c r="Z420" i="1"/>
  <c r="Z395" i="1"/>
  <c r="Z390" i="1"/>
  <c r="Z436" i="1"/>
  <c r="Z406" i="1"/>
  <c r="Z396" i="1"/>
  <c r="Z402" i="1"/>
  <c r="Z400" i="1"/>
  <c r="Z408" i="1"/>
  <c r="Z405" i="1"/>
  <c r="Z451" i="1"/>
  <c r="Z412" i="1"/>
  <c r="Z397" i="1"/>
  <c r="Z393" i="1"/>
  <c r="Z387" i="1"/>
  <c r="Z432" i="1"/>
  <c r="Z410" i="1"/>
  <c r="Z401" i="1"/>
  <c r="Z407" i="1"/>
  <c r="Z404" i="1"/>
  <c r="Z398" i="1"/>
  <c r="Z411" i="1"/>
  <c r="Z377" i="1"/>
  <c r="Z363" i="1"/>
  <c r="Z361" i="1"/>
  <c r="Z367" i="1"/>
  <c r="Z378" i="1"/>
  <c r="Z394" i="1"/>
  <c r="Z389" i="1"/>
  <c r="Z383" i="1"/>
  <c r="Z379" i="1"/>
  <c r="Z371" i="1"/>
  <c r="Z370" i="1"/>
  <c r="Z364" i="1"/>
  <c r="Z415" i="1"/>
  <c r="Z380" i="1"/>
  <c r="Z368" i="1"/>
  <c r="Z359" i="1"/>
  <c r="Z386" i="1"/>
  <c r="Z388" i="1"/>
  <c r="Z385" i="1"/>
  <c r="Z381" i="1"/>
  <c r="Z373" i="1"/>
  <c r="Z357" i="1"/>
  <c r="Z375" i="1"/>
  <c r="Z384" i="1"/>
  <c r="Z376" i="1"/>
  <c r="Z391" i="1"/>
  <c r="Z374" i="1"/>
  <c r="Z347" i="1"/>
  <c r="Z343" i="1"/>
  <c r="Z328" i="1"/>
  <c r="Z324" i="1"/>
  <c r="Z392" i="1"/>
  <c r="Z352" i="1"/>
  <c r="Z332" i="1"/>
  <c r="Z366" i="1"/>
  <c r="Z362" i="1"/>
  <c r="Z356" i="1"/>
  <c r="Z353" i="1"/>
  <c r="Z351" i="1"/>
  <c r="Z340" i="1"/>
  <c r="Z336" i="1"/>
  <c r="Z360" i="1"/>
  <c r="Z344" i="1"/>
  <c r="Z329" i="1"/>
  <c r="Z325" i="1"/>
  <c r="Z321" i="1"/>
  <c r="Z354" i="1"/>
  <c r="Z333" i="1"/>
  <c r="Z341" i="1"/>
  <c r="Z337" i="1"/>
  <c r="Z322" i="1"/>
  <c r="Z320" i="1"/>
  <c r="Z345" i="1"/>
  <c r="Z326" i="1"/>
  <c r="Z372" i="1"/>
  <c r="Z355" i="1"/>
  <c r="Z349" i="1"/>
  <c r="Z334" i="1"/>
  <c r="Z330" i="1"/>
  <c r="Z319" i="1"/>
  <c r="Z338" i="1"/>
  <c r="Z323" i="1"/>
  <c r="Z369" i="1"/>
  <c r="Z358" i="1"/>
  <c r="Z346" i="1"/>
  <c r="Z342" i="1"/>
  <c r="Z350" i="1"/>
  <c r="Z335" i="1"/>
  <c r="Z298" i="1"/>
  <c r="Z294" i="1"/>
  <c r="Z288" i="1"/>
  <c r="Z282" i="1"/>
  <c r="Z276" i="1"/>
  <c r="Z301" i="1"/>
  <c r="Z316" i="1"/>
  <c r="Z311" i="1"/>
  <c r="Z310" i="1"/>
  <c r="Z309" i="1"/>
  <c r="Z308" i="1"/>
  <c r="Z307" i="1"/>
  <c r="Z303" i="1"/>
  <c r="Z295" i="1"/>
  <c r="Z312" i="1"/>
  <c r="Z292" i="1"/>
  <c r="Z286" i="1"/>
  <c r="Z274" i="1"/>
  <c r="Z268" i="1"/>
  <c r="Z339" i="1"/>
  <c r="Z304" i="1"/>
  <c r="Z300" i="1"/>
  <c r="Z327" i="1"/>
  <c r="Z291" i="1"/>
  <c r="Z285" i="1"/>
  <c r="Z315" i="1"/>
  <c r="Z305" i="1"/>
  <c r="Z318" i="1"/>
  <c r="Z313" i="1"/>
  <c r="Z306" i="1"/>
  <c r="Z296" i="1"/>
  <c r="Z290" i="1"/>
  <c r="Z299" i="1"/>
  <c r="Z289" i="1"/>
  <c r="Z283" i="1"/>
  <c r="Z257" i="1"/>
  <c r="Z269" i="1"/>
  <c r="Z261" i="1"/>
  <c r="Z249" i="1"/>
  <c r="Z243" i="1"/>
  <c r="Z237" i="1"/>
  <c r="Z279" i="1"/>
  <c r="Z278" i="1"/>
  <c r="Z254" i="1"/>
  <c r="Z250" i="1"/>
  <c r="Z281" i="1"/>
  <c r="Z267" i="1"/>
  <c r="Z266" i="1"/>
  <c r="Z258" i="1"/>
  <c r="Z248" i="1"/>
  <c r="Z242" i="1"/>
  <c r="Z236" i="1"/>
  <c r="Z277" i="1"/>
  <c r="Z275" i="1"/>
  <c r="Z262" i="1"/>
  <c r="Z273" i="1"/>
  <c r="Z272" i="1"/>
  <c r="Z251" i="1"/>
  <c r="Z247" i="1"/>
  <c r="Z241" i="1"/>
  <c r="Z235" i="1"/>
  <c r="Z259" i="1"/>
  <c r="Z284" i="1"/>
  <c r="Z270" i="1"/>
  <c r="Z252" i="1"/>
  <c r="Z287" i="1"/>
  <c r="Z264" i="1"/>
  <c r="Z253" i="1"/>
  <c r="Z244" i="1"/>
  <c r="Z240" i="1"/>
  <c r="Z227" i="1"/>
  <c r="Z256" i="1"/>
  <c r="Z271" i="1"/>
  <c r="Z231" i="1"/>
  <c r="Z208" i="1"/>
  <c r="Z202" i="1"/>
  <c r="Z302" i="1"/>
  <c r="Z255" i="1"/>
  <c r="Z221" i="1"/>
  <c r="Z234" i="1"/>
  <c r="Z233" i="1"/>
  <c r="Z226" i="1"/>
  <c r="Z223" i="1"/>
  <c r="Z317" i="1"/>
  <c r="Z260" i="1"/>
  <c r="Z228" i="1"/>
  <c r="Z245" i="1"/>
  <c r="Z238" i="1"/>
  <c r="Z230" i="1"/>
  <c r="Z224" i="1"/>
  <c r="Z217" i="1"/>
  <c r="Z211" i="1"/>
  <c r="Z232" i="1"/>
  <c r="Z216" i="1"/>
  <c r="Z225" i="1"/>
  <c r="Z218" i="1"/>
  <c r="Z220" i="1"/>
  <c r="Z206" i="1"/>
  <c r="Z193" i="1"/>
  <c r="Z172" i="1"/>
  <c r="Z166" i="1"/>
  <c r="Z160" i="1"/>
  <c r="Z210" i="1"/>
  <c r="Z207" i="1"/>
  <c r="Z198" i="1"/>
  <c r="Z186" i="1"/>
  <c r="Z182" i="1"/>
  <c r="Z190" i="1"/>
  <c r="Z177" i="1"/>
  <c r="Z171" i="1"/>
  <c r="Z165" i="1"/>
  <c r="Z159" i="1"/>
  <c r="Z153" i="1"/>
  <c r="Z147" i="1"/>
  <c r="Z222" i="1"/>
  <c r="Z214" i="1"/>
  <c r="Z179" i="1"/>
  <c r="Z203" i="1"/>
  <c r="Z183" i="1"/>
  <c r="Z176" i="1"/>
  <c r="Z293" i="1"/>
  <c r="Z205" i="1"/>
  <c r="Z239" i="1"/>
  <c r="Z200" i="1"/>
  <c r="Z192" i="1"/>
  <c r="Z188" i="1"/>
  <c r="Z174" i="1"/>
  <c r="Z168" i="1"/>
  <c r="Z209" i="1"/>
  <c r="Z204" i="1"/>
  <c r="Z199" i="1"/>
  <c r="Z185" i="1"/>
  <c r="Z181" i="1"/>
  <c r="Z173" i="1"/>
  <c r="Z201" i="1"/>
  <c r="Z151" i="1"/>
  <c r="Z131" i="1"/>
  <c r="Z126" i="1"/>
  <c r="Z120" i="1"/>
  <c r="Z114" i="1"/>
  <c r="Z215" i="1"/>
  <c r="Z154" i="1"/>
  <c r="Z143" i="1"/>
  <c r="Z128" i="1"/>
  <c r="Z125" i="1"/>
  <c r="Z213" i="1"/>
  <c r="Z191" i="1"/>
  <c r="Z140" i="1"/>
  <c r="Z136" i="1"/>
  <c r="Z124" i="1"/>
  <c r="Z118" i="1"/>
  <c r="Z194" i="1"/>
  <c r="Z164" i="1"/>
  <c r="Z163" i="1"/>
  <c r="Z162" i="1"/>
  <c r="Z150" i="1"/>
  <c r="Z187" i="1"/>
  <c r="Z156" i="1"/>
  <c r="Z133" i="1"/>
  <c r="Z265" i="1"/>
  <c r="Z180" i="1"/>
  <c r="Z152" i="1"/>
  <c r="Z141" i="1"/>
  <c r="Z149" i="1"/>
  <c r="Z219" i="1"/>
  <c r="Z197" i="1"/>
  <c r="Z196" i="1"/>
  <c r="Z175" i="1"/>
  <c r="Z169" i="1"/>
  <c r="Z167" i="1"/>
  <c r="Z158" i="1"/>
  <c r="Z155" i="1"/>
  <c r="Z138" i="1"/>
  <c r="Z148" i="1"/>
  <c r="Z89" i="1"/>
  <c r="Z78" i="1"/>
  <c r="Z132" i="1"/>
  <c r="Z130" i="1"/>
  <c r="Z88" i="1"/>
  <c r="Z77" i="1"/>
  <c r="Z134" i="1"/>
  <c r="Z117" i="1"/>
  <c r="Z108" i="1"/>
  <c r="Z98" i="1"/>
  <c r="Z87" i="1"/>
  <c r="Z76" i="1"/>
  <c r="Z113" i="1"/>
  <c r="Z97" i="1"/>
  <c r="Z86" i="1"/>
  <c r="Z75" i="1"/>
  <c r="Z116" i="1"/>
  <c r="Z107" i="1"/>
  <c r="Z96" i="1"/>
  <c r="Z85" i="1"/>
  <c r="Z74" i="1"/>
  <c r="Z157" i="1"/>
  <c r="Z145" i="1"/>
  <c r="Z142" i="1"/>
  <c r="Z119" i="1"/>
  <c r="Z106" i="1"/>
  <c r="Z95" i="1"/>
  <c r="Z84" i="1"/>
  <c r="Z170" i="1"/>
  <c r="Z139" i="1"/>
  <c r="Z105" i="1"/>
  <c r="Z94" i="1"/>
  <c r="Z83" i="1"/>
  <c r="Z146" i="1"/>
  <c r="Z137" i="1"/>
  <c r="Z104" i="1"/>
  <c r="Z93" i="1"/>
  <c r="Z82" i="1"/>
  <c r="Z122" i="1"/>
  <c r="Z121" i="1"/>
  <c r="Z115" i="1"/>
  <c r="Z111" i="1"/>
  <c r="Z103" i="1"/>
  <c r="Z92" i="1"/>
  <c r="Z102" i="1"/>
  <c r="Z91" i="1"/>
  <c r="Z184" i="1"/>
  <c r="Z129" i="1"/>
  <c r="Z123" i="1"/>
  <c r="Z112" i="1"/>
  <c r="Z101" i="1"/>
  <c r="Z62" i="1"/>
  <c r="Z51" i="1"/>
  <c r="Z42" i="1"/>
  <c r="Z36" i="1"/>
  <c r="Z30" i="1"/>
  <c r="Z24" i="1"/>
  <c r="Z18" i="1"/>
  <c r="Z12" i="1"/>
  <c r="Z61" i="1"/>
  <c r="Z50" i="1"/>
  <c r="Z60" i="1"/>
  <c r="Z49" i="1"/>
  <c r="Z41" i="1"/>
  <c r="Z35" i="1"/>
  <c r="Z29" i="1"/>
  <c r="Z23" i="1"/>
  <c r="Z17" i="1"/>
  <c r="Z11" i="1"/>
  <c r="Z71" i="1"/>
  <c r="Z68" i="1"/>
  <c r="Z59" i="1"/>
  <c r="Z48" i="1"/>
  <c r="Z79" i="1"/>
  <c r="Z73" i="1"/>
  <c r="Z57" i="1"/>
  <c r="Z46" i="1"/>
  <c r="Z135" i="1"/>
  <c r="Z56" i="1"/>
  <c r="Z33" i="1"/>
  <c r="Z27" i="1"/>
  <c r="Z21" i="1"/>
  <c r="Z69" i="1"/>
  <c r="Z66" i="1"/>
  <c r="Z55" i="1"/>
  <c r="Z65" i="1"/>
  <c r="Z100" i="1"/>
  <c r="Z64" i="1"/>
  <c r="Z80" i="1"/>
  <c r="Z189" i="1"/>
  <c r="Z70" i="1"/>
  <c r="Z67" i="1"/>
  <c r="Z52" i="1"/>
  <c r="Z53" i="1"/>
  <c r="Z22" i="1"/>
  <c r="Z38" i="1"/>
  <c r="Z32" i="1"/>
  <c r="Z14" i="1"/>
  <c r="Z43" i="1"/>
  <c r="Z26" i="1"/>
  <c r="Z16" i="1"/>
  <c r="Z47" i="1"/>
  <c r="Z31" i="1"/>
  <c r="Z15" i="1"/>
  <c r="Z10" i="1"/>
  <c r="Z20" i="1"/>
  <c r="Z25" i="1"/>
  <c r="Z9" i="1"/>
  <c r="Z40" i="1"/>
  <c r="Z19" i="1"/>
  <c r="Z13" i="1"/>
  <c r="Z37" i="1"/>
  <c r="Z28" i="1"/>
  <c r="Z58" i="1"/>
  <c r="Y54" i="1"/>
  <c r="Y34" i="1"/>
  <c r="Y365" i="1"/>
  <c r="Y484" i="1"/>
  <c r="Y518" i="1"/>
  <c r="Y569" i="1"/>
  <c r="AB4" i="1"/>
  <c r="AA6" i="1"/>
  <c r="Z45" i="1" l="1"/>
  <c r="Z34" i="1"/>
  <c r="Z63" i="1"/>
  <c r="Z280" i="1"/>
  <c r="X7" i="1"/>
  <c r="X5" i="1"/>
  <c r="X8" i="1"/>
  <c r="Z81" i="1"/>
  <c r="Z501" i="1"/>
  <c r="Z99" i="1"/>
  <c r="AB6" i="1"/>
  <c r="AC4" i="1"/>
  <c r="Z39" i="1"/>
  <c r="Z54" i="1"/>
  <c r="Z263" i="1"/>
  <c r="Z416" i="1"/>
  <c r="Z518" i="1"/>
  <c r="Z586" i="1"/>
  <c r="Z603" i="1"/>
  <c r="Z535" i="1"/>
  <c r="Z144" i="1"/>
  <c r="Z229" i="1"/>
  <c r="Z450" i="1"/>
  <c r="Z90" i="1"/>
  <c r="Z44" i="1" s="1"/>
  <c r="Z467" i="1"/>
  <c r="Z569" i="1"/>
  <c r="Z433" i="1"/>
  <c r="Z365" i="1"/>
  <c r="Z637" i="1"/>
  <c r="Z671" i="1"/>
  <c r="Z72" i="1"/>
  <c r="AA699" i="1"/>
  <c r="AA693" i="1"/>
  <c r="AA698" i="1"/>
  <c r="AA703" i="1"/>
  <c r="AA687" i="1"/>
  <c r="AA681" i="1"/>
  <c r="AA702" i="1"/>
  <c r="AA697" i="1"/>
  <c r="AA701" i="1"/>
  <c r="AA700" i="1"/>
  <c r="AA694" i="1"/>
  <c r="AA686" i="1"/>
  <c r="AA696" i="1"/>
  <c r="AA690" i="1"/>
  <c r="AA691" i="1"/>
  <c r="AA692" i="1"/>
  <c r="AA676" i="1"/>
  <c r="AA674" i="1"/>
  <c r="AA668" i="1"/>
  <c r="AA662" i="1"/>
  <c r="AA656" i="1"/>
  <c r="AA688" i="1"/>
  <c r="AA677" i="1"/>
  <c r="AA667" i="1"/>
  <c r="AA661" i="1"/>
  <c r="AA655" i="1"/>
  <c r="AA685" i="1"/>
  <c r="AA682" i="1"/>
  <c r="AA684" i="1"/>
  <c r="AA680" i="1"/>
  <c r="AA679" i="1"/>
  <c r="AA678" i="1"/>
  <c r="AA670" i="1"/>
  <c r="AA683" i="1"/>
  <c r="AA675" i="1"/>
  <c r="AA659" i="1"/>
  <c r="AA665" i="1"/>
  <c r="AA672" i="1"/>
  <c r="AA650" i="1"/>
  <c r="AA669" i="1"/>
  <c r="AA673" i="1"/>
  <c r="AA660" i="1"/>
  <c r="AA649" i="1"/>
  <c r="AA643" i="1"/>
  <c r="AA631" i="1"/>
  <c r="AA657" i="1"/>
  <c r="AA651" i="1"/>
  <c r="AA647" i="1"/>
  <c r="AA641" i="1"/>
  <c r="AA664" i="1"/>
  <c r="AA658" i="1"/>
  <c r="AA644" i="1"/>
  <c r="AA634" i="1"/>
  <c r="AA663" i="1"/>
  <c r="AA645" i="1"/>
  <c r="AA653" i="1"/>
  <c r="AA646" i="1"/>
  <c r="AA648" i="1"/>
  <c r="AA638" i="1"/>
  <c r="AA628" i="1"/>
  <c r="AA642" i="1"/>
  <c r="AA629" i="1"/>
  <c r="AA625" i="1"/>
  <c r="AA619" i="1"/>
  <c r="AA640" i="1"/>
  <c r="AA633" i="1"/>
  <c r="AA626" i="1"/>
  <c r="AA624" i="1"/>
  <c r="AA622" i="1"/>
  <c r="AA616" i="1"/>
  <c r="AA610" i="1"/>
  <c r="AA652" i="1"/>
  <c r="AA630" i="1"/>
  <c r="AA627" i="1"/>
  <c r="AA615" i="1"/>
  <c r="AA609" i="1"/>
  <c r="AA639" i="1"/>
  <c r="AA632" i="1"/>
  <c r="AA636" i="1"/>
  <c r="AA635" i="1"/>
  <c r="AA617" i="1"/>
  <c r="AA623" i="1"/>
  <c r="AA666" i="1"/>
  <c r="AA608" i="1"/>
  <c r="AA601" i="1"/>
  <c r="AA613" i="1"/>
  <c r="AA612" i="1"/>
  <c r="AA621" i="1"/>
  <c r="AA607" i="1"/>
  <c r="AA604" i="1"/>
  <c r="AA611" i="1"/>
  <c r="AA598" i="1"/>
  <c r="AA592" i="1"/>
  <c r="AA618" i="1"/>
  <c r="AA599" i="1"/>
  <c r="AA600" i="1"/>
  <c r="AA590" i="1"/>
  <c r="AA605" i="1"/>
  <c r="AA602" i="1"/>
  <c r="AA588" i="1"/>
  <c r="AA597" i="1"/>
  <c r="AA614" i="1"/>
  <c r="AA593" i="1"/>
  <c r="AA591" i="1"/>
  <c r="AA579" i="1"/>
  <c r="AA573" i="1"/>
  <c r="AA567" i="1"/>
  <c r="AA561" i="1"/>
  <c r="AA555" i="1"/>
  <c r="AA582" i="1"/>
  <c r="AA606" i="1"/>
  <c r="AA595" i="1"/>
  <c r="AA594" i="1"/>
  <c r="AA589" i="1"/>
  <c r="AA576" i="1"/>
  <c r="AA570" i="1"/>
  <c r="AA564" i="1"/>
  <c r="AA587" i="1"/>
  <c r="AA596" i="1"/>
  <c r="AA585" i="1"/>
  <c r="AA584" i="1"/>
  <c r="AA572" i="1"/>
  <c r="AA571" i="1"/>
  <c r="AA581" i="1"/>
  <c r="AA575" i="1"/>
  <c r="AA554" i="1"/>
  <c r="AA574" i="1"/>
  <c r="AA558" i="1"/>
  <c r="AA547" i="1"/>
  <c r="AA541" i="1"/>
  <c r="AA568" i="1"/>
  <c r="AA562" i="1"/>
  <c r="AA546" i="1"/>
  <c r="AA580" i="1"/>
  <c r="AA559" i="1"/>
  <c r="AA551" i="1"/>
  <c r="AA545" i="1"/>
  <c r="AA577" i="1"/>
  <c r="AA563" i="1"/>
  <c r="AA583" i="1"/>
  <c r="AA578" i="1"/>
  <c r="AA556" i="1"/>
  <c r="AA550" i="1"/>
  <c r="AA548" i="1"/>
  <c r="AA542" i="1"/>
  <c r="AA538" i="1"/>
  <c r="AA532" i="1"/>
  <c r="AA526" i="1"/>
  <c r="AA520" i="1"/>
  <c r="AA514" i="1"/>
  <c r="AA508" i="1"/>
  <c r="AA502" i="1"/>
  <c r="AA553" i="1"/>
  <c r="AA543" i="1"/>
  <c r="AA566" i="1"/>
  <c r="AA565" i="1"/>
  <c r="AA549" i="1"/>
  <c r="AA560" i="1"/>
  <c r="AA539" i="1"/>
  <c r="AA533" i="1"/>
  <c r="AA524" i="1"/>
  <c r="AA528" i="1"/>
  <c r="AA513" i="1"/>
  <c r="AA509" i="1"/>
  <c r="AA536" i="1"/>
  <c r="AA537" i="1"/>
  <c r="AA525" i="1"/>
  <c r="AA521" i="1"/>
  <c r="AA506" i="1"/>
  <c r="AA500" i="1"/>
  <c r="AA494" i="1"/>
  <c r="AA488" i="1"/>
  <c r="AA482" i="1"/>
  <c r="AA529" i="1"/>
  <c r="AA557" i="1"/>
  <c r="AA540" i="1"/>
  <c r="AA530" i="1"/>
  <c r="AA534" i="1"/>
  <c r="AA544" i="1"/>
  <c r="AA523" i="1"/>
  <c r="AA531" i="1"/>
  <c r="AA527" i="1"/>
  <c r="AA512" i="1"/>
  <c r="AA498" i="1"/>
  <c r="AA515" i="1"/>
  <c r="AA503" i="1"/>
  <c r="AA522" i="1"/>
  <c r="AA505" i="1"/>
  <c r="AA499" i="1"/>
  <c r="AA495" i="1"/>
  <c r="AA511" i="1"/>
  <c r="AA492" i="1"/>
  <c r="AA516" i="1"/>
  <c r="AA507" i="1"/>
  <c r="AA519" i="1"/>
  <c r="AA497" i="1"/>
  <c r="AA510" i="1"/>
  <c r="AA517" i="1"/>
  <c r="AA478" i="1"/>
  <c r="AA493" i="1"/>
  <c r="AA485" i="1"/>
  <c r="AA491" i="1"/>
  <c r="AA489" i="1"/>
  <c r="AA474" i="1"/>
  <c r="AA468" i="1"/>
  <c r="AA504" i="1"/>
  <c r="AA480" i="1"/>
  <c r="AA473" i="1"/>
  <c r="AA496" i="1"/>
  <c r="AA486" i="1"/>
  <c r="AA481" i="1"/>
  <c r="AA490" i="1"/>
  <c r="AA487" i="1"/>
  <c r="AA483" i="1"/>
  <c r="AA479" i="1"/>
  <c r="AA476" i="1"/>
  <c r="AA458" i="1"/>
  <c r="AA452" i="1"/>
  <c r="AA446" i="1"/>
  <c r="AA440" i="1"/>
  <c r="AA434" i="1"/>
  <c r="AA428" i="1"/>
  <c r="AA422" i="1"/>
  <c r="AA477" i="1"/>
  <c r="AA472" i="1"/>
  <c r="AA469" i="1"/>
  <c r="AA465" i="1"/>
  <c r="AA457" i="1"/>
  <c r="AA451" i="1"/>
  <c r="AA445" i="1"/>
  <c r="AA439" i="1"/>
  <c r="AA475" i="1"/>
  <c r="AA466" i="1"/>
  <c r="AA462" i="1"/>
  <c r="AA471" i="1"/>
  <c r="AA461" i="1"/>
  <c r="AA455" i="1"/>
  <c r="AA449" i="1"/>
  <c r="AA443" i="1"/>
  <c r="AA437" i="1"/>
  <c r="AA431" i="1"/>
  <c r="AA425" i="1"/>
  <c r="AA463" i="1"/>
  <c r="AA470" i="1"/>
  <c r="AA430" i="1"/>
  <c r="AA441" i="1"/>
  <c r="AA421" i="1"/>
  <c r="AA417" i="1"/>
  <c r="AA442" i="1"/>
  <c r="AA447" i="1"/>
  <c r="AA426" i="1"/>
  <c r="AA414" i="1"/>
  <c r="AA464" i="1"/>
  <c r="AA435" i="1"/>
  <c r="AA429" i="1"/>
  <c r="AA418" i="1"/>
  <c r="AA413" i="1"/>
  <c r="AA436" i="1"/>
  <c r="AA432" i="1"/>
  <c r="AA454" i="1"/>
  <c r="AA453" i="1"/>
  <c r="AA438" i="1"/>
  <c r="AA423" i="1"/>
  <c r="AA411" i="1"/>
  <c r="AA405" i="1"/>
  <c r="AA448" i="1"/>
  <c r="AA456" i="1"/>
  <c r="AA420" i="1"/>
  <c r="AA460" i="1"/>
  <c r="AA459" i="1"/>
  <c r="AA427" i="1"/>
  <c r="AA424" i="1"/>
  <c r="AA444" i="1"/>
  <c r="AA403" i="1"/>
  <c r="AA390" i="1"/>
  <c r="AA384" i="1"/>
  <c r="AA406" i="1"/>
  <c r="AA396" i="1"/>
  <c r="AA389" i="1"/>
  <c r="AA383" i="1"/>
  <c r="AA377" i="1"/>
  <c r="AA371" i="1"/>
  <c r="AA402" i="1"/>
  <c r="AA400" i="1"/>
  <c r="AA408" i="1"/>
  <c r="AA388" i="1"/>
  <c r="AA376" i="1"/>
  <c r="AA370" i="1"/>
  <c r="AA364" i="1"/>
  <c r="AA412" i="1"/>
  <c r="AA397" i="1"/>
  <c r="AA409" i="1"/>
  <c r="AA393" i="1"/>
  <c r="AA410" i="1"/>
  <c r="AA401" i="1"/>
  <c r="AA407" i="1"/>
  <c r="AA404" i="1"/>
  <c r="AA398" i="1"/>
  <c r="AA394" i="1"/>
  <c r="AA392" i="1"/>
  <c r="AA386" i="1"/>
  <c r="AA380" i="1"/>
  <c r="AA374" i="1"/>
  <c r="AA419" i="1"/>
  <c r="AA415" i="1"/>
  <c r="AA367" i="1"/>
  <c r="AA395" i="1"/>
  <c r="AA378" i="1"/>
  <c r="AA360" i="1"/>
  <c r="AA354" i="1"/>
  <c r="AA379" i="1"/>
  <c r="AA368" i="1"/>
  <c r="AA359" i="1"/>
  <c r="AA353" i="1"/>
  <c r="AA347" i="1"/>
  <c r="AA341" i="1"/>
  <c r="AA335" i="1"/>
  <c r="AA329" i="1"/>
  <c r="AA323" i="1"/>
  <c r="AA372" i="1"/>
  <c r="AA387" i="1"/>
  <c r="AA385" i="1"/>
  <c r="AA369" i="1"/>
  <c r="AA375" i="1"/>
  <c r="AA391" i="1"/>
  <c r="AA363" i="1"/>
  <c r="AA361" i="1"/>
  <c r="AA355" i="1"/>
  <c r="AA352" i="1"/>
  <c r="AA332" i="1"/>
  <c r="AA316" i="1"/>
  <c r="AA310" i="1"/>
  <c r="AA304" i="1"/>
  <c r="AA298" i="1"/>
  <c r="AA366" i="1"/>
  <c r="AA362" i="1"/>
  <c r="AA356" i="1"/>
  <c r="AA351" i="1"/>
  <c r="AA340" i="1"/>
  <c r="AA336" i="1"/>
  <c r="AA344" i="1"/>
  <c r="AA325" i="1"/>
  <c r="AA321" i="1"/>
  <c r="AA315" i="1"/>
  <c r="AA309" i="1"/>
  <c r="AA303" i="1"/>
  <c r="AA333" i="1"/>
  <c r="AA337" i="1"/>
  <c r="AA322" i="1"/>
  <c r="AA320" i="1"/>
  <c r="AA308" i="1"/>
  <c r="AA345" i="1"/>
  <c r="AA326" i="1"/>
  <c r="AA349" i="1"/>
  <c r="AA334" i="1"/>
  <c r="AA330" i="1"/>
  <c r="AA319" i="1"/>
  <c r="AA313" i="1"/>
  <c r="AA307" i="1"/>
  <c r="AA301" i="1"/>
  <c r="AA338" i="1"/>
  <c r="AA373" i="1"/>
  <c r="AA358" i="1"/>
  <c r="AA346" i="1"/>
  <c r="AA342" i="1"/>
  <c r="AA327" i="1"/>
  <c r="AA318" i="1"/>
  <c r="AA357" i="1"/>
  <c r="AA350" i="1"/>
  <c r="AA339" i="1"/>
  <c r="AA317" i="1"/>
  <c r="AA311" i="1"/>
  <c r="AA324" i="1"/>
  <c r="AA302" i="1"/>
  <c r="AA293" i="1"/>
  <c r="AA287" i="1"/>
  <c r="AA281" i="1"/>
  <c r="AA275" i="1"/>
  <c r="AA269" i="1"/>
  <c r="AA312" i="1"/>
  <c r="AA292" i="1"/>
  <c r="AA286" i="1"/>
  <c r="AA274" i="1"/>
  <c r="AA268" i="1"/>
  <c r="AA300" i="1"/>
  <c r="AA291" i="1"/>
  <c r="AA343" i="1"/>
  <c r="AA305" i="1"/>
  <c r="AA306" i="1"/>
  <c r="AA296" i="1"/>
  <c r="AA290" i="1"/>
  <c r="AA284" i="1"/>
  <c r="AA278" i="1"/>
  <c r="AA272" i="1"/>
  <c r="AA266" i="1"/>
  <c r="AA260" i="1"/>
  <c r="AA254" i="1"/>
  <c r="AA381" i="1"/>
  <c r="AA328" i="1"/>
  <c r="AA299" i="1"/>
  <c r="AA289" i="1"/>
  <c r="AA283" i="1"/>
  <c r="AA294" i="1"/>
  <c r="AA288" i="1"/>
  <c r="AA261" i="1"/>
  <c r="AA249" i="1"/>
  <c r="AA243" i="1"/>
  <c r="AA237" i="1"/>
  <c r="AA231" i="1"/>
  <c r="AA225" i="1"/>
  <c r="AA219" i="1"/>
  <c r="AA279" i="1"/>
  <c r="AA250" i="1"/>
  <c r="AA267" i="1"/>
  <c r="AA258" i="1"/>
  <c r="AA248" i="1"/>
  <c r="AA242" i="1"/>
  <c r="AA236" i="1"/>
  <c r="AA230" i="1"/>
  <c r="AA277" i="1"/>
  <c r="AA262" i="1"/>
  <c r="AA276" i="1"/>
  <c r="AA273" i="1"/>
  <c r="AA251" i="1"/>
  <c r="AA247" i="1"/>
  <c r="AA241" i="1"/>
  <c r="AA235" i="1"/>
  <c r="AA223" i="1"/>
  <c r="AA217" i="1"/>
  <c r="AA259" i="1"/>
  <c r="AA255" i="1"/>
  <c r="AA271" i="1"/>
  <c r="AA265" i="1"/>
  <c r="AA282" i="1"/>
  <c r="AA256" i="1"/>
  <c r="AA264" i="1"/>
  <c r="AA253" i="1"/>
  <c r="AA244" i="1"/>
  <c r="AA238" i="1"/>
  <c r="AA232" i="1"/>
  <c r="AA226" i="1"/>
  <c r="AA220" i="1"/>
  <c r="AA214" i="1"/>
  <c r="AA285" i="1"/>
  <c r="AA257" i="1"/>
  <c r="AA295" i="1"/>
  <c r="AA221" i="1"/>
  <c r="AA239" i="1"/>
  <c r="AA222" i="1"/>
  <c r="AA207" i="1"/>
  <c r="AA228" i="1"/>
  <c r="AA245" i="1"/>
  <c r="AA224" i="1"/>
  <c r="AA211" i="1"/>
  <c r="AA205" i="1"/>
  <c r="AA199" i="1"/>
  <c r="AA216" i="1"/>
  <c r="AA270" i="1"/>
  <c r="AA218" i="1"/>
  <c r="AA213" i="1"/>
  <c r="AA210" i="1"/>
  <c r="AA204" i="1"/>
  <c r="AA198" i="1"/>
  <c r="AA192" i="1"/>
  <c r="AA186" i="1"/>
  <c r="AA180" i="1"/>
  <c r="AA227" i="1"/>
  <c r="AA182" i="1"/>
  <c r="AA190" i="1"/>
  <c r="AA177" i="1"/>
  <c r="AA240" i="1"/>
  <c r="AA179" i="1"/>
  <c r="AA203" i="1"/>
  <c r="AA183" i="1"/>
  <c r="AA176" i="1"/>
  <c r="AA170" i="1"/>
  <c r="AA164" i="1"/>
  <c r="AA158" i="1"/>
  <c r="AA152" i="1"/>
  <c r="AA146" i="1"/>
  <c r="AA140" i="1"/>
  <c r="AA134" i="1"/>
  <c r="AA128" i="1"/>
  <c r="AA252" i="1"/>
  <c r="AA233" i="1"/>
  <c r="AA197" i="1"/>
  <c r="AA194" i="1"/>
  <c r="AA191" i="1"/>
  <c r="AA187" i="1"/>
  <c r="AA201" i="1"/>
  <c r="AA196" i="1"/>
  <c r="AA234" i="1"/>
  <c r="AA215" i="1"/>
  <c r="AA202" i="1"/>
  <c r="AA189" i="1"/>
  <c r="AA159" i="1"/>
  <c r="AA157" i="1"/>
  <c r="AA148" i="1"/>
  <c r="AA139" i="1"/>
  <c r="AA135" i="1"/>
  <c r="AA160" i="1"/>
  <c r="AA132" i="1"/>
  <c r="AA168" i="1"/>
  <c r="AA163" i="1"/>
  <c r="AA162" i="1"/>
  <c r="AA150" i="1"/>
  <c r="AA147" i="1"/>
  <c r="AA193" i="1"/>
  <c r="AA156" i="1"/>
  <c r="AA153" i="1"/>
  <c r="AA133" i="1"/>
  <c r="AA129" i="1"/>
  <c r="AA123" i="1"/>
  <c r="AA117" i="1"/>
  <c r="AA200" i="1"/>
  <c r="AA188" i="1"/>
  <c r="AA184" i="1"/>
  <c r="AA137" i="1"/>
  <c r="AA181" i="1"/>
  <c r="AA149" i="1"/>
  <c r="AA130" i="1"/>
  <c r="AA208" i="1"/>
  <c r="AA206" i="1"/>
  <c r="AA175" i="1"/>
  <c r="AA169" i="1"/>
  <c r="AA167" i="1"/>
  <c r="AA165" i="1"/>
  <c r="AA155" i="1"/>
  <c r="AA209" i="1"/>
  <c r="AA174" i="1"/>
  <c r="AA173" i="1"/>
  <c r="AA172" i="1"/>
  <c r="AA145" i="1"/>
  <c r="AA142" i="1"/>
  <c r="AA171" i="1"/>
  <c r="AA88" i="1"/>
  <c r="AA77" i="1"/>
  <c r="AA108" i="1"/>
  <c r="AA98" i="1"/>
  <c r="AA87" i="1"/>
  <c r="AA76" i="1"/>
  <c r="AA166" i="1"/>
  <c r="AA113" i="1"/>
  <c r="AA97" i="1"/>
  <c r="AA86" i="1"/>
  <c r="AA75" i="1"/>
  <c r="AA118" i="1"/>
  <c r="AA116" i="1"/>
  <c r="AA107" i="1"/>
  <c r="AA96" i="1"/>
  <c r="AA85" i="1"/>
  <c r="AA74" i="1"/>
  <c r="AA143" i="1"/>
  <c r="AA119" i="1"/>
  <c r="AA106" i="1"/>
  <c r="AA95" i="1"/>
  <c r="AA84" i="1"/>
  <c r="AA73" i="1"/>
  <c r="AA185" i="1"/>
  <c r="AA151" i="1"/>
  <c r="AA141" i="1"/>
  <c r="AA131" i="1"/>
  <c r="AA126" i="1"/>
  <c r="AA105" i="1"/>
  <c r="AA94" i="1"/>
  <c r="AA83" i="1"/>
  <c r="AA138" i="1"/>
  <c r="AA125" i="1"/>
  <c r="AA124" i="1"/>
  <c r="AA120" i="1"/>
  <c r="AA104" i="1"/>
  <c r="AA93" i="1"/>
  <c r="AA82" i="1"/>
  <c r="AA136" i="1"/>
  <c r="AA122" i="1"/>
  <c r="AA121" i="1"/>
  <c r="AA115" i="1"/>
  <c r="AA111" i="1"/>
  <c r="AA103" i="1"/>
  <c r="AA92" i="1"/>
  <c r="AA102" i="1"/>
  <c r="AA91" i="1"/>
  <c r="AA112" i="1"/>
  <c r="AA101" i="1"/>
  <c r="AA80" i="1"/>
  <c r="AA100" i="1"/>
  <c r="AA61" i="1"/>
  <c r="AA50" i="1"/>
  <c r="AA78" i="1"/>
  <c r="AA60" i="1"/>
  <c r="AA49" i="1"/>
  <c r="AA41" i="1"/>
  <c r="AA154" i="1"/>
  <c r="AA71" i="1"/>
  <c r="AA68" i="1"/>
  <c r="AA59" i="1"/>
  <c r="AA48" i="1"/>
  <c r="AA58" i="1"/>
  <c r="AA47" i="1"/>
  <c r="AA40" i="1"/>
  <c r="AA28" i="1"/>
  <c r="AA22" i="1"/>
  <c r="AA16" i="1"/>
  <c r="AA10" i="1"/>
  <c r="AA79" i="1"/>
  <c r="AA56" i="1"/>
  <c r="AA33" i="1"/>
  <c r="AA27" i="1"/>
  <c r="AA21" i="1"/>
  <c r="AA69" i="1"/>
  <c r="AA66" i="1"/>
  <c r="AA55" i="1"/>
  <c r="AA89" i="1"/>
  <c r="AA65" i="1"/>
  <c r="AA38" i="1"/>
  <c r="AA32" i="1"/>
  <c r="AA26" i="1"/>
  <c r="AA20" i="1"/>
  <c r="AA14" i="1"/>
  <c r="AA64" i="1"/>
  <c r="AA53" i="1"/>
  <c r="AA43" i="1"/>
  <c r="AA37" i="1"/>
  <c r="AA70" i="1"/>
  <c r="AA67" i="1"/>
  <c r="AA114" i="1"/>
  <c r="AA62" i="1"/>
  <c r="AA51" i="1"/>
  <c r="AA42" i="1"/>
  <c r="AA36" i="1"/>
  <c r="AA30" i="1"/>
  <c r="AA24" i="1"/>
  <c r="AA18" i="1"/>
  <c r="AA12" i="1"/>
  <c r="AA46" i="1"/>
  <c r="AA31" i="1"/>
  <c r="AA15" i="1"/>
  <c r="AA9" i="1"/>
  <c r="AA52" i="1"/>
  <c r="AA25" i="1"/>
  <c r="AA11" i="1"/>
  <c r="AA35" i="1"/>
  <c r="AA19" i="1"/>
  <c r="AA13" i="1"/>
  <c r="AA29" i="1"/>
  <c r="AA17" i="1"/>
  <c r="AA57" i="1"/>
  <c r="AA23" i="1"/>
  <c r="Z212" i="1"/>
  <c r="Z314" i="1"/>
  <c r="Z331" i="1"/>
  <c r="Z399" i="1"/>
  <c r="Z620" i="1"/>
  <c r="Z695" i="1"/>
  <c r="Z297" i="1"/>
  <c r="Z348" i="1"/>
  <c r="Z484" i="1"/>
  <c r="Y44" i="1"/>
  <c r="Z178" i="1"/>
  <c r="Z110" i="1"/>
  <c r="Z127" i="1"/>
  <c r="Z382" i="1"/>
  <c r="Z552" i="1"/>
  <c r="Z195" i="1"/>
  <c r="Z161" i="1"/>
  <c r="Z246" i="1"/>
  <c r="Z654" i="1"/>
  <c r="Z689" i="1"/>
  <c r="Y109" i="1"/>
  <c r="Y7" i="1" l="1"/>
  <c r="AA99" i="1"/>
  <c r="AA586" i="1"/>
  <c r="AA314" i="1"/>
  <c r="AA34" i="1"/>
  <c r="AA72" i="1"/>
  <c r="Y8" i="1"/>
  <c r="Y5" i="1"/>
  <c r="AA297" i="1"/>
  <c r="AA81" i="1"/>
  <c r="AA484" i="1"/>
  <c r="AA535" i="1"/>
  <c r="AA552" i="1"/>
  <c r="AA63" i="1"/>
  <c r="AA399" i="1"/>
  <c r="AA416" i="1"/>
  <c r="AA501" i="1"/>
  <c r="AA569" i="1"/>
  <c r="AA90" i="1"/>
  <c r="AA348" i="1"/>
  <c r="AA331" i="1"/>
  <c r="AA603" i="1"/>
  <c r="AA144" i="1"/>
  <c r="AA246" i="1"/>
  <c r="AA280" i="1"/>
  <c r="AA433" i="1"/>
  <c r="AC6" i="1"/>
  <c r="AD4" i="1"/>
  <c r="AA178" i="1"/>
  <c r="AA212" i="1"/>
  <c r="AA263" i="1"/>
  <c r="AA382" i="1"/>
  <c r="AA620" i="1"/>
  <c r="AB703" i="1"/>
  <c r="AB701" i="1"/>
  <c r="AB702" i="1"/>
  <c r="AB699" i="1"/>
  <c r="AB698" i="1"/>
  <c r="AB693" i="1"/>
  <c r="AB697" i="1"/>
  <c r="AB700" i="1"/>
  <c r="AB686" i="1"/>
  <c r="AB681" i="1"/>
  <c r="AB678" i="1"/>
  <c r="AB674" i="1"/>
  <c r="AB688" i="1"/>
  <c r="AB679" i="1"/>
  <c r="AB696" i="1"/>
  <c r="AB694" i="1"/>
  <c r="AB692" i="1"/>
  <c r="AB685" i="1"/>
  <c r="AB682" i="1"/>
  <c r="AB684" i="1"/>
  <c r="AB680" i="1"/>
  <c r="AB691" i="1"/>
  <c r="AB690" i="1"/>
  <c r="AB687" i="1"/>
  <c r="AB683" i="1"/>
  <c r="AB676" i="1"/>
  <c r="AB675" i="1"/>
  <c r="AB667" i="1"/>
  <c r="AB668" i="1"/>
  <c r="AB665" i="1"/>
  <c r="AB662" i="1"/>
  <c r="AB673" i="1"/>
  <c r="AB669" i="1"/>
  <c r="AB670" i="1"/>
  <c r="AB672" i="1"/>
  <c r="AB677" i="1"/>
  <c r="AB659" i="1"/>
  <c r="AB650" i="1"/>
  <c r="AB660" i="1"/>
  <c r="AB648" i="1"/>
  <c r="AB642" i="1"/>
  <c r="AB657" i="1"/>
  <c r="AB647" i="1"/>
  <c r="AB664" i="1"/>
  <c r="AB658" i="1"/>
  <c r="AB661" i="1"/>
  <c r="AB666" i="1"/>
  <c r="AB663" i="1"/>
  <c r="AB651" i="1"/>
  <c r="AB645" i="1"/>
  <c r="AB639" i="1"/>
  <c r="AB652" i="1"/>
  <c r="AB636" i="1"/>
  <c r="AB632" i="1"/>
  <c r="AB626" i="1"/>
  <c r="AB655" i="1"/>
  <c r="AB640" i="1"/>
  <c r="AB633" i="1"/>
  <c r="AB624" i="1"/>
  <c r="AB631" i="1"/>
  <c r="AB649" i="1"/>
  <c r="AB646" i="1"/>
  <c r="AB638" i="1"/>
  <c r="AB619" i="1"/>
  <c r="AB653" i="1"/>
  <c r="AB644" i="1"/>
  <c r="AB625" i="1"/>
  <c r="AB629" i="1"/>
  <c r="AB641" i="1"/>
  <c r="AB635" i="1"/>
  <c r="AB621" i="1"/>
  <c r="AB634" i="1"/>
  <c r="AB643" i="1"/>
  <c r="AB630" i="1"/>
  <c r="AB616" i="1"/>
  <c r="AB613" i="1"/>
  <c r="AB610" i="1"/>
  <c r="AB627" i="1"/>
  <c r="AB618" i="1"/>
  <c r="AB623" i="1"/>
  <c r="AB617" i="1"/>
  <c r="AB606" i="1"/>
  <c r="AB656" i="1"/>
  <c r="AB622" i="1"/>
  <c r="AB609" i="1"/>
  <c r="AB607" i="1"/>
  <c r="AB611" i="1"/>
  <c r="AB598" i="1"/>
  <c r="AB615" i="1"/>
  <c r="AB614" i="1"/>
  <c r="AB612" i="1"/>
  <c r="AB600" i="1"/>
  <c r="AB605" i="1"/>
  <c r="AB604" i="1"/>
  <c r="AB594" i="1"/>
  <c r="AB602" i="1"/>
  <c r="AB601" i="1"/>
  <c r="AB597" i="1"/>
  <c r="AB592" i="1"/>
  <c r="AB608" i="1"/>
  <c r="AB628" i="1"/>
  <c r="AB591" i="1"/>
  <c r="AB579" i="1"/>
  <c r="AB582" i="1"/>
  <c r="AB578" i="1"/>
  <c r="AB590" i="1"/>
  <c r="AB587" i="1"/>
  <c r="AB584" i="1"/>
  <c r="AB577" i="1"/>
  <c r="AB595" i="1"/>
  <c r="AB596" i="1"/>
  <c r="AB599" i="1"/>
  <c r="AB585" i="1"/>
  <c r="AB593" i="1"/>
  <c r="AB572" i="1"/>
  <c r="AB580" i="1"/>
  <c r="AB575" i="1"/>
  <c r="AB581" i="1"/>
  <c r="AB583" i="1"/>
  <c r="AB574" i="1"/>
  <c r="AB588" i="1"/>
  <c r="AB558" i="1"/>
  <c r="AB547" i="1"/>
  <c r="AB541" i="1"/>
  <c r="AB568" i="1"/>
  <c r="AB562" i="1"/>
  <c r="AB559" i="1"/>
  <c r="AB555" i="1"/>
  <c r="AB589" i="1"/>
  <c r="AB571" i="1"/>
  <c r="AB565" i="1"/>
  <c r="AB564" i="1"/>
  <c r="AB570" i="1"/>
  <c r="AB567" i="1"/>
  <c r="AB556" i="1"/>
  <c r="AB550" i="1"/>
  <c r="AB548" i="1"/>
  <c r="AB542" i="1"/>
  <c r="AB538" i="1"/>
  <c r="AB537" i="1"/>
  <c r="AB553" i="1"/>
  <c r="AB543" i="1"/>
  <c r="AB561" i="1"/>
  <c r="AB545" i="1"/>
  <c r="AB566" i="1"/>
  <c r="AB576" i="1"/>
  <c r="AB563" i="1"/>
  <c r="AB554" i="1"/>
  <c r="AB551" i="1"/>
  <c r="AB573" i="1"/>
  <c r="AB533" i="1"/>
  <c r="AB524" i="1"/>
  <c r="AB520" i="1"/>
  <c r="AB528" i="1"/>
  <c r="AB536" i="1"/>
  <c r="AB517" i="1"/>
  <c r="AB546" i="1"/>
  <c r="AB532" i="1"/>
  <c r="AB529" i="1"/>
  <c r="AB510" i="1"/>
  <c r="AB560" i="1"/>
  <c r="AB557" i="1"/>
  <c r="AB540" i="1"/>
  <c r="AB539" i="1"/>
  <c r="AB530" i="1"/>
  <c r="AB526" i="1"/>
  <c r="AB549" i="1"/>
  <c r="AB534" i="1"/>
  <c r="AB544" i="1"/>
  <c r="AB531" i="1"/>
  <c r="AB527" i="1"/>
  <c r="AB516" i="1"/>
  <c r="AB515" i="1"/>
  <c r="AB508" i="1"/>
  <c r="AB503" i="1"/>
  <c r="AB504" i="1"/>
  <c r="AB523" i="1"/>
  <c r="AB522" i="1"/>
  <c r="AB513" i="1"/>
  <c r="AB521" i="1"/>
  <c r="AB511" i="1"/>
  <c r="AB502" i="1"/>
  <c r="AB509" i="1"/>
  <c r="AB507" i="1"/>
  <c r="AB496" i="1"/>
  <c r="AB519" i="1"/>
  <c r="AB514" i="1"/>
  <c r="AB525" i="1"/>
  <c r="AB512" i="1"/>
  <c r="AB497" i="1"/>
  <c r="AB500" i="1"/>
  <c r="AB494" i="1"/>
  <c r="AB493" i="1"/>
  <c r="AB485" i="1"/>
  <c r="AB482" i="1"/>
  <c r="AB491" i="1"/>
  <c r="AB489" i="1"/>
  <c r="AB505" i="1"/>
  <c r="AB492" i="1"/>
  <c r="AB499" i="1"/>
  <c r="AB498" i="1"/>
  <c r="AB486" i="1"/>
  <c r="AB506" i="1"/>
  <c r="AB490" i="1"/>
  <c r="AB487" i="1"/>
  <c r="AB483" i="1"/>
  <c r="AB477" i="1"/>
  <c r="AB495" i="1"/>
  <c r="AB476" i="1"/>
  <c r="AB458" i="1"/>
  <c r="AB452" i="1"/>
  <c r="AB472" i="1"/>
  <c r="AB469" i="1"/>
  <c r="AB465" i="1"/>
  <c r="AB481" i="1"/>
  <c r="AB457" i="1"/>
  <c r="AB451" i="1"/>
  <c r="AB445" i="1"/>
  <c r="AB475" i="1"/>
  <c r="AB466" i="1"/>
  <c r="AB462" i="1"/>
  <c r="AB456" i="1"/>
  <c r="AB471" i="1"/>
  <c r="AB468" i="1"/>
  <c r="AB480" i="1"/>
  <c r="AB461" i="1"/>
  <c r="AB455" i="1"/>
  <c r="AB488" i="1"/>
  <c r="AB474" i="1"/>
  <c r="AB463" i="1"/>
  <c r="AB478" i="1"/>
  <c r="AB460" i="1"/>
  <c r="AB470" i="1"/>
  <c r="AB473" i="1"/>
  <c r="AB464" i="1"/>
  <c r="AB459" i="1"/>
  <c r="AB479" i="1"/>
  <c r="AB441" i="1"/>
  <c r="AB421" i="1"/>
  <c r="AB442" i="1"/>
  <c r="AB408" i="1"/>
  <c r="AB402" i="1"/>
  <c r="AB447" i="1"/>
  <c r="AB434" i="1"/>
  <c r="AB426" i="1"/>
  <c r="AB449" i="1"/>
  <c r="AB443" i="1"/>
  <c r="AB435" i="1"/>
  <c r="AB429" i="1"/>
  <c r="AB418" i="1"/>
  <c r="AB413" i="1"/>
  <c r="AB436" i="1"/>
  <c r="AB432" i="1"/>
  <c r="AB422" i="1"/>
  <c r="AB444" i="1"/>
  <c r="AB415" i="1"/>
  <c r="AB412" i="1"/>
  <c r="AB438" i="1"/>
  <c r="AB428" i="1"/>
  <c r="AB448" i="1"/>
  <c r="AB446" i="1"/>
  <c r="AB431" i="1"/>
  <c r="AB439" i="1"/>
  <c r="AB427" i="1"/>
  <c r="AB424" i="1"/>
  <c r="AB440" i="1"/>
  <c r="AB430" i="1"/>
  <c r="AB406" i="1"/>
  <c r="AB396" i="1"/>
  <c r="AB389" i="1"/>
  <c r="AB414" i="1"/>
  <c r="AB400" i="1"/>
  <c r="AB405" i="1"/>
  <c r="AB397" i="1"/>
  <c r="AB409" i="1"/>
  <c r="AB393" i="1"/>
  <c r="AB420" i="1"/>
  <c r="AB417" i="1"/>
  <c r="AB410" i="1"/>
  <c r="AB401" i="1"/>
  <c r="AB407" i="1"/>
  <c r="AB404" i="1"/>
  <c r="AB398" i="1"/>
  <c r="AB394" i="1"/>
  <c r="AB392" i="1"/>
  <c r="AB386" i="1"/>
  <c r="AB454" i="1"/>
  <c r="AB425" i="1"/>
  <c r="AB423" i="1"/>
  <c r="AB419" i="1"/>
  <c r="AB437" i="1"/>
  <c r="AB411" i="1"/>
  <c r="AB395" i="1"/>
  <c r="AB378" i="1"/>
  <c r="AB360" i="1"/>
  <c r="AB390" i="1"/>
  <c r="AB379" i="1"/>
  <c r="AB383" i="1"/>
  <c r="AB371" i="1"/>
  <c r="AB370" i="1"/>
  <c r="AB380" i="1"/>
  <c r="AB372" i="1"/>
  <c r="AB387" i="1"/>
  <c r="AB385" i="1"/>
  <c r="AB381" i="1"/>
  <c r="AB373" i="1"/>
  <c r="AB358" i="1"/>
  <c r="AB388" i="1"/>
  <c r="AB403" i="1"/>
  <c r="AB374" i="1"/>
  <c r="AB366" i="1"/>
  <c r="AB362" i="1"/>
  <c r="AB356" i="1"/>
  <c r="AB391" i="1"/>
  <c r="AB384" i="1"/>
  <c r="AB376" i="1"/>
  <c r="AB453" i="1"/>
  <c r="AB377" i="1"/>
  <c r="AB367" i="1"/>
  <c r="AB351" i="1"/>
  <c r="AB340" i="1"/>
  <c r="AB336" i="1"/>
  <c r="AB364" i="1"/>
  <c r="AB363" i="1"/>
  <c r="AB353" i="1"/>
  <c r="AB344" i="1"/>
  <c r="AB325" i="1"/>
  <c r="AB321" i="1"/>
  <c r="AB368" i="1"/>
  <c r="AB333" i="1"/>
  <c r="AB329" i="1"/>
  <c r="AB375" i="1"/>
  <c r="AB354" i="1"/>
  <c r="AB337" i="1"/>
  <c r="AB322" i="1"/>
  <c r="AB320" i="1"/>
  <c r="AB345" i="1"/>
  <c r="AB341" i="1"/>
  <c r="AB326" i="1"/>
  <c r="AB349" i="1"/>
  <c r="AB334" i="1"/>
  <c r="AB330" i="1"/>
  <c r="AB319" i="1"/>
  <c r="AB313" i="1"/>
  <c r="AB355" i="1"/>
  <c r="AB338" i="1"/>
  <c r="AB361" i="1"/>
  <c r="AB346" i="1"/>
  <c r="AB342" i="1"/>
  <c r="AB327" i="1"/>
  <c r="AB323" i="1"/>
  <c r="AB318" i="1"/>
  <c r="AB369" i="1"/>
  <c r="AB357" i="1"/>
  <c r="AB350" i="1"/>
  <c r="AB359" i="1"/>
  <c r="AB339" i="1"/>
  <c r="AB343" i="1"/>
  <c r="AB328" i="1"/>
  <c r="AB324" i="1"/>
  <c r="AB302" i="1"/>
  <c r="AB301" i="1"/>
  <c r="AB293" i="1"/>
  <c r="AB287" i="1"/>
  <c r="AB281" i="1"/>
  <c r="AB275" i="1"/>
  <c r="AB317" i="1"/>
  <c r="AB295" i="1"/>
  <c r="AB332" i="1"/>
  <c r="AB300" i="1"/>
  <c r="AB352" i="1"/>
  <c r="AB304" i="1"/>
  <c r="AB291" i="1"/>
  <c r="AB285" i="1"/>
  <c r="AB279" i="1"/>
  <c r="AB273" i="1"/>
  <c r="AB267" i="1"/>
  <c r="AB305" i="1"/>
  <c r="AB315" i="1"/>
  <c r="AB306" i="1"/>
  <c r="AB296" i="1"/>
  <c r="AB290" i="1"/>
  <c r="AB284" i="1"/>
  <c r="AB347" i="1"/>
  <c r="AB335" i="1"/>
  <c r="AB299" i="1"/>
  <c r="AB289" i="1"/>
  <c r="AB294" i="1"/>
  <c r="AB288" i="1"/>
  <c r="AB282" i="1"/>
  <c r="AB298" i="1"/>
  <c r="AB316" i="1"/>
  <c r="AB269" i="1"/>
  <c r="AB250" i="1"/>
  <c r="AB312" i="1"/>
  <c r="AB292" i="1"/>
  <c r="AB278" i="1"/>
  <c r="AB258" i="1"/>
  <c r="AB254" i="1"/>
  <c r="AB248" i="1"/>
  <c r="AB242" i="1"/>
  <c r="AB236" i="1"/>
  <c r="AB303" i="1"/>
  <c r="AB277" i="1"/>
  <c r="AB266" i="1"/>
  <c r="AB262" i="1"/>
  <c r="AB308" i="1"/>
  <c r="AB276" i="1"/>
  <c r="AB274" i="1"/>
  <c r="AB251" i="1"/>
  <c r="AB247" i="1"/>
  <c r="AB241" i="1"/>
  <c r="AB235" i="1"/>
  <c r="AB311" i="1"/>
  <c r="AB272" i="1"/>
  <c r="AB259" i="1"/>
  <c r="AB255" i="1"/>
  <c r="AB283" i="1"/>
  <c r="AB271" i="1"/>
  <c r="AB268" i="1"/>
  <c r="AB265" i="1"/>
  <c r="AB240" i="1"/>
  <c r="AB234" i="1"/>
  <c r="AB270" i="1"/>
  <c r="AB260" i="1"/>
  <c r="AB257" i="1"/>
  <c r="AB309" i="1"/>
  <c r="AB261" i="1"/>
  <c r="AB249" i="1"/>
  <c r="AB243" i="1"/>
  <c r="AB256" i="1"/>
  <c r="AB231" i="1"/>
  <c r="AB264" i="1"/>
  <c r="AB239" i="1"/>
  <c r="AB222" i="1"/>
  <c r="AB207" i="1"/>
  <c r="AB201" i="1"/>
  <c r="AB310" i="1"/>
  <c r="AB233" i="1"/>
  <c r="AB215" i="1"/>
  <c r="AB286" i="1"/>
  <c r="AB245" i="1"/>
  <c r="AB224" i="1"/>
  <c r="AB238" i="1"/>
  <c r="AB230" i="1"/>
  <c r="AB211" i="1"/>
  <c r="AB307" i="1"/>
  <c r="AB217" i="1"/>
  <c r="AB216" i="1"/>
  <c r="AB237" i="1"/>
  <c r="AB232" i="1"/>
  <c r="AB218" i="1"/>
  <c r="AB213" i="1"/>
  <c r="AB210" i="1"/>
  <c r="AB253" i="1"/>
  <c r="AB225" i="1"/>
  <c r="AB252" i="1"/>
  <c r="AB227" i="1"/>
  <c r="AB219" i="1"/>
  <c r="AB198" i="1"/>
  <c r="AB190" i="1"/>
  <c r="AB186" i="1"/>
  <c r="AB177" i="1"/>
  <c r="AB171" i="1"/>
  <c r="AB165" i="1"/>
  <c r="AB159" i="1"/>
  <c r="AB179" i="1"/>
  <c r="AB214" i="1"/>
  <c r="AB203" i="1"/>
  <c r="AB183" i="1"/>
  <c r="AB176" i="1"/>
  <c r="AB170" i="1"/>
  <c r="AB164" i="1"/>
  <c r="AB158" i="1"/>
  <c r="AB152" i="1"/>
  <c r="AB146" i="1"/>
  <c r="AB197" i="1"/>
  <c r="AB194" i="1"/>
  <c r="AB191" i="1"/>
  <c r="AB187" i="1"/>
  <c r="AB228" i="1"/>
  <c r="AB205" i="1"/>
  <c r="AB208" i="1"/>
  <c r="AB226" i="1"/>
  <c r="AB209" i="1"/>
  <c r="AB185" i="1"/>
  <c r="AB181" i="1"/>
  <c r="AB173" i="1"/>
  <c r="AB167" i="1"/>
  <c r="AB223" i="1"/>
  <c r="AB206" i="1"/>
  <c r="AB193" i="1"/>
  <c r="AB172" i="1"/>
  <c r="AB154" i="1"/>
  <c r="AB143" i="1"/>
  <c r="AB125" i="1"/>
  <c r="AB119" i="1"/>
  <c r="AB113" i="1"/>
  <c r="AB244" i="1"/>
  <c r="AB221" i="1"/>
  <c r="AB204" i="1"/>
  <c r="AB160" i="1"/>
  <c r="AB166" i="1"/>
  <c r="AB136" i="1"/>
  <c r="AB124" i="1"/>
  <c r="AB199" i="1"/>
  <c r="AB192" i="1"/>
  <c r="AB156" i="1"/>
  <c r="AB153" i="1"/>
  <c r="AB133" i="1"/>
  <c r="AB129" i="1"/>
  <c r="AB123" i="1"/>
  <c r="AB117" i="1"/>
  <c r="AB200" i="1"/>
  <c r="AB188" i="1"/>
  <c r="AB184" i="1"/>
  <c r="AB137" i="1"/>
  <c r="AB220" i="1"/>
  <c r="AB189" i="1"/>
  <c r="AB141" i="1"/>
  <c r="AB182" i="1"/>
  <c r="AB175" i="1"/>
  <c r="AB169" i="1"/>
  <c r="AB155" i="1"/>
  <c r="AB138" i="1"/>
  <c r="AB134" i="1"/>
  <c r="AB196" i="1"/>
  <c r="AB174" i="1"/>
  <c r="AB151" i="1"/>
  <c r="AB162" i="1"/>
  <c r="AB150" i="1"/>
  <c r="AB132" i="1"/>
  <c r="AB130" i="1"/>
  <c r="AB108" i="1"/>
  <c r="AB98" i="1"/>
  <c r="AB87" i="1"/>
  <c r="AB76" i="1"/>
  <c r="AB97" i="1"/>
  <c r="AB86" i="1"/>
  <c r="AB75" i="1"/>
  <c r="AB118" i="1"/>
  <c r="AB116" i="1"/>
  <c r="AB107" i="1"/>
  <c r="AB96" i="1"/>
  <c r="AB85" i="1"/>
  <c r="AB74" i="1"/>
  <c r="AB163" i="1"/>
  <c r="AB106" i="1"/>
  <c r="AB95" i="1"/>
  <c r="AB84" i="1"/>
  <c r="AB73" i="1"/>
  <c r="AB180" i="1"/>
  <c r="AB157" i="1"/>
  <c r="AB145" i="1"/>
  <c r="AB142" i="1"/>
  <c r="AB131" i="1"/>
  <c r="AB126" i="1"/>
  <c r="AB105" i="1"/>
  <c r="AB94" i="1"/>
  <c r="AB83" i="1"/>
  <c r="AB139" i="1"/>
  <c r="AB120" i="1"/>
  <c r="AB104" i="1"/>
  <c r="AB93" i="1"/>
  <c r="AB202" i="1"/>
  <c r="AB149" i="1"/>
  <c r="AB140" i="1"/>
  <c r="AB122" i="1"/>
  <c r="AB121" i="1"/>
  <c r="AB115" i="1"/>
  <c r="AB111" i="1"/>
  <c r="AB103" i="1"/>
  <c r="AB92" i="1"/>
  <c r="AB102" i="1"/>
  <c r="AB91" i="1"/>
  <c r="AB128" i="1"/>
  <c r="AB112" i="1"/>
  <c r="AB101" i="1"/>
  <c r="AB80" i="1"/>
  <c r="AB100" i="1"/>
  <c r="AB79" i="1"/>
  <c r="AB168" i="1"/>
  <c r="AB147" i="1"/>
  <c r="AB135" i="1"/>
  <c r="AB114" i="1"/>
  <c r="AB78" i="1"/>
  <c r="AB60" i="1"/>
  <c r="AB49" i="1"/>
  <c r="AB41" i="1"/>
  <c r="AB35" i="1"/>
  <c r="AB29" i="1"/>
  <c r="AB23" i="1"/>
  <c r="AB17" i="1"/>
  <c r="AB11" i="1"/>
  <c r="AB71" i="1"/>
  <c r="AB68" i="1"/>
  <c r="AB59" i="1"/>
  <c r="AB48" i="1"/>
  <c r="AB82" i="1"/>
  <c r="AB58" i="1"/>
  <c r="AB47" i="1"/>
  <c r="AB40" i="1"/>
  <c r="AB28" i="1"/>
  <c r="AB22" i="1"/>
  <c r="AB16" i="1"/>
  <c r="AB10" i="1"/>
  <c r="AB57" i="1"/>
  <c r="AB46" i="1"/>
  <c r="AB148" i="1"/>
  <c r="AB69" i="1"/>
  <c r="AB66" i="1"/>
  <c r="AB55" i="1"/>
  <c r="AB89" i="1"/>
  <c r="AB88" i="1"/>
  <c r="AB65" i="1"/>
  <c r="AB38" i="1"/>
  <c r="AB32" i="1"/>
  <c r="AB26" i="1"/>
  <c r="AB20" i="1"/>
  <c r="AB64" i="1"/>
  <c r="AB70" i="1"/>
  <c r="AB67" i="1"/>
  <c r="AB52" i="1"/>
  <c r="AB77" i="1"/>
  <c r="AB62" i="1"/>
  <c r="AB61" i="1"/>
  <c r="AB50" i="1"/>
  <c r="AB27" i="1"/>
  <c r="AB12" i="1"/>
  <c r="AB18" i="1"/>
  <c r="AB43" i="1"/>
  <c r="AB31" i="1"/>
  <c r="AB21" i="1"/>
  <c r="AB15" i="1"/>
  <c r="AB25" i="1"/>
  <c r="AB14" i="1"/>
  <c r="AB9" i="1"/>
  <c r="AB30" i="1"/>
  <c r="AB19" i="1"/>
  <c r="AB13" i="1"/>
  <c r="AB36" i="1"/>
  <c r="AB51" i="1"/>
  <c r="AB42" i="1"/>
  <c r="AB24" i="1"/>
  <c r="AB56" i="1"/>
  <c r="AB37" i="1"/>
  <c r="AB33" i="1"/>
  <c r="AB53" i="1"/>
  <c r="AA127" i="1"/>
  <c r="AA518" i="1"/>
  <c r="AA110" i="1"/>
  <c r="AA671" i="1"/>
  <c r="AA654" i="1"/>
  <c r="AA689" i="1"/>
  <c r="Z109" i="1"/>
  <c r="Z7" i="1" s="1"/>
  <c r="AA161" i="1"/>
  <c r="AA450" i="1"/>
  <c r="AA467" i="1"/>
  <c r="AA695" i="1"/>
  <c r="AA54" i="1"/>
  <c r="AA39" i="1"/>
  <c r="AA45" i="1"/>
  <c r="AA44" i="1" s="1"/>
  <c r="AA195" i="1"/>
  <c r="AA229" i="1"/>
  <c r="AA365" i="1"/>
  <c r="AA637" i="1"/>
  <c r="AB63" i="1" l="1"/>
  <c r="AB45" i="1"/>
  <c r="AB399" i="1"/>
  <c r="AB467" i="1"/>
  <c r="AB654" i="1"/>
  <c r="Z8" i="1"/>
  <c r="Z5" i="1"/>
  <c r="AB110" i="1"/>
  <c r="AB297" i="1"/>
  <c r="AB314" i="1"/>
  <c r="AE4" i="1"/>
  <c r="AD6" i="1"/>
  <c r="AB518" i="1"/>
  <c r="AC698" i="1"/>
  <c r="AC692" i="1"/>
  <c r="AC703" i="1"/>
  <c r="AC697" i="1"/>
  <c r="AC702" i="1"/>
  <c r="AC688" i="1"/>
  <c r="AC686" i="1"/>
  <c r="AC680" i="1"/>
  <c r="AC700" i="1"/>
  <c r="AC694" i="1"/>
  <c r="AC701" i="1"/>
  <c r="AC696" i="1"/>
  <c r="AC691" i="1"/>
  <c r="AC699" i="1"/>
  <c r="AC681" i="1"/>
  <c r="AC690" i="1"/>
  <c r="AC675" i="1"/>
  <c r="AC677" i="1"/>
  <c r="AC667" i="1"/>
  <c r="AC661" i="1"/>
  <c r="AC655" i="1"/>
  <c r="AC673" i="1"/>
  <c r="AC672" i="1"/>
  <c r="AC666" i="1"/>
  <c r="AC660" i="1"/>
  <c r="AC685" i="1"/>
  <c r="AC684" i="1"/>
  <c r="AC682" i="1"/>
  <c r="AC693" i="1"/>
  <c r="AC679" i="1"/>
  <c r="AC687" i="1"/>
  <c r="AC669" i="1"/>
  <c r="AC683" i="1"/>
  <c r="AC678" i="1"/>
  <c r="AC668" i="1"/>
  <c r="AC665" i="1"/>
  <c r="AC662" i="1"/>
  <c r="AC670" i="1"/>
  <c r="AC674" i="1"/>
  <c r="AC664" i="1"/>
  <c r="AC657" i="1"/>
  <c r="AC676" i="1"/>
  <c r="AC648" i="1"/>
  <c r="AC642" i="1"/>
  <c r="AC636" i="1"/>
  <c r="AC630" i="1"/>
  <c r="AC651" i="1"/>
  <c r="AC658" i="1"/>
  <c r="AC646" i="1"/>
  <c r="AC640" i="1"/>
  <c r="AC663" i="1"/>
  <c r="AC653" i="1"/>
  <c r="AC652" i="1"/>
  <c r="AC641" i="1"/>
  <c r="AC650" i="1"/>
  <c r="AC647" i="1"/>
  <c r="AC624" i="1"/>
  <c r="AC618" i="1"/>
  <c r="AC643" i="1"/>
  <c r="AC649" i="1"/>
  <c r="AC627" i="1"/>
  <c r="AC615" i="1"/>
  <c r="AC609" i="1"/>
  <c r="AC638" i="1"/>
  <c r="AC639" i="1"/>
  <c r="AC623" i="1"/>
  <c r="AC614" i="1"/>
  <c r="AC608" i="1"/>
  <c r="AC656" i="1"/>
  <c r="AC645" i="1"/>
  <c r="AC625" i="1"/>
  <c r="AC632" i="1"/>
  <c r="AC629" i="1"/>
  <c r="AC635" i="1"/>
  <c r="AC626" i="1"/>
  <c r="AC634" i="1"/>
  <c r="AC622" i="1"/>
  <c r="AC631" i="1"/>
  <c r="AC628" i="1"/>
  <c r="AC659" i="1"/>
  <c r="AC633" i="1"/>
  <c r="AC644" i="1"/>
  <c r="AC616" i="1"/>
  <c r="AC613" i="1"/>
  <c r="AC610" i="1"/>
  <c r="AC619" i="1"/>
  <c r="AC621" i="1"/>
  <c r="AC607" i="1"/>
  <c r="AC604" i="1"/>
  <c r="AC600" i="1"/>
  <c r="AC617" i="1"/>
  <c r="AC605" i="1"/>
  <c r="AC602" i="1"/>
  <c r="AC597" i="1"/>
  <c r="AC591" i="1"/>
  <c r="AC585" i="1"/>
  <c r="AC612" i="1"/>
  <c r="AC611" i="1"/>
  <c r="AC606" i="1"/>
  <c r="AC598" i="1"/>
  <c r="AC596" i="1"/>
  <c r="AC582" i="1"/>
  <c r="AC601" i="1"/>
  <c r="AC578" i="1"/>
  <c r="AC572" i="1"/>
  <c r="AC566" i="1"/>
  <c r="AC560" i="1"/>
  <c r="AC554" i="1"/>
  <c r="AC595" i="1"/>
  <c r="AC592" i="1"/>
  <c r="AC590" i="1"/>
  <c r="AC587" i="1"/>
  <c r="AC584" i="1"/>
  <c r="AC575" i="1"/>
  <c r="AC563" i="1"/>
  <c r="AC594" i="1"/>
  <c r="AC599" i="1"/>
  <c r="AC593" i="1"/>
  <c r="AC580" i="1"/>
  <c r="AC589" i="1"/>
  <c r="AC588" i="1"/>
  <c r="AC579" i="1"/>
  <c r="AC574" i="1"/>
  <c r="AC568" i="1"/>
  <c r="AC562" i="1"/>
  <c r="AC546" i="1"/>
  <c r="AC559" i="1"/>
  <c r="AC551" i="1"/>
  <c r="AC545" i="1"/>
  <c r="AC571" i="1"/>
  <c r="AC565" i="1"/>
  <c r="AC564" i="1"/>
  <c r="AC573" i="1"/>
  <c r="AC556" i="1"/>
  <c r="AC550" i="1"/>
  <c r="AC544" i="1"/>
  <c r="AC583" i="1"/>
  <c r="AC576" i="1"/>
  <c r="AC577" i="1"/>
  <c r="AC537" i="1"/>
  <c r="AC531" i="1"/>
  <c r="AC525" i="1"/>
  <c r="AC519" i="1"/>
  <c r="AC513" i="1"/>
  <c r="AC507" i="1"/>
  <c r="AC553" i="1"/>
  <c r="AC543" i="1"/>
  <c r="AC561" i="1"/>
  <c r="AC567" i="1"/>
  <c r="AC558" i="1"/>
  <c r="AC549" i="1"/>
  <c r="AC547" i="1"/>
  <c r="AC557" i="1"/>
  <c r="AC534" i="1"/>
  <c r="AC581" i="1"/>
  <c r="AC570" i="1"/>
  <c r="AC548" i="1"/>
  <c r="AC542" i="1"/>
  <c r="AC528" i="1"/>
  <c r="AC536" i="1"/>
  <c r="AC521" i="1"/>
  <c r="AC506" i="1"/>
  <c r="AC532" i="1"/>
  <c r="AC529" i="1"/>
  <c r="AC514" i="1"/>
  <c r="AC499" i="1"/>
  <c r="AC493" i="1"/>
  <c r="AC487" i="1"/>
  <c r="AC481" i="1"/>
  <c r="AC541" i="1"/>
  <c r="AC522" i="1"/>
  <c r="AC540" i="1"/>
  <c r="AC539" i="1"/>
  <c r="AC530" i="1"/>
  <c r="AC555" i="1"/>
  <c r="AC523" i="1"/>
  <c r="AC538" i="1"/>
  <c r="AC533" i="1"/>
  <c r="AC524" i="1"/>
  <c r="AC520" i="1"/>
  <c r="AC527" i="1"/>
  <c r="AC504" i="1"/>
  <c r="AC491" i="1"/>
  <c r="AC505" i="1"/>
  <c r="AC511" i="1"/>
  <c r="AC502" i="1"/>
  <c r="AC492" i="1"/>
  <c r="AC488" i="1"/>
  <c r="AC509" i="1"/>
  <c r="AC496" i="1"/>
  <c r="AC516" i="1"/>
  <c r="AC500" i="1"/>
  <c r="AC526" i="1"/>
  <c r="AC512" i="1"/>
  <c r="AC510" i="1"/>
  <c r="AC517" i="1"/>
  <c r="AC515" i="1"/>
  <c r="AC508" i="1"/>
  <c r="AC503" i="1"/>
  <c r="AC494" i="1"/>
  <c r="AC482" i="1"/>
  <c r="AC479" i="1"/>
  <c r="AC489" i="1"/>
  <c r="AC480" i="1"/>
  <c r="AC473" i="1"/>
  <c r="AC472" i="1"/>
  <c r="AC490" i="1"/>
  <c r="AC483" i="1"/>
  <c r="AC495" i="1"/>
  <c r="AC497" i="1"/>
  <c r="AC469" i="1"/>
  <c r="AC465" i="1"/>
  <c r="AC477" i="1"/>
  <c r="AC457" i="1"/>
  <c r="AC451" i="1"/>
  <c r="AC445" i="1"/>
  <c r="AC439" i="1"/>
  <c r="AC427" i="1"/>
  <c r="AC421" i="1"/>
  <c r="AC415" i="1"/>
  <c r="AC475" i="1"/>
  <c r="AC485" i="1"/>
  <c r="AC466" i="1"/>
  <c r="AC462" i="1"/>
  <c r="AC456" i="1"/>
  <c r="AC444" i="1"/>
  <c r="AC438" i="1"/>
  <c r="AC471" i="1"/>
  <c r="AC468" i="1"/>
  <c r="AC498" i="1"/>
  <c r="AC461" i="1"/>
  <c r="AC474" i="1"/>
  <c r="AC463" i="1"/>
  <c r="AC478" i="1"/>
  <c r="AC460" i="1"/>
  <c r="AC454" i="1"/>
  <c r="AC448" i="1"/>
  <c r="AC442" i="1"/>
  <c r="AC436" i="1"/>
  <c r="AC430" i="1"/>
  <c r="AC470" i="1"/>
  <c r="AC486" i="1"/>
  <c r="AC476" i="1"/>
  <c r="AC455" i="1"/>
  <c r="AC458" i="1"/>
  <c r="AC447" i="1"/>
  <c r="AC434" i="1"/>
  <c r="AC426" i="1"/>
  <c r="AC414" i="1"/>
  <c r="AC449" i="1"/>
  <c r="AC443" i="1"/>
  <c r="AC435" i="1"/>
  <c r="AC429" i="1"/>
  <c r="AC418" i="1"/>
  <c r="AC464" i="1"/>
  <c r="AC432" i="1"/>
  <c r="AC422" i="1"/>
  <c r="AC412" i="1"/>
  <c r="AC453" i="1"/>
  <c r="AC437" i="1"/>
  <c r="AC425" i="1"/>
  <c r="AC419" i="1"/>
  <c r="AC446" i="1"/>
  <c r="AC431" i="1"/>
  <c r="AC420" i="1"/>
  <c r="AC410" i="1"/>
  <c r="AC404" i="1"/>
  <c r="AC398" i="1"/>
  <c r="AC424" i="1"/>
  <c r="AC459" i="1"/>
  <c r="AC440" i="1"/>
  <c r="AC441" i="1"/>
  <c r="AC417" i="1"/>
  <c r="AC396" i="1"/>
  <c r="AC389" i="1"/>
  <c r="AC383" i="1"/>
  <c r="AC400" i="1"/>
  <c r="AC452" i="1"/>
  <c r="AC402" i="1"/>
  <c r="AC388" i="1"/>
  <c r="AC376" i="1"/>
  <c r="AC370" i="1"/>
  <c r="AC408" i="1"/>
  <c r="AC405" i="1"/>
  <c r="AC397" i="1"/>
  <c r="AC428" i="1"/>
  <c r="AC409" i="1"/>
  <c r="AC393" i="1"/>
  <c r="AC387" i="1"/>
  <c r="AC381" i="1"/>
  <c r="AC375" i="1"/>
  <c r="AC369" i="1"/>
  <c r="AC363" i="1"/>
  <c r="AC401" i="1"/>
  <c r="AC407" i="1"/>
  <c r="AC394" i="1"/>
  <c r="AC423" i="1"/>
  <c r="AC411" i="1"/>
  <c r="AC391" i="1"/>
  <c r="AC385" i="1"/>
  <c r="AC379" i="1"/>
  <c r="AC373" i="1"/>
  <c r="AC413" i="1"/>
  <c r="AC390" i="1"/>
  <c r="AC371" i="1"/>
  <c r="AC368" i="1"/>
  <c r="AC364" i="1"/>
  <c r="AC359" i="1"/>
  <c r="AC353" i="1"/>
  <c r="AC380" i="1"/>
  <c r="AC372" i="1"/>
  <c r="AC358" i="1"/>
  <c r="AC352" i="1"/>
  <c r="AC346" i="1"/>
  <c r="AC340" i="1"/>
  <c r="AC334" i="1"/>
  <c r="AC328" i="1"/>
  <c r="AC322" i="1"/>
  <c r="AC386" i="1"/>
  <c r="AC403" i="1"/>
  <c r="AC392" i="1"/>
  <c r="AC384" i="1"/>
  <c r="AC377" i="1"/>
  <c r="AC395" i="1"/>
  <c r="AC378" i="1"/>
  <c r="AC360" i="1"/>
  <c r="AC354" i="1"/>
  <c r="AC366" i="1"/>
  <c r="AC362" i="1"/>
  <c r="AC356" i="1"/>
  <c r="AC344" i="1"/>
  <c r="AC325" i="1"/>
  <c r="AC321" i="1"/>
  <c r="AC315" i="1"/>
  <c r="AC309" i="1"/>
  <c r="AC303" i="1"/>
  <c r="AC367" i="1"/>
  <c r="AC333" i="1"/>
  <c r="AC329" i="1"/>
  <c r="AC337" i="1"/>
  <c r="AC320" i="1"/>
  <c r="AC308" i="1"/>
  <c r="AC302" i="1"/>
  <c r="AC345" i="1"/>
  <c r="AC341" i="1"/>
  <c r="AC326" i="1"/>
  <c r="AC349" i="1"/>
  <c r="AC330" i="1"/>
  <c r="AC319" i="1"/>
  <c r="AC313" i="1"/>
  <c r="AC307" i="1"/>
  <c r="AC355" i="1"/>
  <c r="AC338" i="1"/>
  <c r="AC361" i="1"/>
  <c r="AC342" i="1"/>
  <c r="AC327" i="1"/>
  <c r="AC323" i="1"/>
  <c r="AC318" i="1"/>
  <c r="AC312" i="1"/>
  <c r="AC306" i="1"/>
  <c r="AC300" i="1"/>
  <c r="AC357" i="1"/>
  <c r="AC350" i="1"/>
  <c r="AC339" i="1"/>
  <c r="AC335" i="1"/>
  <c r="AC317" i="1"/>
  <c r="AC343" i="1"/>
  <c r="AC406" i="1"/>
  <c r="AC347" i="1"/>
  <c r="AC332" i="1"/>
  <c r="AC316" i="1"/>
  <c r="AC310" i="1"/>
  <c r="AC324" i="1"/>
  <c r="AC295" i="1"/>
  <c r="AC311" i="1"/>
  <c r="AC292" i="1"/>
  <c r="AC286" i="1"/>
  <c r="AC274" i="1"/>
  <c r="AC268" i="1"/>
  <c r="AC304" i="1"/>
  <c r="AC291" i="1"/>
  <c r="AC285" i="1"/>
  <c r="AC279" i="1"/>
  <c r="AC273" i="1"/>
  <c r="AC305" i="1"/>
  <c r="AC296" i="1"/>
  <c r="AC290" i="1"/>
  <c r="AC299" i="1"/>
  <c r="AC374" i="1"/>
  <c r="AC289" i="1"/>
  <c r="AC283" i="1"/>
  <c r="AC277" i="1"/>
  <c r="AC271" i="1"/>
  <c r="AC265" i="1"/>
  <c r="AC259" i="1"/>
  <c r="AC253" i="1"/>
  <c r="AC351" i="1"/>
  <c r="AC336" i="1"/>
  <c r="AC294" i="1"/>
  <c r="AC288" i="1"/>
  <c r="AC298" i="1"/>
  <c r="AC301" i="1"/>
  <c r="AC293" i="1"/>
  <c r="AC287" i="1"/>
  <c r="AC278" i="1"/>
  <c r="AC258" i="1"/>
  <c r="AC254" i="1"/>
  <c r="AC248" i="1"/>
  <c r="AC242" i="1"/>
  <c r="AC236" i="1"/>
  <c r="AC230" i="1"/>
  <c r="AC224" i="1"/>
  <c r="AC218" i="1"/>
  <c r="AC267" i="1"/>
  <c r="AC266" i="1"/>
  <c r="AC262" i="1"/>
  <c r="AC281" i="1"/>
  <c r="AC276" i="1"/>
  <c r="AC251" i="1"/>
  <c r="AC247" i="1"/>
  <c r="AC241" i="1"/>
  <c r="AC235" i="1"/>
  <c r="AC275" i="1"/>
  <c r="AC272" i="1"/>
  <c r="AC255" i="1"/>
  <c r="AC240" i="1"/>
  <c r="AC234" i="1"/>
  <c r="AC228" i="1"/>
  <c r="AC222" i="1"/>
  <c r="AC270" i="1"/>
  <c r="AC252" i="1"/>
  <c r="AC264" i="1"/>
  <c r="AC261" i="1"/>
  <c r="AC249" i="1"/>
  <c r="AC243" i="1"/>
  <c r="AC237" i="1"/>
  <c r="AC231" i="1"/>
  <c r="AC225" i="1"/>
  <c r="AC219" i="1"/>
  <c r="AC213" i="1"/>
  <c r="AC269" i="1"/>
  <c r="AC250" i="1"/>
  <c r="AC284" i="1"/>
  <c r="AC257" i="1"/>
  <c r="AC239" i="1"/>
  <c r="AC233" i="1"/>
  <c r="AC215" i="1"/>
  <c r="AC244" i="1"/>
  <c r="AC226" i="1"/>
  <c r="AC223" i="1"/>
  <c r="AC206" i="1"/>
  <c r="AC260" i="1"/>
  <c r="AC238" i="1"/>
  <c r="AC217" i="1"/>
  <c r="AC216" i="1"/>
  <c r="AC232" i="1"/>
  <c r="AC210" i="1"/>
  <c r="AC204" i="1"/>
  <c r="AC198" i="1"/>
  <c r="AC227" i="1"/>
  <c r="AC209" i="1"/>
  <c r="AC203" i="1"/>
  <c r="AC197" i="1"/>
  <c r="AC191" i="1"/>
  <c r="AC185" i="1"/>
  <c r="AC179" i="1"/>
  <c r="AC282" i="1"/>
  <c r="AC207" i="1"/>
  <c r="AC214" i="1"/>
  <c r="AC183" i="1"/>
  <c r="AC176" i="1"/>
  <c r="AC256" i="1"/>
  <c r="AC245" i="1"/>
  <c r="AC194" i="1"/>
  <c r="AC187" i="1"/>
  <c r="AC205" i="1"/>
  <c r="AC175" i="1"/>
  <c r="AC169" i="1"/>
  <c r="AC163" i="1"/>
  <c r="AC157" i="1"/>
  <c r="AC151" i="1"/>
  <c r="AC145" i="1"/>
  <c r="AC139" i="1"/>
  <c r="AC133" i="1"/>
  <c r="AC208" i="1"/>
  <c r="AC184" i="1"/>
  <c r="AC180" i="1"/>
  <c r="AC202" i="1"/>
  <c r="AC199" i="1"/>
  <c r="AC189" i="1"/>
  <c r="AC220" i="1"/>
  <c r="AC182" i="1"/>
  <c r="AC221" i="1"/>
  <c r="AC160" i="1"/>
  <c r="AC132" i="1"/>
  <c r="AC128" i="1"/>
  <c r="AC166" i="1"/>
  <c r="AC170" i="1"/>
  <c r="AC168" i="1"/>
  <c r="AC162" i="1"/>
  <c r="AC150" i="1"/>
  <c r="AC147" i="1"/>
  <c r="AC140" i="1"/>
  <c r="AC192" i="1"/>
  <c r="AC200" i="1"/>
  <c r="AC193" i="1"/>
  <c r="AC188" i="1"/>
  <c r="AC164" i="1"/>
  <c r="AC137" i="1"/>
  <c r="AC190" i="1"/>
  <c r="AC141" i="1"/>
  <c r="AC122" i="1"/>
  <c r="AC116" i="1"/>
  <c r="AC186" i="1"/>
  <c r="AC149" i="1"/>
  <c r="AC146" i="1"/>
  <c r="AC196" i="1"/>
  <c r="AC174" i="1"/>
  <c r="AC167" i="1"/>
  <c r="AC165" i="1"/>
  <c r="AC142" i="1"/>
  <c r="AC173" i="1"/>
  <c r="AC172" i="1"/>
  <c r="AC158" i="1"/>
  <c r="AC211" i="1"/>
  <c r="AC171" i="1"/>
  <c r="AC148" i="1"/>
  <c r="AC201" i="1"/>
  <c r="AC177" i="1"/>
  <c r="AC181" i="1"/>
  <c r="AC97" i="1"/>
  <c r="AC86" i="1"/>
  <c r="AC75" i="1"/>
  <c r="AC134" i="1"/>
  <c r="AC118" i="1"/>
  <c r="AC117" i="1"/>
  <c r="AC113" i="1"/>
  <c r="AC107" i="1"/>
  <c r="AC96" i="1"/>
  <c r="AC85" i="1"/>
  <c r="AC74" i="1"/>
  <c r="AC106" i="1"/>
  <c r="AC95" i="1"/>
  <c r="AC84" i="1"/>
  <c r="AC143" i="1"/>
  <c r="AC131" i="1"/>
  <c r="AC126" i="1"/>
  <c r="AC119" i="1"/>
  <c r="AC105" i="1"/>
  <c r="AC94" i="1"/>
  <c r="AC83" i="1"/>
  <c r="AC155" i="1"/>
  <c r="AC120" i="1"/>
  <c r="AC104" i="1"/>
  <c r="AC93" i="1"/>
  <c r="AC82" i="1"/>
  <c r="AC153" i="1"/>
  <c r="AC138" i="1"/>
  <c r="AC125" i="1"/>
  <c r="AC124" i="1"/>
  <c r="AC121" i="1"/>
  <c r="AC115" i="1"/>
  <c r="AC111" i="1"/>
  <c r="AC110" i="1" s="1"/>
  <c r="AC103" i="1"/>
  <c r="AC92" i="1"/>
  <c r="AC136" i="1"/>
  <c r="AC102" i="1"/>
  <c r="AC91" i="1"/>
  <c r="AC159" i="1"/>
  <c r="AC112" i="1"/>
  <c r="AC101" i="1"/>
  <c r="AC80" i="1"/>
  <c r="AC100" i="1"/>
  <c r="AC79" i="1"/>
  <c r="AC135" i="1"/>
  <c r="AC129" i="1"/>
  <c r="AC123" i="1"/>
  <c r="AC114" i="1"/>
  <c r="AC89" i="1"/>
  <c r="AC78" i="1"/>
  <c r="AC156" i="1"/>
  <c r="AC154" i="1"/>
  <c r="AC71" i="1"/>
  <c r="AC68" i="1"/>
  <c r="AC59" i="1"/>
  <c r="AC48" i="1"/>
  <c r="AC58" i="1"/>
  <c r="AC47" i="1"/>
  <c r="AC57" i="1"/>
  <c r="AC46" i="1"/>
  <c r="AC56" i="1"/>
  <c r="AC33" i="1"/>
  <c r="AC27" i="1"/>
  <c r="AC21" i="1"/>
  <c r="AC15" i="1"/>
  <c r="AC9" i="1"/>
  <c r="AC73" i="1"/>
  <c r="AC69" i="1"/>
  <c r="AC66" i="1"/>
  <c r="AC88" i="1"/>
  <c r="AC87" i="1"/>
  <c r="AC65" i="1"/>
  <c r="AC38" i="1"/>
  <c r="AC32" i="1"/>
  <c r="AC26" i="1"/>
  <c r="AC20" i="1"/>
  <c r="AC152" i="1"/>
  <c r="AC64" i="1"/>
  <c r="AC53" i="1"/>
  <c r="AC43" i="1"/>
  <c r="AC37" i="1"/>
  <c r="AC31" i="1"/>
  <c r="AC25" i="1"/>
  <c r="AC19" i="1"/>
  <c r="AC13" i="1"/>
  <c r="AC98" i="1"/>
  <c r="AC70" i="1"/>
  <c r="AC67" i="1"/>
  <c r="AC108" i="1"/>
  <c r="AC77" i="1"/>
  <c r="AC76" i="1"/>
  <c r="AC62" i="1"/>
  <c r="AC51" i="1"/>
  <c r="AC42" i="1"/>
  <c r="AC36" i="1"/>
  <c r="AC61" i="1"/>
  <c r="AC130" i="1"/>
  <c r="AC60" i="1"/>
  <c r="AC49" i="1"/>
  <c r="AC41" i="1"/>
  <c r="AC35" i="1"/>
  <c r="AC29" i="1"/>
  <c r="AC23" i="1"/>
  <c r="AC17" i="1"/>
  <c r="AC50" i="1"/>
  <c r="AC18" i="1"/>
  <c r="AC11" i="1"/>
  <c r="AC16" i="1"/>
  <c r="AC12" i="1"/>
  <c r="AC52" i="1"/>
  <c r="AC14" i="1"/>
  <c r="AC22" i="1"/>
  <c r="AC30" i="1"/>
  <c r="AC40" i="1"/>
  <c r="AC24" i="1"/>
  <c r="AC55" i="1"/>
  <c r="AC28" i="1"/>
  <c r="AC10" i="1"/>
  <c r="AB280" i="1"/>
  <c r="AB99" i="1"/>
  <c r="AB348" i="1"/>
  <c r="AB433" i="1"/>
  <c r="AA109" i="1"/>
  <c r="AA7" i="1" s="1"/>
  <c r="AB246" i="1"/>
  <c r="AB637" i="1"/>
  <c r="AB695" i="1"/>
  <c r="AB39" i="1"/>
  <c r="AB34" i="1"/>
  <c r="AB144" i="1"/>
  <c r="AB161" i="1"/>
  <c r="AB416" i="1"/>
  <c r="AB484" i="1"/>
  <c r="AB501" i="1"/>
  <c r="AB229" i="1"/>
  <c r="AB263" i="1"/>
  <c r="AB450" i="1"/>
  <c r="AB569" i="1"/>
  <c r="AB54" i="1"/>
  <c r="AB127" i="1"/>
  <c r="AB81" i="1"/>
  <c r="AB90" i="1"/>
  <c r="AB72" i="1"/>
  <c r="AB195" i="1"/>
  <c r="AB178" i="1"/>
  <c r="AB365" i="1"/>
  <c r="AB535" i="1"/>
  <c r="AB586" i="1"/>
  <c r="AB620" i="1"/>
  <c r="AB671" i="1"/>
  <c r="AB689" i="1"/>
  <c r="AB382" i="1"/>
  <c r="AB603" i="1"/>
  <c r="AB212" i="1"/>
  <c r="AB331" i="1"/>
  <c r="AB552" i="1"/>
  <c r="AC620" i="1" l="1"/>
  <c r="AC552" i="1"/>
  <c r="AB44" i="1"/>
  <c r="AC695" i="1"/>
  <c r="AA8" i="1"/>
  <c r="AA5" i="1"/>
  <c r="AC45" i="1"/>
  <c r="AC144" i="1"/>
  <c r="AC195" i="1"/>
  <c r="AC399" i="1"/>
  <c r="AC467" i="1"/>
  <c r="AC263" i="1"/>
  <c r="AC246" i="1"/>
  <c r="AC382" i="1"/>
  <c r="AC569" i="1"/>
  <c r="AC348" i="1"/>
  <c r="AC450" i="1"/>
  <c r="AC518" i="1"/>
  <c r="AC671" i="1"/>
  <c r="AD703" i="1"/>
  <c r="AD702" i="1"/>
  <c r="AD692" i="1"/>
  <c r="AD693" i="1"/>
  <c r="AD697" i="1"/>
  <c r="AD690" i="1"/>
  <c r="AD700" i="1"/>
  <c r="AD694" i="1"/>
  <c r="AD701" i="1"/>
  <c r="AD696" i="1"/>
  <c r="AD698" i="1"/>
  <c r="AD677" i="1"/>
  <c r="AD691" i="1"/>
  <c r="AD685" i="1"/>
  <c r="AD699" i="1"/>
  <c r="AD686" i="1"/>
  <c r="AD681" i="1"/>
  <c r="AD679" i="1"/>
  <c r="AD673" i="1"/>
  <c r="AD688" i="1"/>
  <c r="AD684" i="1"/>
  <c r="AD687" i="1"/>
  <c r="AD682" i="1"/>
  <c r="AD678" i="1"/>
  <c r="AD680" i="1"/>
  <c r="AD670" i="1"/>
  <c r="AD683" i="1"/>
  <c r="AD675" i="1"/>
  <c r="AD668" i="1"/>
  <c r="AD665" i="1"/>
  <c r="AD669" i="1"/>
  <c r="AD658" i="1"/>
  <c r="AD674" i="1"/>
  <c r="AD672" i="1"/>
  <c r="AD667" i="1"/>
  <c r="AD664" i="1"/>
  <c r="AD662" i="1"/>
  <c r="AD660" i="1"/>
  <c r="AD676" i="1"/>
  <c r="AD651" i="1"/>
  <c r="AD657" i="1"/>
  <c r="AD647" i="1"/>
  <c r="AD641" i="1"/>
  <c r="AD646" i="1"/>
  <c r="AD661" i="1"/>
  <c r="AD656" i="1"/>
  <c r="AD650" i="1"/>
  <c r="AD663" i="1"/>
  <c r="AD666" i="1"/>
  <c r="AD659" i="1"/>
  <c r="AD655" i="1"/>
  <c r="AD653" i="1"/>
  <c r="AD652" i="1"/>
  <c r="AD635" i="1"/>
  <c r="AD631" i="1"/>
  <c r="AD648" i="1"/>
  <c r="AD629" i="1"/>
  <c r="AD625" i="1"/>
  <c r="AD643" i="1"/>
  <c r="AD649" i="1"/>
  <c r="AD644" i="1"/>
  <c r="AD634" i="1"/>
  <c r="AD630" i="1"/>
  <c r="AD623" i="1"/>
  <c r="AD638" i="1"/>
  <c r="AD619" i="1"/>
  <c r="AD642" i="1"/>
  <c r="AD639" i="1"/>
  <c r="AD636" i="1"/>
  <c r="AD640" i="1"/>
  <c r="AD645" i="1"/>
  <c r="AD632" i="1"/>
  <c r="AD626" i="1"/>
  <c r="AD618" i="1"/>
  <c r="AD617" i="1"/>
  <c r="AD627" i="1"/>
  <c r="AD628" i="1"/>
  <c r="AD633" i="1"/>
  <c r="AD621" i="1"/>
  <c r="AD622" i="1"/>
  <c r="AD609" i="1"/>
  <c r="AD624" i="1"/>
  <c r="AD601" i="1"/>
  <c r="AD616" i="1"/>
  <c r="AD613" i="1"/>
  <c r="AD611" i="1"/>
  <c r="AD610" i="1"/>
  <c r="AD605" i="1"/>
  <c r="AD602" i="1"/>
  <c r="AD597" i="1"/>
  <c r="AD615" i="1"/>
  <c r="AD608" i="1"/>
  <c r="AD606" i="1"/>
  <c r="AD614" i="1"/>
  <c r="AD604" i="1"/>
  <c r="AD587" i="1"/>
  <c r="AD612" i="1"/>
  <c r="AD589" i="1"/>
  <c r="AD598" i="1"/>
  <c r="AD596" i="1"/>
  <c r="AD593" i="1"/>
  <c r="AD607" i="1"/>
  <c r="AD599" i="1"/>
  <c r="AD578" i="1"/>
  <c r="AD583" i="1"/>
  <c r="AD577" i="1"/>
  <c r="AD595" i="1"/>
  <c r="AD600" i="1"/>
  <c r="AD594" i="1"/>
  <c r="AD584" i="1"/>
  <c r="AD581" i="1"/>
  <c r="AD580" i="1"/>
  <c r="AD573" i="1"/>
  <c r="AD575" i="1"/>
  <c r="AD565" i="1"/>
  <c r="AD568" i="1"/>
  <c r="AD574" i="1"/>
  <c r="AD592" i="1"/>
  <c r="AD588" i="1"/>
  <c r="AD579" i="1"/>
  <c r="AD562" i="1"/>
  <c r="AD590" i="1"/>
  <c r="AD546" i="1"/>
  <c r="AD540" i="1"/>
  <c r="AD559" i="1"/>
  <c r="AD555" i="1"/>
  <c r="AD572" i="1"/>
  <c r="AD571" i="1"/>
  <c r="AD564" i="1"/>
  <c r="AD556" i="1"/>
  <c r="AD566" i="1"/>
  <c r="AD560" i="1"/>
  <c r="AD591" i="1"/>
  <c r="AD576" i="1"/>
  <c r="AD561" i="1"/>
  <c r="AD582" i="1"/>
  <c r="AD553" i="1"/>
  <c r="AD543" i="1"/>
  <c r="AD536" i="1"/>
  <c r="AD545" i="1"/>
  <c r="AD567" i="1"/>
  <c r="AD558" i="1"/>
  <c r="AD549" i="1"/>
  <c r="AD547" i="1"/>
  <c r="AD563" i="1"/>
  <c r="AD557" i="1"/>
  <c r="AD554" i="1"/>
  <c r="AD585" i="1"/>
  <c r="AD550" i="1"/>
  <c r="AD532" i="1"/>
  <c r="AD529" i="1"/>
  <c r="AD525" i="1"/>
  <c r="AD510" i="1"/>
  <c r="AD551" i="1"/>
  <c r="AD537" i="1"/>
  <c r="AD541" i="1"/>
  <c r="AD522" i="1"/>
  <c r="AD503" i="1"/>
  <c r="AD539" i="1"/>
  <c r="AD530" i="1"/>
  <c r="AD526" i="1"/>
  <c r="AD542" i="1"/>
  <c r="AD534" i="1"/>
  <c r="AD570" i="1"/>
  <c r="AD544" i="1"/>
  <c r="AD527" i="1"/>
  <c r="AD538" i="1"/>
  <c r="AD531" i="1"/>
  <c r="AD533" i="1"/>
  <c r="AD524" i="1"/>
  <c r="AD520" i="1"/>
  <c r="AD548" i="1"/>
  <c r="AD528" i="1"/>
  <c r="AD509" i="1"/>
  <c r="AD505" i="1"/>
  <c r="AD495" i="1"/>
  <c r="AD523" i="1"/>
  <c r="AD513" i="1"/>
  <c r="AD511" i="1"/>
  <c r="AD506" i="1"/>
  <c r="AD499" i="1"/>
  <c r="AD521" i="1"/>
  <c r="AD496" i="1"/>
  <c r="AD516" i="1"/>
  <c r="AD507" i="1"/>
  <c r="AD500" i="1"/>
  <c r="AD489" i="1"/>
  <c r="AD519" i="1"/>
  <c r="AD514" i="1"/>
  <c r="AD512" i="1"/>
  <c r="AD517" i="1"/>
  <c r="AD498" i="1"/>
  <c r="AD515" i="1"/>
  <c r="AD508" i="1"/>
  <c r="AD504" i="1"/>
  <c r="AD493" i="1"/>
  <c r="AD479" i="1"/>
  <c r="AD491" i="1"/>
  <c r="AD486" i="1"/>
  <c r="AD487" i="1"/>
  <c r="AD497" i="1"/>
  <c r="AD478" i="1"/>
  <c r="AD476" i="1"/>
  <c r="AD502" i="1"/>
  <c r="AD494" i="1"/>
  <c r="AD488" i="1"/>
  <c r="AD485" i="1"/>
  <c r="AD477" i="1"/>
  <c r="AD472" i="1"/>
  <c r="AD457" i="1"/>
  <c r="AD451" i="1"/>
  <c r="AD481" i="1"/>
  <c r="AD475" i="1"/>
  <c r="AD483" i="1"/>
  <c r="AD466" i="1"/>
  <c r="AD462" i="1"/>
  <c r="AD456" i="1"/>
  <c r="AD444" i="1"/>
  <c r="AD471" i="1"/>
  <c r="AD468" i="1"/>
  <c r="AD461" i="1"/>
  <c r="AD455" i="1"/>
  <c r="AD480" i="1"/>
  <c r="AD474" i="1"/>
  <c r="AD463" i="1"/>
  <c r="AD492" i="1"/>
  <c r="AD460" i="1"/>
  <c r="AD454" i="1"/>
  <c r="AD470" i="1"/>
  <c r="AD464" i="1"/>
  <c r="AD459" i="1"/>
  <c r="AD473" i="1"/>
  <c r="AD490" i="1"/>
  <c r="AD482" i="1"/>
  <c r="AD458" i="1"/>
  <c r="AD469" i="1"/>
  <c r="AD447" i="1"/>
  <c r="AD445" i="1"/>
  <c r="AD442" i="1"/>
  <c r="AD434" i="1"/>
  <c r="AD426" i="1"/>
  <c r="AD449" i="1"/>
  <c r="AD443" i="1"/>
  <c r="AD435" i="1"/>
  <c r="AD429" i="1"/>
  <c r="AD418" i="1"/>
  <c r="AD413" i="1"/>
  <c r="AD407" i="1"/>
  <c r="AD401" i="1"/>
  <c r="AD432" i="1"/>
  <c r="AD422" i="1"/>
  <c r="AD436" i="1"/>
  <c r="AD412" i="1"/>
  <c r="AD453" i="1"/>
  <c r="AD437" i="1"/>
  <c r="AD425" i="1"/>
  <c r="AD419" i="1"/>
  <c r="AD415" i="1"/>
  <c r="AD452" i="1"/>
  <c r="AD428" i="1"/>
  <c r="AD423" i="1"/>
  <c r="AD411" i="1"/>
  <c r="AD465" i="1"/>
  <c r="AD448" i="1"/>
  <c r="AD439" i="1"/>
  <c r="AD424" i="1"/>
  <c r="AD440" i="1"/>
  <c r="AD427" i="1"/>
  <c r="AD441" i="1"/>
  <c r="AD430" i="1"/>
  <c r="AD417" i="1"/>
  <c r="AD421" i="1"/>
  <c r="AD400" i="1"/>
  <c r="AD431" i="1"/>
  <c r="AD414" i="1"/>
  <c r="AD402" i="1"/>
  <c r="AD388" i="1"/>
  <c r="AD408" i="1"/>
  <c r="AD405" i="1"/>
  <c r="AD397" i="1"/>
  <c r="AD446" i="1"/>
  <c r="AD409" i="1"/>
  <c r="AD393" i="1"/>
  <c r="AD438" i="1"/>
  <c r="AD420" i="1"/>
  <c r="AD410" i="1"/>
  <c r="AD394" i="1"/>
  <c r="AD392" i="1"/>
  <c r="AD404" i="1"/>
  <c r="AD398" i="1"/>
  <c r="AD391" i="1"/>
  <c r="AD385" i="1"/>
  <c r="AD395" i="1"/>
  <c r="AD403" i="1"/>
  <c r="AD406" i="1"/>
  <c r="AD379" i="1"/>
  <c r="AD371" i="1"/>
  <c r="AD368" i="1"/>
  <c r="AD364" i="1"/>
  <c r="AD359" i="1"/>
  <c r="AD383" i="1"/>
  <c r="AD380" i="1"/>
  <c r="AD372" i="1"/>
  <c r="AD370" i="1"/>
  <c r="AD389" i="1"/>
  <c r="AD387" i="1"/>
  <c r="AD386" i="1"/>
  <c r="AD381" i="1"/>
  <c r="AD373" i="1"/>
  <c r="AD374" i="1"/>
  <c r="AD369" i="1"/>
  <c r="AD357" i="1"/>
  <c r="AD375" i="1"/>
  <c r="AD366" i="1"/>
  <c r="AD362" i="1"/>
  <c r="AD376" i="1"/>
  <c r="AD361" i="1"/>
  <c r="AD355" i="1"/>
  <c r="AD377" i="1"/>
  <c r="AD396" i="1"/>
  <c r="AD378" i="1"/>
  <c r="AD390" i="1"/>
  <c r="AD367" i="1"/>
  <c r="AD363" i="1"/>
  <c r="AD353" i="1"/>
  <c r="AD333" i="1"/>
  <c r="AD329" i="1"/>
  <c r="AD337" i="1"/>
  <c r="AD320" i="1"/>
  <c r="AD360" i="1"/>
  <c r="AD354" i="1"/>
  <c r="AD345" i="1"/>
  <c r="AD341" i="1"/>
  <c r="AD326" i="1"/>
  <c r="AD322" i="1"/>
  <c r="AD349" i="1"/>
  <c r="AD330" i="1"/>
  <c r="AD319" i="1"/>
  <c r="AD338" i="1"/>
  <c r="AD334" i="1"/>
  <c r="AD384" i="1"/>
  <c r="AD342" i="1"/>
  <c r="AD327" i="1"/>
  <c r="AD323" i="1"/>
  <c r="AD318" i="1"/>
  <c r="AD312" i="1"/>
  <c r="AD350" i="1"/>
  <c r="AD346" i="1"/>
  <c r="AD358" i="1"/>
  <c r="AD339" i="1"/>
  <c r="AD335" i="1"/>
  <c r="AD317" i="1"/>
  <c r="AD343" i="1"/>
  <c r="AD324" i="1"/>
  <c r="AD347" i="1"/>
  <c r="AD352" i="1"/>
  <c r="AD351" i="1"/>
  <c r="AD336" i="1"/>
  <c r="AD344" i="1"/>
  <c r="AD311" i="1"/>
  <c r="AD292" i="1"/>
  <c r="AD286" i="1"/>
  <c r="AD274" i="1"/>
  <c r="AD316" i="1"/>
  <c r="AD310" i="1"/>
  <c r="AD309" i="1"/>
  <c r="AD308" i="1"/>
  <c r="AD307" i="1"/>
  <c r="AD303" i="1"/>
  <c r="AD332" i="1"/>
  <c r="AD325" i="1"/>
  <c r="AD305" i="1"/>
  <c r="AD296" i="1"/>
  <c r="AD290" i="1"/>
  <c r="AD284" i="1"/>
  <c r="AD278" i="1"/>
  <c r="AD272" i="1"/>
  <c r="AD315" i="1"/>
  <c r="AD306" i="1"/>
  <c r="AD299" i="1"/>
  <c r="AD289" i="1"/>
  <c r="AD283" i="1"/>
  <c r="AD328" i="1"/>
  <c r="AD313" i="1"/>
  <c r="AD321" i="1"/>
  <c r="AD294" i="1"/>
  <c r="AD288" i="1"/>
  <c r="AD356" i="1"/>
  <c r="AD298" i="1"/>
  <c r="AD301" i="1"/>
  <c r="AD293" i="1"/>
  <c r="AD287" i="1"/>
  <c r="AD281" i="1"/>
  <c r="AD340" i="1"/>
  <c r="AD302" i="1"/>
  <c r="AD295" i="1"/>
  <c r="AD279" i="1"/>
  <c r="AD267" i="1"/>
  <c r="AD266" i="1"/>
  <c r="AD262" i="1"/>
  <c r="AD277" i="1"/>
  <c r="AD276" i="1"/>
  <c r="AD251" i="1"/>
  <c r="AD247" i="1"/>
  <c r="AD241" i="1"/>
  <c r="AD235" i="1"/>
  <c r="AD275" i="1"/>
  <c r="AD255" i="1"/>
  <c r="AD273" i="1"/>
  <c r="AD259" i="1"/>
  <c r="AD240" i="1"/>
  <c r="AD234" i="1"/>
  <c r="AD271" i="1"/>
  <c r="AD270" i="1"/>
  <c r="AD268" i="1"/>
  <c r="AD265" i="1"/>
  <c r="AD252" i="1"/>
  <c r="AD300" i="1"/>
  <c r="AD256" i="1"/>
  <c r="AD245" i="1"/>
  <c r="AD239" i="1"/>
  <c r="AD233" i="1"/>
  <c r="AD282" i="1"/>
  <c r="AD260" i="1"/>
  <c r="AD257" i="1"/>
  <c r="AD253" i="1"/>
  <c r="AD285" i="1"/>
  <c r="AD269" i="1"/>
  <c r="AD250" i="1"/>
  <c r="AD258" i="1"/>
  <c r="AD254" i="1"/>
  <c r="AD248" i="1"/>
  <c r="AD242" i="1"/>
  <c r="AD304" i="1"/>
  <c r="AD243" i="1"/>
  <c r="AD231" i="1"/>
  <c r="AD264" i="1"/>
  <c r="AD244" i="1"/>
  <c r="AD226" i="1"/>
  <c r="AD223" i="1"/>
  <c r="AD206" i="1"/>
  <c r="AD200" i="1"/>
  <c r="AD228" i="1"/>
  <c r="AD230" i="1"/>
  <c r="AD232" i="1"/>
  <c r="AD210" i="1"/>
  <c r="AD291" i="1"/>
  <c r="AD237" i="1"/>
  <c r="AD218" i="1"/>
  <c r="AD213" i="1"/>
  <c r="AD261" i="1"/>
  <c r="AD227" i="1"/>
  <c r="AD225" i="1"/>
  <c r="AD209" i="1"/>
  <c r="AD249" i="1"/>
  <c r="AD236" i="1"/>
  <c r="AD219" i="1"/>
  <c r="AD220" i="1"/>
  <c r="AD238" i="1"/>
  <c r="AD214" i="1"/>
  <c r="AD183" i="1"/>
  <c r="AD179" i="1"/>
  <c r="AD176" i="1"/>
  <c r="AD170" i="1"/>
  <c r="AD164" i="1"/>
  <c r="AD158" i="1"/>
  <c r="AD203" i="1"/>
  <c r="AD194" i="1"/>
  <c r="AD187" i="1"/>
  <c r="AD222" i="1"/>
  <c r="AD205" i="1"/>
  <c r="AD197" i="1"/>
  <c r="AD191" i="1"/>
  <c r="AD175" i="1"/>
  <c r="AD169" i="1"/>
  <c r="AD163" i="1"/>
  <c r="AD157" i="1"/>
  <c r="AD151" i="1"/>
  <c r="AD145" i="1"/>
  <c r="AD208" i="1"/>
  <c r="AD184" i="1"/>
  <c r="AD180" i="1"/>
  <c r="AD188" i="1"/>
  <c r="AD224" i="1"/>
  <c r="AD221" i="1"/>
  <c r="AD211" i="1"/>
  <c r="AD204" i="1"/>
  <c r="AD193" i="1"/>
  <c r="AD172" i="1"/>
  <c r="AD166" i="1"/>
  <c r="AD215" i="1"/>
  <c r="AD217" i="1"/>
  <c r="AD190" i="1"/>
  <c r="AD186" i="1"/>
  <c r="AD177" i="1"/>
  <c r="AD171" i="1"/>
  <c r="AD136" i="1"/>
  <c r="AD124" i="1"/>
  <c r="AD118" i="1"/>
  <c r="AD112" i="1"/>
  <c r="AD198" i="1"/>
  <c r="AD168" i="1"/>
  <c r="AD162" i="1"/>
  <c r="AD199" i="1"/>
  <c r="AD192" i="1"/>
  <c r="AD156" i="1"/>
  <c r="AD153" i="1"/>
  <c r="AD129" i="1"/>
  <c r="AD123" i="1"/>
  <c r="AD216" i="1"/>
  <c r="AD141" i="1"/>
  <c r="AD122" i="1"/>
  <c r="AD189" i="1"/>
  <c r="AD149" i="1"/>
  <c r="AD146" i="1"/>
  <c r="AD130" i="1"/>
  <c r="AD202" i="1"/>
  <c r="AD185" i="1"/>
  <c r="AD181" i="1"/>
  <c r="AD155" i="1"/>
  <c r="AD152" i="1"/>
  <c r="AD138" i="1"/>
  <c r="AD134" i="1"/>
  <c r="AD173" i="1"/>
  <c r="AD131" i="1"/>
  <c r="AD126" i="1"/>
  <c r="AD207" i="1"/>
  <c r="AD148" i="1"/>
  <c r="AD201" i="1"/>
  <c r="AD159" i="1"/>
  <c r="AD154" i="1"/>
  <c r="AD143" i="1"/>
  <c r="AD139" i="1"/>
  <c r="AD117" i="1"/>
  <c r="AD113" i="1"/>
  <c r="AD107" i="1"/>
  <c r="AD96" i="1"/>
  <c r="AD85" i="1"/>
  <c r="AD74" i="1"/>
  <c r="AD174" i="1"/>
  <c r="AD116" i="1"/>
  <c r="AD106" i="1"/>
  <c r="AD95" i="1"/>
  <c r="AD84" i="1"/>
  <c r="AD73" i="1"/>
  <c r="AD119" i="1"/>
  <c r="AD105" i="1"/>
  <c r="AD94" i="1"/>
  <c r="AD83" i="1"/>
  <c r="AD142" i="1"/>
  <c r="AD120" i="1"/>
  <c r="AD104" i="1"/>
  <c r="AD93" i="1"/>
  <c r="AD82" i="1"/>
  <c r="AD125" i="1"/>
  <c r="AD121" i="1"/>
  <c r="AD115" i="1"/>
  <c r="AD111" i="1"/>
  <c r="AD103" i="1"/>
  <c r="AD92" i="1"/>
  <c r="AD140" i="1"/>
  <c r="AD102" i="1"/>
  <c r="AD91" i="1"/>
  <c r="AD167" i="1"/>
  <c r="AD160" i="1"/>
  <c r="AD137" i="1"/>
  <c r="AD101" i="1"/>
  <c r="AD80" i="1"/>
  <c r="AD182" i="1"/>
  <c r="AD133" i="1"/>
  <c r="AD128" i="1"/>
  <c r="AD100" i="1"/>
  <c r="AD79" i="1"/>
  <c r="AD135" i="1"/>
  <c r="AD114" i="1"/>
  <c r="AD89" i="1"/>
  <c r="AD78" i="1"/>
  <c r="AD196" i="1"/>
  <c r="AD147" i="1"/>
  <c r="AD88" i="1"/>
  <c r="AD77" i="1"/>
  <c r="AD165" i="1"/>
  <c r="AD108" i="1"/>
  <c r="AD98" i="1"/>
  <c r="AD58" i="1"/>
  <c r="AD47" i="1"/>
  <c r="AD40" i="1"/>
  <c r="AD28" i="1"/>
  <c r="AD22" i="1"/>
  <c r="AD16" i="1"/>
  <c r="AD10" i="1"/>
  <c r="AD57" i="1"/>
  <c r="AD46" i="1"/>
  <c r="AD97" i="1"/>
  <c r="AD75" i="1"/>
  <c r="AD56" i="1"/>
  <c r="AD33" i="1"/>
  <c r="AD27" i="1"/>
  <c r="AD21" i="1"/>
  <c r="AD15" i="1"/>
  <c r="AD9" i="1"/>
  <c r="AD69" i="1"/>
  <c r="AD66" i="1"/>
  <c r="AD55" i="1"/>
  <c r="AD132" i="1"/>
  <c r="AD87" i="1"/>
  <c r="AD86" i="1"/>
  <c r="AD65" i="1"/>
  <c r="AD64" i="1"/>
  <c r="AD53" i="1"/>
  <c r="AD43" i="1"/>
  <c r="AD37" i="1"/>
  <c r="AD31" i="1"/>
  <c r="AD25" i="1"/>
  <c r="AD19" i="1"/>
  <c r="AD70" i="1"/>
  <c r="AD67" i="1"/>
  <c r="AD52" i="1"/>
  <c r="AD76" i="1"/>
  <c r="AD62" i="1"/>
  <c r="AD61" i="1"/>
  <c r="AD50" i="1"/>
  <c r="AD60" i="1"/>
  <c r="AD150" i="1"/>
  <c r="AD71" i="1"/>
  <c r="AD68" i="1"/>
  <c r="AD59" i="1"/>
  <c r="AD48" i="1"/>
  <c r="AD38" i="1"/>
  <c r="AD32" i="1"/>
  <c r="AD26" i="1"/>
  <c r="AD14" i="1"/>
  <c r="AD49" i="1"/>
  <c r="AD13" i="1"/>
  <c r="AD30" i="1"/>
  <c r="AD20" i="1"/>
  <c r="AD11" i="1"/>
  <c r="AD41" i="1"/>
  <c r="AD18" i="1"/>
  <c r="AD36" i="1"/>
  <c r="AD35" i="1"/>
  <c r="AD34" i="1" s="1"/>
  <c r="AD24" i="1"/>
  <c r="AD51" i="1"/>
  <c r="AD42" i="1"/>
  <c r="AD29" i="1"/>
  <c r="AD17" i="1"/>
  <c r="AD23" i="1"/>
  <c r="AD12" i="1"/>
  <c r="AC54" i="1"/>
  <c r="AC178" i="1"/>
  <c r="AC331" i="1"/>
  <c r="AC314" i="1"/>
  <c r="AE6" i="1"/>
  <c r="AF4" i="1"/>
  <c r="AC72" i="1"/>
  <c r="AC99" i="1"/>
  <c r="AC280" i="1"/>
  <c r="AC416" i="1"/>
  <c r="AC654" i="1"/>
  <c r="AC39" i="1"/>
  <c r="AC63" i="1"/>
  <c r="AC161" i="1"/>
  <c r="AC212" i="1"/>
  <c r="AC34" i="1"/>
  <c r="AC433" i="1"/>
  <c r="AB109" i="1"/>
  <c r="AB7" i="1" s="1"/>
  <c r="AC484" i="1"/>
  <c r="AC501" i="1"/>
  <c r="AC297" i="1"/>
  <c r="AC603" i="1"/>
  <c r="AC229" i="1"/>
  <c r="AC90" i="1"/>
  <c r="AC81" i="1"/>
  <c r="AC127" i="1"/>
  <c r="AC365" i="1"/>
  <c r="AC535" i="1"/>
  <c r="AC586" i="1"/>
  <c r="AC637" i="1"/>
  <c r="AC689" i="1"/>
  <c r="AD99" i="1" l="1"/>
  <c r="AD246" i="1"/>
  <c r="AD518" i="1"/>
  <c r="AD569" i="1"/>
  <c r="AC109" i="1"/>
  <c r="AD127" i="1"/>
  <c r="AB5" i="1"/>
  <c r="AB8" i="1"/>
  <c r="AD416" i="1"/>
  <c r="AD450" i="1"/>
  <c r="AD535" i="1"/>
  <c r="AE703" i="1"/>
  <c r="AE697" i="1"/>
  <c r="AE691" i="1"/>
  <c r="AE702" i="1"/>
  <c r="AE696" i="1"/>
  <c r="AE685" i="1"/>
  <c r="AE700" i="1"/>
  <c r="AE694" i="1"/>
  <c r="AE701" i="1"/>
  <c r="AE699" i="1"/>
  <c r="AE698" i="1"/>
  <c r="AE682" i="1"/>
  <c r="AE688" i="1"/>
  <c r="AE690" i="1"/>
  <c r="AE684" i="1"/>
  <c r="AE683" i="1"/>
  <c r="AE693" i="1"/>
  <c r="AE674" i="1"/>
  <c r="AE672" i="1"/>
  <c r="AE666" i="1"/>
  <c r="AE660" i="1"/>
  <c r="AE665" i="1"/>
  <c r="AE659" i="1"/>
  <c r="AE686" i="1"/>
  <c r="AE679" i="1"/>
  <c r="AE687" i="1"/>
  <c r="AE678" i="1"/>
  <c r="AE676" i="1"/>
  <c r="AE668" i="1"/>
  <c r="AE681" i="1"/>
  <c r="AE675" i="1"/>
  <c r="AE680" i="1"/>
  <c r="AE669" i="1"/>
  <c r="AE658" i="1"/>
  <c r="AE673" i="1"/>
  <c r="AE664" i="1"/>
  <c r="AE677" i="1"/>
  <c r="AE667" i="1"/>
  <c r="AE662" i="1"/>
  <c r="AE657" i="1"/>
  <c r="AE670" i="1"/>
  <c r="AE692" i="1"/>
  <c r="AE647" i="1"/>
  <c r="AE641" i="1"/>
  <c r="AE635" i="1"/>
  <c r="AE629" i="1"/>
  <c r="AE661" i="1"/>
  <c r="AE656" i="1"/>
  <c r="AE650" i="1"/>
  <c r="AE645" i="1"/>
  <c r="AE639" i="1"/>
  <c r="AE663" i="1"/>
  <c r="AE653" i="1"/>
  <c r="AE646" i="1"/>
  <c r="AE652" i="1"/>
  <c r="AE633" i="1"/>
  <c r="AE649" i="1"/>
  <c r="AE644" i="1"/>
  <c r="AE634" i="1"/>
  <c r="AE630" i="1"/>
  <c r="AE623" i="1"/>
  <c r="AE642" i="1"/>
  <c r="AE614" i="1"/>
  <c r="AE651" i="1"/>
  <c r="AE655" i="1"/>
  <c r="AE613" i="1"/>
  <c r="AE607" i="1"/>
  <c r="AE648" i="1"/>
  <c r="AE640" i="1"/>
  <c r="AE643" i="1"/>
  <c r="AE626" i="1"/>
  <c r="AE627" i="1"/>
  <c r="AE624" i="1"/>
  <c r="AE621" i="1"/>
  <c r="AE619" i="1"/>
  <c r="AE636" i="1"/>
  <c r="AE631" i="1"/>
  <c r="AE628" i="1"/>
  <c r="AE616" i="1"/>
  <c r="AE638" i="1"/>
  <c r="AE618" i="1"/>
  <c r="AE605" i="1"/>
  <c r="AE612" i="1"/>
  <c r="AE609" i="1"/>
  <c r="AE622" i="1"/>
  <c r="AE611" i="1"/>
  <c r="AE632" i="1"/>
  <c r="AE625" i="1"/>
  <c r="AE599" i="1"/>
  <c r="AE617" i="1"/>
  <c r="AE610" i="1"/>
  <c r="AE615" i="1"/>
  <c r="AE608" i="1"/>
  <c r="AE606" i="1"/>
  <c r="AE596" i="1"/>
  <c r="AE590" i="1"/>
  <c r="AE584" i="1"/>
  <c r="AE595" i="1"/>
  <c r="AE591" i="1"/>
  <c r="AE602" i="1"/>
  <c r="AE601" i="1"/>
  <c r="AE598" i="1"/>
  <c r="AE593" i="1"/>
  <c r="AE604" i="1"/>
  <c r="AE583" i="1"/>
  <c r="AE577" i="1"/>
  <c r="AE571" i="1"/>
  <c r="AE565" i="1"/>
  <c r="AE559" i="1"/>
  <c r="AE553" i="1"/>
  <c r="AE588" i="1"/>
  <c r="AE585" i="1"/>
  <c r="AE600" i="1"/>
  <c r="AE594" i="1"/>
  <c r="AE592" i="1"/>
  <c r="AE587" i="1"/>
  <c r="AE581" i="1"/>
  <c r="AE580" i="1"/>
  <c r="AE574" i="1"/>
  <c r="AE568" i="1"/>
  <c r="AE597" i="1"/>
  <c r="AE576" i="1"/>
  <c r="AE575" i="1"/>
  <c r="AE579" i="1"/>
  <c r="AE589" i="1"/>
  <c r="AE570" i="1"/>
  <c r="AE555" i="1"/>
  <c r="AE551" i="1"/>
  <c r="AE545" i="1"/>
  <c r="AE572" i="1"/>
  <c r="AE564" i="1"/>
  <c r="AE556" i="1"/>
  <c r="AE550" i="1"/>
  <c r="AE544" i="1"/>
  <c r="AE573" i="1"/>
  <c r="AE566" i="1"/>
  <c r="AE560" i="1"/>
  <c r="AE567" i="1"/>
  <c r="AE563" i="1"/>
  <c r="AE549" i="1"/>
  <c r="AE543" i="1"/>
  <c r="AE582" i="1"/>
  <c r="AE578" i="1"/>
  <c r="AE536" i="1"/>
  <c r="AE530" i="1"/>
  <c r="AE524" i="1"/>
  <c r="AE512" i="1"/>
  <c r="AE506" i="1"/>
  <c r="AE561" i="1"/>
  <c r="AE558" i="1"/>
  <c r="AE547" i="1"/>
  <c r="AE557" i="1"/>
  <c r="AE554" i="1"/>
  <c r="AE540" i="1"/>
  <c r="AE539" i="1"/>
  <c r="AE533" i="1"/>
  <c r="AE562" i="1"/>
  <c r="AE521" i="1"/>
  <c r="AE532" i="1"/>
  <c r="AE529" i="1"/>
  <c r="AE525" i="1"/>
  <c r="AE537" i="1"/>
  <c r="AE514" i="1"/>
  <c r="AE546" i="1"/>
  <c r="AE541" i="1"/>
  <c r="AE526" i="1"/>
  <c r="AE511" i="1"/>
  <c r="AE507" i="1"/>
  <c r="AE498" i="1"/>
  <c r="AE492" i="1"/>
  <c r="AE486" i="1"/>
  <c r="AE480" i="1"/>
  <c r="AE542" i="1"/>
  <c r="AE534" i="1"/>
  <c r="AE527" i="1"/>
  <c r="AE538" i="1"/>
  <c r="AE531" i="1"/>
  <c r="AE548" i="1"/>
  <c r="AE528" i="1"/>
  <c r="AE517" i="1"/>
  <c r="AE513" i="1"/>
  <c r="AE523" i="1"/>
  <c r="AE499" i="1"/>
  <c r="AE522" i="1"/>
  <c r="AE502" i="1"/>
  <c r="AE520" i="1"/>
  <c r="AE516" i="1"/>
  <c r="AE509" i="1"/>
  <c r="AE500" i="1"/>
  <c r="AE485" i="1"/>
  <c r="AE519" i="1"/>
  <c r="AE497" i="1"/>
  <c r="AE493" i="1"/>
  <c r="AE510" i="1"/>
  <c r="AE515" i="1"/>
  <c r="AE508" i="1"/>
  <c r="AE504" i="1"/>
  <c r="AE503" i="1"/>
  <c r="AE505" i="1"/>
  <c r="AE491" i="1"/>
  <c r="AE489" i="1"/>
  <c r="AE472" i="1"/>
  <c r="AE466" i="1"/>
  <c r="AE490" i="1"/>
  <c r="AE483" i="1"/>
  <c r="AE481" i="1"/>
  <c r="AE477" i="1"/>
  <c r="AE471" i="1"/>
  <c r="AE495" i="1"/>
  <c r="AE494" i="1"/>
  <c r="AE488" i="1"/>
  <c r="AE482" i="1"/>
  <c r="AE496" i="1"/>
  <c r="AE475" i="1"/>
  <c r="AE462" i="1"/>
  <c r="AE456" i="1"/>
  <c r="AE444" i="1"/>
  <c r="AE438" i="1"/>
  <c r="AE432" i="1"/>
  <c r="AE426" i="1"/>
  <c r="AE420" i="1"/>
  <c r="AE414" i="1"/>
  <c r="AE468" i="1"/>
  <c r="AE461" i="1"/>
  <c r="AE455" i="1"/>
  <c r="AE449" i="1"/>
  <c r="AE443" i="1"/>
  <c r="AE437" i="1"/>
  <c r="AE474" i="1"/>
  <c r="AE463" i="1"/>
  <c r="AE460" i="1"/>
  <c r="AE478" i="1"/>
  <c r="AE470" i="1"/>
  <c r="AE487" i="1"/>
  <c r="AE464" i="1"/>
  <c r="AE459" i="1"/>
  <c r="AE453" i="1"/>
  <c r="AE447" i="1"/>
  <c r="AE441" i="1"/>
  <c r="AE435" i="1"/>
  <c r="AE429" i="1"/>
  <c r="AE473" i="1"/>
  <c r="AE479" i="1"/>
  <c r="AE476" i="1"/>
  <c r="AE469" i="1"/>
  <c r="AE465" i="1"/>
  <c r="AE458" i="1"/>
  <c r="AE418" i="1"/>
  <c r="AE422" i="1"/>
  <c r="AE436" i="1"/>
  <c r="AE425" i="1"/>
  <c r="AE419" i="1"/>
  <c r="AE415" i="1"/>
  <c r="AE452" i="1"/>
  <c r="AE428" i="1"/>
  <c r="AE423" i="1"/>
  <c r="AE411" i="1"/>
  <c r="AE454" i="1"/>
  <c r="AE451" i="1"/>
  <c r="AE446" i="1"/>
  <c r="AE431" i="1"/>
  <c r="AE439" i="1"/>
  <c r="AE424" i="1"/>
  <c r="AE457" i="1"/>
  <c r="AE440" i="1"/>
  <c r="AE427" i="1"/>
  <c r="AE409" i="1"/>
  <c r="AE403" i="1"/>
  <c r="AE397" i="1"/>
  <c r="AE430" i="1"/>
  <c r="AE421" i="1"/>
  <c r="AE445" i="1"/>
  <c r="AE442" i="1"/>
  <c r="AE434" i="1"/>
  <c r="AE402" i="1"/>
  <c r="AE388" i="1"/>
  <c r="AE408" i="1"/>
  <c r="AE405" i="1"/>
  <c r="AE393" i="1"/>
  <c r="AE387" i="1"/>
  <c r="AE381" i="1"/>
  <c r="AE375" i="1"/>
  <c r="AE369" i="1"/>
  <c r="AE412" i="1"/>
  <c r="AE410" i="1"/>
  <c r="AE401" i="1"/>
  <c r="AE394" i="1"/>
  <c r="AE392" i="1"/>
  <c r="AE386" i="1"/>
  <c r="AE380" i="1"/>
  <c r="AE374" i="1"/>
  <c r="AE368" i="1"/>
  <c r="AE417" i="1"/>
  <c r="AE407" i="1"/>
  <c r="AE404" i="1"/>
  <c r="AE398" i="1"/>
  <c r="AE448" i="1"/>
  <c r="AE395" i="1"/>
  <c r="AE413" i="1"/>
  <c r="AE390" i="1"/>
  <c r="AE384" i="1"/>
  <c r="AE378" i="1"/>
  <c r="AE372" i="1"/>
  <c r="AE406" i="1"/>
  <c r="AE383" i="1"/>
  <c r="AE370" i="1"/>
  <c r="AE389" i="1"/>
  <c r="AE358" i="1"/>
  <c r="AE352" i="1"/>
  <c r="AE373" i="1"/>
  <c r="AE385" i="1"/>
  <c r="AE357" i="1"/>
  <c r="AE351" i="1"/>
  <c r="AE345" i="1"/>
  <c r="AE339" i="1"/>
  <c r="AE333" i="1"/>
  <c r="AE327" i="1"/>
  <c r="AE391" i="1"/>
  <c r="AE377" i="1"/>
  <c r="AE367" i="1"/>
  <c r="AE363" i="1"/>
  <c r="AE396" i="1"/>
  <c r="AE400" i="1"/>
  <c r="AE379" i="1"/>
  <c r="AE371" i="1"/>
  <c r="AE364" i="1"/>
  <c r="AE359" i="1"/>
  <c r="AE353" i="1"/>
  <c r="AE337" i="1"/>
  <c r="AE320" i="1"/>
  <c r="AE308" i="1"/>
  <c r="AE302" i="1"/>
  <c r="AE296" i="1"/>
  <c r="AE360" i="1"/>
  <c r="AE354" i="1"/>
  <c r="AE341" i="1"/>
  <c r="AE326" i="1"/>
  <c r="AE322" i="1"/>
  <c r="AE349" i="1"/>
  <c r="AE330" i="1"/>
  <c r="AE319" i="1"/>
  <c r="AE313" i="1"/>
  <c r="AE307" i="1"/>
  <c r="AE338" i="1"/>
  <c r="AE334" i="1"/>
  <c r="AE355" i="1"/>
  <c r="AE342" i="1"/>
  <c r="AE323" i="1"/>
  <c r="AE318" i="1"/>
  <c r="AE312" i="1"/>
  <c r="AE361" i="1"/>
  <c r="AE350" i="1"/>
  <c r="AE346" i="1"/>
  <c r="AE376" i="1"/>
  <c r="AE335" i="1"/>
  <c r="AE317" i="1"/>
  <c r="AE311" i="1"/>
  <c r="AE305" i="1"/>
  <c r="AE299" i="1"/>
  <c r="AE343" i="1"/>
  <c r="AE324" i="1"/>
  <c r="AE347" i="1"/>
  <c r="AE332" i="1"/>
  <c r="AE328" i="1"/>
  <c r="AE316" i="1"/>
  <c r="AE356" i="1"/>
  <c r="AE344" i="1"/>
  <c r="AE340" i="1"/>
  <c r="AE325" i="1"/>
  <c r="AE321" i="1"/>
  <c r="AE315" i="1"/>
  <c r="AE309" i="1"/>
  <c r="AE310" i="1"/>
  <c r="AE303" i="1"/>
  <c r="AE304" i="1"/>
  <c r="AE300" i="1"/>
  <c r="AE291" i="1"/>
  <c r="AE285" i="1"/>
  <c r="AE279" i="1"/>
  <c r="AE273" i="1"/>
  <c r="AE267" i="1"/>
  <c r="AE290" i="1"/>
  <c r="AE284" i="1"/>
  <c r="AE278" i="1"/>
  <c r="AE272" i="1"/>
  <c r="AE306" i="1"/>
  <c r="AE289" i="1"/>
  <c r="AE294" i="1"/>
  <c r="AE288" i="1"/>
  <c r="AE282" i="1"/>
  <c r="AE276" i="1"/>
  <c r="AE270" i="1"/>
  <c r="AE264" i="1"/>
  <c r="AE258" i="1"/>
  <c r="AE252" i="1"/>
  <c r="AE336" i="1"/>
  <c r="AE298" i="1"/>
  <c r="AE329" i="1"/>
  <c r="AE301" i="1"/>
  <c r="AE293" i="1"/>
  <c r="AE287" i="1"/>
  <c r="AE362" i="1"/>
  <c r="AE295" i="1"/>
  <c r="AE366" i="1"/>
  <c r="AE292" i="1"/>
  <c r="AE286" i="1"/>
  <c r="AE277" i="1"/>
  <c r="AE251" i="1"/>
  <c r="AE247" i="1"/>
  <c r="AE241" i="1"/>
  <c r="AE235" i="1"/>
  <c r="AE223" i="1"/>
  <c r="AE217" i="1"/>
  <c r="AE281" i="1"/>
  <c r="AE275" i="1"/>
  <c r="AE255" i="1"/>
  <c r="AE274" i="1"/>
  <c r="AE259" i="1"/>
  <c r="AE240" i="1"/>
  <c r="AE234" i="1"/>
  <c r="AE228" i="1"/>
  <c r="AE271" i="1"/>
  <c r="AE268" i="1"/>
  <c r="AE265" i="1"/>
  <c r="AE283" i="1"/>
  <c r="AE256" i="1"/>
  <c r="AE245" i="1"/>
  <c r="AE239" i="1"/>
  <c r="AE233" i="1"/>
  <c r="AE227" i="1"/>
  <c r="AE221" i="1"/>
  <c r="AE260" i="1"/>
  <c r="AE261" i="1"/>
  <c r="AE249" i="1"/>
  <c r="AE254" i="1"/>
  <c r="AE248" i="1"/>
  <c r="AE242" i="1"/>
  <c r="AE236" i="1"/>
  <c r="AE230" i="1"/>
  <c r="AE224" i="1"/>
  <c r="AE218" i="1"/>
  <c r="AE266" i="1"/>
  <c r="AE262" i="1"/>
  <c r="AE244" i="1"/>
  <c r="AE226" i="1"/>
  <c r="AE238" i="1"/>
  <c r="AE211" i="1"/>
  <c r="AE205" i="1"/>
  <c r="AE269" i="1"/>
  <c r="AE250" i="1"/>
  <c r="AE232" i="1"/>
  <c r="AE237" i="1"/>
  <c r="AE213" i="1"/>
  <c r="AE225" i="1"/>
  <c r="AE209" i="1"/>
  <c r="AE203" i="1"/>
  <c r="AE197" i="1"/>
  <c r="AE253" i="1"/>
  <c r="AE219" i="1"/>
  <c r="AE220" i="1"/>
  <c r="AE214" i="1"/>
  <c r="AE208" i="1"/>
  <c r="AE202" i="1"/>
  <c r="AE196" i="1"/>
  <c r="AE190" i="1"/>
  <c r="AE184" i="1"/>
  <c r="AE210" i="1"/>
  <c r="AE194" i="1"/>
  <c r="AE187" i="1"/>
  <c r="AE222" i="1"/>
  <c r="AE191" i="1"/>
  <c r="AE175" i="1"/>
  <c r="AE180" i="1"/>
  <c r="AE188" i="1"/>
  <c r="AE174" i="1"/>
  <c r="AE168" i="1"/>
  <c r="AE162" i="1"/>
  <c r="AE156" i="1"/>
  <c r="AE150" i="1"/>
  <c r="AE138" i="1"/>
  <c r="AE132" i="1"/>
  <c r="AE200" i="1"/>
  <c r="AE192" i="1"/>
  <c r="AE216" i="1"/>
  <c r="AE201" i="1"/>
  <c r="AE215" i="1"/>
  <c r="AE182" i="1"/>
  <c r="AE207" i="1"/>
  <c r="AE198" i="1"/>
  <c r="AE204" i="1"/>
  <c r="AE166" i="1"/>
  <c r="AE147" i="1"/>
  <c r="AE140" i="1"/>
  <c r="AE199" i="1"/>
  <c r="AE176" i="1"/>
  <c r="AE170" i="1"/>
  <c r="AE163" i="1"/>
  <c r="AE137" i="1"/>
  <c r="AE133" i="1"/>
  <c r="AE243" i="1"/>
  <c r="AE231" i="1"/>
  <c r="AE193" i="1"/>
  <c r="AE189" i="1"/>
  <c r="AE149" i="1"/>
  <c r="AE146" i="1"/>
  <c r="AE130" i="1"/>
  <c r="AE186" i="1"/>
  <c r="AE185" i="1"/>
  <c r="AE181" i="1"/>
  <c r="AE155" i="1"/>
  <c r="AE152" i="1"/>
  <c r="AE134" i="1"/>
  <c r="AE121" i="1"/>
  <c r="AE115" i="1"/>
  <c r="AE257" i="1"/>
  <c r="AE183" i="1"/>
  <c r="AE167" i="1"/>
  <c r="AE165" i="1"/>
  <c r="AE142" i="1"/>
  <c r="AE206" i="1"/>
  <c r="AE179" i="1"/>
  <c r="AE172" i="1"/>
  <c r="AE158" i="1"/>
  <c r="AE148" i="1"/>
  <c r="AE145" i="1"/>
  <c r="AE135" i="1"/>
  <c r="AE171" i="1"/>
  <c r="AE159" i="1"/>
  <c r="AE154" i="1"/>
  <c r="AE151" i="1"/>
  <c r="AE177" i="1"/>
  <c r="AE160" i="1"/>
  <c r="AE157" i="1"/>
  <c r="AE118" i="1"/>
  <c r="AE116" i="1"/>
  <c r="AE106" i="1"/>
  <c r="AE95" i="1"/>
  <c r="AE84" i="1"/>
  <c r="AE73" i="1"/>
  <c r="AE119" i="1"/>
  <c r="AE105" i="1"/>
  <c r="AE94" i="1"/>
  <c r="AE83" i="1"/>
  <c r="AE169" i="1"/>
  <c r="AE143" i="1"/>
  <c r="AE131" i="1"/>
  <c r="AE126" i="1"/>
  <c r="AE120" i="1"/>
  <c r="AE104" i="1"/>
  <c r="AE93" i="1"/>
  <c r="AE82" i="1"/>
  <c r="AE125" i="1"/>
  <c r="AE111" i="1"/>
  <c r="AE103" i="1"/>
  <c r="AE92" i="1"/>
  <c r="AE153" i="1"/>
  <c r="AE141" i="1"/>
  <c r="AE139" i="1"/>
  <c r="AE124" i="1"/>
  <c r="AE102" i="1"/>
  <c r="AE91" i="1"/>
  <c r="AE136" i="1"/>
  <c r="AE122" i="1"/>
  <c r="AE101" i="1"/>
  <c r="AE164" i="1"/>
  <c r="AE128" i="1"/>
  <c r="AE112" i="1"/>
  <c r="AE100" i="1"/>
  <c r="AE114" i="1"/>
  <c r="AE89" i="1"/>
  <c r="AE78" i="1"/>
  <c r="AE173" i="1"/>
  <c r="AE129" i="1"/>
  <c r="AE123" i="1"/>
  <c r="AE88" i="1"/>
  <c r="AE77" i="1"/>
  <c r="AE108" i="1"/>
  <c r="AE98" i="1"/>
  <c r="AE87" i="1"/>
  <c r="AE76" i="1"/>
  <c r="AE97" i="1"/>
  <c r="AE57" i="1"/>
  <c r="AE46" i="1"/>
  <c r="AE75" i="1"/>
  <c r="AE56" i="1"/>
  <c r="AE85" i="1"/>
  <c r="AE69" i="1"/>
  <c r="AE66" i="1"/>
  <c r="AE55" i="1"/>
  <c r="AE107" i="1"/>
  <c r="AE86" i="1"/>
  <c r="AE79" i="1"/>
  <c r="AE65" i="1"/>
  <c r="AE38" i="1"/>
  <c r="AE32" i="1"/>
  <c r="AE26" i="1"/>
  <c r="AE20" i="1"/>
  <c r="AE14" i="1"/>
  <c r="AE113" i="1"/>
  <c r="AE64" i="1"/>
  <c r="AE53" i="1"/>
  <c r="AE43" i="1"/>
  <c r="AE37" i="1"/>
  <c r="AE31" i="1"/>
  <c r="AE25" i="1"/>
  <c r="AE19" i="1"/>
  <c r="AE70" i="1"/>
  <c r="AE67" i="1"/>
  <c r="AE52" i="1"/>
  <c r="AE117" i="1"/>
  <c r="AE62" i="1"/>
  <c r="AE51" i="1"/>
  <c r="AE42" i="1"/>
  <c r="AE36" i="1"/>
  <c r="AE30" i="1"/>
  <c r="AE24" i="1"/>
  <c r="AE18" i="1"/>
  <c r="AE12" i="1"/>
  <c r="AE96" i="1"/>
  <c r="AE74" i="1"/>
  <c r="AE61" i="1"/>
  <c r="AE80" i="1"/>
  <c r="AE60" i="1"/>
  <c r="AE49" i="1"/>
  <c r="AE41" i="1"/>
  <c r="AE71" i="1"/>
  <c r="AE68" i="1"/>
  <c r="AE59" i="1"/>
  <c r="AE58" i="1"/>
  <c r="AE47" i="1"/>
  <c r="AE40" i="1"/>
  <c r="AE28" i="1"/>
  <c r="AE22" i="1"/>
  <c r="AE16" i="1"/>
  <c r="AE21" i="1"/>
  <c r="AE15" i="1"/>
  <c r="AE27" i="1"/>
  <c r="AE11" i="1"/>
  <c r="AE9" i="1"/>
  <c r="AE13" i="1"/>
  <c r="AE35" i="1"/>
  <c r="AE29" i="1"/>
  <c r="AE17" i="1"/>
  <c r="AE48" i="1"/>
  <c r="AE23" i="1"/>
  <c r="AE33" i="1"/>
  <c r="AE10" i="1"/>
  <c r="AE50" i="1"/>
  <c r="AD110" i="1"/>
  <c r="AD178" i="1"/>
  <c r="AD212" i="1"/>
  <c r="AD314" i="1"/>
  <c r="AD689" i="1"/>
  <c r="AD45" i="1"/>
  <c r="AD72" i="1"/>
  <c r="AD263" i="1"/>
  <c r="AD297" i="1"/>
  <c r="AD552" i="1"/>
  <c r="AD637" i="1"/>
  <c r="AF6" i="1"/>
  <c r="AG4" i="1"/>
  <c r="AD54" i="1"/>
  <c r="AD467" i="1"/>
  <c r="AD484" i="1"/>
  <c r="AD654" i="1"/>
  <c r="AD195" i="1"/>
  <c r="AD81" i="1"/>
  <c r="AD365" i="1"/>
  <c r="AD620" i="1"/>
  <c r="AD382" i="1"/>
  <c r="AD229" i="1"/>
  <c r="AD348" i="1"/>
  <c r="AD433" i="1"/>
  <c r="AD501" i="1"/>
  <c r="AD586" i="1"/>
  <c r="AD39" i="1"/>
  <c r="AD90" i="1"/>
  <c r="AD161" i="1"/>
  <c r="AD144" i="1"/>
  <c r="AD603" i="1"/>
  <c r="AC44" i="1"/>
  <c r="AC7" i="1" s="1"/>
  <c r="AD331" i="1"/>
  <c r="AD671" i="1"/>
  <c r="AD695" i="1"/>
  <c r="AD63" i="1"/>
  <c r="AD280" i="1"/>
  <c r="AD399" i="1"/>
  <c r="AE39" i="1" l="1"/>
  <c r="AE45" i="1"/>
  <c r="AE450" i="1"/>
  <c r="AE467" i="1"/>
  <c r="AD44" i="1"/>
  <c r="AE569" i="1"/>
  <c r="AC5" i="1"/>
  <c r="AC8" i="1"/>
  <c r="AE229" i="1"/>
  <c r="AE34" i="1"/>
  <c r="AE178" i="1"/>
  <c r="AE382" i="1"/>
  <c r="AE416" i="1"/>
  <c r="AE501" i="1"/>
  <c r="AE654" i="1"/>
  <c r="AE695" i="1"/>
  <c r="AE280" i="1"/>
  <c r="AE99" i="1"/>
  <c r="AE331" i="1"/>
  <c r="AE348" i="1"/>
  <c r="AG6" i="1"/>
  <c r="AH4" i="1"/>
  <c r="AE127" i="1"/>
  <c r="AE552" i="1"/>
  <c r="AE620" i="1"/>
  <c r="AE689" i="1"/>
  <c r="AE671" i="1"/>
  <c r="AF698" i="1"/>
  <c r="AF703" i="1"/>
  <c r="AF690" i="1"/>
  <c r="AF700" i="1"/>
  <c r="AF697" i="1"/>
  <c r="AF701" i="1"/>
  <c r="AF696" i="1"/>
  <c r="AF699" i="1"/>
  <c r="AF691" i="1"/>
  <c r="AF692" i="1"/>
  <c r="AF702" i="1"/>
  <c r="AF684" i="1"/>
  <c r="AF683" i="1"/>
  <c r="AF694" i="1"/>
  <c r="AF687" i="1"/>
  <c r="AF680" i="1"/>
  <c r="AF678" i="1"/>
  <c r="AF693" i="1"/>
  <c r="AF673" i="1"/>
  <c r="AF688" i="1"/>
  <c r="AF686" i="1"/>
  <c r="AF685" i="1"/>
  <c r="AF675" i="1"/>
  <c r="AF681" i="1"/>
  <c r="AF682" i="1"/>
  <c r="AF669" i="1"/>
  <c r="AF664" i="1"/>
  <c r="AF661" i="1"/>
  <c r="AF670" i="1"/>
  <c r="AF672" i="1"/>
  <c r="AF677" i="1"/>
  <c r="AF676" i="1"/>
  <c r="AF679" i="1"/>
  <c r="AF662" i="1"/>
  <c r="AF657" i="1"/>
  <c r="AF674" i="1"/>
  <c r="AF667" i="1"/>
  <c r="AF646" i="1"/>
  <c r="AF658" i="1"/>
  <c r="AF656" i="1"/>
  <c r="AF663" i="1"/>
  <c r="AF665" i="1"/>
  <c r="AF666" i="1"/>
  <c r="AF668" i="1"/>
  <c r="AF659" i="1"/>
  <c r="AF660" i="1"/>
  <c r="AF638" i="1"/>
  <c r="AF628" i="1"/>
  <c r="AF648" i="1"/>
  <c r="AF655" i="1"/>
  <c r="AF642" i="1"/>
  <c r="AF640" i="1"/>
  <c r="AF650" i="1"/>
  <c r="AF649" i="1"/>
  <c r="AF645" i="1"/>
  <c r="AF639" i="1"/>
  <c r="AF651" i="1"/>
  <c r="AF636" i="1"/>
  <c r="AF630" i="1"/>
  <c r="AF652" i="1"/>
  <c r="AF635" i="1"/>
  <c r="AF629" i="1"/>
  <c r="AF653" i="1"/>
  <c r="AF643" i="1"/>
  <c r="AF631" i="1"/>
  <c r="AF627" i="1"/>
  <c r="AF624" i="1"/>
  <c r="AF622" i="1"/>
  <c r="AF641" i="1"/>
  <c r="AF634" i="1"/>
  <c r="AF623" i="1"/>
  <c r="AF633" i="1"/>
  <c r="AF644" i="1"/>
  <c r="AF647" i="1"/>
  <c r="AF618" i="1"/>
  <c r="AF621" i="1"/>
  <c r="AF619" i="1"/>
  <c r="AF612" i="1"/>
  <c r="AF609" i="1"/>
  <c r="AF606" i="1"/>
  <c r="AF607" i="1"/>
  <c r="AF632" i="1"/>
  <c r="AF625" i="1"/>
  <c r="AF615" i="1"/>
  <c r="AF614" i="1"/>
  <c r="AF601" i="1"/>
  <c r="AF617" i="1"/>
  <c r="AF610" i="1"/>
  <c r="AF616" i="1"/>
  <c r="AF613" i="1"/>
  <c r="AF611" i="1"/>
  <c r="AF626" i="1"/>
  <c r="AF605" i="1"/>
  <c r="AF595" i="1"/>
  <c r="AF596" i="1"/>
  <c r="AF608" i="1"/>
  <c r="AF599" i="1"/>
  <c r="AF600" i="1"/>
  <c r="AF594" i="1"/>
  <c r="AF602" i="1"/>
  <c r="AF583" i="1"/>
  <c r="AF588" i="1"/>
  <c r="AF585" i="1"/>
  <c r="AF589" i="1"/>
  <c r="AF581" i="1"/>
  <c r="AF597" i="1"/>
  <c r="AF598" i="1"/>
  <c r="AF582" i="1"/>
  <c r="AF591" i="1"/>
  <c r="AF593" i="1"/>
  <c r="AF580" i="1"/>
  <c r="AF584" i="1"/>
  <c r="AF568" i="1"/>
  <c r="AF571" i="1"/>
  <c r="AF604" i="1"/>
  <c r="AF592" i="1"/>
  <c r="AF590" i="1"/>
  <c r="AF577" i="1"/>
  <c r="AF573" i="1"/>
  <c r="AF574" i="1"/>
  <c r="AF559" i="1"/>
  <c r="AF551" i="1"/>
  <c r="AF545" i="1"/>
  <c r="AF572" i="1"/>
  <c r="AF564" i="1"/>
  <c r="AF556" i="1"/>
  <c r="AF566" i="1"/>
  <c r="AF565" i="1"/>
  <c r="AF560" i="1"/>
  <c r="AF567" i="1"/>
  <c r="AF563" i="1"/>
  <c r="AF587" i="1"/>
  <c r="AF570" i="1"/>
  <c r="AF557" i="1"/>
  <c r="AF553" i="1"/>
  <c r="AF578" i="1"/>
  <c r="AF576" i="1"/>
  <c r="AF558" i="1"/>
  <c r="AF562" i="1"/>
  <c r="AF543" i="1"/>
  <c r="AF561" i="1"/>
  <c r="AF547" i="1"/>
  <c r="AF549" i="1"/>
  <c r="AF579" i="1"/>
  <c r="AF554" i="1"/>
  <c r="AF544" i="1"/>
  <c r="AF541" i="1"/>
  <c r="AF575" i="1"/>
  <c r="AF536" i="1"/>
  <c r="AF532" i="1"/>
  <c r="AF529" i="1"/>
  <c r="AF525" i="1"/>
  <c r="AF537" i="1"/>
  <c r="AF546" i="1"/>
  <c r="AF522" i="1"/>
  <c r="AF503" i="1"/>
  <c r="AF526" i="1"/>
  <c r="AF542" i="1"/>
  <c r="AF539" i="1"/>
  <c r="AF530" i="1"/>
  <c r="AF515" i="1"/>
  <c r="AF540" i="1"/>
  <c r="AF534" i="1"/>
  <c r="AF523" i="1"/>
  <c r="AF519" i="1"/>
  <c r="AF550" i="1"/>
  <c r="AF527" i="1"/>
  <c r="AF555" i="1"/>
  <c r="AF538" i="1"/>
  <c r="AF531" i="1"/>
  <c r="AF520" i="1"/>
  <c r="AF548" i="1"/>
  <c r="AF533" i="1"/>
  <c r="AF528" i="1"/>
  <c r="AF521" i="1"/>
  <c r="AF513" i="1"/>
  <c r="AF511" i="1"/>
  <c r="AF506" i="1"/>
  <c r="AF502" i="1"/>
  <c r="AF488" i="1"/>
  <c r="AF496" i="1"/>
  <c r="AF516" i="1"/>
  <c r="AF509" i="1"/>
  <c r="AF507" i="1"/>
  <c r="AF489" i="1"/>
  <c r="AF497" i="1"/>
  <c r="AF493" i="1"/>
  <c r="AF524" i="1"/>
  <c r="AF514" i="1"/>
  <c r="AF512" i="1"/>
  <c r="AF510" i="1"/>
  <c r="AF517" i="1"/>
  <c r="AF504" i="1"/>
  <c r="AF505" i="1"/>
  <c r="AF500" i="1"/>
  <c r="AF491" i="1"/>
  <c r="AF492" i="1"/>
  <c r="AF508" i="1"/>
  <c r="AF498" i="1"/>
  <c r="AF487" i="1"/>
  <c r="AF494" i="1"/>
  <c r="AF485" i="1"/>
  <c r="AF482" i="1"/>
  <c r="AF479" i="1"/>
  <c r="AF481" i="1"/>
  <c r="AF462" i="1"/>
  <c r="AF456" i="1"/>
  <c r="AF483" i="1"/>
  <c r="AF468" i="1"/>
  <c r="AF466" i="1"/>
  <c r="AF499" i="1"/>
  <c r="AF471" i="1"/>
  <c r="AF461" i="1"/>
  <c r="AF455" i="1"/>
  <c r="AF449" i="1"/>
  <c r="AF474" i="1"/>
  <c r="AF463" i="1"/>
  <c r="AF495" i="1"/>
  <c r="AF480" i="1"/>
  <c r="AF460" i="1"/>
  <c r="AF478" i="1"/>
  <c r="AF470" i="1"/>
  <c r="AF464" i="1"/>
  <c r="AF459" i="1"/>
  <c r="AF473" i="1"/>
  <c r="AF490" i="1"/>
  <c r="AF486" i="1"/>
  <c r="AF476" i="1"/>
  <c r="AF469" i="1"/>
  <c r="AF465" i="1"/>
  <c r="AF477" i="1"/>
  <c r="AF475" i="1"/>
  <c r="AF472" i="1"/>
  <c r="AF443" i="1"/>
  <c r="AF435" i="1"/>
  <c r="AF429" i="1"/>
  <c r="AF422" i="1"/>
  <c r="AF436" i="1"/>
  <c r="AF432" i="1"/>
  <c r="AF412" i="1"/>
  <c r="AF406" i="1"/>
  <c r="AF425" i="1"/>
  <c r="AF419" i="1"/>
  <c r="AF415" i="1"/>
  <c r="AF453" i="1"/>
  <c r="AF452" i="1"/>
  <c r="AF437" i="1"/>
  <c r="AF428" i="1"/>
  <c r="AF423" i="1"/>
  <c r="AF454" i="1"/>
  <c r="AF451" i="1"/>
  <c r="AF446" i="1"/>
  <c r="AF444" i="1"/>
  <c r="AF431" i="1"/>
  <c r="AF448" i="1"/>
  <c r="AF438" i="1"/>
  <c r="AF457" i="1"/>
  <c r="AF440" i="1"/>
  <c r="AF427" i="1"/>
  <c r="AF430" i="1"/>
  <c r="AF417" i="1"/>
  <c r="AF441" i="1"/>
  <c r="AF421" i="1"/>
  <c r="AF445" i="1"/>
  <c r="AF442" i="1"/>
  <c r="AF434" i="1"/>
  <c r="AF458" i="1"/>
  <c r="AF447" i="1"/>
  <c r="AF426" i="1"/>
  <c r="AF418" i="1"/>
  <c r="AF414" i="1"/>
  <c r="AF413" i="1"/>
  <c r="AF408" i="1"/>
  <c r="AF405" i="1"/>
  <c r="AF424" i="1"/>
  <c r="AF397" i="1"/>
  <c r="AF393" i="1"/>
  <c r="AF409" i="1"/>
  <c r="AF410" i="1"/>
  <c r="AF401" i="1"/>
  <c r="AF394" i="1"/>
  <c r="AF420" i="1"/>
  <c r="AF407" i="1"/>
  <c r="AF404" i="1"/>
  <c r="AF398" i="1"/>
  <c r="AF391" i="1"/>
  <c r="AF395" i="1"/>
  <c r="AF411" i="1"/>
  <c r="AF390" i="1"/>
  <c r="AF403" i="1"/>
  <c r="AF389" i="1"/>
  <c r="AF380" i="1"/>
  <c r="AF372" i="1"/>
  <c r="AF373" i="1"/>
  <c r="AF387" i="1"/>
  <c r="AF386" i="1"/>
  <c r="AF385" i="1"/>
  <c r="AF381" i="1"/>
  <c r="AF402" i="1"/>
  <c r="AF374" i="1"/>
  <c r="AF369" i="1"/>
  <c r="AF439" i="1"/>
  <c r="AF388" i="1"/>
  <c r="AF366" i="1"/>
  <c r="AF362" i="1"/>
  <c r="AF392" i="1"/>
  <c r="AF384" i="1"/>
  <c r="AF376" i="1"/>
  <c r="AF396" i="1"/>
  <c r="AF360" i="1"/>
  <c r="AF378" i="1"/>
  <c r="AF400" i="1"/>
  <c r="AF379" i="1"/>
  <c r="AF371" i="1"/>
  <c r="AF383" i="1"/>
  <c r="AF370" i="1"/>
  <c r="AF368" i="1"/>
  <c r="AF364" i="1"/>
  <c r="AF354" i="1"/>
  <c r="AF341" i="1"/>
  <c r="AF326" i="1"/>
  <c r="AF322" i="1"/>
  <c r="AF349" i="1"/>
  <c r="AF345" i="1"/>
  <c r="AF330" i="1"/>
  <c r="AF319" i="1"/>
  <c r="AF375" i="1"/>
  <c r="AF338" i="1"/>
  <c r="AF334" i="1"/>
  <c r="AF355" i="1"/>
  <c r="AF342" i="1"/>
  <c r="AF323" i="1"/>
  <c r="AF361" i="1"/>
  <c r="AF350" i="1"/>
  <c r="AF346" i="1"/>
  <c r="AF327" i="1"/>
  <c r="AF335" i="1"/>
  <c r="AF317" i="1"/>
  <c r="AF358" i="1"/>
  <c r="AF357" i="1"/>
  <c r="AF343" i="1"/>
  <c r="AF339" i="1"/>
  <c r="AF324" i="1"/>
  <c r="AF347" i="1"/>
  <c r="AF332" i="1"/>
  <c r="AF328" i="1"/>
  <c r="AF359" i="1"/>
  <c r="AF336" i="1"/>
  <c r="AF377" i="1"/>
  <c r="AF356" i="1"/>
  <c r="AF352" i="1"/>
  <c r="AF351" i="1"/>
  <c r="AF344" i="1"/>
  <c r="AF340" i="1"/>
  <c r="AF329" i="1"/>
  <c r="AF316" i="1"/>
  <c r="AF309" i="1"/>
  <c r="AF308" i="1"/>
  <c r="AF307" i="1"/>
  <c r="AF304" i="1"/>
  <c r="AF300" i="1"/>
  <c r="AF291" i="1"/>
  <c r="AF285" i="1"/>
  <c r="AF279" i="1"/>
  <c r="AF273" i="1"/>
  <c r="AF312" i="1"/>
  <c r="AF325" i="1"/>
  <c r="AF306" i="1"/>
  <c r="AF296" i="1"/>
  <c r="AF333" i="1"/>
  <c r="AF315" i="1"/>
  <c r="AF299" i="1"/>
  <c r="AF289" i="1"/>
  <c r="AF283" i="1"/>
  <c r="AF277" i="1"/>
  <c r="AF271" i="1"/>
  <c r="AF320" i="1"/>
  <c r="AF313" i="1"/>
  <c r="AF294" i="1"/>
  <c r="AF288" i="1"/>
  <c r="AF363" i="1"/>
  <c r="AF321" i="1"/>
  <c r="AF318" i="1"/>
  <c r="AF298" i="1"/>
  <c r="AF367" i="1"/>
  <c r="AF301" i="1"/>
  <c r="AF293" i="1"/>
  <c r="AF295" i="1"/>
  <c r="AF302" i="1"/>
  <c r="AF292" i="1"/>
  <c r="AF286" i="1"/>
  <c r="AF353" i="1"/>
  <c r="AF337" i="1"/>
  <c r="AF311" i="1"/>
  <c r="AF310" i="1"/>
  <c r="AF303" i="1"/>
  <c r="AF290" i="1"/>
  <c r="AF281" i="1"/>
  <c r="AF276" i="1"/>
  <c r="AF275" i="1"/>
  <c r="AF255" i="1"/>
  <c r="AF274" i="1"/>
  <c r="AF259" i="1"/>
  <c r="AF240" i="1"/>
  <c r="AF272" i="1"/>
  <c r="AF268" i="1"/>
  <c r="AF265" i="1"/>
  <c r="AF270" i="1"/>
  <c r="AF256" i="1"/>
  <c r="AF252" i="1"/>
  <c r="AF245" i="1"/>
  <c r="AF239" i="1"/>
  <c r="AF305" i="1"/>
  <c r="AF260" i="1"/>
  <c r="AF282" i="1"/>
  <c r="AF244" i="1"/>
  <c r="AF238" i="1"/>
  <c r="AF284" i="1"/>
  <c r="AF264" i="1"/>
  <c r="AF257" i="1"/>
  <c r="AF269" i="1"/>
  <c r="AF250" i="1"/>
  <c r="AF266" i="1"/>
  <c r="AF262" i="1"/>
  <c r="AF258" i="1"/>
  <c r="AF278" i="1"/>
  <c r="AF267" i="1"/>
  <c r="AF251" i="1"/>
  <c r="AF247" i="1"/>
  <c r="AF248" i="1"/>
  <c r="AF226" i="1"/>
  <c r="AF233" i="1"/>
  <c r="AF287" i="1"/>
  <c r="AF228" i="1"/>
  <c r="AF211" i="1"/>
  <c r="AF205" i="1"/>
  <c r="AF234" i="1"/>
  <c r="AF224" i="1"/>
  <c r="AF216" i="1"/>
  <c r="AF237" i="1"/>
  <c r="AF254" i="1"/>
  <c r="AF225" i="1"/>
  <c r="AF218" i="1"/>
  <c r="AF209" i="1"/>
  <c r="AF261" i="1"/>
  <c r="AF253" i="1"/>
  <c r="AF227" i="1"/>
  <c r="AF219" i="1"/>
  <c r="AF249" i="1"/>
  <c r="AF242" i="1"/>
  <c r="AF241" i="1"/>
  <c r="AF236" i="1"/>
  <c r="AF220" i="1"/>
  <c r="AF214" i="1"/>
  <c r="AF208" i="1"/>
  <c r="AF243" i="1"/>
  <c r="AF235" i="1"/>
  <c r="AF231" i="1"/>
  <c r="AF221" i="1"/>
  <c r="AF222" i="1"/>
  <c r="AF203" i="1"/>
  <c r="AF191" i="1"/>
  <c r="AF175" i="1"/>
  <c r="AF169" i="1"/>
  <c r="AF163" i="1"/>
  <c r="AF230" i="1"/>
  <c r="AF197" i="1"/>
  <c r="AF180" i="1"/>
  <c r="AF188" i="1"/>
  <c r="AF184" i="1"/>
  <c r="AF174" i="1"/>
  <c r="AF168" i="1"/>
  <c r="AF162" i="1"/>
  <c r="AF156" i="1"/>
  <c r="AF150" i="1"/>
  <c r="AF200" i="1"/>
  <c r="AF192" i="1"/>
  <c r="AF201" i="1"/>
  <c r="AF196" i="1"/>
  <c r="AF181" i="1"/>
  <c r="AF206" i="1"/>
  <c r="AF186" i="1"/>
  <c r="AF177" i="1"/>
  <c r="AF171" i="1"/>
  <c r="AF165" i="1"/>
  <c r="AF223" i="1"/>
  <c r="AF217" i="1"/>
  <c r="AF232" i="1"/>
  <c r="AF183" i="1"/>
  <c r="AF179" i="1"/>
  <c r="AF176" i="1"/>
  <c r="AF215" i="1"/>
  <c r="AF199" i="1"/>
  <c r="AF198" i="1"/>
  <c r="AF170" i="1"/>
  <c r="AF153" i="1"/>
  <c r="AF129" i="1"/>
  <c r="AF123" i="1"/>
  <c r="AF117" i="1"/>
  <c r="AF111" i="1"/>
  <c r="AF193" i="1"/>
  <c r="AF164" i="1"/>
  <c r="AF141" i="1"/>
  <c r="AF213" i="1"/>
  <c r="AF194" i="1"/>
  <c r="AF190" i="1"/>
  <c r="AF185" i="1"/>
  <c r="AF155" i="1"/>
  <c r="AF152" i="1"/>
  <c r="AF134" i="1"/>
  <c r="AF121" i="1"/>
  <c r="AF202" i="1"/>
  <c r="AF187" i="1"/>
  <c r="AF167" i="1"/>
  <c r="AF142" i="1"/>
  <c r="AF138" i="1"/>
  <c r="AF182" i="1"/>
  <c r="AF173" i="1"/>
  <c r="AF131" i="1"/>
  <c r="AF207" i="1"/>
  <c r="AF159" i="1"/>
  <c r="AF154" i="1"/>
  <c r="AF151" i="1"/>
  <c r="AF143" i="1"/>
  <c r="AF139" i="1"/>
  <c r="AF125" i="1"/>
  <c r="AF160" i="1"/>
  <c r="AF157" i="1"/>
  <c r="AF210" i="1"/>
  <c r="AF136" i="1"/>
  <c r="AF204" i="1"/>
  <c r="AF166" i="1"/>
  <c r="AF119" i="1"/>
  <c r="AF105" i="1"/>
  <c r="AF94" i="1"/>
  <c r="AF83" i="1"/>
  <c r="AF126" i="1"/>
  <c r="AF120" i="1"/>
  <c r="AF104" i="1"/>
  <c r="AF93" i="1"/>
  <c r="AF82" i="1"/>
  <c r="AF103" i="1"/>
  <c r="AF92" i="1"/>
  <c r="AF172" i="1"/>
  <c r="AF145" i="1"/>
  <c r="AF124" i="1"/>
  <c r="AF115" i="1"/>
  <c r="AF102" i="1"/>
  <c r="AF91" i="1"/>
  <c r="AF140" i="1"/>
  <c r="AF122" i="1"/>
  <c r="AF101" i="1"/>
  <c r="AF80" i="1"/>
  <c r="AF149" i="1"/>
  <c r="AF137" i="1"/>
  <c r="AF128" i="1"/>
  <c r="AF112" i="1"/>
  <c r="AF100" i="1"/>
  <c r="AF146" i="1"/>
  <c r="AF133" i="1"/>
  <c r="AF114" i="1"/>
  <c r="AF89" i="1"/>
  <c r="AF135" i="1"/>
  <c r="AF88" i="1"/>
  <c r="AF77" i="1"/>
  <c r="AF147" i="1"/>
  <c r="AF108" i="1"/>
  <c r="AF98" i="1"/>
  <c r="AF87" i="1"/>
  <c r="AF76" i="1"/>
  <c r="AF97" i="1"/>
  <c r="AF86" i="1"/>
  <c r="AF189" i="1"/>
  <c r="AF148" i="1"/>
  <c r="AF132" i="1"/>
  <c r="AF130" i="1"/>
  <c r="AF113" i="1"/>
  <c r="AF107" i="1"/>
  <c r="AF96" i="1"/>
  <c r="AF116" i="1"/>
  <c r="AF84" i="1"/>
  <c r="AF75" i="1"/>
  <c r="AF56" i="1"/>
  <c r="AF33" i="1"/>
  <c r="AF27" i="1"/>
  <c r="AF21" i="1"/>
  <c r="AF15" i="1"/>
  <c r="AF9" i="1"/>
  <c r="AF95" i="1"/>
  <c r="AF85" i="1"/>
  <c r="AF69" i="1"/>
  <c r="AF66" i="1"/>
  <c r="AF55" i="1"/>
  <c r="AF118" i="1"/>
  <c r="AF79" i="1"/>
  <c r="AF65" i="1"/>
  <c r="AF38" i="1"/>
  <c r="AF32" i="1"/>
  <c r="AF26" i="1"/>
  <c r="AF20" i="1"/>
  <c r="AF14" i="1"/>
  <c r="AF73" i="1"/>
  <c r="AF64" i="1"/>
  <c r="AF70" i="1"/>
  <c r="AF67" i="1"/>
  <c r="AF52" i="1"/>
  <c r="AF158" i="1"/>
  <c r="AF62" i="1"/>
  <c r="AF51" i="1"/>
  <c r="AF42" i="1"/>
  <c r="AF36" i="1"/>
  <c r="AF30" i="1"/>
  <c r="AF24" i="1"/>
  <c r="AF74" i="1"/>
  <c r="AF61" i="1"/>
  <c r="AF50" i="1"/>
  <c r="AF106" i="1"/>
  <c r="AF60" i="1"/>
  <c r="AF71" i="1"/>
  <c r="AF68" i="1"/>
  <c r="AF59" i="1"/>
  <c r="AF48" i="1"/>
  <c r="AF78" i="1"/>
  <c r="AF57" i="1"/>
  <c r="AF46" i="1"/>
  <c r="AF43" i="1"/>
  <c r="AF31" i="1"/>
  <c r="AF16" i="1"/>
  <c r="AF49" i="1"/>
  <c r="AF11" i="1"/>
  <c r="AF25" i="1"/>
  <c r="AF13" i="1"/>
  <c r="AF35" i="1"/>
  <c r="AF19" i="1"/>
  <c r="AF40" i="1"/>
  <c r="AF39" i="1" s="1"/>
  <c r="AF29" i="1"/>
  <c r="AF17" i="1"/>
  <c r="AF10" i="1"/>
  <c r="AF23" i="1"/>
  <c r="AF37" i="1"/>
  <c r="AF28" i="1"/>
  <c r="AF12" i="1"/>
  <c r="AF58" i="1"/>
  <c r="AF53" i="1"/>
  <c r="AF47" i="1"/>
  <c r="AF41" i="1"/>
  <c r="AF22" i="1"/>
  <c r="AF18" i="1"/>
  <c r="AE110" i="1"/>
  <c r="AE246" i="1"/>
  <c r="AE297" i="1"/>
  <c r="AE63" i="1"/>
  <c r="AE535" i="1"/>
  <c r="AE518" i="1"/>
  <c r="AE54" i="1"/>
  <c r="AE433" i="1"/>
  <c r="AE484" i="1"/>
  <c r="AD109" i="1"/>
  <c r="AD7" i="1" s="1"/>
  <c r="AE81" i="1"/>
  <c r="AE90" i="1"/>
  <c r="AE144" i="1"/>
  <c r="AE161" i="1"/>
  <c r="AE212" i="1"/>
  <c r="AE263" i="1"/>
  <c r="AE72" i="1"/>
  <c r="AE314" i="1"/>
  <c r="AE399" i="1"/>
  <c r="AE195" i="1"/>
  <c r="AE365" i="1"/>
  <c r="AE586" i="1"/>
  <c r="AE603" i="1"/>
  <c r="AE637" i="1"/>
  <c r="AE44" i="1" l="1"/>
  <c r="AF695" i="1"/>
  <c r="AF45" i="1"/>
  <c r="AF81" i="1"/>
  <c r="AF195" i="1"/>
  <c r="AF263" i="1"/>
  <c r="AF314" i="1"/>
  <c r="AF348" i="1"/>
  <c r="AF450" i="1"/>
  <c r="AF501" i="1"/>
  <c r="AF637" i="1"/>
  <c r="AD5" i="1"/>
  <c r="AD8" i="1"/>
  <c r="AE109" i="1"/>
  <c r="AF569" i="1"/>
  <c r="AF212" i="1"/>
  <c r="AF297" i="1"/>
  <c r="AF399" i="1"/>
  <c r="AF586" i="1"/>
  <c r="AF484" i="1"/>
  <c r="AF34" i="1"/>
  <c r="AF90" i="1"/>
  <c r="AF246" i="1"/>
  <c r="AF331" i="1"/>
  <c r="AF416" i="1"/>
  <c r="AF518" i="1"/>
  <c r="AF110" i="1"/>
  <c r="AF603" i="1"/>
  <c r="AH6" i="1"/>
  <c r="AI4" i="1"/>
  <c r="AF178" i="1"/>
  <c r="AF99" i="1"/>
  <c r="AF671" i="1"/>
  <c r="AG702" i="1"/>
  <c r="AG696" i="1"/>
  <c r="AG690" i="1"/>
  <c r="AG701" i="1"/>
  <c r="AG703" i="1"/>
  <c r="AG693" i="1"/>
  <c r="AG684" i="1"/>
  <c r="AG700" i="1"/>
  <c r="AG697" i="1"/>
  <c r="AG694" i="1"/>
  <c r="AG699" i="1"/>
  <c r="AG691" i="1"/>
  <c r="AG685" i="1"/>
  <c r="AG692" i="1"/>
  <c r="AG683" i="1"/>
  <c r="AG687" i="1"/>
  <c r="AG680" i="1"/>
  <c r="AG698" i="1"/>
  <c r="AG686" i="1"/>
  <c r="AG681" i="1"/>
  <c r="AG679" i="1"/>
  <c r="AG673" i="1"/>
  <c r="AG688" i="1"/>
  <c r="AG665" i="1"/>
  <c r="AG659" i="1"/>
  <c r="AG653" i="1"/>
  <c r="AG682" i="1"/>
  <c r="AG670" i="1"/>
  <c r="AG664" i="1"/>
  <c r="AG658" i="1"/>
  <c r="AG678" i="1"/>
  <c r="AG675" i="1"/>
  <c r="AG676" i="1"/>
  <c r="AG674" i="1"/>
  <c r="AG667" i="1"/>
  <c r="AG661" i="1"/>
  <c r="AG677" i="1"/>
  <c r="AG660" i="1"/>
  <c r="AG669" i="1"/>
  <c r="AG663" i="1"/>
  <c r="AG656" i="1"/>
  <c r="AG668" i="1"/>
  <c r="AG672" i="1"/>
  <c r="AG662" i="1"/>
  <c r="AG657" i="1"/>
  <c r="AG646" i="1"/>
  <c r="AG640" i="1"/>
  <c r="AG634" i="1"/>
  <c r="AG628" i="1"/>
  <c r="AG650" i="1"/>
  <c r="AG644" i="1"/>
  <c r="AG638" i="1"/>
  <c r="AG666" i="1"/>
  <c r="AG648" i="1"/>
  <c r="AG632" i="1"/>
  <c r="AG652" i="1"/>
  <c r="AG655" i="1"/>
  <c r="AG643" i="1"/>
  <c r="AG645" i="1"/>
  <c r="AG639" i="1"/>
  <c r="AG622" i="1"/>
  <c r="AG651" i="1"/>
  <c r="AG631" i="1"/>
  <c r="AG623" i="1"/>
  <c r="AG613" i="1"/>
  <c r="AG612" i="1"/>
  <c r="AG606" i="1"/>
  <c r="AG641" i="1"/>
  <c r="AG636" i="1"/>
  <c r="AG635" i="1"/>
  <c r="AG642" i="1"/>
  <c r="AG633" i="1"/>
  <c r="AG630" i="1"/>
  <c r="AG647" i="1"/>
  <c r="AG625" i="1"/>
  <c r="AG621" i="1"/>
  <c r="AG619" i="1"/>
  <c r="AG609" i="1"/>
  <c r="AG627" i="1"/>
  <c r="AG604" i="1"/>
  <c r="AG617" i="1"/>
  <c r="AG649" i="1"/>
  <c r="AG626" i="1"/>
  <c r="AG624" i="1"/>
  <c r="AG610" i="1"/>
  <c r="AG598" i="1"/>
  <c r="AG616" i="1"/>
  <c r="AG611" i="1"/>
  <c r="AG602" i="1"/>
  <c r="AG615" i="1"/>
  <c r="AG618" i="1"/>
  <c r="AG595" i="1"/>
  <c r="AG589" i="1"/>
  <c r="AG583" i="1"/>
  <c r="AG629" i="1"/>
  <c r="AG614" i="1"/>
  <c r="AG588" i="1"/>
  <c r="AG584" i="1"/>
  <c r="AG601" i="1"/>
  <c r="AG597" i="1"/>
  <c r="AG608" i="1"/>
  <c r="AG599" i="1"/>
  <c r="AG607" i="1"/>
  <c r="AG600" i="1"/>
  <c r="AG594" i="1"/>
  <c r="AG590" i="1"/>
  <c r="AG585" i="1"/>
  <c r="AG576" i="1"/>
  <c r="AG570" i="1"/>
  <c r="AG564" i="1"/>
  <c r="AG558" i="1"/>
  <c r="AG605" i="1"/>
  <c r="AG592" i="1"/>
  <c r="AG579" i="1"/>
  <c r="AG573" i="1"/>
  <c r="AG567" i="1"/>
  <c r="AG593" i="1"/>
  <c r="AG582" i="1"/>
  <c r="AG578" i="1"/>
  <c r="AG596" i="1"/>
  <c r="AG591" i="1"/>
  <c r="AG571" i="1"/>
  <c r="AG581" i="1"/>
  <c r="AG574" i="1"/>
  <c r="AG587" i="1"/>
  <c r="AG568" i="1"/>
  <c r="AG559" i="1"/>
  <c r="AG572" i="1"/>
  <c r="AG556" i="1"/>
  <c r="AG550" i="1"/>
  <c r="AG544" i="1"/>
  <c r="AG566" i="1"/>
  <c r="AG565" i="1"/>
  <c r="AG560" i="1"/>
  <c r="AG580" i="1"/>
  <c r="AG563" i="1"/>
  <c r="AG549" i="1"/>
  <c r="AG543" i="1"/>
  <c r="AG557" i="1"/>
  <c r="AG553" i="1"/>
  <c r="AG577" i="1"/>
  <c r="AG561" i="1"/>
  <c r="AG548" i="1"/>
  <c r="AG562" i="1"/>
  <c r="AG575" i="1"/>
  <c r="AG547" i="1"/>
  <c r="AG529" i="1"/>
  <c r="AG523" i="1"/>
  <c r="AG517" i="1"/>
  <c r="AG511" i="1"/>
  <c r="AG505" i="1"/>
  <c r="AG545" i="1"/>
  <c r="AG554" i="1"/>
  <c r="AG551" i="1"/>
  <c r="AG555" i="1"/>
  <c r="AG546" i="1"/>
  <c r="AG542" i="1"/>
  <c r="AG538" i="1"/>
  <c r="AG532" i="1"/>
  <c r="AG537" i="1"/>
  <c r="AG541" i="1"/>
  <c r="AG526" i="1"/>
  <c r="AG507" i="1"/>
  <c r="AG539" i="1"/>
  <c r="AG530" i="1"/>
  <c r="AG540" i="1"/>
  <c r="AG534" i="1"/>
  <c r="AG519" i="1"/>
  <c r="AG504" i="1"/>
  <c r="AG497" i="1"/>
  <c r="AG491" i="1"/>
  <c r="AG485" i="1"/>
  <c r="AG479" i="1"/>
  <c r="AG527" i="1"/>
  <c r="AG531" i="1"/>
  <c r="AG533" i="1"/>
  <c r="AG528" i="1"/>
  <c r="AG524" i="1"/>
  <c r="AG521" i="1"/>
  <c r="AG536" i="1"/>
  <c r="AG525" i="1"/>
  <c r="AG510" i="1"/>
  <c r="AG522" i="1"/>
  <c r="AG496" i="1"/>
  <c r="AG492" i="1"/>
  <c r="AG516" i="1"/>
  <c r="AG509" i="1"/>
  <c r="AG500" i="1"/>
  <c r="AG520" i="1"/>
  <c r="AG493" i="1"/>
  <c r="AG514" i="1"/>
  <c r="AG512" i="1"/>
  <c r="AG490" i="1"/>
  <c r="AG486" i="1"/>
  <c r="AG508" i="1"/>
  <c r="AG498" i="1"/>
  <c r="AG515" i="1"/>
  <c r="AG503" i="1"/>
  <c r="AG513" i="1"/>
  <c r="AG506" i="1"/>
  <c r="AG489" i="1"/>
  <c r="AG480" i="1"/>
  <c r="AG483" i="1"/>
  <c r="AG481" i="1"/>
  <c r="AG477" i="1"/>
  <c r="AG471" i="1"/>
  <c r="AG465" i="1"/>
  <c r="AG499" i="1"/>
  <c r="AG495" i="1"/>
  <c r="AG478" i="1"/>
  <c r="AG476" i="1"/>
  <c r="AG470" i="1"/>
  <c r="AG488" i="1"/>
  <c r="AG482" i="1"/>
  <c r="AG502" i="1"/>
  <c r="AG468" i="1"/>
  <c r="AG466" i="1"/>
  <c r="AG461" i="1"/>
  <c r="AG455" i="1"/>
  <c r="AG449" i="1"/>
  <c r="AG443" i="1"/>
  <c r="AG437" i="1"/>
  <c r="AG431" i="1"/>
  <c r="AG425" i="1"/>
  <c r="AG419" i="1"/>
  <c r="AG474" i="1"/>
  <c r="AG463" i="1"/>
  <c r="AG460" i="1"/>
  <c r="AG454" i="1"/>
  <c r="AG448" i="1"/>
  <c r="AG442" i="1"/>
  <c r="AG436" i="1"/>
  <c r="AG464" i="1"/>
  <c r="AG459" i="1"/>
  <c r="AG487" i="1"/>
  <c r="AG473" i="1"/>
  <c r="AG458" i="1"/>
  <c r="AG452" i="1"/>
  <c r="AG446" i="1"/>
  <c r="AG440" i="1"/>
  <c r="AG434" i="1"/>
  <c r="AG428" i="1"/>
  <c r="AG494" i="1"/>
  <c r="AG469" i="1"/>
  <c r="AG475" i="1"/>
  <c r="AG472" i="1"/>
  <c r="AG462" i="1"/>
  <c r="AG432" i="1"/>
  <c r="AG415" i="1"/>
  <c r="AG453" i="1"/>
  <c r="AG423" i="1"/>
  <c r="AG451" i="1"/>
  <c r="AG444" i="1"/>
  <c r="AG438" i="1"/>
  <c r="AG410" i="1"/>
  <c r="AG439" i="1"/>
  <c r="AG424" i="1"/>
  <c r="AG420" i="1"/>
  <c r="AG430" i="1"/>
  <c r="AG441" i="1"/>
  <c r="AG421" i="1"/>
  <c r="AG408" i="1"/>
  <c r="AG402" i="1"/>
  <c r="AG396" i="1"/>
  <c r="AG456" i="1"/>
  <c r="AG445" i="1"/>
  <c r="AG447" i="1"/>
  <c r="AG426" i="1"/>
  <c r="AG418" i="1"/>
  <c r="AG435" i="1"/>
  <c r="AG429" i="1"/>
  <c r="AG422" i="1"/>
  <c r="AG414" i="1"/>
  <c r="AG397" i="1"/>
  <c r="AG393" i="1"/>
  <c r="AG387" i="1"/>
  <c r="AG409" i="1"/>
  <c r="AG401" i="1"/>
  <c r="AG394" i="1"/>
  <c r="AG392" i="1"/>
  <c r="AG386" i="1"/>
  <c r="AG380" i="1"/>
  <c r="AG374" i="1"/>
  <c r="AG412" i="1"/>
  <c r="AG407" i="1"/>
  <c r="AG404" i="1"/>
  <c r="AG398" i="1"/>
  <c r="AG417" i="1"/>
  <c r="AG391" i="1"/>
  <c r="AG385" i="1"/>
  <c r="AG379" i="1"/>
  <c r="AG373" i="1"/>
  <c r="AG367" i="1"/>
  <c r="AG395" i="1"/>
  <c r="AG411" i="1"/>
  <c r="AG413" i="1"/>
  <c r="AG403" i="1"/>
  <c r="AG406" i="1"/>
  <c r="AG389" i="1"/>
  <c r="AG383" i="1"/>
  <c r="AG377" i="1"/>
  <c r="AG371" i="1"/>
  <c r="AG427" i="1"/>
  <c r="AG400" i="1"/>
  <c r="AG405" i="1"/>
  <c r="AG381" i="1"/>
  <c r="AG357" i="1"/>
  <c r="AG351" i="1"/>
  <c r="AG369" i="1"/>
  <c r="AG388" i="1"/>
  <c r="AG366" i="1"/>
  <c r="AG362" i="1"/>
  <c r="AG356" i="1"/>
  <c r="AG350" i="1"/>
  <c r="AG344" i="1"/>
  <c r="AG338" i="1"/>
  <c r="AG332" i="1"/>
  <c r="AG326" i="1"/>
  <c r="AG375" i="1"/>
  <c r="AG384" i="1"/>
  <c r="AG457" i="1"/>
  <c r="AG363" i="1"/>
  <c r="AG378" i="1"/>
  <c r="AG390" i="1"/>
  <c r="AG370" i="1"/>
  <c r="AG368" i="1"/>
  <c r="AG372" i="1"/>
  <c r="AG358" i="1"/>
  <c r="AG352" i="1"/>
  <c r="AG360" i="1"/>
  <c r="AG349" i="1"/>
  <c r="AG345" i="1"/>
  <c r="AG330" i="1"/>
  <c r="AG319" i="1"/>
  <c r="AG313" i="1"/>
  <c r="AG307" i="1"/>
  <c r="AG301" i="1"/>
  <c r="AG295" i="1"/>
  <c r="AG334" i="1"/>
  <c r="AG355" i="1"/>
  <c r="AG342" i="1"/>
  <c r="AG323" i="1"/>
  <c r="AG318" i="1"/>
  <c r="AG312" i="1"/>
  <c r="AG306" i="1"/>
  <c r="AG361" i="1"/>
  <c r="AG346" i="1"/>
  <c r="AG327" i="1"/>
  <c r="AG335" i="1"/>
  <c r="AG317" i="1"/>
  <c r="AG311" i="1"/>
  <c r="AG376" i="1"/>
  <c r="AG343" i="1"/>
  <c r="AG339" i="1"/>
  <c r="AG324" i="1"/>
  <c r="AG347" i="1"/>
  <c r="AG328" i="1"/>
  <c r="AG316" i="1"/>
  <c r="AG310" i="1"/>
  <c r="AG304" i="1"/>
  <c r="AG298" i="1"/>
  <c r="AG359" i="1"/>
  <c r="AG336" i="1"/>
  <c r="AG340" i="1"/>
  <c r="AG325" i="1"/>
  <c r="AG321" i="1"/>
  <c r="AG353" i="1"/>
  <c r="AG337" i="1"/>
  <c r="AG333" i="1"/>
  <c r="AG320" i="1"/>
  <c r="AG308" i="1"/>
  <c r="AG305" i="1"/>
  <c r="AG290" i="1"/>
  <c r="AG284" i="1"/>
  <c r="AG278" i="1"/>
  <c r="AG272" i="1"/>
  <c r="AG266" i="1"/>
  <c r="AG315" i="1"/>
  <c r="AG299" i="1"/>
  <c r="AG289" i="1"/>
  <c r="AG283" i="1"/>
  <c r="AG277" i="1"/>
  <c r="AG271" i="1"/>
  <c r="AG364" i="1"/>
  <c r="AG341" i="1"/>
  <c r="AG294" i="1"/>
  <c r="AG288" i="1"/>
  <c r="AG354" i="1"/>
  <c r="AG293" i="1"/>
  <c r="AG287" i="1"/>
  <c r="AG281" i="1"/>
  <c r="AG275" i="1"/>
  <c r="AG269" i="1"/>
  <c r="AG257" i="1"/>
  <c r="AG251" i="1"/>
  <c r="AG329" i="1"/>
  <c r="AG322" i="1"/>
  <c r="AG302" i="1"/>
  <c r="AG292" i="1"/>
  <c r="AG286" i="1"/>
  <c r="AG303" i="1"/>
  <c r="AG309" i="1"/>
  <c r="AG300" i="1"/>
  <c r="AG291" i="1"/>
  <c r="AG285" i="1"/>
  <c r="AG274" i="1"/>
  <c r="AG259" i="1"/>
  <c r="AG240" i="1"/>
  <c r="AG234" i="1"/>
  <c r="AG228" i="1"/>
  <c r="AG222" i="1"/>
  <c r="AG216" i="1"/>
  <c r="AG296" i="1"/>
  <c r="AG268" i="1"/>
  <c r="AG265" i="1"/>
  <c r="AG273" i="1"/>
  <c r="AG270" i="1"/>
  <c r="AG256" i="1"/>
  <c r="AG252" i="1"/>
  <c r="AG245" i="1"/>
  <c r="AG239" i="1"/>
  <c r="AG233" i="1"/>
  <c r="AG227" i="1"/>
  <c r="AG260" i="1"/>
  <c r="AG282" i="1"/>
  <c r="AG244" i="1"/>
  <c r="AG238" i="1"/>
  <c r="AG232" i="1"/>
  <c r="AG226" i="1"/>
  <c r="AG220" i="1"/>
  <c r="AG264" i="1"/>
  <c r="AG253" i="1"/>
  <c r="AG261" i="1"/>
  <c r="AG254" i="1"/>
  <c r="AG248" i="1"/>
  <c r="AG267" i="1"/>
  <c r="AG247" i="1"/>
  <c r="AG241" i="1"/>
  <c r="AG235" i="1"/>
  <c r="AG223" i="1"/>
  <c r="AG217" i="1"/>
  <c r="AG279" i="1"/>
  <c r="AG276" i="1"/>
  <c r="AG255" i="1"/>
  <c r="AG258" i="1"/>
  <c r="AG224" i="1"/>
  <c r="AG230" i="1"/>
  <c r="AG210" i="1"/>
  <c r="AG204" i="1"/>
  <c r="AG225" i="1"/>
  <c r="AG219" i="1"/>
  <c r="AG249" i="1"/>
  <c r="AG242" i="1"/>
  <c r="AG236" i="1"/>
  <c r="AG214" i="1"/>
  <c r="AG208" i="1"/>
  <c r="AG202" i="1"/>
  <c r="AG196" i="1"/>
  <c r="AG262" i="1"/>
  <c r="AG243" i="1"/>
  <c r="AG231" i="1"/>
  <c r="AG221" i="1"/>
  <c r="AG207" i="1"/>
  <c r="AG201" i="1"/>
  <c r="AG189" i="1"/>
  <c r="AG183" i="1"/>
  <c r="AG197" i="1"/>
  <c r="AG180" i="1"/>
  <c r="AG205" i="1"/>
  <c r="AG188" i="1"/>
  <c r="AG184" i="1"/>
  <c r="AG218" i="1"/>
  <c r="AG200" i="1"/>
  <c r="AG192" i="1"/>
  <c r="AG181" i="1"/>
  <c r="AG173" i="1"/>
  <c r="AG167" i="1"/>
  <c r="AG155" i="1"/>
  <c r="AG149" i="1"/>
  <c r="AG143" i="1"/>
  <c r="AG137" i="1"/>
  <c r="AG131" i="1"/>
  <c r="AG211" i="1"/>
  <c r="AG199" i="1"/>
  <c r="AG185" i="1"/>
  <c r="AG237" i="1"/>
  <c r="AG213" i="1"/>
  <c r="AG198" i="1"/>
  <c r="AG190" i="1"/>
  <c r="AG250" i="1"/>
  <c r="AG194" i="1"/>
  <c r="AG187" i="1"/>
  <c r="AG176" i="1"/>
  <c r="AG168" i="1"/>
  <c r="AG162" i="1"/>
  <c r="AG150" i="1"/>
  <c r="AG133" i="1"/>
  <c r="AG193" i="1"/>
  <c r="AG164" i="1"/>
  <c r="AG163" i="1"/>
  <c r="AG146" i="1"/>
  <c r="AG130" i="1"/>
  <c r="AG203" i="1"/>
  <c r="AG186" i="1"/>
  <c r="AG142" i="1"/>
  <c r="AG138" i="1"/>
  <c r="AG182" i="1"/>
  <c r="AG165" i="1"/>
  <c r="AG126" i="1"/>
  <c r="AG120" i="1"/>
  <c r="AG114" i="1"/>
  <c r="AG174" i="1"/>
  <c r="AG172" i="1"/>
  <c r="AG169" i="1"/>
  <c r="AG158" i="1"/>
  <c r="AG148" i="1"/>
  <c r="AG145" i="1"/>
  <c r="AG135" i="1"/>
  <c r="AG171" i="1"/>
  <c r="AG160" i="1"/>
  <c r="AG157" i="1"/>
  <c r="AG128" i="1"/>
  <c r="AG209" i="1"/>
  <c r="AG177" i="1"/>
  <c r="AG166" i="1"/>
  <c r="AG147" i="1"/>
  <c r="AG140" i="1"/>
  <c r="AG215" i="1"/>
  <c r="AG170" i="1"/>
  <c r="AG191" i="1"/>
  <c r="AG134" i="1"/>
  <c r="AG104" i="1"/>
  <c r="AG93" i="1"/>
  <c r="AG82" i="1"/>
  <c r="AG103" i="1"/>
  <c r="AG92" i="1"/>
  <c r="AG71" i="1"/>
  <c r="AG125" i="1"/>
  <c r="AG124" i="1"/>
  <c r="AG115" i="1"/>
  <c r="AG111" i="1"/>
  <c r="AG102" i="1"/>
  <c r="AG91" i="1"/>
  <c r="AG153" i="1"/>
  <c r="AG141" i="1"/>
  <c r="AG139" i="1"/>
  <c r="AG122" i="1"/>
  <c r="AG121" i="1"/>
  <c r="AG101" i="1"/>
  <c r="AG80" i="1"/>
  <c r="AG151" i="1"/>
  <c r="AG136" i="1"/>
  <c r="AG112" i="1"/>
  <c r="AG100" i="1"/>
  <c r="AG79" i="1"/>
  <c r="AG89" i="1"/>
  <c r="AG175" i="1"/>
  <c r="AG159" i="1"/>
  <c r="AG88" i="1"/>
  <c r="AG129" i="1"/>
  <c r="AG123" i="1"/>
  <c r="AG108" i="1"/>
  <c r="AG98" i="1"/>
  <c r="AG87" i="1"/>
  <c r="AG97" i="1"/>
  <c r="AG86" i="1"/>
  <c r="AG75" i="1"/>
  <c r="AG179" i="1"/>
  <c r="AG156" i="1"/>
  <c r="AG154" i="1"/>
  <c r="AG132" i="1"/>
  <c r="AG113" i="1"/>
  <c r="AG107" i="1"/>
  <c r="AG96" i="1"/>
  <c r="AG85" i="1"/>
  <c r="AG206" i="1"/>
  <c r="AG152" i="1"/>
  <c r="AG118" i="1"/>
  <c r="AG117" i="1"/>
  <c r="AG116" i="1"/>
  <c r="AG106" i="1"/>
  <c r="AG95" i="1"/>
  <c r="AG69" i="1"/>
  <c r="AG66" i="1"/>
  <c r="AG55" i="1"/>
  <c r="AG65" i="1"/>
  <c r="AG105" i="1"/>
  <c r="AG73" i="1"/>
  <c r="AG64" i="1"/>
  <c r="AG63" i="1" s="1"/>
  <c r="AG53" i="1"/>
  <c r="AG43" i="1"/>
  <c r="AG37" i="1"/>
  <c r="AG31" i="1"/>
  <c r="AG25" i="1"/>
  <c r="AG19" i="1"/>
  <c r="AG13" i="1"/>
  <c r="AG70" i="1"/>
  <c r="AG67" i="1"/>
  <c r="AG62" i="1"/>
  <c r="AG51" i="1"/>
  <c r="AG42" i="1"/>
  <c r="AG36" i="1"/>
  <c r="AG30" i="1"/>
  <c r="AG24" i="1"/>
  <c r="AG18" i="1"/>
  <c r="AG74" i="1"/>
  <c r="AG61" i="1"/>
  <c r="AG50" i="1"/>
  <c r="AG94" i="1"/>
  <c r="AG76" i="1"/>
  <c r="AG60" i="1"/>
  <c r="AG49" i="1"/>
  <c r="AG41" i="1"/>
  <c r="AG35" i="1"/>
  <c r="AG29" i="1"/>
  <c r="AG23" i="1"/>
  <c r="AG17" i="1"/>
  <c r="AG11" i="1"/>
  <c r="AG77" i="1"/>
  <c r="AG68" i="1"/>
  <c r="AG59" i="1"/>
  <c r="AG119" i="1"/>
  <c r="AG58" i="1"/>
  <c r="AG47" i="1"/>
  <c r="AG40" i="1"/>
  <c r="AG78" i="1"/>
  <c r="AG84" i="1"/>
  <c r="AG83" i="1"/>
  <c r="AG56" i="1"/>
  <c r="AG33" i="1"/>
  <c r="AG27" i="1"/>
  <c r="AG21" i="1"/>
  <c r="AG15" i="1"/>
  <c r="AG16" i="1"/>
  <c r="AG9" i="1"/>
  <c r="AG38" i="1"/>
  <c r="AG26" i="1"/>
  <c r="AG14" i="1"/>
  <c r="AG52" i="1"/>
  <c r="AG46" i="1"/>
  <c r="AG20" i="1"/>
  <c r="AG32" i="1"/>
  <c r="AG48" i="1"/>
  <c r="AG10" i="1"/>
  <c r="AG28" i="1"/>
  <c r="AG12" i="1"/>
  <c r="AG57" i="1"/>
  <c r="AG22" i="1"/>
  <c r="AE7" i="1"/>
  <c r="AF54" i="1"/>
  <c r="AF144" i="1"/>
  <c r="AF161" i="1"/>
  <c r="AF467" i="1"/>
  <c r="AF535" i="1"/>
  <c r="AF127" i="1"/>
  <c r="AF365" i="1"/>
  <c r="AF620" i="1"/>
  <c r="AF63" i="1"/>
  <c r="AF382" i="1"/>
  <c r="AF552" i="1"/>
  <c r="AF689" i="1"/>
  <c r="AF229" i="1"/>
  <c r="AF72" i="1"/>
  <c r="AF280" i="1"/>
  <c r="AF433" i="1"/>
  <c r="AF654" i="1"/>
  <c r="AF44" i="1" l="1"/>
  <c r="AG39" i="1"/>
  <c r="AG110" i="1"/>
  <c r="AG144" i="1"/>
  <c r="AG297" i="1"/>
  <c r="AG433" i="1"/>
  <c r="AG569" i="1"/>
  <c r="AG72" i="1"/>
  <c r="AG416" i="1"/>
  <c r="AG382" i="1"/>
  <c r="AG450" i="1"/>
  <c r="AG467" i="1"/>
  <c r="AG535" i="1"/>
  <c r="AG518" i="1"/>
  <c r="AG263" i="1"/>
  <c r="AG365" i="1"/>
  <c r="AG501" i="1"/>
  <c r="AG54" i="1"/>
  <c r="AG654" i="1"/>
  <c r="AI6" i="1"/>
  <c r="AJ4" i="1"/>
  <c r="AG552" i="1"/>
  <c r="AG603" i="1"/>
  <c r="AH700" i="1"/>
  <c r="AH701" i="1"/>
  <c r="AH691" i="1"/>
  <c r="AH687" i="1"/>
  <c r="AH699" i="1"/>
  <c r="AH696" i="1"/>
  <c r="AH703" i="1"/>
  <c r="AH683" i="1"/>
  <c r="AH692" i="1"/>
  <c r="AH697" i="1"/>
  <c r="AH702" i="1"/>
  <c r="AH690" i="1"/>
  <c r="AH680" i="1"/>
  <c r="AH694" i="1"/>
  <c r="AH698" i="1"/>
  <c r="AH677" i="1"/>
  <c r="AH676" i="1"/>
  <c r="AH693" i="1"/>
  <c r="AH688" i="1"/>
  <c r="AH686" i="1"/>
  <c r="AH685" i="1"/>
  <c r="AH679" i="1"/>
  <c r="AH684" i="1"/>
  <c r="AH678" i="1"/>
  <c r="AH681" i="1"/>
  <c r="AH682" i="1"/>
  <c r="AH675" i="1"/>
  <c r="AH673" i="1"/>
  <c r="AH664" i="1"/>
  <c r="AH670" i="1"/>
  <c r="AH657" i="1"/>
  <c r="AH674" i="1"/>
  <c r="AH672" i="1"/>
  <c r="AH660" i="1"/>
  <c r="AH669" i="1"/>
  <c r="AH663" i="1"/>
  <c r="AH668" i="1"/>
  <c r="AH658" i="1"/>
  <c r="AH650" i="1"/>
  <c r="AH656" i="1"/>
  <c r="AH645" i="1"/>
  <c r="AH661" i="1"/>
  <c r="AH666" i="1"/>
  <c r="AH665" i="1"/>
  <c r="AH655" i="1"/>
  <c r="AH652" i="1"/>
  <c r="AH651" i="1"/>
  <c r="AH646" i="1"/>
  <c r="AH636" i="1"/>
  <c r="AH649" i="1"/>
  <c r="AH647" i="1"/>
  <c r="AH630" i="1"/>
  <c r="AH667" i="1"/>
  <c r="AH662" i="1"/>
  <c r="AH631" i="1"/>
  <c r="AH659" i="1"/>
  <c r="AH635" i="1"/>
  <c r="AH627" i="1"/>
  <c r="AH639" i="1"/>
  <c r="AH629" i="1"/>
  <c r="AH648" i="1"/>
  <c r="AH640" i="1"/>
  <c r="AH628" i="1"/>
  <c r="AH621" i="1"/>
  <c r="AH653" i="1"/>
  <c r="AH641" i="1"/>
  <c r="AH644" i="1"/>
  <c r="AH616" i="1"/>
  <c r="AH634" i="1"/>
  <c r="AH642" i="1"/>
  <c r="AH633" i="1"/>
  <c r="AH643" i="1"/>
  <c r="AH638" i="1"/>
  <c r="AH625" i="1"/>
  <c r="AH632" i="1"/>
  <c r="AH626" i="1"/>
  <c r="AH612" i="1"/>
  <c r="AH617" i="1"/>
  <c r="AH606" i="1"/>
  <c r="AH623" i="1"/>
  <c r="AH624" i="1"/>
  <c r="AH615" i="1"/>
  <c r="AH614" i="1"/>
  <c r="AH619" i="1"/>
  <c r="AH611" i="1"/>
  <c r="AH613" i="1"/>
  <c r="AH608" i="1"/>
  <c r="AH605" i="1"/>
  <c r="AH618" i="1"/>
  <c r="AH609" i="1"/>
  <c r="AH602" i="1"/>
  <c r="AH592" i="1"/>
  <c r="AH601" i="1"/>
  <c r="AH610" i="1"/>
  <c r="AH607" i="1"/>
  <c r="AH600" i="1"/>
  <c r="AH594" i="1"/>
  <c r="AH590" i="1"/>
  <c r="AH622" i="1"/>
  <c r="AH604" i="1"/>
  <c r="AH588" i="1"/>
  <c r="AH589" i="1"/>
  <c r="AH595" i="1"/>
  <c r="AH597" i="1"/>
  <c r="AH598" i="1"/>
  <c r="AH593" i="1"/>
  <c r="AH582" i="1"/>
  <c r="AH596" i="1"/>
  <c r="AH591" i="1"/>
  <c r="AH572" i="1"/>
  <c r="AH599" i="1"/>
  <c r="AH585" i="1"/>
  <c r="AH584" i="1"/>
  <c r="AH581" i="1"/>
  <c r="AH574" i="1"/>
  <c r="AH579" i="1"/>
  <c r="AH583" i="1"/>
  <c r="AH577" i="1"/>
  <c r="AH587" i="1"/>
  <c r="AH576" i="1"/>
  <c r="AH564" i="1"/>
  <c r="AH556" i="1"/>
  <c r="AH550" i="1"/>
  <c r="AH544" i="1"/>
  <c r="AH566" i="1"/>
  <c r="AH565" i="1"/>
  <c r="AH560" i="1"/>
  <c r="AH580" i="1"/>
  <c r="AH571" i="1"/>
  <c r="AH563" i="1"/>
  <c r="AH573" i="1"/>
  <c r="AH567" i="1"/>
  <c r="AH557" i="1"/>
  <c r="AH553" i="1"/>
  <c r="AH570" i="1"/>
  <c r="AH561" i="1"/>
  <c r="AH575" i="1"/>
  <c r="AH547" i="1"/>
  <c r="AH545" i="1"/>
  <c r="AH558" i="1"/>
  <c r="AH554" i="1"/>
  <c r="AH549" i="1"/>
  <c r="AH551" i="1"/>
  <c r="AH568" i="1"/>
  <c r="AH559" i="1"/>
  <c r="AH555" i="1"/>
  <c r="AH548" i="1"/>
  <c r="AH578" i="1"/>
  <c r="AH543" i="1"/>
  <c r="AH522" i="1"/>
  <c r="AH546" i="1"/>
  <c r="AH541" i="1"/>
  <c r="AH526" i="1"/>
  <c r="AH539" i="1"/>
  <c r="AH530" i="1"/>
  <c r="AH515" i="1"/>
  <c r="AH511" i="1"/>
  <c r="AH542" i="1"/>
  <c r="AH540" i="1"/>
  <c r="AH534" i="1"/>
  <c r="AH527" i="1"/>
  <c r="AH523" i="1"/>
  <c r="AH508" i="1"/>
  <c r="AH531" i="1"/>
  <c r="AH538" i="1"/>
  <c r="AH533" i="1"/>
  <c r="AH528" i="1"/>
  <c r="AH536" i="1"/>
  <c r="AH525" i="1"/>
  <c r="AH562" i="1"/>
  <c r="AH537" i="1"/>
  <c r="AH532" i="1"/>
  <c r="AH529" i="1"/>
  <c r="AH514" i="1"/>
  <c r="AH516" i="1"/>
  <c r="AH509" i="1"/>
  <c r="AH500" i="1"/>
  <c r="AH521" i="1"/>
  <c r="AH520" i="1"/>
  <c r="AH497" i="1"/>
  <c r="AH482" i="1"/>
  <c r="AH524" i="1"/>
  <c r="AH519" i="1"/>
  <c r="AH512" i="1"/>
  <c r="AH494" i="1"/>
  <c r="AH510" i="1"/>
  <c r="AH517" i="1"/>
  <c r="AH505" i="1"/>
  <c r="AH499" i="1"/>
  <c r="AH513" i="1"/>
  <c r="AH506" i="1"/>
  <c r="AH502" i="1"/>
  <c r="AH507" i="1"/>
  <c r="AH480" i="1"/>
  <c r="AH492" i="1"/>
  <c r="AH483" i="1"/>
  <c r="AH504" i="1"/>
  <c r="AH490" i="1"/>
  <c r="AH487" i="1"/>
  <c r="AH486" i="1"/>
  <c r="AH503" i="1"/>
  <c r="AH498" i="1"/>
  <c r="AH495" i="1"/>
  <c r="AH496" i="1"/>
  <c r="AH485" i="1"/>
  <c r="AH479" i="1"/>
  <c r="AH493" i="1"/>
  <c r="AH491" i="1"/>
  <c r="AH461" i="1"/>
  <c r="AH455" i="1"/>
  <c r="AH474" i="1"/>
  <c r="AH471" i="1"/>
  <c r="AH463" i="1"/>
  <c r="AH460" i="1"/>
  <c r="AH454" i="1"/>
  <c r="AH448" i="1"/>
  <c r="AH478" i="1"/>
  <c r="AH470" i="1"/>
  <c r="AH464" i="1"/>
  <c r="AH459" i="1"/>
  <c r="AH473" i="1"/>
  <c r="AH488" i="1"/>
  <c r="AH458" i="1"/>
  <c r="AH489" i="1"/>
  <c r="AH469" i="1"/>
  <c r="AH476" i="1"/>
  <c r="AH465" i="1"/>
  <c r="AH475" i="1"/>
  <c r="AH472" i="1"/>
  <c r="AH477" i="1"/>
  <c r="AH462" i="1"/>
  <c r="AH481" i="1"/>
  <c r="AH468" i="1"/>
  <c r="AH449" i="1"/>
  <c r="AH436" i="1"/>
  <c r="AH466" i="1"/>
  <c r="AH453" i="1"/>
  <c r="AH425" i="1"/>
  <c r="AH423" i="1"/>
  <c r="AH419" i="1"/>
  <c r="AH411" i="1"/>
  <c r="AH405" i="1"/>
  <c r="AH452" i="1"/>
  <c r="AH451" i="1"/>
  <c r="AH444" i="1"/>
  <c r="AH437" i="1"/>
  <c r="AH428" i="1"/>
  <c r="AH446" i="1"/>
  <c r="AH438" i="1"/>
  <c r="AH431" i="1"/>
  <c r="AH439" i="1"/>
  <c r="AH424" i="1"/>
  <c r="AH420" i="1"/>
  <c r="AH457" i="1"/>
  <c r="AH427" i="1"/>
  <c r="AH441" i="1"/>
  <c r="AH456" i="1"/>
  <c r="AH445" i="1"/>
  <c r="AH447" i="1"/>
  <c r="AH442" i="1"/>
  <c r="AH434" i="1"/>
  <c r="AH426" i="1"/>
  <c r="AH435" i="1"/>
  <c r="AH429" i="1"/>
  <c r="AH422" i="1"/>
  <c r="AH443" i="1"/>
  <c r="AH432" i="1"/>
  <c r="AH412" i="1"/>
  <c r="AH409" i="1"/>
  <c r="AH401" i="1"/>
  <c r="AH394" i="1"/>
  <c r="AH392" i="1"/>
  <c r="AH410" i="1"/>
  <c r="AH407" i="1"/>
  <c r="AH404" i="1"/>
  <c r="AH398" i="1"/>
  <c r="AH417" i="1"/>
  <c r="AH421" i="1"/>
  <c r="AH395" i="1"/>
  <c r="AH390" i="1"/>
  <c r="AH440" i="1"/>
  <c r="AH430" i="1"/>
  <c r="AH413" i="1"/>
  <c r="AH403" i="1"/>
  <c r="AH406" i="1"/>
  <c r="AH389" i="1"/>
  <c r="AH400" i="1"/>
  <c r="AH396" i="1"/>
  <c r="AH415" i="1"/>
  <c r="AH381" i="1"/>
  <c r="AH373" i="1"/>
  <c r="AH387" i="1"/>
  <c r="AH386" i="1"/>
  <c r="AH385" i="1"/>
  <c r="AH369" i="1"/>
  <c r="AH402" i="1"/>
  <c r="AH388" i="1"/>
  <c r="AH374" i="1"/>
  <c r="AH375" i="1"/>
  <c r="AH384" i="1"/>
  <c r="AH376" i="1"/>
  <c r="AH361" i="1"/>
  <c r="AH397" i="1"/>
  <c r="AH393" i="1"/>
  <c r="AH377" i="1"/>
  <c r="AH367" i="1"/>
  <c r="AH408" i="1"/>
  <c r="AH364" i="1"/>
  <c r="AH359" i="1"/>
  <c r="AH418" i="1"/>
  <c r="AH379" i="1"/>
  <c r="AH383" i="1"/>
  <c r="AH372" i="1"/>
  <c r="AH380" i="1"/>
  <c r="AH378" i="1"/>
  <c r="AH334" i="1"/>
  <c r="AH368" i="1"/>
  <c r="AH355" i="1"/>
  <c r="AH342" i="1"/>
  <c r="AH338" i="1"/>
  <c r="AH323" i="1"/>
  <c r="AH318" i="1"/>
  <c r="AH346" i="1"/>
  <c r="AH327" i="1"/>
  <c r="AH350" i="1"/>
  <c r="AH335" i="1"/>
  <c r="AH391" i="1"/>
  <c r="AH343" i="1"/>
  <c r="AH339" i="1"/>
  <c r="AH324" i="1"/>
  <c r="AH358" i="1"/>
  <c r="AH357" i="1"/>
  <c r="AH347" i="1"/>
  <c r="AH328" i="1"/>
  <c r="AH316" i="1"/>
  <c r="AH371" i="1"/>
  <c r="AH336" i="1"/>
  <c r="AH332" i="1"/>
  <c r="AH370" i="1"/>
  <c r="AH340" i="1"/>
  <c r="AH325" i="1"/>
  <c r="AH321" i="1"/>
  <c r="AH356" i="1"/>
  <c r="AH352" i="1"/>
  <c r="AH351" i="1"/>
  <c r="AH344" i="1"/>
  <c r="AH329" i="1"/>
  <c r="AH353" i="1"/>
  <c r="AH366" i="1"/>
  <c r="AH363" i="1"/>
  <c r="AH362" i="1"/>
  <c r="AH354" i="1"/>
  <c r="AH341" i="1"/>
  <c r="AH322" i="1"/>
  <c r="AH317" i="1"/>
  <c r="AH312" i="1"/>
  <c r="AH305" i="1"/>
  <c r="AH290" i="1"/>
  <c r="AH284" i="1"/>
  <c r="AH278" i="1"/>
  <c r="AH272" i="1"/>
  <c r="AH296" i="1"/>
  <c r="AH333" i="1"/>
  <c r="AH326" i="1"/>
  <c r="AH294" i="1"/>
  <c r="AH288" i="1"/>
  <c r="AH282" i="1"/>
  <c r="AH276" i="1"/>
  <c r="AH270" i="1"/>
  <c r="AH360" i="1"/>
  <c r="AH320" i="1"/>
  <c r="AH319" i="1"/>
  <c r="AH313" i="1"/>
  <c r="AH345" i="1"/>
  <c r="AH298" i="1"/>
  <c r="AH293" i="1"/>
  <c r="AH287" i="1"/>
  <c r="AH301" i="1"/>
  <c r="AH349" i="1"/>
  <c r="AH302" i="1"/>
  <c r="AH295" i="1"/>
  <c r="AH292" i="1"/>
  <c r="AH303" i="1"/>
  <c r="AH414" i="1"/>
  <c r="AH337" i="1"/>
  <c r="AH330" i="1"/>
  <c r="AH311" i="1"/>
  <c r="AH310" i="1"/>
  <c r="AH309" i="1"/>
  <c r="AH300" i="1"/>
  <c r="AH291" i="1"/>
  <c r="AH285" i="1"/>
  <c r="AH308" i="1"/>
  <c r="AH307" i="1"/>
  <c r="AH304" i="1"/>
  <c r="AH268" i="1"/>
  <c r="AH265" i="1"/>
  <c r="AH273" i="1"/>
  <c r="AH256" i="1"/>
  <c r="AH252" i="1"/>
  <c r="AH245" i="1"/>
  <c r="AH239" i="1"/>
  <c r="AH271" i="1"/>
  <c r="AH260" i="1"/>
  <c r="AH315" i="1"/>
  <c r="AH314" i="1" s="1"/>
  <c r="AH283" i="1"/>
  <c r="AH244" i="1"/>
  <c r="AH238" i="1"/>
  <c r="AH264" i="1"/>
  <c r="AH253" i="1"/>
  <c r="AH261" i="1"/>
  <c r="AH257" i="1"/>
  <c r="AH249" i="1"/>
  <c r="AH243" i="1"/>
  <c r="AH237" i="1"/>
  <c r="AH289" i="1"/>
  <c r="AH286" i="1"/>
  <c r="AH262" i="1"/>
  <c r="AH258" i="1"/>
  <c r="AH299" i="1"/>
  <c r="AH279" i="1"/>
  <c r="AH255" i="1"/>
  <c r="AH251" i="1"/>
  <c r="AH306" i="1"/>
  <c r="AH281" i="1"/>
  <c r="AH277" i="1"/>
  <c r="AH275" i="1"/>
  <c r="AH274" i="1"/>
  <c r="AH259" i="1"/>
  <c r="AH233" i="1"/>
  <c r="AH228" i="1"/>
  <c r="AH234" i="1"/>
  <c r="AH230" i="1"/>
  <c r="AH216" i="1"/>
  <c r="AH210" i="1"/>
  <c r="AH204" i="1"/>
  <c r="AH250" i="1"/>
  <c r="AH232" i="1"/>
  <c r="AH217" i="1"/>
  <c r="AH213" i="1"/>
  <c r="AH254" i="1"/>
  <c r="AH266" i="1"/>
  <c r="AH242" i="1"/>
  <c r="AH236" i="1"/>
  <c r="AH227" i="1"/>
  <c r="AH214" i="1"/>
  <c r="AH208" i="1"/>
  <c r="AH241" i="1"/>
  <c r="AH220" i="1"/>
  <c r="AH231" i="1"/>
  <c r="AH221" i="1"/>
  <c r="AH207" i="1"/>
  <c r="AH267" i="1"/>
  <c r="AH235" i="1"/>
  <c r="AH215" i="1"/>
  <c r="AH240" i="1"/>
  <c r="AH222" i="1"/>
  <c r="AH205" i="1"/>
  <c r="AH188" i="1"/>
  <c r="AH184" i="1"/>
  <c r="AH174" i="1"/>
  <c r="AH168" i="1"/>
  <c r="AH162" i="1"/>
  <c r="AH269" i="1"/>
  <c r="AH218" i="1"/>
  <c r="AH200" i="1"/>
  <c r="AH192" i="1"/>
  <c r="AH181" i="1"/>
  <c r="AH173" i="1"/>
  <c r="AH167" i="1"/>
  <c r="AH155" i="1"/>
  <c r="AH149" i="1"/>
  <c r="AH225" i="1"/>
  <c r="AH211" i="1"/>
  <c r="AH201" i="1"/>
  <c r="AH199" i="1"/>
  <c r="AH196" i="1"/>
  <c r="AH185" i="1"/>
  <c r="AH248" i="1"/>
  <c r="AH224" i="1"/>
  <c r="AH193" i="1"/>
  <c r="AH189" i="1"/>
  <c r="AH219" i="1"/>
  <c r="AH202" i="1"/>
  <c r="AH247" i="1"/>
  <c r="AH223" i="1"/>
  <c r="AH179" i="1"/>
  <c r="AH176" i="1"/>
  <c r="AH170" i="1"/>
  <c r="AH203" i="1"/>
  <c r="AH191" i="1"/>
  <c r="AH175" i="1"/>
  <c r="AH164" i="1"/>
  <c r="AH163" i="1"/>
  <c r="AH156" i="1"/>
  <c r="AH141" i="1"/>
  <c r="AH137" i="1"/>
  <c r="AH122" i="1"/>
  <c r="AH116" i="1"/>
  <c r="AH152" i="1"/>
  <c r="AH134" i="1"/>
  <c r="AH194" i="1"/>
  <c r="AH226" i="1"/>
  <c r="AH187" i="1"/>
  <c r="AH182" i="1"/>
  <c r="AH165" i="1"/>
  <c r="AH126" i="1"/>
  <c r="AH120" i="1"/>
  <c r="AH183" i="1"/>
  <c r="AH172" i="1"/>
  <c r="AH169" i="1"/>
  <c r="AH158" i="1"/>
  <c r="AH148" i="1"/>
  <c r="AH145" i="1"/>
  <c r="AH135" i="1"/>
  <c r="AH131" i="1"/>
  <c r="AH206" i="1"/>
  <c r="AH180" i="1"/>
  <c r="AH159" i="1"/>
  <c r="AH154" i="1"/>
  <c r="AH151" i="1"/>
  <c r="AH139" i="1"/>
  <c r="AH209" i="1"/>
  <c r="AH177" i="1"/>
  <c r="AH136" i="1"/>
  <c r="AH132" i="1"/>
  <c r="AH124" i="1"/>
  <c r="AH197" i="1"/>
  <c r="AH166" i="1"/>
  <c r="AH153" i="1"/>
  <c r="AH198" i="1"/>
  <c r="AH186" i="1"/>
  <c r="AH103" i="1"/>
  <c r="AH92" i="1"/>
  <c r="AH143" i="1"/>
  <c r="AH125" i="1"/>
  <c r="AH115" i="1"/>
  <c r="AH111" i="1"/>
  <c r="AH102" i="1"/>
  <c r="AH91" i="1"/>
  <c r="AH70" i="1"/>
  <c r="AH142" i="1"/>
  <c r="AH121" i="1"/>
  <c r="AH101" i="1"/>
  <c r="AH80" i="1"/>
  <c r="AH157" i="1"/>
  <c r="AH140" i="1"/>
  <c r="AH112" i="1"/>
  <c r="AH100" i="1"/>
  <c r="AH79" i="1"/>
  <c r="AH138" i="1"/>
  <c r="AH128" i="1"/>
  <c r="AH89" i="1"/>
  <c r="AH78" i="1"/>
  <c r="AH190" i="1"/>
  <c r="AH160" i="1"/>
  <c r="AH146" i="1"/>
  <c r="AH133" i="1"/>
  <c r="AH114" i="1"/>
  <c r="AH88" i="1"/>
  <c r="AH129" i="1"/>
  <c r="AH123" i="1"/>
  <c r="AH108" i="1"/>
  <c r="AH98" i="1"/>
  <c r="AH87" i="1"/>
  <c r="AH147" i="1"/>
  <c r="AH97" i="1"/>
  <c r="AH86" i="1"/>
  <c r="AH113" i="1"/>
  <c r="AH107" i="1"/>
  <c r="AH96" i="1"/>
  <c r="AH85" i="1"/>
  <c r="AH74" i="1"/>
  <c r="AH130" i="1"/>
  <c r="AH118" i="1"/>
  <c r="AH117" i="1"/>
  <c r="AH106" i="1"/>
  <c r="AH95" i="1"/>
  <c r="AH84" i="1"/>
  <c r="AH171" i="1"/>
  <c r="AH150" i="1"/>
  <c r="AH119" i="1"/>
  <c r="AH105" i="1"/>
  <c r="AH94" i="1"/>
  <c r="AH65" i="1"/>
  <c r="AH38" i="1"/>
  <c r="AH32" i="1"/>
  <c r="AH26" i="1"/>
  <c r="AH20" i="1"/>
  <c r="AH14" i="1"/>
  <c r="AH93" i="1"/>
  <c r="AH82" i="1"/>
  <c r="AH73" i="1"/>
  <c r="AH64" i="1"/>
  <c r="AH53" i="1"/>
  <c r="AH43" i="1"/>
  <c r="AH37" i="1"/>
  <c r="AH31" i="1"/>
  <c r="AH25" i="1"/>
  <c r="AH19" i="1"/>
  <c r="AH13" i="1"/>
  <c r="AH67" i="1"/>
  <c r="AH52" i="1"/>
  <c r="AH61" i="1"/>
  <c r="AH50" i="1"/>
  <c r="AH76" i="1"/>
  <c r="AH60" i="1"/>
  <c r="AH49" i="1"/>
  <c r="AH41" i="1"/>
  <c r="AH35" i="1"/>
  <c r="AH29" i="1"/>
  <c r="AH23" i="1"/>
  <c r="AH77" i="1"/>
  <c r="AH68" i="1"/>
  <c r="AH59" i="1"/>
  <c r="AH48" i="1"/>
  <c r="AH104" i="1"/>
  <c r="AH71" i="1"/>
  <c r="AH58" i="1"/>
  <c r="AH57" i="1"/>
  <c r="AH46" i="1"/>
  <c r="AH83" i="1"/>
  <c r="AH75" i="1"/>
  <c r="AH69" i="1"/>
  <c r="AH66" i="1"/>
  <c r="AH55" i="1"/>
  <c r="AH21" i="1"/>
  <c r="AH15" i="1"/>
  <c r="AH9" i="1"/>
  <c r="AH11" i="1"/>
  <c r="AH30" i="1"/>
  <c r="AH16" i="1"/>
  <c r="AH40" i="1"/>
  <c r="AH17" i="1"/>
  <c r="AH36" i="1"/>
  <c r="AH24" i="1"/>
  <c r="AH51" i="1"/>
  <c r="AH42" i="1"/>
  <c r="AH28" i="1"/>
  <c r="AH10" i="1"/>
  <c r="AH62" i="1"/>
  <c r="AH12" i="1"/>
  <c r="AH56" i="1"/>
  <c r="AH33" i="1"/>
  <c r="AH22" i="1"/>
  <c r="AH47" i="1"/>
  <c r="AH18" i="1"/>
  <c r="AH27" i="1"/>
  <c r="AG212" i="1"/>
  <c r="AG280" i="1"/>
  <c r="AG348" i="1"/>
  <c r="AG671" i="1"/>
  <c r="AG81" i="1"/>
  <c r="AG127" i="1"/>
  <c r="AG314" i="1"/>
  <c r="AF109" i="1"/>
  <c r="AF7" i="1" s="1"/>
  <c r="AG246" i="1"/>
  <c r="AG331" i="1"/>
  <c r="AG586" i="1"/>
  <c r="AG45" i="1"/>
  <c r="AG178" i="1"/>
  <c r="AG399" i="1"/>
  <c r="AG484" i="1"/>
  <c r="AG620" i="1"/>
  <c r="AG637" i="1"/>
  <c r="AG90" i="1"/>
  <c r="AG161" i="1"/>
  <c r="AG229" i="1"/>
  <c r="AG689" i="1"/>
  <c r="AE8" i="1"/>
  <c r="AE5" i="1"/>
  <c r="AG34" i="1"/>
  <c r="AG99" i="1"/>
  <c r="AG195" i="1"/>
  <c r="AG695" i="1"/>
  <c r="AH45" i="1" l="1"/>
  <c r="AH99" i="1"/>
  <c r="AH195" i="1"/>
  <c r="AH433" i="1"/>
  <c r="AH654" i="1"/>
  <c r="AH671" i="1"/>
  <c r="AG109" i="1"/>
  <c r="AH178" i="1"/>
  <c r="AH695" i="1"/>
  <c r="AF5" i="1"/>
  <c r="AF8" i="1"/>
  <c r="AH212" i="1"/>
  <c r="AH161" i="1"/>
  <c r="AH348" i="1"/>
  <c r="AH63" i="1"/>
  <c r="AH72" i="1"/>
  <c r="AH246" i="1"/>
  <c r="AH280" i="1"/>
  <c r="AH467" i="1"/>
  <c r="AH81" i="1"/>
  <c r="AH44" i="1" s="1"/>
  <c r="AH450" i="1"/>
  <c r="AH603" i="1"/>
  <c r="AH620" i="1"/>
  <c r="AH297" i="1"/>
  <c r="AH518" i="1"/>
  <c r="AH569" i="1"/>
  <c r="AH54" i="1"/>
  <c r="AH331" i="1"/>
  <c r="AH552" i="1"/>
  <c r="AH229" i="1"/>
  <c r="AH263" i="1"/>
  <c r="AH365" i="1"/>
  <c r="AH416" i="1"/>
  <c r="AH484" i="1"/>
  <c r="AH637" i="1"/>
  <c r="AH39" i="1"/>
  <c r="AH127" i="1"/>
  <c r="AH90" i="1"/>
  <c r="AH382" i="1"/>
  <c r="AH501" i="1"/>
  <c r="AH535" i="1"/>
  <c r="AH689" i="1"/>
  <c r="AI701" i="1"/>
  <c r="AI700" i="1"/>
  <c r="AI683" i="1"/>
  <c r="AI699" i="1"/>
  <c r="AI696" i="1"/>
  <c r="AI692" i="1"/>
  <c r="AI702" i="1"/>
  <c r="AI698" i="1"/>
  <c r="AI703" i="1"/>
  <c r="AI697" i="1"/>
  <c r="AI688" i="1"/>
  <c r="AI694" i="1"/>
  <c r="AI687" i="1"/>
  <c r="AI691" i="1"/>
  <c r="AI693" i="1"/>
  <c r="AI686" i="1"/>
  <c r="AI681" i="1"/>
  <c r="AI679" i="1"/>
  <c r="AI685" i="1"/>
  <c r="AI682" i="1"/>
  <c r="AI670" i="1"/>
  <c r="AI664" i="1"/>
  <c r="AI658" i="1"/>
  <c r="AI684" i="1"/>
  <c r="AI680" i="1"/>
  <c r="AI669" i="1"/>
  <c r="AI663" i="1"/>
  <c r="AI657" i="1"/>
  <c r="AI676" i="1"/>
  <c r="AI690" i="1"/>
  <c r="AI674" i="1"/>
  <c r="AI677" i="1"/>
  <c r="AI672" i="1"/>
  <c r="AI666" i="1"/>
  <c r="AI673" i="1"/>
  <c r="AI656" i="1"/>
  <c r="AI652" i="1"/>
  <c r="AI668" i="1"/>
  <c r="AI675" i="1"/>
  <c r="AI665" i="1"/>
  <c r="AI678" i="1"/>
  <c r="AI645" i="1"/>
  <c r="AI639" i="1"/>
  <c r="AI633" i="1"/>
  <c r="AI661" i="1"/>
  <c r="AI655" i="1"/>
  <c r="AI653" i="1"/>
  <c r="AI649" i="1"/>
  <c r="AI643" i="1"/>
  <c r="AI659" i="1"/>
  <c r="AI647" i="1"/>
  <c r="AI667" i="1"/>
  <c r="AI644" i="1"/>
  <c r="AI634" i="1"/>
  <c r="AI662" i="1"/>
  <c r="AI651" i="1"/>
  <c r="AI635" i="1"/>
  <c r="AI627" i="1"/>
  <c r="AI621" i="1"/>
  <c r="AI612" i="1"/>
  <c r="AI648" i="1"/>
  <c r="AI646" i="1"/>
  <c r="AI640" i="1"/>
  <c r="AI617" i="1"/>
  <c r="AI611" i="1"/>
  <c r="AI641" i="1"/>
  <c r="AI660" i="1"/>
  <c r="AI642" i="1"/>
  <c r="AI638" i="1"/>
  <c r="AI631" i="1"/>
  <c r="AI615" i="1"/>
  <c r="AI650" i="1"/>
  <c r="AI632" i="1"/>
  <c r="AI626" i="1"/>
  <c r="AI624" i="1"/>
  <c r="AI623" i="1"/>
  <c r="AI610" i="1"/>
  <c r="AI608" i="1"/>
  <c r="AI616" i="1"/>
  <c r="AI613" i="1"/>
  <c r="AI618" i="1"/>
  <c r="AI602" i="1"/>
  <c r="AI597" i="1"/>
  <c r="AI605" i="1"/>
  <c r="AI636" i="1"/>
  <c r="AI630" i="1"/>
  <c r="AI625" i="1"/>
  <c r="AI629" i="1"/>
  <c r="AI600" i="1"/>
  <c r="AI594" i="1"/>
  <c r="AI588" i="1"/>
  <c r="AI582" i="1"/>
  <c r="AI628" i="1"/>
  <c r="AI622" i="1"/>
  <c r="AI609" i="1"/>
  <c r="AI619" i="1"/>
  <c r="AI598" i="1"/>
  <c r="AI596" i="1"/>
  <c r="AI607" i="1"/>
  <c r="AI614" i="1"/>
  <c r="AI606" i="1"/>
  <c r="AI604" i="1"/>
  <c r="AI601" i="1"/>
  <c r="AI589" i="1"/>
  <c r="AI595" i="1"/>
  <c r="AI592" i="1"/>
  <c r="AI575" i="1"/>
  <c r="AI563" i="1"/>
  <c r="AI557" i="1"/>
  <c r="AI587" i="1"/>
  <c r="AI593" i="1"/>
  <c r="AI591" i="1"/>
  <c r="AI578" i="1"/>
  <c r="AI572" i="1"/>
  <c r="AI566" i="1"/>
  <c r="AI599" i="1"/>
  <c r="AI585" i="1"/>
  <c r="AI581" i="1"/>
  <c r="AI574" i="1"/>
  <c r="AI579" i="1"/>
  <c r="AI564" i="1"/>
  <c r="AI567" i="1"/>
  <c r="AI573" i="1"/>
  <c r="AI590" i="1"/>
  <c r="AI565" i="1"/>
  <c r="AI560" i="1"/>
  <c r="AI580" i="1"/>
  <c r="AI571" i="1"/>
  <c r="AI549" i="1"/>
  <c r="AI543" i="1"/>
  <c r="AI570" i="1"/>
  <c r="AI561" i="1"/>
  <c r="AI548" i="1"/>
  <c r="AI542" i="1"/>
  <c r="AI577" i="1"/>
  <c r="AI554" i="1"/>
  <c r="AI547" i="1"/>
  <c r="AI583" i="1"/>
  <c r="AI584" i="1"/>
  <c r="AI568" i="1"/>
  <c r="AI553" i="1"/>
  <c r="AI545" i="1"/>
  <c r="AI558" i="1"/>
  <c r="AI534" i="1"/>
  <c r="AI528" i="1"/>
  <c r="AI522" i="1"/>
  <c r="AI516" i="1"/>
  <c r="AI510" i="1"/>
  <c r="AI504" i="1"/>
  <c r="AI551" i="1"/>
  <c r="AI559" i="1"/>
  <c r="AI555" i="1"/>
  <c r="AI546" i="1"/>
  <c r="AI576" i="1"/>
  <c r="AI562" i="1"/>
  <c r="AI537" i="1"/>
  <c r="AI556" i="1"/>
  <c r="AI541" i="1"/>
  <c r="AI526" i="1"/>
  <c r="AI539" i="1"/>
  <c r="AI530" i="1"/>
  <c r="AI540" i="1"/>
  <c r="AI519" i="1"/>
  <c r="AI527" i="1"/>
  <c r="AI531" i="1"/>
  <c r="AI512" i="1"/>
  <c r="AI496" i="1"/>
  <c r="AI490" i="1"/>
  <c r="AI478" i="1"/>
  <c r="AI550" i="1"/>
  <c r="AI538" i="1"/>
  <c r="AI520" i="1"/>
  <c r="AI533" i="1"/>
  <c r="AI544" i="1"/>
  <c r="AI521" i="1"/>
  <c r="AI536" i="1"/>
  <c r="AI532" i="1"/>
  <c r="AI529" i="1"/>
  <c r="AI489" i="1"/>
  <c r="AI507" i="1"/>
  <c r="AI524" i="1"/>
  <c r="AI514" i="1"/>
  <c r="AI486" i="1"/>
  <c r="AI494" i="1"/>
  <c r="AI498" i="1"/>
  <c r="AI517" i="1"/>
  <c r="AI508" i="1"/>
  <c r="AI515" i="1"/>
  <c r="AI503" i="1"/>
  <c r="AI525" i="1"/>
  <c r="AI513" i="1"/>
  <c r="AI506" i="1"/>
  <c r="AI502" i="1"/>
  <c r="AI523" i="1"/>
  <c r="AI511" i="1"/>
  <c r="AI509" i="1"/>
  <c r="AI492" i="1"/>
  <c r="AI487" i="1"/>
  <c r="AI495" i="1"/>
  <c r="AI476" i="1"/>
  <c r="AI470" i="1"/>
  <c r="AI464" i="1"/>
  <c r="AI505" i="1"/>
  <c r="AI499" i="1"/>
  <c r="AI488" i="1"/>
  <c r="AI475" i="1"/>
  <c r="AI469" i="1"/>
  <c r="AI497" i="1"/>
  <c r="AI493" i="1"/>
  <c r="AI491" i="1"/>
  <c r="AI500" i="1"/>
  <c r="AI483" i="1"/>
  <c r="AI474" i="1"/>
  <c r="AI471" i="1"/>
  <c r="AI463" i="1"/>
  <c r="AI460" i="1"/>
  <c r="AI454" i="1"/>
  <c r="AI448" i="1"/>
  <c r="AI442" i="1"/>
  <c r="AI436" i="1"/>
  <c r="AI430" i="1"/>
  <c r="AI424" i="1"/>
  <c r="AI418" i="1"/>
  <c r="AI485" i="1"/>
  <c r="AI480" i="1"/>
  <c r="AI459" i="1"/>
  <c r="AI453" i="1"/>
  <c r="AI447" i="1"/>
  <c r="AI441" i="1"/>
  <c r="AI435" i="1"/>
  <c r="AI473" i="1"/>
  <c r="AI458" i="1"/>
  <c r="AI465" i="1"/>
  <c r="AI457" i="1"/>
  <c r="AI451" i="1"/>
  <c r="AI445" i="1"/>
  <c r="AI439" i="1"/>
  <c r="AI427" i="1"/>
  <c r="AI472" i="1"/>
  <c r="AI482" i="1"/>
  <c r="AI479" i="1"/>
  <c r="AI477" i="1"/>
  <c r="AI481" i="1"/>
  <c r="AI468" i="1"/>
  <c r="AI466" i="1"/>
  <c r="AI425" i="1"/>
  <c r="AI423" i="1"/>
  <c r="AI419" i="1"/>
  <c r="AI452" i="1"/>
  <c r="AI444" i="1"/>
  <c r="AI437" i="1"/>
  <c r="AI428" i="1"/>
  <c r="AI446" i="1"/>
  <c r="AI438" i="1"/>
  <c r="AI431" i="1"/>
  <c r="AI420" i="1"/>
  <c r="AI409" i="1"/>
  <c r="AI440" i="1"/>
  <c r="AI417" i="1"/>
  <c r="AI456" i="1"/>
  <c r="AI434" i="1"/>
  <c r="AI426" i="1"/>
  <c r="AI414" i="1"/>
  <c r="AI413" i="1"/>
  <c r="AI407" i="1"/>
  <c r="AI401" i="1"/>
  <c r="AI395" i="1"/>
  <c r="AI429" i="1"/>
  <c r="AI422" i="1"/>
  <c r="AI443" i="1"/>
  <c r="AI432" i="1"/>
  <c r="AI462" i="1"/>
  <c r="AI461" i="1"/>
  <c r="AI455" i="1"/>
  <c r="AI449" i="1"/>
  <c r="AI415" i="1"/>
  <c r="AI394" i="1"/>
  <c r="AI392" i="1"/>
  <c r="AI386" i="1"/>
  <c r="AI410" i="1"/>
  <c r="AI404" i="1"/>
  <c r="AI398" i="1"/>
  <c r="AI412" i="1"/>
  <c r="AI391" i="1"/>
  <c r="AI385" i="1"/>
  <c r="AI379" i="1"/>
  <c r="AI373" i="1"/>
  <c r="AI421" i="1"/>
  <c r="AI390" i="1"/>
  <c r="AI384" i="1"/>
  <c r="AI378" i="1"/>
  <c r="AI372" i="1"/>
  <c r="AI366" i="1"/>
  <c r="AI411" i="1"/>
  <c r="AI403" i="1"/>
  <c r="AI406" i="1"/>
  <c r="AI400" i="1"/>
  <c r="AI396" i="1"/>
  <c r="AI388" i="1"/>
  <c r="AI376" i="1"/>
  <c r="AI402" i="1"/>
  <c r="AI408" i="1"/>
  <c r="AI405" i="1"/>
  <c r="AI387" i="1"/>
  <c r="AI369" i="1"/>
  <c r="AI374" i="1"/>
  <c r="AI362" i="1"/>
  <c r="AI356" i="1"/>
  <c r="AI375" i="1"/>
  <c r="AI361" i="1"/>
  <c r="AI355" i="1"/>
  <c r="AI349" i="1"/>
  <c r="AI343" i="1"/>
  <c r="AI337" i="1"/>
  <c r="AI325" i="1"/>
  <c r="AI363" i="1"/>
  <c r="AI397" i="1"/>
  <c r="AI393" i="1"/>
  <c r="AI371" i="1"/>
  <c r="AI370" i="1"/>
  <c r="AI368" i="1"/>
  <c r="AI383" i="1"/>
  <c r="AI380" i="1"/>
  <c r="AI389" i="1"/>
  <c r="AI381" i="1"/>
  <c r="AI357" i="1"/>
  <c r="AI342" i="1"/>
  <c r="AI338" i="1"/>
  <c r="AI323" i="1"/>
  <c r="AI318" i="1"/>
  <c r="AI312" i="1"/>
  <c r="AI306" i="1"/>
  <c r="AI300" i="1"/>
  <c r="AI294" i="1"/>
  <c r="AI346" i="1"/>
  <c r="AI327" i="1"/>
  <c r="AI350" i="1"/>
  <c r="AI335" i="1"/>
  <c r="AI317" i="1"/>
  <c r="AI311" i="1"/>
  <c r="AI305" i="1"/>
  <c r="AI339" i="1"/>
  <c r="AI324" i="1"/>
  <c r="AI358" i="1"/>
  <c r="AI347" i="1"/>
  <c r="AI328" i="1"/>
  <c r="AI316" i="1"/>
  <c r="AI310" i="1"/>
  <c r="AI336" i="1"/>
  <c r="AI332" i="1"/>
  <c r="AI359" i="1"/>
  <c r="AI340" i="1"/>
  <c r="AI321" i="1"/>
  <c r="AI315" i="1"/>
  <c r="AI309" i="1"/>
  <c r="AI303" i="1"/>
  <c r="AI352" i="1"/>
  <c r="AI351" i="1"/>
  <c r="AI344" i="1"/>
  <c r="AI329" i="1"/>
  <c r="AI377" i="1"/>
  <c r="AI353" i="1"/>
  <c r="AI333" i="1"/>
  <c r="AI320" i="1"/>
  <c r="AI354" i="1"/>
  <c r="AI341" i="1"/>
  <c r="AI367" i="1"/>
  <c r="AI364" i="1"/>
  <c r="AI360" i="1"/>
  <c r="AI345" i="1"/>
  <c r="AI330" i="1"/>
  <c r="AI326" i="1"/>
  <c r="AI319" i="1"/>
  <c r="AI313" i="1"/>
  <c r="AI307" i="1"/>
  <c r="AI296" i="1"/>
  <c r="AI299" i="1"/>
  <c r="AI289" i="1"/>
  <c r="AI283" i="1"/>
  <c r="AI277" i="1"/>
  <c r="AI271" i="1"/>
  <c r="AI265" i="1"/>
  <c r="AI288" i="1"/>
  <c r="AI282" i="1"/>
  <c r="AI276" i="1"/>
  <c r="AI270" i="1"/>
  <c r="AI334" i="1"/>
  <c r="AI298" i="1"/>
  <c r="AI293" i="1"/>
  <c r="AI287" i="1"/>
  <c r="AI301" i="1"/>
  <c r="AI302" i="1"/>
  <c r="AI295" i="1"/>
  <c r="AI292" i="1"/>
  <c r="AI286" i="1"/>
  <c r="AI274" i="1"/>
  <c r="AI268" i="1"/>
  <c r="AI262" i="1"/>
  <c r="AI256" i="1"/>
  <c r="AI250" i="1"/>
  <c r="AI322" i="1"/>
  <c r="AI291" i="1"/>
  <c r="AI285" i="1"/>
  <c r="AI308" i="1"/>
  <c r="AI304" i="1"/>
  <c r="AI290" i="1"/>
  <c r="AI273" i="1"/>
  <c r="AI252" i="1"/>
  <c r="AI245" i="1"/>
  <c r="AI239" i="1"/>
  <c r="AI233" i="1"/>
  <c r="AI227" i="1"/>
  <c r="AI221" i="1"/>
  <c r="AI272" i="1"/>
  <c r="AI260" i="1"/>
  <c r="AI244" i="1"/>
  <c r="AI238" i="1"/>
  <c r="AI232" i="1"/>
  <c r="AI226" i="1"/>
  <c r="AI264" i="1"/>
  <c r="AI253" i="1"/>
  <c r="AI261" i="1"/>
  <c r="AI257" i="1"/>
  <c r="AI249" i="1"/>
  <c r="AI243" i="1"/>
  <c r="AI237" i="1"/>
  <c r="AI231" i="1"/>
  <c r="AI225" i="1"/>
  <c r="AI219" i="1"/>
  <c r="AI284" i="1"/>
  <c r="AI269" i="1"/>
  <c r="AI267" i="1"/>
  <c r="AI266" i="1"/>
  <c r="AI247" i="1"/>
  <c r="AI281" i="1"/>
  <c r="AI278" i="1"/>
  <c r="AI275" i="1"/>
  <c r="AI259" i="1"/>
  <c r="AI240" i="1"/>
  <c r="AI234" i="1"/>
  <c r="AI228" i="1"/>
  <c r="AI222" i="1"/>
  <c r="AI216" i="1"/>
  <c r="AI258" i="1"/>
  <c r="AI251" i="1"/>
  <c r="AI230" i="1"/>
  <c r="AI255" i="1"/>
  <c r="AI217" i="1"/>
  <c r="AI213" i="1"/>
  <c r="AI218" i="1"/>
  <c r="AI209" i="1"/>
  <c r="AI203" i="1"/>
  <c r="AI279" i="1"/>
  <c r="AI242" i="1"/>
  <c r="AI236" i="1"/>
  <c r="AI241" i="1"/>
  <c r="AI220" i="1"/>
  <c r="AI207" i="1"/>
  <c r="AI201" i="1"/>
  <c r="AI235" i="1"/>
  <c r="AI215" i="1"/>
  <c r="AI206" i="1"/>
  <c r="AI200" i="1"/>
  <c r="AI194" i="1"/>
  <c r="AI188" i="1"/>
  <c r="AI182" i="1"/>
  <c r="AI248" i="1"/>
  <c r="AI192" i="1"/>
  <c r="AI181" i="1"/>
  <c r="AI211" i="1"/>
  <c r="AI208" i="1"/>
  <c r="AI199" i="1"/>
  <c r="AI196" i="1"/>
  <c r="AI185" i="1"/>
  <c r="AI224" i="1"/>
  <c r="AI193" i="1"/>
  <c r="AI189" i="1"/>
  <c r="AI172" i="1"/>
  <c r="AI166" i="1"/>
  <c r="AI160" i="1"/>
  <c r="AI154" i="1"/>
  <c r="AI148" i="1"/>
  <c r="AI142" i="1"/>
  <c r="AI136" i="1"/>
  <c r="AI130" i="1"/>
  <c r="AI202" i="1"/>
  <c r="AI204" i="1"/>
  <c r="AI187" i="1"/>
  <c r="AI183" i="1"/>
  <c r="AI254" i="1"/>
  <c r="AI210" i="1"/>
  <c r="AI197" i="1"/>
  <c r="AI180" i="1"/>
  <c r="AI146" i="1"/>
  <c r="AI223" i="1"/>
  <c r="AI191" i="1"/>
  <c r="AI190" i="1"/>
  <c r="AI186" i="1"/>
  <c r="AI149" i="1"/>
  <c r="AI138" i="1"/>
  <c r="AI184" i="1"/>
  <c r="AI169" i="1"/>
  <c r="AI167" i="1"/>
  <c r="AI158" i="1"/>
  <c r="AI145" i="1"/>
  <c r="AI135" i="1"/>
  <c r="AI131" i="1"/>
  <c r="AI174" i="1"/>
  <c r="AI173" i="1"/>
  <c r="AI159" i="1"/>
  <c r="AI151" i="1"/>
  <c r="AI139" i="1"/>
  <c r="AI125" i="1"/>
  <c r="AI119" i="1"/>
  <c r="AI113" i="1"/>
  <c r="AI179" i="1"/>
  <c r="AI175" i="1"/>
  <c r="AI171" i="1"/>
  <c r="AI157" i="1"/>
  <c r="AI143" i="1"/>
  <c r="AI147" i="1"/>
  <c r="AI140" i="1"/>
  <c r="AI153" i="1"/>
  <c r="AI205" i="1"/>
  <c r="AI198" i="1"/>
  <c r="AI170" i="1"/>
  <c r="AI150" i="1"/>
  <c r="AI176" i="1"/>
  <c r="AI168" i="1"/>
  <c r="AI164" i="1"/>
  <c r="AI163" i="1"/>
  <c r="AI162" i="1"/>
  <c r="AI126" i="1"/>
  <c r="AI120" i="1"/>
  <c r="AI115" i="1"/>
  <c r="AI111" i="1"/>
  <c r="AI102" i="1"/>
  <c r="AI91" i="1"/>
  <c r="AI124" i="1"/>
  <c r="AI121" i="1"/>
  <c r="AI101" i="1"/>
  <c r="AI80" i="1"/>
  <c r="AI69" i="1"/>
  <c r="AI141" i="1"/>
  <c r="AI122" i="1"/>
  <c r="AI112" i="1"/>
  <c r="AI100" i="1"/>
  <c r="AI79" i="1"/>
  <c r="AI155" i="1"/>
  <c r="AI128" i="1"/>
  <c r="AI89" i="1"/>
  <c r="AI78" i="1"/>
  <c r="AI137" i="1"/>
  <c r="AI133" i="1"/>
  <c r="AI114" i="1"/>
  <c r="AI88" i="1"/>
  <c r="AI77" i="1"/>
  <c r="AI129" i="1"/>
  <c r="AI123" i="1"/>
  <c r="AI108" i="1"/>
  <c r="AI98" i="1"/>
  <c r="AI87" i="1"/>
  <c r="AI177" i="1"/>
  <c r="AI97" i="1"/>
  <c r="AI86" i="1"/>
  <c r="AI107" i="1"/>
  <c r="AI96" i="1"/>
  <c r="AI85" i="1"/>
  <c r="AI214" i="1"/>
  <c r="AI156" i="1"/>
  <c r="AI132" i="1"/>
  <c r="AI118" i="1"/>
  <c r="AI117" i="1"/>
  <c r="AI106" i="1"/>
  <c r="AI95" i="1"/>
  <c r="AI84" i="1"/>
  <c r="AI73" i="1"/>
  <c r="AI72" i="1" s="1"/>
  <c r="AI165" i="1"/>
  <c r="AI152" i="1"/>
  <c r="AI116" i="1"/>
  <c r="AI105" i="1"/>
  <c r="AI94" i="1"/>
  <c r="AI83" i="1"/>
  <c r="AI104" i="1"/>
  <c r="AI93" i="1"/>
  <c r="AI82" i="1"/>
  <c r="AI64" i="1"/>
  <c r="AI53" i="1"/>
  <c r="AI43" i="1"/>
  <c r="AI103" i="1"/>
  <c r="AI67" i="1"/>
  <c r="AI52" i="1"/>
  <c r="AI70" i="1"/>
  <c r="AI62" i="1"/>
  <c r="AI51" i="1"/>
  <c r="AI42" i="1"/>
  <c r="AI36" i="1"/>
  <c r="AI30" i="1"/>
  <c r="AI24" i="1"/>
  <c r="AI18" i="1"/>
  <c r="AI12" i="1"/>
  <c r="AI76" i="1"/>
  <c r="AI74" i="1"/>
  <c r="AI60" i="1"/>
  <c r="AI49" i="1"/>
  <c r="AI41" i="1"/>
  <c r="AI35" i="1"/>
  <c r="AI29" i="1"/>
  <c r="AI23" i="1"/>
  <c r="AI17" i="1"/>
  <c r="AI68" i="1"/>
  <c r="AI59" i="1"/>
  <c r="AI48" i="1"/>
  <c r="AI92" i="1"/>
  <c r="AI71" i="1"/>
  <c r="AI58" i="1"/>
  <c r="AI47" i="1"/>
  <c r="AI40" i="1"/>
  <c r="AI28" i="1"/>
  <c r="AI22" i="1"/>
  <c r="AI16" i="1"/>
  <c r="AI10" i="1"/>
  <c r="AI57" i="1"/>
  <c r="AI134" i="1"/>
  <c r="AI56" i="1"/>
  <c r="AI75" i="1"/>
  <c r="AI66" i="1"/>
  <c r="AI65" i="1"/>
  <c r="AI38" i="1"/>
  <c r="AI32" i="1"/>
  <c r="AI26" i="1"/>
  <c r="AI20" i="1"/>
  <c r="AI14" i="1"/>
  <c r="AI31" i="1"/>
  <c r="AI11" i="1"/>
  <c r="AI9" i="1"/>
  <c r="AI61" i="1"/>
  <c r="AI46" i="1"/>
  <c r="AI25" i="1"/>
  <c r="AI13" i="1"/>
  <c r="AI19" i="1"/>
  <c r="AI15" i="1"/>
  <c r="AI55" i="1"/>
  <c r="AI37" i="1"/>
  <c r="AI33" i="1"/>
  <c r="AI27" i="1"/>
  <c r="AI21" i="1"/>
  <c r="AI50" i="1"/>
  <c r="AH399" i="1"/>
  <c r="AH586" i="1"/>
  <c r="AG44" i="1"/>
  <c r="AG7" i="1" s="1"/>
  <c r="AH34" i="1"/>
  <c r="AH110" i="1"/>
  <c r="AH144" i="1"/>
  <c r="AJ6" i="1"/>
  <c r="AK4" i="1"/>
  <c r="AI144" i="1" l="1"/>
  <c r="AI501" i="1"/>
  <c r="AG8" i="1"/>
  <c r="AG5" i="1"/>
  <c r="AI178" i="1"/>
  <c r="AI263" i="1"/>
  <c r="AI348" i="1"/>
  <c r="AI63" i="1"/>
  <c r="AI569" i="1"/>
  <c r="AI620" i="1"/>
  <c r="AI81" i="1"/>
  <c r="AI127" i="1"/>
  <c r="AI90" i="1"/>
  <c r="AI382" i="1"/>
  <c r="AI654" i="1"/>
  <c r="AI399" i="1"/>
  <c r="AI433" i="1"/>
  <c r="AI552" i="1"/>
  <c r="AI637" i="1"/>
  <c r="AI671" i="1"/>
  <c r="AK6" i="1"/>
  <c r="AL4" i="1"/>
  <c r="AI110" i="1"/>
  <c r="AI484" i="1"/>
  <c r="AI535" i="1"/>
  <c r="AJ703" i="1"/>
  <c r="AJ697" i="1"/>
  <c r="AJ694" i="1"/>
  <c r="AJ690" i="1"/>
  <c r="AJ701" i="1"/>
  <c r="AJ691" i="1"/>
  <c r="AJ699" i="1"/>
  <c r="AJ696" i="1"/>
  <c r="AJ695" i="1" s="1"/>
  <c r="AJ688" i="1"/>
  <c r="AJ686" i="1"/>
  <c r="AJ692" i="1"/>
  <c r="AJ702" i="1"/>
  <c r="AJ698" i="1"/>
  <c r="AJ700" i="1"/>
  <c r="AJ687" i="1"/>
  <c r="AJ684" i="1"/>
  <c r="AJ693" i="1"/>
  <c r="AJ677" i="1"/>
  <c r="AJ676" i="1"/>
  <c r="AJ685" i="1"/>
  <c r="AJ682" i="1"/>
  <c r="AJ675" i="1"/>
  <c r="AJ678" i="1"/>
  <c r="AJ674" i="1"/>
  <c r="AJ683" i="1"/>
  <c r="AJ681" i="1"/>
  <c r="AJ680" i="1"/>
  <c r="AJ664" i="1"/>
  <c r="AJ670" i="1"/>
  <c r="AJ672" i="1"/>
  <c r="AJ660" i="1"/>
  <c r="AJ679" i="1"/>
  <c r="AJ669" i="1"/>
  <c r="AJ656" i="1"/>
  <c r="AJ652" i="1"/>
  <c r="AJ668" i="1"/>
  <c r="AJ663" i="1"/>
  <c r="AJ665" i="1"/>
  <c r="AJ666" i="1"/>
  <c r="AJ661" i="1"/>
  <c r="AJ658" i="1"/>
  <c r="AJ644" i="1"/>
  <c r="AJ655" i="1"/>
  <c r="AJ653" i="1"/>
  <c r="AJ649" i="1"/>
  <c r="AJ659" i="1"/>
  <c r="AJ673" i="1"/>
  <c r="AJ667" i="1"/>
  <c r="AJ662" i="1"/>
  <c r="AJ641" i="1"/>
  <c r="AJ629" i="1"/>
  <c r="AJ642" i="1"/>
  <c r="AJ657" i="1"/>
  <c r="AJ647" i="1"/>
  <c r="AJ650" i="1"/>
  <c r="AJ651" i="1"/>
  <c r="AJ648" i="1"/>
  <c r="AJ638" i="1"/>
  <c r="AJ632" i="1"/>
  <c r="AJ628" i="1"/>
  <c r="AJ626" i="1"/>
  <c r="AJ646" i="1"/>
  <c r="AJ640" i="1"/>
  <c r="AJ635" i="1"/>
  <c r="AJ634" i="1"/>
  <c r="AJ636" i="1"/>
  <c r="AJ630" i="1"/>
  <c r="AJ645" i="1"/>
  <c r="AJ623" i="1"/>
  <c r="AJ631" i="1"/>
  <c r="AJ639" i="1"/>
  <c r="AJ633" i="1"/>
  <c r="AJ643" i="1"/>
  <c r="AJ624" i="1"/>
  <c r="AJ622" i="1"/>
  <c r="AJ627" i="1"/>
  <c r="AJ617" i="1"/>
  <c r="AJ611" i="1"/>
  <c r="AJ607" i="1"/>
  <c r="AJ625" i="1"/>
  <c r="AJ618" i="1"/>
  <c r="AJ619" i="1"/>
  <c r="AJ616" i="1"/>
  <c r="AJ613" i="1"/>
  <c r="AJ605" i="1"/>
  <c r="AJ621" i="1"/>
  <c r="AJ608" i="1"/>
  <c r="AJ615" i="1"/>
  <c r="AJ600" i="1"/>
  <c r="AJ614" i="1"/>
  <c r="AJ604" i="1"/>
  <c r="AJ610" i="1"/>
  <c r="AJ602" i="1"/>
  <c r="AJ601" i="1"/>
  <c r="AJ585" i="1"/>
  <c r="AJ612" i="1"/>
  <c r="AJ599" i="1"/>
  <c r="AJ606" i="1"/>
  <c r="AJ591" i="1"/>
  <c r="AJ595" i="1"/>
  <c r="AJ592" i="1"/>
  <c r="AJ587" i="1"/>
  <c r="AJ594" i="1"/>
  <c r="AJ590" i="1"/>
  <c r="AJ584" i="1"/>
  <c r="AJ581" i="1"/>
  <c r="AJ580" i="1"/>
  <c r="AJ609" i="1"/>
  <c r="AJ598" i="1"/>
  <c r="AJ582" i="1"/>
  <c r="AJ596" i="1"/>
  <c r="AJ575" i="1"/>
  <c r="AJ593" i="1"/>
  <c r="AJ597" i="1"/>
  <c r="AJ579" i="1"/>
  <c r="AJ567" i="1"/>
  <c r="AJ583" i="1"/>
  <c r="AJ577" i="1"/>
  <c r="AJ570" i="1"/>
  <c r="AJ589" i="1"/>
  <c r="AJ588" i="1"/>
  <c r="AJ576" i="1"/>
  <c r="AJ578" i="1"/>
  <c r="AJ572" i="1"/>
  <c r="AJ565" i="1"/>
  <c r="AJ564" i="1"/>
  <c r="AJ560" i="1"/>
  <c r="AJ571" i="1"/>
  <c r="AJ566" i="1"/>
  <c r="AJ549" i="1"/>
  <c r="AJ543" i="1"/>
  <c r="AJ563" i="1"/>
  <c r="AJ553" i="1"/>
  <c r="AJ573" i="1"/>
  <c r="AJ561" i="1"/>
  <c r="AJ557" i="1"/>
  <c r="AJ554" i="1"/>
  <c r="AJ562" i="1"/>
  <c r="AJ558" i="1"/>
  <c r="AJ568" i="1"/>
  <c r="AJ559" i="1"/>
  <c r="AJ551" i="1"/>
  <c r="AJ540" i="1"/>
  <c r="AJ539" i="1"/>
  <c r="AJ541" i="1"/>
  <c r="AJ574" i="1"/>
  <c r="AJ555" i="1"/>
  <c r="AJ546" i="1"/>
  <c r="AJ544" i="1"/>
  <c r="AJ556" i="1"/>
  <c r="AJ547" i="1"/>
  <c r="AJ545" i="1"/>
  <c r="AJ530" i="1"/>
  <c r="AJ542" i="1"/>
  <c r="AJ534" i="1"/>
  <c r="AJ527" i="1"/>
  <c r="AJ523" i="1"/>
  <c r="AJ508" i="1"/>
  <c r="AJ504" i="1"/>
  <c r="AJ531" i="1"/>
  <c r="AJ550" i="1"/>
  <c r="AJ538" i="1"/>
  <c r="AJ520" i="1"/>
  <c r="AJ516" i="1"/>
  <c r="AJ533" i="1"/>
  <c r="AJ524" i="1"/>
  <c r="AJ528" i="1"/>
  <c r="AJ548" i="1"/>
  <c r="AJ536" i="1"/>
  <c r="AJ525" i="1"/>
  <c r="AJ532" i="1"/>
  <c r="AJ529" i="1"/>
  <c r="AJ537" i="1"/>
  <c r="AJ526" i="1"/>
  <c r="AJ522" i="1"/>
  <c r="AJ507" i="1"/>
  <c r="AJ521" i="1"/>
  <c r="AJ493" i="1"/>
  <c r="AJ497" i="1"/>
  <c r="AJ514" i="1"/>
  <c r="AJ519" i="1"/>
  <c r="AJ512" i="1"/>
  <c r="AJ494" i="1"/>
  <c r="AJ490" i="1"/>
  <c r="AJ498" i="1"/>
  <c r="AJ517" i="1"/>
  <c r="AJ510" i="1"/>
  <c r="AJ487" i="1"/>
  <c r="AJ515" i="1"/>
  <c r="AJ505" i="1"/>
  <c r="AJ499" i="1"/>
  <c r="AJ513" i="1"/>
  <c r="AJ511" i="1"/>
  <c r="AJ509" i="1"/>
  <c r="AJ500" i="1"/>
  <c r="AJ492" i="1"/>
  <c r="AJ483" i="1"/>
  <c r="AJ481" i="1"/>
  <c r="AJ495" i="1"/>
  <c r="AJ486" i="1"/>
  <c r="AJ503" i="1"/>
  <c r="AJ478" i="1"/>
  <c r="AJ496" i="1"/>
  <c r="AJ485" i="1"/>
  <c r="AJ482" i="1"/>
  <c r="AJ506" i="1"/>
  <c r="AJ502" i="1"/>
  <c r="AJ491" i="1"/>
  <c r="AJ489" i="1"/>
  <c r="AJ480" i="1"/>
  <c r="AJ460" i="1"/>
  <c r="AJ454" i="1"/>
  <c r="AJ459" i="1"/>
  <c r="AJ453" i="1"/>
  <c r="AJ447" i="1"/>
  <c r="AJ473" i="1"/>
  <c r="AJ470" i="1"/>
  <c r="AJ464" i="1"/>
  <c r="AJ458" i="1"/>
  <c r="AJ488" i="1"/>
  <c r="AJ469" i="1"/>
  <c r="AJ465" i="1"/>
  <c r="AJ457" i="1"/>
  <c r="AJ476" i="1"/>
  <c r="AJ472" i="1"/>
  <c r="AJ479" i="1"/>
  <c r="AJ477" i="1"/>
  <c r="AJ475" i="1"/>
  <c r="AJ462" i="1"/>
  <c r="AJ468" i="1"/>
  <c r="AJ466" i="1"/>
  <c r="AJ461" i="1"/>
  <c r="AJ474" i="1"/>
  <c r="AJ471" i="1"/>
  <c r="AJ452" i="1"/>
  <c r="AJ444" i="1"/>
  <c r="AJ437" i="1"/>
  <c r="AJ428" i="1"/>
  <c r="AJ463" i="1"/>
  <c r="AJ451" i="1"/>
  <c r="AJ446" i="1"/>
  <c r="AJ438" i="1"/>
  <c r="AJ431" i="1"/>
  <c r="AJ410" i="1"/>
  <c r="AJ404" i="1"/>
  <c r="AJ420" i="1"/>
  <c r="AJ439" i="1"/>
  <c r="AJ424" i="1"/>
  <c r="AJ448" i="1"/>
  <c r="AJ440" i="1"/>
  <c r="AJ427" i="1"/>
  <c r="AJ417" i="1"/>
  <c r="AJ430" i="1"/>
  <c r="AJ421" i="1"/>
  <c r="AJ445" i="1"/>
  <c r="AJ434" i="1"/>
  <c r="AJ426" i="1"/>
  <c r="AJ442" i="1"/>
  <c r="AJ429" i="1"/>
  <c r="AJ422" i="1"/>
  <c r="AJ418" i="1"/>
  <c r="AJ443" i="1"/>
  <c r="AJ435" i="1"/>
  <c r="AJ432" i="1"/>
  <c r="AJ455" i="1"/>
  <c r="AJ449" i="1"/>
  <c r="AJ436" i="1"/>
  <c r="AJ425" i="1"/>
  <c r="AJ423" i="1"/>
  <c r="AJ419" i="1"/>
  <c r="AJ401" i="1"/>
  <c r="AJ398" i="1"/>
  <c r="AJ456" i="1"/>
  <c r="AJ441" i="1"/>
  <c r="AJ412" i="1"/>
  <c r="AJ407" i="1"/>
  <c r="AJ391" i="1"/>
  <c r="AJ395" i="1"/>
  <c r="AJ411" i="1"/>
  <c r="AJ403" i="1"/>
  <c r="AJ413" i="1"/>
  <c r="AJ406" i="1"/>
  <c r="AJ389" i="1"/>
  <c r="AJ400" i="1"/>
  <c r="AJ396" i="1"/>
  <c r="AJ388" i="1"/>
  <c r="AJ415" i="1"/>
  <c r="AJ402" i="1"/>
  <c r="AJ408" i="1"/>
  <c r="AJ405" i="1"/>
  <c r="AJ414" i="1"/>
  <c r="AJ386" i="1"/>
  <c r="AJ385" i="1"/>
  <c r="AJ374" i="1"/>
  <c r="AJ362" i="1"/>
  <c r="AJ375" i="1"/>
  <c r="AJ366" i="1"/>
  <c r="AJ394" i="1"/>
  <c r="AJ409" i="1"/>
  <c r="AJ384" i="1"/>
  <c r="AJ376" i="1"/>
  <c r="AJ363" i="1"/>
  <c r="AJ397" i="1"/>
  <c r="AJ393" i="1"/>
  <c r="AJ392" i="1"/>
  <c r="AJ377" i="1"/>
  <c r="AJ367" i="1"/>
  <c r="AJ360" i="1"/>
  <c r="AJ378" i="1"/>
  <c r="AJ364" i="1"/>
  <c r="AJ383" i="1"/>
  <c r="AJ379" i="1"/>
  <c r="AJ358" i="1"/>
  <c r="AJ390" i="1"/>
  <c r="AJ380" i="1"/>
  <c r="AJ381" i="1"/>
  <c r="AJ387" i="1"/>
  <c r="AJ373" i="1"/>
  <c r="AJ369" i="1"/>
  <c r="AJ368" i="1"/>
  <c r="AJ355" i="1"/>
  <c r="AJ346" i="1"/>
  <c r="AJ327" i="1"/>
  <c r="AJ350" i="1"/>
  <c r="AJ335" i="1"/>
  <c r="AJ361" i="1"/>
  <c r="AJ339" i="1"/>
  <c r="AJ324" i="1"/>
  <c r="AJ347" i="1"/>
  <c r="AJ343" i="1"/>
  <c r="AJ328" i="1"/>
  <c r="AJ357" i="1"/>
  <c r="AJ336" i="1"/>
  <c r="AJ332" i="1"/>
  <c r="AJ371" i="1"/>
  <c r="AJ359" i="1"/>
  <c r="AJ340" i="1"/>
  <c r="AJ321" i="1"/>
  <c r="AJ315" i="1"/>
  <c r="AJ372" i="1"/>
  <c r="AJ370" i="1"/>
  <c r="AJ352" i="1"/>
  <c r="AJ351" i="1"/>
  <c r="AJ344" i="1"/>
  <c r="AJ329" i="1"/>
  <c r="AJ325" i="1"/>
  <c r="AJ356" i="1"/>
  <c r="AJ353" i="1"/>
  <c r="AJ333" i="1"/>
  <c r="AJ320" i="1"/>
  <c r="AJ354" i="1"/>
  <c r="AJ341" i="1"/>
  <c r="AJ337" i="1"/>
  <c r="AJ322" i="1"/>
  <c r="AJ345" i="1"/>
  <c r="AJ349" i="1"/>
  <c r="AJ334" i="1"/>
  <c r="AJ338" i="1"/>
  <c r="AJ299" i="1"/>
  <c r="AJ289" i="1"/>
  <c r="AJ283" i="1"/>
  <c r="AJ277" i="1"/>
  <c r="AJ271" i="1"/>
  <c r="AJ306" i="1"/>
  <c r="AJ326" i="1"/>
  <c r="AJ294" i="1"/>
  <c r="AJ319" i="1"/>
  <c r="AJ313" i="1"/>
  <c r="AJ298" i="1"/>
  <c r="AJ293" i="1"/>
  <c r="AJ287" i="1"/>
  <c r="AJ281" i="1"/>
  <c r="AJ275" i="1"/>
  <c r="AJ269" i="1"/>
  <c r="AJ301" i="1"/>
  <c r="AJ318" i="1"/>
  <c r="AJ302" i="1"/>
  <c r="AJ295" i="1"/>
  <c r="AJ292" i="1"/>
  <c r="AJ286" i="1"/>
  <c r="AJ303" i="1"/>
  <c r="AJ291" i="1"/>
  <c r="AJ330" i="1"/>
  <c r="AJ311" i="1"/>
  <c r="AJ310" i="1"/>
  <c r="AJ309" i="1"/>
  <c r="AJ308" i="1"/>
  <c r="AJ304" i="1"/>
  <c r="AJ300" i="1"/>
  <c r="AJ323" i="1"/>
  <c r="AJ307" i="1"/>
  <c r="AJ290" i="1"/>
  <c r="AJ284" i="1"/>
  <c r="AJ342" i="1"/>
  <c r="AJ317" i="1"/>
  <c r="AJ316" i="1"/>
  <c r="AJ312" i="1"/>
  <c r="AJ305" i="1"/>
  <c r="AJ296" i="1"/>
  <c r="AJ288" i="1"/>
  <c r="AJ272" i="1"/>
  <c r="AJ260" i="1"/>
  <c r="AJ256" i="1"/>
  <c r="AJ270" i="1"/>
  <c r="AJ244" i="1"/>
  <c r="AJ238" i="1"/>
  <c r="AJ264" i="1"/>
  <c r="AJ253" i="1"/>
  <c r="AJ282" i="1"/>
  <c r="AJ261" i="1"/>
  <c r="AJ257" i="1"/>
  <c r="AJ249" i="1"/>
  <c r="AJ243" i="1"/>
  <c r="AJ237" i="1"/>
  <c r="AJ254" i="1"/>
  <c r="AJ250" i="1"/>
  <c r="AJ248" i="1"/>
  <c r="AJ242" i="1"/>
  <c r="AJ236" i="1"/>
  <c r="AJ258" i="1"/>
  <c r="AJ279" i="1"/>
  <c r="AJ255" i="1"/>
  <c r="AJ251" i="1"/>
  <c r="AJ276" i="1"/>
  <c r="AJ274" i="1"/>
  <c r="AJ273" i="1"/>
  <c r="AJ268" i="1"/>
  <c r="AJ265" i="1"/>
  <c r="AJ252" i="1"/>
  <c r="AJ245" i="1"/>
  <c r="AJ278" i="1"/>
  <c r="AJ239" i="1"/>
  <c r="AJ230" i="1"/>
  <c r="AJ228" i="1"/>
  <c r="AJ234" i="1"/>
  <c r="AJ232" i="1"/>
  <c r="AJ218" i="1"/>
  <c r="AJ209" i="1"/>
  <c r="AJ203" i="1"/>
  <c r="AJ259" i="1"/>
  <c r="AJ247" i="1"/>
  <c r="AJ225" i="1"/>
  <c r="AJ266" i="1"/>
  <c r="AJ241" i="1"/>
  <c r="AJ227" i="1"/>
  <c r="AJ220" i="1"/>
  <c r="AJ207" i="1"/>
  <c r="AJ235" i="1"/>
  <c r="AJ231" i="1"/>
  <c r="AJ221" i="1"/>
  <c r="AJ215" i="1"/>
  <c r="AJ285" i="1"/>
  <c r="AJ267" i="1"/>
  <c r="AJ262" i="1"/>
  <c r="AJ206" i="1"/>
  <c r="AJ240" i="1"/>
  <c r="AJ222" i="1"/>
  <c r="AJ226" i="1"/>
  <c r="AJ223" i="1"/>
  <c r="AJ200" i="1"/>
  <c r="AJ181" i="1"/>
  <c r="AJ173" i="1"/>
  <c r="AJ167" i="1"/>
  <c r="AJ211" i="1"/>
  <c r="AJ208" i="1"/>
  <c r="AJ199" i="1"/>
  <c r="AJ196" i="1"/>
  <c r="AJ185" i="1"/>
  <c r="AJ224" i="1"/>
  <c r="AJ201" i="1"/>
  <c r="AJ193" i="1"/>
  <c r="AJ189" i="1"/>
  <c r="AJ172" i="1"/>
  <c r="AJ166" i="1"/>
  <c r="AJ160" i="1"/>
  <c r="AJ154" i="1"/>
  <c r="AJ148" i="1"/>
  <c r="AJ233" i="1"/>
  <c r="AJ202" i="1"/>
  <c r="AJ219" i="1"/>
  <c r="AJ216" i="1"/>
  <c r="AJ213" i="1"/>
  <c r="AJ204" i="1"/>
  <c r="AJ186" i="1"/>
  <c r="AJ182" i="1"/>
  <c r="AJ177" i="1"/>
  <c r="AJ217" i="1"/>
  <c r="AJ194" i="1"/>
  <c r="AJ191" i="1"/>
  <c r="AJ175" i="1"/>
  <c r="AJ169" i="1"/>
  <c r="AJ214" i="1"/>
  <c r="AJ205" i="1"/>
  <c r="AJ184" i="1"/>
  <c r="AJ174" i="1"/>
  <c r="AJ152" i="1"/>
  <c r="AJ134" i="1"/>
  <c r="AJ130" i="1"/>
  <c r="AJ121" i="1"/>
  <c r="AJ115" i="1"/>
  <c r="AJ192" i="1"/>
  <c r="AJ190" i="1"/>
  <c r="AJ165" i="1"/>
  <c r="AJ155" i="1"/>
  <c r="AJ142" i="1"/>
  <c r="AJ126" i="1"/>
  <c r="AJ183" i="1"/>
  <c r="AJ159" i="1"/>
  <c r="AJ151" i="1"/>
  <c r="AJ139" i="1"/>
  <c r="AJ125" i="1"/>
  <c r="AJ119" i="1"/>
  <c r="AJ180" i="1"/>
  <c r="AJ179" i="1"/>
  <c r="AJ171" i="1"/>
  <c r="AJ157" i="1"/>
  <c r="AJ143" i="1"/>
  <c r="AJ128" i="1"/>
  <c r="AJ132" i="1"/>
  <c r="AJ197" i="1"/>
  <c r="AJ153" i="1"/>
  <c r="AJ129" i="1"/>
  <c r="AJ210" i="1"/>
  <c r="AJ198" i="1"/>
  <c r="AJ170" i="1"/>
  <c r="AJ150" i="1"/>
  <c r="AJ176" i="1"/>
  <c r="AJ168" i="1"/>
  <c r="AJ164" i="1"/>
  <c r="AJ163" i="1"/>
  <c r="AJ162" i="1"/>
  <c r="AJ156" i="1"/>
  <c r="AJ141" i="1"/>
  <c r="AJ137" i="1"/>
  <c r="AJ124" i="1"/>
  <c r="AJ101" i="1"/>
  <c r="AJ80" i="1"/>
  <c r="AJ131" i="1"/>
  <c r="AJ122" i="1"/>
  <c r="AJ112" i="1"/>
  <c r="AJ100" i="1"/>
  <c r="AJ79" i="1"/>
  <c r="AJ68" i="1"/>
  <c r="AJ145" i="1"/>
  <c r="AJ140" i="1"/>
  <c r="AJ89" i="1"/>
  <c r="AJ78" i="1"/>
  <c r="AJ188" i="1"/>
  <c r="AJ138" i="1"/>
  <c r="AJ136" i="1"/>
  <c r="AJ133" i="1"/>
  <c r="AJ114" i="1"/>
  <c r="AJ88" i="1"/>
  <c r="AJ77" i="1"/>
  <c r="AJ149" i="1"/>
  <c r="AJ146" i="1"/>
  <c r="AJ123" i="1"/>
  <c r="AJ108" i="1"/>
  <c r="AJ98" i="1"/>
  <c r="AJ87" i="1"/>
  <c r="AJ76" i="1"/>
  <c r="AJ97" i="1"/>
  <c r="AJ86" i="1"/>
  <c r="AJ147" i="1"/>
  <c r="AJ135" i="1"/>
  <c r="AJ107" i="1"/>
  <c r="AJ96" i="1"/>
  <c r="AJ85" i="1"/>
  <c r="AJ118" i="1"/>
  <c r="AJ117" i="1"/>
  <c r="AJ113" i="1"/>
  <c r="AJ106" i="1"/>
  <c r="AJ95" i="1"/>
  <c r="AJ84" i="1"/>
  <c r="AJ187" i="1"/>
  <c r="AJ116" i="1"/>
  <c r="AJ105" i="1"/>
  <c r="AJ94" i="1"/>
  <c r="AJ83" i="1"/>
  <c r="AJ104" i="1"/>
  <c r="AJ93" i="1"/>
  <c r="AJ82" i="1"/>
  <c r="AJ158" i="1"/>
  <c r="AJ103" i="1"/>
  <c r="AJ92" i="1"/>
  <c r="AJ73" i="1"/>
  <c r="AJ53" i="1"/>
  <c r="AJ43" i="1"/>
  <c r="AJ37" i="1"/>
  <c r="AJ31" i="1"/>
  <c r="AJ25" i="1"/>
  <c r="AJ19" i="1"/>
  <c r="AJ13" i="1"/>
  <c r="AJ91" i="1"/>
  <c r="AJ67" i="1"/>
  <c r="AJ52" i="1"/>
  <c r="AJ70" i="1"/>
  <c r="AJ62" i="1"/>
  <c r="AJ51" i="1"/>
  <c r="AJ42" i="1"/>
  <c r="AJ36" i="1"/>
  <c r="AJ30" i="1"/>
  <c r="AJ24" i="1"/>
  <c r="AJ18" i="1"/>
  <c r="AJ12" i="1"/>
  <c r="AJ111" i="1"/>
  <c r="AJ61" i="1"/>
  <c r="AJ50" i="1"/>
  <c r="AJ120" i="1"/>
  <c r="AJ74" i="1"/>
  <c r="AJ59" i="1"/>
  <c r="AJ48" i="1"/>
  <c r="AJ71" i="1"/>
  <c r="AJ58" i="1"/>
  <c r="AJ47" i="1"/>
  <c r="AJ40" i="1"/>
  <c r="AJ39" i="1" s="1"/>
  <c r="AJ28" i="1"/>
  <c r="AJ22" i="1"/>
  <c r="AJ57" i="1"/>
  <c r="AJ46" i="1"/>
  <c r="AJ102" i="1"/>
  <c r="AJ56" i="1"/>
  <c r="AJ75" i="1"/>
  <c r="AJ66" i="1"/>
  <c r="AJ55" i="1"/>
  <c r="AJ69" i="1"/>
  <c r="AJ65" i="1"/>
  <c r="AJ64" i="1"/>
  <c r="AJ26" i="1"/>
  <c r="AJ14" i="1"/>
  <c r="AJ49" i="1"/>
  <c r="AJ20" i="1"/>
  <c r="AJ10" i="1"/>
  <c r="AJ35" i="1"/>
  <c r="AJ17" i="1"/>
  <c r="AJ29" i="1"/>
  <c r="AJ11" i="1"/>
  <c r="AJ9" i="1"/>
  <c r="AJ33" i="1"/>
  <c r="AJ23" i="1"/>
  <c r="AJ60" i="1"/>
  <c r="AJ27" i="1"/>
  <c r="AJ41" i="1"/>
  <c r="AJ38" i="1"/>
  <c r="AJ32" i="1"/>
  <c r="AJ21" i="1"/>
  <c r="AJ16" i="1"/>
  <c r="AJ15" i="1"/>
  <c r="AI54" i="1"/>
  <c r="AI34" i="1"/>
  <c r="AI99" i="1"/>
  <c r="AI416" i="1"/>
  <c r="AI450" i="1"/>
  <c r="AI518" i="1"/>
  <c r="AI39" i="1"/>
  <c r="AI314" i="1"/>
  <c r="AI603" i="1"/>
  <c r="AI689" i="1"/>
  <c r="AH109" i="1"/>
  <c r="AH7" i="1" s="1"/>
  <c r="AI195" i="1"/>
  <c r="AI212" i="1"/>
  <c r="AI365" i="1"/>
  <c r="AI695" i="1"/>
  <c r="AI161" i="1"/>
  <c r="AI297" i="1"/>
  <c r="AI467" i="1"/>
  <c r="AI280" i="1"/>
  <c r="AI45" i="1"/>
  <c r="AI229" i="1"/>
  <c r="AI246" i="1"/>
  <c r="AI331" i="1"/>
  <c r="AI586" i="1"/>
  <c r="AJ45" i="1" l="1"/>
  <c r="AJ348" i="1"/>
  <c r="AJ399" i="1"/>
  <c r="AJ637" i="1"/>
  <c r="AJ433" i="1"/>
  <c r="AJ63" i="1"/>
  <c r="AH8" i="1"/>
  <c r="AH5" i="1"/>
  <c r="AJ54" i="1"/>
  <c r="AJ99" i="1"/>
  <c r="AJ229" i="1"/>
  <c r="AJ518" i="1"/>
  <c r="AJ535" i="1"/>
  <c r="AJ552" i="1"/>
  <c r="AJ280" i="1"/>
  <c r="AJ416" i="1"/>
  <c r="AJ450" i="1"/>
  <c r="AJ484" i="1"/>
  <c r="AJ195" i="1"/>
  <c r="AJ263" i="1"/>
  <c r="AJ382" i="1"/>
  <c r="AJ569" i="1"/>
  <c r="AJ34" i="1"/>
  <c r="AJ72" i="1"/>
  <c r="AJ178" i="1"/>
  <c r="AJ331" i="1"/>
  <c r="AI109" i="1"/>
  <c r="AI44" i="1"/>
  <c r="AJ246" i="1"/>
  <c r="AJ297" i="1"/>
  <c r="AJ365" i="1"/>
  <c r="AM4" i="1"/>
  <c r="AL6" i="1"/>
  <c r="AK700" i="1"/>
  <c r="AK694" i="1"/>
  <c r="AK688" i="1"/>
  <c r="AK699" i="1"/>
  <c r="AK682" i="1"/>
  <c r="AK701" i="1"/>
  <c r="AK696" i="1"/>
  <c r="AK692" i="1"/>
  <c r="AK702" i="1"/>
  <c r="AK698" i="1"/>
  <c r="AK703" i="1"/>
  <c r="AK680" i="1"/>
  <c r="AK697" i="1"/>
  <c r="AK693" i="1"/>
  <c r="AK685" i="1"/>
  <c r="AK678" i="1"/>
  <c r="AK691" i="1"/>
  <c r="AK684" i="1"/>
  <c r="AK686" i="1"/>
  <c r="AK679" i="1"/>
  <c r="AK669" i="1"/>
  <c r="AK663" i="1"/>
  <c r="AK657" i="1"/>
  <c r="AK675" i="1"/>
  <c r="AK668" i="1"/>
  <c r="AK662" i="1"/>
  <c r="AK656" i="1"/>
  <c r="AK687" i="1"/>
  <c r="AK690" i="1"/>
  <c r="AK683" i="1"/>
  <c r="AK681" i="1"/>
  <c r="AK673" i="1"/>
  <c r="AK670" i="1"/>
  <c r="AK672" i="1"/>
  <c r="AK660" i="1"/>
  <c r="AK674" i="1"/>
  <c r="AK676" i="1"/>
  <c r="AK677" i="1"/>
  <c r="AK665" i="1"/>
  <c r="AK664" i="1"/>
  <c r="AK658" i="1"/>
  <c r="AK651" i="1"/>
  <c r="AK666" i="1"/>
  <c r="AK661" i="1"/>
  <c r="AK655" i="1"/>
  <c r="AK667" i="1"/>
  <c r="AK644" i="1"/>
  <c r="AK638" i="1"/>
  <c r="AK632" i="1"/>
  <c r="AK653" i="1"/>
  <c r="AK659" i="1"/>
  <c r="AK652" i="1"/>
  <c r="AK648" i="1"/>
  <c r="AK642" i="1"/>
  <c r="AK633" i="1"/>
  <c r="AK650" i="1"/>
  <c r="AK649" i="1"/>
  <c r="AK639" i="1"/>
  <c r="AK631" i="1"/>
  <c r="AK628" i="1"/>
  <c r="AK626" i="1"/>
  <c r="AK646" i="1"/>
  <c r="AK636" i="1"/>
  <c r="AK621" i="1"/>
  <c r="AK617" i="1"/>
  <c r="AK611" i="1"/>
  <c r="AK641" i="1"/>
  <c r="AK625" i="1"/>
  <c r="AK618" i="1"/>
  <c r="AK616" i="1"/>
  <c r="AK610" i="1"/>
  <c r="AK647" i="1"/>
  <c r="AK643" i="1"/>
  <c r="AK640" i="1"/>
  <c r="AK634" i="1"/>
  <c r="AK630" i="1"/>
  <c r="AK622" i="1"/>
  <c r="AK629" i="1"/>
  <c r="AK627" i="1"/>
  <c r="AK623" i="1"/>
  <c r="AK607" i="1"/>
  <c r="AK602" i="1"/>
  <c r="AK624" i="1"/>
  <c r="AK635" i="1"/>
  <c r="AK613" i="1"/>
  <c r="AK619" i="1"/>
  <c r="AK645" i="1"/>
  <c r="AK608" i="1"/>
  <c r="AK596" i="1"/>
  <c r="AK615" i="1"/>
  <c r="AK606" i="1"/>
  <c r="AK614" i="1"/>
  <c r="AK604" i="1"/>
  <c r="AK612" i="1"/>
  <c r="AK599" i="1"/>
  <c r="AK593" i="1"/>
  <c r="AK587" i="1"/>
  <c r="AK581" i="1"/>
  <c r="AK601" i="1"/>
  <c r="AK597" i="1"/>
  <c r="AK589" i="1"/>
  <c r="AK591" i="1"/>
  <c r="AK595" i="1"/>
  <c r="AK605" i="1"/>
  <c r="AK594" i="1"/>
  <c r="AK590" i="1"/>
  <c r="AK584" i="1"/>
  <c r="AK580" i="1"/>
  <c r="AK574" i="1"/>
  <c r="AK568" i="1"/>
  <c r="AK562" i="1"/>
  <c r="AK556" i="1"/>
  <c r="AK609" i="1"/>
  <c r="AK600" i="1"/>
  <c r="AK598" i="1"/>
  <c r="AK577" i="1"/>
  <c r="AK571" i="1"/>
  <c r="AK565" i="1"/>
  <c r="AK583" i="1"/>
  <c r="AK585" i="1"/>
  <c r="AK582" i="1"/>
  <c r="AK570" i="1"/>
  <c r="AK573" i="1"/>
  <c r="AK592" i="1"/>
  <c r="AK572" i="1"/>
  <c r="AK566" i="1"/>
  <c r="AK563" i="1"/>
  <c r="AK553" i="1"/>
  <c r="AK561" i="1"/>
  <c r="AK557" i="1"/>
  <c r="AK548" i="1"/>
  <c r="AK542" i="1"/>
  <c r="AK567" i="1"/>
  <c r="AK554" i="1"/>
  <c r="AK547" i="1"/>
  <c r="AK541" i="1"/>
  <c r="AK558" i="1"/>
  <c r="AK578" i="1"/>
  <c r="AK576" i="1"/>
  <c r="AK546" i="1"/>
  <c r="AK575" i="1"/>
  <c r="AK579" i="1"/>
  <c r="AK551" i="1"/>
  <c r="AK549" i="1"/>
  <c r="AK540" i="1"/>
  <c r="AK539" i="1"/>
  <c r="AK533" i="1"/>
  <c r="AK527" i="1"/>
  <c r="AK521" i="1"/>
  <c r="AK515" i="1"/>
  <c r="AK509" i="1"/>
  <c r="AK503" i="1"/>
  <c r="AK588" i="1"/>
  <c r="AK559" i="1"/>
  <c r="AK555" i="1"/>
  <c r="AK544" i="1"/>
  <c r="AK564" i="1"/>
  <c r="AK550" i="1"/>
  <c r="AK536" i="1"/>
  <c r="AK519" i="1"/>
  <c r="AK534" i="1"/>
  <c r="AK523" i="1"/>
  <c r="AK531" i="1"/>
  <c r="AK512" i="1"/>
  <c r="AK538" i="1"/>
  <c r="AK560" i="1"/>
  <c r="AK524" i="1"/>
  <c r="AK505" i="1"/>
  <c r="AK495" i="1"/>
  <c r="AK489" i="1"/>
  <c r="AK483" i="1"/>
  <c r="AK545" i="1"/>
  <c r="AK528" i="1"/>
  <c r="AK525" i="1"/>
  <c r="AK532" i="1"/>
  <c r="AK529" i="1"/>
  <c r="AK537" i="1"/>
  <c r="AK526" i="1"/>
  <c r="AK522" i="1"/>
  <c r="AK543" i="1"/>
  <c r="AK530" i="1"/>
  <c r="AK511" i="1"/>
  <c r="AK520" i="1"/>
  <c r="AK507" i="1"/>
  <c r="AK497" i="1"/>
  <c r="AK514" i="1"/>
  <c r="AK498" i="1"/>
  <c r="AK517" i="1"/>
  <c r="AK510" i="1"/>
  <c r="AK508" i="1"/>
  <c r="AK491" i="1"/>
  <c r="AK513" i="1"/>
  <c r="AK506" i="1"/>
  <c r="AK504" i="1"/>
  <c r="AK502" i="1"/>
  <c r="AK500" i="1"/>
  <c r="AK516" i="1"/>
  <c r="AK492" i="1"/>
  <c r="AK481" i="1"/>
  <c r="AK487" i="1"/>
  <c r="AK490" i="1"/>
  <c r="AK499" i="1"/>
  <c r="AK496" i="1"/>
  <c r="AK488" i="1"/>
  <c r="AK475" i="1"/>
  <c r="AK469" i="1"/>
  <c r="AK463" i="1"/>
  <c r="AK494" i="1"/>
  <c r="AK479" i="1"/>
  <c r="AK474" i="1"/>
  <c r="AK468" i="1"/>
  <c r="AK493" i="1"/>
  <c r="AK480" i="1"/>
  <c r="AK485" i="1"/>
  <c r="AK459" i="1"/>
  <c r="AK453" i="1"/>
  <c r="AK447" i="1"/>
  <c r="AK441" i="1"/>
  <c r="AK435" i="1"/>
  <c r="AK429" i="1"/>
  <c r="AK423" i="1"/>
  <c r="AK417" i="1"/>
  <c r="AK473" i="1"/>
  <c r="AK470" i="1"/>
  <c r="AK464" i="1"/>
  <c r="AK478" i="1"/>
  <c r="AK458" i="1"/>
  <c r="AK452" i="1"/>
  <c r="AK446" i="1"/>
  <c r="AK440" i="1"/>
  <c r="AK434" i="1"/>
  <c r="AK465" i="1"/>
  <c r="AK457" i="1"/>
  <c r="AK476" i="1"/>
  <c r="AK472" i="1"/>
  <c r="AK477" i="1"/>
  <c r="AK462" i="1"/>
  <c r="AK456" i="1"/>
  <c r="AK444" i="1"/>
  <c r="AK438" i="1"/>
  <c r="AK432" i="1"/>
  <c r="AK426" i="1"/>
  <c r="AK486" i="1"/>
  <c r="AK482" i="1"/>
  <c r="AK466" i="1"/>
  <c r="AK471" i="1"/>
  <c r="AK451" i="1"/>
  <c r="AK431" i="1"/>
  <c r="AK420" i="1"/>
  <c r="AK439" i="1"/>
  <c r="AK424" i="1"/>
  <c r="AK454" i="1"/>
  <c r="AK448" i="1"/>
  <c r="AK427" i="1"/>
  <c r="AK430" i="1"/>
  <c r="AK421" i="1"/>
  <c r="AK408" i="1"/>
  <c r="AK442" i="1"/>
  <c r="AK443" i="1"/>
  <c r="AK412" i="1"/>
  <c r="AK406" i="1"/>
  <c r="AK400" i="1"/>
  <c r="AK394" i="1"/>
  <c r="AK455" i="1"/>
  <c r="AK449" i="1"/>
  <c r="AK461" i="1"/>
  <c r="AK460" i="1"/>
  <c r="AK436" i="1"/>
  <c r="AK425" i="1"/>
  <c r="AK419" i="1"/>
  <c r="AK437" i="1"/>
  <c r="AK428" i="1"/>
  <c r="AK410" i="1"/>
  <c r="AK407" i="1"/>
  <c r="AK404" i="1"/>
  <c r="AK391" i="1"/>
  <c r="AK385" i="1"/>
  <c r="AK395" i="1"/>
  <c r="AK390" i="1"/>
  <c r="AK384" i="1"/>
  <c r="AK378" i="1"/>
  <c r="AK372" i="1"/>
  <c r="AK411" i="1"/>
  <c r="AK403" i="1"/>
  <c r="AK413" i="1"/>
  <c r="AK389" i="1"/>
  <c r="AK383" i="1"/>
  <c r="AK377" i="1"/>
  <c r="AK371" i="1"/>
  <c r="AK422" i="1"/>
  <c r="AK396" i="1"/>
  <c r="AK445" i="1"/>
  <c r="AK415" i="1"/>
  <c r="AK402" i="1"/>
  <c r="AK405" i="1"/>
  <c r="AK397" i="1"/>
  <c r="AK393" i="1"/>
  <c r="AK387" i="1"/>
  <c r="AK381" i="1"/>
  <c r="AK375" i="1"/>
  <c r="AK414" i="1"/>
  <c r="AK418" i="1"/>
  <c r="AK409" i="1"/>
  <c r="AK401" i="1"/>
  <c r="AK366" i="1"/>
  <c r="AK388" i="1"/>
  <c r="AK361" i="1"/>
  <c r="AK355" i="1"/>
  <c r="AK376" i="1"/>
  <c r="AK392" i="1"/>
  <c r="AK367" i="1"/>
  <c r="AK360" i="1"/>
  <c r="AK354" i="1"/>
  <c r="AK342" i="1"/>
  <c r="AK336" i="1"/>
  <c r="AK330" i="1"/>
  <c r="AK324" i="1"/>
  <c r="AK398" i="1"/>
  <c r="AK370" i="1"/>
  <c r="AK368" i="1"/>
  <c r="AK380" i="1"/>
  <c r="AK373" i="1"/>
  <c r="AK369" i="1"/>
  <c r="AK386" i="1"/>
  <c r="AK374" i="1"/>
  <c r="AK362" i="1"/>
  <c r="AK356" i="1"/>
  <c r="AK350" i="1"/>
  <c r="AK335" i="1"/>
  <c r="AK317" i="1"/>
  <c r="AK311" i="1"/>
  <c r="AK305" i="1"/>
  <c r="AK299" i="1"/>
  <c r="AK339" i="1"/>
  <c r="AK347" i="1"/>
  <c r="AK343" i="1"/>
  <c r="AK328" i="1"/>
  <c r="AK316" i="1"/>
  <c r="AK310" i="1"/>
  <c r="AK304" i="1"/>
  <c r="AK379" i="1"/>
  <c r="AK358" i="1"/>
  <c r="AK357" i="1"/>
  <c r="AK332" i="1"/>
  <c r="AK359" i="1"/>
  <c r="AK340" i="1"/>
  <c r="AK321" i="1"/>
  <c r="AK315" i="1"/>
  <c r="AK309" i="1"/>
  <c r="AK352" i="1"/>
  <c r="AK351" i="1"/>
  <c r="AK344" i="1"/>
  <c r="AK329" i="1"/>
  <c r="AK325" i="1"/>
  <c r="AK353" i="1"/>
  <c r="AK333" i="1"/>
  <c r="AK320" i="1"/>
  <c r="AK308" i="1"/>
  <c r="AK302" i="1"/>
  <c r="AK296" i="1"/>
  <c r="AK341" i="1"/>
  <c r="AK337" i="1"/>
  <c r="AK322" i="1"/>
  <c r="AK345" i="1"/>
  <c r="AK326" i="1"/>
  <c r="AK319" i="1"/>
  <c r="AK364" i="1"/>
  <c r="AK363" i="1"/>
  <c r="AK349" i="1"/>
  <c r="AK338" i="1"/>
  <c r="AK323" i="1"/>
  <c r="AK318" i="1"/>
  <c r="AK312" i="1"/>
  <c r="AK346" i="1"/>
  <c r="AK306" i="1"/>
  <c r="AK288" i="1"/>
  <c r="AK282" i="1"/>
  <c r="AK276" i="1"/>
  <c r="AK270" i="1"/>
  <c r="AK264" i="1"/>
  <c r="AK313" i="1"/>
  <c r="AK298" i="1"/>
  <c r="AK293" i="1"/>
  <c r="AK287" i="1"/>
  <c r="AK281" i="1"/>
  <c r="AK275" i="1"/>
  <c r="AK269" i="1"/>
  <c r="AK334" i="1"/>
  <c r="AK301" i="1"/>
  <c r="AK327" i="1"/>
  <c r="AK295" i="1"/>
  <c r="AK292" i="1"/>
  <c r="AK286" i="1"/>
  <c r="AK303" i="1"/>
  <c r="AK291" i="1"/>
  <c r="AK285" i="1"/>
  <c r="AK279" i="1"/>
  <c r="AK273" i="1"/>
  <c r="AK267" i="1"/>
  <c r="AK261" i="1"/>
  <c r="AK255" i="1"/>
  <c r="AK300" i="1"/>
  <c r="AK307" i="1"/>
  <c r="AK290" i="1"/>
  <c r="AK284" i="1"/>
  <c r="AK289" i="1"/>
  <c r="AK294" i="1"/>
  <c r="AK244" i="1"/>
  <c r="AK238" i="1"/>
  <c r="AK232" i="1"/>
  <c r="AK226" i="1"/>
  <c r="AK220" i="1"/>
  <c r="AK271" i="1"/>
  <c r="AK253" i="1"/>
  <c r="AK283" i="1"/>
  <c r="AK257" i="1"/>
  <c r="AK249" i="1"/>
  <c r="AK243" i="1"/>
  <c r="AK237" i="1"/>
  <c r="AK231" i="1"/>
  <c r="AK225" i="1"/>
  <c r="AK254" i="1"/>
  <c r="AK250" i="1"/>
  <c r="AK248" i="1"/>
  <c r="AK242" i="1"/>
  <c r="AK236" i="1"/>
  <c r="AK230" i="1"/>
  <c r="AK224" i="1"/>
  <c r="AK218" i="1"/>
  <c r="AK258" i="1"/>
  <c r="AK266" i="1"/>
  <c r="AK262" i="1"/>
  <c r="AK278" i="1"/>
  <c r="AK259" i="1"/>
  <c r="AK277" i="1"/>
  <c r="AK268" i="1"/>
  <c r="AK265" i="1"/>
  <c r="AK252" i="1"/>
  <c r="AK245" i="1"/>
  <c r="AK239" i="1"/>
  <c r="AK233" i="1"/>
  <c r="AK227" i="1"/>
  <c r="AK221" i="1"/>
  <c r="AK215" i="1"/>
  <c r="AK272" i="1"/>
  <c r="AK260" i="1"/>
  <c r="AK256" i="1"/>
  <c r="AK251" i="1"/>
  <c r="AK234" i="1"/>
  <c r="AK247" i="1"/>
  <c r="AK219" i="1"/>
  <c r="AK214" i="1"/>
  <c r="AK208" i="1"/>
  <c r="AK235" i="1"/>
  <c r="AK206" i="1"/>
  <c r="AK200" i="1"/>
  <c r="AK194" i="1"/>
  <c r="AK240" i="1"/>
  <c r="AK222" i="1"/>
  <c r="AK223" i="1"/>
  <c r="AK211" i="1"/>
  <c r="AK205" i="1"/>
  <c r="AK199" i="1"/>
  <c r="AK193" i="1"/>
  <c r="AK187" i="1"/>
  <c r="AK181" i="1"/>
  <c r="AK196" i="1"/>
  <c r="AK185" i="1"/>
  <c r="AK201" i="1"/>
  <c r="AK189" i="1"/>
  <c r="AK202" i="1"/>
  <c r="AK228" i="1"/>
  <c r="AK216" i="1"/>
  <c r="AK213" i="1"/>
  <c r="AK204" i="1"/>
  <c r="AK186" i="1"/>
  <c r="AK182" i="1"/>
  <c r="AK177" i="1"/>
  <c r="AK171" i="1"/>
  <c r="AK165" i="1"/>
  <c r="AK159" i="1"/>
  <c r="AK153" i="1"/>
  <c r="AK147" i="1"/>
  <c r="AK141" i="1"/>
  <c r="AK135" i="1"/>
  <c r="AK129" i="1"/>
  <c r="AK198" i="1"/>
  <c r="AK190" i="1"/>
  <c r="AK209" i="1"/>
  <c r="AK241" i="1"/>
  <c r="AK210" i="1"/>
  <c r="AK207" i="1"/>
  <c r="AK197" i="1"/>
  <c r="AK180" i="1"/>
  <c r="AK192" i="1"/>
  <c r="AK188" i="1"/>
  <c r="AK149" i="1"/>
  <c r="AK138" i="1"/>
  <c r="AK191" i="1"/>
  <c r="AK203" i="1"/>
  <c r="AK158" i="1"/>
  <c r="AK145" i="1"/>
  <c r="AK131" i="1"/>
  <c r="AK179" i="1"/>
  <c r="AK174" i="1"/>
  <c r="AK173" i="1"/>
  <c r="AK172" i="1"/>
  <c r="AK157" i="1"/>
  <c r="AK148" i="1"/>
  <c r="AK143" i="1"/>
  <c r="AK128" i="1"/>
  <c r="AK175" i="1"/>
  <c r="AK154" i="1"/>
  <c r="AK132" i="1"/>
  <c r="AK124" i="1"/>
  <c r="AK118" i="1"/>
  <c r="AK160" i="1"/>
  <c r="AK140" i="1"/>
  <c r="AK136" i="1"/>
  <c r="AK170" i="1"/>
  <c r="AK166" i="1"/>
  <c r="AK150" i="1"/>
  <c r="AK133" i="1"/>
  <c r="AK176" i="1"/>
  <c r="AK168" i="1"/>
  <c r="AK164" i="1"/>
  <c r="AK163" i="1"/>
  <c r="AK162" i="1"/>
  <c r="AK156" i="1"/>
  <c r="AK274" i="1"/>
  <c r="AK217" i="1"/>
  <c r="AK146" i="1"/>
  <c r="AK125" i="1"/>
  <c r="AK122" i="1"/>
  <c r="AK121" i="1"/>
  <c r="AK112" i="1"/>
  <c r="AK100" i="1"/>
  <c r="AK79" i="1"/>
  <c r="AK183" i="1"/>
  <c r="AK169" i="1"/>
  <c r="AK142" i="1"/>
  <c r="AK89" i="1"/>
  <c r="AK78" i="1"/>
  <c r="AK67" i="1"/>
  <c r="AK155" i="1"/>
  <c r="AK139" i="1"/>
  <c r="AK114" i="1"/>
  <c r="AK88" i="1"/>
  <c r="AK77" i="1"/>
  <c r="AK151" i="1"/>
  <c r="AK137" i="1"/>
  <c r="AK123" i="1"/>
  <c r="AK108" i="1"/>
  <c r="AK98" i="1"/>
  <c r="AK87" i="1"/>
  <c r="AK76" i="1"/>
  <c r="AK97" i="1"/>
  <c r="AK86" i="1"/>
  <c r="AK75" i="1"/>
  <c r="AK167" i="1"/>
  <c r="AK107" i="1"/>
  <c r="AK96" i="1"/>
  <c r="AK85" i="1"/>
  <c r="AK117" i="1"/>
  <c r="AK113" i="1"/>
  <c r="AK106" i="1"/>
  <c r="AK95" i="1"/>
  <c r="AK84" i="1"/>
  <c r="AK116" i="1"/>
  <c r="AK105" i="1"/>
  <c r="AK94" i="1"/>
  <c r="AK83" i="1"/>
  <c r="AK152" i="1"/>
  <c r="AK130" i="1"/>
  <c r="AK104" i="1"/>
  <c r="AK93" i="1"/>
  <c r="AK82" i="1"/>
  <c r="AK184" i="1"/>
  <c r="AK119" i="1"/>
  <c r="AK103" i="1"/>
  <c r="AK92" i="1"/>
  <c r="AK134" i="1"/>
  <c r="AK120" i="1"/>
  <c r="AK111" i="1"/>
  <c r="AK102" i="1"/>
  <c r="AK91" i="1"/>
  <c r="AK52" i="1"/>
  <c r="AK126" i="1"/>
  <c r="AK70" i="1"/>
  <c r="AK62" i="1"/>
  <c r="AK51" i="1"/>
  <c r="AK42" i="1"/>
  <c r="AK101" i="1"/>
  <c r="AK61" i="1"/>
  <c r="AK50" i="1"/>
  <c r="AK74" i="1"/>
  <c r="AK60" i="1"/>
  <c r="AK49" i="1"/>
  <c r="AK41" i="1"/>
  <c r="AK35" i="1"/>
  <c r="AK29" i="1"/>
  <c r="AK23" i="1"/>
  <c r="AK17" i="1"/>
  <c r="AK11" i="1"/>
  <c r="AK115" i="1"/>
  <c r="AK71" i="1"/>
  <c r="AK68" i="1"/>
  <c r="AK58" i="1"/>
  <c r="AK47" i="1"/>
  <c r="AK40" i="1"/>
  <c r="AK28" i="1"/>
  <c r="AK22" i="1"/>
  <c r="AK16" i="1"/>
  <c r="AK57" i="1"/>
  <c r="AK46" i="1"/>
  <c r="AK56" i="1"/>
  <c r="AK33" i="1"/>
  <c r="AK27" i="1"/>
  <c r="AK21" i="1"/>
  <c r="AK15" i="1"/>
  <c r="AK9" i="1"/>
  <c r="AK80" i="1"/>
  <c r="AK66" i="1"/>
  <c r="AK55" i="1"/>
  <c r="AK69" i="1"/>
  <c r="AK65" i="1"/>
  <c r="AK38" i="1"/>
  <c r="AK64" i="1"/>
  <c r="AK73" i="1"/>
  <c r="AK53" i="1"/>
  <c r="AK43" i="1"/>
  <c r="AK37" i="1"/>
  <c r="AK31" i="1"/>
  <c r="AK25" i="1"/>
  <c r="AK19" i="1"/>
  <c r="AK13" i="1"/>
  <c r="AK14" i="1"/>
  <c r="AK59" i="1"/>
  <c r="AK20" i="1"/>
  <c r="AK30" i="1"/>
  <c r="AK36" i="1"/>
  <c r="AK24" i="1"/>
  <c r="AK10" i="1"/>
  <c r="AK26" i="1"/>
  <c r="AK48" i="1"/>
  <c r="AK12" i="1"/>
  <c r="AK18" i="1"/>
  <c r="AK32" i="1"/>
  <c r="AJ603" i="1"/>
  <c r="AJ654" i="1"/>
  <c r="AJ110" i="1"/>
  <c r="AJ90" i="1"/>
  <c r="AJ81" i="1"/>
  <c r="AJ586" i="1"/>
  <c r="AJ671" i="1"/>
  <c r="AJ689" i="1"/>
  <c r="AJ161" i="1"/>
  <c r="AJ314" i="1"/>
  <c r="AJ501" i="1"/>
  <c r="AJ144" i="1"/>
  <c r="AI7" i="1"/>
  <c r="AJ127" i="1"/>
  <c r="AJ212" i="1"/>
  <c r="AJ467" i="1"/>
  <c r="AJ620" i="1"/>
  <c r="AK348" i="1" l="1"/>
  <c r="AK603" i="1"/>
  <c r="AK654" i="1"/>
  <c r="AK695" i="1"/>
  <c r="AK212" i="1"/>
  <c r="AJ44" i="1"/>
  <c r="AK99" i="1"/>
  <c r="AK110" i="1"/>
  <c r="AK263" i="1"/>
  <c r="AK331" i="1"/>
  <c r="AK552" i="1"/>
  <c r="AK127" i="1"/>
  <c r="AK229" i="1"/>
  <c r="AK450" i="1"/>
  <c r="AK467" i="1"/>
  <c r="AK246" i="1"/>
  <c r="AK416" i="1"/>
  <c r="AK72" i="1"/>
  <c r="AK365" i="1"/>
  <c r="AK689" i="1"/>
  <c r="AJ109" i="1"/>
  <c r="AJ7" i="1" s="1"/>
  <c r="AK63" i="1"/>
  <c r="AK518" i="1"/>
  <c r="AK620" i="1"/>
  <c r="AK45" i="1"/>
  <c r="AK433" i="1"/>
  <c r="AK501" i="1"/>
  <c r="AK535" i="1"/>
  <c r="AK569" i="1"/>
  <c r="AK81" i="1"/>
  <c r="AK280" i="1"/>
  <c r="AK586" i="1"/>
  <c r="AK54" i="1"/>
  <c r="AK34" i="1"/>
  <c r="AK161" i="1"/>
  <c r="AK178" i="1"/>
  <c r="AK314" i="1"/>
  <c r="AK637" i="1"/>
  <c r="AL702" i="1"/>
  <c r="AL700" i="1"/>
  <c r="AL701" i="1"/>
  <c r="AL699" i="1"/>
  <c r="AL685" i="1"/>
  <c r="AL698" i="1"/>
  <c r="AL693" i="1"/>
  <c r="AL703" i="1"/>
  <c r="AL697" i="1"/>
  <c r="AL692" i="1"/>
  <c r="AL687" i="1"/>
  <c r="AL684" i="1"/>
  <c r="AL679" i="1"/>
  <c r="AL688" i="1"/>
  <c r="AL675" i="1"/>
  <c r="AL682" i="1"/>
  <c r="AL696" i="1"/>
  <c r="AL690" i="1"/>
  <c r="AL683" i="1"/>
  <c r="AL680" i="1"/>
  <c r="AL694" i="1"/>
  <c r="AL691" i="1"/>
  <c r="AL681" i="1"/>
  <c r="AL672" i="1"/>
  <c r="AL677" i="1"/>
  <c r="AL673" i="1"/>
  <c r="AL674" i="1"/>
  <c r="AL663" i="1"/>
  <c r="AL686" i="1"/>
  <c r="AL666" i="1"/>
  <c r="AL676" i="1"/>
  <c r="AL669" i="1"/>
  <c r="AL668" i="1"/>
  <c r="AL665" i="1"/>
  <c r="AL664" i="1"/>
  <c r="AL658" i="1"/>
  <c r="AL651" i="1"/>
  <c r="AL653" i="1"/>
  <c r="AL670" i="1"/>
  <c r="AL661" i="1"/>
  <c r="AL667" i="1"/>
  <c r="AL656" i="1"/>
  <c r="AL678" i="1"/>
  <c r="AL655" i="1"/>
  <c r="AL649" i="1"/>
  <c r="AL643" i="1"/>
  <c r="AL659" i="1"/>
  <c r="AL648" i="1"/>
  <c r="AL662" i="1"/>
  <c r="AL660" i="1"/>
  <c r="AL652" i="1"/>
  <c r="AL642" i="1"/>
  <c r="AL640" i="1"/>
  <c r="AL647" i="1"/>
  <c r="AL657" i="1"/>
  <c r="AL650" i="1"/>
  <c r="AL645" i="1"/>
  <c r="AL635" i="1"/>
  <c r="AL627" i="1"/>
  <c r="AL646" i="1"/>
  <c r="AL638" i="1"/>
  <c r="AL636" i="1"/>
  <c r="AL632" i="1"/>
  <c r="AL625" i="1"/>
  <c r="AL634" i="1"/>
  <c r="AL628" i="1"/>
  <c r="AL641" i="1"/>
  <c r="AL633" i="1"/>
  <c r="AL622" i="1"/>
  <c r="AL644" i="1"/>
  <c r="AL629" i="1"/>
  <c r="AL631" i="1"/>
  <c r="AL639" i="1"/>
  <c r="AL630" i="1"/>
  <c r="AL619" i="1"/>
  <c r="AL618" i="1"/>
  <c r="AL624" i="1"/>
  <c r="AL611" i="1"/>
  <c r="AL626" i="1"/>
  <c r="AL614" i="1"/>
  <c r="AL616" i="1"/>
  <c r="AL605" i="1"/>
  <c r="AL621" i="1"/>
  <c r="AL617" i="1"/>
  <c r="AL615" i="1"/>
  <c r="AL606" i="1"/>
  <c r="AL612" i="1"/>
  <c r="AL599" i="1"/>
  <c r="AL601" i="1"/>
  <c r="AL623" i="1"/>
  <c r="AL597" i="1"/>
  <c r="AL598" i="1"/>
  <c r="AL593" i="1"/>
  <c r="AL613" i="1"/>
  <c r="AL607" i="1"/>
  <c r="AL600" i="1"/>
  <c r="AL610" i="1"/>
  <c r="AL608" i="1"/>
  <c r="AL604" i="1"/>
  <c r="AL595" i="1"/>
  <c r="AL609" i="1"/>
  <c r="AL594" i="1"/>
  <c r="AL590" i="1"/>
  <c r="AL587" i="1"/>
  <c r="AL584" i="1"/>
  <c r="AL580" i="1"/>
  <c r="AL581" i="1"/>
  <c r="AL579" i="1"/>
  <c r="AL596" i="1"/>
  <c r="AL591" i="1"/>
  <c r="AL583" i="1"/>
  <c r="AL585" i="1"/>
  <c r="AL602" i="1"/>
  <c r="AL577" i="1"/>
  <c r="AL573" i="1"/>
  <c r="AL592" i="1"/>
  <c r="AL588" i="1"/>
  <c r="AL576" i="1"/>
  <c r="AL589" i="1"/>
  <c r="AL578" i="1"/>
  <c r="AL575" i="1"/>
  <c r="AL571" i="1"/>
  <c r="AL563" i="1"/>
  <c r="AL561" i="1"/>
  <c r="AL557" i="1"/>
  <c r="AL548" i="1"/>
  <c r="AL542" i="1"/>
  <c r="AL567" i="1"/>
  <c r="AL570" i="1"/>
  <c r="AL558" i="1"/>
  <c r="AL562" i="1"/>
  <c r="AL555" i="1"/>
  <c r="AL582" i="1"/>
  <c r="AL574" i="1"/>
  <c r="AL564" i="1"/>
  <c r="AL551" i="1"/>
  <c r="AL549" i="1"/>
  <c r="AL540" i="1"/>
  <c r="AL539" i="1"/>
  <c r="AL554" i="1"/>
  <c r="AL559" i="1"/>
  <c r="AL541" i="1"/>
  <c r="AL538" i="1"/>
  <c r="AL546" i="1"/>
  <c r="AL544" i="1"/>
  <c r="AL572" i="1"/>
  <c r="AL568" i="1"/>
  <c r="AL566" i="1"/>
  <c r="AL565" i="1"/>
  <c r="AL560" i="1"/>
  <c r="AL553" i="1"/>
  <c r="AL547" i="1"/>
  <c r="AL534" i="1"/>
  <c r="AL523" i="1"/>
  <c r="AL556" i="1"/>
  <c r="AL531" i="1"/>
  <c r="AL527" i="1"/>
  <c r="AL520" i="1"/>
  <c r="AL516" i="1"/>
  <c r="AL550" i="1"/>
  <c r="AL545" i="1"/>
  <c r="AL533" i="1"/>
  <c r="AL528" i="1"/>
  <c r="AL513" i="1"/>
  <c r="AL509" i="1"/>
  <c r="AL536" i="1"/>
  <c r="AL532" i="1"/>
  <c r="AL529" i="1"/>
  <c r="AL537" i="1"/>
  <c r="AL543" i="1"/>
  <c r="AL530" i="1"/>
  <c r="AL519" i="1"/>
  <c r="AL515" i="1"/>
  <c r="AL514" i="1"/>
  <c r="AL524" i="1"/>
  <c r="AL512" i="1"/>
  <c r="AL517" i="1"/>
  <c r="AL510" i="1"/>
  <c r="AL487" i="1"/>
  <c r="AL483" i="1"/>
  <c r="AL508" i="1"/>
  <c r="AL503" i="1"/>
  <c r="AL499" i="1"/>
  <c r="AL495" i="1"/>
  <c r="AL506" i="1"/>
  <c r="AL505" i="1"/>
  <c r="AL526" i="1"/>
  <c r="AL525" i="1"/>
  <c r="AL511" i="1"/>
  <c r="AL522" i="1"/>
  <c r="AL521" i="1"/>
  <c r="AL507" i="1"/>
  <c r="AL492" i="1"/>
  <c r="AL486" i="1"/>
  <c r="AL490" i="1"/>
  <c r="AL504" i="1"/>
  <c r="AL496" i="1"/>
  <c r="AL488" i="1"/>
  <c r="AL498" i="1"/>
  <c r="AL485" i="1"/>
  <c r="AL482" i="1"/>
  <c r="AL494" i="1"/>
  <c r="AL502" i="1"/>
  <c r="AL500" i="1"/>
  <c r="AL489" i="1"/>
  <c r="AL493" i="1"/>
  <c r="AL459" i="1"/>
  <c r="AL453" i="1"/>
  <c r="AL473" i="1"/>
  <c r="AL470" i="1"/>
  <c r="AL464" i="1"/>
  <c r="AL491" i="1"/>
  <c r="AL480" i="1"/>
  <c r="AL478" i="1"/>
  <c r="AL458" i="1"/>
  <c r="AL452" i="1"/>
  <c r="AL446" i="1"/>
  <c r="AL465" i="1"/>
  <c r="AL457" i="1"/>
  <c r="AL476" i="1"/>
  <c r="AL472" i="1"/>
  <c r="AL469" i="1"/>
  <c r="AL477" i="1"/>
  <c r="AL462" i="1"/>
  <c r="AL456" i="1"/>
  <c r="AL479" i="1"/>
  <c r="AL475" i="1"/>
  <c r="AL466" i="1"/>
  <c r="AL497" i="1"/>
  <c r="AL468" i="1"/>
  <c r="AL461" i="1"/>
  <c r="AL481" i="1"/>
  <c r="AL471" i="1"/>
  <c r="AL474" i="1"/>
  <c r="AL463" i="1"/>
  <c r="AL460" i="1"/>
  <c r="AL438" i="1"/>
  <c r="AL420" i="1"/>
  <c r="AL439" i="1"/>
  <c r="AL424" i="1"/>
  <c r="AL409" i="1"/>
  <c r="AL403" i="1"/>
  <c r="AL454" i="1"/>
  <c r="AL448" i="1"/>
  <c r="AL427" i="1"/>
  <c r="AL440" i="1"/>
  <c r="AL430" i="1"/>
  <c r="AL421" i="1"/>
  <c r="AL417" i="1"/>
  <c r="AL445" i="1"/>
  <c r="AL441" i="1"/>
  <c r="AL414" i="1"/>
  <c r="AL413" i="1"/>
  <c r="AL443" i="1"/>
  <c r="AL429" i="1"/>
  <c r="AL455" i="1"/>
  <c r="AL449" i="1"/>
  <c r="AL447" i="1"/>
  <c r="AL435" i="1"/>
  <c r="AL432" i="1"/>
  <c r="AL415" i="1"/>
  <c r="AL436" i="1"/>
  <c r="AL425" i="1"/>
  <c r="AL437" i="1"/>
  <c r="AL428" i="1"/>
  <c r="AL423" i="1"/>
  <c r="AL451" i="1"/>
  <c r="AL444" i="1"/>
  <c r="AL431" i="1"/>
  <c r="AL412" i="1"/>
  <c r="AL395" i="1"/>
  <c r="AL390" i="1"/>
  <c r="AL426" i="1"/>
  <c r="AL411" i="1"/>
  <c r="AL422" i="1"/>
  <c r="AL406" i="1"/>
  <c r="AL396" i="1"/>
  <c r="AL400" i="1"/>
  <c r="AL402" i="1"/>
  <c r="AL419" i="1"/>
  <c r="AL405" i="1"/>
  <c r="AL397" i="1"/>
  <c r="AL393" i="1"/>
  <c r="AL387" i="1"/>
  <c r="AL408" i="1"/>
  <c r="AL442" i="1"/>
  <c r="AL418" i="1"/>
  <c r="AL388" i="1"/>
  <c r="AL375" i="1"/>
  <c r="AL361" i="1"/>
  <c r="AL407" i="1"/>
  <c r="AL394" i="1"/>
  <c r="AL376" i="1"/>
  <c r="AL363" i="1"/>
  <c r="AL392" i="1"/>
  <c r="AL384" i="1"/>
  <c r="AL377" i="1"/>
  <c r="AL398" i="1"/>
  <c r="AL364" i="1"/>
  <c r="AL359" i="1"/>
  <c r="AL391" i="1"/>
  <c r="AL379" i="1"/>
  <c r="AL371" i="1"/>
  <c r="AL372" i="1"/>
  <c r="AL357" i="1"/>
  <c r="AL381" i="1"/>
  <c r="AL373" i="1"/>
  <c r="AL434" i="1"/>
  <c r="AL389" i="1"/>
  <c r="AL386" i="1"/>
  <c r="AL374" i="1"/>
  <c r="AL410" i="1"/>
  <c r="AL401" i="1"/>
  <c r="AL385" i="1"/>
  <c r="AL366" i="1"/>
  <c r="AL339" i="1"/>
  <c r="AL404" i="1"/>
  <c r="AL347" i="1"/>
  <c r="AL343" i="1"/>
  <c r="AL328" i="1"/>
  <c r="AL324" i="1"/>
  <c r="AL358" i="1"/>
  <c r="AL332" i="1"/>
  <c r="AL340" i="1"/>
  <c r="AL336" i="1"/>
  <c r="AL321" i="1"/>
  <c r="AL352" i="1"/>
  <c r="AL351" i="1"/>
  <c r="AL344" i="1"/>
  <c r="AL329" i="1"/>
  <c r="AL325" i="1"/>
  <c r="AL370" i="1"/>
  <c r="AL353" i="1"/>
  <c r="AL333" i="1"/>
  <c r="AL320" i="1"/>
  <c r="AL356" i="1"/>
  <c r="AL341" i="1"/>
  <c r="AL337" i="1"/>
  <c r="AL322" i="1"/>
  <c r="AL380" i="1"/>
  <c r="AL369" i="1"/>
  <c r="AL354" i="1"/>
  <c r="AL345" i="1"/>
  <c r="AL326" i="1"/>
  <c r="AL319" i="1"/>
  <c r="AL349" i="1"/>
  <c r="AL334" i="1"/>
  <c r="AL330" i="1"/>
  <c r="AL383" i="1"/>
  <c r="AL367" i="1"/>
  <c r="AL362" i="1"/>
  <c r="AL360" i="1"/>
  <c r="AL346" i="1"/>
  <c r="AL342" i="1"/>
  <c r="AL327" i="1"/>
  <c r="AL378" i="1"/>
  <c r="AL288" i="1"/>
  <c r="AL282" i="1"/>
  <c r="AL276" i="1"/>
  <c r="AL270" i="1"/>
  <c r="AL355" i="1"/>
  <c r="AL315" i="1"/>
  <c r="AL294" i="1"/>
  <c r="AL350" i="1"/>
  <c r="AL301" i="1"/>
  <c r="AL295" i="1"/>
  <c r="AL292" i="1"/>
  <c r="AL286" i="1"/>
  <c r="AL274" i="1"/>
  <c r="AL268" i="1"/>
  <c r="AL368" i="1"/>
  <c r="AL318" i="1"/>
  <c r="AL302" i="1"/>
  <c r="AL335" i="1"/>
  <c r="AL303" i="1"/>
  <c r="AL291" i="1"/>
  <c r="AL285" i="1"/>
  <c r="AL300" i="1"/>
  <c r="AL311" i="1"/>
  <c r="AL310" i="1"/>
  <c r="AL309" i="1"/>
  <c r="AL308" i="1"/>
  <c r="AL307" i="1"/>
  <c r="AL304" i="1"/>
  <c r="AL290" i="1"/>
  <c r="AL323" i="1"/>
  <c r="AL317" i="1"/>
  <c r="AL316" i="1"/>
  <c r="AL312" i="1"/>
  <c r="AL305" i="1"/>
  <c r="AL296" i="1"/>
  <c r="AL289" i="1"/>
  <c r="AL283" i="1"/>
  <c r="AL338" i="1"/>
  <c r="AL306" i="1"/>
  <c r="AL299" i="1"/>
  <c r="AL271" i="1"/>
  <c r="AL253" i="1"/>
  <c r="AL264" i="1"/>
  <c r="AL257" i="1"/>
  <c r="AL249" i="1"/>
  <c r="AL243" i="1"/>
  <c r="AL237" i="1"/>
  <c r="AL261" i="1"/>
  <c r="AL298" i="1"/>
  <c r="AL254" i="1"/>
  <c r="AL250" i="1"/>
  <c r="AL248" i="1"/>
  <c r="AL242" i="1"/>
  <c r="AL236" i="1"/>
  <c r="AL284" i="1"/>
  <c r="AL258" i="1"/>
  <c r="AL269" i="1"/>
  <c r="AL266" i="1"/>
  <c r="AL262" i="1"/>
  <c r="AL247" i="1"/>
  <c r="AL241" i="1"/>
  <c r="AL235" i="1"/>
  <c r="AL293" i="1"/>
  <c r="AL267" i="1"/>
  <c r="AL287" i="1"/>
  <c r="AL273" i="1"/>
  <c r="AL272" i="1"/>
  <c r="AL260" i="1"/>
  <c r="AL256" i="1"/>
  <c r="AL244" i="1"/>
  <c r="AL313" i="1"/>
  <c r="AL278" i="1"/>
  <c r="AL255" i="1"/>
  <c r="AL232" i="1"/>
  <c r="AL259" i="1"/>
  <c r="AL238" i="1"/>
  <c r="AL225" i="1"/>
  <c r="AL219" i="1"/>
  <c r="AL214" i="1"/>
  <c r="AL208" i="1"/>
  <c r="AL202" i="1"/>
  <c r="AL265" i="1"/>
  <c r="AL245" i="1"/>
  <c r="AL231" i="1"/>
  <c r="AL221" i="1"/>
  <c r="AL215" i="1"/>
  <c r="AL277" i="1"/>
  <c r="AL240" i="1"/>
  <c r="AL222" i="1"/>
  <c r="AL223" i="1"/>
  <c r="AL211" i="1"/>
  <c r="AL275" i="1"/>
  <c r="AL252" i="1"/>
  <c r="AL226" i="1"/>
  <c r="AL233" i="1"/>
  <c r="AL228" i="1"/>
  <c r="AL224" i="1"/>
  <c r="AL230" i="1"/>
  <c r="AL218" i="1"/>
  <c r="AL201" i="1"/>
  <c r="AL199" i="1"/>
  <c r="AL189" i="1"/>
  <c r="AL172" i="1"/>
  <c r="AL166" i="1"/>
  <c r="AL160" i="1"/>
  <c r="AL193" i="1"/>
  <c r="AL216" i="1"/>
  <c r="AL213" i="1"/>
  <c r="AL204" i="1"/>
  <c r="AL186" i="1"/>
  <c r="AL182" i="1"/>
  <c r="AL177" i="1"/>
  <c r="AL171" i="1"/>
  <c r="AL165" i="1"/>
  <c r="AL159" i="1"/>
  <c r="AL153" i="1"/>
  <c r="AL147" i="1"/>
  <c r="AL198" i="1"/>
  <c r="AL190" i="1"/>
  <c r="AL209" i="1"/>
  <c r="AL179" i="1"/>
  <c r="AL176" i="1"/>
  <c r="AL206" i="1"/>
  <c r="AL281" i="1"/>
  <c r="AL203" i="1"/>
  <c r="AL184" i="1"/>
  <c r="AL174" i="1"/>
  <c r="AL168" i="1"/>
  <c r="AL234" i="1"/>
  <c r="AL220" i="1"/>
  <c r="AL279" i="1"/>
  <c r="AL173" i="1"/>
  <c r="AL192" i="1"/>
  <c r="AL191" i="1"/>
  <c r="AL155" i="1"/>
  <c r="AL142" i="1"/>
  <c r="AL126" i="1"/>
  <c r="AL120" i="1"/>
  <c r="AL114" i="1"/>
  <c r="AL227" i="1"/>
  <c r="AL251" i="1"/>
  <c r="AL194" i="1"/>
  <c r="AL188" i="1"/>
  <c r="AL187" i="1"/>
  <c r="AL183" i="1"/>
  <c r="AL169" i="1"/>
  <c r="AL167" i="1"/>
  <c r="AL151" i="1"/>
  <c r="AL139" i="1"/>
  <c r="AL135" i="1"/>
  <c r="AL125" i="1"/>
  <c r="AL200" i="1"/>
  <c r="AL181" i="1"/>
  <c r="AL180" i="1"/>
  <c r="AL175" i="1"/>
  <c r="AL154" i="1"/>
  <c r="AL132" i="1"/>
  <c r="AL124" i="1"/>
  <c r="AL118" i="1"/>
  <c r="AL140" i="1"/>
  <c r="AL136" i="1"/>
  <c r="AL196" i="1"/>
  <c r="AL210" i="1"/>
  <c r="AL164" i="1"/>
  <c r="AL163" i="1"/>
  <c r="AL162" i="1"/>
  <c r="AL156" i="1"/>
  <c r="AL137" i="1"/>
  <c r="AL217" i="1"/>
  <c r="AL205" i="1"/>
  <c r="AL239" i="1"/>
  <c r="AL152" i="1"/>
  <c r="AL143" i="1"/>
  <c r="AL131" i="1"/>
  <c r="AL89" i="1"/>
  <c r="AL78" i="1"/>
  <c r="AL145" i="1"/>
  <c r="AL141" i="1"/>
  <c r="AL88" i="1"/>
  <c r="AL77" i="1"/>
  <c r="AL66" i="1"/>
  <c r="AL157" i="1"/>
  <c r="AL138" i="1"/>
  <c r="AL133" i="1"/>
  <c r="AL128" i="1"/>
  <c r="AL123" i="1"/>
  <c r="AL108" i="1"/>
  <c r="AL98" i="1"/>
  <c r="AL87" i="1"/>
  <c r="AL76" i="1"/>
  <c r="AL149" i="1"/>
  <c r="AL146" i="1"/>
  <c r="AL97" i="1"/>
  <c r="AL86" i="1"/>
  <c r="AL75" i="1"/>
  <c r="AL185" i="1"/>
  <c r="AL129" i="1"/>
  <c r="AL107" i="1"/>
  <c r="AL96" i="1"/>
  <c r="AL85" i="1"/>
  <c r="AL74" i="1"/>
  <c r="AL170" i="1"/>
  <c r="AL117" i="1"/>
  <c r="AL113" i="1"/>
  <c r="AL106" i="1"/>
  <c r="AL95" i="1"/>
  <c r="AL84" i="1"/>
  <c r="AL116" i="1"/>
  <c r="AL105" i="1"/>
  <c r="AL94" i="1"/>
  <c r="AL83" i="1"/>
  <c r="AL197" i="1"/>
  <c r="AL130" i="1"/>
  <c r="AL104" i="1"/>
  <c r="AL93" i="1"/>
  <c r="AL82" i="1"/>
  <c r="AL207" i="1"/>
  <c r="AL119" i="1"/>
  <c r="AL103" i="1"/>
  <c r="AL92" i="1"/>
  <c r="AL158" i="1"/>
  <c r="AL150" i="1"/>
  <c r="AL148" i="1"/>
  <c r="AL134" i="1"/>
  <c r="AL111" i="1"/>
  <c r="AL102" i="1"/>
  <c r="AL91" i="1"/>
  <c r="AL115" i="1"/>
  <c r="AL101" i="1"/>
  <c r="AL70" i="1"/>
  <c r="AL67" i="1"/>
  <c r="AL62" i="1"/>
  <c r="AL51" i="1"/>
  <c r="AL42" i="1"/>
  <c r="AL36" i="1"/>
  <c r="AL30" i="1"/>
  <c r="AL24" i="1"/>
  <c r="AL18" i="1"/>
  <c r="AL12" i="1"/>
  <c r="AL79" i="1"/>
  <c r="AL61" i="1"/>
  <c r="AL50" i="1"/>
  <c r="AL60" i="1"/>
  <c r="AL49" i="1"/>
  <c r="AL41" i="1"/>
  <c r="AL35" i="1"/>
  <c r="AL29" i="1"/>
  <c r="AL23" i="1"/>
  <c r="AL17" i="1"/>
  <c r="AL11" i="1"/>
  <c r="AL59" i="1"/>
  <c r="AL48" i="1"/>
  <c r="AL71" i="1"/>
  <c r="AL68" i="1"/>
  <c r="AL57" i="1"/>
  <c r="AL46" i="1"/>
  <c r="AL122" i="1"/>
  <c r="AL56" i="1"/>
  <c r="AL33" i="1"/>
  <c r="AL27" i="1"/>
  <c r="AL21" i="1"/>
  <c r="AL80" i="1"/>
  <c r="AL55" i="1"/>
  <c r="AL100" i="1"/>
  <c r="AL69" i="1"/>
  <c r="AL65" i="1"/>
  <c r="AL112" i="1"/>
  <c r="AL64" i="1"/>
  <c r="AL73" i="1"/>
  <c r="AL121" i="1"/>
  <c r="AL52" i="1"/>
  <c r="AL43" i="1"/>
  <c r="AL20" i="1"/>
  <c r="AL13" i="1"/>
  <c r="AL25" i="1"/>
  <c r="AL40" i="1"/>
  <c r="AL19" i="1"/>
  <c r="AL10" i="1"/>
  <c r="AL28" i="1"/>
  <c r="AL31" i="1"/>
  <c r="AL37" i="1"/>
  <c r="AL22" i="1"/>
  <c r="AL47" i="1"/>
  <c r="AL32" i="1"/>
  <c r="AL58" i="1"/>
  <c r="AL53" i="1"/>
  <c r="AL38" i="1"/>
  <c r="AL16" i="1"/>
  <c r="AL15" i="1"/>
  <c r="AL26" i="1"/>
  <c r="AL14" i="1"/>
  <c r="AL9" i="1"/>
  <c r="AI5" i="1"/>
  <c r="AI8" i="1"/>
  <c r="AK195" i="1"/>
  <c r="AK382" i="1"/>
  <c r="AN4" i="1"/>
  <c r="AM6" i="1"/>
  <c r="AK39" i="1"/>
  <c r="AK90" i="1"/>
  <c r="AK144" i="1"/>
  <c r="AK297" i="1"/>
  <c r="AK399" i="1"/>
  <c r="AK484" i="1"/>
  <c r="AK671" i="1"/>
  <c r="AL450" i="1" l="1"/>
  <c r="AL195" i="1"/>
  <c r="AL399" i="1"/>
  <c r="AL467" i="1"/>
  <c r="AL72" i="1"/>
  <c r="AL382" i="1"/>
  <c r="AL263" i="1"/>
  <c r="AL365" i="1"/>
  <c r="AL603" i="1"/>
  <c r="AJ8" i="1"/>
  <c r="AJ5" i="1"/>
  <c r="AL34" i="1"/>
  <c r="AL314" i="1"/>
  <c r="AL127" i="1"/>
  <c r="AL637" i="1"/>
  <c r="AL63" i="1"/>
  <c r="AL45" i="1"/>
  <c r="AL280" i="1"/>
  <c r="AL671" i="1"/>
  <c r="AL331" i="1"/>
  <c r="AL501" i="1"/>
  <c r="AL620" i="1"/>
  <c r="AL229" i="1"/>
  <c r="AL348" i="1"/>
  <c r="AL535" i="1"/>
  <c r="AK44" i="1"/>
  <c r="AL178" i="1"/>
  <c r="AL297" i="1"/>
  <c r="AL416" i="1"/>
  <c r="AL569" i="1"/>
  <c r="AL39" i="1"/>
  <c r="AL99" i="1"/>
  <c r="AL81" i="1"/>
  <c r="AL212" i="1"/>
  <c r="AL246" i="1"/>
  <c r="AL433" i="1"/>
  <c r="AL484" i="1"/>
  <c r="AL586" i="1"/>
  <c r="AL654" i="1"/>
  <c r="AL54" i="1"/>
  <c r="AL90" i="1"/>
  <c r="AL552" i="1"/>
  <c r="AM699" i="1"/>
  <c r="AM693" i="1"/>
  <c r="AM698" i="1"/>
  <c r="AM703" i="1"/>
  <c r="AM701" i="1"/>
  <c r="AM691" i="1"/>
  <c r="AM687" i="1"/>
  <c r="AM681" i="1"/>
  <c r="AM692" i="1"/>
  <c r="AM702" i="1"/>
  <c r="AM697" i="1"/>
  <c r="AM700" i="1"/>
  <c r="AM688" i="1"/>
  <c r="AM694" i="1"/>
  <c r="AM696" i="1"/>
  <c r="AM685" i="1"/>
  <c r="AM682" i="1"/>
  <c r="AM678" i="1"/>
  <c r="AM686" i="1"/>
  <c r="AM690" i="1"/>
  <c r="AM677" i="1"/>
  <c r="AM676" i="1"/>
  <c r="AM680" i="1"/>
  <c r="AM668" i="1"/>
  <c r="AM662" i="1"/>
  <c r="AM656" i="1"/>
  <c r="AM674" i="1"/>
  <c r="AM667" i="1"/>
  <c r="AM661" i="1"/>
  <c r="AM655" i="1"/>
  <c r="AM683" i="1"/>
  <c r="AM670" i="1"/>
  <c r="AM672" i="1"/>
  <c r="AM684" i="1"/>
  <c r="AM663" i="1"/>
  <c r="AM679" i="1"/>
  <c r="AM666" i="1"/>
  <c r="AM653" i="1"/>
  <c r="AM650" i="1"/>
  <c r="AM675" i="1"/>
  <c r="AM659" i="1"/>
  <c r="AM673" i="1"/>
  <c r="AM658" i="1"/>
  <c r="AM649" i="1"/>
  <c r="AM643" i="1"/>
  <c r="AM631" i="1"/>
  <c r="AM652" i="1"/>
  <c r="AM665" i="1"/>
  <c r="AM664" i="1"/>
  <c r="AM647" i="1"/>
  <c r="AM641" i="1"/>
  <c r="AM660" i="1"/>
  <c r="AM669" i="1"/>
  <c r="AM630" i="1"/>
  <c r="AM657" i="1"/>
  <c r="AM644" i="1"/>
  <c r="AM645" i="1"/>
  <c r="AM648" i="1"/>
  <c r="AM625" i="1"/>
  <c r="AM619" i="1"/>
  <c r="AM629" i="1"/>
  <c r="AM618" i="1"/>
  <c r="AM616" i="1"/>
  <c r="AM610" i="1"/>
  <c r="AM624" i="1"/>
  <c r="AM615" i="1"/>
  <c r="AM609" i="1"/>
  <c r="AM642" i="1"/>
  <c r="AM638" i="1"/>
  <c r="AM636" i="1"/>
  <c r="AM639" i="1"/>
  <c r="AM651" i="1"/>
  <c r="AM628" i="1"/>
  <c r="AM633" i="1"/>
  <c r="AM614" i="1"/>
  <c r="AM646" i="1"/>
  <c r="AM632" i="1"/>
  <c r="AM627" i="1"/>
  <c r="AM623" i="1"/>
  <c r="AM611" i="1"/>
  <c r="AM626" i="1"/>
  <c r="AM601" i="1"/>
  <c r="AM635" i="1"/>
  <c r="AM608" i="1"/>
  <c r="AM622" i="1"/>
  <c r="AM634" i="1"/>
  <c r="AM640" i="1"/>
  <c r="AM612" i="1"/>
  <c r="AM621" i="1"/>
  <c r="AM606" i="1"/>
  <c r="AM607" i="1"/>
  <c r="AM598" i="1"/>
  <c r="AM592" i="1"/>
  <c r="AM613" i="1"/>
  <c r="AM596" i="1"/>
  <c r="AM599" i="1"/>
  <c r="AM600" i="1"/>
  <c r="AM617" i="1"/>
  <c r="AM605" i="1"/>
  <c r="AM595" i="1"/>
  <c r="AM581" i="1"/>
  <c r="AM579" i="1"/>
  <c r="AM573" i="1"/>
  <c r="AM567" i="1"/>
  <c r="AM561" i="1"/>
  <c r="AM555" i="1"/>
  <c r="AM597" i="1"/>
  <c r="AM593" i="1"/>
  <c r="AM583" i="1"/>
  <c r="AM585" i="1"/>
  <c r="AM576" i="1"/>
  <c r="AM570" i="1"/>
  <c r="AM564" i="1"/>
  <c r="AM588" i="1"/>
  <c r="AM594" i="1"/>
  <c r="AM591" i="1"/>
  <c r="AM580" i="1"/>
  <c r="AM602" i="1"/>
  <c r="AM577" i="1"/>
  <c r="AM604" i="1"/>
  <c r="AM589" i="1"/>
  <c r="AM590" i="1"/>
  <c r="AM587" i="1"/>
  <c r="AM582" i="1"/>
  <c r="AM554" i="1"/>
  <c r="AM547" i="1"/>
  <c r="AM541" i="1"/>
  <c r="AM558" i="1"/>
  <c r="AM562" i="1"/>
  <c r="AM546" i="1"/>
  <c r="AM540" i="1"/>
  <c r="AM578" i="1"/>
  <c r="AM559" i="1"/>
  <c r="AM551" i="1"/>
  <c r="AM545" i="1"/>
  <c r="AM584" i="1"/>
  <c r="AM574" i="1"/>
  <c r="AM560" i="1"/>
  <c r="AM572" i="1"/>
  <c r="AM566" i="1"/>
  <c r="AM565" i="1"/>
  <c r="AM538" i="1"/>
  <c r="AM532" i="1"/>
  <c r="AM526" i="1"/>
  <c r="AM520" i="1"/>
  <c r="AM514" i="1"/>
  <c r="AM508" i="1"/>
  <c r="AM502" i="1"/>
  <c r="AM544" i="1"/>
  <c r="AM568" i="1"/>
  <c r="AM557" i="1"/>
  <c r="AM542" i="1"/>
  <c r="AM563" i="1"/>
  <c r="AM550" i="1"/>
  <c r="AM548" i="1"/>
  <c r="AM575" i="1"/>
  <c r="AM571" i="1"/>
  <c r="AM549" i="1"/>
  <c r="AM539" i="1"/>
  <c r="AM556" i="1"/>
  <c r="AM531" i="1"/>
  <c r="AM527" i="1"/>
  <c r="AM553" i="1"/>
  <c r="AM524" i="1"/>
  <c r="AM505" i="1"/>
  <c r="AM533" i="1"/>
  <c r="AM528" i="1"/>
  <c r="AM517" i="1"/>
  <c r="AM500" i="1"/>
  <c r="AM494" i="1"/>
  <c r="AM488" i="1"/>
  <c r="AM482" i="1"/>
  <c r="AM525" i="1"/>
  <c r="AM521" i="1"/>
  <c r="AM536" i="1"/>
  <c r="AM529" i="1"/>
  <c r="AM537" i="1"/>
  <c r="AM522" i="1"/>
  <c r="AM543" i="1"/>
  <c r="AM530" i="1"/>
  <c r="AM519" i="1"/>
  <c r="AM534" i="1"/>
  <c r="AM523" i="1"/>
  <c r="AM490" i="1"/>
  <c r="AM512" i="1"/>
  <c r="AM498" i="1"/>
  <c r="AM510" i="1"/>
  <c r="AM491" i="1"/>
  <c r="AM503" i="1"/>
  <c r="AM499" i="1"/>
  <c r="AM495" i="1"/>
  <c r="AM515" i="1"/>
  <c r="AM506" i="1"/>
  <c r="AM504" i="1"/>
  <c r="AM513" i="1"/>
  <c r="AM511" i="1"/>
  <c r="AM509" i="1"/>
  <c r="AM516" i="1"/>
  <c r="AM507" i="1"/>
  <c r="AM486" i="1"/>
  <c r="AM483" i="1"/>
  <c r="AM487" i="1"/>
  <c r="AM478" i="1"/>
  <c r="AM496" i="1"/>
  <c r="AM485" i="1"/>
  <c r="AM479" i="1"/>
  <c r="AM474" i="1"/>
  <c r="AM468" i="1"/>
  <c r="AM462" i="1"/>
  <c r="AM497" i="1"/>
  <c r="AM493" i="1"/>
  <c r="AM473" i="1"/>
  <c r="AM489" i="1"/>
  <c r="AM492" i="1"/>
  <c r="AM481" i="1"/>
  <c r="AM470" i="1"/>
  <c r="AM464" i="1"/>
  <c r="AM480" i="1"/>
  <c r="AM458" i="1"/>
  <c r="AM452" i="1"/>
  <c r="AM446" i="1"/>
  <c r="AM440" i="1"/>
  <c r="AM434" i="1"/>
  <c r="AM428" i="1"/>
  <c r="AM422" i="1"/>
  <c r="AM465" i="1"/>
  <c r="AM457" i="1"/>
  <c r="AM451" i="1"/>
  <c r="AM445" i="1"/>
  <c r="AM439" i="1"/>
  <c r="AM476" i="1"/>
  <c r="AM472" i="1"/>
  <c r="AM469" i="1"/>
  <c r="AM477" i="1"/>
  <c r="AM475" i="1"/>
  <c r="AM466" i="1"/>
  <c r="AM461" i="1"/>
  <c r="AM455" i="1"/>
  <c r="AM449" i="1"/>
  <c r="AM443" i="1"/>
  <c r="AM437" i="1"/>
  <c r="AM431" i="1"/>
  <c r="AM425" i="1"/>
  <c r="AM471" i="1"/>
  <c r="AM463" i="1"/>
  <c r="AM453" i="1"/>
  <c r="AM424" i="1"/>
  <c r="AM454" i="1"/>
  <c r="AM448" i="1"/>
  <c r="AM427" i="1"/>
  <c r="AM430" i="1"/>
  <c r="AM421" i="1"/>
  <c r="AM417" i="1"/>
  <c r="AM441" i="1"/>
  <c r="AM414" i="1"/>
  <c r="AM413" i="1"/>
  <c r="AM456" i="1"/>
  <c r="AM442" i="1"/>
  <c r="AM426" i="1"/>
  <c r="AM418" i="1"/>
  <c r="AM447" i="1"/>
  <c r="AM435" i="1"/>
  <c r="AM432" i="1"/>
  <c r="AM436" i="1"/>
  <c r="AM419" i="1"/>
  <c r="AM411" i="1"/>
  <c r="AM405" i="1"/>
  <c r="AM460" i="1"/>
  <c r="AM459" i="1"/>
  <c r="AM423" i="1"/>
  <c r="AM444" i="1"/>
  <c r="AM438" i="1"/>
  <c r="AM420" i="1"/>
  <c r="AM395" i="1"/>
  <c r="AM390" i="1"/>
  <c r="AM384" i="1"/>
  <c r="AM403" i="1"/>
  <c r="AM389" i="1"/>
  <c r="AM383" i="1"/>
  <c r="AM377" i="1"/>
  <c r="AM371" i="1"/>
  <c r="AM406" i="1"/>
  <c r="AM396" i="1"/>
  <c r="AM400" i="1"/>
  <c r="AM388" i="1"/>
  <c r="AM376" i="1"/>
  <c r="AM370" i="1"/>
  <c r="AM364" i="1"/>
  <c r="AM402" i="1"/>
  <c r="AM415" i="1"/>
  <c r="AM397" i="1"/>
  <c r="AM393" i="1"/>
  <c r="AM408" i="1"/>
  <c r="AM392" i="1"/>
  <c r="AM386" i="1"/>
  <c r="AM380" i="1"/>
  <c r="AM374" i="1"/>
  <c r="AM409" i="1"/>
  <c r="AM401" i="1"/>
  <c r="AM398" i="1"/>
  <c r="AM429" i="1"/>
  <c r="AM410" i="1"/>
  <c r="AM407" i="1"/>
  <c r="AM394" i="1"/>
  <c r="AM363" i="1"/>
  <c r="AM367" i="1"/>
  <c r="AM360" i="1"/>
  <c r="AM354" i="1"/>
  <c r="AM412" i="1"/>
  <c r="AM359" i="1"/>
  <c r="AM353" i="1"/>
  <c r="AM347" i="1"/>
  <c r="AM341" i="1"/>
  <c r="AM335" i="1"/>
  <c r="AM329" i="1"/>
  <c r="AM323" i="1"/>
  <c r="AM378" i="1"/>
  <c r="AM368" i="1"/>
  <c r="AM391" i="1"/>
  <c r="AM404" i="1"/>
  <c r="AM381" i="1"/>
  <c r="AM373" i="1"/>
  <c r="AM369" i="1"/>
  <c r="AM387" i="1"/>
  <c r="AM385" i="1"/>
  <c r="AM375" i="1"/>
  <c r="AM361" i="1"/>
  <c r="AM355" i="1"/>
  <c r="AM343" i="1"/>
  <c r="AM328" i="1"/>
  <c r="AM324" i="1"/>
  <c r="AM316" i="1"/>
  <c r="AM310" i="1"/>
  <c r="AM304" i="1"/>
  <c r="AM298" i="1"/>
  <c r="AM358" i="1"/>
  <c r="AM332" i="1"/>
  <c r="AM379" i="1"/>
  <c r="AM357" i="1"/>
  <c r="AM340" i="1"/>
  <c r="AM336" i="1"/>
  <c r="AM321" i="1"/>
  <c r="AM315" i="1"/>
  <c r="AM309" i="1"/>
  <c r="AM303" i="1"/>
  <c r="AM352" i="1"/>
  <c r="AM351" i="1"/>
  <c r="AM344" i="1"/>
  <c r="AM325" i="1"/>
  <c r="AM333" i="1"/>
  <c r="AM320" i="1"/>
  <c r="AM308" i="1"/>
  <c r="AM372" i="1"/>
  <c r="AM356" i="1"/>
  <c r="AM337" i="1"/>
  <c r="AM322" i="1"/>
  <c r="AM345" i="1"/>
  <c r="AM326" i="1"/>
  <c r="AM319" i="1"/>
  <c r="AM313" i="1"/>
  <c r="AM307" i="1"/>
  <c r="AM301" i="1"/>
  <c r="AM349" i="1"/>
  <c r="AM334" i="1"/>
  <c r="AM330" i="1"/>
  <c r="AM362" i="1"/>
  <c r="AM338" i="1"/>
  <c r="AM318" i="1"/>
  <c r="AM366" i="1"/>
  <c r="AM346" i="1"/>
  <c r="AM342" i="1"/>
  <c r="AM350" i="1"/>
  <c r="AM317" i="1"/>
  <c r="AM311" i="1"/>
  <c r="AM294" i="1"/>
  <c r="AM293" i="1"/>
  <c r="AM287" i="1"/>
  <c r="AM281" i="1"/>
  <c r="AM275" i="1"/>
  <c r="AM269" i="1"/>
  <c r="AM295" i="1"/>
  <c r="AM292" i="1"/>
  <c r="AM286" i="1"/>
  <c r="AM274" i="1"/>
  <c r="AM268" i="1"/>
  <c r="AM339" i="1"/>
  <c r="AM327" i="1"/>
  <c r="AM302" i="1"/>
  <c r="AM291" i="1"/>
  <c r="AM300" i="1"/>
  <c r="AM290" i="1"/>
  <c r="AM284" i="1"/>
  <c r="AM278" i="1"/>
  <c r="AM272" i="1"/>
  <c r="AM266" i="1"/>
  <c r="AM260" i="1"/>
  <c r="AM254" i="1"/>
  <c r="AM312" i="1"/>
  <c r="AM305" i="1"/>
  <c r="AM296" i="1"/>
  <c r="AM289" i="1"/>
  <c r="AM283" i="1"/>
  <c r="AM306" i="1"/>
  <c r="AM299" i="1"/>
  <c r="AM288" i="1"/>
  <c r="AM270" i="1"/>
  <c r="AM264" i="1"/>
  <c r="AM257" i="1"/>
  <c r="AM249" i="1"/>
  <c r="AM243" i="1"/>
  <c r="AM237" i="1"/>
  <c r="AM231" i="1"/>
  <c r="AM225" i="1"/>
  <c r="AM219" i="1"/>
  <c r="AM261" i="1"/>
  <c r="AM282" i="1"/>
  <c r="AM250" i="1"/>
  <c r="AM248" i="1"/>
  <c r="AM242" i="1"/>
  <c r="AM236" i="1"/>
  <c r="AM230" i="1"/>
  <c r="AM258" i="1"/>
  <c r="AM262" i="1"/>
  <c r="AM247" i="1"/>
  <c r="AM241" i="1"/>
  <c r="AM235" i="1"/>
  <c r="AM223" i="1"/>
  <c r="AM217" i="1"/>
  <c r="AM267" i="1"/>
  <c r="AM251" i="1"/>
  <c r="AM279" i="1"/>
  <c r="AM259" i="1"/>
  <c r="AM285" i="1"/>
  <c r="AM277" i="1"/>
  <c r="AM265" i="1"/>
  <c r="AM252" i="1"/>
  <c r="AM244" i="1"/>
  <c r="AM238" i="1"/>
  <c r="AM232" i="1"/>
  <c r="AM226" i="1"/>
  <c r="AM220" i="1"/>
  <c r="AM214" i="1"/>
  <c r="AM271" i="1"/>
  <c r="AM253" i="1"/>
  <c r="AM273" i="1"/>
  <c r="AM255" i="1"/>
  <c r="AM276" i="1"/>
  <c r="AM245" i="1"/>
  <c r="AM227" i="1"/>
  <c r="AM207" i="1"/>
  <c r="AM221" i="1"/>
  <c r="AM240" i="1"/>
  <c r="AM222" i="1"/>
  <c r="AM211" i="1"/>
  <c r="AM205" i="1"/>
  <c r="AM199" i="1"/>
  <c r="AM233" i="1"/>
  <c r="AM228" i="1"/>
  <c r="AM224" i="1"/>
  <c r="AM210" i="1"/>
  <c r="AM204" i="1"/>
  <c r="AM198" i="1"/>
  <c r="AM192" i="1"/>
  <c r="AM186" i="1"/>
  <c r="AM180" i="1"/>
  <c r="AM256" i="1"/>
  <c r="AM239" i="1"/>
  <c r="AM234" i="1"/>
  <c r="AM216" i="1"/>
  <c r="AM208" i="1"/>
  <c r="AM193" i="1"/>
  <c r="AM213" i="1"/>
  <c r="AM202" i="1"/>
  <c r="AM182" i="1"/>
  <c r="AM177" i="1"/>
  <c r="AM190" i="1"/>
  <c r="AM209" i="1"/>
  <c r="AM179" i="1"/>
  <c r="AM176" i="1"/>
  <c r="AM170" i="1"/>
  <c r="AM164" i="1"/>
  <c r="AM158" i="1"/>
  <c r="AM152" i="1"/>
  <c r="AM146" i="1"/>
  <c r="AM140" i="1"/>
  <c r="AM134" i="1"/>
  <c r="AM128" i="1"/>
  <c r="AM206" i="1"/>
  <c r="AM183" i="1"/>
  <c r="AM215" i="1"/>
  <c r="AM188" i="1"/>
  <c r="AM200" i="1"/>
  <c r="AM196" i="1"/>
  <c r="AM185" i="1"/>
  <c r="AM181" i="1"/>
  <c r="AM145" i="1"/>
  <c r="AM131" i="1"/>
  <c r="AM203" i="1"/>
  <c r="AM194" i="1"/>
  <c r="AM187" i="1"/>
  <c r="AM169" i="1"/>
  <c r="AM167" i="1"/>
  <c r="AM165" i="1"/>
  <c r="AM189" i="1"/>
  <c r="AM184" i="1"/>
  <c r="AM157" i="1"/>
  <c r="AM148" i="1"/>
  <c r="AM143" i="1"/>
  <c r="AM218" i="1"/>
  <c r="AM171" i="1"/>
  <c r="AM136" i="1"/>
  <c r="AM160" i="1"/>
  <c r="AM123" i="1"/>
  <c r="AM117" i="1"/>
  <c r="AM197" i="1"/>
  <c r="AM150" i="1"/>
  <c r="AM147" i="1"/>
  <c r="AM133" i="1"/>
  <c r="AM168" i="1"/>
  <c r="AM141" i="1"/>
  <c r="AM201" i="1"/>
  <c r="AM149" i="1"/>
  <c r="AM138" i="1"/>
  <c r="AM191" i="1"/>
  <c r="AM174" i="1"/>
  <c r="AM142" i="1"/>
  <c r="AM88" i="1"/>
  <c r="AM77" i="1"/>
  <c r="AM166" i="1"/>
  <c r="AM155" i="1"/>
  <c r="AM139" i="1"/>
  <c r="AM114" i="1"/>
  <c r="AM108" i="1"/>
  <c r="AM98" i="1"/>
  <c r="AM87" i="1"/>
  <c r="AM76" i="1"/>
  <c r="AM172" i="1"/>
  <c r="AM163" i="1"/>
  <c r="AM153" i="1"/>
  <c r="AM151" i="1"/>
  <c r="AM137" i="1"/>
  <c r="AM97" i="1"/>
  <c r="AM86" i="1"/>
  <c r="AM75" i="1"/>
  <c r="AM129" i="1"/>
  <c r="AM107" i="1"/>
  <c r="AM96" i="1"/>
  <c r="AM85" i="1"/>
  <c r="AM74" i="1"/>
  <c r="AM113" i="1"/>
  <c r="AM106" i="1"/>
  <c r="AM95" i="1"/>
  <c r="AM84" i="1"/>
  <c r="AM73" i="1"/>
  <c r="AM175" i="1"/>
  <c r="AM159" i="1"/>
  <c r="AM135" i="1"/>
  <c r="AM116" i="1"/>
  <c r="AM105" i="1"/>
  <c r="AM94" i="1"/>
  <c r="AM83" i="1"/>
  <c r="AM130" i="1"/>
  <c r="AM118" i="1"/>
  <c r="AM104" i="1"/>
  <c r="AM93" i="1"/>
  <c r="AM82" i="1"/>
  <c r="AM173" i="1"/>
  <c r="AM156" i="1"/>
  <c r="AM132" i="1"/>
  <c r="AM119" i="1"/>
  <c r="AM103" i="1"/>
  <c r="AM92" i="1"/>
  <c r="AM154" i="1"/>
  <c r="AM111" i="1"/>
  <c r="AM102" i="1"/>
  <c r="AM91" i="1"/>
  <c r="AM120" i="1"/>
  <c r="AM115" i="1"/>
  <c r="AM101" i="1"/>
  <c r="AM80" i="1"/>
  <c r="AM126" i="1"/>
  <c r="AM122" i="1"/>
  <c r="AM121" i="1"/>
  <c r="AM112" i="1"/>
  <c r="AM100" i="1"/>
  <c r="AM162" i="1"/>
  <c r="AM79" i="1"/>
  <c r="AM61" i="1"/>
  <c r="AM50" i="1"/>
  <c r="AM60" i="1"/>
  <c r="AM49" i="1"/>
  <c r="AM41" i="1"/>
  <c r="AM59" i="1"/>
  <c r="AM48" i="1"/>
  <c r="AM71" i="1"/>
  <c r="AM68" i="1"/>
  <c r="AM58" i="1"/>
  <c r="AM47" i="1"/>
  <c r="AM40" i="1"/>
  <c r="AM28" i="1"/>
  <c r="AM22" i="1"/>
  <c r="AM16" i="1"/>
  <c r="AM10" i="1"/>
  <c r="AM125" i="1"/>
  <c r="AM89" i="1"/>
  <c r="AM56" i="1"/>
  <c r="AM33" i="1"/>
  <c r="AM27" i="1"/>
  <c r="AM21" i="1"/>
  <c r="AM55" i="1"/>
  <c r="AM69" i="1"/>
  <c r="AM66" i="1"/>
  <c r="AM65" i="1"/>
  <c r="AM38" i="1"/>
  <c r="AM32" i="1"/>
  <c r="AM26" i="1"/>
  <c r="AM20" i="1"/>
  <c r="AM14" i="1"/>
  <c r="AM64" i="1"/>
  <c r="AM124" i="1"/>
  <c r="AM78" i="1"/>
  <c r="AM53" i="1"/>
  <c r="AM43" i="1"/>
  <c r="AM37" i="1"/>
  <c r="AM70" i="1"/>
  <c r="AM67" i="1"/>
  <c r="AM62" i="1"/>
  <c r="AM51" i="1"/>
  <c r="AM42" i="1"/>
  <c r="AM36" i="1"/>
  <c r="AM30" i="1"/>
  <c r="AM24" i="1"/>
  <c r="AM18" i="1"/>
  <c r="AM46" i="1"/>
  <c r="AM25" i="1"/>
  <c r="AM52" i="1"/>
  <c r="AM35" i="1"/>
  <c r="AM19" i="1"/>
  <c r="AM17" i="1"/>
  <c r="AM12" i="1"/>
  <c r="AM29" i="1"/>
  <c r="AM23" i="1"/>
  <c r="AM13" i="1"/>
  <c r="AM57" i="1"/>
  <c r="AM15" i="1"/>
  <c r="AM9" i="1"/>
  <c r="AM31" i="1"/>
  <c r="AM11" i="1"/>
  <c r="AL161" i="1"/>
  <c r="AL689" i="1"/>
  <c r="AO4" i="1"/>
  <c r="AN6" i="1"/>
  <c r="AL110" i="1"/>
  <c r="AL144" i="1"/>
  <c r="AL695" i="1"/>
  <c r="AK109" i="1"/>
  <c r="AK7" i="1" s="1"/>
  <c r="AL518" i="1"/>
  <c r="AM45" i="1" l="1"/>
  <c r="AM54" i="1"/>
  <c r="AM161" i="1"/>
  <c r="AM110" i="1"/>
  <c r="AM178" i="1"/>
  <c r="AM99" i="1"/>
  <c r="AM365" i="1"/>
  <c r="AM637" i="1"/>
  <c r="AM671" i="1"/>
  <c r="AK8" i="1"/>
  <c r="AK5" i="1"/>
  <c r="AM39" i="1"/>
  <c r="AM263" i="1"/>
  <c r="AM297" i="1"/>
  <c r="AL44" i="1"/>
  <c r="AM399" i="1"/>
  <c r="AM689" i="1"/>
  <c r="AM63" i="1"/>
  <c r="AM127" i="1"/>
  <c r="AM314" i="1"/>
  <c r="AM433" i="1"/>
  <c r="AM535" i="1"/>
  <c r="AM552" i="1"/>
  <c r="AM280" i="1"/>
  <c r="AM654" i="1"/>
  <c r="AL109" i="1"/>
  <c r="AL7" i="1" s="1"/>
  <c r="AM620" i="1"/>
  <c r="AN703" i="1"/>
  <c r="AN701" i="1"/>
  <c r="AN696" i="1"/>
  <c r="AN702" i="1"/>
  <c r="AN698" i="1"/>
  <c r="AN693" i="1"/>
  <c r="AN697" i="1"/>
  <c r="AN700" i="1"/>
  <c r="AN678" i="1"/>
  <c r="AN690" i="1"/>
  <c r="AN686" i="1"/>
  <c r="AN699" i="1"/>
  <c r="AN674" i="1"/>
  <c r="AN691" i="1"/>
  <c r="AN692" i="1"/>
  <c r="AN684" i="1"/>
  <c r="AN683" i="1"/>
  <c r="AN680" i="1"/>
  <c r="AN688" i="1"/>
  <c r="AN675" i="1"/>
  <c r="AN694" i="1"/>
  <c r="AN676" i="1"/>
  <c r="AN687" i="1"/>
  <c r="AN681" i="1"/>
  <c r="AN677" i="1"/>
  <c r="AN673" i="1"/>
  <c r="AN679" i="1"/>
  <c r="AN666" i="1"/>
  <c r="AN659" i="1"/>
  <c r="AN667" i="1"/>
  <c r="AN669" i="1"/>
  <c r="AN685" i="1"/>
  <c r="AN663" i="1"/>
  <c r="AN650" i="1"/>
  <c r="AN682" i="1"/>
  <c r="AN670" i="1"/>
  <c r="AN661" i="1"/>
  <c r="AN655" i="1"/>
  <c r="AN652" i="1"/>
  <c r="AN653" i="1"/>
  <c r="AN648" i="1"/>
  <c r="AN642" i="1"/>
  <c r="AN665" i="1"/>
  <c r="AN664" i="1"/>
  <c r="AN647" i="1"/>
  <c r="AN651" i="1"/>
  <c r="AN668" i="1"/>
  <c r="AN657" i="1"/>
  <c r="AN634" i="1"/>
  <c r="AN643" i="1"/>
  <c r="AN649" i="1"/>
  <c r="AN645" i="1"/>
  <c r="AN628" i="1"/>
  <c r="AN626" i="1"/>
  <c r="AN672" i="1"/>
  <c r="AN662" i="1"/>
  <c r="AN629" i="1"/>
  <c r="AN656" i="1"/>
  <c r="AN641" i="1"/>
  <c r="AN633" i="1"/>
  <c r="AN624" i="1"/>
  <c r="AN622" i="1"/>
  <c r="AN658" i="1"/>
  <c r="AN644" i="1"/>
  <c r="AN660" i="1"/>
  <c r="AN639" i="1"/>
  <c r="AN640" i="1"/>
  <c r="AN635" i="1"/>
  <c r="AN630" i="1"/>
  <c r="AN646" i="1"/>
  <c r="AN638" i="1"/>
  <c r="AN625" i="1"/>
  <c r="AN623" i="1"/>
  <c r="AN614" i="1"/>
  <c r="AN608" i="1"/>
  <c r="AN631" i="1"/>
  <c r="AN615" i="1"/>
  <c r="AN632" i="1"/>
  <c r="AN609" i="1"/>
  <c r="AN621" i="1"/>
  <c r="AN617" i="1"/>
  <c r="AN636" i="1"/>
  <c r="AN604" i="1"/>
  <c r="AN627" i="1"/>
  <c r="AN618" i="1"/>
  <c r="AN607" i="1"/>
  <c r="AN601" i="1"/>
  <c r="AN598" i="1"/>
  <c r="AN613" i="1"/>
  <c r="AN619" i="1"/>
  <c r="AN596" i="1"/>
  <c r="AN590" i="1"/>
  <c r="AN612" i="1"/>
  <c r="AN600" i="1"/>
  <c r="AN611" i="1"/>
  <c r="AN610" i="1"/>
  <c r="AN588" i="1"/>
  <c r="AN605" i="1"/>
  <c r="AN592" i="1"/>
  <c r="AN602" i="1"/>
  <c r="AN579" i="1"/>
  <c r="AN582" i="1"/>
  <c r="AN578" i="1"/>
  <c r="AN597" i="1"/>
  <c r="AN593" i="1"/>
  <c r="AN591" i="1"/>
  <c r="AN606" i="1"/>
  <c r="AN585" i="1"/>
  <c r="AN599" i="1"/>
  <c r="AN589" i="1"/>
  <c r="AN595" i="1"/>
  <c r="AN574" i="1"/>
  <c r="AN584" i="1"/>
  <c r="AN583" i="1"/>
  <c r="AN576" i="1"/>
  <c r="AN566" i="1"/>
  <c r="AN575" i="1"/>
  <c r="AN616" i="1"/>
  <c r="AN568" i="1"/>
  <c r="AN561" i="1"/>
  <c r="AN594" i="1"/>
  <c r="AN580" i="1"/>
  <c r="AN567" i="1"/>
  <c r="AN554" i="1"/>
  <c r="AN547" i="1"/>
  <c r="AN541" i="1"/>
  <c r="AN573" i="1"/>
  <c r="AN570" i="1"/>
  <c r="AN558" i="1"/>
  <c r="AN562" i="1"/>
  <c r="AN577" i="1"/>
  <c r="AN587" i="1"/>
  <c r="AN559" i="1"/>
  <c r="AN555" i="1"/>
  <c r="AN572" i="1"/>
  <c r="AN565" i="1"/>
  <c r="AN564" i="1"/>
  <c r="AN581" i="1"/>
  <c r="AN571" i="1"/>
  <c r="AN563" i="1"/>
  <c r="AN538" i="1"/>
  <c r="AN544" i="1"/>
  <c r="AN546" i="1"/>
  <c r="AN537" i="1"/>
  <c r="AN557" i="1"/>
  <c r="AN542" i="1"/>
  <c r="AN550" i="1"/>
  <c r="AN548" i="1"/>
  <c r="AN560" i="1"/>
  <c r="AN556" i="1"/>
  <c r="AN543" i="1"/>
  <c r="AN551" i="1"/>
  <c r="AN540" i="1"/>
  <c r="AN553" i="1"/>
  <c r="AN539" i="1"/>
  <c r="AN524" i="1"/>
  <c r="AN533" i="1"/>
  <c r="AN528" i="1"/>
  <c r="AN513" i="1"/>
  <c r="AN509" i="1"/>
  <c r="AN545" i="1"/>
  <c r="AN525" i="1"/>
  <c r="AN521" i="1"/>
  <c r="AN506" i="1"/>
  <c r="AN502" i="1"/>
  <c r="AN536" i="1"/>
  <c r="AN529" i="1"/>
  <c r="AN532" i="1"/>
  <c r="AN549" i="1"/>
  <c r="AN530" i="1"/>
  <c r="AN526" i="1"/>
  <c r="AN534" i="1"/>
  <c r="AN523" i="1"/>
  <c r="AN531" i="1"/>
  <c r="AN527" i="1"/>
  <c r="AN512" i="1"/>
  <c r="AN508" i="1"/>
  <c r="AN498" i="1"/>
  <c r="AN494" i="1"/>
  <c r="AN510" i="1"/>
  <c r="AN519" i="1"/>
  <c r="AN517" i="1"/>
  <c r="AN503" i="1"/>
  <c r="AN499" i="1"/>
  <c r="AN495" i="1"/>
  <c r="AN515" i="1"/>
  <c r="AN504" i="1"/>
  <c r="AN505" i="1"/>
  <c r="AN492" i="1"/>
  <c r="AN488" i="1"/>
  <c r="AN511" i="1"/>
  <c r="AN500" i="1"/>
  <c r="AN516" i="1"/>
  <c r="AN507" i="1"/>
  <c r="AN497" i="1"/>
  <c r="AN522" i="1"/>
  <c r="AN520" i="1"/>
  <c r="AN514" i="1"/>
  <c r="AN487" i="1"/>
  <c r="AN478" i="1"/>
  <c r="AN496" i="1"/>
  <c r="AN490" i="1"/>
  <c r="AN493" i="1"/>
  <c r="AN491" i="1"/>
  <c r="AN480" i="1"/>
  <c r="AN481" i="1"/>
  <c r="AN477" i="1"/>
  <c r="AN485" i="1"/>
  <c r="AN473" i="1"/>
  <c r="AN458" i="1"/>
  <c r="AN452" i="1"/>
  <c r="AN465" i="1"/>
  <c r="AN457" i="1"/>
  <c r="AN451" i="1"/>
  <c r="AN445" i="1"/>
  <c r="AN476" i="1"/>
  <c r="AN472" i="1"/>
  <c r="AN469" i="1"/>
  <c r="AN456" i="1"/>
  <c r="AN475" i="1"/>
  <c r="AN466" i="1"/>
  <c r="AN462" i="1"/>
  <c r="AN489" i="1"/>
  <c r="AN479" i="1"/>
  <c r="AN461" i="1"/>
  <c r="AN455" i="1"/>
  <c r="AN486" i="1"/>
  <c r="AN482" i="1"/>
  <c r="AN471" i="1"/>
  <c r="AN468" i="1"/>
  <c r="AN463" i="1"/>
  <c r="AN460" i="1"/>
  <c r="AN474" i="1"/>
  <c r="AN459" i="1"/>
  <c r="AN483" i="1"/>
  <c r="AN470" i="1"/>
  <c r="AN454" i="1"/>
  <c r="AN448" i="1"/>
  <c r="AN446" i="1"/>
  <c r="AN439" i="1"/>
  <c r="AN427" i="1"/>
  <c r="AN430" i="1"/>
  <c r="AN421" i="1"/>
  <c r="AN417" i="1"/>
  <c r="AN408" i="1"/>
  <c r="AN402" i="1"/>
  <c r="AN464" i="1"/>
  <c r="AN440" i="1"/>
  <c r="AN441" i="1"/>
  <c r="AN414" i="1"/>
  <c r="AN413" i="1"/>
  <c r="AN442" i="1"/>
  <c r="AN426" i="1"/>
  <c r="AN418" i="1"/>
  <c r="AN434" i="1"/>
  <c r="AN429" i="1"/>
  <c r="AN422" i="1"/>
  <c r="AN412" i="1"/>
  <c r="AN449" i="1"/>
  <c r="AN436" i="1"/>
  <c r="AN425" i="1"/>
  <c r="AN423" i="1"/>
  <c r="AN444" i="1"/>
  <c r="AN437" i="1"/>
  <c r="AN428" i="1"/>
  <c r="AN438" i="1"/>
  <c r="AN431" i="1"/>
  <c r="AN420" i="1"/>
  <c r="AN453" i="1"/>
  <c r="AN424" i="1"/>
  <c r="AN411" i="1"/>
  <c r="AN403" i="1"/>
  <c r="AN389" i="1"/>
  <c r="AN406" i="1"/>
  <c r="AN396" i="1"/>
  <c r="AN400" i="1"/>
  <c r="AN443" i="1"/>
  <c r="AN415" i="1"/>
  <c r="AN397" i="1"/>
  <c r="AN393" i="1"/>
  <c r="AN435" i="1"/>
  <c r="AN419" i="1"/>
  <c r="AN405" i="1"/>
  <c r="AN432" i="1"/>
  <c r="AN392" i="1"/>
  <c r="AN386" i="1"/>
  <c r="AN409" i="1"/>
  <c r="AN401" i="1"/>
  <c r="AN398" i="1"/>
  <c r="AN394" i="1"/>
  <c r="AN410" i="1"/>
  <c r="AN407" i="1"/>
  <c r="AN404" i="1"/>
  <c r="AN447" i="1"/>
  <c r="AN376" i="1"/>
  <c r="AN367" i="1"/>
  <c r="AN360" i="1"/>
  <c r="AN384" i="1"/>
  <c r="AN377" i="1"/>
  <c r="AN378" i="1"/>
  <c r="AN368" i="1"/>
  <c r="AN364" i="1"/>
  <c r="AN391" i="1"/>
  <c r="AN379" i="1"/>
  <c r="AN370" i="1"/>
  <c r="AN358" i="1"/>
  <c r="AN383" i="1"/>
  <c r="AN380" i="1"/>
  <c r="AN372" i="1"/>
  <c r="AN390" i="1"/>
  <c r="AN362" i="1"/>
  <c r="AN356" i="1"/>
  <c r="AN387" i="1"/>
  <c r="AN385" i="1"/>
  <c r="AN374" i="1"/>
  <c r="AN395" i="1"/>
  <c r="AN375" i="1"/>
  <c r="AN388" i="1"/>
  <c r="AN363" i="1"/>
  <c r="AN347" i="1"/>
  <c r="AN332" i="1"/>
  <c r="AN361" i="1"/>
  <c r="AN357" i="1"/>
  <c r="AN340" i="1"/>
  <c r="AN336" i="1"/>
  <c r="AN321" i="1"/>
  <c r="AN352" i="1"/>
  <c r="AN351" i="1"/>
  <c r="AN344" i="1"/>
  <c r="AN325" i="1"/>
  <c r="AN359" i="1"/>
  <c r="AN333" i="1"/>
  <c r="AN329" i="1"/>
  <c r="AN320" i="1"/>
  <c r="AN371" i="1"/>
  <c r="AN353" i="1"/>
  <c r="AN337" i="1"/>
  <c r="AN322" i="1"/>
  <c r="AN345" i="1"/>
  <c r="AN341" i="1"/>
  <c r="AN326" i="1"/>
  <c r="AN319" i="1"/>
  <c r="AN313" i="1"/>
  <c r="AN369" i="1"/>
  <c r="AN354" i="1"/>
  <c r="AN349" i="1"/>
  <c r="AN334" i="1"/>
  <c r="AN330" i="1"/>
  <c r="AN373" i="1"/>
  <c r="AN338" i="1"/>
  <c r="AN318" i="1"/>
  <c r="AN366" i="1"/>
  <c r="AN346" i="1"/>
  <c r="AN342" i="1"/>
  <c r="AN327" i="1"/>
  <c r="AN323" i="1"/>
  <c r="AN350" i="1"/>
  <c r="AN381" i="1"/>
  <c r="AN355" i="1"/>
  <c r="AN339" i="1"/>
  <c r="AN335" i="1"/>
  <c r="AN315" i="1"/>
  <c r="AN293" i="1"/>
  <c r="AN287" i="1"/>
  <c r="AN281" i="1"/>
  <c r="AN275" i="1"/>
  <c r="AN298" i="1"/>
  <c r="AN302" i="1"/>
  <c r="AN291" i="1"/>
  <c r="AN285" i="1"/>
  <c r="AN279" i="1"/>
  <c r="AN273" i="1"/>
  <c r="AN267" i="1"/>
  <c r="AN343" i="1"/>
  <c r="AN303" i="1"/>
  <c r="AN300" i="1"/>
  <c r="AN328" i="1"/>
  <c r="AN290" i="1"/>
  <c r="AN284" i="1"/>
  <c r="AN311" i="1"/>
  <c r="AN310" i="1"/>
  <c r="AN309" i="1"/>
  <c r="AN308" i="1"/>
  <c r="AN307" i="1"/>
  <c r="AN304" i="1"/>
  <c r="AN312" i="1"/>
  <c r="AN305" i="1"/>
  <c r="AN296" i="1"/>
  <c r="AN289" i="1"/>
  <c r="AN317" i="1"/>
  <c r="AN316" i="1"/>
  <c r="AN306" i="1"/>
  <c r="AN299" i="1"/>
  <c r="AN288" i="1"/>
  <c r="AN282" i="1"/>
  <c r="AN324" i="1"/>
  <c r="AN294" i="1"/>
  <c r="AN292" i="1"/>
  <c r="AN261" i="1"/>
  <c r="AN283" i="1"/>
  <c r="AN250" i="1"/>
  <c r="AN248" i="1"/>
  <c r="AN242" i="1"/>
  <c r="AN236" i="1"/>
  <c r="AN258" i="1"/>
  <c r="AN254" i="1"/>
  <c r="AN262" i="1"/>
  <c r="AN247" i="1"/>
  <c r="AN241" i="1"/>
  <c r="AN235" i="1"/>
  <c r="AN269" i="1"/>
  <c r="AN266" i="1"/>
  <c r="AN251" i="1"/>
  <c r="AN259" i="1"/>
  <c r="AN255" i="1"/>
  <c r="AN240" i="1"/>
  <c r="AN234" i="1"/>
  <c r="AN295" i="1"/>
  <c r="AN278" i="1"/>
  <c r="AN276" i="1"/>
  <c r="AN274" i="1"/>
  <c r="AN256" i="1"/>
  <c r="AN271" i="1"/>
  <c r="AN253" i="1"/>
  <c r="AN301" i="1"/>
  <c r="AN270" i="1"/>
  <c r="AN264" i="1"/>
  <c r="AN257" i="1"/>
  <c r="AN249" i="1"/>
  <c r="AN243" i="1"/>
  <c r="AN268" i="1"/>
  <c r="AN244" i="1"/>
  <c r="AN232" i="1"/>
  <c r="AN245" i="1"/>
  <c r="AN238" i="1"/>
  <c r="AN225" i="1"/>
  <c r="AN265" i="1"/>
  <c r="AN227" i="1"/>
  <c r="AN207" i="1"/>
  <c r="AN201" i="1"/>
  <c r="AN237" i="1"/>
  <c r="AN220" i="1"/>
  <c r="AN231" i="1"/>
  <c r="AN222" i="1"/>
  <c r="AN277" i="1"/>
  <c r="AN272" i="1"/>
  <c r="AN211" i="1"/>
  <c r="AN223" i="1"/>
  <c r="AN252" i="1"/>
  <c r="AN233" i="1"/>
  <c r="AN228" i="1"/>
  <c r="AN226" i="1"/>
  <c r="AN224" i="1"/>
  <c r="AN210" i="1"/>
  <c r="AN239" i="1"/>
  <c r="AN216" i="1"/>
  <c r="AN213" i="1"/>
  <c r="AN230" i="1"/>
  <c r="AN217" i="1"/>
  <c r="AN202" i="1"/>
  <c r="AN182" i="1"/>
  <c r="AN177" i="1"/>
  <c r="AN171" i="1"/>
  <c r="AN165" i="1"/>
  <c r="AN159" i="1"/>
  <c r="AN286" i="1"/>
  <c r="AN204" i="1"/>
  <c r="AN190" i="1"/>
  <c r="AN186" i="1"/>
  <c r="AN209" i="1"/>
  <c r="AN198" i="1"/>
  <c r="AN179" i="1"/>
  <c r="AN176" i="1"/>
  <c r="AN170" i="1"/>
  <c r="AN164" i="1"/>
  <c r="AN158" i="1"/>
  <c r="AN152" i="1"/>
  <c r="AN146" i="1"/>
  <c r="AN260" i="1"/>
  <c r="AN219" i="1"/>
  <c r="AN206" i="1"/>
  <c r="AN183" i="1"/>
  <c r="AN221" i="1"/>
  <c r="AN215" i="1"/>
  <c r="AN191" i="1"/>
  <c r="AN187" i="1"/>
  <c r="AN205" i="1"/>
  <c r="AN192" i="1"/>
  <c r="AN173" i="1"/>
  <c r="AN167" i="1"/>
  <c r="AN214" i="1"/>
  <c r="AN218" i="1"/>
  <c r="AN189" i="1"/>
  <c r="AN172" i="1"/>
  <c r="AN203" i="1"/>
  <c r="AN194" i="1"/>
  <c r="AN193" i="1"/>
  <c r="AN169" i="1"/>
  <c r="AN151" i="1"/>
  <c r="AN139" i="1"/>
  <c r="AN135" i="1"/>
  <c r="AN125" i="1"/>
  <c r="AN119" i="1"/>
  <c r="AN113" i="1"/>
  <c r="AN188" i="1"/>
  <c r="AN184" i="1"/>
  <c r="AN200" i="1"/>
  <c r="AN185" i="1"/>
  <c r="AN175" i="1"/>
  <c r="AN174" i="1"/>
  <c r="AN154" i="1"/>
  <c r="AN132" i="1"/>
  <c r="AN128" i="1"/>
  <c r="AN124" i="1"/>
  <c r="AN160" i="1"/>
  <c r="AN140" i="1"/>
  <c r="AN123" i="1"/>
  <c r="AN117" i="1"/>
  <c r="AN197" i="1"/>
  <c r="AN196" i="1"/>
  <c r="AN150" i="1"/>
  <c r="AN147" i="1"/>
  <c r="AN133" i="1"/>
  <c r="AN129" i="1"/>
  <c r="AN166" i="1"/>
  <c r="AN163" i="1"/>
  <c r="AN162" i="1"/>
  <c r="AN156" i="1"/>
  <c r="AN153" i="1"/>
  <c r="AN137" i="1"/>
  <c r="AN208" i="1"/>
  <c r="AN130" i="1"/>
  <c r="AN149" i="1"/>
  <c r="AN155" i="1"/>
  <c r="AN142" i="1"/>
  <c r="AN199" i="1"/>
  <c r="AN145" i="1"/>
  <c r="AN141" i="1"/>
  <c r="AN114" i="1"/>
  <c r="AN108" i="1"/>
  <c r="AN98" i="1"/>
  <c r="AN87" i="1"/>
  <c r="AN76" i="1"/>
  <c r="AN157" i="1"/>
  <c r="AN138" i="1"/>
  <c r="AN97" i="1"/>
  <c r="AN86" i="1"/>
  <c r="AN75" i="1"/>
  <c r="AN136" i="1"/>
  <c r="AN107" i="1"/>
  <c r="AN96" i="1"/>
  <c r="AN85" i="1"/>
  <c r="AN74" i="1"/>
  <c r="AN180" i="1"/>
  <c r="AN106" i="1"/>
  <c r="AN95" i="1"/>
  <c r="AN84" i="1"/>
  <c r="AN73" i="1"/>
  <c r="AN116" i="1"/>
  <c r="AN105" i="1"/>
  <c r="AN94" i="1"/>
  <c r="AN83" i="1"/>
  <c r="AN118" i="1"/>
  <c r="AN104" i="1"/>
  <c r="AN93" i="1"/>
  <c r="AN103" i="1"/>
  <c r="AN92" i="1"/>
  <c r="AN111" i="1"/>
  <c r="AN102" i="1"/>
  <c r="AN91" i="1"/>
  <c r="AN148" i="1"/>
  <c r="AN134" i="1"/>
  <c r="AN120" i="1"/>
  <c r="AN115" i="1"/>
  <c r="AN101" i="1"/>
  <c r="AN80" i="1"/>
  <c r="AN168" i="1"/>
  <c r="AN126" i="1"/>
  <c r="AN122" i="1"/>
  <c r="AN121" i="1"/>
  <c r="AN112" i="1"/>
  <c r="AN100" i="1"/>
  <c r="AN79" i="1"/>
  <c r="AN60" i="1"/>
  <c r="AN49" i="1"/>
  <c r="AN41" i="1"/>
  <c r="AN35" i="1"/>
  <c r="AN29" i="1"/>
  <c r="AN23" i="1"/>
  <c r="AN17" i="1"/>
  <c r="AN11" i="1"/>
  <c r="AN59" i="1"/>
  <c r="AN48" i="1"/>
  <c r="AN71" i="1"/>
  <c r="AN68" i="1"/>
  <c r="AN58" i="1"/>
  <c r="AN47" i="1"/>
  <c r="AN40" i="1"/>
  <c r="AN28" i="1"/>
  <c r="AN22" i="1"/>
  <c r="AN16" i="1"/>
  <c r="AN10" i="1"/>
  <c r="AN57" i="1"/>
  <c r="AN46" i="1"/>
  <c r="AN89" i="1"/>
  <c r="AN88" i="1"/>
  <c r="AN143" i="1"/>
  <c r="AN55" i="1"/>
  <c r="AN77" i="1"/>
  <c r="AN69" i="1"/>
  <c r="AN66" i="1"/>
  <c r="AN65" i="1"/>
  <c r="AN38" i="1"/>
  <c r="AN32" i="1"/>
  <c r="AN26" i="1"/>
  <c r="AN20" i="1"/>
  <c r="AN131" i="1"/>
  <c r="AN64" i="1"/>
  <c r="AN78" i="1"/>
  <c r="AN181" i="1"/>
  <c r="AN52" i="1"/>
  <c r="AN70" i="1"/>
  <c r="AN67" i="1"/>
  <c r="AN62" i="1"/>
  <c r="AN82" i="1"/>
  <c r="AN61" i="1"/>
  <c r="AN50" i="1"/>
  <c r="AN30" i="1"/>
  <c r="AN19" i="1"/>
  <c r="AN36" i="1"/>
  <c r="AN24" i="1"/>
  <c r="AN43" i="1"/>
  <c r="AN12" i="1"/>
  <c r="AN25" i="1"/>
  <c r="AN51" i="1"/>
  <c r="AN42" i="1"/>
  <c r="AN37" i="1"/>
  <c r="AN33" i="1"/>
  <c r="AN56" i="1"/>
  <c r="AN27" i="1"/>
  <c r="AN18" i="1"/>
  <c r="AN15" i="1"/>
  <c r="AN53" i="1"/>
  <c r="AN9" i="1"/>
  <c r="AN31" i="1"/>
  <c r="AN21" i="1"/>
  <c r="AN14" i="1"/>
  <c r="AN13" i="1"/>
  <c r="AM144" i="1"/>
  <c r="AM212" i="1"/>
  <c r="AM246" i="1"/>
  <c r="AM467" i="1"/>
  <c r="AM501" i="1"/>
  <c r="AM569" i="1"/>
  <c r="AP4" i="1"/>
  <c r="AO6" i="1"/>
  <c r="AM348" i="1"/>
  <c r="AM382" i="1"/>
  <c r="AM586" i="1"/>
  <c r="AM695" i="1"/>
  <c r="AM81" i="1"/>
  <c r="AM72" i="1"/>
  <c r="AM34" i="1"/>
  <c r="AM195" i="1"/>
  <c r="AM229" i="1"/>
  <c r="AM331" i="1"/>
  <c r="AM416" i="1"/>
  <c r="AM484" i="1"/>
  <c r="AM518" i="1"/>
  <c r="AM90" i="1"/>
  <c r="AM450" i="1"/>
  <c r="AM603" i="1"/>
  <c r="AN433" i="1" l="1"/>
  <c r="AN695" i="1"/>
  <c r="AM109" i="1"/>
  <c r="AN467" i="1"/>
  <c r="AM44" i="1"/>
  <c r="AN81" i="1"/>
  <c r="AM7" i="1"/>
  <c r="AN229" i="1"/>
  <c r="AN314" i="1"/>
  <c r="AN654" i="1"/>
  <c r="AN212" i="1"/>
  <c r="AN518" i="1"/>
  <c r="AN246" i="1"/>
  <c r="AN399" i="1"/>
  <c r="AN586" i="1"/>
  <c r="AL8" i="1"/>
  <c r="AL5" i="1"/>
  <c r="AN34" i="1"/>
  <c r="AN161" i="1"/>
  <c r="AN603" i="1"/>
  <c r="AN637" i="1"/>
  <c r="AN39" i="1"/>
  <c r="AN348" i="1"/>
  <c r="AN450" i="1"/>
  <c r="AN535" i="1"/>
  <c r="AN552" i="1"/>
  <c r="AN689" i="1"/>
  <c r="AN144" i="1"/>
  <c r="AN127" i="1"/>
  <c r="AN331" i="1"/>
  <c r="AN501" i="1"/>
  <c r="AO698" i="1"/>
  <c r="AO692" i="1"/>
  <c r="AO703" i="1"/>
  <c r="AO697" i="1"/>
  <c r="AO702" i="1"/>
  <c r="AO686" i="1"/>
  <c r="AO680" i="1"/>
  <c r="AO693" i="1"/>
  <c r="AO700" i="1"/>
  <c r="AO681" i="1"/>
  <c r="AO701" i="1"/>
  <c r="AO690" i="1"/>
  <c r="AO699" i="1"/>
  <c r="AO694" i="1"/>
  <c r="AO696" i="1"/>
  <c r="AO691" i="1"/>
  <c r="AO679" i="1"/>
  <c r="AO688" i="1"/>
  <c r="AO687" i="1"/>
  <c r="AO675" i="1"/>
  <c r="AO684" i="1"/>
  <c r="AO678" i="1"/>
  <c r="AO667" i="1"/>
  <c r="AO661" i="1"/>
  <c r="AO655" i="1"/>
  <c r="AO672" i="1"/>
  <c r="AO666" i="1"/>
  <c r="AO660" i="1"/>
  <c r="AO683" i="1"/>
  <c r="AO677" i="1"/>
  <c r="AO669" i="1"/>
  <c r="AO674" i="1"/>
  <c r="AO659" i="1"/>
  <c r="AO665" i="1"/>
  <c r="AO685" i="1"/>
  <c r="AO682" i="1"/>
  <c r="AO670" i="1"/>
  <c r="AO649" i="1"/>
  <c r="AO673" i="1"/>
  <c r="AO653" i="1"/>
  <c r="AO648" i="1"/>
  <c r="AO642" i="1"/>
  <c r="AO636" i="1"/>
  <c r="AO630" i="1"/>
  <c r="AO664" i="1"/>
  <c r="AO663" i="1"/>
  <c r="AO651" i="1"/>
  <c r="AO646" i="1"/>
  <c r="AO640" i="1"/>
  <c r="AO668" i="1"/>
  <c r="AO662" i="1"/>
  <c r="AO676" i="1"/>
  <c r="AO657" i="1"/>
  <c r="AO647" i="1"/>
  <c r="AO643" i="1"/>
  <c r="AO644" i="1"/>
  <c r="AO638" i="1"/>
  <c r="AO632" i="1"/>
  <c r="AO656" i="1"/>
  <c r="AO641" i="1"/>
  <c r="AO633" i="1"/>
  <c r="AO624" i="1"/>
  <c r="AO618" i="1"/>
  <c r="AO658" i="1"/>
  <c r="AO652" i="1"/>
  <c r="AO625" i="1"/>
  <c r="AO615" i="1"/>
  <c r="AO609" i="1"/>
  <c r="AO626" i="1"/>
  <c r="AO619" i="1"/>
  <c r="AO614" i="1"/>
  <c r="AO608" i="1"/>
  <c r="AO645" i="1"/>
  <c r="AO635" i="1"/>
  <c r="AO639" i="1"/>
  <c r="AO628" i="1"/>
  <c r="AO617" i="1"/>
  <c r="AO650" i="1"/>
  <c r="AO621" i="1"/>
  <c r="AO629" i="1"/>
  <c r="AO631" i="1"/>
  <c r="AO600" i="1"/>
  <c r="AO622" i="1"/>
  <c r="AO613" i="1"/>
  <c r="AO610" i="1"/>
  <c r="AO634" i="1"/>
  <c r="AO612" i="1"/>
  <c r="AO606" i="1"/>
  <c r="AO627" i="1"/>
  <c r="AO597" i="1"/>
  <c r="AO591" i="1"/>
  <c r="AO585" i="1"/>
  <c r="AO623" i="1"/>
  <c r="AO616" i="1"/>
  <c r="AO611" i="1"/>
  <c r="AO598" i="1"/>
  <c r="AO599" i="1"/>
  <c r="AO594" i="1"/>
  <c r="AO607" i="1"/>
  <c r="AO604" i="1"/>
  <c r="AO605" i="1"/>
  <c r="AO592" i="1"/>
  <c r="AO602" i="1"/>
  <c r="AO582" i="1"/>
  <c r="AO578" i="1"/>
  <c r="AO572" i="1"/>
  <c r="AO566" i="1"/>
  <c r="AO560" i="1"/>
  <c r="AO554" i="1"/>
  <c r="AO593" i="1"/>
  <c r="AO589" i="1"/>
  <c r="AO588" i="1"/>
  <c r="AO575" i="1"/>
  <c r="AO563" i="1"/>
  <c r="AO596" i="1"/>
  <c r="AO584" i="1"/>
  <c r="AO583" i="1"/>
  <c r="AO576" i="1"/>
  <c r="AO601" i="1"/>
  <c r="AO587" i="1"/>
  <c r="AO590" i="1"/>
  <c r="AO580" i="1"/>
  <c r="AO571" i="1"/>
  <c r="AO567" i="1"/>
  <c r="AO573" i="1"/>
  <c r="AO570" i="1"/>
  <c r="AO558" i="1"/>
  <c r="AO562" i="1"/>
  <c r="AO546" i="1"/>
  <c r="AO540" i="1"/>
  <c r="AO577" i="1"/>
  <c r="AO559" i="1"/>
  <c r="AO555" i="1"/>
  <c r="AO551" i="1"/>
  <c r="AO545" i="1"/>
  <c r="AO568" i="1"/>
  <c r="AO550" i="1"/>
  <c r="AO544" i="1"/>
  <c r="AO574" i="1"/>
  <c r="AO581" i="1"/>
  <c r="AO579" i="1"/>
  <c r="AO595" i="1"/>
  <c r="AO561" i="1"/>
  <c r="AO541" i="1"/>
  <c r="AO537" i="1"/>
  <c r="AO531" i="1"/>
  <c r="AO525" i="1"/>
  <c r="AO519" i="1"/>
  <c r="AO513" i="1"/>
  <c r="AO507" i="1"/>
  <c r="AO557" i="1"/>
  <c r="AO542" i="1"/>
  <c r="AO548" i="1"/>
  <c r="AO565" i="1"/>
  <c r="AO564" i="1"/>
  <c r="AO556" i="1"/>
  <c r="AO534" i="1"/>
  <c r="AO524" i="1"/>
  <c r="AO520" i="1"/>
  <c r="AO533" i="1"/>
  <c r="AO528" i="1"/>
  <c r="AO538" i="1"/>
  <c r="AO517" i="1"/>
  <c r="AO536" i="1"/>
  <c r="AO529" i="1"/>
  <c r="AO510" i="1"/>
  <c r="AO499" i="1"/>
  <c r="AO493" i="1"/>
  <c r="AO487" i="1"/>
  <c r="AO481" i="1"/>
  <c r="AO532" i="1"/>
  <c r="AO549" i="1"/>
  <c r="AO530" i="1"/>
  <c r="AO526" i="1"/>
  <c r="AO543" i="1"/>
  <c r="AO527" i="1"/>
  <c r="AO553" i="1"/>
  <c r="AO547" i="1"/>
  <c r="AO539" i="1"/>
  <c r="AO516" i="1"/>
  <c r="AO512" i="1"/>
  <c r="AO515" i="1"/>
  <c r="AO508" i="1"/>
  <c r="AO504" i="1"/>
  <c r="AO506" i="1"/>
  <c r="AO505" i="1"/>
  <c r="AO502" i="1"/>
  <c r="AO496" i="1"/>
  <c r="AO511" i="1"/>
  <c r="AO509" i="1"/>
  <c r="AO522" i="1"/>
  <c r="AO523" i="1"/>
  <c r="AO521" i="1"/>
  <c r="AO514" i="1"/>
  <c r="AO490" i="1"/>
  <c r="AO485" i="1"/>
  <c r="AO495" i="1"/>
  <c r="AO488" i="1"/>
  <c r="AO503" i="1"/>
  <c r="AO498" i="1"/>
  <c r="AO494" i="1"/>
  <c r="AO473" i="1"/>
  <c r="AO497" i="1"/>
  <c r="AO489" i="1"/>
  <c r="AO472" i="1"/>
  <c r="AO500" i="1"/>
  <c r="AO492" i="1"/>
  <c r="AO486" i="1"/>
  <c r="AO483" i="1"/>
  <c r="AO480" i="1"/>
  <c r="AO491" i="1"/>
  <c r="AO478" i="1"/>
  <c r="AO465" i="1"/>
  <c r="AO457" i="1"/>
  <c r="AO451" i="1"/>
  <c r="AO445" i="1"/>
  <c r="AO439" i="1"/>
  <c r="AO427" i="1"/>
  <c r="AO421" i="1"/>
  <c r="AO415" i="1"/>
  <c r="AO476" i="1"/>
  <c r="AO469" i="1"/>
  <c r="AO456" i="1"/>
  <c r="AO444" i="1"/>
  <c r="AO438" i="1"/>
  <c r="AO477" i="1"/>
  <c r="AO475" i="1"/>
  <c r="AO466" i="1"/>
  <c r="AO462" i="1"/>
  <c r="AO479" i="1"/>
  <c r="AO461" i="1"/>
  <c r="AO482" i="1"/>
  <c r="AO471" i="1"/>
  <c r="AO468" i="1"/>
  <c r="AO463" i="1"/>
  <c r="AO460" i="1"/>
  <c r="AO454" i="1"/>
  <c r="AO448" i="1"/>
  <c r="AO442" i="1"/>
  <c r="AO436" i="1"/>
  <c r="AO430" i="1"/>
  <c r="AO424" i="1"/>
  <c r="AO474" i="1"/>
  <c r="AO470" i="1"/>
  <c r="AO464" i="1"/>
  <c r="AO440" i="1"/>
  <c r="AO441" i="1"/>
  <c r="AO426" i="1"/>
  <c r="AO418" i="1"/>
  <c r="AO434" i="1"/>
  <c r="AO429" i="1"/>
  <c r="AO422" i="1"/>
  <c r="AO412" i="1"/>
  <c r="AO447" i="1"/>
  <c r="AO443" i="1"/>
  <c r="AO435" i="1"/>
  <c r="AO432" i="1"/>
  <c r="AO455" i="1"/>
  <c r="AO425" i="1"/>
  <c r="AO459" i="1"/>
  <c r="AO437" i="1"/>
  <c r="AO428" i="1"/>
  <c r="AO410" i="1"/>
  <c r="AO404" i="1"/>
  <c r="AO398" i="1"/>
  <c r="AO431" i="1"/>
  <c r="AO458" i="1"/>
  <c r="AO453" i="1"/>
  <c r="AO452" i="1"/>
  <c r="AO446" i="1"/>
  <c r="AO411" i="1"/>
  <c r="AO403" i="1"/>
  <c r="AO389" i="1"/>
  <c r="AO383" i="1"/>
  <c r="AO449" i="1"/>
  <c r="AO406" i="1"/>
  <c r="AO396" i="1"/>
  <c r="AO417" i="1"/>
  <c r="AO400" i="1"/>
  <c r="AO388" i="1"/>
  <c r="AO376" i="1"/>
  <c r="AO370" i="1"/>
  <c r="AO420" i="1"/>
  <c r="AO413" i="1"/>
  <c r="AO402" i="1"/>
  <c r="AO397" i="1"/>
  <c r="AO393" i="1"/>
  <c r="AO387" i="1"/>
  <c r="AO381" i="1"/>
  <c r="AO375" i="1"/>
  <c r="AO369" i="1"/>
  <c r="AO363" i="1"/>
  <c r="AO419" i="1"/>
  <c r="AO405" i="1"/>
  <c r="AO423" i="1"/>
  <c r="AO408" i="1"/>
  <c r="AO409" i="1"/>
  <c r="AO401" i="1"/>
  <c r="AO394" i="1"/>
  <c r="AO414" i="1"/>
  <c r="AO407" i="1"/>
  <c r="AO391" i="1"/>
  <c r="AO385" i="1"/>
  <c r="AO379" i="1"/>
  <c r="AO373" i="1"/>
  <c r="AO384" i="1"/>
  <c r="AO392" i="1"/>
  <c r="AO377" i="1"/>
  <c r="AO359" i="1"/>
  <c r="AO353" i="1"/>
  <c r="AO378" i="1"/>
  <c r="AO358" i="1"/>
  <c r="AO352" i="1"/>
  <c r="AO346" i="1"/>
  <c r="AO340" i="1"/>
  <c r="AO334" i="1"/>
  <c r="AO328" i="1"/>
  <c r="AO322" i="1"/>
  <c r="AO371" i="1"/>
  <c r="AO374" i="1"/>
  <c r="AO366" i="1"/>
  <c r="AO395" i="1"/>
  <c r="AO386" i="1"/>
  <c r="AO367" i="1"/>
  <c r="AO360" i="1"/>
  <c r="AO354" i="1"/>
  <c r="AO361" i="1"/>
  <c r="AO357" i="1"/>
  <c r="AO336" i="1"/>
  <c r="AO321" i="1"/>
  <c r="AO315" i="1"/>
  <c r="AO309" i="1"/>
  <c r="AO303" i="1"/>
  <c r="AO351" i="1"/>
  <c r="AO344" i="1"/>
  <c r="AO325" i="1"/>
  <c r="AO333" i="1"/>
  <c r="AO329" i="1"/>
  <c r="AO320" i="1"/>
  <c r="AO308" i="1"/>
  <c r="AO302" i="1"/>
  <c r="AO337" i="1"/>
  <c r="AO372" i="1"/>
  <c r="AO356" i="1"/>
  <c r="AO345" i="1"/>
  <c r="AO341" i="1"/>
  <c r="AO326" i="1"/>
  <c r="AO319" i="1"/>
  <c r="AO313" i="1"/>
  <c r="AO307" i="1"/>
  <c r="AO349" i="1"/>
  <c r="AO330" i="1"/>
  <c r="AO390" i="1"/>
  <c r="AO380" i="1"/>
  <c r="AO338" i="1"/>
  <c r="AO318" i="1"/>
  <c r="AO312" i="1"/>
  <c r="AO306" i="1"/>
  <c r="AO300" i="1"/>
  <c r="AO362" i="1"/>
  <c r="AO342" i="1"/>
  <c r="AO327" i="1"/>
  <c r="AO323" i="1"/>
  <c r="AO364" i="1"/>
  <c r="AO350" i="1"/>
  <c r="AO317" i="1"/>
  <c r="AO355" i="1"/>
  <c r="AO339" i="1"/>
  <c r="AO368" i="1"/>
  <c r="AO343" i="1"/>
  <c r="AO324" i="1"/>
  <c r="AO316" i="1"/>
  <c r="AO310" i="1"/>
  <c r="AO298" i="1"/>
  <c r="AO332" i="1"/>
  <c r="AO301" i="1"/>
  <c r="AO295" i="1"/>
  <c r="AO292" i="1"/>
  <c r="AO286" i="1"/>
  <c r="AO274" i="1"/>
  <c r="AO268" i="1"/>
  <c r="AO291" i="1"/>
  <c r="AO285" i="1"/>
  <c r="AO279" i="1"/>
  <c r="AO273" i="1"/>
  <c r="AO335" i="1"/>
  <c r="AO290" i="1"/>
  <c r="AO347" i="1"/>
  <c r="AO311" i="1"/>
  <c r="AO304" i="1"/>
  <c r="AO305" i="1"/>
  <c r="AO296" i="1"/>
  <c r="AO289" i="1"/>
  <c r="AO283" i="1"/>
  <c r="AO277" i="1"/>
  <c r="AO271" i="1"/>
  <c r="AO265" i="1"/>
  <c r="AO259" i="1"/>
  <c r="AO253" i="1"/>
  <c r="AO299" i="1"/>
  <c r="AO288" i="1"/>
  <c r="AO294" i="1"/>
  <c r="AO293" i="1"/>
  <c r="AO287" i="1"/>
  <c r="AO250" i="1"/>
  <c r="AO248" i="1"/>
  <c r="AO242" i="1"/>
  <c r="AO236" i="1"/>
  <c r="AO230" i="1"/>
  <c r="AO224" i="1"/>
  <c r="AO218" i="1"/>
  <c r="AO282" i="1"/>
  <c r="AO258" i="1"/>
  <c r="AO254" i="1"/>
  <c r="AO262" i="1"/>
  <c r="AO247" i="1"/>
  <c r="AO241" i="1"/>
  <c r="AO235" i="1"/>
  <c r="AO284" i="1"/>
  <c r="AO269" i="1"/>
  <c r="AO266" i="1"/>
  <c r="AO251" i="1"/>
  <c r="AO267" i="1"/>
  <c r="AO255" i="1"/>
  <c r="AO240" i="1"/>
  <c r="AO234" i="1"/>
  <c r="AO228" i="1"/>
  <c r="AO222" i="1"/>
  <c r="AO278" i="1"/>
  <c r="AO281" i="1"/>
  <c r="AO275" i="1"/>
  <c r="AO272" i="1"/>
  <c r="AO260" i="1"/>
  <c r="AO270" i="1"/>
  <c r="AO264" i="1"/>
  <c r="AO257" i="1"/>
  <c r="AO249" i="1"/>
  <c r="AO243" i="1"/>
  <c r="AO237" i="1"/>
  <c r="AO231" i="1"/>
  <c r="AO225" i="1"/>
  <c r="AO219" i="1"/>
  <c r="AO213" i="1"/>
  <c r="AO261" i="1"/>
  <c r="AO245" i="1"/>
  <c r="AO238" i="1"/>
  <c r="AO276" i="1"/>
  <c r="AO227" i="1"/>
  <c r="AO220" i="1"/>
  <c r="AO221" i="1"/>
  <c r="AO215" i="1"/>
  <c r="AO206" i="1"/>
  <c r="AO223" i="1"/>
  <c r="AO252" i="1"/>
  <c r="AO233" i="1"/>
  <c r="AO226" i="1"/>
  <c r="AO210" i="1"/>
  <c r="AO204" i="1"/>
  <c r="AO198" i="1"/>
  <c r="AO239" i="1"/>
  <c r="AO216" i="1"/>
  <c r="AO256" i="1"/>
  <c r="AO217" i="1"/>
  <c r="AO209" i="1"/>
  <c r="AO203" i="1"/>
  <c r="AO197" i="1"/>
  <c r="AO191" i="1"/>
  <c r="AO185" i="1"/>
  <c r="AO179" i="1"/>
  <c r="AO211" i="1"/>
  <c r="AO190" i="1"/>
  <c r="AO186" i="1"/>
  <c r="AO176" i="1"/>
  <c r="AO183" i="1"/>
  <c r="AO187" i="1"/>
  <c r="AO175" i="1"/>
  <c r="AO169" i="1"/>
  <c r="AO163" i="1"/>
  <c r="AO157" i="1"/>
  <c r="AO151" i="1"/>
  <c r="AO145" i="1"/>
  <c r="AO139" i="1"/>
  <c r="AO133" i="1"/>
  <c r="AO194" i="1"/>
  <c r="AO214" i="1"/>
  <c r="AO200" i="1"/>
  <c r="AO196" i="1"/>
  <c r="AO181" i="1"/>
  <c r="AO232" i="1"/>
  <c r="AO208" i="1"/>
  <c r="AO201" i="1"/>
  <c r="AO199" i="1"/>
  <c r="AO193" i="1"/>
  <c r="AO244" i="1"/>
  <c r="AO188" i="1"/>
  <c r="AO184" i="1"/>
  <c r="AO167" i="1"/>
  <c r="AO165" i="1"/>
  <c r="AO158" i="1"/>
  <c r="AO148" i="1"/>
  <c r="AO143" i="1"/>
  <c r="AO189" i="1"/>
  <c r="AO174" i="1"/>
  <c r="AO180" i="1"/>
  <c r="AO173" i="1"/>
  <c r="AO172" i="1"/>
  <c r="AO159" i="1"/>
  <c r="AO136" i="1"/>
  <c r="AO202" i="1"/>
  <c r="AO150" i="1"/>
  <c r="AO147" i="1"/>
  <c r="AO129" i="1"/>
  <c r="AO166" i="1"/>
  <c r="AO162" i="1"/>
  <c r="AO156" i="1"/>
  <c r="AO153" i="1"/>
  <c r="AO137" i="1"/>
  <c r="AO122" i="1"/>
  <c r="AO116" i="1"/>
  <c r="AO207" i="1"/>
  <c r="AO177" i="1"/>
  <c r="AO170" i="1"/>
  <c r="AO168" i="1"/>
  <c r="AO141" i="1"/>
  <c r="AO205" i="1"/>
  <c r="AO149" i="1"/>
  <c r="AO146" i="1"/>
  <c r="AO138" i="1"/>
  <c r="AO134" i="1"/>
  <c r="AO155" i="1"/>
  <c r="AO152" i="1"/>
  <c r="AO192" i="1"/>
  <c r="AO97" i="1"/>
  <c r="AO86" i="1"/>
  <c r="AO75" i="1"/>
  <c r="AO140" i="1"/>
  <c r="AO128" i="1"/>
  <c r="AO123" i="1"/>
  <c r="AO107" i="1"/>
  <c r="AO96" i="1"/>
  <c r="AO85" i="1"/>
  <c r="AO74" i="1"/>
  <c r="AO106" i="1"/>
  <c r="AO95" i="1"/>
  <c r="AO84" i="1"/>
  <c r="AO113" i="1"/>
  <c r="AO105" i="1"/>
  <c r="AO94" i="1"/>
  <c r="AO83" i="1"/>
  <c r="AO160" i="1"/>
  <c r="AO135" i="1"/>
  <c r="AO118" i="1"/>
  <c r="AO117" i="1"/>
  <c r="AO104" i="1"/>
  <c r="AO93" i="1"/>
  <c r="AO82" i="1"/>
  <c r="AO164" i="1"/>
  <c r="AO130" i="1"/>
  <c r="AO103" i="1"/>
  <c r="AO92" i="1"/>
  <c r="AO182" i="1"/>
  <c r="AO132" i="1"/>
  <c r="AO119" i="1"/>
  <c r="AO111" i="1"/>
  <c r="AO102" i="1"/>
  <c r="AO91" i="1"/>
  <c r="AO154" i="1"/>
  <c r="AO120" i="1"/>
  <c r="AO115" i="1"/>
  <c r="AO101" i="1"/>
  <c r="AO80" i="1"/>
  <c r="AO126" i="1"/>
  <c r="AO121" i="1"/>
  <c r="AO112" i="1"/>
  <c r="AO100" i="1"/>
  <c r="AO79" i="1"/>
  <c r="AO171" i="1"/>
  <c r="AO89" i="1"/>
  <c r="AO78" i="1"/>
  <c r="AO131" i="1"/>
  <c r="AO125" i="1"/>
  <c r="AO124" i="1"/>
  <c r="AO59" i="1"/>
  <c r="AO48" i="1"/>
  <c r="AO71" i="1"/>
  <c r="AO68" i="1"/>
  <c r="AO58" i="1"/>
  <c r="AO47" i="1"/>
  <c r="AO57" i="1"/>
  <c r="AO46" i="1"/>
  <c r="AO88" i="1"/>
  <c r="AO87" i="1"/>
  <c r="AO56" i="1"/>
  <c r="AO33" i="1"/>
  <c r="AO27" i="1"/>
  <c r="AO21" i="1"/>
  <c r="AO15" i="1"/>
  <c r="AO9" i="1"/>
  <c r="AO76" i="1"/>
  <c r="AO77" i="1"/>
  <c r="AO69" i="1"/>
  <c r="AO66" i="1"/>
  <c r="AO65" i="1"/>
  <c r="AO38" i="1"/>
  <c r="AO32" i="1"/>
  <c r="AO26" i="1"/>
  <c r="AO20" i="1"/>
  <c r="AO64" i="1"/>
  <c r="AO98" i="1"/>
  <c r="AO53" i="1"/>
  <c r="AO43" i="1"/>
  <c r="AO37" i="1"/>
  <c r="AO31" i="1"/>
  <c r="AO25" i="1"/>
  <c r="AO19" i="1"/>
  <c r="AO13" i="1"/>
  <c r="AO142" i="1"/>
  <c r="AO108" i="1"/>
  <c r="AO73" i="1"/>
  <c r="AO70" i="1"/>
  <c r="AO67" i="1"/>
  <c r="AO62" i="1"/>
  <c r="AO51" i="1"/>
  <c r="AO42" i="1"/>
  <c r="AO36" i="1"/>
  <c r="AO114" i="1"/>
  <c r="AO61" i="1"/>
  <c r="AO60" i="1"/>
  <c r="AO49" i="1"/>
  <c r="AO41" i="1"/>
  <c r="AO35" i="1"/>
  <c r="AO29" i="1"/>
  <c r="AO23" i="1"/>
  <c r="AO17" i="1"/>
  <c r="AO52" i="1"/>
  <c r="AO30" i="1"/>
  <c r="AO40" i="1"/>
  <c r="AO24" i="1"/>
  <c r="AO10" i="1"/>
  <c r="AO12" i="1"/>
  <c r="AO28" i="1"/>
  <c r="AO55" i="1"/>
  <c r="AO22" i="1"/>
  <c r="AO18" i="1"/>
  <c r="AO16" i="1"/>
  <c r="AO14" i="1"/>
  <c r="AO50" i="1"/>
  <c r="AO11" i="1"/>
  <c r="AN54" i="1"/>
  <c r="AN569" i="1"/>
  <c r="AN620" i="1"/>
  <c r="AQ4" i="1"/>
  <c r="AP6" i="1"/>
  <c r="AN263" i="1"/>
  <c r="AN297" i="1"/>
  <c r="AN382" i="1"/>
  <c r="AN671" i="1"/>
  <c r="AN63" i="1"/>
  <c r="AN99" i="1"/>
  <c r="AN90" i="1"/>
  <c r="AN72" i="1"/>
  <c r="AN280" i="1"/>
  <c r="AN45" i="1"/>
  <c r="AN110" i="1"/>
  <c r="AN195" i="1"/>
  <c r="AN178" i="1"/>
  <c r="AN365" i="1"/>
  <c r="AN416" i="1"/>
  <c r="AN484" i="1"/>
  <c r="AO99" i="1" l="1"/>
  <c r="AO450" i="1"/>
  <c r="AO161" i="1"/>
  <c r="AO280" i="1"/>
  <c r="AO552" i="1"/>
  <c r="AO637" i="1"/>
  <c r="AO34" i="1"/>
  <c r="AO212" i="1"/>
  <c r="AO382" i="1"/>
  <c r="AO433" i="1"/>
  <c r="AO127" i="1"/>
  <c r="AO365" i="1"/>
  <c r="AO63" i="1"/>
  <c r="AO246" i="1"/>
  <c r="AO535" i="1"/>
  <c r="AO72" i="1"/>
  <c r="AO195" i="1"/>
  <c r="AO314" i="1"/>
  <c r="AO501" i="1"/>
  <c r="AO620" i="1"/>
  <c r="AO54" i="1"/>
  <c r="AO467" i="1"/>
  <c r="AO569" i="1"/>
  <c r="AP703" i="1"/>
  <c r="AP702" i="1"/>
  <c r="AP700" i="1"/>
  <c r="AP699" i="1"/>
  <c r="AP688" i="1"/>
  <c r="AP698" i="1"/>
  <c r="AP697" i="1"/>
  <c r="AP694" i="1"/>
  <c r="AP701" i="1"/>
  <c r="AP690" i="1"/>
  <c r="AP677" i="1"/>
  <c r="AP693" i="1"/>
  <c r="AP691" i="1"/>
  <c r="AP673" i="1"/>
  <c r="AP696" i="1"/>
  <c r="AP681" i="1"/>
  <c r="AP692" i="1"/>
  <c r="AP687" i="1"/>
  <c r="AP685" i="1"/>
  <c r="AP682" i="1"/>
  <c r="AP676" i="1"/>
  <c r="AP674" i="1"/>
  <c r="AP670" i="1"/>
  <c r="AP680" i="1"/>
  <c r="AP672" i="1"/>
  <c r="AP684" i="1"/>
  <c r="AP679" i="1"/>
  <c r="AP666" i="1"/>
  <c r="AP686" i="1"/>
  <c r="AP667" i="1"/>
  <c r="AP665" i="1"/>
  <c r="AP662" i="1"/>
  <c r="AP668" i="1"/>
  <c r="AP669" i="1"/>
  <c r="AP678" i="1"/>
  <c r="AP661" i="1"/>
  <c r="AP655" i="1"/>
  <c r="AP675" i="1"/>
  <c r="AP664" i="1"/>
  <c r="AP659" i="1"/>
  <c r="AP647" i="1"/>
  <c r="AP641" i="1"/>
  <c r="AP663" i="1"/>
  <c r="AP646" i="1"/>
  <c r="AP660" i="1"/>
  <c r="AP683" i="1"/>
  <c r="AP644" i="1"/>
  <c r="AP639" i="1"/>
  <c r="AP650" i="1"/>
  <c r="AP645" i="1"/>
  <c r="AP651" i="1"/>
  <c r="AP636" i="1"/>
  <c r="AP625" i="1"/>
  <c r="AP656" i="1"/>
  <c r="AP648" i="1"/>
  <c r="AP658" i="1"/>
  <c r="AP653" i="1"/>
  <c r="AP640" i="1"/>
  <c r="AP623" i="1"/>
  <c r="AP633" i="1"/>
  <c r="AP632" i="1"/>
  <c r="AP627" i="1"/>
  <c r="AP643" i="1"/>
  <c r="AP634" i="1"/>
  <c r="AP628" i="1"/>
  <c r="AP642" i="1"/>
  <c r="AP619" i="1"/>
  <c r="AP618" i="1"/>
  <c r="AP638" i="1"/>
  <c r="AP626" i="1"/>
  <c r="AP624" i="1"/>
  <c r="AP622" i="1"/>
  <c r="AP657" i="1"/>
  <c r="AP652" i="1"/>
  <c r="AP635" i="1"/>
  <c r="AP631" i="1"/>
  <c r="AP649" i="1"/>
  <c r="AP614" i="1"/>
  <c r="AP615" i="1"/>
  <c r="AP613" i="1"/>
  <c r="AP610" i="1"/>
  <c r="AP617" i="1"/>
  <c r="AP629" i="1"/>
  <c r="AP604" i="1"/>
  <c r="AP600" i="1"/>
  <c r="AP630" i="1"/>
  <c r="AP612" i="1"/>
  <c r="AP597" i="1"/>
  <c r="AP609" i="1"/>
  <c r="AP602" i="1"/>
  <c r="AP616" i="1"/>
  <c r="AP608" i="1"/>
  <c r="AP599" i="1"/>
  <c r="AP611" i="1"/>
  <c r="AP607" i="1"/>
  <c r="AP606" i="1"/>
  <c r="AP605" i="1"/>
  <c r="AP582" i="1"/>
  <c r="AP578" i="1"/>
  <c r="AP593" i="1"/>
  <c r="AP577" i="1"/>
  <c r="AP598" i="1"/>
  <c r="AP596" i="1"/>
  <c r="AP621" i="1"/>
  <c r="AP589" i="1"/>
  <c r="AP588" i="1"/>
  <c r="AP587" i="1"/>
  <c r="AP584" i="1"/>
  <c r="AP580" i="1"/>
  <c r="AP601" i="1"/>
  <c r="AP592" i="1"/>
  <c r="AP590" i="1"/>
  <c r="AP572" i="1"/>
  <c r="AP595" i="1"/>
  <c r="AP594" i="1"/>
  <c r="AP574" i="1"/>
  <c r="AP573" i="1"/>
  <c r="AP570" i="1"/>
  <c r="AP562" i="1"/>
  <c r="AP546" i="1"/>
  <c r="AP540" i="1"/>
  <c r="AP559" i="1"/>
  <c r="AP576" i="1"/>
  <c r="AP568" i="1"/>
  <c r="AP575" i="1"/>
  <c r="AP556" i="1"/>
  <c r="AP591" i="1"/>
  <c r="AP581" i="1"/>
  <c r="AP579" i="1"/>
  <c r="AP571" i="1"/>
  <c r="AP566" i="1"/>
  <c r="AP563" i="1"/>
  <c r="AP585" i="1"/>
  <c r="AP558" i="1"/>
  <c r="AP554" i="1"/>
  <c r="AP544" i="1"/>
  <c r="AP541" i="1"/>
  <c r="AP537" i="1"/>
  <c r="AP557" i="1"/>
  <c r="AP542" i="1"/>
  <c r="AP583" i="1"/>
  <c r="AP555" i="1"/>
  <c r="AP548" i="1"/>
  <c r="AP536" i="1"/>
  <c r="AP567" i="1"/>
  <c r="AP565" i="1"/>
  <c r="AP564" i="1"/>
  <c r="AP550" i="1"/>
  <c r="AP560" i="1"/>
  <c r="AP543" i="1"/>
  <c r="AP553" i="1"/>
  <c r="AP545" i="1"/>
  <c r="AP561" i="1"/>
  <c r="AP533" i="1"/>
  <c r="AP528" i="1"/>
  <c r="AP538" i="1"/>
  <c r="AP551" i="1"/>
  <c r="AP521" i="1"/>
  <c r="AP506" i="1"/>
  <c r="AP529" i="1"/>
  <c r="AP532" i="1"/>
  <c r="AP514" i="1"/>
  <c r="AP549" i="1"/>
  <c r="AP522" i="1"/>
  <c r="AP530" i="1"/>
  <c r="AP523" i="1"/>
  <c r="AP534" i="1"/>
  <c r="AP547" i="1"/>
  <c r="AP539" i="1"/>
  <c r="AP531" i="1"/>
  <c r="AP524" i="1"/>
  <c r="AP520" i="1"/>
  <c r="AP510" i="1"/>
  <c r="AP491" i="1"/>
  <c r="AP519" i="1"/>
  <c r="AP517" i="1"/>
  <c r="AP503" i="1"/>
  <c r="AP515" i="1"/>
  <c r="AP508" i="1"/>
  <c r="AP505" i="1"/>
  <c r="AP492" i="1"/>
  <c r="AP488" i="1"/>
  <c r="AP502" i="1"/>
  <c r="AP496" i="1"/>
  <c r="AP513" i="1"/>
  <c r="AP511" i="1"/>
  <c r="AP500" i="1"/>
  <c r="AP526" i="1"/>
  <c r="AP525" i="1"/>
  <c r="AP509" i="1"/>
  <c r="AP516" i="1"/>
  <c r="AP527" i="1"/>
  <c r="AP512" i="1"/>
  <c r="AP507" i="1"/>
  <c r="AP490" i="1"/>
  <c r="AP485" i="1"/>
  <c r="AP495" i="1"/>
  <c r="AP482" i="1"/>
  <c r="AP479" i="1"/>
  <c r="AP504" i="1"/>
  <c r="AP498" i="1"/>
  <c r="AP499" i="1"/>
  <c r="AP494" i="1"/>
  <c r="AP497" i="1"/>
  <c r="AP493" i="1"/>
  <c r="AP480" i="1"/>
  <c r="AP486" i="1"/>
  <c r="AP483" i="1"/>
  <c r="AP476" i="1"/>
  <c r="AP478" i="1"/>
  <c r="AP465" i="1"/>
  <c r="AP457" i="1"/>
  <c r="AP451" i="1"/>
  <c r="AP469" i="1"/>
  <c r="AP472" i="1"/>
  <c r="AP456" i="1"/>
  <c r="AP444" i="1"/>
  <c r="AP477" i="1"/>
  <c r="AP475" i="1"/>
  <c r="AP466" i="1"/>
  <c r="AP462" i="1"/>
  <c r="AP461" i="1"/>
  <c r="AP455" i="1"/>
  <c r="AP489" i="1"/>
  <c r="AP487" i="1"/>
  <c r="AP471" i="1"/>
  <c r="AP468" i="1"/>
  <c r="AP463" i="1"/>
  <c r="AP460" i="1"/>
  <c r="AP454" i="1"/>
  <c r="AP474" i="1"/>
  <c r="AP481" i="1"/>
  <c r="AP459" i="1"/>
  <c r="AP470" i="1"/>
  <c r="AP458" i="1"/>
  <c r="AP473" i="1"/>
  <c r="AP440" i="1"/>
  <c r="AP430" i="1"/>
  <c r="AP421" i="1"/>
  <c r="AP464" i="1"/>
  <c r="AP441" i="1"/>
  <c r="AP414" i="1"/>
  <c r="AP413" i="1"/>
  <c r="AP407" i="1"/>
  <c r="AP401" i="1"/>
  <c r="AP426" i="1"/>
  <c r="AP418" i="1"/>
  <c r="AP442" i="1"/>
  <c r="AP434" i="1"/>
  <c r="AP429" i="1"/>
  <c r="AP422" i="1"/>
  <c r="AP412" i="1"/>
  <c r="AP447" i="1"/>
  <c r="AP445" i="1"/>
  <c r="AP443" i="1"/>
  <c r="AP435" i="1"/>
  <c r="AP432" i="1"/>
  <c r="AP449" i="1"/>
  <c r="AP419" i="1"/>
  <c r="AP415" i="1"/>
  <c r="AP411" i="1"/>
  <c r="AP437" i="1"/>
  <c r="AP428" i="1"/>
  <c r="AP431" i="1"/>
  <c r="AP420" i="1"/>
  <c r="AP453" i="1"/>
  <c r="AP438" i="1"/>
  <c r="AP452" i="1"/>
  <c r="AP446" i="1"/>
  <c r="AP424" i="1"/>
  <c r="AP448" i="1"/>
  <c r="AP439" i="1"/>
  <c r="AP427" i="1"/>
  <c r="AP417" i="1"/>
  <c r="AP406" i="1"/>
  <c r="AP396" i="1"/>
  <c r="AP436" i="1"/>
  <c r="AP400" i="1"/>
  <c r="AP388" i="1"/>
  <c r="AP402" i="1"/>
  <c r="AP397" i="1"/>
  <c r="AP393" i="1"/>
  <c r="AP405" i="1"/>
  <c r="AP423" i="1"/>
  <c r="AP408" i="1"/>
  <c r="AP392" i="1"/>
  <c r="AP409" i="1"/>
  <c r="AP394" i="1"/>
  <c r="AP425" i="1"/>
  <c r="AP398" i="1"/>
  <c r="AP391" i="1"/>
  <c r="AP385" i="1"/>
  <c r="AP410" i="1"/>
  <c r="AP404" i="1"/>
  <c r="AP377" i="1"/>
  <c r="AP359" i="1"/>
  <c r="AP378" i="1"/>
  <c r="AP368" i="1"/>
  <c r="AP364" i="1"/>
  <c r="AP379" i="1"/>
  <c r="AP371" i="1"/>
  <c r="AP370" i="1"/>
  <c r="AP403" i="1"/>
  <c r="AP380" i="1"/>
  <c r="AP372" i="1"/>
  <c r="AP357" i="1"/>
  <c r="AP383" i="1"/>
  <c r="AP390" i="1"/>
  <c r="AP381" i="1"/>
  <c r="AP373" i="1"/>
  <c r="AP369" i="1"/>
  <c r="AP362" i="1"/>
  <c r="AP395" i="1"/>
  <c r="AP387" i="1"/>
  <c r="AP386" i="1"/>
  <c r="AP361" i="1"/>
  <c r="AP355" i="1"/>
  <c r="AP389" i="1"/>
  <c r="AP375" i="1"/>
  <c r="AP384" i="1"/>
  <c r="AP376" i="1"/>
  <c r="AP358" i="1"/>
  <c r="AP351" i="1"/>
  <c r="AP344" i="1"/>
  <c r="AP340" i="1"/>
  <c r="AP325" i="1"/>
  <c r="AP352" i="1"/>
  <c r="AP333" i="1"/>
  <c r="AP329" i="1"/>
  <c r="AP320" i="1"/>
  <c r="AP337" i="1"/>
  <c r="AP356" i="1"/>
  <c r="AP353" i="1"/>
  <c r="AP345" i="1"/>
  <c r="AP341" i="1"/>
  <c r="AP326" i="1"/>
  <c r="AP322" i="1"/>
  <c r="AP319" i="1"/>
  <c r="AP349" i="1"/>
  <c r="AP330" i="1"/>
  <c r="AP354" i="1"/>
  <c r="AP338" i="1"/>
  <c r="AP334" i="1"/>
  <c r="AP318" i="1"/>
  <c r="AP312" i="1"/>
  <c r="AP342" i="1"/>
  <c r="AP327" i="1"/>
  <c r="AP323" i="1"/>
  <c r="AP366" i="1"/>
  <c r="AP350" i="1"/>
  <c r="AP346" i="1"/>
  <c r="AP317" i="1"/>
  <c r="AP367" i="1"/>
  <c r="AP363" i="1"/>
  <c r="AP360" i="1"/>
  <c r="AP339" i="1"/>
  <c r="AP335" i="1"/>
  <c r="AP343" i="1"/>
  <c r="AP374" i="1"/>
  <c r="AP347" i="1"/>
  <c r="AP332" i="1"/>
  <c r="AP328" i="1"/>
  <c r="AP301" i="1"/>
  <c r="AP295" i="1"/>
  <c r="AP292" i="1"/>
  <c r="AP286" i="1"/>
  <c r="AP274" i="1"/>
  <c r="AP313" i="1"/>
  <c r="AP303" i="1"/>
  <c r="AP300" i="1"/>
  <c r="AP290" i="1"/>
  <c r="AP284" i="1"/>
  <c r="AP278" i="1"/>
  <c r="AP272" i="1"/>
  <c r="AP311" i="1"/>
  <c r="AP304" i="1"/>
  <c r="AP321" i="1"/>
  <c r="AP310" i="1"/>
  <c r="AP309" i="1"/>
  <c r="AP308" i="1"/>
  <c r="AP307" i="1"/>
  <c r="AP305" i="1"/>
  <c r="AP296" i="1"/>
  <c r="AP289" i="1"/>
  <c r="AP283" i="1"/>
  <c r="AP336" i="1"/>
  <c r="AP299" i="1"/>
  <c r="AP316" i="1"/>
  <c r="AP306" i="1"/>
  <c r="AP288" i="1"/>
  <c r="AP294" i="1"/>
  <c r="AP324" i="1"/>
  <c r="AP293" i="1"/>
  <c r="AP287" i="1"/>
  <c r="AP281" i="1"/>
  <c r="AP315" i="1"/>
  <c r="AP298" i="1"/>
  <c r="AP282" i="1"/>
  <c r="AP258" i="1"/>
  <c r="AP254" i="1"/>
  <c r="AP262" i="1"/>
  <c r="AP247" i="1"/>
  <c r="AP241" i="1"/>
  <c r="AP235" i="1"/>
  <c r="AP269" i="1"/>
  <c r="AP266" i="1"/>
  <c r="AP251" i="1"/>
  <c r="AP267" i="1"/>
  <c r="AP255" i="1"/>
  <c r="AP240" i="1"/>
  <c r="AP234" i="1"/>
  <c r="AP259" i="1"/>
  <c r="AP279" i="1"/>
  <c r="AP252" i="1"/>
  <c r="AP245" i="1"/>
  <c r="AP239" i="1"/>
  <c r="AP233" i="1"/>
  <c r="AP302" i="1"/>
  <c r="AP291" i="1"/>
  <c r="AP277" i="1"/>
  <c r="AP276" i="1"/>
  <c r="AP265" i="1"/>
  <c r="AP273" i="1"/>
  <c r="AP268" i="1"/>
  <c r="AP261" i="1"/>
  <c r="AP250" i="1"/>
  <c r="AP248" i="1"/>
  <c r="AP242" i="1"/>
  <c r="AP264" i="1"/>
  <c r="AP227" i="1"/>
  <c r="AP225" i="1"/>
  <c r="AP271" i="1"/>
  <c r="AP237" i="1"/>
  <c r="AP221" i="1"/>
  <c r="AP215" i="1"/>
  <c r="AP206" i="1"/>
  <c r="AP200" i="1"/>
  <c r="AP260" i="1"/>
  <c r="AP223" i="1"/>
  <c r="AP253" i="1"/>
  <c r="AP249" i="1"/>
  <c r="AP226" i="1"/>
  <c r="AP210" i="1"/>
  <c r="AP285" i="1"/>
  <c r="AP228" i="1"/>
  <c r="AP224" i="1"/>
  <c r="AP216" i="1"/>
  <c r="AP275" i="1"/>
  <c r="AP270" i="1"/>
  <c r="AP256" i="1"/>
  <c r="AP243" i="1"/>
  <c r="AP217" i="1"/>
  <c r="AP213" i="1"/>
  <c r="AP209" i="1"/>
  <c r="AP230" i="1"/>
  <c r="AP257" i="1"/>
  <c r="AP244" i="1"/>
  <c r="AP232" i="1"/>
  <c r="AP218" i="1"/>
  <c r="AP204" i="1"/>
  <c r="AP176" i="1"/>
  <c r="AP170" i="1"/>
  <c r="AP164" i="1"/>
  <c r="AP158" i="1"/>
  <c r="AP198" i="1"/>
  <c r="AP183" i="1"/>
  <c r="AP179" i="1"/>
  <c r="AP219" i="1"/>
  <c r="AP187" i="1"/>
  <c r="AP175" i="1"/>
  <c r="AP169" i="1"/>
  <c r="AP163" i="1"/>
  <c r="AP157" i="1"/>
  <c r="AP151" i="1"/>
  <c r="AP145" i="1"/>
  <c r="AP194" i="1"/>
  <c r="AP191" i="1"/>
  <c r="AP197" i="1"/>
  <c r="AP184" i="1"/>
  <c r="AP180" i="1"/>
  <c r="AP231" i="1"/>
  <c r="AP207" i="1"/>
  <c r="AP203" i="1"/>
  <c r="AP220" i="1"/>
  <c r="AP189" i="1"/>
  <c r="AP185" i="1"/>
  <c r="AP172" i="1"/>
  <c r="AP166" i="1"/>
  <c r="AP236" i="1"/>
  <c r="AP202" i="1"/>
  <c r="AP182" i="1"/>
  <c r="AP177" i="1"/>
  <c r="AP171" i="1"/>
  <c r="AP238" i="1"/>
  <c r="AP190" i="1"/>
  <c r="AP174" i="1"/>
  <c r="AP154" i="1"/>
  <c r="AP132" i="1"/>
  <c r="AP128" i="1"/>
  <c r="AP124" i="1"/>
  <c r="AP118" i="1"/>
  <c r="AP112" i="1"/>
  <c r="AP186" i="1"/>
  <c r="AP173" i="1"/>
  <c r="AP159" i="1"/>
  <c r="AP181" i="1"/>
  <c r="AP160" i="1"/>
  <c r="AP140" i="1"/>
  <c r="AP123" i="1"/>
  <c r="AP196" i="1"/>
  <c r="AP162" i="1"/>
  <c r="AP156" i="1"/>
  <c r="AP153" i="1"/>
  <c r="AP137" i="1"/>
  <c r="AP133" i="1"/>
  <c r="AP122" i="1"/>
  <c r="AP168" i="1"/>
  <c r="AP141" i="1"/>
  <c r="AP214" i="1"/>
  <c r="AP201" i="1"/>
  <c r="AP155" i="1"/>
  <c r="AP152" i="1"/>
  <c r="AP142" i="1"/>
  <c r="AP126" i="1"/>
  <c r="AP211" i="1"/>
  <c r="AP199" i="1"/>
  <c r="AP192" i="1"/>
  <c r="AP193" i="1"/>
  <c r="AP188" i="1"/>
  <c r="AP167" i="1"/>
  <c r="AP165" i="1"/>
  <c r="AP205" i="1"/>
  <c r="AP139" i="1"/>
  <c r="AP138" i="1"/>
  <c r="AP107" i="1"/>
  <c r="AP96" i="1"/>
  <c r="AP85" i="1"/>
  <c r="AP74" i="1"/>
  <c r="AP136" i="1"/>
  <c r="AP106" i="1"/>
  <c r="AP95" i="1"/>
  <c r="AP84" i="1"/>
  <c r="AP73" i="1"/>
  <c r="AP149" i="1"/>
  <c r="AP146" i="1"/>
  <c r="AP129" i="1"/>
  <c r="AP113" i="1"/>
  <c r="AP105" i="1"/>
  <c r="AP94" i="1"/>
  <c r="AP83" i="1"/>
  <c r="AP135" i="1"/>
  <c r="AP117" i="1"/>
  <c r="AP116" i="1"/>
  <c r="AP104" i="1"/>
  <c r="AP93" i="1"/>
  <c r="AP82" i="1"/>
  <c r="AP130" i="1"/>
  <c r="AP103" i="1"/>
  <c r="AP92" i="1"/>
  <c r="AP147" i="1"/>
  <c r="AP119" i="1"/>
  <c r="AP111" i="1"/>
  <c r="AP102" i="1"/>
  <c r="AP91" i="1"/>
  <c r="AP208" i="1"/>
  <c r="AP120" i="1"/>
  <c r="AP115" i="1"/>
  <c r="AP101" i="1"/>
  <c r="AP80" i="1"/>
  <c r="AP148" i="1"/>
  <c r="AP134" i="1"/>
  <c r="AP121" i="1"/>
  <c r="AP100" i="1"/>
  <c r="AP79" i="1"/>
  <c r="AP150" i="1"/>
  <c r="AP89" i="1"/>
  <c r="AP78" i="1"/>
  <c r="AP131" i="1"/>
  <c r="AP125" i="1"/>
  <c r="AP88" i="1"/>
  <c r="AP77" i="1"/>
  <c r="AP143" i="1"/>
  <c r="AP114" i="1"/>
  <c r="AP108" i="1"/>
  <c r="AP98" i="1"/>
  <c r="AP71" i="1"/>
  <c r="AP68" i="1"/>
  <c r="AP58" i="1"/>
  <c r="AP47" i="1"/>
  <c r="AP40" i="1"/>
  <c r="AP28" i="1"/>
  <c r="AP22" i="1"/>
  <c r="AP16" i="1"/>
  <c r="AP10" i="1"/>
  <c r="AP97" i="1"/>
  <c r="AP57" i="1"/>
  <c r="AP46" i="1"/>
  <c r="AP87" i="1"/>
  <c r="AP86" i="1"/>
  <c r="AP56" i="1"/>
  <c r="AP33" i="1"/>
  <c r="AP27" i="1"/>
  <c r="AP21" i="1"/>
  <c r="AP15" i="1"/>
  <c r="AP9" i="1"/>
  <c r="AP76" i="1"/>
  <c r="AP55" i="1"/>
  <c r="AP69" i="1"/>
  <c r="AP66" i="1"/>
  <c r="AP65" i="1"/>
  <c r="AP64" i="1"/>
  <c r="AP53" i="1"/>
  <c r="AP43" i="1"/>
  <c r="AP37" i="1"/>
  <c r="AP31" i="1"/>
  <c r="AP25" i="1"/>
  <c r="AP19" i="1"/>
  <c r="AP52" i="1"/>
  <c r="AP75" i="1"/>
  <c r="AP70" i="1"/>
  <c r="AP67" i="1"/>
  <c r="AP62" i="1"/>
  <c r="AP61" i="1"/>
  <c r="AP50" i="1"/>
  <c r="AP60" i="1"/>
  <c r="AP222" i="1"/>
  <c r="AP59" i="1"/>
  <c r="AP48" i="1"/>
  <c r="AP49" i="1"/>
  <c r="AP35" i="1"/>
  <c r="AP24" i="1"/>
  <c r="AP17" i="1"/>
  <c r="AP36" i="1"/>
  <c r="AP29" i="1"/>
  <c r="AP12" i="1"/>
  <c r="AP18" i="1"/>
  <c r="AP51" i="1"/>
  <c r="AP42" i="1"/>
  <c r="AP23" i="1"/>
  <c r="AP30" i="1"/>
  <c r="AP20" i="1"/>
  <c r="AP32" i="1"/>
  <c r="AP14" i="1"/>
  <c r="AP41" i="1"/>
  <c r="AP38" i="1"/>
  <c r="AP11" i="1"/>
  <c r="AP26" i="1"/>
  <c r="AP13" i="1"/>
  <c r="AN109" i="1"/>
  <c r="AQ6" i="1"/>
  <c r="AR4" i="1"/>
  <c r="AO81" i="1"/>
  <c r="AO484" i="1"/>
  <c r="AO518" i="1"/>
  <c r="AO603" i="1"/>
  <c r="AN44" i="1"/>
  <c r="AN7" i="1" s="1"/>
  <c r="AO263" i="1"/>
  <c r="AO331" i="1"/>
  <c r="AO348" i="1"/>
  <c r="AO399" i="1"/>
  <c r="AO695" i="1"/>
  <c r="AO45" i="1"/>
  <c r="AO90" i="1"/>
  <c r="AO297" i="1"/>
  <c r="AO416" i="1"/>
  <c r="AO671" i="1"/>
  <c r="AO39" i="1"/>
  <c r="AO144" i="1"/>
  <c r="AO178" i="1"/>
  <c r="AO229" i="1"/>
  <c r="AO654" i="1"/>
  <c r="AO110" i="1"/>
  <c r="AO586" i="1"/>
  <c r="AO689" i="1"/>
  <c r="AM8" i="1"/>
  <c r="AM5" i="1"/>
  <c r="AP63" i="1" l="1"/>
  <c r="AP34" i="1"/>
  <c r="AP195" i="1"/>
  <c r="AP484" i="1"/>
  <c r="AP695" i="1"/>
  <c r="AN8" i="1"/>
  <c r="AN5" i="1"/>
  <c r="AP246" i="1"/>
  <c r="AP81" i="1"/>
  <c r="AR6" i="1"/>
  <c r="AS4" i="1"/>
  <c r="AP72" i="1"/>
  <c r="AP348" i="1"/>
  <c r="AP501" i="1"/>
  <c r="AO44" i="1"/>
  <c r="AQ703" i="1"/>
  <c r="AQ697" i="1"/>
  <c r="AQ691" i="1"/>
  <c r="AQ702" i="1"/>
  <c r="AQ696" i="1"/>
  <c r="AQ695" i="1" s="1"/>
  <c r="AQ692" i="1"/>
  <c r="AQ685" i="1"/>
  <c r="AQ698" i="1"/>
  <c r="AQ693" i="1"/>
  <c r="AQ690" i="1"/>
  <c r="AQ694" i="1"/>
  <c r="AQ700" i="1"/>
  <c r="AQ701" i="1"/>
  <c r="AQ686" i="1"/>
  <c r="AQ699" i="1"/>
  <c r="AQ679" i="1"/>
  <c r="AQ681" i="1"/>
  <c r="AQ687" i="1"/>
  <c r="AQ678" i="1"/>
  <c r="AQ674" i="1"/>
  <c r="AQ672" i="1"/>
  <c r="AQ666" i="1"/>
  <c r="AQ660" i="1"/>
  <c r="AQ683" i="1"/>
  <c r="AQ665" i="1"/>
  <c r="AQ659" i="1"/>
  <c r="AQ668" i="1"/>
  <c r="AQ684" i="1"/>
  <c r="AQ667" i="1"/>
  <c r="AQ662" i="1"/>
  <c r="AQ677" i="1"/>
  <c r="AQ676" i="1"/>
  <c r="AQ675" i="1"/>
  <c r="AQ688" i="1"/>
  <c r="AQ682" i="1"/>
  <c r="AQ670" i="1"/>
  <c r="AQ673" i="1"/>
  <c r="AQ680" i="1"/>
  <c r="AQ664" i="1"/>
  <c r="AQ661" i="1"/>
  <c r="AQ655" i="1"/>
  <c r="AQ647" i="1"/>
  <c r="AQ641" i="1"/>
  <c r="AQ635" i="1"/>
  <c r="AQ629" i="1"/>
  <c r="AQ663" i="1"/>
  <c r="AQ651" i="1"/>
  <c r="AQ645" i="1"/>
  <c r="AQ639" i="1"/>
  <c r="AQ669" i="1"/>
  <c r="AQ658" i="1"/>
  <c r="AQ656" i="1"/>
  <c r="AQ650" i="1"/>
  <c r="AQ631" i="1"/>
  <c r="AQ649" i="1"/>
  <c r="AQ646" i="1"/>
  <c r="AQ653" i="1"/>
  <c r="AQ640" i="1"/>
  <c r="AQ623" i="1"/>
  <c r="AQ652" i="1"/>
  <c r="AQ642" i="1"/>
  <c r="AQ634" i="1"/>
  <c r="AQ630" i="1"/>
  <c r="AQ648" i="1"/>
  <c r="AQ626" i="1"/>
  <c r="AQ624" i="1"/>
  <c r="AQ619" i="1"/>
  <c r="AQ614" i="1"/>
  <c r="AQ644" i="1"/>
  <c r="AQ613" i="1"/>
  <c r="AQ607" i="1"/>
  <c r="AQ643" i="1"/>
  <c r="AQ657" i="1"/>
  <c r="AQ633" i="1"/>
  <c r="AQ638" i="1"/>
  <c r="AQ621" i="1"/>
  <c r="AQ625" i="1"/>
  <c r="AQ632" i="1"/>
  <c r="AQ627" i="1"/>
  <c r="AQ636" i="1"/>
  <c r="AQ615" i="1"/>
  <c r="AQ610" i="1"/>
  <c r="AQ622" i="1"/>
  <c r="AQ605" i="1"/>
  <c r="AQ616" i="1"/>
  <c r="AQ618" i="1"/>
  <c r="AQ611" i="1"/>
  <c r="AQ628" i="1"/>
  <c r="AQ599" i="1"/>
  <c r="AQ612" i="1"/>
  <c r="AQ601" i="1"/>
  <c r="AQ609" i="1"/>
  <c r="AQ602" i="1"/>
  <c r="AQ596" i="1"/>
  <c r="AQ590" i="1"/>
  <c r="AQ584" i="1"/>
  <c r="AQ617" i="1"/>
  <c r="AQ587" i="1"/>
  <c r="AQ606" i="1"/>
  <c r="AQ604" i="1"/>
  <c r="AQ608" i="1"/>
  <c r="AQ589" i="1"/>
  <c r="AQ593" i="1"/>
  <c r="AQ597" i="1"/>
  <c r="AQ600" i="1"/>
  <c r="AQ577" i="1"/>
  <c r="AQ571" i="1"/>
  <c r="AQ565" i="1"/>
  <c r="AQ559" i="1"/>
  <c r="AQ553" i="1"/>
  <c r="AQ591" i="1"/>
  <c r="AQ583" i="1"/>
  <c r="AQ598" i="1"/>
  <c r="AQ580" i="1"/>
  <c r="AQ574" i="1"/>
  <c r="AQ568" i="1"/>
  <c r="AQ595" i="1"/>
  <c r="AQ594" i="1"/>
  <c r="AQ592" i="1"/>
  <c r="AQ581" i="1"/>
  <c r="AQ579" i="1"/>
  <c r="AQ588" i="1"/>
  <c r="AQ572" i="1"/>
  <c r="AQ578" i="1"/>
  <c r="AQ575" i="1"/>
  <c r="AQ585" i="1"/>
  <c r="AQ562" i="1"/>
  <c r="AQ555" i="1"/>
  <c r="AQ551" i="1"/>
  <c r="AQ545" i="1"/>
  <c r="AQ576" i="1"/>
  <c r="AQ550" i="1"/>
  <c r="AQ544" i="1"/>
  <c r="AQ556" i="1"/>
  <c r="AQ564" i="1"/>
  <c r="AQ560" i="1"/>
  <c r="AQ549" i="1"/>
  <c r="AQ543" i="1"/>
  <c r="AQ561" i="1"/>
  <c r="AQ567" i="1"/>
  <c r="AQ557" i="1"/>
  <c r="AQ542" i="1"/>
  <c r="AQ548" i="1"/>
  <c r="AQ546" i="1"/>
  <c r="AQ536" i="1"/>
  <c r="AQ530" i="1"/>
  <c r="AQ524" i="1"/>
  <c r="AQ512" i="1"/>
  <c r="AQ506" i="1"/>
  <c r="AQ566" i="1"/>
  <c r="AQ563" i="1"/>
  <c r="AQ582" i="1"/>
  <c r="AQ570" i="1"/>
  <c r="AQ547" i="1"/>
  <c r="AQ539" i="1"/>
  <c r="AQ533" i="1"/>
  <c r="AQ573" i="1"/>
  <c r="AQ558" i="1"/>
  <c r="AQ554" i="1"/>
  <c r="AQ541" i="1"/>
  <c r="AQ538" i="1"/>
  <c r="AQ540" i="1"/>
  <c r="AQ529" i="1"/>
  <c r="AQ525" i="1"/>
  <c r="AQ510" i="1"/>
  <c r="AQ532" i="1"/>
  <c r="AQ522" i="1"/>
  <c r="AQ503" i="1"/>
  <c r="AQ498" i="1"/>
  <c r="AQ492" i="1"/>
  <c r="AQ486" i="1"/>
  <c r="AQ480" i="1"/>
  <c r="AQ526" i="1"/>
  <c r="AQ537" i="1"/>
  <c r="AQ534" i="1"/>
  <c r="AQ527" i="1"/>
  <c r="AQ531" i="1"/>
  <c r="AQ520" i="1"/>
  <c r="AQ528" i="1"/>
  <c r="AQ509" i="1"/>
  <c r="AQ519" i="1"/>
  <c r="AQ517" i="1"/>
  <c r="AQ495" i="1"/>
  <c r="AQ515" i="1"/>
  <c r="AQ508" i="1"/>
  <c r="AQ504" i="1"/>
  <c r="AQ499" i="1"/>
  <c r="AQ502" i="1"/>
  <c r="AQ496" i="1"/>
  <c r="AQ513" i="1"/>
  <c r="AQ511" i="1"/>
  <c r="AQ500" i="1"/>
  <c r="AQ489" i="1"/>
  <c r="AQ516" i="1"/>
  <c r="AQ507" i="1"/>
  <c r="AQ523" i="1"/>
  <c r="AQ521" i="1"/>
  <c r="AQ514" i="1"/>
  <c r="AQ482" i="1"/>
  <c r="AQ479" i="1"/>
  <c r="AQ488" i="1"/>
  <c r="AQ494" i="1"/>
  <c r="AQ497" i="1"/>
  <c r="AQ493" i="1"/>
  <c r="AQ505" i="1"/>
  <c r="AQ491" i="1"/>
  <c r="AQ472" i="1"/>
  <c r="AQ466" i="1"/>
  <c r="AQ477" i="1"/>
  <c r="AQ471" i="1"/>
  <c r="AQ483" i="1"/>
  <c r="AQ478" i="1"/>
  <c r="AQ490" i="1"/>
  <c r="AQ487" i="1"/>
  <c r="AQ469" i="1"/>
  <c r="AQ476" i="1"/>
  <c r="AQ456" i="1"/>
  <c r="AQ444" i="1"/>
  <c r="AQ438" i="1"/>
  <c r="AQ432" i="1"/>
  <c r="AQ426" i="1"/>
  <c r="AQ420" i="1"/>
  <c r="AQ414" i="1"/>
  <c r="AQ475" i="1"/>
  <c r="AQ462" i="1"/>
  <c r="AQ461" i="1"/>
  <c r="AQ455" i="1"/>
  <c r="AQ449" i="1"/>
  <c r="AQ443" i="1"/>
  <c r="AQ437" i="1"/>
  <c r="AQ468" i="1"/>
  <c r="AQ463" i="1"/>
  <c r="AQ460" i="1"/>
  <c r="AQ474" i="1"/>
  <c r="AQ481" i="1"/>
  <c r="AQ459" i="1"/>
  <c r="AQ453" i="1"/>
  <c r="AQ447" i="1"/>
  <c r="AQ441" i="1"/>
  <c r="AQ435" i="1"/>
  <c r="AQ429" i="1"/>
  <c r="AQ470" i="1"/>
  <c r="AQ464" i="1"/>
  <c r="AQ473" i="1"/>
  <c r="AQ485" i="1"/>
  <c r="AQ418" i="1"/>
  <c r="AQ442" i="1"/>
  <c r="AQ434" i="1"/>
  <c r="AQ422" i="1"/>
  <c r="AQ445" i="1"/>
  <c r="AQ457" i="1"/>
  <c r="AQ419" i="1"/>
  <c r="AQ415" i="1"/>
  <c r="AQ411" i="1"/>
  <c r="AQ436" i="1"/>
  <c r="AQ425" i="1"/>
  <c r="AQ423" i="1"/>
  <c r="AQ465" i="1"/>
  <c r="AQ431" i="1"/>
  <c r="AQ409" i="1"/>
  <c r="AQ403" i="1"/>
  <c r="AQ397" i="1"/>
  <c r="AQ458" i="1"/>
  <c r="AQ452" i="1"/>
  <c r="AQ446" i="1"/>
  <c r="AQ424" i="1"/>
  <c r="AQ451" i="1"/>
  <c r="AQ448" i="1"/>
  <c r="AQ439" i="1"/>
  <c r="AQ427" i="1"/>
  <c r="AQ417" i="1"/>
  <c r="AQ454" i="1"/>
  <c r="AQ440" i="1"/>
  <c r="AQ430" i="1"/>
  <c r="AQ421" i="1"/>
  <c r="AQ400" i="1"/>
  <c r="AQ388" i="1"/>
  <c r="AQ413" i="1"/>
  <c r="AQ402" i="1"/>
  <c r="AQ393" i="1"/>
  <c r="AQ387" i="1"/>
  <c r="AQ381" i="1"/>
  <c r="AQ375" i="1"/>
  <c r="AQ369" i="1"/>
  <c r="AQ428" i="1"/>
  <c r="AQ405" i="1"/>
  <c r="AQ408" i="1"/>
  <c r="AQ392" i="1"/>
  <c r="AQ386" i="1"/>
  <c r="AQ380" i="1"/>
  <c r="AQ374" i="1"/>
  <c r="AQ368" i="1"/>
  <c r="AQ362" i="1"/>
  <c r="AQ394" i="1"/>
  <c r="AQ401" i="1"/>
  <c r="AQ398" i="1"/>
  <c r="AQ410" i="1"/>
  <c r="AQ407" i="1"/>
  <c r="AQ404" i="1"/>
  <c r="AQ395" i="1"/>
  <c r="AQ390" i="1"/>
  <c r="AQ384" i="1"/>
  <c r="AQ378" i="1"/>
  <c r="AQ372" i="1"/>
  <c r="AQ412" i="1"/>
  <c r="AQ364" i="1"/>
  <c r="AQ358" i="1"/>
  <c r="AQ352" i="1"/>
  <c r="AQ379" i="1"/>
  <c r="AQ371" i="1"/>
  <c r="AQ370" i="1"/>
  <c r="AQ391" i="1"/>
  <c r="AQ357" i="1"/>
  <c r="AQ351" i="1"/>
  <c r="AQ345" i="1"/>
  <c r="AQ339" i="1"/>
  <c r="AQ333" i="1"/>
  <c r="AQ327" i="1"/>
  <c r="AQ321" i="1"/>
  <c r="AQ383" i="1"/>
  <c r="AQ406" i="1"/>
  <c r="AQ366" i="1"/>
  <c r="AQ389" i="1"/>
  <c r="AQ385" i="1"/>
  <c r="AQ376" i="1"/>
  <c r="AQ377" i="1"/>
  <c r="AQ359" i="1"/>
  <c r="AQ353" i="1"/>
  <c r="AQ329" i="1"/>
  <c r="AQ320" i="1"/>
  <c r="AQ308" i="1"/>
  <c r="AQ302" i="1"/>
  <c r="AQ296" i="1"/>
  <c r="AQ337" i="1"/>
  <c r="AQ356" i="1"/>
  <c r="AQ341" i="1"/>
  <c r="AQ326" i="1"/>
  <c r="AQ322" i="1"/>
  <c r="AQ319" i="1"/>
  <c r="AQ313" i="1"/>
  <c r="AQ307" i="1"/>
  <c r="AQ301" i="1"/>
  <c r="AQ396" i="1"/>
  <c r="AQ349" i="1"/>
  <c r="AQ330" i="1"/>
  <c r="AQ354" i="1"/>
  <c r="AQ338" i="1"/>
  <c r="AQ334" i="1"/>
  <c r="AQ318" i="1"/>
  <c r="AQ312" i="1"/>
  <c r="AQ342" i="1"/>
  <c r="AQ323" i="1"/>
  <c r="AQ373" i="1"/>
  <c r="AQ350" i="1"/>
  <c r="AQ346" i="1"/>
  <c r="AQ317" i="1"/>
  <c r="AQ311" i="1"/>
  <c r="AQ305" i="1"/>
  <c r="AQ299" i="1"/>
  <c r="AQ367" i="1"/>
  <c r="AQ363" i="1"/>
  <c r="AQ360" i="1"/>
  <c r="AQ335" i="1"/>
  <c r="AQ355" i="1"/>
  <c r="AQ343" i="1"/>
  <c r="AQ324" i="1"/>
  <c r="AQ316" i="1"/>
  <c r="AQ347" i="1"/>
  <c r="AQ336" i="1"/>
  <c r="AQ315" i="1"/>
  <c r="AQ309" i="1"/>
  <c r="AQ332" i="1"/>
  <c r="AQ361" i="1"/>
  <c r="AQ325" i="1"/>
  <c r="AQ291" i="1"/>
  <c r="AQ285" i="1"/>
  <c r="AQ279" i="1"/>
  <c r="AQ273" i="1"/>
  <c r="AQ267" i="1"/>
  <c r="AQ303" i="1"/>
  <c r="AQ300" i="1"/>
  <c r="AQ290" i="1"/>
  <c r="AQ284" i="1"/>
  <c r="AQ278" i="1"/>
  <c r="AQ272" i="1"/>
  <c r="AQ304" i="1"/>
  <c r="AQ328" i="1"/>
  <c r="AQ310" i="1"/>
  <c r="AQ289" i="1"/>
  <c r="AQ306" i="1"/>
  <c r="AQ288" i="1"/>
  <c r="AQ282" i="1"/>
  <c r="AQ276" i="1"/>
  <c r="AQ270" i="1"/>
  <c r="AQ264" i="1"/>
  <c r="AQ258" i="1"/>
  <c r="AQ252" i="1"/>
  <c r="AQ294" i="1"/>
  <c r="AQ293" i="1"/>
  <c r="AQ287" i="1"/>
  <c r="AQ340" i="1"/>
  <c r="AQ298" i="1"/>
  <c r="AQ344" i="1"/>
  <c r="AQ295" i="1"/>
  <c r="AQ292" i="1"/>
  <c r="AQ286" i="1"/>
  <c r="AQ283" i="1"/>
  <c r="AQ262" i="1"/>
  <c r="AQ247" i="1"/>
  <c r="AQ241" i="1"/>
  <c r="AQ235" i="1"/>
  <c r="AQ223" i="1"/>
  <c r="AQ217" i="1"/>
  <c r="AQ269" i="1"/>
  <c r="AQ266" i="1"/>
  <c r="AQ251" i="1"/>
  <c r="AQ255" i="1"/>
  <c r="AQ240" i="1"/>
  <c r="AQ234" i="1"/>
  <c r="AQ228" i="1"/>
  <c r="AQ259" i="1"/>
  <c r="AQ245" i="1"/>
  <c r="AQ239" i="1"/>
  <c r="AQ233" i="1"/>
  <c r="AQ227" i="1"/>
  <c r="AQ221" i="1"/>
  <c r="AQ277" i="1"/>
  <c r="AQ265" i="1"/>
  <c r="AQ256" i="1"/>
  <c r="AQ275" i="1"/>
  <c r="AQ260" i="1"/>
  <c r="AQ271" i="1"/>
  <c r="AQ257" i="1"/>
  <c r="AQ253" i="1"/>
  <c r="AQ249" i="1"/>
  <c r="AQ250" i="1"/>
  <c r="AQ248" i="1"/>
  <c r="AQ242" i="1"/>
  <c r="AQ236" i="1"/>
  <c r="AQ230" i="1"/>
  <c r="AQ224" i="1"/>
  <c r="AQ218" i="1"/>
  <c r="AQ254" i="1"/>
  <c r="AQ268" i="1"/>
  <c r="AQ237" i="1"/>
  <c r="AQ281" i="1"/>
  <c r="AQ274" i="1"/>
  <c r="AQ231" i="1"/>
  <c r="AQ222" i="1"/>
  <c r="AQ211" i="1"/>
  <c r="AQ205" i="1"/>
  <c r="AQ226" i="1"/>
  <c r="AQ261" i="1"/>
  <c r="AQ216" i="1"/>
  <c r="AQ243" i="1"/>
  <c r="AQ213" i="1"/>
  <c r="AQ209" i="1"/>
  <c r="AQ203" i="1"/>
  <c r="AQ197" i="1"/>
  <c r="AQ244" i="1"/>
  <c r="AQ232" i="1"/>
  <c r="AQ208" i="1"/>
  <c r="AQ202" i="1"/>
  <c r="AQ196" i="1"/>
  <c r="AQ190" i="1"/>
  <c r="AQ184" i="1"/>
  <c r="AQ238" i="1"/>
  <c r="AQ198" i="1"/>
  <c r="AQ183" i="1"/>
  <c r="AQ179" i="1"/>
  <c r="AQ219" i="1"/>
  <c r="AQ187" i="1"/>
  <c r="AQ175" i="1"/>
  <c r="AQ225" i="1"/>
  <c r="AQ206" i="1"/>
  <c r="AQ194" i="1"/>
  <c r="AQ191" i="1"/>
  <c r="AQ215" i="1"/>
  <c r="AQ180" i="1"/>
  <c r="AQ174" i="1"/>
  <c r="AQ168" i="1"/>
  <c r="AQ162" i="1"/>
  <c r="AQ156" i="1"/>
  <c r="AQ150" i="1"/>
  <c r="AQ138" i="1"/>
  <c r="AQ132" i="1"/>
  <c r="AQ207" i="1"/>
  <c r="AQ188" i="1"/>
  <c r="AQ201" i="1"/>
  <c r="AQ199" i="1"/>
  <c r="AQ193" i="1"/>
  <c r="AQ186" i="1"/>
  <c r="AQ189" i="1"/>
  <c r="AQ173" i="1"/>
  <c r="AQ159" i="1"/>
  <c r="AQ157" i="1"/>
  <c r="AQ136" i="1"/>
  <c r="AQ200" i="1"/>
  <c r="AQ185" i="1"/>
  <c r="AQ181" i="1"/>
  <c r="AQ172" i="1"/>
  <c r="AQ160" i="1"/>
  <c r="AQ182" i="1"/>
  <c r="AQ171" i="1"/>
  <c r="AQ147" i="1"/>
  <c r="AQ129" i="1"/>
  <c r="AQ166" i="1"/>
  <c r="AQ141" i="1"/>
  <c r="AQ220" i="1"/>
  <c r="AQ214" i="1"/>
  <c r="AQ177" i="1"/>
  <c r="AQ170" i="1"/>
  <c r="AQ163" i="1"/>
  <c r="AQ130" i="1"/>
  <c r="AQ121" i="1"/>
  <c r="AQ115" i="1"/>
  <c r="AQ164" i="1"/>
  <c r="AQ149" i="1"/>
  <c r="AQ146" i="1"/>
  <c r="AQ134" i="1"/>
  <c r="AQ176" i="1"/>
  <c r="AQ131" i="1"/>
  <c r="AQ192" i="1"/>
  <c r="AQ204" i="1"/>
  <c r="AQ167" i="1"/>
  <c r="AQ165" i="1"/>
  <c r="AQ148" i="1"/>
  <c r="AQ145" i="1"/>
  <c r="AQ143" i="1"/>
  <c r="AQ139" i="1"/>
  <c r="AQ169" i="1"/>
  <c r="AQ155" i="1"/>
  <c r="AQ140" i="1"/>
  <c r="AQ128" i="1"/>
  <c r="AQ123" i="1"/>
  <c r="AQ106" i="1"/>
  <c r="AQ95" i="1"/>
  <c r="AQ84" i="1"/>
  <c r="AQ73" i="1"/>
  <c r="AQ153" i="1"/>
  <c r="AQ151" i="1"/>
  <c r="AQ137" i="1"/>
  <c r="AQ133" i="1"/>
  <c r="AQ113" i="1"/>
  <c r="AQ105" i="1"/>
  <c r="AQ94" i="1"/>
  <c r="AQ83" i="1"/>
  <c r="AQ210" i="1"/>
  <c r="AQ135" i="1"/>
  <c r="AQ117" i="1"/>
  <c r="AQ116" i="1"/>
  <c r="AQ104" i="1"/>
  <c r="AQ93" i="1"/>
  <c r="AQ82" i="1"/>
  <c r="AQ118" i="1"/>
  <c r="AQ103" i="1"/>
  <c r="AQ92" i="1"/>
  <c r="AQ119" i="1"/>
  <c r="AQ111" i="1"/>
  <c r="AQ102" i="1"/>
  <c r="AQ91" i="1"/>
  <c r="AQ120" i="1"/>
  <c r="AQ101" i="1"/>
  <c r="AQ154" i="1"/>
  <c r="AQ100" i="1"/>
  <c r="AQ152" i="1"/>
  <c r="AQ126" i="1"/>
  <c r="AQ112" i="1"/>
  <c r="AQ89" i="1"/>
  <c r="AQ78" i="1"/>
  <c r="AQ158" i="1"/>
  <c r="AQ125" i="1"/>
  <c r="AQ122" i="1"/>
  <c r="AQ88" i="1"/>
  <c r="AQ77" i="1"/>
  <c r="AQ124" i="1"/>
  <c r="AQ114" i="1"/>
  <c r="AQ108" i="1"/>
  <c r="AQ98" i="1"/>
  <c r="AQ87" i="1"/>
  <c r="AQ76" i="1"/>
  <c r="AQ142" i="1"/>
  <c r="AQ97" i="1"/>
  <c r="AQ85" i="1"/>
  <c r="AQ57" i="1"/>
  <c r="AQ46" i="1"/>
  <c r="AQ86" i="1"/>
  <c r="AQ56" i="1"/>
  <c r="AQ107" i="1"/>
  <c r="AQ74" i="1"/>
  <c r="AQ55" i="1"/>
  <c r="AQ69" i="1"/>
  <c r="AQ66" i="1"/>
  <c r="AQ65" i="1"/>
  <c r="AQ38" i="1"/>
  <c r="AQ32" i="1"/>
  <c r="AQ26" i="1"/>
  <c r="AQ20" i="1"/>
  <c r="AQ14" i="1"/>
  <c r="AQ64" i="1"/>
  <c r="AQ53" i="1"/>
  <c r="AQ43" i="1"/>
  <c r="AQ37" i="1"/>
  <c r="AQ31" i="1"/>
  <c r="AQ25" i="1"/>
  <c r="AQ19" i="1"/>
  <c r="AQ80" i="1"/>
  <c r="AQ52" i="1"/>
  <c r="AQ96" i="1"/>
  <c r="AQ75" i="1"/>
  <c r="AQ70" i="1"/>
  <c r="AQ67" i="1"/>
  <c r="AQ62" i="1"/>
  <c r="AQ51" i="1"/>
  <c r="AQ42" i="1"/>
  <c r="AQ36" i="1"/>
  <c r="AQ30" i="1"/>
  <c r="AQ24" i="1"/>
  <c r="AQ18" i="1"/>
  <c r="AQ12" i="1"/>
  <c r="AQ61" i="1"/>
  <c r="AQ60" i="1"/>
  <c r="AQ49" i="1"/>
  <c r="AQ41" i="1"/>
  <c r="AQ59" i="1"/>
  <c r="AQ79" i="1"/>
  <c r="AQ71" i="1"/>
  <c r="AQ68" i="1"/>
  <c r="AQ58" i="1"/>
  <c r="AQ47" i="1"/>
  <c r="AQ40" i="1"/>
  <c r="AQ28" i="1"/>
  <c r="AQ22" i="1"/>
  <c r="AQ16" i="1"/>
  <c r="AQ35" i="1"/>
  <c r="AQ17" i="1"/>
  <c r="AQ10" i="1"/>
  <c r="AQ29" i="1"/>
  <c r="AQ23" i="1"/>
  <c r="AQ48" i="1"/>
  <c r="AQ33" i="1"/>
  <c r="AQ27" i="1"/>
  <c r="AQ15" i="1"/>
  <c r="AQ11" i="1"/>
  <c r="AQ9" i="1"/>
  <c r="AQ50" i="1"/>
  <c r="AQ21" i="1"/>
  <c r="AQ13" i="1"/>
  <c r="AP39" i="1"/>
  <c r="AP399" i="1"/>
  <c r="AP297" i="1"/>
  <c r="AP331" i="1"/>
  <c r="AP365" i="1"/>
  <c r="AP654" i="1"/>
  <c r="AP671" i="1"/>
  <c r="AO109" i="1"/>
  <c r="AP90" i="1"/>
  <c r="AP314" i="1"/>
  <c r="AP535" i="1"/>
  <c r="AP603" i="1"/>
  <c r="AP178" i="1"/>
  <c r="AP229" i="1"/>
  <c r="AP280" i="1"/>
  <c r="AP467" i="1"/>
  <c r="AP586" i="1"/>
  <c r="AP110" i="1"/>
  <c r="AP416" i="1"/>
  <c r="AP569" i="1"/>
  <c r="AP689" i="1"/>
  <c r="AP45" i="1"/>
  <c r="AP99" i="1"/>
  <c r="AP212" i="1"/>
  <c r="AP263" i="1"/>
  <c r="AP433" i="1"/>
  <c r="AP450" i="1"/>
  <c r="AP637" i="1"/>
  <c r="AP620" i="1"/>
  <c r="AP54" i="1"/>
  <c r="AP161" i="1"/>
  <c r="AP127" i="1"/>
  <c r="AP144" i="1"/>
  <c r="AP382" i="1"/>
  <c r="AP518" i="1"/>
  <c r="AP552" i="1"/>
  <c r="AQ331" i="1" l="1"/>
  <c r="AO7" i="1"/>
  <c r="AQ34" i="1"/>
  <c r="AQ314" i="1"/>
  <c r="AO5" i="1"/>
  <c r="AO8" i="1"/>
  <c r="AQ63" i="1"/>
  <c r="AQ144" i="1"/>
  <c r="AQ212" i="1"/>
  <c r="AQ399" i="1"/>
  <c r="AQ72" i="1"/>
  <c r="AQ263" i="1"/>
  <c r="AP44" i="1"/>
  <c r="AQ45" i="1"/>
  <c r="AQ365" i="1"/>
  <c r="AQ689" i="1"/>
  <c r="AQ90" i="1"/>
  <c r="AQ569" i="1"/>
  <c r="AQ671" i="1"/>
  <c r="AQ195" i="1"/>
  <c r="AQ229" i="1"/>
  <c r="AQ348" i="1"/>
  <c r="AQ382" i="1"/>
  <c r="AQ433" i="1"/>
  <c r="AQ501" i="1"/>
  <c r="AS6" i="1"/>
  <c r="AT4" i="1"/>
  <c r="AQ39" i="1"/>
  <c r="AQ110" i="1"/>
  <c r="AQ416" i="1"/>
  <c r="AR702" i="1"/>
  <c r="AR694" i="1"/>
  <c r="AR697" i="1"/>
  <c r="AR703" i="1"/>
  <c r="AR700" i="1"/>
  <c r="AR701" i="1"/>
  <c r="AR696" i="1"/>
  <c r="AR699" i="1"/>
  <c r="AR693" i="1"/>
  <c r="AR682" i="1"/>
  <c r="AR681" i="1"/>
  <c r="AR698" i="1"/>
  <c r="AR686" i="1"/>
  <c r="AR692" i="1"/>
  <c r="AR690" i="1"/>
  <c r="AR687" i="1"/>
  <c r="AR677" i="1"/>
  <c r="AR673" i="1"/>
  <c r="AR691" i="1"/>
  <c r="AR679" i="1"/>
  <c r="AR685" i="1"/>
  <c r="AR684" i="1"/>
  <c r="AR667" i="1"/>
  <c r="AR665" i="1"/>
  <c r="AR676" i="1"/>
  <c r="AR668" i="1"/>
  <c r="AR658" i="1"/>
  <c r="AR669" i="1"/>
  <c r="AR675" i="1"/>
  <c r="AR688" i="1"/>
  <c r="AR678" i="1"/>
  <c r="AR674" i="1"/>
  <c r="AR666" i="1"/>
  <c r="AR659" i="1"/>
  <c r="AR657" i="1"/>
  <c r="AR680" i="1"/>
  <c r="AR672" i="1"/>
  <c r="AR670" i="1"/>
  <c r="AR663" i="1"/>
  <c r="AR651" i="1"/>
  <c r="AR646" i="1"/>
  <c r="AR662" i="1"/>
  <c r="AR660" i="1"/>
  <c r="AR650" i="1"/>
  <c r="AR683" i="1"/>
  <c r="AR652" i="1"/>
  <c r="AR649" i="1"/>
  <c r="AR645" i="1"/>
  <c r="AR635" i="1"/>
  <c r="AR661" i="1"/>
  <c r="AR655" i="1"/>
  <c r="AR648" i="1"/>
  <c r="AR633" i="1"/>
  <c r="AR629" i="1"/>
  <c r="AR656" i="1"/>
  <c r="AR664" i="1"/>
  <c r="AR653" i="1"/>
  <c r="AR642" i="1"/>
  <c r="AR634" i="1"/>
  <c r="AR630" i="1"/>
  <c r="AR643" i="1"/>
  <c r="AR641" i="1"/>
  <c r="AR632" i="1"/>
  <c r="AR627" i="1"/>
  <c r="AR644" i="1"/>
  <c r="AR631" i="1"/>
  <c r="AR647" i="1"/>
  <c r="AR638" i="1"/>
  <c r="AR640" i="1"/>
  <c r="AR617" i="1"/>
  <c r="AR625" i="1"/>
  <c r="AR622" i="1"/>
  <c r="AR626" i="1"/>
  <c r="AR624" i="1"/>
  <c r="AR636" i="1"/>
  <c r="AR613" i="1"/>
  <c r="AR616" i="1"/>
  <c r="AR621" i="1"/>
  <c r="AR619" i="1"/>
  <c r="AR628" i="1"/>
  <c r="AR623" i="1"/>
  <c r="AR639" i="1"/>
  <c r="AR615" i="1"/>
  <c r="AR612" i="1"/>
  <c r="AR607" i="1"/>
  <c r="AR618" i="1"/>
  <c r="AR605" i="1"/>
  <c r="AR600" i="1"/>
  <c r="AR595" i="1"/>
  <c r="AR591" i="1"/>
  <c r="AR611" i="1"/>
  <c r="AR606" i="1"/>
  <c r="AR604" i="1"/>
  <c r="AR610" i="1"/>
  <c r="AR608" i="1"/>
  <c r="AR614" i="1"/>
  <c r="AR602" i="1"/>
  <c r="AR593" i="1"/>
  <c r="AR609" i="1"/>
  <c r="AR597" i="1"/>
  <c r="AR601" i="1"/>
  <c r="AR598" i="1"/>
  <c r="AR596" i="1"/>
  <c r="AR583" i="1"/>
  <c r="AR599" i="1"/>
  <c r="AR594" i="1"/>
  <c r="AR592" i="1"/>
  <c r="AR587" i="1"/>
  <c r="AR584" i="1"/>
  <c r="AR581" i="1"/>
  <c r="AR590" i="1"/>
  <c r="AR573" i="1"/>
  <c r="AR588" i="1"/>
  <c r="AR589" i="1"/>
  <c r="AR578" i="1"/>
  <c r="AR575" i="1"/>
  <c r="AR582" i="1"/>
  <c r="AR580" i="1"/>
  <c r="AR555" i="1"/>
  <c r="AR551" i="1"/>
  <c r="AR545" i="1"/>
  <c r="AR577" i="1"/>
  <c r="AR559" i="1"/>
  <c r="AR576" i="1"/>
  <c r="AR568" i="1"/>
  <c r="AR556" i="1"/>
  <c r="AR564" i="1"/>
  <c r="AR560" i="1"/>
  <c r="AR565" i="1"/>
  <c r="AR572" i="1"/>
  <c r="AR571" i="1"/>
  <c r="AR585" i="1"/>
  <c r="AR567" i="1"/>
  <c r="AR570" i="1"/>
  <c r="AR548" i="1"/>
  <c r="AR546" i="1"/>
  <c r="AR566" i="1"/>
  <c r="AR550" i="1"/>
  <c r="AR579" i="1"/>
  <c r="AR574" i="1"/>
  <c r="AR563" i="1"/>
  <c r="AR543" i="1"/>
  <c r="AR562" i="1"/>
  <c r="AR549" i="1"/>
  <c r="AR561" i="1"/>
  <c r="AR558" i="1"/>
  <c r="AR557" i="1"/>
  <c r="AR544" i="1"/>
  <c r="AR542" i="1"/>
  <c r="AR540" i="1"/>
  <c r="AR521" i="1"/>
  <c r="AR529" i="1"/>
  <c r="AR525" i="1"/>
  <c r="AR554" i="1"/>
  <c r="AR532" i="1"/>
  <c r="AR514" i="1"/>
  <c r="AR536" i="1"/>
  <c r="AR526" i="1"/>
  <c r="AR511" i="1"/>
  <c r="AR507" i="1"/>
  <c r="AR537" i="1"/>
  <c r="AR530" i="1"/>
  <c r="AR534" i="1"/>
  <c r="AR527" i="1"/>
  <c r="AR531" i="1"/>
  <c r="AR547" i="1"/>
  <c r="AR539" i="1"/>
  <c r="AR553" i="1"/>
  <c r="AR528" i="1"/>
  <c r="AR524" i="1"/>
  <c r="AR541" i="1"/>
  <c r="AR538" i="1"/>
  <c r="AR533" i="1"/>
  <c r="AR517" i="1"/>
  <c r="AR513" i="1"/>
  <c r="AR515" i="1"/>
  <c r="AR508" i="1"/>
  <c r="AR504" i="1"/>
  <c r="AR503" i="1"/>
  <c r="AR499" i="1"/>
  <c r="AR505" i="1"/>
  <c r="AR506" i="1"/>
  <c r="AR500" i="1"/>
  <c r="AR485" i="1"/>
  <c r="AR497" i="1"/>
  <c r="AR493" i="1"/>
  <c r="AR516" i="1"/>
  <c r="AR509" i="1"/>
  <c r="AR523" i="1"/>
  <c r="AR522" i="1"/>
  <c r="AR498" i="1"/>
  <c r="AR520" i="1"/>
  <c r="AR512" i="1"/>
  <c r="AR519" i="1"/>
  <c r="AR510" i="1"/>
  <c r="AR496" i="1"/>
  <c r="AR495" i="1"/>
  <c r="AR488" i="1"/>
  <c r="AR494" i="1"/>
  <c r="AR491" i="1"/>
  <c r="AR489" i="1"/>
  <c r="AR502" i="1"/>
  <c r="AR481" i="1"/>
  <c r="AR492" i="1"/>
  <c r="AR486" i="1"/>
  <c r="AR490" i="1"/>
  <c r="AR487" i="1"/>
  <c r="AR476" i="1"/>
  <c r="AR456" i="1"/>
  <c r="AR475" i="1"/>
  <c r="AR472" i="1"/>
  <c r="AR462" i="1"/>
  <c r="AR477" i="1"/>
  <c r="AR466" i="1"/>
  <c r="AR461" i="1"/>
  <c r="AR455" i="1"/>
  <c r="AR449" i="1"/>
  <c r="AR468" i="1"/>
  <c r="AR479" i="1"/>
  <c r="AR471" i="1"/>
  <c r="AR463" i="1"/>
  <c r="AR460" i="1"/>
  <c r="AR482" i="1"/>
  <c r="AR474" i="1"/>
  <c r="AR459" i="1"/>
  <c r="AR470" i="1"/>
  <c r="AR464" i="1"/>
  <c r="AR473" i="1"/>
  <c r="AR483" i="1"/>
  <c r="AR465" i="1"/>
  <c r="AR480" i="1"/>
  <c r="AR478" i="1"/>
  <c r="AR469" i="1"/>
  <c r="AR441" i="1"/>
  <c r="AR418" i="1"/>
  <c r="AR442" i="1"/>
  <c r="AR434" i="1"/>
  <c r="AR426" i="1"/>
  <c r="AR422" i="1"/>
  <c r="AR412" i="1"/>
  <c r="AR406" i="1"/>
  <c r="AR445" i="1"/>
  <c r="AR429" i="1"/>
  <c r="AR457" i="1"/>
  <c r="AR447" i="1"/>
  <c r="AR443" i="1"/>
  <c r="AR435" i="1"/>
  <c r="AR432" i="1"/>
  <c r="AR419" i="1"/>
  <c r="AR415" i="1"/>
  <c r="AR436" i="1"/>
  <c r="AR425" i="1"/>
  <c r="AR423" i="1"/>
  <c r="AR428" i="1"/>
  <c r="AR458" i="1"/>
  <c r="AR453" i="1"/>
  <c r="AR452" i="1"/>
  <c r="AR446" i="1"/>
  <c r="AR444" i="1"/>
  <c r="AR438" i="1"/>
  <c r="AR424" i="1"/>
  <c r="AR451" i="1"/>
  <c r="AR448" i="1"/>
  <c r="AR439" i="1"/>
  <c r="AR427" i="1"/>
  <c r="AR454" i="1"/>
  <c r="AR440" i="1"/>
  <c r="AR430" i="1"/>
  <c r="AR421" i="1"/>
  <c r="AR413" i="1"/>
  <c r="AR431" i="1"/>
  <c r="AR417" i="1"/>
  <c r="AR402" i="1"/>
  <c r="AR393" i="1"/>
  <c r="AR420" i="1"/>
  <c r="AR405" i="1"/>
  <c r="AR397" i="1"/>
  <c r="AR408" i="1"/>
  <c r="AR394" i="1"/>
  <c r="AR409" i="1"/>
  <c r="AR401" i="1"/>
  <c r="AR398" i="1"/>
  <c r="AR391" i="1"/>
  <c r="AR410" i="1"/>
  <c r="AR407" i="1"/>
  <c r="AR404" i="1"/>
  <c r="AR414" i="1"/>
  <c r="AR395" i="1"/>
  <c r="AR390" i="1"/>
  <c r="AR437" i="1"/>
  <c r="AR392" i="1"/>
  <c r="AR378" i="1"/>
  <c r="AR368" i="1"/>
  <c r="AR379" i="1"/>
  <c r="AR371" i="1"/>
  <c r="AR370" i="1"/>
  <c r="AR403" i="1"/>
  <c r="AR383" i="1"/>
  <c r="AR380" i="1"/>
  <c r="AR372" i="1"/>
  <c r="AR373" i="1"/>
  <c r="AR411" i="1"/>
  <c r="AR396" i="1"/>
  <c r="AR374" i="1"/>
  <c r="AR375" i="1"/>
  <c r="AR367" i="1"/>
  <c r="AR363" i="1"/>
  <c r="AR360" i="1"/>
  <c r="AR400" i="1"/>
  <c r="AR376" i="1"/>
  <c r="AR388" i="1"/>
  <c r="AR384" i="1"/>
  <c r="AR377" i="1"/>
  <c r="AR364" i="1"/>
  <c r="AR385" i="1"/>
  <c r="AR352" i="1"/>
  <c r="AR337" i="1"/>
  <c r="AR333" i="1"/>
  <c r="AR356" i="1"/>
  <c r="AR341" i="1"/>
  <c r="AR326" i="1"/>
  <c r="AR322" i="1"/>
  <c r="AR319" i="1"/>
  <c r="AR359" i="1"/>
  <c r="AR353" i="1"/>
  <c r="AR349" i="1"/>
  <c r="AR345" i="1"/>
  <c r="AR330" i="1"/>
  <c r="AR354" i="1"/>
  <c r="AR338" i="1"/>
  <c r="AR334" i="1"/>
  <c r="AR387" i="1"/>
  <c r="AR342" i="1"/>
  <c r="AR323" i="1"/>
  <c r="AR369" i="1"/>
  <c r="AR350" i="1"/>
  <c r="AR346" i="1"/>
  <c r="AR327" i="1"/>
  <c r="AR317" i="1"/>
  <c r="AR366" i="1"/>
  <c r="AR362" i="1"/>
  <c r="AR335" i="1"/>
  <c r="AR355" i="1"/>
  <c r="AR343" i="1"/>
  <c r="AR339" i="1"/>
  <c r="AR324" i="1"/>
  <c r="AR386" i="1"/>
  <c r="AR347" i="1"/>
  <c r="AR332" i="1"/>
  <c r="AR328" i="1"/>
  <c r="AR389" i="1"/>
  <c r="AR381" i="1"/>
  <c r="AR361" i="1"/>
  <c r="AR344" i="1"/>
  <c r="AR340" i="1"/>
  <c r="AR325" i="1"/>
  <c r="AR321" i="1"/>
  <c r="AR358" i="1"/>
  <c r="AR313" i="1"/>
  <c r="AR291" i="1"/>
  <c r="AR285" i="1"/>
  <c r="AR279" i="1"/>
  <c r="AR273" i="1"/>
  <c r="AR302" i="1"/>
  <c r="AR304" i="1"/>
  <c r="AR357" i="1"/>
  <c r="AR320" i="1"/>
  <c r="AR318" i="1"/>
  <c r="AR311" i="1"/>
  <c r="AR310" i="1"/>
  <c r="AR289" i="1"/>
  <c r="AR283" i="1"/>
  <c r="AR277" i="1"/>
  <c r="AR271" i="1"/>
  <c r="AR309" i="1"/>
  <c r="AR308" i="1"/>
  <c r="AR307" i="1"/>
  <c r="AR305" i="1"/>
  <c r="AR296" i="1"/>
  <c r="AR336" i="1"/>
  <c r="AR306" i="1"/>
  <c r="AR299" i="1"/>
  <c r="AR288" i="1"/>
  <c r="AR329" i="1"/>
  <c r="AR316" i="1"/>
  <c r="AR312" i="1"/>
  <c r="AR294" i="1"/>
  <c r="AR351" i="1"/>
  <c r="AR293" i="1"/>
  <c r="AR298" i="1"/>
  <c r="AR315" i="1"/>
  <c r="AR295" i="1"/>
  <c r="AR292" i="1"/>
  <c r="AR286" i="1"/>
  <c r="AR301" i="1"/>
  <c r="AR269" i="1"/>
  <c r="AR266" i="1"/>
  <c r="AR251" i="1"/>
  <c r="AR303" i="1"/>
  <c r="AR255" i="1"/>
  <c r="AR240" i="1"/>
  <c r="AR284" i="1"/>
  <c r="AR267" i="1"/>
  <c r="AR259" i="1"/>
  <c r="AR245" i="1"/>
  <c r="AR239" i="1"/>
  <c r="AR300" i="1"/>
  <c r="AR278" i="1"/>
  <c r="AR265" i="1"/>
  <c r="AR256" i="1"/>
  <c r="AR252" i="1"/>
  <c r="AR276" i="1"/>
  <c r="AR275" i="1"/>
  <c r="AR260" i="1"/>
  <c r="AR244" i="1"/>
  <c r="AR238" i="1"/>
  <c r="AR281" i="1"/>
  <c r="AR274" i="1"/>
  <c r="AR268" i="1"/>
  <c r="AR270" i="1"/>
  <c r="AR264" i="1"/>
  <c r="AR261" i="1"/>
  <c r="AR254" i="1"/>
  <c r="AR290" i="1"/>
  <c r="AR282" i="1"/>
  <c r="AR262" i="1"/>
  <c r="AR258" i="1"/>
  <c r="AR247" i="1"/>
  <c r="AR237" i="1"/>
  <c r="AR287" i="1"/>
  <c r="AR250" i="1"/>
  <c r="AR231" i="1"/>
  <c r="AR222" i="1"/>
  <c r="AR211" i="1"/>
  <c r="AR205" i="1"/>
  <c r="AR241" i="1"/>
  <c r="AR236" i="1"/>
  <c r="AR272" i="1"/>
  <c r="AR253" i="1"/>
  <c r="AR249" i="1"/>
  <c r="AR235" i="1"/>
  <c r="AR243" i="1"/>
  <c r="AR233" i="1"/>
  <c r="AR228" i="1"/>
  <c r="AR224" i="1"/>
  <c r="AR213" i="1"/>
  <c r="AR209" i="1"/>
  <c r="AR217" i="1"/>
  <c r="AR232" i="1"/>
  <c r="AR230" i="1"/>
  <c r="AR208" i="1"/>
  <c r="AR257" i="1"/>
  <c r="AR248" i="1"/>
  <c r="AR234" i="1"/>
  <c r="AR218" i="1"/>
  <c r="AR214" i="1"/>
  <c r="AR225" i="1"/>
  <c r="AR219" i="1"/>
  <c r="AR187" i="1"/>
  <c r="AR175" i="1"/>
  <c r="AR169" i="1"/>
  <c r="AR163" i="1"/>
  <c r="AR216" i="1"/>
  <c r="AR206" i="1"/>
  <c r="AR194" i="1"/>
  <c r="AR191" i="1"/>
  <c r="AR215" i="1"/>
  <c r="AR180" i="1"/>
  <c r="AR174" i="1"/>
  <c r="AR168" i="1"/>
  <c r="AR162" i="1"/>
  <c r="AR156" i="1"/>
  <c r="AR150" i="1"/>
  <c r="AR242" i="1"/>
  <c r="AR221" i="1"/>
  <c r="AR207" i="1"/>
  <c r="AR197" i="1"/>
  <c r="AR188" i="1"/>
  <c r="AR184" i="1"/>
  <c r="AR203" i="1"/>
  <c r="AR192" i="1"/>
  <c r="AR210" i="1"/>
  <c r="AR182" i="1"/>
  <c r="AR177" i="1"/>
  <c r="AR171" i="1"/>
  <c r="AR165" i="1"/>
  <c r="AR227" i="1"/>
  <c r="AR204" i="1"/>
  <c r="AR190" i="1"/>
  <c r="AR176" i="1"/>
  <c r="AR200" i="1"/>
  <c r="AR186" i="1"/>
  <c r="AR185" i="1"/>
  <c r="AR181" i="1"/>
  <c r="AR172" i="1"/>
  <c r="AR160" i="1"/>
  <c r="AR140" i="1"/>
  <c r="AR123" i="1"/>
  <c r="AR117" i="1"/>
  <c r="AR111" i="1"/>
  <c r="AR223" i="1"/>
  <c r="AR183" i="1"/>
  <c r="AR153" i="1"/>
  <c r="AR137" i="1"/>
  <c r="AR133" i="1"/>
  <c r="AR226" i="1"/>
  <c r="AR202" i="1"/>
  <c r="AR196" i="1"/>
  <c r="AR220" i="1"/>
  <c r="AR170" i="1"/>
  <c r="AR130" i="1"/>
  <c r="AR121" i="1"/>
  <c r="AR164" i="1"/>
  <c r="AR149" i="1"/>
  <c r="AR146" i="1"/>
  <c r="AR134" i="1"/>
  <c r="AR155" i="1"/>
  <c r="AR152" i="1"/>
  <c r="AR142" i="1"/>
  <c r="AR138" i="1"/>
  <c r="AR198" i="1"/>
  <c r="AR135" i="1"/>
  <c r="AR125" i="1"/>
  <c r="AR199" i="1"/>
  <c r="AR167" i="1"/>
  <c r="AR148" i="1"/>
  <c r="AR193" i="1"/>
  <c r="AR158" i="1"/>
  <c r="AR154" i="1"/>
  <c r="AR151" i="1"/>
  <c r="AR189" i="1"/>
  <c r="AR173" i="1"/>
  <c r="AR166" i="1"/>
  <c r="AR157" i="1"/>
  <c r="AR136" i="1"/>
  <c r="AR113" i="1"/>
  <c r="AR105" i="1"/>
  <c r="AR94" i="1"/>
  <c r="AR83" i="1"/>
  <c r="AR129" i="1"/>
  <c r="AR116" i="1"/>
  <c r="AR104" i="1"/>
  <c r="AR93" i="1"/>
  <c r="AR82" i="1"/>
  <c r="AR118" i="1"/>
  <c r="AR103" i="1"/>
  <c r="AR92" i="1"/>
  <c r="AR119" i="1"/>
  <c r="AR102" i="1"/>
  <c r="AR91" i="1"/>
  <c r="AR159" i="1"/>
  <c r="AR147" i="1"/>
  <c r="AR120" i="1"/>
  <c r="AR101" i="1"/>
  <c r="AR80" i="1"/>
  <c r="AR132" i="1"/>
  <c r="AR115" i="1"/>
  <c r="AR100" i="1"/>
  <c r="AR99" i="1" s="1"/>
  <c r="AR126" i="1"/>
  <c r="AR112" i="1"/>
  <c r="AR89" i="1"/>
  <c r="AR122" i="1"/>
  <c r="AR88" i="1"/>
  <c r="AR77" i="1"/>
  <c r="AR201" i="1"/>
  <c r="AR179" i="1"/>
  <c r="AR131" i="1"/>
  <c r="AR124" i="1"/>
  <c r="AR114" i="1"/>
  <c r="AR108" i="1"/>
  <c r="AR98" i="1"/>
  <c r="AR87" i="1"/>
  <c r="AR76" i="1"/>
  <c r="AR143" i="1"/>
  <c r="AR97" i="1"/>
  <c r="AR86" i="1"/>
  <c r="AR107" i="1"/>
  <c r="AR96" i="1"/>
  <c r="AR145" i="1"/>
  <c r="AR95" i="1"/>
  <c r="AR56" i="1"/>
  <c r="AR33" i="1"/>
  <c r="AR27" i="1"/>
  <c r="AR21" i="1"/>
  <c r="AR15" i="1"/>
  <c r="AR9" i="1"/>
  <c r="AR74" i="1"/>
  <c r="AR55" i="1"/>
  <c r="AR69" i="1"/>
  <c r="AR66" i="1"/>
  <c r="AR65" i="1"/>
  <c r="AR38" i="1"/>
  <c r="AR32" i="1"/>
  <c r="AR26" i="1"/>
  <c r="AR20" i="1"/>
  <c r="AR14" i="1"/>
  <c r="AR64" i="1"/>
  <c r="AR139" i="1"/>
  <c r="AR52" i="1"/>
  <c r="AR128" i="1"/>
  <c r="AR75" i="1"/>
  <c r="AR70" i="1"/>
  <c r="AR67" i="1"/>
  <c r="AR62" i="1"/>
  <c r="AR51" i="1"/>
  <c r="AR42" i="1"/>
  <c r="AR36" i="1"/>
  <c r="AR30" i="1"/>
  <c r="AR24" i="1"/>
  <c r="AR106" i="1"/>
  <c r="AR78" i="1"/>
  <c r="AR61" i="1"/>
  <c r="AR50" i="1"/>
  <c r="AR73" i="1"/>
  <c r="AR60" i="1"/>
  <c r="AR59" i="1"/>
  <c r="AR48" i="1"/>
  <c r="AR84" i="1"/>
  <c r="AR79" i="1"/>
  <c r="AR71" i="1"/>
  <c r="AR68" i="1"/>
  <c r="AR141" i="1"/>
  <c r="AR85" i="1"/>
  <c r="AR57" i="1"/>
  <c r="AR46" i="1"/>
  <c r="AR29" i="1"/>
  <c r="AR19" i="1"/>
  <c r="AR10" i="1"/>
  <c r="AR40" i="1"/>
  <c r="AR12" i="1"/>
  <c r="AR49" i="1"/>
  <c r="AR23" i="1"/>
  <c r="AR17" i="1"/>
  <c r="AR28" i="1"/>
  <c r="AR35" i="1"/>
  <c r="AR37" i="1"/>
  <c r="AR18" i="1"/>
  <c r="AR22" i="1"/>
  <c r="AR11" i="1"/>
  <c r="AR53" i="1"/>
  <c r="AR47" i="1"/>
  <c r="AR41" i="1"/>
  <c r="AR16" i="1"/>
  <c r="AR13" i="1"/>
  <c r="AR58" i="1"/>
  <c r="AR31" i="1"/>
  <c r="AR43" i="1"/>
  <c r="AR25" i="1"/>
  <c r="AP109" i="1"/>
  <c r="AQ127" i="1"/>
  <c r="AQ297" i="1"/>
  <c r="AQ484" i="1"/>
  <c r="AQ654" i="1"/>
  <c r="AQ603" i="1"/>
  <c r="AQ620" i="1"/>
  <c r="AQ54" i="1"/>
  <c r="AQ450" i="1"/>
  <c r="AQ467" i="1"/>
  <c r="AQ637" i="1"/>
  <c r="AQ81" i="1"/>
  <c r="AQ161" i="1"/>
  <c r="AQ178" i="1"/>
  <c r="AQ280" i="1"/>
  <c r="AQ552" i="1"/>
  <c r="AQ586" i="1"/>
  <c r="AQ99" i="1"/>
  <c r="AQ246" i="1"/>
  <c r="AQ518" i="1"/>
  <c r="AQ535" i="1"/>
  <c r="AR297" i="1" l="1"/>
  <c r="AR620" i="1"/>
  <c r="AR178" i="1"/>
  <c r="AR416" i="1"/>
  <c r="AR637" i="1"/>
  <c r="AR695" i="1"/>
  <c r="AP7" i="1"/>
  <c r="AP5" i="1" s="1"/>
  <c r="AR110" i="1"/>
  <c r="AR246" i="1"/>
  <c r="AS702" i="1"/>
  <c r="AS696" i="1"/>
  <c r="AS690" i="1"/>
  <c r="AS701" i="1"/>
  <c r="AS684" i="1"/>
  <c r="AS697" i="1"/>
  <c r="AS703" i="1"/>
  <c r="AS700" i="1"/>
  <c r="AS691" i="1"/>
  <c r="AS699" i="1"/>
  <c r="AS694" i="1"/>
  <c r="AS685" i="1"/>
  <c r="AS698" i="1"/>
  <c r="AS686" i="1"/>
  <c r="AS692" i="1"/>
  <c r="AS683" i="1"/>
  <c r="AS688" i="1"/>
  <c r="AS693" i="1"/>
  <c r="AS682" i="1"/>
  <c r="AS678" i="1"/>
  <c r="AS673" i="1"/>
  <c r="AS665" i="1"/>
  <c r="AS659" i="1"/>
  <c r="AS653" i="1"/>
  <c r="AS687" i="1"/>
  <c r="AS670" i="1"/>
  <c r="AS664" i="1"/>
  <c r="AS658" i="1"/>
  <c r="AS679" i="1"/>
  <c r="AS680" i="1"/>
  <c r="AS675" i="1"/>
  <c r="AS667" i="1"/>
  <c r="AS674" i="1"/>
  <c r="AS676" i="1"/>
  <c r="AS668" i="1"/>
  <c r="AS677" i="1"/>
  <c r="AS669" i="1"/>
  <c r="AS666" i="1"/>
  <c r="AS662" i="1"/>
  <c r="AS681" i="1"/>
  <c r="AS672" i="1"/>
  <c r="AS663" i="1"/>
  <c r="AS646" i="1"/>
  <c r="AS640" i="1"/>
  <c r="AS634" i="1"/>
  <c r="AS628" i="1"/>
  <c r="AS660" i="1"/>
  <c r="AS650" i="1"/>
  <c r="AS657" i="1"/>
  <c r="AS644" i="1"/>
  <c r="AS638" i="1"/>
  <c r="AS661" i="1"/>
  <c r="AS655" i="1"/>
  <c r="AS651" i="1"/>
  <c r="AS648" i="1"/>
  <c r="AS656" i="1"/>
  <c r="AS652" i="1"/>
  <c r="AS643" i="1"/>
  <c r="AS622" i="1"/>
  <c r="AS613" i="1"/>
  <c r="AS623" i="1"/>
  <c r="AS612" i="1"/>
  <c r="AS606" i="1"/>
  <c r="AS647" i="1"/>
  <c r="AS645" i="1"/>
  <c r="AS636" i="1"/>
  <c r="AS649" i="1"/>
  <c r="AS625" i="1"/>
  <c r="AS641" i="1"/>
  <c r="AS633" i="1"/>
  <c r="AS618" i="1"/>
  <c r="AS642" i="1"/>
  <c r="AS630" i="1"/>
  <c r="AS626" i="1"/>
  <c r="AS624" i="1"/>
  <c r="AS616" i="1"/>
  <c r="AS632" i="1"/>
  <c r="AS627" i="1"/>
  <c r="AS635" i="1"/>
  <c r="AS631" i="1"/>
  <c r="AS604" i="1"/>
  <c r="AS609" i="1"/>
  <c r="AS617" i="1"/>
  <c r="AS611" i="1"/>
  <c r="AS607" i="1"/>
  <c r="AS629" i="1"/>
  <c r="AS639" i="1"/>
  <c r="AS601" i="1"/>
  <c r="AS598" i="1"/>
  <c r="AS614" i="1"/>
  <c r="AS605" i="1"/>
  <c r="AS610" i="1"/>
  <c r="AS595" i="1"/>
  <c r="AS589" i="1"/>
  <c r="AS583" i="1"/>
  <c r="AS619" i="1"/>
  <c r="AS621" i="1"/>
  <c r="AS600" i="1"/>
  <c r="AS615" i="1"/>
  <c r="AS608" i="1"/>
  <c r="AS597" i="1"/>
  <c r="AS596" i="1"/>
  <c r="AS594" i="1"/>
  <c r="AS593" i="1"/>
  <c r="AS591" i="1"/>
  <c r="AS576" i="1"/>
  <c r="AS570" i="1"/>
  <c r="AS564" i="1"/>
  <c r="AS558" i="1"/>
  <c r="AS585" i="1"/>
  <c r="AS599" i="1"/>
  <c r="AS592" i="1"/>
  <c r="AS587" i="1"/>
  <c r="AS584" i="1"/>
  <c r="AS581" i="1"/>
  <c r="AS590" i="1"/>
  <c r="AS579" i="1"/>
  <c r="AS573" i="1"/>
  <c r="AS567" i="1"/>
  <c r="AS602" i="1"/>
  <c r="AS577" i="1"/>
  <c r="AS578" i="1"/>
  <c r="AS575" i="1"/>
  <c r="AS565" i="1"/>
  <c r="AS568" i="1"/>
  <c r="AS580" i="1"/>
  <c r="AS574" i="1"/>
  <c r="AS559" i="1"/>
  <c r="AS550" i="1"/>
  <c r="AS544" i="1"/>
  <c r="AS556" i="1"/>
  <c r="AS560" i="1"/>
  <c r="AS549" i="1"/>
  <c r="AS543" i="1"/>
  <c r="AS582" i="1"/>
  <c r="AS566" i="1"/>
  <c r="AS563" i="1"/>
  <c r="AS557" i="1"/>
  <c r="AS553" i="1"/>
  <c r="AS548" i="1"/>
  <c r="AS588" i="1"/>
  <c r="AS562" i="1"/>
  <c r="AS555" i="1"/>
  <c r="AS529" i="1"/>
  <c r="AS523" i="1"/>
  <c r="AS517" i="1"/>
  <c r="AS511" i="1"/>
  <c r="AS505" i="1"/>
  <c r="AS572" i="1"/>
  <c r="AS547" i="1"/>
  <c r="AS538" i="1"/>
  <c r="AS532" i="1"/>
  <c r="AS561" i="1"/>
  <c r="AS571" i="1"/>
  <c r="AS546" i="1"/>
  <c r="AS525" i="1"/>
  <c r="AS554" i="1"/>
  <c r="AS551" i="1"/>
  <c r="AS542" i="1"/>
  <c r="AS545" i="1"/>
  <c r="AS536" i="1"/>
  <c r="AS522" i="1"/>
  <c r="AS503" i="1"/>
  <c r="AS526" i="1"/>
  <c r="AS537" i="1"/>
  <c r="AS530" i="1"/>
  <c r="AS515" i="1"/>
  <c r="AS497" i="1"/>
  <c r="AS491" i="1"/>
  <c r="AS485" i="1"/>
  <c r="AS479" i="1"/>
  <c r="AS519" i="1"/>
  <c r="AS534" i="1"/>
  <c r="AS527" i="1"/>
  <c r="AS531" i="1"/>
  <c r="AS539" i="1"/>
  <c r="AS520" i="1"/>
  <c r="AS528" i="1"/>
  <c r="AS541" i="1"/>
  <c r="AS533" i="1"/>
  <c r="AS540" i="1"/>
  <c r="AS521" i="1"/>
  <c r="AS488" i="1"/>
  <c r="AS524" i="1"/>
  <c r="AS502" i="1"/>
  <c r="AS496" i="1"/>
  <c r="AS513" i="1"/>
  <c r="AS489" i="1"/>
  <c r="AS493" i="1"/>
  <c r="AS516" i="1"/>
  <c r="AS509" i="1"/>
  <c r="AS507" i="1"/>
  <c r="AS514" i="1"/>
  <c r="AS512" i="1"/>
  <c r="AS510" i="1"/>
  <c r="AS508" i="1"/>
  <c r="AS504" i="1"/>
  <c r="AS495" i="1"/>
  <c r="AS494" i="1"/>
  <c r="AS498" i="1"/>
  <c r="AS499" i="1"/>
  <c r="AS477" i="1"/>
  <c r="AS471" i="1"/>
  <c r="AS465" i="1"/>
  <c r="AS483" i="1"/>
  <c r="AS476" i="1"/>
  <c r="AS470" i="1"/>
  <c r="AS506" i="1"/>
  <c r="AS500" i="1"/>
  <c r="AS490" i="1"/>
  <c r="AS487" i="1"/>
  <c r="AS482" i="1"/>
  <c r="AS475" i="1"/>
  <c r="AS472" i="1"/>
  <c r="AS462" i="1"/>
  <c r="AS466" i="1"/>
  <c r="AS461" i="1"/>
  <c r="AS455" i="1"/>
  <c r="AS449" i="1"/>
  <c r="AS443" i="1"/>
  <c r="AS437" i="1"/>
  <c r="AS431" i="1"/>
  <c r="AS425" i="1"/>
  <c r="AS419" i="1"/>
  <c r="AS468" i="1"/>
  <c r="AS463" i="1"/>
  <c r="AS460" i="1"/>
  <c r="AS454" i="1"/>
  <c r="AS448" i="1"/>
  <c r="AS442" i="1"/>
  <c r="AS436" i="1"/>
  <c r="AS474" i="1"/>
  <c r="AS492" i="1"/>
  <c r="AS459" i="1"/>
  <c r="AS486" i="1"/>
  <c r="AS481" i="1"/>
  <c r="AS464" i="1"/>
  <c r="AS458" i="1"/>
  <c r="AS452" i="1"/>
  <c r="AS446" i="1"/>
  <c r="AS440" i="1"/>
  <c r="AS434" i="1"/>
  <c r="AS428" i="1"/>
  <c r="AS473" i="1"/>
  <c r="AS480" i="1"/>
  <c r="AS478" i="1"/>
  <c r="AS469" i="1"/>
  <c r="AS426" i="1"/>
  <c r="AS422" i="1"/>
  <c r="AS445" i="1"/>
  <c r="AS429" i="1"/>
  <c r="AS457" i="1"/>
  <c r="AS447" i="1"/>
  <c r="AS435" i="1"/>
  <c r="AS432" i="1"/>
  <c r="AS415" i="1"/>
  <c r="AS423" i="1"/>
  <c r="AS456" i="1"/>
  <c r="AS410" i="1"/>
  <c r="AS453" i="1"/>
  <c r="AS444" i="1"/>
  <c r="AS438" i="1"/>
  <c r="AS424" i="1"/>
  <c r="AS451" i="1"/>
  <c r="AS439" i="1"/>
  <c r="AS427" i="1"/>
  <c r="AS417" i="1"/>
  <c r="AS408" i="1"/>
  <c r="AS402" i="1"/>
  <c r="AS396" i="1"/>
  <c r="AS430" i="1"/>
  <c r="AS421" i="1"/>
  <c r="AS441" i="1"/>
  <c r="AS418" i="1"/>
  <c r="AS414" i="1"/>
  <c r="AS393" i="1"/>
  <c r="AS387" i="1"/>
  <c r="AS420" i="1"/>
  <c r="AS413" i="1"/>
  <c r="AS405" i="1"/>
  <c r="AS397" i="1"/>
  <c r="AS392" i="1"/>
  <c r="AS386" i="1"/>
  <c r="AS380" i="1"/>
  <c r="AS374" i="1"/>
  <c r="AS394" i="1"/>
  <c r="AS409" i="1"/>
  <c r="AS401" i="1"/>
  <c r="AS398" i="1"/>
  <c r="AS391" i="1"/>
  <c r="AS385" i="1"/>
  <c r="AS379" i="1"/>
  <c r="AS373" i="1"/>
  <c r="AS367" i="1"/>
  <c r="AS407" i="1"/>
  <c r="AS404" i="1"/>
  <c r="AS395" i="1"/>
  <c r="AS389" i="1"/>
  <c r="AS383" i="1"/>
  <c r="AS377" i="1"/>
  <c r="AS371" i="1"/>
  <c r="AS412" i="1"/>
  <c r="AS403" i="1"/>
  <c r="AS411" i="1"/>
  <c r="AS406" i="1"/>
  <c r="AS370" i="1"/>
  <c r="AS357" i="1"/>
  <c r="AS351" i="1"/>
  <c r="AS372" i="1"/>
  <c r="AS356" i="1"/>
  <c r="AS350" i="1"/>
  <c r="AS344" i="1"/>
  <c r="AS338" i="1"/>
  <c r="AS332" i="1"/>
  <c r="AS326" i="1"/>
  <c r="AS381" i="1"/>
  <c r="AS369" i="1"/>
  <c r="AS366" i="1"/>
  <c r="AS362" i="1"/>
  <c r="AS390" i="1"/>
  <c r="AS400" i="1"/>
  <c r="AS376" i="1"/>
  <c r="AS388" i="1"/>
  <c r="AS384" i="1"/>
  <c r="AS378" i="1"/>
  <c r="AS368" i="1"/>
  <c r="AS358" i="1"/>
  <c r="AS352" i="1"/>
  <c r="AS341" i="1"/>
  <c r="AS322" i="1"/>
  <c r="AS319" i="1"/>
  <c r="AS313" i="1"/>
  <c r="AS307" i="1"/>
  <c r="AS301" i="1"/>
  <c r="AS295" i="1"/>
  <c r="AS375" i="1"/>
  <c r="AS359" i="1"/>
  <c r="AS353" i="1"/>
  <c r="AS349" i="1"/>
  <c r="AS345" i="1"/>
  <c r="AS330" i="1"/>
  <c r="AS354" i="1"/>
  <c r="AS334" i="1"/>
  <c r="AS318" i="1"/>
  <c r="AS312" i="1"/>
  <c r="AS306" i="1"/>
  <c r="AS342" i="1"/>
  <c r="AS323" i="1"/>
  <c r="AS346" i="1"/>
  <c r="AS327" i="1"/>
  <c r="AS317" i="1"/>
  <c r="AS311" i="1"/>
  <c r="AS335" i="1"/>
  <c r="AS363" i="1"/>
  <c r="AS360" i="1"/>
  <c r="AS355" i="1"/>
  <c r="AS343" i="1"/>
  <c r="AS339" i="1"/>
  <c r="AS324" i="1"/>
  <c r="AS316" i="1"/>
  <c r="AS310" i="1"/>
  <c r="AS304" i="1"/>
  <c r="AS298" i="1"/>
  <c r="AS364" i="1"/>
  <c r="AS347" i="1"/>
  <c r="AS328" i="1"/>
  <c r="AS336" i="1"/>
  <c r="AS361" i="1"/>
  <c r="AS340" i="1"/>
  <c r="AS329" i="1"/>
  <c r="AS320" i="1"/>
  <c r="AS308" i="1"/>
  <c r="AS325" i="1"/>
  <c r="AS302" i="1"/>
  <c r="AS303" i="1"/>
  <c r="AS300" i="1"/>
  <c r="AS290" i="1"/>
  <c r="AS284" i="1"/>
  <c r="AS278" i="1"/>
  <c r="AS272" i="1"/>
  <c r="AS266" i="1"/>
  <c r="AS333" i="1"/>
  <c r="AS289" i="1"/>
  <c r="AS283" i="1"/>
  <c r="AS277" i="1"/>
  <c r="AS271" i="1"/>
  <c r="AS309" i="1"/>
  <c r="AS305" i="1"/>
  <c r="AS296" i="1"/>
  <c r="AS321" i="1"/>
  <c r="AS299" i="1"/>
  <c r="AS288" i="1"/>
  <c r="AS294" i="1"/>
  <c r="AS293" i="1"/>
  <c r="AS287" i="1"/>
  <c r="AS281" i="1"/>
  <c r="AS275" i="1"/>
  <c r="AS269" i="1"/>
  <c r="AS257" i="1"/>
  <c r="AS251" i="1"/>
  <c r="AS337" i="1"/>
  <c r="AS315" i="1"/>
  <c r="AS292" i="1"/>
  <c r="AS286" i="1"/>
  <c r="AS291" i="1"/>
  <c r="AS285" i="1"/>
  <c r="AS255" i="1"/>
  <c r="AS240" i="1"/>
  <c r="AS234" i="1"/>
  <c r="AS228" i="1"/>
  <c r="AS222" i="1"/>
  <c r="AS216" i="1"/>
  <c r="AS267" i="1"/>
  <c r="AS259" i="1"/>
  <c r="AS245" i="1"/>
  <c r="AS239" i="1"/>
  <c r="AS233" i="1"/>
  <c r="AS227" i="1"/>
  <c r="AS265" i="1"/>
  <c r="AS256" i="1"/>
  <c r="AS252" i="1"/>
  <c r="AS279" i="1"/>
  <c r="AS276" i="1"/>
  <c r="AS260" i="1"/>
  <c r="AS244" i="1"/>
  <c r="AS238" i="1"/>
  <c r="AS232" i="1"/>
  <c r="AS226" i="1"/>
  <c r="AS220" i="1"/>
  <c r="AS274" i="1"/>
  <c r="AS268" i="1"/>
  <c r="AS250" i="1"/>
  <c r="AS248" i="1"/>
  <c r="AS282" i="1"/>
  <c r="AS262" i="1"/>
  <c r="AS258" i="1"/>
  <c r="AS247" i="1"/>
  <c r="AS241" i="1"/>
  <c r="AS235" i="1"/>
  <c r="AS223" i="1"/>
  <c r="AS217" i="1"/>
  <c r="AS264" i="1"/>
  <c r="AS231" i="1"/>
  <c r="AS236" i="1"/>
  <c r="AS254" i="1"/>
  <c r="AS242" i="1"/>
  <c r="AS210" i="1"/>
  <c r="AS204" i="1"/>
  <c r="AS261" i="1"/>
  <c r="AS243" i="1"/>
  <c r="AS224" i="1"/>
  <c r="AS270" i="1"/>
  <c r="AS230" i="1"/>
  <c r="AS208" i="1"/>
  <c r="AS202" i="1"/>
  <c r="AS196" i="1"/>
  <c r="AS218" i="1"/>
  <c r="AS214" i="1"/>
  <c r="AS225" i="1"/>
  <c r="AS219" i="1"/>
  <c r="AS207" i="1"/>
  <c r="AS201" i="1"/>
  <c r="AS189" i="1"/>
  <c r="AS183" i="1"/>
  <c r="AS273" i="1"/>
  <c r="AS253" i="1"/>
  <c r="AS249" i="1"/>
  <c r="AS213" i="1"/>
  <c r="AS206" i="1"/>
  <c r="AS194" i="1"/>
  <c r="AS191" i="1"/>
  <c r="AS215" i="1"/>
  <c r="AS209" i="1"/>
  <c r="AS180" i="1"/>
  <c r="AS221" i="1"/>
  <c r="AS197" i="1"/>
  <c r="AS188" i="1"/>
  <c r="AS184" i="1"/>
  <c r="AS203" i="1"/>
  <c r="AS192" i="1"/>
  <c r="AS173" i="1"/>
  <c r="AS167" i="1"/>
  <c r="AS155" i="1"/>
  <c r="AS149" i="1"/>
  <c r="AS143" i="1"/>
  <c r="AS137" i="1"/>
  <c r="AS131" i="1"/>
  <c r="AS237" i="1"/>
  <c r="AS181" i="1"/>
  <c r="AS205" i="1"/>
  <c r="AS186" i="1"/>
  <c r="AS211" i="1"/>
  <c r="AS198" i="1"/>
  <c r="AS179" i="1"/>
  <c r="AS187" i="1"/>
  <c r="AS147" i="1"/>
  <c r="AS129" i="1"/>
  <c r="AS182" i="1"/>
  <c r="AS175" i="1"/>
  <c r="AS171" i="1"/>
  <c r="AS166" i="1"/>
  <c r="AS150" i="1"/>
  <c r="AS141" i="1"/>
  <c r="AS177" i="1"/>
  <c r="AS168" i="1"/>
  <c r="AS164" i="1"/>
  <c r="AS163" i="1"/>
  <c r="AS146" i="1"/>
  <c r="AS134" i="1"/>
  <c r="AS152" i="1"/>
  <c r="AS142" i="1"/>
  <c r="AS138" i="1"/>
  <c r="AS126" i="1"/>
  <c r="AS120" i="1"/>
  <c r="AS114" i="1"/>
  <c r="AS199" i="1"/>
  <c r="AS148" i="1"/>
  <c r="AS145" i="1"/>
  <c r="AS139" i="1"/>
  <c r="AS193" i="1"/>
  <c r="AS165" i="1"/>
  <c r="AS158" i="1"/>
  <c r="AS154" i="1"/>
  <c r="AS151" i="1"/>
  <c r="AS169" i="1"/>
  <c r="AS159" i="1"/>
  <c r="AS157" i="1"/>
  <c r="AS136" i="1"/>
  <c r="AS200" i="1"/>
  <c r="AS190" i="1"/>
  <c r="AS185" i="1"/>
  <c r="AS174" i="1"/>
  <c r="AS172" i="1"/>
  <c r="AS153" i="1"/>
  <c r="AS133" i="1"/>
  <c r="AS116" i="1"/>
  <c r="AS104" i="1"/>
  <c r="AS93" i="1"/>
  <c r="AS82" i="1"/>
  <c r="AS135" i="1"/>
  <c r="AS118" i="1"/>
  <c r="AS117" i="1"/>
  <c r="AS103" i="1"/>
  <c r="AS92" i="1"/>
  <c r="AS71" i="1"/>
  <c r="AS119" i="1"/>
  <c r="AS102" i="1"/>
  <c r="AS91" i="1"/>
  <c r="AS160" i="1"/>
  <c r="AS130" i="1"/>
  <c r="AS111" i="1"/>
  <c r="AS101" i="1"/>
  <c r="AS80" i="1"/>
  <c r="AS170" i="1"/>
  <c r="AS132" i="1"/>
  <c r="AS115" i="1"/>
  <c r="AS100" i="1"/>
  <c r="AS79" i="1"/>
  <c r="AS112" i="1"/>
  <c r="AS89" i="1"/>
  <c r="AS156" i="1"/>
  <c r="AS122" i="1"/>
  <c r="AS121" i="1"/>
  <c r="AS88" i="1"/>
  <c r="AS125" i="1"/>
  <c r="AS124" i="1"/>
  <c r="AS108" i="1"/>
  <c r="AS98" i="1"/>
  <c r="AS87" i="1"/>
  <c r="AS97" i="1"/>
  <c r="AS86" i="1"/>
  <c r="AS75" i="1"/>
  <c r="AS107" i="1"/>
  <c r="AS96" i="1"/>
  <c r="AS85" i="1"/>
  <c r="AS162" i="1"/>
  <c r="AS128" i="1"/>
  <c r="AS106" i="1"/>
  <c r="AS95" i="1"/>
  <c r="AS74" i="1"/>
  <c r="AS55" i="1"/>
  <c r="AS123" i="1"/>
  <c r="AS105" i="1"/>
  <c r="AS69" i="1"/>
  <c r="AS66" i="1"/>
  <c r="AS65" i="1"/>
  <c r="AS176" i="1"/>
  <c r="AS140" i="1"/>
  <c r="AS76" i="1"/>
  <c r="AS64" i="1"/>
  <c r="AS113" i="1"/>
  <c r="AS53" i="1"/>
  <c r="AS43" i="1"/>
  <c r="AS37" i="1"/>
  <c r="AS31" i="1"/>
  <c r="AS25" i="1"/>
  <c r="AS19" i="1"/>
  <c r="AS13" i="1"/>
  <c r="AS77" i="1"/>
  <c r="AS70" i="1"/>
  <c r="AS67" i="1"/>
  <c r="AS62" i="1"/>
  <c r="AS51" i="1"/>
  <c r="AS42" i="1"/>
  <c r="AS36" i="1"/>
  <c r="AS30" i="1"/>
  <c r="AS24" i="1"/>
  <c r="AS18" i="1"/>
  <c r="AS94" i="1"/>
  <c r="AS78" i="1"/>
  <c r="AS61" i="1"/>
  <c r="AS50" i="1"/>
  <c r="AS73" i="1"/>
  <c r="AS60" i="1"/>
  <c r="AS49" i="1"/>
  <c r="AS41" i="1"/>
  <c r="AS35" i="1"/>
  <c r="AS29" i="1"/>
  <c r="AS23" i="1"/>
  <c r="AS17" i="1"/>
  <c r="AS11" i="1"/>
  <c r="AS59" i="1"/>
  <c r="AS84" i="1"/>
  <c r="AS83" i="1"/>
  <c r="AS68" i="1"/>
  <c r="AS58" i="1"/>
  <c r="AS47" i="1"/>
  <c r="AS40" i="1"/>
  <c r="AS56" i="1"/>
  <c r="AS33" i="1"/>
  <c r="AS27" i="1"/>
  <c r="AS21" i="1"/>
  <c r="AS15" i="1"/>
  <c r="AS12" i="1"/>
  <c r="AS28" i="1"/>
  <c r="AS10" i="1"/>
  <c r="AS48" i="1"/>
  <c r="AS22" i="1"/>
  <c r="AS32" i="1"/>
  <c r="AS16" i="1"/>
  <c r="AS14" i="1"/>
  <c r="AS9" i="1"/>
  <c r="AS57" i="1"/>
  <c r="AS38" i="1"/>
  <c r="AS26" i="1"/>
  <c r="AS52" i="1"/>
  <c r="AS20" i="1"/>
  <c r="AS46" i="1"/>
  <c r="AQ44" i="1"/>
  <c r="AR314" i="1"/>
  <c r="AR229" i="1"/>
  <c r="AR39" i="1"/>
  <c r="AR81" i="1"/>
  <c r="AR195" i="1"/>
  <c r="AR365" i="1"/>
  <c r="AR484" i="1"/>
  <c r="AR144" i="1"/>
  <c r="AR161" i="1"/>
  <c r="AR654" i="1"/>
  <c r="AR689" i="1"/>
  <c r="AR72" i="1"/>
  <c r="AR212" i="1"/>
  <c r="AR348" i="1"/>
  <c r="AR467" i="1"/>
  <c r="AR518" i="1"/>
  <c r="AR569" i="1"/>
  <c r="AR45" i="1"/>
  <c r="AR263" i="1"/>
  <c r="AR331" i="1"/>
  <c r="AR535" i="1"/>
  <c r="AR671" i="1"/>
  <c r="AR127" i="1"/>
  <c r="AR54" i="1"/>
  <c r="AR552" i="1"/>
  <c r="AR586" i="1"/>
  <c r="AR34" i="1"/>
  <c r="AQ109" i="1"/>
  <c r="AR90" i="1"/>
  <c r="AR382" i="1"/>
  <c r="AR450" i="1"/>
  <c r="AR501" i="1"/>
  <c r="AR63" i="1"/>
  <c r="AR280" i="1"/>
  <c r="AR399" i="1"/>
  <c r="AR433" i="1"/>
  <c r="AR603" i="1"/>
  <c r="AT6" i="1"/>
  <c r="AU4" i="1"/>
  <c r="AP8" i="1" l="1"/>
  <c r="AS552" i="1"/>
  <c r="AS365" i="1"/>
  <c r="AS34" i="1"/>
  <c r="AS348" i="1"/>
  <c r="AS416" i="1"/>
  <c r="AS63" i="1"/>
  <c r="AS90" i="1"/>
  <c r="AR44" i="1"/>
  <c r="AS314" i="1"/>
  <c r="AS54" i="1"/>
  <c r="AS99" i="1"/>
  <c r="AS246" i="1"/>
  <c r="AS501" i="1"/>
  <c r="AS535" i="1"/>
  <c r="AS586" i="1"/>
  <c r="AS654" i="1"/>
  <c r="AS671" i="1"/>
  <c r="AU6" i="1"/>
  <c r="AV4" i="1"/>
  <c r="AS39" i="1"/>
  <c r="AS518" i="1"/>
  <c r="AS297" i="1"/>
  <c r="AS637" i="1"/>
  <c r="AS689" i="1"/>
  <c r="AS144" i="1"/>
  <c r="AS178" i="1"/>
  <c r="AS331" i="1"/>
  <c r="AS433" i="1"/>
  <c r="AS484" i="1"/>
  <c r="AS695" i="1"/>
  <c r="AQ7" i="1"/>
  <c r="AS72" i="1"/>
  <c r="AS127" i="1"/>
  <c r="AS620" i="1"/>
  <c r="AT698" i="1"/>
  <c r="AT693" i="1"/>
  <c r="AT702" i="1"/>
  <c r="AT694" i="1"/>
  <c r="AT690" i="1"/>
  <c r="AT697" i="1"/>
  <c r="AT703" i="1"/>
  <c r="AT700" i="1"/>
  <c r="AT687" i="1"/>
  <c r="AT691" i="1"/>
  <c r="AT701" i="1"/>
  <c r="AT699" i="1"/>
  <c r="AT696" i="1"/>
  <c r="AT686" i="1"/>
  <c r="AT692" i="1"/>
  <c r="AT683" i="1"/>
  <c r="AT684" i="1"/>
  <c r="AT680" i="1"/>
  <c r="AT676" i="1"/>
  <c r="AT685" i="1"/>
  <c r="AT679" i="1"/>
  <c r="AT677" i="1"/>
  <c r="AT681" i="1"/>
  <c r="AT682" i="1"/>
  <c r="AT688" i="1"/>
  <c r="AT668" i="1"/>
  <c r="AT665" i="1"/>
  <c r="AT669" i="1"/>
  <c r="AT658" i="1"/>
  <c r="AT661" i="1"/>
  <c r="AT664" i="1"/>
  <c r="AT678" i="1"/>
  <c r="AT673" i="1"/>
  <c r="AT670" i="1"/>
  <c r="AT675" i="1"/>
  <c r="AT674" i="1"/>
  <c r="AT659" i="1"/>
  <c r="AT657" i="1"/>
  <c r="AT662" i="1"/>
  <c r="AT672" i="1"/>
  <c r="AT645" i="1"/>
  <c r="AT660" i="1"/>
  <c r="AT666" i="1"/>
  <c r="AT667" i="1"/>
  <c r="AT653" i="1"/>
  <c r="AT663" i="1"/>
  <c r="AT632" i="1"/>
  <c r="AT628" i="1"/>
  <c r="AT655" i="1"/>
  <c r="AT651" i="1"/>
  <c r="AT648" i="1"/>
  <c r="AT656" i="1"/>
  <c r="AT646" i="1"/>
  <c r="AT641" i="1"/>
  <c r="AT652" i="1"/>
  <c r="AT647" i="1"/>
  <c r="AT644" i="1"/>
  <c r="AT639" i="1"/>
  <c r="AT631" i="1"/>
  <c r="AT627" i="1"/>
  <c r="AT643" i="1"/>
  <c r="AT642" i="1"/>
  <c r="AT649" i="1"/>
  <c r="AT634" i="1"/>
  <c r="AT650" i="1"/>
  <c r="AT633" i="1"/>
  <c r="AT626" i="1"/>
  <c r="AT624" i="1"/>
  <c r="AT630" i="1"/>
  <c r="AT621" i="1"/>
  <c r="AT619" i="1"/>
  <c r="AT638" i="1"/>
  <c r="AT629" i="1"/>
  <c r="AT623" i="1"/>
  <c r="AT636" i="1"/>
  <c r="AT635" i="1"/>
  <c r="AT622" i="1"/>
  <c r="AT616" i="1"/>
  <c r="AT609" i="1"/>
  <c r="AT612" i="1"/>
  <c r="AT606" i="1"/>
  <c r="AT640" i="1"/>
  <c r="AT607" i="1"/>
  <c r="AT618" i="1"/>
  <c r="AT614" i="1"/>
  <c r="AT602" i="1"/>
  <c r="AT625" i="1"/>
  <c r="AT610" i="1"/>
  <c r="AT608" i="1"/>
  <c r="AT617" i="1"/>
  <c r="AT615" i="1"/>
  <c r="AT595" i="1"/>
  <c r="AT611" i="1"/>
  <c r="AT588" i="1"/>
  <c r="AT584" i="1"/>
  <c r="AT604" i="1"/>
  <c r="AT613" i="1"/>
  <c r="AT605" i="1"/>
  <c r="AT596" i="1"/>
  <c r="AT601" i="1"/>
  <c r="AT598" i="1"/>
  <c r="AT594" i="1"/>
  <c r="AT590" i="1"/>
  <c r="AT599" i="1"/>
  <c r="AT600" i="1"/>
  <c r="AT591" i="1"/>
  <c r="AT583" i="1"/>
  <c r="AT585" i="1"/>
  <c r="AT597" i="1"/>
  <c r="AT582" i="1"/>
  <c r="AT581" i="1"/>
  <c r="AT576" i="1"/>
  <c r="AT593" i="1"/>
  <c r="AT592" i="1"/>
  <c r="AT589" i="1"/>
  <c r="AT587" i="1"/>
  <c r="AT568" i="1"/>
  <c r="AT571" i="1"/>
  <c r="AT579" i="1"/>
  <c r="AT570" i="1"/>
  <c r="AT559" i="1"/>
  <c r="AT577" i="1"/>
  <c r="AT550" i="1"/>
  <c r="AT544" i="1"/>
  <c r="AT556" i="1"/>
  <c r="AT560" i="1"/>
  <c r="AT578" i="1"/>
  <c r="AT564" i="1"/>
  <c r="AT575" i="1"/>
  <c r="AT566" i="1"/>
  <c r="AT565" i="1"/>
  <c r="AT563" i="1"/>
  <c r="AT557" i="1"/>
  <c r="AT553" i="1"/>
  <c r="AT574" i="1"/>
  <c r="AT572" i="1"/>
  <c r="AT561" i="1"/>
  <c r="AT562" i="1"/>
  <c r="AT558" i="1"/>
  <c r="AT573" i="1"/>
  <c r="AT580" i="1"/>
  <c r="AT555" i="1"/>
  <c r="AT567" i="1"/>
  <c r="AT543" i="1"/>
  <c r="AT547" i="1"/>
  <c r="AT545" i="1"/>
  <c r="AT540" i="1"/>
  <c r="AT548" i="1"/>
  <c r="AT554" i="1"/>
  <c r="AT551" i="1"/>
  <c r="AT546" i="1"/>
  <c r="AT542" i="1"/>
  <c r="AT529" i="1"/>
  <c r="AT536" i="1"/>
  <c r="AT532" i="1"/>
  <c r="AT526" i="1"/>
  <c r="AT507" i="1"/>
  <c r="AT537" i="1"/>
  <c r="AT530" i="1"/>
  <c r="AT549" i="1"/>
  <c r="AT519" i="1"/>
  <c r="AT504" i="1"/>
  <c r="AT534" i="1"/>
  <c r="AT527" i="1"/>
  <c r="AT523" i="1"/>
  <c r="AT531" i="1"/>
  <c r="AT539" i="1"/>
  <c r="AT528" i="1"/>
  <c r="AT524" i="1"/>
  <c r="AT541" i="1"/>
  <c r="AT533" i="1"/>
  <c r="AT538" i="1"/>
  <c r="AT521" i="1"/>
  <c r="AT525" i="1"/>
  <c r="AT510" i="1"/>
  <c r="AT505" i="1"/>
  <c r="AT502" i="1"/>
  <c r="AT496" i="1"/>
  <c r="AT492" i="1"/>
  <c r="AT506" i="1"/>
  <c r="AT500" i="1"/>
  <c r="AT513" i="1"/>
  <c r="AT511" i="1"/>
  <c r="AT493" i="1"/>
  <c r="AT516" i="1"/>
  <c r="AT509" i="1"/>
  <c r="AT497" i="1"/>
  <c r="AT490" i="1"/>
  <c r="AT486" i="1"/>
  <c r="AT522" i="1"/>
  <c r="AT514" i="1"/>
  <c r="AT498" i="1"/>
  <c r="AT512" i="1"/>
  <c r="AT520" i="1"/>
  <c r="AT508" i="1"/>
  <c r="AT499" i="1"/>
  <c r="AT517" i="1"/>
  <c r="AT515" i="1"/>
  <c r="AT503" i="1"/>
  <c r="AT494" i="1"/>
  <c r="AT480" i="1"/>
  <c r="AT491" i="1"/>
  <c r="AT489" i="1"/>
  <c r="AT481" i="1"/>
  <c r="AT478" i="1"/>
  <c r="AT482" i="1"/>
  <c r="AT495" i="1"/>
  <c r="AT485" i="1"/>
  <c r="AT479" i="1"/>
  <c r="AT466" i="1"/>
  <c r="AT461" i="1"/>
  <c r="AT455" i="1"/>
  <c r="AT477" i="1"/>
  <c r="AT468" i="1"/>
  <c r="AT463" i="1"/>
  <c r="AT460" i="1"/>
  <c r="AT454" i="1"/>
  <c r="AT448" i="1"/>
  <c r="AT474" i="1"/>
  <c r="AT471" i="1"/>
  <c r="AT488" i="1"/>
  <c r="AT487" i="1"/>
  <c r="AT459" i="1"/>
  <c r="AT464" i="1"/>
  <c r="AT470" i="1"/>
  <c r="AT458" i="1"/>
  <c r="AT473" i="1"/>
  <c r="AT483" i="1"/>
  <c r="AT469" i="1"/>
  <c r="AT465" i="1"/>
  <c r="AT476" i="1"/>
  <c r="AT475" i="1"/>
  <c r="AT472" i="1"/>
  <c r="AT445" i="1"/>
  <c r="AT442" i="1"/>
  <c r="AT434" i="1"/>
  <c r="AT429" i="1"/>
  <c r="AT457" i="1"/>
  <c r="AT447" i="1"/>
  <c r="AT435" i="1"/>
  <c r="AT432" i="1"/>
  <c r="AT415" i="1"/>
  <c r="AT411" i="1"/>
  <c r="AT405" i="1"/>
  <c r="AT443" i="1"/>
  <c r="AT423" i="1"/>
  <c r="AT419" i="1"/>
  <c r="AT456" i="1"/>
  <c r="AT436" i="1"/>
  <c r="AT425" i="1"/>
  <c r="AT449" i="1"/>
  <c r="AT428" i="1"/>
  <c r="AT437" i="1"/>
  <c r="AT431" i="1"/>
  <c r="AT420" i="1"/>
  <c r="AT452" i="1"/>
  <c r="AT451" i="1"/>
  <c r="AT446" i="1"/>
  <c r="AT439" i="1"/>
  <c r="AT427" i="1"/>
  <c r="AT430" i="1"/>
  <c r="AT421" i="1"/>
  <c r="AT440" i="1"/>
  <c r="AT462" i="1"/>
  <c r="AT441" i="1"/>
  <c r="AT418" i="1"/>
  <c r="AT426" i="1"/>
  <c r="AT422" i="1"/>
  <c r="AT412" i="1"/>
  <c r="AT424" i="1"/>
  <c r="AT417" i="1"/>
  <c r="AT413" i="1"/>
  <c r="AT402" i="1"/>
  <c r="AT397" i="1"/>
  <c r="AT392" i="1"/>
  <c r="AT408" i="1"/>
  <c r="AT394" i="1"/>
  <c r="AT438" i="1"/>
  <c r="AT409" i="1"/>
  <c r="AT401" i="1"/>
  <c r="AT398" i="1"/>
  <c r="AT407" i="1"/>
  <c r="AT404" i="1"/>
  <c r="AT410" i="1"/>
  <c r="AT395" i="1"/>
  <c r="AT390" i="1"/>
  <c r="AT414" i="1"/>
  <c r="AT389" i="1"/>
  <c r="AT403" i="1"/>
  <c r="AT406" i="1"/>
  <c r="AT400" i="1"/>
  <c r="AT453" i="1"/>
  <c r="AT379" i="1"/>
  <c r="AT371" i="1"/>
  <c r="AT372" i="1"/>
  <c r="AT391" i="1"/>
  <c r="AT383" i="1"/>
  <c r="AT380" i="1"/>
  <c r="AT393" i="1"/>
  <c r="AT381" i="1"/>
  <c r="AT373" i="1"/>
  <c r="AT369" i="1"/>
  <c r="AT366" i="1"/>
  <c r="AT362" i="1"/>
  <c r="AT361" i="1"/>
  <c r="AT396" i="1"/>
  <c r="AT387" i="1"/>
  <c r="AT386" i="1"/>
  <c r="AT385" i="1"/>
  <c r="AT375" i="1"/>
  <c r="AT363" i="1"/>
  <c r="AT388" i="1"/>
  <c r="AT384" i="1"/>
  <c r="AT359" i="1"/>
  <c r="AT377" i="1"/>
  <c r="AT444" i="1"/>
  <c r="AT378" i="1"/>
  <c r="AT368" i="1"/>
  <c r="AT370" i="1"/>
  <c r="AT356" i="1"/>
  <c r="AT353" i="1"/>
  <c r="AT349" i="1"/>
  <c r="AT345" i="1"/>
  <c r="AT330" i="1"/>
  <c r="AT326" i="1"/>
  <c r="AT354" i="1"/>
  <c r="AT334" i="1"/>
  <c r="AT318" i="1"/>
  <c r="AT342" i="1"/>
  <c r="AT338" i="1"/>
  <c r="AT323" i="1"/>
  <c r="AT346" i="1"/>
  <c r="AT327" i="1"/>
  <c r="AT376" i="1"/>
  <c r="AT350" i="1"/>
  <c r="AT335" i="1"/>
  <c r="AT360" i="1"/>
  <c r="AT355" i="1"/>
  <c r="AT343" i="1"/>
  <c r="AT339" i="1"/>
  <c r="AT324" i="1"/>
  <c r="AT316" i="1"/>
  <c r="AT367" i="1"/>
  <c r="AT364" i="1"/>
  <c r="AT347" i="1"/>
  <c r="AT328" i="1"/>
  <c r="AT336" i="1"/>
  <c r="AT332" i="1"/>
  <c r="AT340" i="1"/>
  <c r="AT325" i="1"/>
  <c r="AT321" i="1"/>
  <c r="AT374" i="1"/>
  <c r="AT344" i="1"/>
  <c r="AT358" i="1"/>
  <c r="AT357" i="1"/>
  <c r="AT351" i="1"/>
  <c r="AT337" i="1"/>
  <c r="AT333" i="1"/>
  <c r="AT303" i="1"/>
  <c r="AT300" i="1"/>
  <c r="AT290" i="1"/>
  <c r="AT284" i="1"/>
  <c r="AT278" i="1"/>
  <c r="AT272" i="1"/>
  <c r="AT352" i="1"/>
  <c r="AT320" i="1"/>
  <c r="AT319" i="1"/>
  <c r="AT311" i="1"/>
  <c r="AT310" i="1"/>
  <c r="AT309" i="1"/>
  <c r="AT305" i="1"/>
  <c r="AT296" i="1"/>
  <c r="AT341" i="1"/>
  <c r="AT308" i="1"/>
  <c r="AT307" i="1"/>
  <c r="AT299" i="1"/>
  <c r="AT288" i="1"/>
  <c r="AT282" i="1"/>
  <c r="AT276" i="1"/>
  <c r="AT270" i="1"/>
  <c r="AT306" i="1"/>
  <c r="AT294" i="1"/>
  <c r="AT329" i="1"/>
  <c r="AT312" i="1"/>
  <c r="AT293" i="1"/>
  <c r="AT287" i="1"/>
  <c r="AT322" i="1"/>
  <c r="AT317" i="1"/>
  <c r="AT315" i="1"/>
  <c r="AT298" i="1"/>
  <c r="AT292" i="1"/>
  <c r="AT295" i="1"/>
  <c r="AT301" i="1"/>
  <c r="AT291" i="1"/>
  <c r="AT285" i="1"/>
  <c r="AT313" i="1"/>
  <c r="AT302" i="1"/>
  <c r="AT267" i="1"/>
  <c r="AT259" i="1"/>
  <c r="AT245" i="1"/>
  <c r="AT239" i="1"/>
  <c r="AT265" i="1"/>
  <c r="AT256" i="1"/>
  <c r="AT252" i="1"/>
  <c r="AT279" i="1"/>
  <c r="AT260" i="1"/>
  <c r="AT244" i="1"/>
  <c r="AT238" i="1"/>
  <c r="AT277" i="1"/>
  <c r="AT275" i="1"/>
  <c r="AT274" i="1"/>
  <c r="AT268" i="1"/>
  <c r="AT289" i="1"/>
  <c r="AT281" i="1"/>
  <c r="AT253" i="1"/>
  <c r="AT249" i="1"/>
  <c r="AT243" i="1"/>
  <c r="AT237" i="1"/>
  <c r="AT286" i="1"/>
  <c r="AT273" i="1"/>
  <c r="AT264" i="1"/>
  <c r="AT261" i="1"/>
  <c r="AT257" i="1"/>
  <c r="AT304" i="1"/>
  <c r="AT254" i="1"/>
  <c r="AT283" i="1"/>
  <c r="AT269" i="1"/>
  <c r="AT266" i="1"/>
  <c r="AT255" i="1"/>
  <c r="AT251" i="1"/>
  <c r="AT271" i="1"/>
  <c r="AT258" i="1"/>
  <c r="AT231" i="1"/>
  <c r="AT250" i="1"/>
  <c r="AT247" i="1"/>
  <c r="AT236" i="1"/>
  <c r="AT242" i="1"/>
  <c r="AT241" i="1"/>
  <c r="AT210" i="1"/>
  <c r="AT204" i="1"/>
  <c r="AT226" i="1"/>
  <c r="AT223" i="1"/>
  <c r="AT240" i="1"/>
  <c r="AT233" i="1"/>
  <c r="AT228" i="1"/>
  <c r="AT230" i="1"/>
  <c r="AT217" i="1"/>
  <c r="AT208" i="1"/>
  <c r="AT262" i="1"/>
  <c r="AT232" i="1"/>
  <c r="AT218" i="1"/>
  <c r="AT214" i="1"/>
  <c r="AT248" i="1"/>
  <c r="AT234" i="1"/>
  <c r="AT225" i="1"/>
  <c r="AT219" i="1"/>
  <c r="AT207" i="1"/>
  <c r="AT227" i="1"/>
  <c r="AT220" i="1"/>
  <c r="AT216" i="1"/>
  <c r="AT215" i="1"/>
  <c r="AT209" i="1"/>
  <c r="AT180" i="1"/>
  <c r="AT174" i="1"/>
  <c r="AT168" i="1"/>
  <c r="AT162" i="1"/>
  <c r="AT224" i="1"/>
  <c r="AT221" i="1"/>
  <c r="AT197" i="1"/>
  <c r="AT188" i="1"/>
  <c r="AT184" i="1"/>
  <c r="AT203" i="1"/>
  <c r="AT192" i="1"/>
  <c r="AT173" i="1"/>
  <c r="AT167" i="1"/>
  <c r="AT155" i="1"/>
  <c r="AT149" i="1"/>
  <c r="AT235" i="1"/>
  <c r="AT181" i="1"/>
  <c r="AT205" i="1"/>
  <c r="AT200" i="1"/>
  <c r="AT185" i="1"/>
  <c r="AT202" i="1"/>
  <c r="AT190" i="1"/>
  <c r="AT176" i="1"/>
  <c r="AT170" i="1"/>
  <c r="AT222" i="1"/>
  <c r="AT187" i="1"/>
  <c r="AT183" i="1"/>
  <c r="AT175" i="1"/>
  <c r="AT182" i="1"/>
  <c r="AT171" i="1"/>
  <c r="AT153" i="1"/>
  <c r="AT133" i="1"/>
  <c r="AT122" i="1"/>
  <c r="AT116" i="1"/>
  <c r="AT166" i="1"/>
  <c r="AT213" i="1"/>
  <c r="AT196" i="1"/>
  <c r="AT179" i="1"/>
  <c r="AT156" i="1"/>
  <c r="AT130" i="1"/>
  <c r="AT152" i="1"/>
  <c r="AT142" i="1"/>
  <c r="AT138" i="1"/>
  <c r="AT126" i="1"/>
  <c r="AT120" i="1"/>
  <c r="AT206" i="1"/>
  <c r="AT201" i="1"/>
  <c r="AT135" i="1"/>
  <c r="AT131" i="1"/>
  <c r="AT211" i="1"/>
  <c r="AT193" i="1"/>
  <c r="AT165" i="1"/>
  <c r="AT158" i="1"/>
  <c r="AT154" i="1"/>
  <c r="AT151" i="1"/>
  <c r="AT143" i="1"/>
  <c r="AT128" i="1"/>
  <c r="AT124" i="1"/>
  <c r="AT169" i="1"/>
  <c r="AT159" i="1"/>
  <c r="AT157" i="1"/>
  <c r="AT191" i="1"/>
  <c r="AT189" i="1"/>
  <c r="AT172" i="1"/>
  <c r="AT160" i="1"/>
  <c r="AT140" i="1"/>
  <c r="AT194" i="1"/>
  <c r="AT186" i="1"/>
  <c r="AT137" i="1"/>
  <c r="AT129" i="1"/>
  <c r="AT118" i="1"/>
  <c r="AT117" i="1"/>
  <c r="AT103" i="1"/>
  <c r="AT92" i="1"/>
  <c r="AT199" i="1"/>
  <c r="AT163" i="1"/>
  <c r="AT146" i="1"/>
  <c r="AT119" i="1"/>
  <c r="AT102" i="1"/>
  <c r="AT91" i="1"/>
  <c r="AT70" i="1"/>
  <c r="AT111" i="1"/>
  <c r="AT101" i="1"/>
  <c r="AT80" i="1"/>
  <c r="AT147" i="1"/>
  <c r="AT132" i="1"/>
  <c r="AT115" i="1"/>
  <c r="AT100" i="1"/>
  <c r="AT79" i="1"/>
  <c r="AT198" i="1"/>
  <c r="AT164" i="1"/>
  <c r="AT112" i="1"/>
  <c r="AT89" i="1"/>
  <c r="AT78" i="1"/>
  <c r="AT177" i="1"/>
  <c r="AT121" i="1"/>
  <c r="AT88" i="1"/>
  <c r="AT148" i="1"/>
  <c r="AT134" i="1"/>
  <c r="AT125" i="1"/>
  <c r="AT108" i="1"/>
  <c r="AT98" i="1"/>
  <c r="AT87" i="1"/>
  <c r="AT150" i="1"/>
  <c r="AT114" i="1"/>
  <c r="AT97" i="1"/>
  <c r="AT86" i="1"/>
  <c r="AT107" i="1"/>
  <c r="AT96" i="1"/>
  <c r="AT85" i="1"/>
  <c r="AT74" i="1"/>
  <c r="AT106" i="1"/>
  <c r="AT95" i="1"/>
  <c r="AT84" i="1"/>
  <c r="AT145" i="1"/>
  <c r="AT141" i="1"/>
  <c r="AT139" i="1"/>
  <c r="AT123" i="1"/>
  <c r="AT113" i="1"/>
  <c r="AT105" i="1"/>
  <c r="AT94" i="1"/>
  <c r="AT93" i="1"/>
  <c r="AT69" i="1"/>
  <c r="AT66" i="1"/>
  <c r="AT65" i="1"/>
  <c r="AT38" i="1"/>
  <c r="AT32" i="1"/>
  <c r="AT26" i="1"/>
  <c r="AT20" i="1"/>
  <c r="AT14" i="1"/>
  <c r="AT76" i="1"/>
  <c r="AT64" i="1"/>
  <c r="AT136" i="1"/>
  <c r="AT53" i="1"/>
  <c r="AT43" i="1"/>
  <c r="AT37" i="1"/>
  <c r="AT31" i="1"/>
  <c r="AT25" i="1"/>
  <c r="AT19" i="1"/>
  <c r="AT13" i="1"/>
  <c r="AT77" i="1"/>
  <c r="AT52" i="1"/>
  <c r="AT67" i="1"/>
  <c r="AT75" i="1"/>
  <c r="AT61" i="1"/>
  <c r="AT50" i="1"/>
  <c r="AT73" i="1"/>
  <c r="AT60" i="1"/>
  <c r="AT49" i="1"/>
  <c r="AT41" i="1"/>
  <c r="AT35" i="1"/>
  <c r="AT29" i="1"/>
  <c r="AT23" i="1"/>
  <c r="AT104" i="1"/>
  <c r="AT59" i="1"/>
  <c r="AT48" i="1"/>
  <c r="AT83" i="1"/>
  <c r="AT68" i="1"/>
  <c r="AT58" i="1"/>
  <c r="AT71" i="1"/>
  <c r="AT57" i="1"/>
  <c r="AT46" i="1"/>
  <c r="AT82" i="1"/>
  <c r="AT55" i="1"/>
  <c r="AT40" i="1"/>
  <c r="AT24" i="1"/>
  <c r="AT16" i="1"/>
  <c r="AT36" i="1"/>
  <c r="AT28" i="1"/>
  <c r="AT9" i="1"/>
  <c r="AT51" i="1"/>
  <c r="AT42" i="1"/>
  <c r="AT33" i="1"/>
  <c r="AT22" i="1"/>
  <c r="AT18" i="1"/>
  <c r="AT15" i="1"/>
  <c r="AT12" i="1"/>
  <c r="AT27" i="1"/>
  <c r="AT11" i="1"/>
  <c r="AT62" i="1"/>
  <c r="AT56" i="1"/>
  <c r="AT47" i="1"/>
  <c r="AT21" i="1"/>
  <c r="AT30" i="1"/>
  <c r="AT17" i="1"/>
  <c r="AT10" i="1"/>
  <c r="AS45" i="1"/>
  <c r="AS44" i="1" s="1"/>
  <c r="AS161" i="1"/>
  <c r="AS212" i="1"/>
  <c r="AS195" i="1"/>
  <c r="AS280" i="1"/>
  <c r="AS450" i="1"/>
  <c r="AS110" i="1"/>
  <c r="AS81" i="1"/>
  <c r="AS382" i="1"/>
  <c r="AS569" i="1"/>
  <c r="AR109" i="1"/>
  <c r="AR7" i="1" s="1"/>
  <c r="AS263" i="1"/>
  <c r="AS229" i="1"/>
  <c r="AS399" i="1"/>
  <c r="AS467" i="1"/>
  <c r="AS603" i="1"/>
  <c r="AT689" i="1" l="1"/>
  <c r="AT484" i="1"/>
  <c r="AT671" i="1"/>
  <c r="AT39" i="1"/>
  <c r="AR5" i="1"/>
  <c r="AR8" i="1"/>
  <c r="AT63" i="1"/>
  <c r="AT212" i="1"/>
  <c r="AT280" i="1"/>
  <c r="AT297" i="1"/>
  <c r="AT314" i="1"/>
  <c r="AT450" i="1"/>
  <c r="AT518" i="1"/>
  <c r="AT110" i="1"/>
  <c r="AT127" i="1"/>
  <c r="AT246" i="1"/>
  <c r="AT365" i="1"/>
  <c r="AT399" i="1"/>
  <c r="AT54" i="1"/>
  <c r="AT90" i="1"/>
  <c r="AT229" i="1"/>
  <c r="AT552" i="1"/>
  <c r="AT81" i="1"/>
  <c r="AT34" i="1"/>
  <c r="AT144" i="1"/>
  <c r="AT263" i="1"/>
  <c r="AT654" i="1"/>
  <c r="AT695" i="1"/>
  <c r="AT45" i="1"/>
  <c r="AT331" i="1"/>
  <c r="AT569" i="1"/>
  <c r="AT603" i="1"/>
  <c r="AT637" i="1"/>
  <c r="AT99" i="1"/>
  <c r="AT161" i="1"/>
  <c r="AT348" i="1"/>
  <c r="AT467" i="1"/>
  <c r="AT535" i="1"/>
  <c r="AT620" i="1"/>
  <c r="AT72" i="1"/>
  <c r="AT382" i="1"/>
  <c r="AT501" i="1"/>
  <c r="AQ8" i="1"/>
  <c r="AQ5" i="1"/>
  <c r="AT178" i="1"/>
  <c r="AT433" i="1"/>
  <c r="AT586" i="1"/>
  <c r="AV6" i="1"/>
  <c r="AW4" i="1"/>
  <c r="AS109" i="1"/>
  <c r="AS7" i="1" s="1"/>
  <c r="AT195" i="1"/>
  <c r="AT416" i="1"/>
  <c r="AU701" i="1"/>
  <c r="AU700" i="1"/>
  <c r="AU683" i="1"/>
  <c r="AU702" i="1"/>
  <c r="AU697" i="1"/>
  <c r="AU703" i="1"/>
  <c r="AU691" i="1"/>
  <c r="AU699" i="1"/>
  <c r="AU696" i="1"/>
  <c r="AU685" i="1"/>
  <c r="AU694" i="1"/>
  <c r="AU698" i="1"/>
  <c r="AU692" i="1"/>
  <c r="AU684" i="1"/>
  <c r="AU680" i="1"/>
  <c r="AU688" i="1"/>
  <c r="AU677" i="1"/>
  <c r="AU693" i="1"/>
  <c r="AU687" i="1"/>
  <c r="AU681" i="1"/>
  <c r="AU673" i="1"/>
  <c r="AU670" i="1"/>
  <c r="AU664" i="1"/>
  <c r="AU658" i="1"/>
  <c r="AU652" i="1"/>
  <c r="AU669" i="1"/>
  <c r="AU663" i="1"/>
  <c r="AU657" i="1"/>
  <c r="AU690" i="1"/>
  <c r="AU679" i="1"/>
  <c r="AU675" i="1"/>
  <c r="AU682" i="1"/>
  <c r="AU678" i="1"/>
  <c r="AU676" i="1"/>
  <c r="AU674" i="1"/>
  <c r="AU672" i="1"/>
  <c r="AU666" i="1"/>
  <c r="AU686" i="1"/>
  <c r="AU661" i="1"/>
  <c r="AU662" i="1"/>
  <c r="AU660" i="1"/>
  <c r="AU656" i="1"/>
  <c r="AU659" i="1"/>
  <c r="AU645" i="1"/>
  <c r="AU639" i="1"/>
  <c r="AU633" i="1"/>
  <c r="AU665" i="1"/>
  <c r="AU650" i="1"/>
  <c r="AU668" i="1"/>
  <c r="AU643" i="1"/>
  <c r="AU667" i="1"/>
  <c r="AU655" i="1"/>
  <c r="AU638" i="1"/>
  <c r="AU636" i="1"/>
  <c r="AU646" i="1"/>
  <c r="AU642" i="1"/>
  <c r="AU640" i="1"/>
  <c r="AU630" i="1"/>
  <c r="AU647" i="1"/>
  <c r="AU644" i="1"/>
  <c r="AU631" i="1"/>
  <c r="AU627" i="1"/>
  <c r="AU621" i="1"/>
  <c r="AU649" i="1"/>
  <c r="AU635" i="1"/>
  <c r="AU623" i="1"/>
  <c r="AU612" i="1"/>
  <c r="AU653" i="1"/>
  <c r="AU617" i="1"/>
  <c r="AU611" i="1"/>
  <c r="AU605" i="1"/>
  <c r="AU651" i="1"/>
  <c r="AU648" i="1"/>
  <c r="AU632" i="1"/>
  <c r="AU629" i="1"/>
  <c r="AU634" i="1"/>
  <c r="AU628" i="1"/>
  <c r="AU626" i="1"/>
  <c r="AU624" i="1"/>
  <c r="AU609" i="1"/>
  <c r="AU606" i="1"/>
  <c r="AU641" i="1"/>
  <c r="AU615" i="1"/>
  <c r="AU614" i="1"/>
  <c r="AU607" i="1"/>
  <c r="AU597" i="1"/>
  <c r="AU618" i="1"/>
  <c r="AU625" i="1"/>
  <c r="AU608" i="1"/>
  <c r="AU594" i="1"/>
  <c r="AU588" i="1"/>
  <c r="AU582" i="1"/>
  <c r="AU619" i="1"/>
  <c r="AU616" i="1"/>
  <c r="AU622" i="1"/>
  <c r="AU604" i="1"/>
  <c r="AU592" i="1"/>
  <c r="AU613" i="1"/>
  <c r="AU610" i="1"/>
  <c r="AU602" i="1"/>
  <c r="AU601" i="1"/>
  <c r="AU598" i="1"/>
  <c r="AU590" i="1"/>
  <c r="AU599" i="1"/>
  <c r="AU585" i="1"/>
  <c r="AU575" i="1"/>
  <c r="AU563" i="1"/>
  <c r="AU557" i="1"/>
  <c r="AU596" i="1"/>
  <c r="AU595" i="1"/>
  <c r="AU578" i="1"/>
  <c r="AU572" i="1"/>
  <c r="AU566" i="1"/>
  <c r="AU593" i="1"/>
  <c r="AU587" i="1"/>
  <c r="AU571" i="1"/>
  <c r="AU580" i="1"/>
  <c r="AU574" i="1"/>
  <c r="AU600" i="1"/>
  <c r="AU591" i="1"/>
  <c r="AU577" i="1"/>
  <c r="AU573" i="1"/>
  <c r="AU556" i="1"/>
  <c r="AU576" i="1"/>
  <c r="AU560" i="1"/>
  <c r="AU549" i="1"/>
  <c r="AU543" i="1"/>
  <c r="AU568" i="1"/>
  <c r="AU564" i="1"/>
  <c r="AU565" i="1"/>
  <c r="AU553" i="1"/>
  <c r="AU548" i="1"/>
  <c r="AU542" i="1"/>
  <c r="AU589" i="1"/>
  <c r="AU561" i="1"/>
  <c r="AU583" i="1"/>
  <c r="AU579" i="1"/>
  <c r="AU547" i="1"/>
  <c r="AU570" i="1"/>
  <c r="AU567" i="1"/>
  <c r="AU559" i="1"/>
  <c r="AU550" i="1"/>
  <c r="AU534" i="1"/>
  <c r="AU528" i="1"/>
  <c r="AU522" i="1"/>
  <c r="AU516" i="1"/>
  <c r="AU510" i="1"/>
  <c r="AU504" i="1"/>
  <c r="AU545" i="1"/>
  <c r="AU562" i="1"/>
  <c r="AU554" i="1"/>
  <c r="AU551" i="1"/>
  <c r="AU541" i="1"/>
  <c r="AU537" i="1"/>
  <c r="AU581" i="1"/>
  <c r="AU584" i="1"/>
  <c r="AU555" i="1"/>
  <c r="AU536" i="1"/>
  <c r="AU532" i="1"/>
  <c r="AU558" i="1"/>
  <c r="AU526" i="1"/>
  <c r="AU530" i="1"/>
  <c r="AU515" i="1"/>
  <c r="AU511" i="1"/>
  <c r="AU527" i="1"/>
  <c r="AU523" i="1"/>
  <c r="AU508" i="1"/>
  <c r="AU496" i="1"/>
  <c r="AU490" i="1"/>
  <c r="AU478" i="1"/>
  <c r="AU531" i="1"/>
  <c r="AU544" i="1"/>
  <c r="AU539" i="1"/>
  <c r="AU533" i="1"/>
  <c r="AU538" i="1"/>
  <c r="AU540" i="1"/>
  <c r="AU525" i="1"/>
  <c r="AU546" i="1"/>
  <c r="AU529" i="1"/>
  <c r="AU514" i="1"/>
  <c r="AU524" i="1"/>
  <c r="AU506" i="1"/>
  <c r="AU500" i="1"/>
  <c r="AU513" i="1"/>
  <c r="AU509" i="1"/>
  <c r="AU497" i="1"/>
  <c r="AU482" i="1"/>
  <c r="AU507" i="1"/>
  <c r="AU494" i="1"/>
  <c r="AU512" i="1"/>
  <c r="AU521" i="1"/>
  <c r="AU520" i="1"/>
  <c r="AU499" i="1"/>
  <c r="AU519" i="1"/>
  <c r="AU517" i="1"/>
  <c r="AU503" i="1"/>
  <c r="AU505" i="1"/>
  <c r="AU498" i="1"/>
  <c r="AU480" i="1"/>
  <c r="AU491" i="1"/>
  <c r="AU493" i="1"/>
  <c r="AU489" i="1"/>
  <c r="AU483" i="1"/>
  <c r="AU476" i="1"/>
  <c r="AU470" i="1"/>
  <c r="AU464" i="1"/>
  <c r="AU502" i="1"/>
  <c r="AU492" i="1"/>
  <c r="AU487" i="1"/>
  <c r="AU486" i="1"/>
  <c r="AU475" i="1"/>
  <c r="AU469" i="1"/>
  <c r="AU495" i="1"/>
  <c r="AU485" i="1"/>
  <c r="AU479" i="1"/>
  <c r="AU488" i="1"/>
  <c r="AU477" i="1"/>
  <c r="AU468" i="1"/>
  <c r="AU463" i="1"/>
  <c r="AU460" i="1"/>
  <c r="AU454" i="1"/>
  <c r="AU448" i="1"/>
  <c r="AU442" i="1"/>
  <c r="AU436" i="1"/>
  <c r="AU430" i="1"/>
  <c r="AU424" i="1"/>
  <c r="AU418" i="1"/>
  <c r="AU474" i="1"/>
  <c r="AU471" i="1"/>
  <c r="AU459" i="1"/>
  <c r="AU453" i="1"/>
  <c r="AU447" i="1"/>
  <c r="AU441" i="1"/>
  <c r="AU435" i="1"/>
  <c r="AU481" i="1"/>
  <c r="AU458" i="1"/>
  <c r="AU473" i="1"/>
  <c r="AU457" i="1"/>
  <c r="AU451" i="1"/>
  <c r="AU445" i="1"/>
  <c r="AU439" i="1"/>
  <c r="AU427" i="1"/>
  <c r="AU465" i="1"/>
  <c r="AU472" i="1"/>
  <c r="AU462" i="1"/>
  <c r="AU466" i="1"/>
  <c r="AU432" i="1"/>
  <c r="AU443" i="1"/>
  <c r="AU423" i="1"/>
  <c r="AU419" i="1"/>
  <c r="AU456" i="1"/>
  <c r="AU425" i="1"/>
  <c r="AU449" i="1"/>
  <c r="AU428" i="1"/>
  <c r="AU437" i="1"/>
  <c r="AU431" i="1"/>
  <c r="AU420" i="1"/>
  <c r="AU409" i="1"/>
  <c r="AU444" i="1"/>
  <c r="AU438" i="1"/>
  <c r="AU440" i="1"/>
  <c r="AU413" i="1"/>
  <c r="AU407" i="1"/>
  <c r="AU401" i="1"/>
  <c r="AU395" i="1"/>
  <c r="AU461" i="1"/>
  <c r="AU426" i="1"/>
  <c r="AU422" i="1"/>
  <c r="AU434" i="1"/>
  <c r="AU429" i="1"/>
  <c r="AU405" i="1"/>
  <c r="AU392" i="1"/>
  <c r="AU386" i="1"/>
  <c r="AU452" i="1"/>
  <c r="AU408" i="1"/>
  <c r="AU394" i="1"/>
  <c r="AU446" i="1"/>
  <c r="AU421" i="1"/>
  <c r="AU398" i="1"/>
  <c r="AU391" i="1"/>
  <c r="AU385" i="1"/>
  <c r="AU379" i="1"/>
  <c r="AU373" i="1"/>
  <c r="AU404" i="1"/>
  <c r="AU455" i="1"/>
  <c r="AU415" i="1"/>
  <c r="AU410" i="1"/>
  <c r="AU390" i="1"/>
  <c r="AU384" i="1"/>
  <c r="AU378" i="1"/>
  <c r="AU372" i="1"/>
  <c r="AU366" i="1"/>
  <c r="AU414" i="1"/>
  <c r="AU403" i="1"/>
  <c r="AU412" i="1"/>
  <c r="AU406" i="1"/>
  <c r="AU400" i="1"/>
  <c r="AU396" i="1"/>
  <c r="AU388" i="1"/>
  <c r="AU376" i="1"/>
  <c r="AU411" i="1"/>
  <c r="AU402" i="1"/>
  <c r="AU383" i="1"/>
  <c r="AU380" i="1"/>
  <c r="AU356" i="1"/>
  <c r="AU393" i="1"/>
  <c r="AU381" i="1"/>
  <c r="AU369" i="1"/>
  <c r="AU397" i="1"/>
  <c r="AU361" i="1"/>
  <c r="AU355" i="1"/>
  <c r="AU349" i="1"/>
  <c r="AU343" i="1"/>
  <c r="AU337" i="1"/>
  <c r="AU325" i="1"/>
  <c r="AU374" i="1"/>
  <c r="AU387" i="1"/>
  <c r="AU389" i="1"/>
  <c r="AU367" i="1"/>
  <c r="AU377" i="1"/>
  <c r="AU364" i="1"/>
  <c r="AU370" i="1"/>
  <c r="AU417" i="1"/>
  <c r="AU371" i="1"/>
  <c r="AU357" i="1"/>
  <c r="AU375" i="1"/>
  <c r="AU359" i="1"/>
  <c r="AU354" i="1"/>
  <c r="AU334" i="1"/>
  <c r="AU318" i="1"/>
  <c r="AU312" i="1"/>
  <c r="AU306" i="1"/>
  <c r="AU300" i="1"/>
  <c r="AU294" i="1"/>
  <c r="AU342" i="1"/>
  <c r="AU338" i="1"/>
  <c r="AU323" i="1"/>
  <c r="AU346" i="1"/>
  <c r="AU327" i="1"/>
  <c r="AU317" i="1"/>
  <c r="AU311" i="1"/>
  <c r="AU305" i="1"/>
  <c r="AU350" i="1"/>
  <c r="AU335" i="1"/>
  <c r="AU360" i="1"/>
  <c r="AU339" i="1"/>
  <c r="AU324" i="1"/>
  <c r="AU316" i="1"/>
  <c r="AU310" i="1"/>
  <c r="AU363" i="1"/>
  <c r="AU362" i="1"/>
  <c r="AU347" i="1"/>
  <c r="AU328" i="1"/>
  <c r="AU336" i="1"/>
  <c r="AU332" i="1"/>
  <c r="AU315" i="1"/>
  <c r="AU309" i="1"/>
  <c r="AU303" i="1"/>
  <c r="AU340" i="1"/>
  <c r="AU321" i="1"/>
  <c r="AU344" i="1"/>
  <c r="AU329" i="1"/>
  <c r="AU320" i="1"/>
  <c r="AU368" i="1"/>
  <c r="AU358" i="1"/>
  <c r="AU351" i="1"/>
  <c r="AU352" i="1"/>
  <c r="AU341" i="1"/>
  <c r="AU322" i="1"/>
  <c r="AU319" i="1"/>
  <c r="AU313" i="1"/>
  <c r="AU307" i="1"/>
  <c r="AU333" i="1"/>
  <c r="AU304" i="1"/>
  <c r="AU289" i="1"/>
  <c r="AU283" i="1"/>
  <c r="AU277" i="1"/>
  <c r="AU271" i="1"/>
  <c r="AU265" i="1"/>
  <c r="AU326" i="1"/>
  <c r="AU308" i="1"/>
  <c r="AU299" i="1"/>
  <c r="AU288" i="1"/>
  <c r="AU282" i="1"/>
  <c r="AU276" i="1"/>
  <c r="AU270" i="1"/>
  <c r="AU345" i="1"/>
  <c r="AU293" i="1"/>
  <c r="AU287" i="1"/>
  <c r="AU298" i="1"/>
  <c r="AU292" i="1"/>
  <c r="AU286" i="1"/>
  <c r="AU274" i="1"/>
  <c r="AU268" i="1"/>
  <c r="AU262" i="1"/>
  <c r="AU256" i="1"/>
  <c r="AU250" i="1"/>
  <c r="AU330" i="1"/>
  <c r="AU295" i="1"/>
  <c r="AU301" i="1"/>
  <c r="AU291" i="1"/>
  <c r="AU285" i="1"/>
  <c r="AU353" i="1"/>
  <c r="AU302" i="1"/>
  <c r="AU290" i="1"/>
  <c r="AU296" i="1"/>
  <c r="AU245" i="1"/>
  <c r="AU239" i="1"/>
  <c r="AU233" i="1"/>
  <c r="AU227" i="1"/>
  <c r="AU221" i="1"/>
  <c r="AU284" i="1"/>
  <c r="AU252" i="1"/>
  <c r="AU279" i="1"/>
  <c r="AU260" i="1"/>
  <c r="AU244" i="1"/>
  <c r="AU238" i="1"/>
  <c r="AU232" i="1"/>
  <c r="AU226" i="1"/>
  <c r="AU278" i="1"/>
  <c r="AU275" i="1"/>
  <c r="AU281" i="1"/>
  <c r="AU253" i="1"/>
  <c r="AU249" i="1"/>
  <c r="AU243" i="1"/>
  <c r="AU237" i="1"/>
  <c r="AU231" i="1"/>
  <c r="AU225" i="1"/>
  <c r="AU219" i="1"/>
  <c r="AU273" i="1"/>
  <c r="AU264" i="1"/>
  <c r="AU261" i="1"/>
  <c r="AU257" i="1"/>
  <c r="AU272" i="1"/>
  <c r="AU258" i="1"/>
  <c r="AU247" i="1"/>
  <c r="AU269" i="1"/>
  <c r="AU266" i="1"/>
  <c r="AU255" i="1"/>
  <c r="AU251" i="1"/>
  <c r="AU240" i="1"/>
  <c r="AU234" i="1"/>
  <c r="AU228" i="1"/>
  <c r="AU222" i="1"/>
  <c r="AU216" i="1"/>
  <c r="AU267" i="1"/>
  <c r="AU259" i="1"/>
  <c r="AU236" i="1"/>
  <c r="AU242" i="1"/>
  <c r="AU241" i="1"/>
  <c r="AU254" i="1"/>
  <c r="AU223" i="1"/>
  <c r="AU235" i="1"/>
  <c r="AU224" i="1"/>
  <c r="AU213" i="1"/>
  <c r="AU209" i="1"/>
  <c r="AU203" i="1"/>
  <c r="AU230" i="1"/>
  <c r="AU218" i="1"/>
  <c r="AU214" i="1"/>
  <c r="AU248" i="1"/>
  <c r="AU207" i="1"/>
  <c r="AU201" i="1"/>
  <c r="AU220" i="1"/>
  <c r="AU215" i="1"/>
  <c r="AU206" i="1"/>
  <c r="AU200" i="1"/>
  <c r="AU194" i="1"/>
  <c r="AU188" i="1"/>
  <c r="AU182" i="1"/>
  <c r="AU197" i="1"/>
  <c r="AU184" i="1"/>
  <c r="AU192" i="1"/>
  <c r="AU181" i="1"/>
  <c r="AU205" i="1"/>
  <c r="AU185" i="1"/>
  <c r="AU172" i="1"/>
  <c r="AU166" i="1"/>
  <c r="AU160" i="1"/>
  <c r="AU154" i="1"/>
  <c r="AU148" i="1"/>
  <c r="AU142" i="1"/>
  <c r="AU136" i="1"/>
  <c r="AU130" i="1"/>
  <c r="AU210" i="1"/>
  <c r="AU199" i="1"/>
  <c r="AU196" i="1"/>
  <c r="AU193" i="1"/>
  <c r="AU189" i="1"/>
  <c r="AU217" i="1"/>
  <c r="AU211" i="1"/>
  <c r="AU208" i="1"/>
  <c r="AU198" i="1"/>
  <c r="AU179" i="1"/>
  <c r="AU191" i="1"/>
  <c r="AU183" i="1"/>
  <c r="AU175" i="1"/>
  <c r="AU150" i="1"/>
  <c r="AU141" i="1"/>
  <c r="AU137" i="1"/>
  <c r="AU180" i="1"/>
  <c r="AU202" i="1"/>
  <c r="AU177" i="1"/>
  <c r="AU170" i="1"/>
  <c r="AU164" i="1"/>
  <c r="AU163" i="1"/>
  <c r="AU162" i="1"/>
  <c r="AU146" i="1"/>
  <c r="AU134" i="1"/>
  <c r="AU149" i="1"/>
  <c r="AU155" i="1"/>
  <c r="AU135" i="1"/>
  <c r="AU131" i="1"/>
  <c r="AU125" i="1"/>
  <c r="AU119" i="1"/>
  <c r="AU113" i="1"/>
  <c r="AU176" i="1"/>
  <c r="AU145" i="1"/>
  <c r="AU139" i="1"/>
  <c r="AU169" i="1"/>
  <c r="AU167" i="1"/>
  <c r="AU159" i="1"/>
  <c r="AU157" i="1"/>
  <c r="AU132" i="1"/>
  <c r="AU204" i="1"/>
  <c r="AU190" i="1"/>
  <c r="AU186" i="1"/>
  <c r="AU174" i="1"/>
  <c r="AU173" i="1"/>
  <c r="AU147" i="1"/>
  <c r="AU187" i="1"/>
  <c r="AU171" i="1"/>
  <c r="AU151" i="1"/>
  <c r="AU102" i="1"/>
  <c r="AU91" i="1"/>
  <c r="AU111" i="1"/>
  <c r="AU101" i="1"/>
  <c r="AU80" i="1"/>
  <c r="AU69" i="1"/>
  <c r="AU115" i="1"/>
  <c r="AU100" i="1"/>
  <c r="AU79" i="1"/>
  <c r="AU120" i="1"/>
  <c r="AU112" i="1"/>
  <c r="AU89" i="1"/>
  <c r="AU78" i="1"/>
  <c r="AU121" i="1"/>
  <c r="AU88" i="1"/>
  <c r="AU77" i="1"/>
  <c r="AU156" i="1"/>
  <c r="AU126" i="1"/>
  <c r="AU122" i="1"/>
  <c r="AU108" i="1"/>
  <c r="AU98" i="1"/>
  <c r="AU87" i="1"/>
  <c r="AU152" i="1"/>
  <c r="AU124" i="1"/>
  <c r="AU114" i="1"/>
  <c r="AU97" i="1"/>
  <c r="AU86" i="1"/>
  <c r="AU158" i="1"/>
  <c r="AU107" i="1"/>
  <c r="AU96" i="1"/>
  <c r="AU85" i="1"/>
  <c r="AU168" i="1"/>
  <c r="AU165" i="1"/>
  <c r="AU143" i="1"/>
  <c r="AU106" i="1"/>
  <c r="AU95" i="1"/>
  <c r="AU84" i="1"/>
  <c r="AU73" i="1"/>
  <c r="AU128" i="1"/>
  <c r="AU123" i="1"/>
  <c r="AU105" i="1"/>
  <c r="AU94" i="1"/>
  <c r="AU83" i="1"/>
  <c r="AU140" i="1"/>
  <c r="AU104" i="1"/>
  <c r="AU93" i="1"/>
  <c r="AU133" i="1"/>
  <c r="AU76" i="1"/>
  <c r="AU64" i="1"/>
  <c r="AU118" i="1"/>
  <c r="AU103" i="1"/>
  <c r="AU53" i="1"/>
  <c r="AU43" i="1"/>
  <c r="AU129" i="1"/>
  <c r="AU52" i="1"/>
  <c r="AU67" i="1"/>
  <c r="AU62" i="1"/>
  <c r="AU51" i="1"/>
  <c r="AU42" i="1"/>
  <c r="AU36" i="1"/>
  <c r="AU30" i="1"/>
  <c r="AU24" i="1"/>
  <c r="AU18" i="1"/>
  <c r="AU12" i="1"/>
  <c r="AU153" i="1"/>
  <c r="AU75" i="1"/>
  <c r="AU70" i="1"/>
  <c r="AU60" i="1"/>
  <c r="AU49" i="1"/>
  <c r="AU41" i="1"/>
  <c r="AU35" i="1"/>
  <c r="AU29" i="1"/>
  <c r="AU23" i="1"/>
  <c r="AU17" i="1"/>
  <c r="AU117" i="1"/>
  <c r="AU92" i="1"/>
  <c r="AU59" i="1"/>
  <c r="AU48" i="1"/>
  <c r="AU68" i="1"/>
  <c r="AU58" i="1"/>
  <c r="AU47" i="1"/>
  <c r="AU40" i="1"/>
  <c r="AU28" i="1"/>
  <c r="AU22" i="1"/>
  <c r="AU16" i="1"/>
  <c r="AU10" i="1"/>
  <c r="AU138" i="1"/>
  <c r="AU71" i="1"/>
  <c r="AU57" i="1"/>
  <c r="AU82" i="1"/>
  <c r="AU56" i="1"/>
  <c r="AU116" i="1"/>
  <c r="AU74" i="1"/>
  <c r="AU66" i="1"/>
  <c r="AU65" i="1"/>
  <c r="AU38" i="1"/>
  <c r="AU32" i="1"/>
  <c r="AU26" i="1"/>
  <c r="AU20" i="1"/>
  <c r="AU14" i="1"/>
  <c r="AU61" i="1"/>
  <c r="AU19" i="1"/>
  <c r="AU33" i="1"/>
  <c r="AU37" i="1"/>
  <c r="AU27" i="1"/>
  <c r="AU15" i="1"/>
  <c r="AU11" i="1"/>
  <c r="AU9" i="1"/>
  <c r="AU55" i="1"/>
  <c r="AU21" i="1"/>
  <c r="AU13" i="1"/>
  <c r="AU50" i="1"/>
  <c r="AU31" i="1"/>
  <c r="AU25" i="1"/>
  <c r="AU46" i="1"/>
  <c r="AU81" i="1" l="1"/>
  <c r="AU212" i="1"/>
  <c r="AU263" i="1"/>
  <c r="AU416" i="1"/>
  <c r="AU484" i="1"/>
  <c r="AU695" i="1"/>
  <c r="AS8" i="1"/>
  <c r="AS5" i="1"/>
  <c r="AU450" i="1"/>
  <c r="AU552" i="1"/>
  <c r="AT109" i="1"/>
  <c r="AU399" i="1"/>
  <c r="AW6" i="1"/>
  <c r="AX4" i="1"/>
  <c r="AU127" i="1"/>
  <c r="AU110" i="1"/>
  <c r="AU314" i="1"/>
  <c r="AV703" i="1"/>
  <c r="AV702" i="1"/>
  <c r="AV700" i="1"/>
  <c r="AV686" i="1"/>
  <c r="AV701" i="1"/>
  <c r="AV699" i="1"/>
  <c r="AV696" i="1"/>
  <c r="AV692" i="1"/>
  <c r="AV697" i="1"/>
  <c r="AV694" i="1"/>
  <c r="AV683" i="1"/>
  <c r="AV698" i="1"/>
  <c r="AV684" i="1"/>
  <c r="AV680" i="1"/>
  <c r="AV676" i="1"/>
  <c r="AV688" i="1"/>
  <c r="AV675" i="1"/>
  <c r="AV693" i="1"/>
  <c r="AV679" i="1"/>
  <c r="AV687" i="1"/>
  <c r="AV691" i="1"/>
  <c r="AV690" i="1"/>
  <c r="AV682" i="1"/>
  <c r="AV685" i="1"/>
  <c r="AV669" i="1"/>
  <c r="AV677" i="1"/>
  <c r="AV664" i="1"/>
  <c r="AV673" i="1"/>
  <c r="AV670" i="1"/>
  <c r="AV672" i="1"/>
  <c r="AV674" i="1"/>
  <c r="AV662" i="1"/>
  <c r="AV657" i="1"/>
  <c r="AV652" i="1"/>
  <c r="AV681" i="1"/>
  <c r="AV667" i="1"/>
  <c r="AV678" i="1"/>
  <c r="AV665" i="1"/>
  <c r="AV650" i="1"/>
  <c r="AV660" i="1"/>
  <c r="AV644" i="1"/>
  <c r="AV666" i="1"/>
  <c r="AV668" i="1"/>
  <c r="AV656" i="1"/>
  <c r="AV649" i="1"/>
  <c r="AV661" i="1"/>
  <c r="AV651" i="1"/>
  <c r="AV655" i="1"/>
  <c r="AV648" i="1"/>
  <c r="AV653" i="1"/>
  <c r="AV634" i="1"/>
  <c r="AV658" i="1"/>
  <c r="AV659" i="1"/>
  <c r="AV639" i="1"/>
  <c r="AV635" i="1"/>
  <c r="AV626" i="1"/>
  <c r="AV631" i="1"/>
  <c r="AV643" i="1"/>
  <c r="AV647" i="1"/>
  <c r="AV638" i="1"/>
  <c r="AV636" i="1"/>
  <c r="AV630" i="1"/>
  <c r="AV621" i="1"/>
  <c r="AV663" i="1"/>
  <c r="AV645" i="1"/>
  <c r="AV642" i="1"/>
  <c r="AV646" i="1"/>
  <c r="AV641" i="1"/>
  <c r="AV632" i="1"/>
  <c r="AV625" i="1"/>
  <c r="AV622" i="1"/>
  <c r="AV616" i="1"/>
  <c r="AV629" i="1"/>
  <c r="AV627" i="1"/>
  <c r="AV628" i="1"/>
  <c r="AV640" i="1"/>
  <c r="AV633" i="1"/>
  <c r="AV612" i="1"/>
  <c r="AV618" i="1"/>
  <c r="AV608" i="1"/>
  <c r="AV623" i="1"/>
  <c r="AV602" i="1"/>
  <c r="AV614" i="1"/>
  <c r="AV610" i="1"/>
  <c r="AV613" i="1"/>
  <c r="AV611" i="1"/>
  <c r="AV600" i="1"/>
  <c r="AV619" i="1"/>
  <c r="AV617" i="1"/>
  <c r="AV615" i="1"/>
  <c r="AV604" i="1"/>
  <c r="AV607" i="1"/>
  <c r="AV606" i="1"/>
  <c r="AV624" i="1"/>
  <c r="AV605" i="1"/>
  <c r="AV609" i="1"/>
  <c r="AV599" i="1"/>
  <c r="AV594" i="1"/>
  <c r="AV597" i="1"/>
  <c r="AV598" i="1"/>
  <c r="AV596" i="1"/>
  <c r="AV589" i="1"/>
  <c r="AV588" i="1"/>
  <c r="AV580" i="1"/>
  <c r="AV592" i="1"/>
  <c r="AV595" i="1"/>
  <c r="AV590" i="1"/>
  <c r="AV582" i="1"/>
  <c r="AV583" i="1"/>
  <c r="AV601" i="1"/>
  <c r="AV574" i="1"/>
  <c r="AV585" i="1"/>
  <c r="AV579" i="1"/>
  <c r="AV591" i="1"/>
  <c r="AV584" i="1"/>
  <c r="AV581" i="1"/>
  <c r="AV576" i="1"/>
  <c r="AV577" i="1"/>
  <c r="AV560" i="1"/>
  <c r="AV549" i="1"/>
  <c r="AV543" i="1"/>
  <c r="AV568" i="1"/>
  <c r="AV564" i="1"/>
  <c r="AV593" i="1"/>
  <c r="AV578" i="1"/>
  <c r="AV565" i="1"/>
  <c r="AV587" i="1"/>
  <c r="AV575" i="1"/>
  <c r="AV566" i="1"/>
  <c r="AV563" i="1"/>
  <c r="AV561" i="1"/>
  <c r="AV557" i="1"/>
  <c r="AV572" i="1"/>
  <c r="AV571" i="1"/>
  <c r="AV567" i="1"/>
  <c r="AV554" i="1"/>
  <c r="AV573" i="1"/>
  <c r="AV559" i="1"/>
  <c r="AV550" i="1"/>
  <c r="AV539" i="1"/>
  <c r="AV547" i="1"/>
  <c r="AV545" i="1"/>
  <c r="AV562" i="1"/>
  <c r="AV556" i="1"/>
  <c r="AV553" i="1"/>
  <c r="AV570" i="1"/>
  <c r="AV555" i="1"/>
  <c r="AV558" i="1"/>
  <c r="AV526" i="1"/>
  <c r="AV522" i="1"/>
  <c r="AV530" i="1"/>
  <c r="AV537" i="1"/>
  <c r="AV519" i="1"/>
  <c r="AV527" i="1"/>
  <c r="AV534" i="1"/>
  <c r="AV531" i="1"/>
  <c r="AV512" i="1"/>
  <c r="AV544" i="1"/>
  <c r="AV520" i="1"/>
  <c r="AV548" i="1"/>
  <c r="AV533" i="1"/>
  <c r="AV528" i="1"/>
  <c r="AV541" i="1"/>
  <c r="AV538" i="1"/>
  <c r="AV521" i="1"/>
  <c r="AV540" i="1"/>
  <c r="AV546" i="1"/>
  <c r="AV529" i="1"/>
  <c r="AV551" i="1"/>
  <c r="AV542" i="1"/>
  <c r="AV536" i="1"/>
  <c r="AV532" i="1"/>
  <c r="AV513" i="1"/>
  <c r="AV489" i="1"/>
  <c r="AV511" i="1"/>
  <c r="AV509" i="1"/>
  <c r="AV516" i="1"/>
  <c r="AV486" i="1"/>
  <c r="AV507" i="1"/>
  <c r="AV494" i="1"/>
  <c r="AV525" i="1"/>
  <c r="AV498" i="1"/>
  <c r="AV514" i="1"/>
  <c r="AV523" i="1"/>
  <c r="AV517" i="1"/>
  <c r="AV510" i="1"/>
  <c r="AV508" i="1"/>
  <c r="AV503" i="1"/>
  <c r="AV515" i="1"/>
  <c r="AV505" i="1"/>
  <c r="AV504" i="1"/>
  <c r="AV502" i="1"/>
  <c r="AV524" i="1"/>
  <c r="AV506" i="1"/>
  <c r="AV496" i="1"/>
  <c r="AV491" i="1"/>
  <c r="AV499" i="1"/>
  <c r="AV493" i="1"/>
  <c r="AV497" i="1"/>
  <c r="AV483" i="1"/>
  <c r="AV500" i="1"/>
  <c r="AV495" i="1"/>
  <c r="AV485" i="1"/>
  <c r="AV482" i="1"/>
  <c r="AV488" i="1"/>
  <c r="AV463" i="1"/>
  <c r="AV460" i="1"/>
  <c r="AV454" i="1"/>
  <c r="AV474" i="1"/>
  <c r="AV471" i="1"/>
  <c r="AV459" i="1"/>
  <c r="AV453" i="1"/>
  <c r="AV447" i="1"/>
  <c r="AV487" i="1"/>
  <c r="AV479" i="1"/>
  <c r="AV492" i="1"/>
  <c r="AV481" i="1"/>
  <c r="AV464" i="1"/>
  <c r="AV458" i="1"/>
  <c r="AV473" i="1"/>
  <c r="AV470" i="1"/>
  <c r="AV457" i="1"/>
  <c r="AV465" i="1"/>
  <c r="AV490" i="1"/>
  <c r="AV469" i="1"/>
  <c r="AV480" i="1"/>
  <c r="AV478" i="1"/>
  <c r="AV472" i="1"/>
  <c r="AV476" i="1"/>
  <c r="AV475" i="1"/>
  <c r="AV466" i="1"/>
  <c r="AV461" i="1"/>
  <c r="AV477" i="1"/>
  <c r="AV468" i="1"/>
  <c r="AV443" i="1"/>
  <c r="AV435" i="1"/>
  <c r="AV423" i="1"/>
  <c r="AV419" i="1"/>
  <c r="AV456" i="1"/>
  <c r="AV425" i="1"/>
  <c r="AV410" i="1"/>
  <c r="AV404" i="1"/>
  <c r="AV449" i="1"/>
  <c r="AV436" i="1"/>
  <c r="AV428" i="1"/>
  <c r="AV437" i="1"/>
  <c r="AV431" i="1"/>
  <c r="AV420" i="1"/>
  <c r="AV444" i="1"/>
  <c r="AV438" i="1"/>
  <c r="AV455" i="1"/>
  <c r="AV452" i="1"/>
  <c r="AV446" i="1"/>
  <c r="AV424" i="1"/>
  <c r="AV417" i="1"/>
  <c r="AV440" i="1"/>
  <c r="AV430" i="1"/>
  <c r="AV448" i="1"/>
  <c r="AV414" i="1"/>
  <c r="AV462" i="1"/>
  <c r="AV441" i="1"/>
  <c r="AV426" i="1"/>
  <c r="AV422" i="1"/>
  <c r="AV434" i="1"/>
  <c r="AV429" i="1"/>
  <c r="AV445" i="1"/>
  <c r="AV442" i="1"/>
  <c r="AV432" i="1"/>
  <c r="AV415" i="1"/>
  <c r="AV408" i="1"/>
  <c r="AV394" i="1"/>
  <c r="AV421" i="1"/>
  <c r="AV398" i="1"/>
  <c r="AV391" i="1"/>
  <c r="AV409" i="1"/>
  <c r="AV401" i="1"/>
  <c r="AV407" i="1"/>
  <c r="AV395" i="1"/>
  <c r="AV451" i="1"/>
  <c r="AV389" i="1"/>
  <c r="AV403" i="1"/>
  <c r="AV412" i="1"/>
  <c r="AV406" i="1"/>
  <c r="AV400" i="1"/>
  <c r="AV396" i="1"/>
  <c r="AV388" i="1"/>
  <c r="AV427" i="1"/>
  <c r="AV418" i="1"/>
  <c r="AV411" i="1"/>
  <c r="AV439" i="1"/>
  <c r="AV402" i="1"/>
  <c r="AV383" i="1"/>
  <c r="AV380" i="1"/>
  <c r="AV372" i="1"/>
  <c r="AV393" i="1"/>
  <c r="AV381" i="1"/>
  <c r="AV369" i="1"/>
  <c r="AV362" i="1"/>
  <c r="AV397" i="1"/>
  <c r="AV373" i="1"/>
  <c r="AV374" i="1"/>
  <c r="AV390" i="1"/>
  <c r="AV387" i="1"/>
  <c r="AV375" i="1"/>
  <c r="AV363" i="1"/>
  <c r="AV360" i="1"/>
  <c r="AV386" i="1"/>
  <c r="AV385" i="1"/>
  <c r="AV376" i="1"/>
  <c r="AV368" i="1"/>
  <c r="AV358" i="1"/>
  <c r="AV378" i="1"/>
  <c r="AV413" i="1"/>
  <c r="AV371" i="1"/>
  <c r="AV405" i="1"/>
  <c r="AV392" i="1"/>
  <c r="AV379" i="1"/>
  <c r="AV342" i="1"/>
  <c r="AV338" i="1"/>
  <c r="AV323" i="1"/>
  <c r="AV346" i="1"/>
  <c r="AV327" i="1"/>
  <c r="AV317" i="1"/>
  <c r="AV350" i="1"/>
  <c r="AV335" i="1"/>
  <c r="AV339" i="1"/>
  <c r="AV324" i="1"/>
  <c r="AV384" i="1"/>
  <c r="AV370" i="1"/>
  <c r="AV355" i="1"/>
  <c r="AV347" i="1"/>
  <c r="AV343" i="1"/>
  <c r="AV328" i="1"/>
  <c r="AV367" i="1"/>
  <c r="AV366" i="1"/>
  <c r="AV364" i="1"/>
  <c r="AV336" i="1"/>
  <c r="AV332" i="1"/>
  <c r="AV315" i="1"/>
  <c r="AV340" i="1"/>
  <c r="AV321" i="1"/>
  <c r="AV377" i="1"/>
  <c r="AV344" i="1"/>
  <c r="AV329" i="1"/>
  <c r="AV325" i="1"/>
  <c r="AV320" i="1"/>
  <c r="AV361" i="1"/>
  <c r="AV351" i="1"/>
  <c r="AV333" i="1"/>
  <c r="AV357" i="1"/>
  <c r="AV352" i="1"/>
  <c r="AV341" i="1"/>
  <c r="AV353" i="1"/>
  <c r="AV345" i="1"/>
  <c r="AV330" i="1"/>
  <c r="AV326" i="1"/>
  <c r="AV304" i="1"/>
  <c r="AV289" i="1"/>
  <c r="AV283" i="1"/>
  <c r="AV277" i="1"/>
  <c r="AV271" i="1"/>
  <c r="AV296" i="1"/>
  <c r="AV334" i="1"/>
  <c r="AV318" i="1"/>
  <c r="AV307" i="1"/>
  <c r="AV306" i="1"/>
  <c r="AV294" i="1"/>
  <c r="AV293" i="1"/>
  <c r="AV287" i="1"/>
  <c r="AV281" i="1"/>
  <c r="AV275" i="1"/>
  <c r="AV269" i="1"/>
  <c r="AV354" i="1"/>
  <c r="AV312" i="1"/>
  <c r="AV322" i="1"/>
  <c r="AV316" i="1"/>
  <c r="AV298" i="1"/>
  <c r="AV292" i="1"/>
  <c r="AV286" i="1"/>
  <c r="AV349" i="1"/>
  <c r="AV295" i="1"/>
  <c r="AV359" i="1"/>
  <c r="AV356" i="1"/>
  <c r="AV337" i="1"/>
  <c r="AV301" i="1"/>
  <c r="AV291" i="1"/>
  <c r="AV302" i="1"/>
  <c r="AV313" i="1"/>
  <c r="AV290" i="1"/>
  <c r="AV284" i="1"/>
  <c r="AV303" i="1"/>
  <c r="AV300" i="1"/>
  <c r="AV252" i="1"/>
  <c r="AV279" i="1"/>
  <c r="AV265" i="1"/>
  <c r="AV260" i="1"/>
  <c r="AV256" i="1"/>
  <c r="AV244" i="1"/>
  <c r="AV238" i="1"/>
  <c r="AV308" i="1"/>
  <c r="AV278" i="1"/>
  <c r="AV311" i="1"/>
  <c r="AV305" i="1"/>
  <c r="AV276" i="1"/>
  <c r="AV274" i="1"/>
  <c r="AV268" i="1"/>
  <c r="AV253" i="1"/>
  <c r="AV249" i="1"/>
  <c r="AV243" i="1"/>
  <c r="AV237" i="1"/>
  <c r="AV273" i="1"/>
  <c r="AV264" i="1"/>
  <c r="AV261" i="1"/>
  <c r="AV257" i="1"/>
  <c r="AV319" i="1"/>
  <c r="AV272" i="1"/>
  <c r="AV248" i="1"/>
  <c r="AV242" i="1"/>
  <c r="AV236" i="1"/>
  <c r="AV310" i="1"/>
  <c r="AV285" i="1"/>
  <c r="AV270" i="1"/>
  <c r="AV262" i="1"/>
  <c r="AV309" i="1"/>
  <c r="AV267" i="1"/>
  <c r="AV259" i="1"/>
  <c r="AV288" i="1"/>
  <c r="AV245" i="1"/>
  <c r="AV250" i="1"/>
  <c r="AV247" i="1"/>
  <c r="AV241" i="1"/>
  <c r="AV254" i="1"/>
  <c r="AV235" i="1"/>
  <c r="AV226" i="1"/>
  <c r="AV224" i="1"/>
  <c r="AV213" i="1"/>
  <c r="AV209" i="1"/>
  <c r="AV203" i="1"/>
  <c r="AV216" i="1"/>
  <c r="AV232" i="1"/>
  <c r="AV207" i="1"/>
  <c r="AV299" i="1"/>
  <c r="AV239" i="1"/>
  <c r="AV234" i="1"/>
  <c r="AV225" i="1"/>
  <c r="AV219" i="1"/>
  <c r="AV220" i="1"/>
  <c r="AV215" i="1"/>
  <c r="AV206" i="1"/>
  <c r="AV282" i="1"/>
  <c r="AV227" i="1"/>
  <c r="AV251" i="1"/>
  <c r="AV221" i="1"/>
  <c r="AV192" i="1"/>
  <c r="AV188" i="1"/>
  <c r="AV173" i="1"/>
  <c r="AV167" i="1"/>
  <c r="AV240" i="1"/>
  <c r="AV181" i="1"/>
  <c r="AV233" i="1"/>
  <c r="AV228" i="1"/>
  <c r="AV205" i="1"/>
  <c r="AV185" i="1"/>
  <c r="AV172" i="1"/>
  <c r="AV166" i="1"/>
  <c r="AV160" i="1"/>
  <c r="AV154" i="1"/>
  <c r="AV148" i="1"/>
  <c r="AV210" i="1"/>
  <c r="AV200" i="1"/>
  <c r="AV199" i="1"/>
  <c r="AV196" i="1"/>
  <c r="AV193" i="1"/>
  <c r="AV189" i="1"/>
  <c r="AV231" i="1"/>
  <c r="AV217" i="1"/>
  <c r="AV177" i="1"/>
  <c r="AV266" i="1"/>
  <c r="AV255" i="1"/>
  <c r="AV223" i="1"/>
  <c r="AV214" i="1"/>
  <c r="AV201" i="1"/>
  <c r="AV258" i="1"/>
  <c r="AV204" i="1"/>
  <c r="AV187" i="1"/>
  <c r="AV183" i="1"/>
  <c r="AV175" i="1"/>
  <c r="AV169" i="1"/>
  <c r="AV222" i="1"/>
  <c r="AV218" i="1"/>
  <c r="AV194" i="1"/>
  <c r="AV180" i="1"/>
  <c r="AV174" i="1"/>
  <c r="AV156" i="1"/>
  <c r="AV121" i="1"/>
  <c r="AV115" i="1"/>
  <c r="AV202" i="1"/>
  <c r="AV179" i="1"/>
  <c r="AV170" i="1"/>
  <c r="AV164" i="1"/>
  <c r="AV163" i="1"/>
  <c r="AV162" i="1"/>
  <c r="AV168" i="1"/>
  <c r="AV152" i="1"/>
  <c r="AV138" i="1"/>
  <c r="AV126" i="1"/>
  <c r="AV197" i="1"/>
  <c r="AV155" i="1"/>
  <c r="AV135" i="1"/>
  <c r="AV131" i="1"/>
  <c r="AV125" i="1"/>
  <c r="AV119" i="1"/>
  <c r="AV176" i="1"/>
  <c r="AV145" i="1"/>
  <c r="AV139" i="1"/>
  <c r="AV230" i="1"/>
  <c r="AV208" i="1"/>
  <c r="AV198" i="1"/>
  <c r="AV165" i="1"/>
  <c r="AV158" i="1"/>
  <c r="AV151" i="1"/>
  <c r="AV143" i="1"/>
  <c r="AV140" i="1"/>
  <c r="AV136" i="1"/>
  <c r="AV191" i="1"/>
  <c r="AV190" i="1"/>
  <c r="AV186" i="1"/>
  <c r="AV171" i="1"/>
  <c r="AV153" i="1"/>
  <c r="AV184" i="1"/>
  <c r="AV182" i="1"/>
  <c r="AV211" i="1"/>
  <c r="AV146" i="1"/>
  <c r="AV111" i="1"/>
  <c r="AV101" i="1"/>
  <c r="AV80" i="1"/>
  <c r="AV149" i="1"/>
  <c r="AV100" i="1"/>
  <c r="AV79" i="1"/>
  <c r="AV68" i="1"/>
  <c r="AV147" i="1"/>
  <c r="AV132" i="1"/>
  <c r="AV130" i="1"/>
  <c r="AV120" i="1"/>
  <c r="AV112" i="1"/>
  <c r="AV89" i="1"/>
  <c r="AV78" i="1"/>
  <c r="AV159" i="1"/>
  <c r="AV88" i="1"/>
  <c r="AV77" i="1"/>
  <c r="AV122" i="1"/>
  <c r="AV108" i="1"/>
  <c r="AV98" i="1"/>
  <c r="AV87" i="1"/>
  <c r="AV76" i="1"/>
  <c r="AV134" i="1"/>
  <c r="AV124" i="1"/>
  <c r="AV114" i="1"/>
  <c r="AV97" i="1"/>
  <c r="AV86" i="1"/>
  <c r="AV150" i="1"/>
  <c r="AV107" i="1"/>
  <c r="AV96" i="1"/>
  <c r="AV85" i="1"/>
  <c r="AV106" i="1"/>
  <c r="AV95" i="1"/>
  <c r="AV84" i="1"/>
  <c r="AV128" i="1"/>
  <c r="AV123" i="1"/>
  <c r="AV105" i="1"/>
  <c r="AV94" i="1"/>
  <c r="AV83" i="1"/>
  <c r="AV142" i="1"/>
  <c r="AV141" i="1"/>
  <c r="AV113" i="1"/>
  <c r="AV104" i="1"/>
  <c r="AV93" i="1"/>
  <c r="AV82" i="1"/>
  <c r="AV133" i="1"/>
  <c r="AV129" i="1"/>
  <c r="AV118" i="1"/>
  <c r="AV117" i="1"/>
  <c r="AV116" i="1"/>
  <c r="AV103" i="1"/>
  <c r="AV92" i="1"/>
  <c r="AV91" i="1"/>
  <c r="AV53" i="1"/>
  <c r="AV43" i="1"/>
  <c r="AV37" i="1"/>
  <c r="AV31" i="1"/>
  <c r="AV25" i="1"/>
  <c r="AV19" i="1"/>
  <c r="AV13" i="1"/>
  <c r="AV52" i="1"/>
  <c r="AV67" i="1"/>
  <c r="AV62" i="1"/>
  <c r="AV51" i="1"/>
  <c r="AV42" i="1"/>
  <c r="AV36" i="1"/>
  <c r="AV30" i="1"/>
  <c r="AV24" i="1"/>
  <c r="AV18" i="1"/>
  <c r="AV12" i="1"/>
  <c r="AV75" i="1"/>
  <c r="AV70" i="1"/>
  <c r="AV61" i="1"/>
  <c r="AV50" i="1"/>
  <c r="AV73" i="1"/>
  <c r="AV59" i="1"/>
  <c r="AV48" i="1"/>
  <c r="AV58" i="1"/>
  <c r="AV47" i="1"/>
  <c r="AV40" i="1"/>
  <c r="AV28" i="1"/>
  <c r="AV22" i="1"/>
  <c r="AV102" i="1"/>
  <c r="AV71" i="1"/>
  <c r="AV57" i="1"/>
  <c r="AV46" i="1"/>
  <c r="AV157" i="1"/>
  <c r="AV56" i="1"/>
  <c r="AV55" i="1"/>
  <c r="AV74" i="1"/>
  <c r="AV66" i="1"/>
  <c r="AV65" i="1"/>
  <c r="AV137" i="1"/>
  <c r="AV69" i="1"/>
  <c r="AV64" i="1"/>
  <c r="AV33" i="1"/>
  <c r="AV23" i="1"/>
  <c r="AV27" i="1"/>
  <c r="AV15" i="1"/>
  <c r="AV11" i="1"/>
  <c r="AV9" i="1"/>
  <c r="AV14" i="1"/>
  <c r="AV16" i="1"/>
  <c r="AV32" i="1"/>
  <c r="AV21" i="1"/>
  <c r="AV60" i="1"/>
  <c r="AV41" i="1"/>
  <c r="AV38" i="1"/>
  <c r="AV26" i="1"/>
  <c r="AV20" i="1"/>
  <c r="AV17" i="1"/>
  <c r="AV10" i="1"/>
  <c r="AV49" i="1"/>
  <c r="AV35" i="1"/>
  <c r="AV29" i="1"/>
  <c r="AU72" i="1"/>
  <c r="AU90" i="1"/>
  <c r="AU195" i="1"/>
  <c r="AU331" i="1"/>
  <c r="AU569" i="1"/>
  <c r="AU586" i="1"/>
  <c r="AU54" i="1"/>
  <c r="AU63" i="1"/>
  <c r="AU297" i="1"/>
  <c r="AU433" i="1"/>
  <c r="AU637" i="1"/>
  <c r="AU689" i="1"/>
  <c r="AU34" i="1"/>
  <c r="AU246" i="1"/>
  <c r="AU365" i="1"/>
  <c r="AU654" i="1"/>
  <c r="AU39" i="1"/>
  <c r="AU161" i="1"/>
  <c r="AU382" i="1"/>
  <c r="AU501" i="1"/>
  <c r="AU620" i="1"/>
  <c r="AU144" i="1"/>
  <c r="AU178" i="1"/>
  <c r="AU229" i="1"/>
  <c r="AU280" i="1"/>
  <c r="AU467" i="1"/>
  <c r="AU518" i="1"/>
  <c r="AU535" i="1"/>
  <c r="AU99" i="1"/>
  <c r="AT44" i="1"/>
  <c r="AT7" i="1" s="1"/>
  <c r="AU45" i="1"/>
  <c r="AU348" i="1"/>
  <c r="AU603" i="1"/>
  <c r="AU671" i="1"/>
  <c r="AV229" i="1" l="1"/>
  <c r="AV433" i="1"/>
  <c r="AV501" i="1"/>
  <c r="AV637" i="1"/>
  <c r="AV654" i="1"/>
  <c r="AV34" i="1"/>
  <c r="AV365" i="1"/>
  <c r="AV689" i="1"/>
  <c r="AT5" i="1"/>
  <c r="AT8" i="1"/>
  <c r="AV39" i="1"/>
  <c r="AV552" i="1"/>
  <c r="AV484" i="1"/>
  <c r="AU109" i="1"/>
  <c r="AV54" i="1"/>
  <c r="AV90" i="1"/>
  <c r="AV99" i="1"/>
  <c r="AV144" i="1"/>
  <c r="AV161" i="1"/>
  <c r="AV246" i="1"/>
  <c r="AV280" i="1"/>
  <c r="AV518" i="1"/>
  <c r="AX6" i="1"/>
  <c r="AY4" i="1"/>
  <c r="AU44" i="1"/>
  <c r="AV72" i="1"/>
  <c r="AV348" i="1"/>
  <c r="AV399" i="1"/>
  <c r="AW700" i="1"/>
  <c r="AW694" i="1"/>
  <c r="AW688" i="1"/>
  <c r="AW699" i="1"/>
  <c r="AW702" i="1"/>
  <c r="AW690" i="1"/>
  <c r="AW682" i="1"/>
  <c r="AW703" i="1"/>
  <c r="AW691" i="1"/>
  <c r="AW701" i="1"/>
  <c r="AW696" i="1"/>
  <c r="AW692" i="1"/>
  <c r="AW698" i="1"/>
  <c r="AW697" i="1"/>
  <c r="AW684" i="1"/>
  <c r="AW683" i="1"/>
  <c r="AW677" i="1"/>
  <c r="AW693" i="1"/>
  <c r="AW687" i="1"/>
  <c r="AW681" i="1"/>
  <c r="AW669" i="1"/>
  <c r="AW663" i="1"/>
  <c r="AW657" i="1"/>
  <c r="AW668" i="1"/>
  <c r="AW662" i="1"/>
  <c r="AW656" i="1"/>
  <c r="AW679" i="1"/>
  <c r="AW675" i="1"/>
  <c r="AW678" i="1"/>
  <c r="AW674" i="1"/>
  <c r="AW685" i="1"/>
  <c r="AW680" i="1"/>
  <c r="AW686" i="1"/>
  <c r="AW676" i="1"/>
  <c r="AW664" i="1"/>
  <c r="AW672" i="1"/>
  <c r="AW652" i="1"/>
  <c r="AW673" i="1"/>
  <c r="AW660" i="1"/>
  <c r="AW651" i="1"/>
  <c r="AW667" i="1"/>
  <c r="AW665" i="1"/>
  <c r="AW644" i="1"/>
  <c r="AW638" i="1"/>
  <c r="AW632" i="1"/>
  <c r="AW666" i="1"/>
  <c r="AW649" i="1"/>
  <c r="AW648" i="1"/>
  <c r="AW642" i="1"/>
  <c r="AW661" i="1"/>
  <c r="AW629" i="1"/>
  <c r="AW646" i="1"/>
  <c r="AW653" i="1"/>
  <c r="AW643" i="1"/>
  <c r="AW658" i="1"/>
  <c r="AW659" i="1"/>
  <c r="AW626" i="1"/>
  <c r="AW670" i="1"/>
  <c r="AW645" i="1"/>
  <c r="AW628" i="1"/>
  <c r="AW617" i="1"/>
  <c r="AW611" i="1"/>
  <c r="AW655" i="1"/>
  <c r="AW647" i="1"/>
  <c r="AW616" i="1"/>
  <c r="AW610" i="1"/>
  <c r="AW639" i="1"/>
  <c r="AW640" i="1"/>
  <c r="AW650" i="1"/>
  <c r="AW641" i="1"/>
  <c r="AW627" i="1"/>
  <c r="AW624" i="1"/>
  <c r="AW623" i="1"/>
  <c r="AW615" i="1"/>
  <c r="AW636" i="1"/>
  <c r="AW635" i="1"/>
  <c r="AW631" i="1"/>
  <c r="AW634" i="1"/>
  <c r="AW612" i="1"/>
  <c r="AW618" i="1"/>
  <c r="AW602" i="1"/>
  <c r="AW619" i="1"/>
  <c r="AW607" i="1"/>
  <c r="AW625" i="1"/>
  <c r="AW614" i="1"/>
  <c r="AW613" i="1"/>
  <c r="AW630" i="1"/>
  <c r="AW596" i="1"/>
  <c r="AW609" i="1"/>
  <c r="AW605" i="1"/>
  <c r="AW600" i="1"/>
  <c r="AW606" i="1"/>
  <c r="AW604" i="1"/>
  <c r="AW599" i="1"/>
  <c r="AW593" i="1"/>
  <c r="AW587" i="1"/>
  <c r="AW581" i="1"/>
  <c r="AW633" i="1"/>
  <c r="AW622" i="1"/>
  <c r="AW621" i="1"/>
  <c r="AW585" i="1"/>
  <c r="AW608" i="1"/>
  <c r="AW597" i="1"/>
  <c r="AW601" i="1"/>
  <c r="AW591" i="1"/>
  <c r="AW595" i="1"/>
  <c r="AW598" i="1"/>
  <c r="AW589" i="1"/>
  <c r="AW588" i="1"/>
  <c r="AW580" i="1"/>
  <c r="AW574" i="1"/>
  <c r="AW568" i="1"/>
  <c r="AW562" i="1"/>
  <c r="AW556" i="1"/>
  <c r="AW594" i="1"/>
  <c r="AW582" i="1"/>
  <c r="AW577" i="1"/>
  <c r="AW571" i="1"/>
  <c r="AW565" i="1"/>
  <c r="AW583" i="1"/>
  <c r="AW572" i="1"/>
  <c r="AW592" i="1"/>
  <c r="AW590" i="1"/>
  <c r="AW564" i="1"/>
  <c r="AW567" i="1"/>
  <c r="AW573" i="1"/>
  <c r="AW560" i="1"/>
  <c r="AW576" i="1"/>
  <c r="AW578" i="1"/>
  <c r="AW553" i="1"/>
  <c r="AW548" i="1"/>
  <c r="AW542" i="1"/>
  <c r="AW575" i="1"/>
  <c r="AW566" i="1"/>
  <c r="AW563" i="1"/>
  <c r="AW561" i="1"/>
  <c r="AW557" i="1"/>
  <c r="AW547" i="1"/>
  <c r="AW541" i="1"/>
  <c r="AW579" i="1"/>
  <c r="AW554" i="1"/>
  <c r="AW584" i="1"/>
  <c r="AW558" i="1"/>
  <c r="AW546" i="1"/>
  <c r="AW559" i="1"/>
  <c r="AW539" i="1"/>
  <c r="AW533" i="1"/>
  <c r="AW527" i="1"/>
  <c r="AW521" i="1"/>
  <c r="AW515" i="1"/>
  <c r="AW509" i="1"/>
  <c r="AW503" i="1"/>
  <c r="AW545" i="1"/>
  <c r="AW543" i="1"/>
  <c r="AW570" i="1"/>
  <c r="AW551" i="1"/>
  <c r="AW549" i="1"/>
  <c r="AW536" i="1"/>
  <c r="AW550" i="1"/>
  <c r="AW530" i="1"/>
  <c r="AW537" i="1"/>
  <c r="AW523" i="1"/>
  <c r="AW508" i="1"/>
  <c r="AW504" i="1"/>
  <c r="AW534" i="1"/>
  <c r="AW531" i="1"/>
  <c r="AW544" i="1"/>
  <c r="AW520" i="1"/>
  <c r="AW516" i="1"/>
  <c r="AW495" i="1"/>
  <c r="AW489" i="1"/>
  <c r="AW483" i="1"/>
  <c r="AW477" i="1"/>
  <c r="AW524" i="1"/>
  <c r="AW555" i="1"/>
  <c r="AW528" i="1"/>
  <c r="AW538" i="1"/>
  <c r="AW540" i="1"/>
  <c r="AW525" i="1"/>
  <c r="AW529" i="1"/>
  <c r="AW532" i="1"/>
  <c r="AW526" i="1"/>
  <c r="AW522" i="1"/>
  <c r="AW507" i="1"/>
  <c r="AW493" i="1"/>
  <c r="AW511" i="1"/>
  <c r="AW497" i="1"/>
  <c r="AW494" i="1"/>
  <c r="AW490" i="1"/>
  <c r="AW498" i="1"/>
  <c r="AW514" i="1"/>
  <c r="AW487" i="1"/>
  <c r="AW512" i="1"/>
  <c r="AW499" i="1"/>
  <c r="AW517" i="1"/>
  <c r="AW510" i="1"/>
  <c r="AW519" i="1"/>
  <c r="AW505" i="1"/>
  <c r="AW502" i="1"/>
  <c r="AW506" i="1"/>
  <c r="AW500" i="1"/>
  <c r="AW513" i="1"/>
  <c r="AW491" i="1"/>
  <c r="AW481" i="1"/>
  <c r="AW492" i="1"/>
  <c r="AW478" i="1"/>
  <c r="AW475" i="1"/>
  <c r="AW469" i="1"/>
  <c r="AW463" i="1"/>
  <c r="AW474" i="1"/>
  <c r="AW468" i="1"/>
  <c r="AW488" i="1"/>
  <c r="AW496" i="1"/>
  <c r="AW480" i="1"/>
  <c r="AW471" i="1"/>
  <c r="AW459" i="1"/>
  <c r="AW453" i="1"/>
  <c r="AW447" i="1"/>
  <c r="AW441" i="1"/>
  <c r="AW435" i="1"/>
  <c r="AW429" i="1"/>
  <c r="AW423" i="1"/>
  <c r="AW417" i="1"/>
  <c r="AW479" i="1"/>
  <c r="AW464" i="1"/>
  <c r="AW458" i="1"/>
  <c r="AW452" i="1"/>
  <c r="AW446" i="1"/>
  <c r="AW440" i="1"/>
  <c r="AW434" i="1"/>
  <c r="AW482" i="1"/>
  <c r="AW473" i="1"/>
  <c r="AW470" i="1"/>
  <c r="AW486" i="1"/>
  <c r="AW457" i="1"/>
  <c r="AW465" i="1"/>
  <c r="AW456" i="1"/>
  <c r="AW444" i="1"/>
  <c r="AW438" i="1"/>
  <c r="AW432" i="1"/>
  <c r="AW426" i="1"/>
  <c r="AW472" i="1"/>
  <c r="AW462" i="1"/>
  <c r="AW476" i="1"/>
  <c r="AW466" i="1"/>
  <c r="AW485" i="1"/>
  <c r="AW425" i="1"/>
  <c r="AW449" i="1"/>
  <c r="AW436" i="1"/>
  <c r="AW428" i="1"/>
  <c r="AW437" i="1"/>
  <c r="AW431" i="1"/>
  <c r="AW420" i="1"/>
  <c r="AW455" i="1"/>
  <c r="AW424" i="1"/>
  <c r="AW408" i="1"/>
  <c r="AW451" i="1"/>
  <c r="AW439" i="1"/>
  <c r="AW427" i="1"/>
  <c r="AW421" i="1"/>
  <c r="AW448" i="1"/>
  <c r="AW461" i="1"/>
  <c r="AW460" i="1"/>
  <c r="AW422" i="1"/>
  <c r="AW418" i="1"/>
  <c r="AW412" i="1"/>
  <c r="AW406" i="1"/>
  <c r="AW400" i="1"/>
  <c r="AW394" i="1"/>
  <c r="AW454" i="1"/>
  <c r="AW445" i="1"/>
  <c r="AW442" i="1"/>
  <c r="AW443" i="1"/>
  <c r="AW419" i="1"/>
  <c r="AW398" i="1"/>
  <c r="AW391" i="1"/>
  <c r="AW385" i="1"/>
  <c r="AW409" i="1"/>
  <c r="AW401" i="1"/>
  <c r="AW407" i="1"/>
  <c r="AW404" i="1"/>
  <c r="AW390" i="1"/>
  <c r="AW384" i="1"/>
  <c r="AW378" i="1"/>
  <c r="AW372" i="1"/>
  <c r="AW415" i="1"/>
  <c r="AW410" i="1"/>
  <c r="AW395" i="1"/>
  <c r="AW414" i="1"/>
  <c r="AW389" i="1"/>
  <c r="AW383" i="1"/>
  <c r="AW377" i="1"/>
  <c r="AW371" i="1"/>
  <c r="AW430" i="1"/>
  <c r="AW403" i="1"/>
  <c r="AW396" i="1"/>
  <c r="AW411" i="1"/>
  <c r="AW393" i="1"/>
  <c r="AW387" i="1"/>
  <c r="AW381" i="1"/>
  <c r="AW375" i="1"/>
  <c r="AW402" i="1"/>
  <c r="AW413" i="1"/>
  <c r="AW405" i="1"/>
  <c r="AW369" i="1"/>
  <c r="AW362" i="1"/>
  <c r="AW397" i="1"/>
  <c r="AW373" i="1"/>
  <c r="AW366" i="1"/>
  <c r="AW361" i="1"/>
  <c r="AW355" i="1"/>
  <c r="AW374" i="1"/>
  <c r="AW363" i="1"/>
  <c r="AW360" i="1"/>
  <c r="AW354" i="1"/>
  <c r="AW342" i="1"/>
  <c r="AW336" i="1"/>
  <c r="AW330" i="1"/>
  <c r="AW324" i="1"/>
  <c r="AW386" i="1"/>
  <c r="AW367" i="1"/>
  <c r="AW364" i="1"/>
  <c r="AW370" i="1"/>
  <c r="AW392" i="1"/>
  <c r="AW379" i="1"/>
  <c r="AW380" i="1"/>
  <c r="AW356" i="1"/>
  <c r="AW388" i="1"/>
  <c r="AW346" i="1"/>
  <c r="AW327" i="1"/>
  <c r="AW317" i="1"/>
  <c r="AW311" i="1"/>
  <c r="AW305" i="1"/>
  <c r="AW299" i="1"/>
  <c r="AW350" i="1"/>
  <c r="AW335" i="1"/>
  <c r="AW339" i="1"/>
  <c r="AW316" i="1"/>
  <c r="AW310" i="1"/>
  <c r="AW304" i="1"/>
  <c r="AW376" i="1"/>
  <c r="AW347" i="1"/>
  <c r="AW343" i="1"/>
  <c r="AW328" i="1"/>
  <c r="AW332" i="1"/>
  <c r="AW315" i="1"/>
  <c r="AW309" i="1"/>
  <c r="AW340" i="1"/>
  <c r="AW321" i="1"/>
  <c r="AW344" i="1"/>
  <c r="AW329" i="1"/>
  <c r="AW325" i="1"/>
  <c r="AW320" i="1"/>
  <c r="AW308" i="1"/>
  <c r="AW302" i="1"/>
  <c r="AW296" i="1"/>
  <c r="AW351" i="1"/>
  <c r="AW333" i="1"/>
  <c r="AW368" i="1"/>
  <c r="AW358" i="1"/>
  <c r="AW357" i="1"/>
  <c r="AW352" i="1"/>
  <c r="AW341" i="1"/>
  <c r="AW337" i="1"/>
  <c r="AW322" i="1"/>
  <c r="AW319" i="1"/>
  <c r="AW353" i="1"/>
  <c r="AW345" i="1"/>
  <c r="AW359" i="1"/>
  <c r="AW349" i="1"/>
  <c r="AW334" i="1"/>
  <c r="AW318" i="1"/>
  <c r="AW312" i="1"/>
  <c r="AW326" i="1"/>
  <c r="AW288" i="1"/>
  <c r="AW282" i="1"/>
  <c r="AW276" i="1"/>
  <c r="AW270" i="1"/>
  <c r="AW264" i="1"/>
  <c r="AW306" i="1"/>
  <c r="AW294" i="1"/>
  <c r="AW293" i="1"/>
  <c r="AW287" i="1"/>
  <c r="AW281" i="1"/>
  <c r="AW275" i="1"/>
  <c r="AW269" i="1"/>
  <c r="AW298" i="1"/>
  <c r="AW292" i="1"/>
  <c r="AW286" i="1"/>
  <c r="AW295" i="1"/>
  <c r="AW301" i="1"/>
  <c r="AW291" i="1"/>
  <c r="AW285" i="1"/>
  <c r="AW279" i="1"/>
  <c r="AW273" i="1"/>
  <c r="AW267" i="1"/>
  <c r="AW261" i="1"/>
  <c r="AW255" i="1"/>
  <c r="AW323" i="1"/>
  <c r="AW313" i="1"/>
  <c r="AW290" i="1"/>
  <c r="AW284" i="1"/>
  <c r="AW338" i="1"/>
  <c r="AW303" i="1"/>
  <c r="AW300" i="1"/>
  <c r="AW289" i="1"/>
  <c r="AW265" i="1"/>
  <c r="AW260" i="1"/>
  <c r="AW256" i="1"/>
  <c r="AW244" i="1"/>
  <c r="AW238" i="1"/>
  <c r="AW232" i="1"/>
  <c r="AW226" i="1"/>
  <c r="AW220" i="1"/>
  <c r="AW278" i="1"/>
  <c r="AW274" i="1"/>
  <c r="AW268" i="1"/>
  <c r="AW253" i="1"/>
  <c r="AW249" i="1"/>
  <c r="AW243" i="1"/>
  <c r="AW237" i="1"/>
  <c r="AW231" i="1"/>
  <c r="AW225" i="1"/>
  <c r="AW277" i="1"/>
  <c r="AW257" i="1"/>
  <c r="AW272" i="1"/>
  <c r="AW248" i="1"/>
  <c r="AW242" i="1"/>
  <c r="AW236" i="1"/>
  <c r="AW230" i="1"/>
  <c r="AW224" i="1"/>
  <c r="AW218" i="1"/>
  <c r="AW254" i="1"/>
  <c r="AW250" i="1"/>
  <c r="AW307" i="1"/>
  <c r="AW271" i="1"/>
  <c r="AW258" i="1"/>
  <c r="AW266" i="1"/>
  <c r="AW251" i="1"/>
  <c r="AW283" i="1"/>
  <c r="AW245" i="1"/>
  <c r="AW239" i="1"/>
  <c r="AW233" i="1"/>
  <c r="AW227" i="1"/>
  <c r="AW221" i="1"/>
  <c r="AW215" i="1"/>
  <c r="AW252" i="1"/>
  <c r="AW259" i="1"/>
  <c r="AW235" i="1"/>
  <c r="AW216" i="1"/>
  <c r="AW240" i="1"/>
  <c r="AW228" i="1"/>
  <c r="AW217" i="1"/>
  <c r="AW208" i="1"/>
  <c r="AW202" i="1"/>
  <c r="AW262" i="1"/>
  <c r="AW234" i="1"/>
  <c r="AW219" i="1"/>
  <c r="AW206" i="1"/>
  <c r="AW200" i="1"/>
  <c r="AW194" i="1"/>
  <c r="AW211" i="1"/>
  <c r="AW205" i="1"/>
  <c r="AW199" i="1"/>
  <c r="AW193" i="1"/>
  <c r="AW187" i="1"/>
  <c r="AW181" i="1"/>
  <c r="AW203" i="1"/>
  <c r="AW185" i="1"/>
  <c r="AW210" i="1"/>
  <c r="AW207" i="1"/>
  <c r="AW196" i="1"/>
  <c r="AW189" i="1"/>
  <c r="AW177" i="1"/>
  <c r="AW171" i="1"/>
  <c r="AW165" i="1"/>
  <c r="AW159" i="1"/>
  <c r="AW153" i="1"/>
  <c r="AW147" i="1"/>
  <c r="AW141" i="1"/>
  <c r="AW135" i="1"/>
  <c r="AW129" i="1"/>
  <c r="AW223" i="1"/>
  <c r="AW214" i="1"/>
  <c r="AW201" i="1"/>
  <c r="AW186" i="1"/>
  <c r="AW182" i="1"/>
  <c r="AW222" i="1"/>
  <c r="AW191" i="1"/>
  <c r="AW213" i="1"/>
  <c r="AW197" i="1"/>
  <c r="AW184" i="1"/>
  <c r="AW180" i="1"/>
  <c r="AW179" i="1"/>
  <c r="AW170" i="1"/>
  <c r="AW166" i="1"/>
  <c r="AW164" i="1"/>
  <c r="AW163" i="1"/>
  <c r="AW162" i="1"/>
  <c r="AW146" i="1"/>
  <c r="AW134" i="1"/>
  <c r="AW130" i="1"/>
  <c r="AW168" i="1"/>
  <c r="AW149" i="1"/>
  <c r="AW142" i="1"/>
  <c r="AW176" i="1"/>
  <c r="AW145" i="1"/>
  <c r="AW139" i="1"/>
  <c r="AW198" i="1"/>
  <c r="AW158" i="1"/>
  <c r="AW151" i="1"/>
  <c r="AW143" i="1"/>
  <c r="AW128" i="1"/>
  <c r="AW124" i="1"/>
  <c r="AW118" i="1"/>
  <c r="AW241" i="1"/>
  <c r="AW157" i="1"/>
  <c r="AW148" i="1"/>
  <c r="AW132" i="1"/>
  <c r="AW247" i="1"/>
  <c r="AW204" i="1"/>
  <c r="AW192" i="1"/>
  <c r="AW190" i="1"/>
  <c r="AW174" i="1"/>
  <c r="AW173" i="1"/>
  <c r="AW172" i="1"/>
  <c r="AW160" i="1"/>
  <c r="AW188" i="1"/>
  <c r="AW150" i="1"/>
  <c r="AW137" i="1"/>
  <c r="AW183" i="1"/>
  <c r="AW175" i="1"/>
  <c r="AW169" i="1"/>
  <c r="AW119" i="1"/>
  <c r="AW100" i="1"/>
  <c r="AW79" i="1"/>
  <c r="AW120" i="1"/>
  <c r="AW115" i="1"/>
  <c r="AW112" i="1"/>
  <c r="AW89" i="1"/>
  <c r="AW78" i="1"/>
  <c r="AW67" i="1"/>
  <c r="AW88" i="1"/>
  <c r="AW77" i="1"/>
  <c r="AW122" i="1"/>
  <c r="AW121" i="1"/>
  <c r="AW108" i="1"/>
  <c r="AW98" i="1"/>
  <c r="AW87" i="1"/>
  <c r="AW76" i="1"/>
  <c r="AW209" i="1"/>
  <c r="AW167" i="1"/>
  <c r="AW156" i="1"/>
  <c r="AW126" i="1"/>
  <c r="AW114" i="1"/>
  <c r="AW97" i="1"/>
  <c r="AW86" i="1"/>
  <c r="AW75" i="1"/>
  <c r="AW154" i="1"/>
  <c r="AW152" i="1"/>
  <c r="AW125" i="1"/>
  <c r="AW107" i="1"/>
  <c r="AW96" i="1"/>
  <c r="AW85" i="1"/>
  <c r="AW106" i="1"/>
  <c r="AW95" i="1"/>
  <c r="AW84" i="1"/>
  <c r="AW131" i="1"/>
  <c r="AW123" i="1"/>
  <c r="AW105" i="1"/>
  <c r="AW94" i="1"/>
  <c r="AW83" i="1"/>
  <c r="AW113" i="1"/>
  <c r="AW104" i="1"/>
  <c r="AW93" i="1"/>
  <c r="AW82" i="1"/>
  <c r="AW140" i="1"/>
  <c r="AW133" i="1"/>
  <c r="AW117" i="1"/>
  <c r="AW116" i="1"/>
  <c r="AW103" i="1"/>
  <c r="AW92" i="1"/>
  <c r="AW138" i="1"/>
  <c r="AW136" i="1"/>
  <c r="AW102" i="1"/>
  <c r="AW91" i="1"/>
  <c r="AW155" i="1"/>
  <c r="AW52" i="1"/>
  <c r="AW101" i="1"/>
  <c r="AW62" i="1"/>
  <c r="AW51" i="1"/>
  <c r="AW111" i="1"/>
  <c r="AW70" i="1"/>
  <c r="AW61" i="1"/>
  <c r="AW50" i="1"/>
  <c r="AW60" i="1"/>
  <c r="AW49" i="1"/>
  <c r="AW41" i="1"/>
  <c r="AW35" i="1"/>
  <c r="AW29" i="1"/>
  <c r="AW23" i="1"/>
  <c r="AW17" i="1"/>
  <c r="AW11" i="1"/>
  <c r="AW73" i="1"/>
  <c r="AW80" i="1"/>
  <c r="AW58" i="1"/>
  <c r="AW47" i="1"/>
  <c r="AW40" i="1"/>
  <c r="AW28" i="1"/>
  <c r="AW22" i="1"/>
  <c r="AW16" i="1"/>
  <c r="AW71" i="1"/>
  <c r="AW68" i="1"/>
  <c r="AW57" i="1"/>
  <c r="AW46" i="1"/>
  <c r="AW56" i="1"/>
  <c r="AW33" i="1"/>
  <c r="AW27" i="1"/>
  <c r="AW21" i="1"/>
  <c r="AW15" i="1"/>
  <c r="AW9" i="1"/>
  <c r="AW55" i="1"/>
  <c r="AW74" i="1"/>
  <c r="AW66" i="1"/>
  <c r="AW65" i="1"/>
  <c r="AW38" i="1"/>
  <c r="AW69" i="1"/>
  <c r="AW64" i="1"/>
  <c r="AW53" i="1"/>
  <c r="AW43" i="1"/>
  <c r="AW37" i="1"/>
  <c r="AW31" i="1"/>
  <c r="AW25" i="1"/>
  <c r="AW19" i="1"/>
  <c r="AW59" i="1"/>
  <c r="AW36" i="1"/>
  <c r="AW48" i="1"/>
  <c r="AW42" i="1"/>
  <c r="AW18" i="1"/>
  <c r="AW32" i="1"/>
  <c r="AW14" i="1"/>
  <c r="AW13" i="1"/>
  <c r="AW26" i="1"/>
  <c r="AW24" i="1"/>
  <c r="AW20" i="1"/>
  <c r="AW10" i="1"/>
  <c r="AW30" i="1"/>
  <c r="AW12" i="1"/>
  <c r="AV45" i="1"/>
  <c r="AV586" i="1"/>
  <c r="AV603" i="1"/>
  <c r="AV695" i="1"/>
  <c r="AV110" i="1"/>
  <c r="AV178" i="1"/>
  <c r="AV467" i="1"/>
  <c r="AV671" i="1"/>
  <c r="AV297" i="1"/>
  <c r="AV63" i="1"/>
  <c r="AV127" i="1"/>
  <c r="AV195" i="1"/>
  <c r="AV212" i="1"/>
  <c r="AV263" i="1"/>
  <c r="AV382" i="1"/>
  <c r="AV314" i="1"/>
  <c r="AV450" i="1"/>
  <c r="AV416" i="1"/>
  <c r="AV535" i="1"/>
  <c r="AV620" i="1"/>
  <c r="AU7" i="1"/>
  <c r="AV81" i="1"/>
  <c r="AV331" i="1"/>
  <c r="AV569" i="1"/>
  <c r="AW45" i="1" l="1"/>
  <c r="AW144" i="1"/>
  <c r="AW654" i="1"/>
  <c r="AW433" i="1"/>
  <c r="AW535" i="1"/>
  <c r="AV44" i="1"/>
  <c r="AW297" i="1"/>
  <c r="AW382" i="1"/>
  <c r="AW178" i="1"/>
  <c r="AW81" i="1"/>
  <c r="AW280" i="1"/>
  <c r="AW586" i="1"/>
  <c r="AW671" i="1"/>
  <c r="AW34" i="1"/>
  <c r="AW569" i="1"/>
  <c r="AW695" i="1"/>
  <c r="AW54" i="1"/>
  <c r="AW90" i="1"/>
  <c r="AW212" i="1"/>
  <c r="AW229" i="1"/>
  <c r="AW348" i="1"/>
  <c r="AW314" i="1"/>
  <c r="AW552" i="1"/>
  <c r="AU5" i="1"/>
  <c r="AU8" i="1"/>
  <c r="AW127" i="1"/>
  <c r="AW331" i="1"/>
  <c r="AW365" i="1"/>
  <c r="AW603" i="1"/>
  <c r="AW39" i="1"/>
  <c r="AW637" i="1"/>
  <c r="AZ4" i="1"/>
  <c r="AY6" i="1"/>
  <c r="AW99" i="1"/>
  <c r="AW161" i="1"/>
  <c r="AW263" i="1"/>
  <c r="AW416" i="1"/>
  <c r="AW467" i="1"/>
  <c r="AW501" i="1"/>
  <c r="AX702" i="1"/>
  <c r="AX697" i="1"/>
  <c r="AX694" i="1"/>
  <c r="AX703" i="1"/>
  <c r="AX700" i="1"/>
  <c r="AX701" i="1"/>
  <c r="AX696" i="1"/>
  <c r="AX695" i="1" s="1"/>
  <c r="AX699" i="1"/>
  <c r="AX692" i="1"/>
  <c r="AX688" i="1"/>
  <c r="AX685" i="1"/>
  <c r="AX698" i="1"/>
  <c r="AX680" i="1"/>
  <c r="AX679" i="1"/>
  <c r="AX687" i="1"/>
  <c r="AX691" i="1"/>
  <c r="AX675" i="1"/>
  <c r="AX693" i="1"/>
  <c r="AX678" i="1"/>
  <c r="AX690" i="1"/>
  <c r="AX686" i="1"/>
  <c r="AX683" i="1"/>
  <c r="AX681" i="1"/>
  <c r="AX682" i="1"/>
  <c r="AX674" i="1"/>
  <c r="AX672" i="1"/>
  <c r="AX676" i="1"/>
  <c r="AX684" i="1"/>
  <c r="AX677" i="1"/>
  <c r="AX664" i="1"/>
  <c r="AX660" i="1"/>
  <c r="AX657" i="1"/>
  <c r="AX673" i="1"/>
  <c r="AX670" i="1"/>
  <c r="AX651" i="1"/>
  <c r="AX667" i="1"/>
  <c r="AX656" i="1"/>
  <c r="AX668" i="1"/>
  <c r="AX666" i="1"/>
  <c r="AX643" i="1"/>
  <c r="AX662" i="1"/>
  <c r="AX648" i="1"/>
  <c r="AX653" i="1"/>
  <c r="AX658" i="1"/>
  <c r="AX669" i="1"/>
  <c r="AX663" i="1"/>
  <c r="AX661" i="1"/>
  <c r="AX646" i="1"/>
  <c r="AX633" i="1"/>
  <c r="AX665" i="1"/>
  <c r="AX647" i="1"/>
  <c r="AX631" i="1"/>
  <c r="AX627" i="1"/>
  <c r="AX659" i="1"/>
  <c r="AX649" i="1"/>
  <c r="AX645" i="1"/>
  <c r="AX628" i="1"/>
  <c r="AX650" i="1"/>
  <c r="AX636" i="1"/>
  <c r="AX632" i="1"/>
  <c r="AX625" i="1"/>
  <c r="AX655" i="1"/>
  <c r="AX644" i="1"/>
  <c r="AX630" i="1"/>
  <c r="AX621" i="1"/>
  <c r="AX638" i="1"/>
  <c r="AX629" i="1"/>
  <c r="AX618" i="1"/>
  <c r="AX642" i="1"/>
  <c r="AX639" i="1"/>
  <c r="AX640" i="1"/>
  <c r="AX623" i="1"/>
  <c r="AX626" i="1"/>
  <c r="AX635" i="1"/>
  <c r="AX634" i="1"/>
  <c r="AX652" i="1"/>
  <c r="AX619" i="1"/>
  <c r="AX607" i="1"/>
  <c r="AX641" i="1"/>
  <c r="AX615" i="1"/>
  <c r="AX610" i="1"/>
  <c r="AX622" i="1"/>
  <c r="AX614" i="1"/>
  <c r="AX612" i="1"/>
  <c r="AX609" i="1"/>
  <c r="AX605" i="1"/>
  <c r="AX613" i="1"/>
  <c r="AX611" i="1"/>
  <c r="AX606" i="1"/>
  <c r="AX604" i="1"/>
  <c r="AX599" i="1"/>
  <c r="AX617" i="1"/>
  <c r="AX616" i="1"/>
  <c r="AX624" i="1"/>
  <c r="AX608" i="1"/>
  <c r="AX589" i="1"/>
  <c r="AX602" i="1"/>
  <c r="AX601" i="1"/>
  <c r="AX598" i="1"/>
  <c r="AX596" i="1"/>
  <c r="AX591" i="1"/>
  <c r="AX595" i="1"/>
  <c r="AX600" i="1"/>
  <c r="AX597" i="1"/>
  <c r="AX588" i="1"/>
  <c r="AX580" i="1"/>
  <c r="AX592" i="1"/>
  <c r="AX587" i="1"/>
  <c r="AX584" i="1"/>
  <c r="AX581" i="1"/>
  <c r="AX579" i="1"/>
  <c r="AX593" i="1"/>
  <c r="AX583" i="1"/>
  <c r="AX578" i="1"/>
  <c r="AX575" i="1"/>
  <c r="AX590" i="1"/>
  <c r="AX574" i="1"/>
  <c r="AX567" i="1"/>
  <c r="AX582" i="1"/>
  <c r="AX570" i="1"/>
  <c r="AX577" i="1"/>
  <c r="AX576" i="1"/>
  <c r="AX594" i="1"/>
  <c r="AX568" i="1"/>
  <c r="AX564" i="1"/>
  <c r="AX553" i="1"/>
  <c r="AX548" i="1"/>
  <c r="AX542" i="1"/>
  <c r="AX566" i="1"/>
  <c r="AX565" i="1"/>
  <c r="AX563" i="1"/>
  <c r="AX561" i="1"/>
  <c r="AX557" i="1"/>
  <c r="AX572" i="1"/>
  <c r="AX554" i="1"/>
  <c r="AX571" i="1"/>
  <c r="AX558" i="1"/>
  <c r="AX562" i="1"/>
  <c r="AX585" i="1"/>
  <c r="AX573" i="1"/>
  <c r="AX539" i="1"/>
  <c r="AX545" i="1"/>
  <c r="AX543" i="1"/>
  <c r="AX547" i="1"/>
  <c r="AX538" i="1"/>
  <c r="AX560" i="1"/>
  <c r="AX556" i="1"/>
  <c r="AX551" i="1"/>
  <c r="AX549" i="1"/>
  <c r="AX546" i="1"/>
  <c r="AX544" i="1"/>
  <c r="AX559" i="1"/>
  <c r="AX537" i="1"/>
  <c r="AX519" i="1"/>
  <c r="AX523" i="1"/>
  <c r="AX550" i="1"/>
  <c r="AX534" i="1"/>
  <c r="AX531" i="1"/>
  <c r="AX527" i="1"/>
  <c r="AX512" i="1"/>
  <c r="AX524" i="1"/>
  <c r="AX505" i="1"/>
  <c r="AX555" i="1"/>
  <c r="AX528" i="1"/>
  <c r="AX533" i="1"/>
  <c r="AX541" i="1"/>
  <c r="AX540" i="1"/>
  <c r="AX525" i="1"/>
  <c r="AX529" i="1"/>
  <c r="AX532" i="1"/>
  <c r="AX536" i="1"/>
  <c r="AX526" i="1"/>
  <c r="AX522" i="1"/>
  <c r="AX530" i="1"/>
  <c r="AX511" i="1"/>
  <c r="AX497" i="1"/>
  <c r="AX509" i="1"/>
  <c r="AX516" i="1"/>
  <c r="AX507" i="1"/>
  <c r="AX498" i="1"/>
  <c r="AX514" i="1"/>
  <c r="AX491" i="1"/>
  <c r="AX521" i="1"/>
  <c r="AX520" i="1"/>
  <c r="AX517" i="1"/>
  <c r="AX510" i="1"/>
  <c r="AX515" i="1"/>
  <c r="AX506" i="1"/>
  <c r="AX504" i="1"/>
  <c r="AX500" i="1"/>
  <c r="AX513" i="1"/>
  <c r="AX499" i="1"/>
  <c r="AX493" i="1"/>
  <c r="AX481" i="1"/>
  <c r="AX489" i="1"/>
  <c r="AX503" i="1"/>
  <c r="AX492" i="1"/>
  <c r="AX502" i="1"/>
  <c r="AX487" i="1"/>
  <c r="AX486" i="1"/>
  <c r="AX508" i="1"/>
  <c r="AX490" i="1"/>
  <c r="AX485" i="1"/>
  <c r="AX482" i="1"/>
  <c r="AX479" i="1"/>
  <c r="AX496" i="1"/>
  <c r="AX480" i="1"/>
  <c r="AX494" i="1"/>
  <c r="AX474" i="1"/>
  <c r="AX459" i="1"/>
  <c r="AX453" i="1"/>
  <c r="AX464" i="1"/>
  <c r="AX458" i="1"/>
  <c r="AX452" i="1"/>
  <c r="AX446" i="1"/>
  <c r="AX495" i="1"/>
  <c r="AX488" i="1"/>
  <c r="AX473" i="1"/>
  <c r="AX470" i="1"/>
  <c r="AX457" i="1"/>
  <c r="AX465" i="1"/>
  <c r="AX456" i="1"/>
  <c r="AX472" i="1"/>
  <c r="AX469" i="1"/>
  <c r="AX462" i="1"/>
  <c r="AX483" i="1"/>
  <c r="AX478" i="1"/>
  <c r="AX476" i="1"/>
  <c r="AX466" i="1"/>
  <c r="AX461" i="1"/>
  <c r="AX475" i="1"/>
  <c r="AX477" i="1"/>
  <c r="AX468" i="1"/>
  <c r="AX460" i="1"/>
  <c r="AX471" i="1"/>
  <c r="AX449" i="1"/>
  <c r="AX447" i="1"/>
  <c r="AX436" i="1"/>
  <c r="AX428" i="1"/>
  <c r="AX437" i="1"/>
  <c r="AX431" i="1"/>
  <c r="AX420" i="1"/>
  <c r="AX409" i="1"/>
  <c r="AX403" i="1"/>
  <c r="AX455" i="1"/>
  <c r="AX444" i="1"/>
  <c r="AX438" i="1"/>
  <c r="AX424" i="1"/>
  <c r="AX451" i="1"/>
  <c r="AX439" i="1"/>
  <c r="AX427" i="1"/>
  <c r="AX421" i="1"/>
  <c r="AX417" i="1"/>
  <c r="AX430" i="1"/>
  <c r="AX413" i="1"/>
  <c r="AX454" i="1"/>
  <c r="AX441" i="1"/>
  <c r="AX426" i="1"/>
  <c r="AX445" i="1"/>
  <c r="AX442" i="1"/>
  <c r="AX434" i="1"/>
  <c r="AX429" i="1"/>
  <c r="AX443" i="1"/>
  <c r="AX432" i="1"/>
  <c r="AX419" i="1"/>
  <c r="AX463" i="1"/>
  <c r="AX435" i="1"/>
  <c r="AX425" i="1"/>
  <c r="AX423" i="1"/>
  <c r="AX401" i="1"/>
  <c r="AX407" i="1"/>
  <c r="AX404" i="1"/>
  <c r="AX390" i="1"/>
  <c r="AX415" i="1"/>
  <c r="AX410" i="1"/>
  <c r="AX395" i="1"/>
  <c r="AX422" i="1"/>
  <c r="AX414" i="1"/>
  <c r="AX448" i="1"/>
  <c r="AX440" i="1"/>
  <c r="AX396" i="1"/>
  <c r="AX388" i="1"/>
  <c r="AX412" i="1"/>
  <c r="AX411" i="1"/>
  <c r="AX406" i="1"/>
  <c r="AX400" i="1"/>
  <c r="AX418" i="1"/>
  <c r="AX393" i="1"/>
  <c r="AX387" i="1"/>
  <c r="AX402" i="1"/>
  <c r="AX397" i="1"/>
  <c r="AX405" i="1"/>
  <c r="AX381" i="1"/>
  <c r="AX373" i="1"/>
  <c r="AX366" i="1"/>
  <c r="AX361" i="1"/>
  <c r="AX391" i="1"/>
  <c r="AX374" i="1"/>
  <c r="AX398" i="1"/>
  <c r="AX386" i="1"/>
  <c r="AX375" i="1"/>
  <c r="AX367" i="1"/>
  <c r="AX385" i="1"/>
  <c r="AX376" i="1"/>
  <c r="AX359" i="1"/>
  <c r="AX389" i="1"/>
  <c r="AX384" i="1"/>
  <c r="AX377" i="1"/>
  <c r="AX368" i="1"/>
  <c r="AX378" i="1"/>
  <c r="AX357" i="1"/>
  <c r="AX392" i="1"/>
  <c r="AX379" i="1"/>
  <c r="AX380" i="1"/>
  <c r="AX394" i="1"/>
  <c r="AX383" i="1"/>
  <c r="AX372" i="1"/>
  <c r="AX369" i="1"/>
  <c r="AX362" i="1"/>
  <c r="AX350" i="1"/>
  <c r="AX335" i="1"/>
  <c r="AX339" i="1"/>
  <c r="AX347" i="1"/>
  <c r="AX343" i="1"/>
  <c r="AX328" i="1"/>
  <c r="AX324" i="1"/>
  <c r="AX371" i="1"/>
  <c r="AX370" i="1"/>
  <c r="AX360" i="1"/>
  <c r="AX355" i="1"/>
  <c r="AX332" i="1"/>
  <c r="AX364" i="1"/>
  <c r="AX363" i="1"/>
  <c r="AX340" i="1"/>
  <c r="AX336" i="1"/>
  <c r="AX321" i="1"/>
  <c r="AX344" i="1"/>
  <c r="AX329" i="1"/>
  <c r="AX325" i="1"/>
  <c r="AX320" i="1"/>
  <c r="AX351" i="1"/>
  <c r="AX333" i="1"/>
  <c r="AX408" i="1"/>
  <c r="AX358" i="1"/>
  <c r="AX352" i="1"/>
  <c r="AX341" i="1"/>
  <c r="AX337" i="1"/>
  <c r="AX322" i="1"/>
  <c r="AX319" i="1"/>
  <c r="AX353" i="1"/>
  <c r="AX345" i="1"/>
  <c r="AX326" i="1"/>
  <c r="AX349" i="1"/>
  <c r="AX356" i="1"/>
  <c r="AX354" i="1"/>
  <c r="AX338" i="1"/>
  <c r="AX323" i="1"/>
  <c r="AX296" i="1"/>
  <c r="AX288" i="1"/>
  <c r="AX282" i="1"/>
  <c r="AX276" i="1"/>
  <c r="AX270" i="1"/>
  <c r="AX311" i="1"/>
  <c r="AX310" i="1"/>
  <c r="AX309" i="1"/>
  <c r="AX308" i="1"/>
  <c r="AX307" i="1"/>
  <c r="AX305" i="1"/>
  <c r="AX299" i="1"/>
  <c r="AX334" i="1"/>
  <c r="AX327" i="1"/>
  <c r="AX312" i="1"/>
  <c r="AX298" i="1"/>
  <c r="AX292" i="1"/>
  <c r="AX286" i="1"/>
  <c r="AX274" i="1"/>
  <c r="AX268" i="1"/>
  <c r="AX316" i="1"/>
  <c r="AX295" i="1"/>
  <c r="AX301" i="1"/>
  <c r="AX291" i="1"/>
  <c r="AX285" i="1"/>
  <c r="AX330" i="1"/>
  <c r="AX317" i="1"/>
  <c r="AX315" i="1"/>
  <c r="AX313" i="1"/>
  <c r="AX302" i="1"/>
  <c r="AX290" i="1"/>
  <c r="AX303" i="1"/>
  <c r="AX300" i="1"/>
  <c r="AX342" i="1"/>
  <c r="AX289" i="1"/>
  <c r="AX283" i="1"/>
  <c r="AX346" i="1"/>
  <c r="AX304" i="1"/>
  <c r="AX284" i="1"/>
  <c r="AX279" i="1"/>
  <c r="AX278" i="1"/>
  <c r="AX253" i="1"/>
  <c r="AX249" i="1"/>
  <c r="AX243" i="1"/>
  <c r="AX237" i="1"/>
  <c r="AX277" i="1"/>
  <c r="AX275" i="1"/>
  <c r="AX257" i="1"/>
  <c r="AX281" i="1"/>
  <c r="AX273" i="1"/>
  <c r="AX272" i="1"/>
  <c r="AX264" i="1"/>
  <c r="AX261" i="1"/>
  <c r="AX248" i="1"/>
  <c r="AX242" i="1"/>
  <c r="AX236" i="1"/>
  <c r="AX254" i="1"/>
  <c r="AX250" i="1"/>
  <c r="AX293" i="1"/>
  <c r="AX271" i="1"/>
  <c r="AX258" i="1"/>
  <c r="AX247" i="1"/>
  <c r="AX241" i="1"/>
  <c r="AX235" i="1"/>
  <c r="AX287" i="1"/>
  <c r="AX262" i="1"/>
  <c r="AX259" i="1"/>
  <c r="AX255" i="1"/>
  <c r="AX306" i="1"/>
  <c r="AX252" i="1"/>
  <c r="AX294" i="1"/>
  <c r="AX265" i="1"/>
  <c r="AX260" i="1"/>
  <c r="AX256" i="1"/>
  <c r="AX244" i="1"/>
  <c r="AX226" i="1"/>
  <c r="AX240" i="1"/>
  <c r="AX228" i="1"/>
  <c r="AX217" i="1"/>
  <c r="AX208" i="1"/>
  <c r="AX202" i="1"/>
  <c r="AX269" i="1"/>
  <c r="AX266" i="1"/>
  <c r="AX233" i="1"/>
  <c r="AX230" i="1"/>
  <c r="AX214" i="1"/>
  <c r="AX234" i="1"/>
  <c r="AX232" i="1"/>
  <c r="AX239" i="1"/>
  <c r="AX225" i="1"/>
  <c r="AX267" i="1"/>
  <c r="AX220" i="1"/>
  <c r="AX215" i="1"/>
  <c r="AX227" i="1"/>
  <c r="AX211" i="1"/>
  <c r="AX251" i="1"/>
  <c r="AX238" i="1"/>
  <c r="AX221" i="1"/>
  <c r="AX231" i="1"/>
  <c r="AX222" i="1"/>
  <c r="AX224" i="1"/>
  <c r="AX219" i="1"/>
  <c r="AX203" i="1"/>
  <c r="AX185" i="1"/>
  <c r="AX181" i="1"/>
  <c r="AX172" i="1"/>
  <c r="AX166" i="1"/>
  <c r="AX160" i="1"/>
  <c r="AX245" i="1"/>
  <c r="AX210" i="1"/>
  <c r="AX207" i="1"/>
  <c r="AX205" i="1"/>
  <c r="AX196" i="1"/>
  <c r="AX189" i="1"/>
  <c r="AX200" i="1"/>
  <c r="AX199" i="1"/>
  <c r="AX193" i="1"/>
  <c r="AX177" i="1"/>
  <c r="AX171" i="1"/>
  <c r="AX165" i="1"/>
  <c r="AX159" i="1"/>
  <c r="AX153" i="1"/>
  <c r="AX147" i="1"/>
  <c r="AX223" i="1"/>
  <c r="AX201" i="1"/>
  <c r="AX186" i="1"/>
  <c r="AX182" i="1"/>
  <c r="AX190" i="1"/>
  <c r="AX176" i="1"/>
  <c r="AX318" i="1"/>
  <c r="AX218" i="1"/>
  <c r="AX180" i="1"/>
  <c r="AX174" i="1"/>
  <c r="AX168" i="1"/>
  <c r="AX213" i="1"/>
  <c r="AX209" i="1"/>
  <c r="AX206" i="1"/>
  <c r="AX192" i="1"/>
  <c r="AX188" i="1"/>
  <c r="AX173" i="1"/>
  <c r="AX152" i="1"/>
  <c r="AX138" i="1"/>
  <c r="AX126" i="1"/>
  <c r="AX120" i="1"/>
  <c r="AX114" i="1"/>
  <c r="AX155" i="1"/>
  <c r="AX131" i="1"/>
  <c r="AX125" i="1"/>
  <c r="AX216" i="1"/>
  <c r="AX197" i="1"/>
  <c r="AX198" i="1"/>
  <c r="AX158" i="1"/>
  <c r="AX151" i="1"/>
  <c r="AX143" i="1"/>
  <c r="AX128" i="1"/>
  <c r="AX124" i="1"/>
  <c r="AX118" i="1"/>
  <c r="AX157" i="1"/>
  <c r="AX148" i="1"/>
  <c r="AX132" i="1"/>
  <c r="AX169" i="1"/>
  <c r="AX167" i="1"/>
  <c r="AX154" i="1"/>
  <c r="AX140" i="1"/>
  <c r="AX136" i="1"/>
  <c r="AX191" i="1"/>
  <c r="AX133" i="1"/>
  <c r="AX129" i="1"/>
  <c r="AX150" i="1"/>
  <c r="AX194" i="1"/>
  <c r="AX187" i="1"/>
  <c r="AX184" i="1"/>
  <c r="AX183" i="1"/>
  <c r="AX175" i="1"/>
  <c r="AX156" i="1"/>
  <c r="AX141" i="1"/>
  <c r="AX179" i="1"/>
  <c r="AX170" i="1"/>
  <c r="AX164" i="1"/>
  <c r="AX163" i="1"/>
  <c r="AX162" i="1"/>
  <c r="AX149" i="1"/>
  <c r="AX135" i="1"/>
  <c r="AX115" i="1"/>
  <c r="AX112" i="1"/>
  <c r="AX89" i="1"/>
  <c r="AX78" i="1"/>
  <c r="AX130" i="1"/>
  <c r="AX88" i="1"/>
  <c r="AX77" i="1"/>
  <c r="AX66" i="1"/>
  <c r="AX204" i="1"/>
  <c r="AX122" i="1"/>
  <c r="AX121" i="1"/>
  <c r="AX108" i="1"/>
  <c r="AX98" i="1"/>
  <c r="AX87" i="1"/>
  <c r="AX76" i="1"/>
  <c r="AX97" i="1"/>
  <c r="AX86" i="1"/>
  <c r="AX75" i="1"/>
  <c r="AX134" i="1"/>
  <c r="AX107" i="1"/>
  <c r="AX96" i="1"/>
  <c r="AX85" i="1"/>
  <c r="AX74" i="1"/>
  <c r="AX106" i="1"/>
  <c r="AX95" i="1"/>
  <c r="AX84" i="1"/>
  <c r="AX123" i="1"/>
  <c r="AX105" i="1"/>
  <c r="AX94" i="1"/>
  <c r="AX83" i="1"/>
  <c r="AX113" i="1"/>
  <c r="AX104" i="1"/>
  <c r="AX93" i="1"/>
  <c r="AX82" i="1"/>
  <c r="AX142" i="1"/>
  <c r="AX117" i="1"/>
  <c r="AX116" i="1"/>
  <c r="AX103" i="1"/>
  <c r="AX92" i="1"/>
  <c r="AX145" i="1"/>
  <c r="AX139" i="1"/>
  <c r="AX102" i="1"/>
  <c r="AX91" i="1"/>
  <c r="AX137" i="1"/>
  <c r="AX111" i="1"/>
  <c r="AX101" i="1"/>
  <c r="AX62" i="1"/>
  <c r="AX51" i="1"/>
  <c r="AX42" i="1"/>
  <c r="AX36" i="1"/>
  <c r="AX30" i="1"/>
  <c r="AX24" i="1"/>
  <c r="AX18" i="1"/>
  <c r="AX12" i="1"/>
  <c r="AX70" i="1"/>
  <c r="AX67" i="1"/>
  <c r="AX61" i="1"/>
  <c r="AX50" i="1"/>
  <c r="AX60" i="1"/>
  <c r="AX49" i="1"/>
  <c r="AX41" i="1"/>
  <c r="AX35" i="1"/>
  <c r="AX29" i="1"/>
  <c r="AX23" i="1"/>
  <c r="AX17" i="1"/>
  <c r="AX11" i="1"/>
  <c r="AX73" i="1"/>
  <c r="AX59" i="1"/>
  <c r="AX48" i="1"/>
  <c r="AX80" i="1"/>
  <c r="AX71" i="1"/>
  <c r="AX68" i="1"/>
  <c r="AX57" i="1"/>
  <c r="AX46" i="1"/>
  <c r="AX56" i="1"/>
  <c r="AX33" i="1"/>
  <c r="AX27" i="1"/>
  <c r="AX21" i="1"/>
  <c r="AX100" i="1"/>
  <c r="AX55" i="1"/>
  <c r="AX119" i="1"/>
  <c r="AX65" i="1"/>
  <c r="AX146" i="1"/>
  <c r="AX79" i="1"/>
  <c r="AX69" i="1"/>
  <c r="AX64" i="1"/>
  <c r="AX52" i="1"/>
  <c r="AX28" i="1"/>
  <c r="AX37" i="1"/>
  <c r="AX22" i="1"/>
  <c r="AX15" i="1"/>
  <c r="AX9" i="1"/>
  <c r="AX32" i="1"/>
  <c r="AX16" i="1"/>
  <c r="AX14" i="1"/>
  <c r="AX40" i="1"/>
  <c r="AX13" i="1"/>
  <c r="AX47" i="1"/>
  <c r="AX38" i="1"/>
  <c r="AX26" i="1"/>
  <c r="AX53" i="1"/>
  <c r="AX31" i="1"/>
  <c r="AX58" i="1"/>
  <c r="AX20" i="1"/>
  <c r="AX10" i="1"/>
  <c r="AX25" i="1"/>
  <c r="AX43" i="1"/>
  <c r="AX19" i="1"/>
  <c r="AW484" i="1"/>
  <c r="AW689" i="1"/>
  <c r="AV109" i="1"/>
  <c r="AV7" i="1" s="1"/>
  <c r="AW450" i="1"/>
  <c r="AW518" i="1"/>
  <c r="AW63" i="1"/>
  <c r="AW72" i="1"/>
  <c r="AW110" i="1"/>
  <c r="AW246" i="1"/>
  <c r="AW195" i="1"/>
  <c r="AW399" i="1"/>
  <c r="AW620" i="1"/>
  <c r="AX450" i="1" l="1"/>
  <c r="AW44" i="1"/>
  <c r="AX263" i="1"/>
  <c r="AX212" i="1"/>
  <c r="AX569" i="1"/>
  <c r="AX586" i="1"/>
  <c r="AX81" i="1"/>
  <c r="AV8" i="1"/>
  <c r="AV5" i="1"/>
  <c r="AX314" i="1"/>
  <c r="AX297" i="1"/>
  <c r="AX416" i="1"/>
  <c r="AX39" i="1"/>
  <c r="AX246" i="1"/>
  <c r="AX484" i="1"/>
  <c r="AX161" i="1"/>
  <c r="AX229" i="1"/>
  <c r="AX280" i="1"/>
  <c r="AX399" i="1"/>
  <c r="AX518" i="1"/>
  <c r="AX110" i="1"/>
  <c r="AX433" i="1"/>
  <c r="AW109" i="1"/>
  <c r="AW7" i="1" s="1"/>
  <c r="AX54" i="1"/>
  <c r="AX127" i="1"/>
  <c r="AX689" i="1"/>
  <c r="AX99" i="1"/>
  <c r="AX72" i="1"/>
  <c r="AX90" i="1"/>
  <c r="AX331" i="1"/>
  <c r="AX365" i="1"/>
  <c r="AX178" i="1"/>
  <c r="AX501" i="1"/>
  <c r="AX552" i="1"/>
  <c r="AX603" i="1"/>
  <c r="AX637" i="1"/>
  <c r="AY699" i="1"/>
  <c r="AY693" i="1"/>
  <c r="AY687" i="1"/>
  <c r="AY698" i="1"/>
  <c r="AY703" i="1"/>
  <c r="AY681" i="1"/>
  <c r="AY700" i="1"/>
  <c r="AY701" i="1"/>
  <c r="AY696" i="1"/>
  <c r="AY694" i="1"/>
  <c r="AY684" i="1"/>
  <c r="AY691" i="1"/>
  <c r="AY702" i="1"/>
  <c r="AY688" i="1"/>
  <c r="AY682" i="1"/>
  <c r="AY697" i="1"/>
  <c r="AY676" i="1"/>
  <c r="AY668" i="1"/>
  <c r="AY662" i="1"/>
  <c r="AY656" i="1"/>
  <c r="AY690" i="1"/>
  <c r="AY667" i="1"/>
  <c r="AY661" i="1"/>
  <c r="AY655" i="1"/>
  <c r="AY679" i="1"/>
  <c r="AY678" i="1"/>
  <c r="AY685" i="1"/>
  <c r="AY680" i="1"/>
  <c r="AY686" i="1"/>
  <c r="AY673" i="1"/>
  <c r="AY670" i="1"/>
  <c r="AY692" i="1"/>
  <c r="AY677" i="1"/>
  <c r="AY660" i="1"/>
  <c r="AY675" i="1"/>
  <c r="AY663" i="1"/>
  <c r="AY683" i="1"/>
  <c r="AY653" i="1"/>
  <c r="AY650" i="1"/>
  <c r="AY658" i="1"/>
  <c r="AY669" i="1"/>
  <c r="AY666" i="1"/>
  <c r="AY674" i="1"/>
  <c r="AY643" i="1"/>
  <c r="AY631" i="1"/>
  <c r="AY649" i="1"/>
  <c r="AY657" i="1"/>
  <c r="AY652" i="1"/>
  <c r="AY647" i="1"/>
  <c r="AY641" i="1"/>
  <c r="AY659" i="1"/>
  <c r="AY648" i="1"/>
  <c r="AY665" i="1"/>
  <c r="AY651" i="1"/>
  <c r="AY672" i="1"/>
  <c r="AY639" i="1"/>
  <c r="AY635" i="1"/>
  <c r="AY664" i="1"/>
  <c r="AY636" i="1"/>
  <c r="AY632" i="1"/>
  <c r="AY625" i="1"/>
  <c r="AY619" i="1"/>
  <c r="AY638" i="1"/>
  <c r="AY616" i="1"/>
  <c r="AY610" i="1"/>
  <c r="AY645" i="1"/>
  <c r="AY642" i="1"/>
  <c r="AY622" i="1"/>
  <c r="AY615" i="1"/>
  <c r="AY609" i="1"/>
  <c r="AY640" i="1"/>
  <c r="AY646" i="1"/>
  <c r="AY626" i="1"/>
  <c r="AY634" i="1"/>
  <c r="AY644" i="1"/>
  <c r="AY633" i="1"/>
  <c r="AY618" i="1"/>
  <c r="AY601" i="1"/>
  <c r="AY617" i="1"/>
  <c r="AY611" i="1"/>
  <c r="AY621" i="1"/>
  <c r="AY613" i="1"/>
  <c r="AY605" i="1"/>
  <c r="AY629" i="1"/>
  <c r="AY628" i="1"/>
  <c r="AY630" i="1"/>
  <c r="AY627" i="1"/>
  <c r="AY624" i="1"/>
  <c r="AY608" i="1"/>
  <c r="AY598" i="1"/>
  <c r="AY592" i="1"/>
  <c r="AY623" i="1"/>
  <c r="AY607" i="1"/>
  <c r="AY606" i="1"/>
  <c r="AY593" i="1"/>
  <c r="AY612" i="1"/>
  <c r="AY602" i="1"/>
  <c r="AY614" i="1"/>
  <c r="AY595" i="1"/>
  <c r="AY600" i="1"/>
  <c r="AY589" i="1"/>
  <c r="AY596" i="1"/>
  <c r="AY587" i="1"/>
  <c r="AY584" i="1"/>
  <c r="AY581" i="1"/>
  <c r="AY579" i="1"/>
  <c r="AY573" i="1"/>
  <c r="AY567" i="1"/>
  <c r="AY561" i="1"/>
  <c r="AY555" i="1"/>
  <c r="AY599" i="1"/>
  <c r="AY594" i="1"/>
  <c r="AY583" i="1"/>
  <c r="AY576" i="1"/>
  <c r="AY570" i="1"/>
  <c r="AY564" i="1"/>
  <c r="AY588" i="1"/>
  <c r="AY597" i="1"/>
  <c r="AY604" i="1"/>
  <c r="AY582" i="1"/>
  <c r="AY580" i="1"/>
  <c r="AY585" i="1"/>
  <c r="AY591" i="1"/>
  <c r="AY572" i="1"/>
  <c r="AY590" i="1"/>
  <c r="AY568" i="1"/>
  <c r="AY578" i="1"/>
  <c r="AY566" i="1"/>
  <c r="AY565" i="1"/>
  <c r="AY563" i="1"/>
  <c r="AY557" i="1"/>
  <c r="AY575" i="1"/>
  <c r="AY547" i="1"/>
  <c r="AY541" i="1"/>
  <c r="AY571" i="1"/>
  <c r="AY558" i="1"/>
  <c r="AY546" i="1"/>
  <c r="AY540" i="1"/>
  <c r="AY574" i="1"/>
  <c r="AY562" i="1"/>
  <c r="AY551" i="1"/>
  <c r="AY545" i="1"/>
  <c r="AY577" i="1"/>
  <c r="AY543" i="1"/>
  <c r="AY538" i="1"/>
  <c r="AY532" i="1"/>
  <c r="AY526" i="1"/>
  <c r="AY520" i="1"/>
  <c r="AY514" i="1"/>
  <c r="AY508" i="1"/>
  <c r="AY502" i="1"/>
  <c r="AY560" i="1"/>
  <c r="AY556" i="1"/>
  <c r="AY549" i="1"/>
  <c r="AY553" i="1"/>
  <c r="AY554" i="1"/>
  <c r="AY542" i="1"/>
  <c r="AY559" i="1"/>
  <c r="AY539" i="1"/>
  <c r="AY523" i="1"/>
  <c r="AY550" i="1"/>
  <c r="AY534" i="1"/>
  <c r="AY531" i="1"/>
  <c r="AY527" i="1"/>
  <c r="AY516" i="1"/>
  <c r="AY544" i="1"/>
  <c r="AY528" i="1"/>
  <c r="AY513" i="1"/>
  <c r="AY509" i="1"/>
  <c r="AY500" i="1"/>
  <c r="AY494" i="1"/>
  <c r="AY488" i="1"/>
  <c r="AY482" i="1"/>
  <c r="AY533" i="1"/>
  <c r="AY548" i="1"/>
  <c r="AY529" i="1"/>
  <c r="AY536" i="1"/>
  <c r="AY530" i="1"/>
  <c r="AY537" i="1"/>
  <c r="AY519" i="1"/>
  <c r="AY515" i="1"/>
  <c r="AY511" i="1"/>
  <c r="AY487" i="1"/>
  <c r="AY483" i="1"/>
  <c r="AY525" i="1"/>
  <c r="AY512" i="1"/>
  <c r="AY499" i="1"/>
  <c r="AY495" i="1"/>
  <c r="AY522" i="1"/>
  <c r="AY521" i="1"/>
  <c r="AY517" i="1"/>
  <c r="AY510" i="1"/>
  <c r="AY503" i="1"/>
  <c r="AY524" i="1"/>
  <c r="AY498" i="1"/>
  <c r="AY493" i="1"/>
  <c r="AY489" i="1"/>
  <c r="AY504" i="1"/>
  <c r="AY497" i="1"/>
  <c r="AY492" i="1"/>
  <c r="AY505" i="1"/>
  <c r="AY486" i="1"/>
  <c r="AY474" i="1"/>
  <c r="AY468" i="1"/>
  <c r="AY462" i="1"/>
  <c r="AY506" i="1"/>
  <c r="AY473" i="1"/>
  <c r="AY496" i="1"/>
  <c r="AY507" i="1"/>
  <c r="AY491" i="1"/>
  <c r="AY479" i="1"/>
  <c r="AY464" i="1"/>
  <c r="AY458" i="1"/>
  <c r="AY452" i="1"/>
  <c r="AY446" i="1"/>
  <c r="AY440" i="1"/>
  <c r="AY434" i="1"/>
  <c r="AY428" i="1"/>
  <c r="AY422" i="1"/>
  <c r="AY470" i="1"/>
  <c r="AY481" i="1"/>
  <c r="AY457" i="1"/>
  <c r="AY451" i="1"/>
  <c r="AY445" i="1"/>
  <c r="AY439" i="1"/>
  <c r="AY465" i="1"/>
  <c r="AY472" i="1"/>
  <c r="AY469" i="1"/>
  <c r="AY490" i="1"/>
  <c r="AY478" i="1"/>
  <c r="AY476" i="1"/>
  <c r="AY466" i="1"/>
  <c r="AY461" i="1"/>
  <c r="AY455" i="1"/>
  <c r="AY449" i="1"/>
  <c r="AY443" i="1"/>
  <c r="AY437" i="1"/>
  <c r="AY431" i="1"/>
  <c r="AY425" i="1"/>
  <c r="AY480" i="1"/>
  <c r="AY475" i="1"/>
  <c r="AY485" i="1"/>
  <c r="AY477" i="1"/>
  <c r="AY471" i="1"/>
  <c r="AY463" i="1"/>
  <c r="AY456" i="1"/>
  <c r="AY420" i="1"/>
  <c r="AY444" i="1"/>
  <c r="AY438" i="1"/>
  <c r="AY424" i="1"/>
  <c r="AY427" i="1"/>
  <c r="AY421" i="1"/>
  <c r="AY417" i="1"/>
  <c r="AY430" i="1"/>
  <c r="AY413" i="1"/>
  <c r="AY453" i="1"/>
  <c r="AY448" i="1"/>
  <c r="AY414" i="1"/>
  <c r="AY460" i="1"/>
  <c r="AY459" i="1"/>
  <c r="AY454" i="1"/>
  <c r="AY441" i="1"/>
  <c r="AY426" i="1"/>
  <c r="AY442" i="1"/>
  <c r="AY429" i="1"/>
  <c r="AY415" i="1"/>
  <c r="AY411" i="1"/>
  <c r="AY405" i="1"/>
  <c r="AY393" i="1"/>
  <c r="AY432" i="1"/>
  <c r="AY435" i="1"/>
  <c r="AY423" i="1"/>
  <c r="AY447" i="1"/>
  <c r="AY436" i="1"/>
  <c r="AY409" i="1"/>
  <c r="AY407" i="1"/>
  <c r="AY404" i="1"/>
  <c r="AY390" i="1"/>
  <c r="AY384" i="1"/>
  <c r="AY410" i="1"/>
  <c r="AY395" i="1"/>
  <c r="AY389" i="1"/>
  <c r="AY383" i="1"/>
  <c r="AY377" i="1"/>
  <c r="AY371" i="1"/>
  <c r="AY419" i="1"/>
  <c r="AY403" i="1"/>
  <c r="AY396" i="1"/>
  <c r="AY388" i="1"/>
  <c r="AY376" i="1"/>
  <c r="AY370" i="1"/>
  <c r="AY364" i="1"/>
  <c r="AY412" i="1"/>
  <c r="AY406" i="1"/>
  <c r="AY400" i="1"/>
  <c r="AY418" i="1"/>
  <c r="AY402" i="1"/>
  <c r="AY397" i="1"/>
  <c r="AY392" i="1"/>
  <c r="AY386" i="1"/>
  <c r="AY380" i="1"/>
  <c r="AY374" i="1"/>
  <c r="AY408" i="1"/>
  <c r="AY391" i="1"/>
  <c r="AY363" i="1"/>
  <c r="AY360" i="1"/>
  <c r="AY354" i="1"/>
  <c r="AY398" i="1"/>
  <c r="AY375" i="1"/>
  <c r="AY387" i="1"/>
  <c r="AY385" i="1"/>
  <c r="AY359" i="1"/>
  <c r="AY353" i="1"/>
  <c r="AY347" i="1"/>
  <c r="AY341" i="1"/>
  <c r="AY335" i="1"/>
  <c r="AY329" i="1"/>
  <c r="AY323" i="1"/>
  <c r="AY379" i="1"/>
  <c r="AY401" i="1"/>
  <c r="AY394" i="1"/>
  <c r="AY372" i="1"/>
  <c r="AY369" i="1"/>
  <c r="AY381" i="1"/>
  <c r="AY373" i="1"/>
  <c r="AY366" i="1"/>
  <c r="AY361" i="1"/>
  <c r="AY355" i="1"/>
  <c r="AY339" i="1"/>
  <c r="AY316" i="1"/>
  <c r="AY310" i="1"/>
  <c r="AY304" i="1"/>
  <c r="AY298" i="1"/>
  <c r="AY343" i="1"/>
  <c r="AY328" i="1"/>
  <c r="AY324" i="1"/>
  <c r="AY332" i="1"/>
  <c r="AY315" i="1"/>
  <c r="AY309" i="1"/>
  <c r="AY303" i="1"/>
  <c r="AY340" i="1"/>
  <c r="AY336" i="1"/>
  <c r="AY321" i="1"/>
  <c r="AY367" i="1"/>
  <c r="AY362" i="1"/>
  <c r="AY344" i="1"/>
  <c r="AY325" i="1"/>
  <c r="AY320" i="1"/>
  <c r="AY308" i="1"/>
  <c r="AY351" i="1"/>
  <c r="AY333" i="1"/>
  <c r="AY358" i="1"/>
  <c r="AY352" i="1"/>
  <c r="AY337" i="1"/>
  <c r="AY322" i="1"/>
  <c r="AY319" i="1"/>
  <c r="AY313" i="1"/>
  <c r="AY307" i="1"/>
  <c r="AY301" i="1"/>
  <c r="AY368" i="1"/>
  <c r="AY357" i="1"/>
  <c r="AY345" i="1"/>
  <c r="AY326" i="1"/>
  <c r="AY349" i="1"/>
  <c r="AY334" i="1"/>
  <c r="AY330" i="1"/>
  <c r="AY318" i="1"/>
  <c r="AY356" i="1"/>
  <c r="AY378" i="1"/>
  <c r="AY346" i="1"/>
  <c r="AY342" i="1"/>
  <c r="AY327" i="1"/>
  <c r="AY317" i="1"/>
  <c r="AY311" i="1"/>
  <c r="AY305" i="1"/>
  <c r="AY299" i="1"/>
  <c r="AY350" i="1"/>
  <c r="AY306" i="1"/>
  <c r="AY294" i="1"/>
  <c r="AY293" i="1"/>
  <c r="AY287" i="1"/>
  <c r="AY281" i="1"/>
  <c r="AY275" i="1"/>
  <c r="AY269" i="1"/>
  <c r="AY312" i="1"/>
  <c r="AY292" i="1"/>
  <c r="AY286" i="1"/>
  <c r="AY274" i="1"/>
  <c r="AY268" i="1"/>
  <c r="AY295" i="1"/>
  <c r="AY291" i="1"/>
  <c r="AY302" i="1"/>
  <c r="AY290" i="1"/>
  <c r="AY284" i="1"/>
  <c r="AY278" i="1"/>
  <c r="AY272" i="1"/>
  <c r="AY266" i="1"/>
  <c r="AY260" i="1"/>
  <c r="AY254" i="1"/>
  <c r="AY300" i="1"/>
  <c r="AY338" i="1"/>
  <c r="AY289" i="1"/>
  <c r="AY283" i="1"/>
  <c r="AY296" i="1"/>
  <c r="AY288" i="1"/>
  <c r="AY253" i="1"/>
  <c r="AY249" i="1"/>
  <c r="AY243" i="1"/>
  <c r="AY237" i="1"/>
  <c r="AY231" i="1"/>
  <c r="AY225" i="1"/>
  <c r="AY219" i="1"/>
  <c r="AY277" i="1"/>
  <c r="AY257" i="1"/>
  <c r="AY276" i="1"/>
  <c r="AY273" i="1"/>
  <c r="AY264" i="1"/>
  <c r="AY261" i="1"/>
  <c r="AY248" i="1"/>
  <c r="AY242" i="1"/>
  <c r="AY236" i="1"/>
  <c r="AY230" i="1"/>
  <c r="AY250" i="1"/>
  <c r="AY271" i="1"/>
  <c r="AY258" i="1"/>
  <c r="AY247" i="1"/>
  <c r="AY241" i="1"/>
  <c r="AY235" i="1"/>
  <c r="AY223" i="1"/>
  <c r="AY217" i="1"/>
  <c r="AY285" i="1"/>
  <c r="AY270" i="1"/>
  <c r="AY262" i="1"/>
  <c r="AY282" i="1"/>
  <c r="AY267" i="1"/>
  <c r="AY265" i="1"/>
  <c r="AY256" i="1"/>
  <c r="AY244" i="1"/>
  <c r="AY238" i="1"/>
  <c r="AY232" i="1"/>
  <c r="AY226" i="1"/>
  <c r="AY220" i="1"/>
  <c r="AY214" i="1"/>
  <c r="AY279" i="1"/>
  <c r="AY259" i="1"/>
  <c r="AY240" i="1"/>
  <c r="AY228" i="1"/>
  <c r="AY233" i="1"/>
  <c r="AY218" i="1"/>
  <c r="AY207" i="1"/>
  <c r="AY239" i="1"/>
  <c r="AY252" i="1"/>
  <c r="AY215" i="1"/>
  <c r="AY227" i="1"/>
  <c r="AY211" i="1"/>
  <c r="AY205" i="1"/>
  <c r="AY199" i="1"/>
  <c r="AY251" i="1"/>
  <c r="AY221" i="1"/>
  <c r="AY222" i="1"/>
  <c r="AY210" i="1"/>
  <c r="AY204" i="1"/>
  <c r="AY198" i="1"/>
  <c r="AY192" i="1"/>
  <c r="AY186" i="1"/>
  <c r="AY180" i="1"/>
  <c r="AY255" i="1"/>
  <c r="AY245" i="1"/>
  <c r="AY196" i="1"/>
  <c r="AY189" i="1"/>
  <c r="AY200" i="1"/>
  <c r="AY193" i="1"/>
  <c r="AY177" i="1"/>
  <c r="AY201" i="1"/>
  <c r="AY182" i="1"/>
  <c r="AY190" i="1"/>
  <c r="AY176" i="1"/>
  <c r="AY170" i="1"/>
  <c r="AY164" i="1"/>
  <c r="AY158" i="1"/>
  <c r="AY152" i="1"/>
  <c r="AY146" i="1"/>
  <c r="AY140" i="1"/>
  <c r="AY134" i="1"/>
  <c r="AY128" i="1"/>
  <c r="AY179" i="1"/>
  <c r="AY202" i="1"/>
  <c r="AY234" i="1"/>
  <c r="AY213" i="1"/>
  <c r="AY197" i="1"/>
  <c r="AY194" i="1"/>
  <c r="AY184" i="1"/>
  <c r="AY216" i="1"/>
  <c r="AY168" i="1"/>
  <c r="AY149" i="1"/>
  <c r="AY142" i="1"/>
  <c r="AY145" i="1"/>
  <c r="AY139" i="1"/>
  <c r="AY135" i="1"/>
  <c r="AY206" i="1"/>
  <c r="AY157" i="1"/>
  <c r="AY148" i="1"/>
  <c r="AY132" i="1"/>
  <c r="AY208" i="1"/>
  <c r="AY169" i="1"/>
  <c r="AY167" i="1"/>
  <c r="AY165" i="1"/>
  <c r="AY154" i="1"/>
  <c r="AY136" i="1"/>
  <c r="AY123" i="1"/>
  <c r="AY117" i="1"/>
  <c r="AY209" i="1"/>
  <c r="AY159" i="1"/>
  <c r="AY224" i="1"/>
  <c r="AY174" i="1"/>
  <c r="AY173" i="1"/>
  <c r="AY172" i="1"/>
  <c r="AY160" i="1"/>
  <c r="AY150" i="1"/>
  <c r="AY147" i="1"/>
  <c r="AY137" i="1"/>
  <c r="AY188" i="1"/>
  <c r="AY187" i="1"/>
  <c r="AY183" i="1"/>
  <c r="AY175" i="1"/>
  <c r="AY171" i="1"/>
  <c r="AY156" i="1"/>
  <c r="AY153" i="1"/>
  <c r="AY185" i="1"/>
  <c r="AY163" i="1"/>
  <c r="AY162" i="1"/>
  <c r="AY203" i="1"/>
  <c r="AY181" i="1"/>
  <c r="AY166" i="1"/>
  <c r="AY130" i="1"/>
  <c r="AY120" i="1"/>
  <c r="AY88" i="1"/>
  <c r="AY77" i="1"/>
  <c r="AY122" i="1"/>
  <c r="AY121" i="1"/>
  <c r="AY108" i="1"/>
  <c r="AY98" i="1"/>
  <c r="AY87" i="1"/>
  <c r="AY76" i="1"/>
  <c r="AY97" i="1"/>
  <c r="AY86" i="1"/>
  <c r="AY75" i="1"/>
  <c r="AY126" i="1"/>
  <c r="AY114" i="1"/>
  <c r="AY107" i="1"/>
  <c r="AY96" i="1"/>
  <c r="AY85" i="1"/>
  <c r="AY74" i="1"/>
  <c r="AY125" i="1"/>
  <c r="AY124" i="1"/>
  <c r="AY106" i="1"/>
  <c r="AY95" i="1"/>
  <c r="AY84" i="1"/>
  <c r="AY73" i="1"/>
  <c r="AY105" i="1"/>
  <c r="AY94" i="1"/>
  <c r="AY83" i="1"/>
  <c r="AY131" i="1"/>
  <c r="AY113" i="1"/>
  <c r="AY104" i="1"/>
  <c r="AY93" i="1"/>
  <c r="AY82" i="1"/>
  <c r="AY143" i="1"/>
  <c r="AY116" i="1"/>
  <c r="AY103" i="1"/>
  <c r="AY92" i="1"/>
  <c r="AY141" i="1"/>
  <c r="AY133" i="1"/>
  <c r="AY102" i="1"/>
  <c r="AY91" i="1"/>
  <c r="AY138" i="1"/>
  <c r="AY129" i="1"/>
  <c r="AY118" i="1"/>
  <c r="AY111" i="1"/>
  <c r="AY101" i="1"/>
  <c r="AY80" i="1"/>
  <c r="AY155" i="1"/>
  <c r="AY119" i="1"/>
  <c r="AY100" i="1"/>
  <c r="AY70" i="1"/>
  <c r="AY67" i="1"/>
  <c r="AY61" i="1"/>
  <c r="AY50" i="1"/>
  <c r="AY60" i="1"/>
  <c r="AY49" i="1"/>
  <c r="AY41" i="1"/>
  <c r="AY59" i="1"/>
  <c r="AY48" i="1"/>
  <c r="AY89" i="1"/>
  <c r="AY58" i="1"/>
  <c r="AY47" i="1"/>
  <c r="AY40" i="1"/>
  <c r="AY28" i="1"/>
  <c r="AY22" i="1"/>
  <c r="AY16" i="1"/>
  <c r="AY10" i="1"/>
  <c r="AY115" i="1"/>
  <c r="AY71" i="1"/>
  <c r="AY68" i="1"/>
  <c r="AY78" i="1"/>
  <c r="AY56" i="1"/>
  <c r="AY33" i="1"/>
  <c r="AY27" i="1"/>
  <c r="AY21" i="1"/>
  <c r="AY55" i="1"/>
  <c r="AY65" i="1"/>
  <c r="AY38" i="1"/>
  <c r="AY32" i="1"/>
  <c r="AY26" i="1"/>
  <c r="AY20" i="1"/>
  <c r="AY14" i="1"/>
  <c r="AY191" i="1"/>
  <c r="AY151" i="1"/>
  <c r="AY112" i="1"/>
  <c r="AY79" i="1"/>
  <c r="AY69" i="1"/>
  <c r="AY66" i="1"/>
  <c r="AY64" i="1"/>
  <c r="AY53" i="1"/>
  <c r="AY43" i="1"/>
  <c r="AY37" i="1"/>
  <c r="AY62" i="1"/>
  <c r="AY51" i="1"/>
  <c r="AY42" i="1"/>
  <c r="AY36" i="1"/>
  <c r="AY30" i="1"/>
  <c r="AY24" i="1"/>
  <c r="AY18" i="1"/>
  <c r="AY23" i="1"/>
  <c r="AY11" i="1"/>
  <c r="AY15" i="1"/>
  <c r="AY9" i="1"/>
  <c r="AY13" i="1"/>
  <c r="AY31" i="1"/>
  <c r="AY57" i="1"/>
  <c r="AY25" i="1"/>
  <c r="AY17" i="1"/>
  <c r="AY46" i="1"/>
  <c r="AY35" i="1"/>
  <c r="AY19" i="1"/>
  <c r="AY12" i="1"/>
  <c r="AY52" i="1"/>
  <c r="AY29" i="1"/>
  <c r="AX348" i="1"/>
  <c r="AX467" i="1"/>
  <c r="AX620" i="1"/>
  <c r="BA4" i="1"/>
  <c r="AZ6" i="1"/>
  <c r="AX144" i="1"/>
  <c r="AX382" i="1"/>
  <c r="AX535" i="1"/>
  <c r="AX63" i="1"/>
  <c r="AX45" i="1"/>
  <c r="AX34" i="1"/>
  <c r="AX195" i="1"/>
  <c r="AX654" i="1"/>
  <c r="AX671" i="1"/>
  <c r="AY348" i="1" l="1"/>
  <c r="AY365" i="1"/>
  <c r="AY178" i="1"/>
  <c r="AY246" i="1"/>
  <c r="AZ703" i="1"/>
  <c r="AZ701" i="1"/>
  <c r="AZ691" i="1"/>
  <c r="AZ687" i="1"/>
  <c r="AZ692" i="1"/>
  <c r="AZ699" i="1"/>
  <c r="AZ684" i="1"/>
  <c r="AZ698" i="1"/>
  <c r="AZ693" i="1"/>
  <c r="AZ678" i="1"/>
  <c r="AZ688" i="1"/>
  <c r="AZ702" i="1"/>
  <c r="AZ696" i="1"/>
  <c r="AZ674" i="1"/>
  <c r="AZ682" i="1"/>
  <c r="AZ690" i="1"/>
  <c r="AZ700" i="1"/>
  <c r="AZ697" i="1"/>
  <c r="AZ686" i="1"/>
  <c r="AZ694" i="1"/>
  <c r="AZ683" i="1"/>
  <c r="AZ680" i="1"/>
  <c r="AZ677" i="1"/>
  <c r="AZ685" i="1"/>
  <c r="AZ676" i="1"/>
  <c r="AZ679" i="1"/>
  <c r="AZ675" i="1"/>
  <c r="AZ673" i="1"/>
  <c r="AZ670" i="1"/>
  <c r="AZ663" i="1"/>
  <c r="AZ672" i="1"/>
  <c r="AZ681" i="1"/>
  <c r="AZ667" i="1"/>
  <c r="AZ660" i="1"/>
  <c r="AZ656" i="1"/>
  <c r="AZ653" i="1"/>
  <c r="AZ650" i="1"/>
  <c r="AZ655" i="1"/>
  <c r="AZ669" i="1"/>
  <c r="AZ668" i="1"/>
  <c r="AZ649" i="1"/>
  <c r="AZ648" i="1"/>
  <c r="AZ642" i="1"/>
  <c r="AZ662" i="1"/>
  <c r="AZ657" i="1"/>
  <c r="AZ652" i="1"/>
  <c r="AZ647" i="1"/>
  <c r="AZ658" i="1"/>
  <c r="AZ661" i="1"/>
  <c r="AZ659" i="1"/>
  <c r="AZ665" i="1"/>
  <c r="AZ664" i="1"/>
  <c r="AZ651" i="1"/>
  <c r="AZ641" i="1"/>
  <c r="AZ640" i="1"/>
  <c r="AZ630" i="1"/>
  <c r="AZ644" i="1"/>
  <c r="AZ626" i="1"/>
  <c r="AZ638" i="1"/>
  <c r="AZ666" i="1"/>
  <c r="AZ629" i="1"/>
  <c r="AZ624" i="1"/>
  <c r="AZ643" i="1"/>
  <c r="AZ636" i="1"/>
  <c r="AZ618" i="1"/>
  <c r="AZ645" i="1"/>
  <c r="AZ639" i="1"/>
  <c r="AZ635" i="1"/>
  <c r="AZ627" i="1"/>
  <c r="AZ632" i="1"/>
  <c r="AZ646" i="1"/>
  <c r="AZ634" i="1"/>
  <c r="AZ633" i="1"/>
  <c r="AZ622" i="1"/>
  <c r="AZ621" i="1"/>
  <c r="AZ631" i="1"/>
  <c r="AZ619" i="1"/>
  <c r="AZ617" i="1"/>
  <c r="AZ611" i="1"/>
  <c r="AZ625" i="1"/>
  <c r="AZ608" i="1"/>
  <c r="AZ628" i="1"/>
  <c r="AZ623" i="1"/>
  <c r="AZ609" i="1"/>
  <c r="AZ605" i="1"/>
  <c r="AZ610" i="1"/>
  <c r="AZ598" i="1"/>
  <c r="AZ616" i="1"/>
  <c r="AZ601" i="1"/>
  <c r="AZ615" i="1"/>
  <c r="AZ614" i="1"/>
  <c r="AZ612" i="1"/>
  <c r="AZ607" i="1"/>
  <c r="AZ606" i="1"/>
  <c r="AZ597" i="1"/>
  <c r="AZ613" i="1"/>
  <c r="AZ600" i="1"/>
  <c r="AZ596" i="1"/>
  <c r="AZ587" i="1"/>
  <c r="AZ584" i="1"/>
  <c r="AZ581" i="1"/>
  <c r="AZ579" i="1"/>
  <c r="AZ592" i="1"/>
  <c r="AZ590" i="1"/>
  <c r="AZ578" i="1"/>
  <c r="AZ599" i="1"/>
  <c r="AZ594" i="1"/>
  <c r="AZ583" i="1"/>
  <c r="AZ593" i="1"/>
  <c r="AZ604" i="1"/>
  <c r="AZ602" i="1"/>
  <c r="AZ591" i="1"/>
  <c r="AZ585" i="1"/>
  <c r="AZ588" i="1"/>
  <c r="AZ589" i="1"/>
  <c r="AZ582" i="1"/>
  <c r="AZ580" i="1"/>
  <c r="AZ570" i="1"/>
  <c r="AZ577" i="1"/>
  <c r="AZ573" i="1"/>
  <c r="AZ595" i="1"/>
  <c r="AZ575" i="1"/>
  <c r="AZ576" i="1"/>
  <c r="AZ566" i="1"/>
  <c r="AZ565" i="1"/>
  <c r="AZ564" i="1"/>
  <c r="AZ563" i="1"/>
  <c r="AZ561" i="1"/>
  <c r="AZ547" i="1"/>
  <c r="AZ541" i="1"/>
  <c r="AZ554" i="1"/>
  <c r="AZ572" i="1"/>
  <c r="AZ571" i="1"/>
  <c r="AZ558" i="1"/>
  <c r="AZ574" i="1"/>
  <c r="AZ562" i="1"/>
  <c r="AZ567" i="1"/>
  <c r="AZ559" i="1"/>
  <c r="AZ555" i="1"/>
  <c r="AZ560" i="1"/>
  <c r="AZ545" i="1"/>
  <c r="AZ538" i="1"/>
  <c r="AZ568" i="1"/>
  <c r="AZ556" i="1"/>
  <c r="AZ549" i="1"/>
  <c r="AZ540" i="1"/>
  <c r="AZ537" i="1"/>
  <c r="AZ553" i="1"/>
  <c r="AZ551" i="1"/>
  <c r="AZ544" i="1"/>
  <c r="AZ557" i="1"/>
  <c r="AZ543" i="1"/>
  <c r="AZ550" i="1"/>
  <c r="AZ534" i="1"/>
  <c r="AZ531" i="1"/>
  <c r="AZ527" i="1"/>
  <c r="AZ524" i="1"/>
  <c r="AZ520" i="1"/>
  <c r="AZ505" i="1"/>
  <c r="AZ528" i="1"/>
  <c r="AZ533" i="1"/>
  <c r="AZ517" i="1"/>
  <c r="AZ548" i="1"/>
  <c r="AZ539" i="1"/>
  <c r="AZ525" i="1"/>
  <c r="AZ521" i="1"/>
  <c r="AZ529" i="1"/>
  <c r="AZ536" i="1"/>
  <c r="AZ532" i="1"/>
  <c r="AZ522" i="1"/>
  <c r="AZ546" i="1"/>
  <c r="AZ530" i="1"/>
  <c r="AZ542" i="1"/>
  <c r="AZ519" i="1"/>
  <c r="AZ523" i="1"/>
  <c r="AZ509" i="1"/>
  <c r="AZ490" i="1"/>
  <c r="AZ516" i="1"/>
  <c r="AZ507" i="1"/>
  <c r="AZ498" i="1"/>
  <c r="AZ514" i="1"/>
  <c r="AZ491" i="1"/>
  <c r="AZ512" i="1"/>
  <c r="AZ499" i="1"/>
  <c r="AZ495" i="1"/>
  <c r="AZ526" i="1"/>
  <c r="AZ510" i="1"/>
  <c r="AZ508" i="1"/>
  <c r="AZ506" i="1"/>
  <c r="AZ504" i="1"/>
  <c r="AZ502" i="1"/>
  <c r="AZ515" i="1"/>
  <c r="AZ513" i="1"/>
  <c r="AZ511" i="1"/>
  <c r="AZ497" i="1"/>
  <c r="AZ503" i="1"/>
  <c r="AZ492" i="1"/>
  <c r="AZ483" i="1"/>
  <c r="AZ478" i="1"/>
  <c r="AZ487" i="1"/>
  <c r="AZ485" i="1"/>
  <c r="AZ479" i="1"/>
  <c r="AZ500" i="1"/>
  <c r="AZ488" i="1"/>
  <c r="AZ494" i="1"/>
  <c r="AZ493" i="1"/>
  <c r="AZ481" i="1"/>
  <c r="AZ464" i="1"/>
  <c r="AZ458" i="1"/>
  <c r="AZ452" i="1"/>
  <c r="AZ470" i="1"/>
  <c r="AZ473" i="1"/>
  <c r="AZ457" i="1"/>
  <c r="AZ451" i="1"/>
  <c r="AZ445" i="1"/>
  <c r="AZ482" i="1"/>
  <c r="AZ465" i="1"/>
  <c r="AZ489" i="1"/>
  <c r="AZ486" i="1"/>
  <c r="AZ456" i="1"/>
  <c r="AZ472" i="1"/>
  <c r="AZ469" i="1"/>
  <c r="AZ476" i="1"/>
  <c r="AZ466" i="1"/>
  <c r="AZ462" i="1"/>
  <c r="AZ461" i="1"/>
  <c r="AZ455" i="1"/>
  <c r="AZ480" i="1"/>
  <c r="AZ475" i="1"/>
  <c r="AZ477" i="1"/>
  <c r="AZ460" i="1"/>
  <c r="AZ471" i="1"/>
  <c r="AZ468" i="1"/>
  <c r="AZ459" i="1"/>
  <c r="AZ496" i="1"/>
  <c r="AZ474" i="1"/>
  <c r="AZ437" i="1"/>
  <c r="AZ431" i="1"/>
  <c r="AZ444" i="1"/>
  <c r="AZ438" i="1"/>
  <c r="AZ424" i="1"/>
  <c r="AZ408" i="1"/>
  <c r="AZ402" i="1"/>
  <c r="AZ427" i="1"/>
  <c r="AZ421" i="1"/>
  <c r="AZ417" i="1"/>
  <c r="AZ439" i="1"/>
  <c r="AZ430" i="1"/>
  <c r="AZ413" i="1"/>
  <c r="AZ453" i="1"/>
  <c r="AZ448" i="1"/>
  <c r="AZ446" i="1"/>
  <c r="AZ414" i="1"/>
  <c r="AZ440" i="1"/>
  <c r="AZ418" i="1"/>
  <c r="AZ412" i="1"/>
  <c r="AZ442" i="1"/>
  <c r="AZ429" i="1"/>
  <c r="AZ434" i="1"/>
  <c r="AZ432" i="1"/>
  <c r="AZ419" i="1"/>
  <c r="AZ443" i="1"/>
  <c r="AZ435" i="1"/>
  <c r="AZ423" i="1"/>
  <c r="AZ463" i="1"/>
  <c r="AZ447" i="1"/>
  <c r="AZ436" i="1"/>
  <c r="AZ425" i="1"/>
  <c r="AZ449" i="1"/>
  <c r="AZ428" i="1"/>
  <c r="AZ420" i="1"/>
  <c r="AZ441" i="1"/>
  <c r="AZ410" i="1"/>
  <c r="AZ395" i="1"/>
  <c r="AZ426" i="1"/>
  <c r="AZ415" i="1"/>
  <c r="AZ389" i="1"/>
  <c r="AZ422" i="1"/>
  <c r="AZ403" i="1"/>
  <c r="AZ396" i="1"/>
  <c r="AZ406" i="1"/>
  <c r="AZ400" i="1"/>
  <c r="AZ411" i="1"/>
  <c r="AZ397" i="1"/>
  <c r="AZ393" i="1"/>
  <c r="AZ454" i="1"/>
  <c r="AZ392" i="1"/>
  <c r="AZ386" i="1"/>
  <c r="AZ405" i="1"/>
  <c r="AZ398" i="1"/>
  <c r="AZ407" i="1"/>
  <c r="AZ374" i="1"/>
  <c r="AZ363" i="1"/>
  <c r="AZ360" i="1"/>
  <c r="AZ375" i="1"/>
  <c r="AZ367" i="1"/>
  <c r="AZ409" i="1"/>
  <c r="AZ387" i="1"/>
  <c r="AZ385" i="1"/>
  <c r="AZ390" i="1"/>
  <c r="AZ376" i="1"/>
  <c r="AZ368" i="1"/>
  <c r="AZ364" i="1"/>
  <c r="AZ358" i="1"/>
  <c r="AZ404" i="1"/>
  <c r="AZ384" i="1"/>
  <c r="AZ388" i="1"/>
  <c r="AZ378" i="1"/>
  <c r="AZ370" i="1"/>
  <c r="AZ371" i="1"/>
  <c r="AZ356" i="1"/>
  <c r="AZ401" i="1"/>
  <c r="AZ394" i="1"/>
  <c r="AZ380" i="1"/>
  <c r="AZ383" i="1"/>
  <c r="AZ381" i="1"/>
  <c r="AZ373" i="1"/>
  <c r="AZ391" i="1"/>
  <c r="AZ343" i="1"/>
  <c r="AZ328" i="1"/>
  <c r="AZ324" i="1"/>
  <c r="AZ379" i="1"/>
  <c r="AZ347" i="1"/>
  <c r="AZ332" i="1"/>
  <c r="AZ355" i="1"/>
  <c r="AZ340" i="1"/>
  <c r="AZ336" i="1"/>
  <c r="AZ321" i="1"/>
  <c r="AZ372" i="1"/>
  <c r="AZ362" i="1"/>
  <c r="AZ344" i="1"/>
  <c r="AZ325" i="1"/>
  <c r="AZ320" i="1"/>
  <c r="AZ369" i="1"/>
  <c r="AZ366" i="1"/>
  <c r="AZ351" i="1"/>
  <c r="AZ333" i="1"/>
  <c r="AZ329" i="1"/>
  <c r="AZ352" i="1"/>
  <c r="AZ337" i="1"/>
  <c r="AZ322" i="1"/>
  <c r="AZ319" i="1"/>
  <c r="AZ313" i="1"/>
  <c r="AZ377" i="1"/>
  <c r="AZ357" i="1"/>
  <c r="AZ345" i="1"/>
  <c r="AZ341" i="1"/>
  <c r="AZ326" i="1"/>
  <c r="AZ361" i="1"/>
  <c r="AZ353" i="1"/>
  <c r="AZ349" i="1"/>
  <c r="AZ334" i="1"/>
  <c r="AZ330" i="1"/>
  <c r="AZ318" i="1"/>
  <c r="AZ338" i="1"/>
  <c r="AZ359" i="1"/>
  <c r="AZ354" i="1"/>
  <c r="AZ346" i="1"/>
  <c r="AZ342" i="1"/>
  <c r="AZ350" i="1"/>
  <c r="AZ311" i="1"/>
  <c r="AZ310" i="1"/>
  <c r="AZ309" i="1"/>
  <c r="AZ308" i="1"/>
  <c r="AZ307" i="1"/>
  <c r="AZ306" i="1"/>
  <c r="AZ294" i="1"/>
  <c r="AZ293" i="1"/>
  <c r="AZ287" i="1"/>
  <c r="AZ281" i="1"/>
  <c r="AZ275" i="1"/>
  <c r="AZ327" i="1"/>
  <c r="AZ339" i="1"/>
  <c r="AZ298" i="1"/>
  <c r="AZ295" i="1"/>
  <c r="AZ335" i="1"/>
  <c r="AZ316" i="1"/>
  <c r="AZ291" i="1"/>
  <c r="AZ285" i="1"/>
  <c r="AZ279" i="1"/>
  <c r="AZ273" i="1"/>
  <c r="AZ267" i="1"/>
  <c r="AZ301" i="1"/>
  <c r="AZ317" i="1"/>
  <c r="AZ315" i="1"/>
  <c r="AZ302" i="1"/>
  <c r="AZ290" i="1"/>
  <c r="AZ284" i="1"/>
  <c r="AZ323" i="1"/>
  <c r="AZ300" i="1"/>
  <c r="AZ303" i="1"/>
  <c r="AZ289" i="1"/>
  <c r="AZ304" i="1"/>
  <c r="AZ296" i="1"/>
  <c r="AZ288" i="1"/>
  <c r="AZ282" i="1"/>
  <c r="AZ305" i="1"/>
  <c r="AZ299" i="1"/>
  <c r="AZ312" i="1"/>
  <c r="AZ277" i="1"/>
  <c r="AZ257" i="1"/>
  <c r="AZ276" i="1"/>
  <c r="AZ274" i="1"/>
  <c r="AZ268" i="1"/>
  <c r="AZ264" i="1"/>
  <c r="AZ261" i="1"/>
  <c r="AZ248" i="1"/>
  <c r="AZ242" i="1"/>
  <c r="AZ236" i="1"/>
  <c r="AZ272" i="1"/>
  <c r="AZ250" i="1"/>
  <c r="AZ271" i="1"/>
  <c r="AZ258" i="1"/>
  <c r="AZ254" i="1"/>
  <c r="AZ247" i="1"/>
  <c r="AZ241" i="1"/>
  <c r="AZ235" i="1"/>
  <c r="AZ270" i="1"/>
  <c r="AZ262" i="1"/>
  <c r="AZ286" i="1"/>
  <c r="AZ251" i="1"/>
  <c r="AZ240" i="1"/>
  <c r="AZ234" i="1"/>
  <c r="AZ266" i="1"/>
  <c r="AZ259" i="1"/>
  <c r="AZ269" i="1"/>
  <c r="AZ252" i="1"/>
  <c r="AZ260" i="1"/>
  <c r="AZ292" i="1"/>
  <c r="AZ278" i="1"/>
  <c r="AZ253" i="1"/>
  <c r="AZ249" i="1"/>
  <c r="AZ243" i="1"/>
  <c r="AZ228" i="1"/>
  <c r="AZ226" i="1"/>
  <c r="AZ265" i="1"/>
  <c r="AZ233" i="1"/>
  <c r="AZ230" i="1"/>
  <c r="AZ218" i="1"/>
  <c r="AZ214" i="1"/>
  <c r="AZ207" i="1"/>
  <c r="AZ201" i="1"/>
  <c r="AZ225" i="1"/>
  <c r="AZ227" i="1"/>
  <c r="AZ220" i="1"/>
  <c r="AZ211" i="1"/>
  <c r="AZ256" i="1"/>
  <c r="AZ221" i="1"/>
  <c r="AZ244" i="1"/>
  <c r="AZ238" i="1"/>
  <c r="AZ222" i="1"/>
  <c r="AZ210" i="1"/>
  <c r="AZ255" i="1"/>
  <c r="AZ245" i="1"/>
  <c r="AZ231" i="1"/>
  <c r="AZ237" i="1"/>
  <c r="AZ223" i="1"/>
  <c r="AZ205" i="1"/>
  <c r="AZ200" i="1"/>
  <c r="AZ193" i="1"/>
  <c r="AZ177" i="1"/>
  <c r="AZ171" i="1"/>
  <c r="AZ165" i="1"/>
  <c r="AZ159" i="1"/>
  <c r="AZ199" i="1"/>
  <c r="AZ182" i="1"/>
  <c r="AZ190" i="1"/>
  <c r="AZ186" i="1"/>
  <c r="AZ176" i="1"/>
  <c r="AZ170" i="1"/>
  <c r="AZ164" i="1"/>
  <c r="AZ158" i="1"/>
  <c r="AZ152" i="1"/>
  <c r="AZ146" i="1"/>
  <c r="AZ217" i="1"/>
  <c r="AZ179" i="1"/>
  <c r="AZ202" i="1"/>
  <c r="AZ198" i="1"/>
  <c r="AZ183" i="1"/>
  <c r="AZ283" i="1"/>
  <c r="AZ208" i="1"/>
  <c r="AZ204" i="1"/>
  <c r="AZ232" i="1"/>
  <c r="AZ209" i="1"/>
  <c r="AZ206" i="1"/>
  <c r="AZ188" i="1"/>
  <c r="AZ173" i="1"/>
  <c r="AZ167" i="1"/>
  <c r="AZ216" i="1"/>
  <c r="AZ224" i="1"/>
  <c r="AZ203" i="1"/>
  <c r="AZ185" i="1"/>
  <c r="AZ181" i="1"/>
  <c r="AZ172" i="1"/>
  <c r="AZ155" i="1"/>
  <c r="AZ131" i="1"/>
  <c r="AZ125" i="1"/>
  <c r="AZ119" i="1"/>
  <c r="AZ113" i="1"/>
  <c r="AZ213" i="1"/>
  <c r="AZ212" i="1" s="1"/>
  <c r="AZ196" i="1"/>
  <c r="AZ197" i="1"/>
  <c r="AZ151" i="1"/>
  <c r="AZ143" i="1"/>
  <c r="AZ124" i="1"/>
  <c r="AZ169" i="1"/>
  <c r="AZ154" i="1"/>
  <c r="AZ136" i="1"/>
  <c r="AZ123" i="1"/>
  <c r="AZ117" i="1"/>
  <c r="AZ140" i="1"/>
  <c r="AZ191" i="1"/>
  <c r="AZ133" i="1"/>
  <c r="AZ187" i="1"/>
  <c r="AZ175" i="1"/>
  <c r="AZ156" i="1"/>
  <c r="AZ153" i="1"/>
  <c r="AZ141" i="1"/>
  <c r="AZ239" i="1"/>
  <c r="AZ219" i="1"/>
  <c r="AZ194" i="1"/>
  <c r="AZ189" i="1"/>
  <c r="AZ184" i="1"/>
  <c r="AZ163" i="1"/>
  <c r="AZ162" i="1"/>
  <c r="AZ215" i="1"/>
  <c r="AZ166" i="1"/>
  <c r="AZ138" i="1"/>
  <c r="AZ180" i="1"/>
  <c r="AZ168" i="1"/>
  <c r="AZ122" i="1"/>
  <c r="AZ121" i="1"/>
  <c r="AZ108" i="1"/>
  <c r="AZ98" i="1"/>
  <c r="AZ87" i="1"/>
  <c r="AZ76" i="1"/>
  <c r="AZ147" i="1"/>
  <c r="AZ132" i="1"/>
  <c r="AZ97" i="1"/>
  <c r="AZ86" i="1"/>
  <c r="AZ75" i="1"/>
  <c r="AZ160" i="1"/>
  <c r="AZ126" i="1"/>
  <c r="AZ114" i="1"/>
  <c r="AZ107" i="1"/>
  <c r="AZ96" i="1"/>
  <c r="AZ85" i="1"/>
  <c r="AZ74" i="1"/>
  <c r="AZ134" i="1"/>
  <c r="AZ106" i="1"/>
  <c r="AZ95" i="1"/>
  <c r="AZ84" i="1"/>
  <c r="AZ73" i="1"/>
  <c r="AZ105" i="1"/>
  <c r="AZ94" i="1"/>
  <c r="AZ83" i="1"/>
  <c r="AZ150" i="1"/>
  <c r="AZ148" i="1"/>
  <c r="AZ104" i="1"/>
  <c r="AZ93" i="1"/>
  <c r="AZ116" i="1"/>
  <c r="AZ103" i="1"/>
  <c r="AZ92" i="1"/>
  <c r="AZ192" i="1"/>
  <c r="AZ142" i="1"/>
  <c r="AZ128" i="1"/>
  <c r="AZ102" i="1"/>
  <c r="AZ91" i="1"/>
  <c r="AZ145" i="1"/>
  <c r="AZ139" i="1"/>
  <c r="AZ129" i="1"/>
  <c r="AZ118" i="1"/>
  <c r="AZ111" i="1"/>
  <c r="AZ101" i="1"/>
  <c r="AZ80" i="1"/>
  <c r="AZ137" i="1"/>
  <c r="AZ100" i="1"/>
  <c r="AZ79" i="1"/>
  <c r="AZ157" i="1"/>
  <c r="AZ115" i="1"/>
  <c r="AZ112" i="1"/>
  <c r="AZ60" i="1"/>
  <c r="AZ49" i="1"/>
  <c r="AZ41" i="1"/>
  <c r="AZ35" i="1"/>
  <c r="AZ29" i="1"/>
  <c r="AZ23" i="1"/>
  <c r="AZ17" i="1"/>
  <c r="AZ11" i="1"/>
  <c r="AZ149" i="1"/>
  <c r="AZ59" i="1"/>
  <c r="AZ48" i="1"/>
  <c r="AZ89" i="1"/>
  <c r="AZ88" i="1"/>
  <c r="AZ77" i="1"/>
  <c r="AZ58" i="1"/>
  <c r="AZ47" i="1"/>
  <c r="AZ40" i="1"/>
  <c r="AZ28" i="1"/>
  <c r="AZ22" i="1"/>
  <c r="AZ16" i="1"/>
  <c r="AZ10" i="1"/>
  <c r="AZ120" i="1"/>
  <c r="AZ71" i="1"/>
  <c r="AZ68" i="1"/>
  <c r="AZ57" i="1"/>
  <c r="AZ46" i="1"/>
  <c r="AZ78" i="1"/>
  <c r="AZ174" i="1"/>
  <c r="AZ135" i="1"/>
  <c r="AZ55" i="1"/>
  <c r="AZ65" i="1"/>
  <c r="AZ38" i="1"/>
  <c r="AZ32" i="1"/>
  <c r="AZ26" i="1"/>
  <c r="AZ20" i="1"/>
  <c r="AZ69" i="1"/>
  <c r="AZ66" i="1"/>
  <c r="AZ64" i="1"/>
  <c r="AZ82" i="1"/>
  <c r="AZ52" i="1"/>
  <c r="AZ130" i="1"/>
  <c r="AZ62" i="1"/>
  <c r="AZ70" i="1"/>
  <c r="AZ67" i="1"/>
  <c r="AZ61" i="1"/>
  <c r="AZ50" i="1"/>
  <c r="AZ33" i="1"/>
  <c r="AZ15" i="1"/>
  <c r="AZ9" i="1"/>
  <c r="AZ42" i="1"/>
  <c r="AZ37" i="1"/>
  <c r="AZ18" i="1"/>
  <c r="AZ51" i="1"/>
  <c r="AZ27" i="1"/>
  <c r="AZ14" i="1"/>
  <c r="AZ13" i="1"/>
  <c r="AZ36" i="1"/>
  <c r="AZ31" i="1"/>
  <c r="AZ21" i="1"/>
  <c r="AZ56" i="1"/>
  <c r="AZ53" i="1"/>
  <c r="AZ25" i="1"/>
  <c r="AZ43" i="1"/>
  <c r="AZ30" i="1"/>
  <c r="AZ19" i="1"/>
  <c r="AZ12" i="1"/>
  <c r="AZ24" i="1"/>
  <c r="AY144" i="1"/>
  <c r="AY127" i="1"/>
  <c r="BB4" i="1"/>
  <c r="BA6" i="1"/>
  <c r="AY110" i="1"/>
  <c r="AY81" i="1"/>
  <c r="AY161" i="1"/>
  <c r="AY637" i="1"/>
  <c r="AW8" i="1"/>
  <c r="AW5" i="1"/>
  <c r="AY229" i="1"/>
  <c r="AY314" i="1"/>
  <c r="AY484" i="1"/>
  <c r="AY195" i="1"/>
  <c r="AY331" i="1"/>
  <c r="AY416" i="1"/>
  <c r="AY433" i="1"/>
  <c r="AY467" i="1"/>
  <c r="AY518" i="1"/>
  <c r="AY654" i="1"/>
  <c r="AY63" i="1"/>
  <c r="AY90" i="1"/>
  <c r="AY552" i="1"/>
  <c r="AY603" i="1"/>
  <c r="AX44" i="1"/>
  <c r="AX7" i="1" s="1"/>
  <c r="AY54" i="1"/>
  <c r="AY280" i="1"/>
  <c r="AY39" i="1"/>
  <c r="AY212" i="1"/>
  <c r="AY263" i="1"/>
  <c r="AY297" i="1"/>
  <c r="AY535" i="1"/>
  <c r="AY620" i="1"/>
  <c r="AY689" i="1"/>
  <c r="AY695" i="1"/>
  <c r="AX109" i="1"/>
  <c r="AY34" i="1"/>
  <c r="AY99" i="1"/>
  <c r="AY45" i="1"/>
  <c r="AY72" i="1"/>
  <c r="AY399" i="1"/>
  <c r="AY382" i="1"/>
  <c r="AY450" i="1"/>
  <c r="AY501" i="1"/>
  <c r="AY569" i="1"/>
  <c r="AY586" i="1"/>
  <c r="AY671" i="1"/>
  <c r="AZ81" i="1" l="1"/>
  <c r="AZ178" i="1"/>
  <c r="AZ39" i="1"/>
  <c r="AZ280" i="1"/>
  <c r="AZ450" i="1"/>
  <c r="AZ569" i="1"/>
  <c r="AX8" i="1"/>
  <c r="AX5" i="1"/>
  <c r="AZ34" i="1"/>
  <c r="AZ110" i="1"/>
  <c r="AZ161" i="1"/>
  <c r="AZ195" i="1"/>
  <c r="AZ263" i="1"/>
  <c r="AZ484" i="1"/>
  <c r="AZ63" i="1"/>
  <c r="AZ45" i="1"/>
  <c r="AZ246" i="1"/>
  <c r="AZ433" i="1"/>
  <c r="AZ671" i="1"/>
  <c r="AZ399" i="1"/>
  <c r="AZ416" i="1"/>
  <c r="AZ518" i="1"/>
  <c r="AY109" i="1"/>
  <c r="AY7" i="1" s="1"/>
  <c r="AZ144" i="1"/>
  <c r="AZ467" i="1"/>
  <c r="AY44" i="1"/>
  <c r="BA698" i="1"/>
  <c r="BA692" i="1"/>
  <c r="BA703" i="1"/>
  <c r="BA697" i="1"/>
  <c r="BA702" i="1"/>
  <c r="BA700" i="1"/>
  <c r="BA686" i="1"/>
  <c r="BA680" i="1"/>
  <c r="BA701" i="1"/>
  <c r="BA699" i="1"/>
  <c r="BA693" i="1"/>
  <c r="BA691" i="1"/>
  <c r="BA688" i="1"/>
  <c r="BA696" i="1"/>
  <c r="BA682" i="1"/>
  <c r="BA678" i="1"/>
  <c r="BA690" i="1"/>
  <c r="BA687" i="1"/>
  <c r="BA685" i="1"/>
  <c r="BA694" i="1"/>
  <c r="BA675" i="1"/>
  <c r="BA667" i="1"/>
  <c r="BA661" i="1"/>
  <c r="BA655" i="1"/>
  <c r="BA679" i="1"/>
  <c r="BA672" i="1"/>
  <c r="BA666" i="1"/>
  <c r="BA660" i="1"/>
  <c r="BA684" i="1"/>
  <c r="BA677" i="1"/>
  <c r="BA669" i="1"/>
  <c r="BA676" i="1"/>
  <c r="BA673" i="1"/>
  <c r="BA670" i="1"/>
  <c r="BA663" i="1"/>
  <c r="BA683" i="1"/>
  <c r="BA681" i="1"/>
  <c r="BA674" i="1"/>
  <c r="BA658" i="1"/>
  <c r="BA649" i="1"/>
  <c r="BA665" i="1"/>
  <c r="BA664" i="1"/>
  <c r="BA648" i="1"/>
  <c r="BA642" i="1"/>
  <c r="BA636" i="1"/>
  <c r="BA630" i="1"/>
  <c r="BA662" i="1"/>
  <c r="BA657" i="1"/>
  <c r="BA668" i="1"/>
  <c r="BA656" i="1"/>
  <c r="BA653" i="1"/>
  <c r="BA646" i="1"/>
  <c r="BA640" i="1"/>
  <c r="BA634" i="1"/>
  <c r="BA647" i="1"/>
  <c r="BA659" i="1"/>
  <c r="BA652" i="1"/>
  <c r="BA645" i="1"/>
  <c r="BA628" i="1"/>
  <c r="BA650" i="1"/>
  <c r="BA629" i="1"/>
  <c r="BA624" i="1"/>
  <c r="BA618" i="1"/>
  <c r="BA633" i="1"/>
  <c r="BA638" i="1"/>
  <c r="BA622" i="1"/>
  <c r="BA615" i="1"/>
  <c r="BA609" i="1"/>
  <c r="BA639" i="1"/>
  <c r="BA614" i="1"/>
  <c r="BA608" i="1"/>
  <c r="BA651" i="1"/>
  <c r="BA631" i="1"/>
  <c r="BA627" i="1"/>
  <c r="BA623" i="1"/>
  <c r="BA632" i="1"/>
  <c r="BA643" i="1"/>
  <c r="BA635" i="1"/>
  <c r="BA644" i="1"/>
  <c r="BA641" i="1"/>
  <c r="BA625" i="1"/>
  <c r="BA617" i="1"/>
  <c r="BA611" i="1"/>
  <c r="BA600" i="1"/>
  <c r="BA621" i="1"/>
  <c r="BA616" i="1"/>
  <c r="BA612" i="1"/>
  <c r="BA610" i="1"/>
  <c r="BA606" i="1"/>
  <c r="BA604" i="1"/>
  <c r="BA613" i="1"/>
  <c r="BA601" i="1"/>
  <c r="BA619" i="1"/>
  <c r="BA597" i="1"/>
  <c r="BA591" i="1"/>
  <c r="BA585" i="1"/>
  <c r="BA626" i="1"/>
  <c r="BA602" i="1"/>
  <c r="BA596" i="1"/>
  <c r="BA590" i="1"/>
  <c r="BA605" i="1"/>
  <c r="BA599" i="1"/>
  <c r="BA588" i="1"/>
  <c r="BA592" i="1"/>
  <c r="BA598" i="1"/>
  <c r="BA578" i="1"/>
  <c r="BA572" i="1"/>
  <c r="BA566" i="1"/>
  <c r="BA560" i="1"/>
  <c r="BA554" i="1"/>
  <c r="BA594" i="1"/>
  <c r="BA582" i="1"/>
  <c r="BA595" i="1"/>
  <c r="BA593" i="1"/>
  <c r="BA575" i="1"/>
  <c r="BA563" i="1"/>
  <c r="BA589" i="1"/>
  <c r="BA587" i="1"/>
  <c r="BA577" i="1"/>
  <c r="BA573" i="1"/>
  <c r="BA579" i="1"/>
  <c r="BA576" i="1"/>
  <c r="BA584" i="1"/>
  <c r="BA561" i="1"/>
  <c r="BA571" i="1"/>
  <c r="BA558" i="1"/>
  <c r="BA546" i="1"/>
  <c r="BA540" i="1"/>
  <c r="BA574" i="1"/>
  <c r="BA562" i="1"/>
  <c r="BA567" i="1"/>
  <c r="BA551" i="1"/>
  <c r="BA545" i="1"/>
  <c r="BA583" i="1"/>
  <c r="BA559" i="1"/>
  <c r="BA555" i="1"/>
  <c r="BA581" i="1"/>
  <c r="BA570" i="1"/>
  <c r="BA550" i="1"/>
  <c r="BA544" i="1"/>
  <c r="BA607" i="1"/>
  <c r="BA580" i="1"/>
  <c r="BA568" i="1"/>
  <c r="BA556" i="1"/>
  <c r="BA549" i="1"/>
  <c r="BA547" i="1"/>
  <c r="BA537" i="1"/>
  <c r="BA531" i="1"/>
  <c r="BA525" i="1"/>
  <c r="BA519" i="1"/>
  <c r="BA513" i="1"/>
  <c r="BA507" i="1"/>
  <c r="BA565" i="1"/>
  <c r="BA564" i="1"/>
  <c r="BA553" i="1"/>
  <c r="BA548" i="1"/>
  <c r="BA534" i="1"/>
  <c r="BA524" i="1"/>
  <c r="BA528" i="1"/>
  <c r="BA509" i="1"/>
  <c r="BA533" i="1"/>
  <c r="BA539" i="1"/>
  <c r="BA521" i="1"/>
  <c r="BA506" i="1"/>
  <c r="BA502" i="1"/>
  <c r="BA499" i="1"/>
  <c r="BA493" i="1"/>
  <c r="BA487" i="1"/>
  <c r="BA481" i="1"/>
  <c r="BA529" i="1"/>
  <c r="BA557" i="1"/>
  <c r="BA541" i="1"/>
  <c r="BA538" i="1"/>
  <c r="BA543" i="1"/>
  <c r="BA536" i="1"/>
  <c r="BA532" i="1"/>
  <c r="BA530" i="1"/>
  <c r="BA526" i="1"/>
  <c r="BA542" i="1"/>
  <c r="BA523" i="1"/>
  <c r="BA527" i="1"/>
  <c r="BA512" i="1"/>
  <c r="BA508" i="1"/>
  <c r="BA516" i="1"/>
  <c r="BA498" i="1"/>
  <c r="BA494" i="1"/>
  <c r="BA514" i="1"/>
  <c r="BA495" i="1"/>
  <c r="BA510" i="1"/>
  <c r="BA522" i="1"/>
  <c r="BA517" i="1"/>
  <c r="BA503" i="1"/>
  <c r="BA492" i="1"/>
  <c r="BA488" i="1"/>
  <c r="BA520" i="1"/>
  <c r="BA515" i="1"/>
  <c r="BA505" i="1"/>
  <c r="BA500" i="1"/>
  <c r="BA497" i="1"/>
  <c r="BA511" i="1"/>
  <c r="BA504" i="1"/>
  <c r="BA483" i="1"/>
  <c r="BA478" i="1"/>
  <c r="BA486" i="1"/>
  <c r="BA485" i="1"/>
  <c r="BA490" i="1"/>
  <c r="BA482" i="1"/>
  <c r="BA473" i="1"/>
  <c r="BA496" i="1"/>
  <c r="BA480" i="1"/>
  <c r="BA472" i="1"/>
  <c r="BA491" i="1"/>
  <c r="BA477" i="1"/>
  <c r="BA489" i="1"/>
  <c r="BA479" i="1"/>
  <c r="BA470" i="1"/>
  <c r="BA457" i="1"/>
  <c r="BA451" i="1"/>
  <c r="BA445" i="1"/>
  <c r="BA439" i="1"/>
  <c r="BA427" i="1"/>
  <c r="BA421" i="1"/>
  <c r="BA415" i="1"/>
  <c r="BA465" i="1"/>
  <c r="BA456" i="1"/>
  <c r="BA444" i="1"/>
  <c r="BA438" i="1"/>
  <c r="BA469" i="1"/>
  <c r="BA476" i="1"/>
  <c r="BA466" i="1"/>
  <c r="BA462" i="1"/>
  <c r="BA461" i="1"/>
  <c r="BA475" i="1"/>
  <c r="BA460" i="1"/>
  <c r="BA454" i="1"/>
  <c r="BA448" i="1"/>
  <c r="BA442" i="1"/>
  <c r="BA436" i="1"/>
  <c r="BA430" i="1"/>
  <c r="BA424" i="1"/>
  <c r="BA471" i="1"/>
  <c r="BA468" i="1"/>
  <c r="BA463" i="1"/>
  <c r="BA474" i="1"/>
  <c r="BA464" i="1"/>
  <c r="BA417" i="1"/>
  <c r="BA455" i="1"/>
  <c r="BA453" i="1"/>
  <c r="BA446" i="1"/>
  <c r="BA414" i="1"/>
  <c r="BA452" i="1"/>
  <c r="BA440" i="1"/>
  <c r="BA418" i="1"/>
  <c r="BA412" i="1"/>
  <c r="BA441" i="1"/>
  <c r="BA426" i="1"/>
  <c r="BA422" i="1"/>
  <c r="BA458" i="1"/>
  <c r="BA434" i="1"/>
  <c r="BA432" i="1"/>
  <c r="BA443" i="1"/>
  <c r="BA435" i="1"/>
  <c r="BA423" i="1"/>
  <c r="BA410" i="1"/>
  <c r="BA404" i="1"/>
  <c r="BA398" i="1"/>
  <c r="BA447" i="1"/>
  <c r="BA425" i="1"/>
  <c r="BA449" i="1"/>
  <c r="BA428" i="1"/>
  <c r="BA420" i="1"/>
  <c r="BA437" i="1"/>
  <c r="BA431" i="1"/>
  <c r="BA389" i="1"/>
  <c r="BA383" i="1"/>
  <c r="BA403" i="1"/>
  <c r="BA396" i="1"/>
  <c r="BA388" i="1"/>
  <c r="BA376" i="1"/>
  <c r="BA370" i="1"/>
  <c r="BA419" i="1"/>
  <c r="BA406" i="1"/>
  <c r="BA400" i="1"/>
  <c r="BA411" i="1"/>
  <c r="BA387" i="1"/>
  <c r="BA381" i="1"/>
  <c r="BA375" i="1"/>
  <c r="BA369" i="1"/>
  <c r="BA363" i="1"/>
  <c r="BA397" i="1"/>
  <c r="BA393" i="1"/>
  <c r="BA459" i="1"/>
  <c r="BA402" i="1"/>
  <c r="BA405" i="1"/>
  <c r="BA394" i="1"/>
  <c r="BA391" i="1"/>
  <c r="BA385" i="1"/>
  <c r="BA379" i="1"/>
  <c r="BA373" i="1"/>
  <c r="BA429" i="1"/>
  <c r="BA413" i="1"/>
  <c r="BA408" i="1"/>
  <c r="BA401" i="1"/>
  <c r="BA409" i="1"/>
  <c r="BA407" i="1"/>
  <c r="BA367" i="1"/>
  <c r="BA359" i="1"/>
  <c r="BA353" i="1"/>
  <c r="BA390" i="1"/>
  <c r="BA386" i="1"/>
  <c r="BA368" i="1"/>
  <c r="BA364" i="1"/>
  <c r="BA358" i="1"/>
  <c r="BA352" i="1"/>
  <c r="BA346" i="1"/>
  <c r="BA340" i="1"/>
  <c r="BA334" i="1"/>
  <c r="BA328" i="1"/>
  <c r="BA322" i="1"/>
  <c r="BA384" i="1"/>
  <c r="BA377" i="1"/>
  <c r="BA392" i="1"/>
  <c r="BA380" i="1"/>
  <c r="BA372" i="1"/>
  <c r="BA362" i="1"/>
  <c r="BA374" i="1"/>
  <c r="BA360" i="1"/>
  <c r="BA354" i="1"/>
  <c r="BA347" i="1"/>
  <c r="BA332" i="1"/>
  <c r="BA315" i="1"/>
  <c r="BA309" i="1"/>
  <c r="BA303" i="1"/>
  <c r="BA355" i="1"/>
  <c r="BA336" i="1"/>
  <c r="BA321" i="1"/>
  <c r="BA371" i="1"/>
  <c r="BA344" i="1"/>
  <c r="BA325" i="1"/>
  <c r="BA320" i="1"/>
  <c r="BA308" i="1"/>
  <c r="BA302" i="1"/>
  <c r="BA366" i="1"/>
  <c r="BA351" i="1"/>
  <c r="BA333" i="1"/>
  <c r="BA329" i="1"/>
  <c r="BA337" i="1"/>
  <c r="BA319" i="1"/>
  <c r="BA313" i="1"/>
  <c r="BA307" i="1"/>
  <c r="BA395" i="1"/>
  <c r="BA357" i="1"/>
  <c r="BA345" i="1"/>
  <c r="BA341" i="1"/>
  <c r="BA326" i="1"/>
  <c r="BA361" i="1"/>
  <c r="BA349" i="1"/>
  <c r="BA330" i="1"/>
  <c r="BA318" i="1"/>
  <c r="BA312" i="1"/>
  <c r="BA306" i="1"/>
  <c r="BA300" i="1"/>
  <c r="BA338" i="1"/>
  <c r="BA356" i="1"/>
  <c r="BA342" i="1"/>
  <c r="BA327" i="1"/>
  <c r="BA323" i="1"/>
  <c r="BA317" i="1"/>
  <c r="BA378" i="1"/>
  <c r="BA350" i="1"/>
  <c r="BA339" i="1"/>
  <c r="BA335" i="1"/>
  <c r="BA316" i="1"/>
  <c r="BA310" i="1"/>
  <c r="BA292" i="1"/>
  <c r="BA286" i="1"/>
  <c r="BA274" i="1"/>
  <c r="BA268" i="1"/>
  <c r="BA291" i="1"/>
  <c r="BA285" i="1"/>
  <c r="BA279" i="1"/>
  <c r="BA273" i="1"/>
  <c r="BA343" i="1"/>
  <c r="BA301" i="1"/>
  <c r="BA290" i="1"/>
  <c r="BA289" i="1"/>
  <c r="BA283" i="1"/>
  <c r="BA277" i="1"/>
  <c r="BA271" i="1"/>
  <c r="BA265" i="1"/>
  <c r="BA259" i="1"/>
  <c r="BA253" i="1"/>
  <c r="BA324" i="1"/>
  <c r="BA304" i="1"/>
  <c r="BA296" i="1"/>
  <c r="BA288" i="1"/>
  <c r="BA282" i="1"/>
  <c r="BA305" i="1"/>
  <c r="BA299" i="1"/>
  <c r="BA311" i="1"/>
  <c r="BA294" i="1"/>
  <c r="BA293" i="1"/>
  <c r="BA287" i="1"/>
  <c r="BA276" i="1"/>
  <c r="BA264" i="1"/>
  <c r="BA261" i="1"/>
  <c r="BA248" i="1"/>
  <c r="BA242" i="1"/>
  <c r="BA236" i="1"/>
  <c r="BA230" i="1"/>
  <c r="BA224" i="1"/>
  <c r="BA218" i="1"/>
  <c r="BA275" i="1"/>
  <c r="BA272" i="1"/>
  <c r="BA250" i="1"/>
  <c r="BA298" i="1"/>
  <c r="BA281" i="1"/>
  <c r="BA258" i="1"/>
  <c r="BA254" i="1"/>
  <c r="BA247" i="1"/>
  <c r="BA241" i="1"/>
  <c r="BA235" i="1"/>
  <c r="BA270" i="1"/>
  <c r="BA262" i="1"/>
  <c r="BA251" i="1"/>
  <c r="BA240" i="1"/>
  <c r="BA234" i="1"/>
  <c r="BA228" i="1"/>
  <c r="BA222" i="1"/>
  <c r="BA216" i="1"/>
  <c r="BA295" i="1"/>
  <c r="BA266" i="1"/>
  <c r="BA255" i="1"/>
  <c r="BA256" i="1"/>
  <c r="BA278" i="1"/>
  <c r="BA249" i="1"/>
  <c r="BA243" i="1"/>
  <c r="BA237" i="1"/>
  <c r="BA231" i="1"/>
  <c r="BA225" i="1"/>
  <c r="BA219" i="1"/>
  <c r="BA213" i="1"/>
  <c r="BA284" i="1"/>
  <c r="BA257" i="1"/>
  <c r="BA233" i="1"/>
  <c r="BA269" i="1"/>
  <c r="BA260" i="1"/>
  <c r="BA239" i="1"/>
  <c r="BA232" i="1"/>
  <c r="BA206" i="1"/>
  <c r="BA252" i="1"/>
  <c r="BA227" i="1"/>
  <c r="BA220" i="1"/>
  <c r="BA267" i="1"/>
  <c r="BA221" i="1"/>
  <c r="BA244" i="1"/>
  <c r="BA238" i="1"/>
  <c r="BA210" i="1"/>
  <c r="BA204" i="1"/>
  <c r="BA198" i="1"/>
  <c r="BA245" i="1"/>
  <c r="BA223" i="1"/>
  <c r="BA209" i="1"/>
  <c r="BA203" i="1"/>
  <c r="BA197" i="1"/>
  <c r="BA191" i="1"/>
  <c r="BA185" i="1"/>
  <c r="BA179" i="1"/>
  <c r="BA207" i="1"/>
  <c r="BA199" i="1"/>
  <c r="BA182" i="1"/>
  <c r="BA201" i="1"/>
  <c r="BA190" i="1"/>
  <c r="BA186" i="1"/>
  <c r="BA176" i="1"/>
  <c r="BA217" i="1"/>
  <c r="BA214" i="1"/>
  <c r="BA202" i="1"/>
  <c r="BA183" i="1"/>
  <c r="BA175" i="1"/>
  <c r="BA169" i="1"/>
  <c r="BA163" i="1"/>
  <c r="BA157" i="1"/>
  <c r="BA151" i="1"/>
  <c r="BA145" i="1"/>
  <c r="BA139" i="1"/>
  <c r="BA133" i="1"/>
  <c r="BA208" i="1"/>
  <c r="BA187" i="1"/>
  <c r="BA226" i="1"/>
  <c r="BA192" i="1"/>
  <c r="BA215" i="1"/>
  <c r="BA196" i="1"/>
  <c r="BA189" i="1"/>
  <c r="BA135" i="1"/>
  <c r="BA177" i="1"/>
  <c r="BA148" i="1"/>
  <c r="BA132" i="1"/>
  <c r="BA128" i="1"/>
  <c r="BA167" i="1"/>
  <c r="BA165" i="1"/>
  <c r="BA140" i="1"/>
  <c r="BA159" i="1"/>
  <c r="BA129" i="1"/>
  <c r="BA122" i="1"/>
  <c r="BA116" i="1"/>
  <c r="BA211" i="1"/>
  <c r="BA205" i="1"/>
  <c r="BA174" i="1"/>
  <c r="BA160" i="1"/>
  <c r="BA150" i="1"/>
  <c r="BA147" i="1"/>
  <c r="BA137" i="1"/>
  <c r="BA194" i="1"/>
  <c r="BA188" i="1"/>
  <c r="BA184" i="1"/>
  <c r="BA171" i="1"/>
  <c r="BA162" i="1"/>
  <c r="BA130" i="1"/>
  <c r="BA166" i="1"/>
  <c r="BA200" i="1"/>
  <c r="BA181" i="1"/>
  <c r="BA180" i="1"/>
  <c r="BA170" i="1"/>
  <c r="BA168" i="1"/>
  <c r="BA164" i="1"/>
  <c r="BA149" i="1"/>
  <c r="BA146" i="1"/>
  <c r="BA142" i="1"/>
  <c r="BA97" i="1"/>
  <c r="BA86" i="1"/>
  <c r="BA75" i="1"/>
  <c r="BA172" i="1"/>
  <c r="BA126" i="1"/>
  <c r="BA114" i="1"/>
  <c r="BA107" i="1"/>
  <c r="BA96" i="1"/>
  <c r="BA85" i="1"/>
  <c r="BA74" i="1"/>
  <c r="BA134" i="1"/>
  <c r="BA106" i="1"/>
  <c r="BA95" i="1"/>
  <c r="BA84" i="1"/>
  <c r="BA73" i="1"/>
  <c r="BA156" i="1"/>
  <c r="BA125" i="1"/>
  <c r="BA124" i="1"/>
  <c r="BA105" i="1"/>
  <c r="BA94" i="1"/>
  <c r="BA83" i="1"/>
  <c r="BA193" i="1"/>
  <c r="BA154" i="1"/>
  <c r="BA152" i="1"/>
  <c r="BA104" i="1"/>
  <c r="BA93" i="1"/>
  <c r="BA82" i="1"/>
  <c r="BA131" i="1"/>
  <c r="BA123" i="1"/>
  <c r="BA113" i="1"/>
  <c r="BA103" i="1"/>
  <c r="BA92" i="1"/>
  <c r="BA173" i="1"/>
  <c r="BA158" i="1"/>
  <c r="BA143" i="1"/>
  <c r="BA102" i="1"/>
  <c r="BA91" i="1"/>
  <c r="BA141" i="1"/>
  <c r="BA118" i="1"/>
  <c r="BA117" i="1"/>
  <c r="BA111" i="1"/>
  <c r="BA101" i="1"/>
  <c r="BA80" i="1"/>
  <c r="BA138" i="1"/>
  <c r="BA100" i="1"/>
  <c r="BA79" i="1"/>
  <c r="BA155" i="1"/>
  <c r="BA136" i="1"/>
  <c r="BA119" i="1"/>
  <c r="BA115" i="1"/>
  <c r="BA112" i="1"/>
  <c r="BA89" i="1"/>
  <c r="BA78" i="1"/>
  <c r="BA153" i="1"/>
  <c r="BA120" i="1"/>
  <c r="BA59" i="1"/>
  <c r="BA48" i="1"/>
  <c r="BA88" i="1"/>
  <c r="BA87" i="1"/>
  <c r="BA77" i="1"/>
  <c r="BA58" i="1"/>
  <c r="BA47" i="1"/>
  <c r="BA71" i="1"/>
  <c r="BA68" i="1"/>
  <c r="BA57" i="1"/>
  <c r="BA46" i="1"/>
  <c r="BA56" i="1"/>
  <c r="BA33" i="1"/>
  <c r="BA27" i="1"/>
  <c r="BA21" i="1"/>
  <c r="BA15" i="1"/>
  <c r="BA9" i="1"/>
  <c r="BA65" i="1"/>
  <c r="BA38" i="1"/>
  <c r="BA32" i="1"/>
  <c r="BA26" i="1"/>
  <c r="BA20" i="1"/>
  <c r="BA98" i="1"/>
  <c r="BA69" i="1"/>
  <c r="BA66" i="1"/>
  <c r="BA64" i="1"/>
  <c r="BA108" i="1"/>
  <c r="BA53" i="1"/>
  <c r="BA43" i="1"/>
  <c r="BA37" i="1"/>
  <c r="BA31" i="1"/>
  <c r="BA25" i="1"/>
  <c r="BA19" i="1"/>
  <c r="BA13" i="1"/>
  <c r="BA62" i="1"/>
  <c r="BA51" i="1"/>
  <c r="BA42" i="1"/>
  <c r="BA36" i="1"/>
  <c r="BA121" i="1"/>
  <c r="BA70" i="1"/>
  <c r="BA67" i="1"/>
  <c r="BA61" i="1"/>
  <c r="BA76" i="1"/>
  <c r="BA60" i="1"/>
  <c r="BA49" i="1"/>
  <c r="BA41" i="1"/>
  <c r="BA35" i="1"/>
  <c r="BA29" i="1"/>
  <c r="BA23" i="1"/>
  <c r="BA17" i="1"/>
  <c r="BA18" i="1"/>
  <c r="BA22" i="1"/>
  <c r="BA14" i="1"/>
  <c r="BA11" i="1"/>
  <c r="BA16" i="1"/>
  <c r="BA55" i="1"/>
  <c r="BA50" i="1"/>
  <c r="BA10" i="1"/>
  <c r="BA28" i="1"/>
  <c r="BA30" i="1"/>
  <c r="BA12" i="1"/>
  <c r="BA52" i="1"/>
  <c r="BA24" i="1"/>
  <c r="BA40" i="1"/>
  <c r="AZ90" i="1"/>
  <c r="AZ552" i="1"/>
  <c r="AZ689" i="1"/>
  <c r="AZ229" i="1"/>
  <c r="BC4" i="1"/>
  <c r="BB6" i="1"/>
  <c r="AZ348" i="1"/>
  <c r="AZ382" i="1"/>
  <c r="AZ586" i="1"/>
  <c r="AZ620" i="1"/>
  <c r="AZ127" i="1"/>
  <c r="AZ297" i="1"/>
  <c r="AZ603" i="1"/>
  <c r="AZ654" i="1"/>
  <c r="AZ99" i="1"/>
  <c r="AZ72" i="1"/>
  <c r="AZ314" i="1"/>
  <c r="AZ695" i="1"/>
  <c r="AZ331" i="1"/>
  <c r="AZ535" i="1"/>
  <c r="AZ54" i="1"/>
  <c r="AZ365" i="1"/>
  <c r="AZ501" i="1"/>
  <c r="AZ637" i="1"/>
  <c r="BA586" i="1" l="1"/>
  <c r="BA689" i="1"/>
  <c r="BA195" i="1"/>
  <c r="BA484" i="1"/>
  <c r="BA39" i="1"/>
  <c r="BA178" i="1"/>
  <c r="BA246" i="1"/>
  <c r="BA654" i="1"/>
  <c r="BA382" i="1"/>
  <c r="BA552" i="1"/>
  <c r="BA99" i="1"/>
  <c r="BA212" i="1"/>
  <c r="BA280" i="1"/>
  <c r="BA263" i="1"/>
  <c r="BA348" i="1"/>
  <c r="BA501" i="1"/>
  <c r="BA63" i="1"/>
  <c r="BA297" i="1"/>
  <c r="AZ109" i="1"/>
  <c r="BA399" i="1"/>
  <c r="BA433" i="1"/>
  <c r="BA535" i="1"/>
  <c r="BA45" i="1"/>
  <c r="BA127" i="1"/>
  <c r="BA365" i="1"/>
  <c r="BA314" i="1"/>
  <c r="BB703" i="1"/>
  <c r="BB702" i="1"/>
  <c r="BB700" i="1"/>
  <c r="BB696" i="1"/>
  <c r="BB701" i="1"/>
  <c r="BB693" i="1"/>
  <c r="BB698" i="1"/>
  <c r="BB694" i="1"/>
  <c r="BB697" i="1"/>
  <c r="BB699" i="1"/>
  <c r="BB691" i="1"/>
  <c r="BB688" i="1"/>
  <c r="BB687" i="1"/>
  <c r="BB681" i="1"/>
  <c r="BB677" i="1"/>
  <c r="BB690" i="1"/>
  <c r="BB673" i="1"/>
  <c r="BB685" i="1"/>
  <c r="BB679" i="1"/>
  <c r="BB683" i="1"/>
  <c r="BB684" i="1"/>
  <c r="BB675" i="1"/>
  <c r="BB674" i="1"/>
  <c r="BB682" i="1"/>
  <c r="BB678" i="1"/>
  <c r="BB680" i="1"/>
  <c r="BB670" i="1"/>
  <c r="BB686" i="1"/>
  <c r="BB692" i="1"/>
  <c r="BB676" i="1"/>
  <c r="BB672" i="1"/>
  <c r="BB659" i="1"/>
  <c r="BB666" i="1"/>
  <c r="BB658" i="1"/>
  <c r="BB649" i="1"/>
  <c r="BB665" i="1"/>
  <c r="BB664" i="1"/>
  <c r="BB663" i="1"/>
  <c r="BB668" i="1"/>
  <c r="BB662" i="1"/>
  <c r="BB660" i="1"/>
  <c r="BB657" i="1"/>
  <c r="BB652" i="1"/>
  <c r="BB647" i="1"/>
  <c r="BB641" i="1"/>
  <c r="BB656" i="1"/>
  <c r="BB653" i="1"/>
  <c r="BB646" i="1"/>
  <c r="BB661" i="1"/>
  <c r="BB655" i="1"/>
  <c r="BB651" i="1"/>
  <c r="BB669" i="1"/>
  <c r="BB667" i="1"/>
  <c r="BB642" i="1"/>
  <c r="BB644" i="1"/>
  <c r="BB645" i="1"/>
  <c r="BB632" i="1"/>
  <c r="BB625" i="1"/>
  <c r="BB650" i="1"/>
  <c r="BB633" i="1"/>
  <c r="BB623" i="1"/>
  <c r="BB639" i="1"/>
  <c r="BB635" i="1"/>
  <c r="BB629" i="1"/>
  <c r="BB640" i="1"/>
  <c r="BB634" i="1"/>
  <c r="BB628" i="1"/>
  <c r="BB619" i="1"/>
  <c r="BB638" i="1"/>
  <c r="BB648" i="1"/>
  <c r="BB643" i="1"/>
  <c r="BB614" i="1"/>
  <c r="BB636" i="1"/>
  <c r="BB631" i="1"/>
  <c r="BB622" i="1"/>
  <c r="BB630" i="1"/>
  <c r="BB624" i="1"/>
  <c r="BB621" i="1"/>
  <c r="BB608" i="1"/>
  <c r="BB606" i="1"/>
  <c r="BB627" i="1"/>
  <c r="BB618" i="1"/>
  <c r="BB610" i="1"/>
  <c r="BB613" i="1"/>
  <c r="BB616" i="1"/>
  <c r="BB597" i="1"/>
  <c r="BB617" i="1"/>
  <c r="BB626" i="1"/>
  <c r="BB615" i="1"/>
  <c r="BB612" i="1"/>
  <c r="BB611" i="1"/>
  <c r="BB602" i="1"/>
  <c r="BB596" i="1"/>
  <c r="BB594" i="1"/>
  <c r="BB605" i="1"/>
  <c r="BB601" i="1"/>
  <c r="BB599" i="1"/>
  <c r="BB609" i="1"/>
  <c r="BB592" i="1"/>
  <c r="BB604" i="1"/>
  <c r="BB578" i="1"/>
  <c r="BB590" i="1"/>
  <c r="BB582" i="1"/>
  <c r="BB577" i="1"/>
  <c r="BB595" i="1"/>
  <c r="BB591" i="1"/>
  <c r="BB585" i="1"/>
  <c r="BB580" i="1"/>
  <c r="BB589" i="1"/>
  <c r="BB588" i="1"/>
  <c r="BB574" i="1"/>
  <c r="BB587" i="1"/>
  <c r="BB579" i="1"/>
  <c r="BB576" i="1"/>
  <c r="BB598" i="1"/>
  <c r="BB581" i="1"/>
  <c r="BB600" i="1"/>
  <c r="BB607" i="1"/>
  <c r="BB593" i="1"/>
  <c r="BB583" i="1"/>
  <c r="BB568" i="1"/>
  <c r="BB575" i="1"/>
  <c r="BB571" i="1"/>
  <c r="BB558" i="1"/>
  <c r="BB554" i="1"/>
  <c r="BB546" i="1"/>
  <c r="BB540" i="1"/>
  <c r="BB572" i="1"/>
  <c r="BB562" i="1"/>
  <c r="BB567" i="1"/>
  <c r="BB559" i="1"/>
  <c r="BB555" i="1"/>
  <c r="BB584" i="1"/>
  <c r="BB570" i="1"/>
  <c r="BB565" i="1"/>
  <c r="BB564" i="1"/>
  <c r="BB556" i="1"/>
  <c r="BB549" i="1"/>
  <c r="BB547" i="1"/>
  <c r="BB537" i="1"/>
  <c r="BB566" i="1"/>
  <c r="BB553" i="1"/>
  <c r="BB563" i="1"/>
  <c r="BB560" i="1"/>
  <c r="BB551" i="1"/>
  <c r="BB536" i="1"/>
  <c r="BB541" i="1"/>
  <c r="BB544" i="1"/>
  <c r="BB542" i="1"/>
  <c r="BB550" i="1"/>
  <c r="BB545" i="1"/>
  <c r="BB524" i="1"/>
  <c r="BB520" i="1"/>
  <c r="BB561" i="1"/>
  <c r="BB528" i="1"/>
  <c r="BB533" i="1"/>
  <c r="BB517" i="1"/>
  <c r="BB513" i="1"/>
  <c r="BB573" i="1"/>
  <c r="BB539" i="1"/>
  <c r="BB548" i="1"/>
  <c r="BB529" i="1"/>
  <c r="BB525" i="1"/>
  <c r="BB510" i="1"/>
  <c r="BB557" i="1"/>
  <c r="BB538" i="1"/>
  <c r="BB543" i="1"/>
  <c r="BB532" i="1"/>
  <c r="BB530" i="1"/>
  <c r="BB526" i="1"/>
  <c r="BB527" i="1"/>
  <c r="BB534" i="1"/>
  <c r="BB531" i="1"/>
  <c r="BB516" i="1"/>
  <c r="BB507" i="1"/>
  <c r="BB514" i="1"/>
  <c r="BB512" i="1"/>
  <c r="BB499" i="1"/>
  <c r="BB522" i="1"/>
  <c r="BB503" i="1"/>
  <c r="BB521" i="1"/>
  <c r="BB504" i="1"/>
  <c r="BB496" i="1"/>
  <c r="BB523" i="1"/>
  <c r="BB515" i="1"/>
  <c r="BB508" i="1"/>
  <c r="BB506" i="1"/>
  <c r="BB505" i="1"/>
  <c r="BB519" i="1"/>
  <c r="BB511" i="1"/>
  <c r="BB509" i="1"/>
  <c r="BB497" i="1"/>
  <c r="BB492" i="1"/>
  <c r="BB486" i="1"/>
  <c r="BB487" i="1"/>
  <c r="BB502" i="1"/>
  <c r="BB490" i="1"/>
  <c r="BB500" i="1"/>
  <c r="BB495" i="1"/>
  <c r="BB494" i="1"/>
  <c r="BB491" i="1"/>
  <c r="BB493" i="1"/>
  <c r="BB489" i="1"/>
  <c r="BB481" i="1"/>
  <c r="BB476" i="1"/>
  <c r="BB498" i="1"/>
  <c r="BB457" i="1"/>
  <c r="BB451" i="1"/>
  <c r="BB473" i="1"/>
  <c r="BB465" i="1"/>
  <c r="BB488" i="1"/>
  <c r="BB482" i="1"/>
  <c r="BB456" i="1"/>
  <c r="BB444" i="1"/>
  <c r="BB469" i="1"/>
  <c r="BB472" i="1"/>
  <c r="BB466" i="1"/>
  <c r="BB462" i="1"/>
  <c r="BB461" i="1"/>
  <c r="BB455" i="1"/>
  <c r="BB475" i="1"/>
  <c r="BB480" i="1"/>
  <c r="BB478" i="1"/>
  <c r="BB460" i="1"/>
  <c r="BB454" i="1"/>
  <c r="BB483" i="1"/>
  <c r="BB477" i="1"/>
  <c r="BB471" i="1"/>
  <c r="BB468" i="1"/>
  <c r="BB463" i="1"/>
  <c r="BB485" i="1"/>
  <c r="BB459" i="1"/>
  <c r="BB474" i="1"/>
  <c r="BB464" i="1"/>
  <c r="BB458" i="1"/>
  <c r="BB479" i="1"/>
  <c r="BB470" i="1"/>
  <c r="BB438" i="1"/>
  <c r="BB424" i="1"/>
  <c r="BB427" i="1"/>
  <c r="BB421" i="1"/>
  <c r="BB413" i="1"/>
  <c r="BB407" i="1"/>
  <c r="BB401" i="1"/>
  <c r="BB453" i="1"/>
  <c r="BB446" i="1"/>
  <c r="BB439" i="1"/>
  <c r="BB430" i="1"/>
  <c r="BB452" i="1"/>
  <c r="BB448" i="1"/>
  <c r="BB440" i="1"/>
  <c r="BB418" i="1"/>
  <c r="BB412" i="1"/>
  <c r="BB441" i="1"/>
  <c r="BB426" i="1"/>
  <c r="BB422" i="1"/>
  <c r="BB429" i="1"/>
  <c r="BB411" i="1"/>
  <c r="BB443" i="1"/>
  <c r="BB435" i="1"/>
  <c r="BB423" i="1"/>
  <c r="BB447" i="1"/>
  <c r="BB445" i="1"/>
  <c r="BB425" i="1"/>
  <c r="BB449" i="1"/>
  <c r="BB436" i="1"/>
  <c r="BB428" i="1"/>
  <c r="BB437" i="1"/>
  <c r="BB431" i="1"/>
  <c r="BB420" i="1"/>
  <c r="BB415" i="1"/>
  <c r="BB403" i="1"/>
  <c r="BB396" i="1"/>
  <c r="BB388" i="1"/>
  <c r="BB419" i="1"/>
  <c r="BB414" i="1"/>
  <c r="BB406" i="1"/>
  <c r="BB400" i="1"/>
  <c r="BB397" i="1"/>
  <c r="BB393" i="1"/>
  <c r="BB402" i="1"/>
  <c r="BB392" i="1"/>
  <c r="BB432" i="1"/>
  <c r="BB405" i="1"/>
  <c r="BB394" i="1"/>
  <c r="BB391" i="1"/>
  <c r="BB385" i="1"/>
  <c r="BB442" i="1"/>
  <c r="BB408" i="1"/>
  <c r="BB398" i="1"/>
  <c r="BB409" i="1"/>
  <c r="BB434" i="1"/>
  <c r="BB417" i="1"/>
  <c r="BB375" i="1"/>
  <c r="BB359" i="1"/>
  <c r="BB390" i="1"/>
  <c r="BB387" i="1"/>
  <c r="BB386" i="1"/>
  <c r="BB376" i="1"/>
  <c r="BB384" i="1"/>
  <c r="BB377" i="1"/>
  <c r="BB404" i="1"/>
  <c r="BB389" i="1"/>
  <c r="BB378" i="1"/>
  <c r="BB357" i="1"/>
  <c r="BB395" i="1"/>
  <c r="BB379" i="1"/>
  <c r="BB371" i="1"/>
  <c r="BB369" i="1"/>
  <c r="BB366" i="1"/>
  <c r="BB361" i="1"/>
  <c r="BB355" i="1"/>
  <c r="BB383" i="1"/>
  <c r="BB381" i="1"/>
  <c r="BB373" i="1"/>
  <c r="BB410" i="1"/>
  <c r="BB374" i="1"/>
  <c r="BB367" i="1"/>
  <c r="BB363" i="1"/>
  <c r="BB336" i="1"/>
  <c r="BB321" i="1"/>
  <c r="BB344" i="1"/>
  <c r="BB340" i="1"/>
  <c r="BB325" i="1"/>
  <c r="BB320" i="1"/>
  <c r="BB372" i="1"/>
  <c r="BB370" i="1"/>
  <c r="BB362" i="1"/>
  <c r="BB360" i="1"/>
  <c r="BB351" i="1"/>
  <c r="BB333" i="1"/>
  <c r="BB329" i="1"/>
  <c r="BB364" i="1"/>
  <c r="BB337" i="1"/>
  <c r="BB319" i="1"/>
  <c r="BB352" i="1"/>
  <c r="BB345" i="1"/>
  <c r="BB341" i="1"/>
  <c r="BB326" i="1"/>
  <c r="BB322" i="1"/>
  <c r="BB380" i="1"/>
  <c r="BB358" i="1"/>
  <c r="BB349" i="1"/>
  <c r="BB330" i="1"/>
  <c r="BB318" i="1"/>
  <c r="BB312" i="1"/>
  <c r="BB368" i="1"/>
  <c r="BB353" i="1"/>
  <c r="BB338" i="1"/>
  <c r="BB334" i="1"/>
  <c r="BB356" i="1"/>
  <c r="BB342" i="1"/>
  <c r="BB327" i="1"/>
  <c r="BB323" i="1"/>
  <c r="BB317" i="1"/>
  <c r="BB354" i="1"/>
  <c r="BB350" i="1"/>
  <c r="BB346" i="1"/>
  <c r="BB339" i="1"/>
  <c r="BB343" i="1"/>
  <c r="BB324" i="1"/>
  <c r="BB292" i="1"/>
  <c r="BB286" i="1"/>
  <c r="BB274" i="1"/>
  <c r="BB298" i="1"/>
  <c r="BB295" i="1"/>
  <c r="BB335" i="1"/>
  <c r="BB316" i="1"/>
  <c r="BB301" i="1"/>
  <c r="BB328" i="1"/>
  <c r="BB290" i="1"/>
  <c r="BB284" i="1"/>
  <c r="BB278" i="1"/>
  <c r="BB272" i="1"/>
  <c r="BB266" i="1"/>
  <c r="BB347" i="1"/>
  <c r="BB315" i="1"/>
  <c r="BB302" i="1"/>
  <c r="BB300" i="1"/>
  <c r="BB289" i="1"/>
  <c r="BB283" i="1"/>
  <c r="BB313" i="1"/>
  <c r="BB303" i="1"/>
  <c r="BB304" i="1"/>
  <c r="BB296" i="1"/>
  <c r="BB288" i="1"/>
  <c r="BB305" i="1"/>
  <c r="BB299" i="1"/>
  <c r="BB311" i="1"/>
  <c r="BB294" i="1"/>
  <c r="BB293" i="1"/>
  <c r="BB287" i="1"/>
  <c r="BB281" i="1"/>
  <c r="BB332" i="1"/>
  <c r="BB331" i="1" s="1"/>
  <c r="BB310" i="1"/>
  <c r="BB309" i="1"/>
  <c r="BB308" i="1"/>
  <c r="BB307" i="1"/>
  <c r="BB306" i="1"/>
  <c r="BB275" i="1"/>
  <c r="BB268" i="1"/>
  <c r="BB250" i="1"/>
  <c r="BB273" i="1"/>
  <c r="BB258" i="1"/>
  <c r="BB254" i="1"/>
  <c r="BB247" i="1"/>
  <c r="BB241" i="1"/>
  <c r="BB235" i="1"/>
  <c r="BB271" i="1"/>
  <c r="BB270" i="1"/>
  <c r="BB262" i="1"/>
  <c r="BB251" i="1"/>
  <c r="BB240" i="1"/>
  <c r="BB234" i="1"/>
  <c r="BB285" i="1"/>
  <c r="BB255" i="1"/>
  <c r="BB291" i="1"/>
  <c r="BB259" i="1"/>
  <c r="BB245" i="1"/>
  <c r="BB239" i="1"/>
  <c r="BB233" i="1"/>
  <c r="BB269" i="1"/>
  <c r="BB267" i="1"/>
  <c r="BB265" i="1"/>
  <c r="BB260" i="1"/>
  <c r="BB279" i="1"/>
  <c r="BB257" i="1"/>
  <c r="BB253" i="1"/>
  <c r="BB277" i="1"/>
  <c r="BB276" i="1"/>
  <c r="BB264" i="1"/>
  <c r="BB261" i="1"/>
  <c r="BB248" i="1"/>
  <c r="BB242" i="1"/>
  <c r="BB230" i="1"/>
  <c r="BB232" i="1"/>
  <c r="BB206" i="1"/>
  <c r="BB200" i="1"/>
  <c r="BB249" i="1"/>
  <c r="BB219" i="1"/>
  <c r="BB215" i="1"/>
  <c r="BB221" i="1"/>
  <c r="BB256" i="1"/>
  <c r="BB244" i="1"/>
  <c r="BB238" i="1"/>
  <c r="BB210" i="1"/>
  <c r="BB222" i="1"/>
  <c r="BB282" i="1"/>
  <c r="BB231" i="1"/>
  <c r="BB223" i="1"/>
  <c r="BB209" i="1"/>
  <c r="BB237" i="1"/>
  <c r="BB213" i="1"/>
  <c r="BB226" i="1"/>
  <c r="BB224" i="1"/>
  <c r="BB216" i="1"/>
  <c r="BB201" i="1"/>
  <c r="BB190" i="1"/>
  <c r="BB186" i="1"/>
  <c r="BB176" i="1"/>
  <c r="BB170" i="1"/>
  <c r="BB164" i="1"/>
  <c r="BB158" i="1"/>
  <c r="BB228" i="1"/>
  <c r="BB225" i="1"/>
  <c r="BB217" i="1"/>
  <c r="BB214" i="1"/>
  <c r="BB202" i="1"/>
  <c r="BB183" i="1"/>
  <c r="BB179" i="1"/>
  <c r="BB175" i="1"/>
  <c r="BB169" i="1"/>
  <c r="BB163" i="1"/>
  <c r="BB157" i="1"/>
  <c r="BB151" i="1"/>
  <c r="BB145" i="1"/>
  <c r="BB252" i="1"/>
  <c r="BB208" i="1"/>
  <c r="BB198" i="1"/>
  <c r="BB187" i="1"/>
  <c r="BB204" i="1"/>
  <c r="BB191" i="1"/>
  <c r="BB220" i="1"/>
  <c r="BB211" i="1"/>
  <c r="BB181" i="1"/>
  <c r="BB172" i="1"/>
  <c r="BB166" i="1"/>
  <c r="BB236" i="1"/>
  <c r="BB227" i="1"/>
  <c r="BB243" i="1"/>
  <c r="BB205" i="1"/>
  <c r="BB193" i="1"/>
  <c r="BB177" i="1"/>
  <c r="BB171" i="1"/>
  <c r="BB196" i="1"/>
  <c r="BB143" i="1"/>
  <c r="BB139" i="1"/>
  <c r="BB124" i="1"/>
  <c r="BB118" i="1"/>
  <c r="BB112" i="1"/>
  <c r="BB197" i="1"/>
  <c r="BB154" i="1"/>
  <c r="BB136" i="1"/>
  <c r="BB123" i="1"/>
  <c r="BB218" i="1"/>
  <c r="BB159" i="1"/>
  <c r="BB129" i="1"/>
  <c r="BB122" i="1"/>
  <c r="BB207" i="1"/>
  <c r="BB174" i="1"/>
  <c r="BB160" i="1"/>
  <c r="BB150" i="1"/>
  <c r="BB147" i="1"/>
  <c r="BB137" i="1"/>
  <c r="BB133" i="1"/>
  <c r="BB199" i="1"/>
  <c r="BB192" i="1"/>
  <c r="BB173" i="1"/>
  <c r="BB156" i="1"/>
  <c r="BB153" i="1"/>
  <c r="BB141" i="1"/>
  <c r="BB189" i="1"/>
  <c r="BB138" i="1"/>
  <c r="BB134" i="1"/>
  <c r="BB126" i="1"/>
  <c r="BB185" i="1"/>
  <c r="BB180" i="1"/>
  <c r="BB168" i="1"/>
  <c r="BB149" i="1"/>
  <c r="BB203" i="1"/>
  <c r="BB182" i="1"/>
  <c r="BB155" i="1"/>
  <c r="BB152" i="1"/>
  <c r="BB132" i="1"/>
  <c r="BB114" i="1"/>
  <c r="BB107" i="1"/>
  <c r="BB96" i="1"/>
  <c r="BB85" i="1"/>
  <c r="BB74" i="1"/>
  <c r="BB194" i="1"/>
  <c r="BB106" i="1"/>
  <c r="BB95" i="1"/>
  <c r="BB84" i="1"/>
  <c r="BB73" i="1"/>
  <c r="BB188" i="1"/>
  <c r="BB125" i="1"/>
  <c r="BB105" i="1"/>
  <c r="BB94" i="1"/>
  <c r="BB83" i="1"/>
  <c r="BB167" i="1"/>
  <c r="BB104" i="1"/>
  <c r="BB93" i="1"/>
  <c r="BB82" i="1"/>
  <c r="BB148" i="1"/>
  <c r="BB131" i="1"/>
  <c r="BB113" i="1"/>
  <c r="BB103" i="1"/>
  <c r="BB92" i="1"/>
  <c r="BB116" i="1"/>
  <c r="BB102" i="1"/>
  <c r="BB91" i="1"/>
  <c r="BB142" i="1"/>
  <c r="BB128" i="1"/>
  <c r="BB117" i="1"/>
  <c r="BB111" i="1"/>
  <c r="BB101" i="1"/>
  <c r="BB80" i="1"/>
  <c r="BB165" i="1"/>
  <c r="BB100" i="1"/>
  <c r="BB79" i="1"/>
  <c r="BB184" i="1"/>
  <c r="BB140" i="1"/>
  <c r="BB119" i="1"/>
  <c r="BB115" i="1"/>
  <c r="BB89" i="1"/>
  <c r="BB78" i="1"/>
  <c r="BB162" i="1"/>
  <c r="BB120" i="1"/>
  <c r="BB88" i="1"/>
  <c r="BB77" i="1"/>
  <c r="BB146" i="1"/>
  <c r="BB135" i="1"/>
  <c r="BB130" i="1"/>
  <c r="BB121" i="1"/>
  <c r="BB108" i="1"/>
  <c r="BB98" i="1"/>
  <c r="BB97" i="1"/>
  <c r="BB87" i="1"/>
  <c r="BB86" i="1"/>
  <c r="BB58" i="1"/>
  <c r="BB47" i="1"/>
  <c r="BB40" i="1"/>
  <c r="BB28" i="1"/>
  <c r="BB22" i="1"/>
  <c r="BB16" i="1"/>
  <c r="BB10" i="1"/>
  <c r="BB71" i="1"/>
  <c r="BB68" i="1"/>
  <c r="BB57" i="1"/>
  <c r="BB46" i="1"/>
  <c r="BB75" i="1"/>
  <c r="BB56" i="1"/>
  <c r="BB33" i="1"/>
  <c r="BB27" i="1"/>
  <c r="BB21" i="1"/>
  <c r="BB15" i="1"/>
  <c r="BB9" i="1"/>
  <c r="BB55" i="1"/>
  <c r="BB65" i="1"/>
  <c r="BB69" i="1"/>
  <c r="BB66" i="1"/>
  <c r="BB64" i="1"/>
  <c r="BB53" i="1"/>
  <c r="BB43" i="1"/>
  <c r="BB37" i="1"/>
  <c r="BB31" i="1"/>
  <c r="BB25" i="1"/>
  <c r="BB19" i="1"/>
  <c r="BB52" i="1"/>
  <c r="BB62" i="1"/>
  <c r="BB70" i="1"/>
  <c r="BB67" i="1"/>
  <c r="BB61" i="1"/>
  <c r="BB50" i="1"/>
  <c r="BB76" i="1"/>
  <c r="BB60" i="1"/>
  <c r="BB59" i="1"/>
  <c r="BB48" i="1"/>
  <c r="BB42" i="1"/>
  <c r="BB14" i="1"/>
  <c r="BB11" i="1"/>
  <c r="BB51" i="1"/>
  <c r="BB13" i="1"/>
  <c r="BB32" i="1"/>
  <c r="BB38" i="1"/>
  <c r="BB26" i="1"/>
  <c r="BB23" i="1"/>
  <c r="BB41" i="1"/>
  <c r="BB18" i="1"/>
  <c r="BB30" i="1"/>
  <c r="BB20" i="1"/>
  <c r="BB12" i="1"/>
  <c r="BB17" i="1"/>
  <c r="BB35" i="1"/>
  <c r="BB34" i="1" s="1"/>
  <c r="BB24" i="1"/>
  <c r="BB49" i="1"/>
  <c r="BB29" i="1"/>
  <c r="BB36" i="1"/>
  <c r="BA110" i="1"/>
  <c r="BA331" i="1"/>
  <c r="BA416" i="1"/>
  <c r="BA518" i="1"/>
  <c r="BA569" i="1"/>
  <c r="BA603" i="1"/>
  <c r="BA637" i="1"/>
  <c r="BA54" i="1"/>
  <c r="BA81" i="1"/>
  <c r="BA72" i="1"/>
  <c r="BA34" i="1"/>
  <c r="BC6" i="1"/>
  <c r="BD4" i="1"/>
  <c r="AY8" i="1"/>
  <c r="AY5" i="1"/>
  <c r="BA144" i="1"/>
  <c r="BA90" i="1"/>
  <c r="BA161" i="1"/>
  <c r="BA229" i="1"/>
  <c r="BA467" i="1"/>
  <c r="BA450" i="1"/>
  <c r="BA671" i="1"/>
  <c r="BA695" i="1"/>
  <c r="AZ44" i="1"/>
  <c r="AZ7" i="1" s="1"/>
  <c r="BA620" i="1"/>
  <c r="BB620" i="1" l="1"/>
  <c r="BB39" i="1"/>
  <c r="BB695" i="1"/>
  <c r="AZ8" i="1"/>
  <c r="AZ5" i="1"/>
  <c r="BC703" i="1"/>
  <c r="BC697" i="1"/>
  <c r="BC691" i="1"/>
  <c r="BC702" i="1"/>
  <c r="BC696" i="1"/>
  <c r="BC695" i="1" s="1"/>
  <c r="BC701" i="1"/>
  <c r="BC688" i="1"/>
  <c r="BC685" i="1"/>
  <c r="BC698" i="1"/>
  <c r="BC694" i="1"/>
  <c r="BC699" i="1"/>
  <c r="BC686" i="1"/>
  <c r="BC692" i="1"/>
  <c r="BC693" i="1"/>
  <c r="BC687" i="1"/>
  <c r="BC700" i="1"/>
  <c r="BC680" i="1"/>
  <c r="BC674" i="1"/>
  <c r="BC672" i="1"/>
  <c r="BC666" i="1"/>
  <c r="BC660" i="1"/>
  <c r="BC690" i="1"/>
  <c r="BC676" i="1"/>
  <c r="BC665" i="1"/>
  <c r="BC659" i="1"/>
  <c r="BC673" i="1"/>
  <c r="BC684" i="1"/>
  <c r="BC668" i="1"/>
  <c r="BC683" i="1"/>
  <c r="BC679" i="1"/>
  <c r="BC677" i="1"/>
  <c r="BC670" i="1"/>
  <c r="BC675" i="1"/>
  <c r="BC678" i="1"/>
  <c r="BC681" i="1"/>
  <c r="BC682" i="1"/>
  <c r="BC664" i="1"/>
  <c r="BC655" i="1"/>
  <c r="BC663" i="1"/>
  <c r="BC661" i="1"/>
  <c r="BC669" i="1"/>
  <c r="BC662" i="1"/>
  <c r="BC652" i="1"/>
  <c r="BC647" i="1"/>
  <c r="BC641" i="1"/>
  <c r="BC635" i="1"/>
  <c r="BC629" i="1"/>
  <c r="BC656" i="1"/>
  <c r="BC653" i="1"/>
  <c r="BC658" i="1"/>
  <c r="BC651" i="1"/>
  <c r="BC667" i="1"/>
  <c r="BC645" i="1"/>
  <c r="BC639" i="1"/>
  <c r="BC642" i="1"/>
  <c r="BC643" i="1"/>
  <c r="BC638" i="1"/>
  <c r="BC636" i="1"/>
  <c r="BC649" i="1"/>
  <c r="BC623" i="1"/>
  <c r="BC617" i="1"/>
  <c r="BC657" i="1"/>
  <c r="BC646" i="1"/>
  <c r="BC614" i="1"/>
  <c r="BC640" i="1"/>
  <c r="BC625" i="1"/>
  <c r="BC624" i="1"/>
  <c r="BC613" i="1"/>
  <c r="BC607" i="1"/>
  <c r="BC648" i="1"/>
  <c r="BC644" i="1"/>
  <c r="BC630" i="1"/>
  <c r="BC632" i="1"/>
  <c r="BC650" i="1"/>
  <c r="BC634" i="1"/>
  <c r="BC631" i="1"/>
  <c r="BC628" i="1"/>
  <c r="BC619" i="1"/>
  <c r="BC618" i="1"/>
  <c r="BC633" i="1"/>
  <c r="BC626" i="1"/>
  <c r="BC621" i="1"/>
  <c r="BC610" i="1"/>
  <c r="BC616" i="1"/>
  <c r="BC612" i="1"/>
  <c r="BC609" i="1"/>
  <c r="BC627" i="1"/>
  <c r="BC622" i="1"/>
  <c r="BC604" i="1"/>
  <c r="BC600" i="1"/>
  <c r="BC599" i="1"/>
  <c r="BC608" i="1"/>
  <c r="BC606" i="1"/>
  <c r="BC611" i="1"/>
  <c r="BC615" i="1"/>
  <c r="BC602" i="1"/>
  <c r="BC596" i="1"/>
  <c r="BC590" i="1"/>
  <c r="BC584" i="1"/>
  <c r="BC597" i="1"/>
  <c r="BC605" i="1"/>
  <c r="BC598" i="1"/>
  <c r="BC592" i="1"/>
  <c r="BC582" i="1"/>
  <c r="BC594" i="1"/>
  <c r="BC577" i="1"/>
  <c r="BC571" i="1"/>
  <c r="BC565" i="1"/>
  <c r="BC559" i="1"/>
  <c r="BC553" i="1"/>
  <c r="BC595" i="1"/>
  <c r="BC593" i="1"/>
  <c r="BC591" i="1"/>
  <c r="BC585" i="1"/>
  <c r="BC580" i="1"/>
  <c r="BC574" i="1"/>
  <c r="BC568" i="1"/>
  <c r="BC562" i="1"/>
  <c r="BC601" i="1"/>
  <c r="BC589" i="1"/>
  <c r="BC588" i="1"/>
  <c r="BC587" i="1"/>
  <c r="BC579" i="1"/>
  <c r="BC576" i="1"/>
  <c r="BC566" i="1"/>
  <c r="BC575" i="1"/>
  <c r="BC578" i="1"/>
  <c r="BC572" i="1"/>
  <c r="BC567" i="1"/>
  <c r="BC551" i="1"/>
  <c r="BC545" i="1"/>
  <c r="BC583" i="1"/>
  <c r="BC570" i="1"/>
  <c r="BC550" i="1"/>
  <c r="BC544" i="1"/>
  <c r="BC581" i="1"/>
  <c r="BC573" i="1"/>
  <c r="BC556" i="1"/>
  <c r="BC549" i="1"/>
  <c r="BC543" i="1"/>
  <c r="BC564" i="1"/>
  <c r="BC563" i="1"/>
  <c r="BC560" i="1"/>
  <c r="BC540" i="1"/>
  <c r="BC536" i="1"/>
  <c r="BC530" i="1"/>
  <c r="BC524" i="1"/>
  <c r="BC512" i="1"/>
  <c r="BC506" i="1"/>
  <c r="BC541" i="1"/>
  <c r="BC542" i="1"/>
  <c r="BC554" i="1"/>
  <c r="BC548" i="1"/>
  <c r="BC546" i="1"/>
  <c r="BC561" i="1"/>
  <c r="BC558" i="1"/>
  <c r="BC557" i="1"/>
  <c r="BC555" i="1"/>
  <c r="BC539" i="1"/>
  <c r="BC533" i="1"/>
  <c r="BC547" i="1"/>
  <c r="BC528" i="1"/>
  <c r="BC521" i="1"/>
  <c r="BC529" i="1"/>
  <c r="BC538" i="1"/>
  <c r="BC514" i="1"/>
  <c r="BC498" i="1"/>
  <c r="BC492" i="1"/>
  <c r="BC486" i="1"/>
  <c r="BC480" i="1"/>
  <c r="BC532" i="1"/>
  <c r="BC522" i="1"/>
  <c r="BC523" i="1"/>
  <c r="BC537" i="1"/>
  <c r="BC534" i="1"/>
  <c r="BC531" i="1"/>
  <c r="BC520" i="1"/>
  <c r="BC491" i="1"/>
  <c r="BC525" i="1"/>
  <c r="BC510" i="1"/>
  <c r="BC503" i="1"/>
  <c r="BC488" i="1"/>
  <c r="BC526" i="1"/>
  <c r="BC517" i="1"/>
  <c r="BC504" i="1"/>
  <c r="BC496" i="1"/>
  <c r="BC515" i="1"/>
  <c r="BC508" i="1"/>
  <c r="BC505" i="1"/>
  <c r="BC502" i="1"/>
  <c r="BC500" i="1"/>
  <c r="BC519" i="1"/>
  <c r="BC513" i="1"/>
  <c r="BC511" i="1"/>
  <c r="BC527" i="1"/>
  <c r="BC509" i="1"/>
  <c r="BC516" i="1"/>
  <c r="BC507" i="1"/>
  <c r="BC499" i="1"/>
  <c r="BC487" i="1"/>
  <c r="BC485" i="1"/>
  <c r="BC479" i="1"/>
  <c r="BC490" i="1"/>
  <c r="BC472" i="1"/>
  <c r="BC466" i="1"/>
  <c r="BC495" i="1"/>
  <c r="BC471" i="1"/>
  <c r="BC493" i="1"/>
  <c r="BC489" i="1"/>
  <c r="BC497" i="1"/>
  <c r="BC483" i="1"/>
  <c r="BC473" i="1"/>
  <c r="BC465" i="1"/>
  <c r="BC482" i="1"/>
  <c r="BC456" i="1"/>
  <c r="BC444" i="1"/>
  <c r="BC438" i="1"/>
  <c r="BC432" i="1"/>
  <c r="BC426" i="1"/>
  <c r="BC420" i="1"/>
  <c r="BC414" i="1"/>
  <c r="BC481" i="1"/>
  <c r="BC469" i="1"/>
  <c r="BC462" i="1"/>
  <c r="BC461" i="1"/>
  <c r="BC455" i="1"/>
  <c r="BC449" i="1"/>
  <c r="BC443" i="1"/>
  <c r="BC437" i="1"/>
  <c r="BC476" i="1"/>
  <c r="BC475" i="1"/>
  <c r="BC478" i="1"/>
  <c r="BC460" i="1"/>
  <c r="BC477" i="1"/>
  <c r="BC468" i="1"/>
  <c r="BC467" i="1" s="1"/>
  <c r="BC463" i="1"/>
  <c r="BC494" i="1"/>
  <c r="BC459" i="1"/>
  <c r="BC453" i="1"/>
  <c r="BC447" i="1"/>
  <c r="BC441" i="1"/>
  <c r="BC435" i="1"/>
  <c r="BC429" i="1"/>
  <c r="BC474" i="1"/>
  <c r="BC470" i="1"/>
  <c r="BC457" i="1"/>
  <c r="BC427" i="1"/>
  <c r="BC421" i="1"/>
  <c r="BC446" i="1"/>
  <c r="BC439" i="1"/>
  <c r="BC430" i="1"/>
  <c r="BC452" i="1"/>
  <c r="BC448" i="1"/>
  <c r="BC440" i="1"/>
  <c r="BC418" i="1"/>
  <c r="BC451" i="1"/>
  <c r="BC422" i="1"/>
  <c r="BC411" i="1"/>
  <c r="BC454" i="1"/>
  <c r="BC442" i="1"/>
  <c r="BC434" i="1"/>
  <c r="BC419" i="1"/>
  <c r="BC415" i="1"/>
  <c r="BC445" i="1"/>
  <c r="BC425" i="1"/>
  <c r="BC436" i="1"/>
  <c r="BC428" i="1"/>
  <c r="BC409" i="1"/>
  <c r="BC403" i="1"/>
  <c r="BC397" i="1"/>
  <c r="BC431" i="1"/>
  <c r="BC464" i="1"/>
  <c r="BC424" i="1"/>
  <c r="BC417" i="1"/>
  <c r="BC396" i="1"/>
  <c r="BC388" i="1"/>
  <c r="BC406" i="1"/>
  <c r="BC400" i="1"/>
  <c r="BC387" i="1"/>
  <c r="BC381" i="1"/>
  <c r="BC375" i="1"/>
  <c r="BC369" i="1"/>
  <c r="BC393" i="1"/>
  <c r="BC423" i="1"/>
  <c r="BC412" i="1"/>
  <c r="BC402" i="1"/>
  <c r="BC392" i="1"/>
  <c r="BC386" i="1"/>
  <c r="BC380" i="1"/>
  <c r="BC374" i="1"/>
  <c r="BC368" i="1"/>
  <c r="BC362" i="1"/>
  <c r="BC405" i="1"/>
  <c r="BC394" i="1"/>
  <c r="BC408" i="1"/>
  <c r="BC398" i="1"/>
  <c r="BC458" i="1"/>
  <c r="BC413" i="1"/>
  <c r="BC401" i="1"/>
  <c r="BC390" i="1"/>
  <c r="BC384" i="1"/>
  <c r="BC378" i="1"/>
  <c r="BC372" i="1"/>
  <c r="BC407" i="1"/>
  <c r="BC404" i="1"/>
  <c r="BC410" i="1"/>
  <c r="BC385" i="1"/>
  <c r="BC376" i="1"/>
  <c r="BC364" i="1"/>
  <c r="BC358" i="1"/>
  <c r="BC352" i="1"/>
  <c r="BC377" i="1"/>
  <c r="BC389" i="1"/>
  <c r="BC357" i="1"/>
  <c r="BC351" i="1"/>
  <c r="BC345" i="1"/>
  <c r="BC339" i="1"/>
  <c r="BC333" i="1"/>
  <c r="BC327" i="1"/>
  <c r="BC321" i="1"/>
  <c r="BC370" i="1"/>
  <c r="BC395" i="1"/>
  <c r="BC383" i="1"/>
  <c r="BC373" i="1"/>
  <c r="BC391" i="1"/>
  <c r="BC359" i="1"/>
  <c r="BC353" i="1"/>
  <c r="BC379" i="1"/>
  <c r="BC355" i="1"/>
  <c r="BC344" i="1"/>
  <c r="BC340" i="1"/>
  <c r="BC325" i="1"/>
  <c r="BC320" i="1"/>
  <c r="BC308" i="1"/>
  <c r="BC302" i="1"/>
  <c r="BC296" i="1"/>
  <c r="BC371" i="1"/>
  <c r="BC360" i="1"/>
  <c r="BC329" i="1"/>
  <c r="BC366" i="1"/>
  <c r="BC337" i="1"/>
  <c r="BC319" i="1"/>
  <c r="BC313" i="1"/>
  <c r="BC307" i="1"/>
  <c r="BC301" i="1"/>
  <c r="BC367" i="1"/>
  <c r="BC363" i="1"/>
  <c r="BC341" i="1"/>
  <c r="BC326" i="1"/>
  <c r="BC322" i="1"/>
  <c r="BC349" i="1"/>
  <c r="BC330" i="1"/>
  <c r="BC318" i="1"/>
  <c r="BC312" i="1"/>
  <c r="BC306" i="1"/>
  <c r="BC361" i="1"/>
  <c r="BC338" i="1"/>
  <c r="BC334" i="1"/>
  <c r="BC356" i="1"/>
  <c r="BC342" i="1"/>
  <c r="BC323" i="1"/>
  <c r="BC317" i="1"/>
  <c r="BC311" i="1"/>
  <c r="BC305" i="1"/>
  <c r="BC299" i="1"/>
  <c r="BC354" i="1"/>
  <c r="BC350" i="1"/>
  <c r="BC346" i="1"/>
  <c r="BC335" i="1"/>
  <c r="BC316" i="1"/>
  <c r="BC343" i="1"/>
  <c r="BC347" i="1"/>
  <c r="BC332" i="1"/>
  <c r="BC328" i="1"/>
  <c r="BC315" i="1"/>
  <c r="BC309" i="1"/>
  <c r="BC298" i="1"/>
  <c r="BC295" i="1"/>
  <c r="BC291" i="1"/>
  <c r="BC285" i="1"/>
  <c r="BC279" i="1"/>
  <c r="BC273" i="1"/>
  <c r="BC267" i="1"/>
  <c r="BC290" i="1"/>
  <c r="BC284" i="1"/>
  <c r="BC278" i="1"/>
  <c r="BC272" i="1"/>
  <c r="BC336" i="1"/>
  <c r="BC300" i="1"/>
  <c r="BC289" i="1"/>
  <c r="BC303" i="1"/>
  <c r="BC304" i="1"/>
  <c r="BC288" i="1"/>
  <c r="BC282" i="1"/>
  <c r="BC276" i="1"/>
  <c r="BC270" i="1"/>
  <c r="BC264" i="1"/>
  <c r="BC258" i="1"/>
  <c r="BC252" i="1"/>
  <c r="BC324" i="1"/>
  <c r="BC294" i="1"/>
  <c r="BC293" i="1"/>
  <c r="BC287" i="1"/>
  <c r="BC310" i="1"/>
  <c r="BC292" i="1"/>
  <c r="BC286" i="1"/>
  <c r="BC274" i="1"/>
  <c r="BC254" i="1"/>
  <c r="BC247" i="1"/>
  <c r="BC241" i="1"/>
  <c r="BC235" i="1"/>
  <c r="BC223" i="1"/>
  <c r="BC217" i="1"/>
  <c r="BC281" i="1"/>
  <c r="BC271" i="1"/>
  <c r="BC262" i="1"/>
  <c r="BC251" i="1"/>
  <c r="BC240" i="1"/>
  <c r="BC234" i="1"/>
  <c r="BC228" i="1"/>
  <c r="BC255" i="1"/>
  <c r="BC266" i="1"/>
  <c r="BC259" i="1"/>
  <c r="BC245" i="1"/>
  <c r="BC239" i="1"/>
  <c r="BC233" i="1"/>
  <c r="BC227" i="1"/>
  <c r="BC221" i="1"/>
  <c r="BC269" i="1"/>
  <c r="BC256" i="1"/>
  <c r="BC283" i="1"/>
  <c r="BC249" i="1"/>
  <c r="BC277" i="1"/>
  <c r="BC261" i="1"/>
  <c r="BC248" i="1"/>
  <c r="BC242" i="1"/>
  <c r="BC236" i="1"/>
  <c r="BC230" i="1"/>
  <c r="BC224" i="1"/>
  <c r="BC218" i="1"/>
  <c r="BC275" i="1"/>
  <c r="BC268" i="1"/>
  <c r="BC250" i="1"/>
  <c r="BC265" i="1"/>
  <c r="BC260" i="1"/>
  <c r="BC232" i="1"/>
  <c r="BC219" i="1"/>
  <c r="BC215" i="1"/>
  <c r="BC253" i="1"/>
  <c r="BC243" i="1"/>
  <c r="BC225" i="1"/>
  <c r="BC220" i="1"/>
  <c r="BC211" i="1"/>
  <c r="BC205" i="1"/>
  <c r="BC244" i="1"/>
  <c r="BC238" i="1"/>
  <c r="BC222" i="1"/>
  <c r="BC231" i="1"/>
  <c r="BC209" i="1"/>
  <c r="BC203" i="1"/>
  <c r="BC197" i="1"/>
  <c r="BC257" i="1"/>
  <c r="BC237" i="1"/>
  <c r="BC213" i="1"/>
  <c r="BC226" i="1"/>
  <c r="BC216" i="1"/>
  <c r="BC208" i="1"/>
  <c r="BC202" i="1"/>
  <c r="BC196" i="1"/>
  <c r="BC190" i="1"/>
  <c r="BC184" i="1"/>
  <c r="BC210" i="1"/>
  <c r="BC214" i="1"/>
  <c r="BC183" i="1"/>
  <c r="BC179" i="1"/>
  <c r="BC175" i="1"/>
  <c r="BC198" i="1"/>
  <c r="BC187" i="1"/>
  <c r="BC204" i="1"/>
  <c r="BC191" i="1"/>
  <c r="BC174" i="1"/>
  <c r="BC168" i="1"/>
  <c r="BC162" i="1"/>
  <c r="BC156" i="1"/>
  <c r="BC150" i="1"/>
  <c r="BC138" i="1"/>
  <c r="BC132" i="1"/>
  <c r="BC194" i="1"/>
  <c r="BC180" i="1"/>
  <c r="BC189" i="1"/>
  <c r="BC185" i="1"/>
  <c r="BC207" i="1"/>
  <c r="BC200" i="1"/>
  <c r="BC199" i="1"/>
  <c r="BC182" i="1"/>
  <c r="BC177" i="1"/>
  <c r="BC148" i="1"/>
  <c r="BC145" i="1"/>
  <c r="BC128" i="1"/>
  <c r="BC167" i="1"/>
  <c r="BC165" i="1"/>
  <c r="BC158" i="1"/>
  <c r="BC157" i="1"/>
  <c r="BC140" i="1"/>
  <c r="BC206" i="1"/>
  <c r="BC160" i="1"/>
  <c r="BC147" i="1"/>
  <c r="BC137" i="1"/>
  <c r="BC133" i="1"/>
  <c r="BC201" i="1"/>
  <c r="BC192" i="1"/>
  <c r="BC173" i="1"/>
  <c r="BC153" i="1"/>
  <c r="BC141" i="1"/>
  <c r="BC121" i="1"/>
  <c r="BC115" i="1"/>
  <c r="BC193" i="1"/>
  <c r="BC188" i="1"/>
  <c r="BC172" i="1"/>
  <c r="BC186" i="1"/>
  <c r="BC166" i="1"/>
  <c r="BC163" i="1"/>
  <c r="BC149" i="1"/>
  <c r="BC146" i="1"/>
  <c r="BC142" i="1"/>
  <c r="BC181" i="1"/>
  <c r="BC170" i="1"/>
  <c r="BC164" i="1"/>
  <c r="BC155" i="1"/>
  <c r="BC152" i="1"/>
  <c r="BC126" i="1"/>
  <c r="BC106" i="1"/>
  <c r="BC95" i="1"/>
  <c r="BC84" i="1"/>
  <c r="BC73" i="1"/>
  <c r="BC72" i="1" s="1"/>
  <c r="BC134" i="1"/>
  <c r="BC125" i="1"/>
  <c r="BC105" i="1"/>
  <c r="BC94" i="1"/>
  <c r="BC83" i="1"/>
  <c r="BC159" i="1"/>
  <c r="BC124" i="1"/>
  <c r="BC104" i="1"/>
  <c r="BC93" i="1"/>
  <c r="BC82" i="1"/>
  <c r="BC154" i="1"/>
  <c r="BC131" i="1"/>
  <c r="BC113" i="1"/>
  <c r="BC103" i="1"/>
  <c r="BC92" i="1"/>
  <c r="BC71" i="1"/>
  <c r="BC123" i="1"/>
  <c r="BC116" i="1"/>
  <c r="BC102" i="1"/>
  <c r="BC91" i="1"/>
  <c r="BC143" i="1"/>
  <c r="BC117" i="1"/>
  <c r="BC111" i="1"/>
  <c r="BC101" i="1"/>
  <c r="BC118" i="1"/>
  <c r="BC100" i="1"/>
  <c r="BC139" i="1"/>
  <c r="BC129" i="1"/>
  <c r="BC119" i="1"/>
  <c r="BC89" i="1"/>
  <c r="BC78" i="1"/>
  <c r="BC171" i="1"/>
  <c r="BC136" i="1"/>
  <c r="BC120" i="1"/>
  <c r="BC112" i="1"/>
  <c r="BC88" i="1"/>
  <c r="BC77" i="1"/>
  <c r="BC135" i="1"/>
  <c r="BC130" i="1"/>
  <c r="BC108" i="1"/>
  <c r="BC98" i="1"/>
  <c r="BC87" i="1"/>
  <c r="BC76" i="1"/>
  <c r="BC176" i="1"/>
  <c r="BC151" i="1"/>
  <c r="BC97" i="1"/>
  <c r="BC169" i="1"/>
  <c r="BC68" i="1"/>
  <c r="BC57" i="1"/>
  <c r="BC46" i="1"/>
  <c r="BC107" i="1"/>
  <c r="BC75" i="1"/>
  <c r="BC56" i="1"/>
  <c r="BC55" i="1"/>
  <c r="BC80" i="1"/>
  <c r="BC65" i="1"/>
  <c r="BC38" i="1"/>
  <c r="BC32" i="1"/>
  <c r="BC26" i="1"/>
  <c r="BC20" i="1"/>
  <c r="BC14" i="1"/>
  <c r="BC69" i="1"/>
  <c r="BC66" i="1"/>
  <c r="BC64" i="1"/>
  <c r="BC122" i="1"/>
  <c r="BC53" i="1"/>
  <c r="BC43" i="1"/>
  <c r="BC37" i="1"/>
  <c r="BC31" i="1"/>
  <c r="BC25" i="1"/>
  <c r="BC19" i="1"/>
  <c r="BC96" i="1"/>
  <c r="BC52" i="1"/>
  <c r="BC79" i="1"/>
  <c r="BC62" i="1"/>
  <c r="BC51" i="1"/>
  <c r="BC42" i="1"/>
  <c r="BC36" i="1"/>
  <c r="BC30" i="1"/>
  <c r="BC24" i="1"/>
  <c r="BC18" i="1"/>
  <c r="BC12" i="1"/>
  <c r="BC74" i="1"/>
  <c r="BC70" i="1"/>
  <c r="BC67" i="1"/>
  <c r="BC61" i="1"/>
  <c r="BC114" i="1"/>
  <c r="BC60" i="1"/>
  <c r="BC49" i="1"/>
  <c r="BC41" i="1"/>
  <c r="BC85" i="1"/>
  <c r="BC59" i="1"/>
  <c r="BC86" i="1"/>
  <c r="BC58" i="1"/>
  <c r="BC47" i="1"/>
  <c r="BC40" i="1"/>
  <c r="BC39" i="1" s="1"/>
  <c r="BC28" i="1"/>
  <c r="BC22" i="1"/>
  <c r="BC16" i="1"/>
  <c r="BC13" i="1"/>
  <c r="BC48" i="1"/>
  <c r="BC27" i="1"/>
  <c r="BC21" i="1"/>
  <c r="BC10" i="1"/>
  <c r="BC50" i="1"/>
  <c r="BC17" i="1"/>
  <c r="BC35" i="1"/>
  <c r="BC29" i="1"/>
  <c r="BC11" i="1"/>
  <c r="BC9" i="1"/>
  <c r="BC23" i="1"/>
  <c r="BC33" i="1"/>
  <c r="BC15" i="1"/>
  <c r="BB63" i="1"/>
  <c r="BB45" i="1"/>
  <c r="BB127" i="1"/>
  <c r="BB263" i="1"/>
  <c r="BB246" i="1"/>
  <c r="BB365" i="1"/>
  <c r="BB552" i="1"/>
  <c r="BB90" i="1"/>
  <c r="BB212" i="1"/>
  <c r="BB280" i="1"/>
  <c r="BB518" i="1"/>
  <c r="BB637" i="1"/>
  <c r="BA44" i="1"/>
  <c r="BB54" i="1"/>
  <c r="BB144" i="1"/>
  <c r="BB348" i="1"/>
  <c r="BB671" i="1"/>
  <c r="BB99" i="1"/>
  <c r="BB314" i="1"/>
  <c r="BB297" i="1"/>
  <c r="BB416" i="1"/>
  <c r="BB72" i="1"/>
  <c r="BB450" i="1"/>
  <c r="BB586" i="1"/>
  <c r="BB689" i="1"/>
  <c r="BB195" i="1"/>
  <c r="BB229" i="1"/>
  <c r="BB484" i="1"/>
  <c r="BB433" i="1"/>
  <c r="BB501" i="1"/>
  <c r="BB603" i="1"/>
  <c r="BB178" i="1"/>
  <c r="BB399" i="1"/>
  <c r="BB535" i="1"/>
  <c r="BB569" i="1"/>
  <c r="BB654" i="1"/>
  <c r="BD6" i="1"/>
  <c r="BE4" i="1"/>
  <c r="BA109" i="1"/>
  <c r="BA7" i="1" s="1"/>
  <c r="BB161" i="1"/>
  <c r="BB110" i="1"/>
  <c r="BB81" i="1"/>
  <c r="BB382" i="1"/>
  <c r="BB467" i="1"/>
  <c r="BB109" i="1" l="1"/>
  <c r="BC178" i="1"/>
  <c r="BC689" i="1"/>
  <c r="BC416" i="1"/>
  <c r="BC501" i="1"/>
  <c r="BC620" i="1"/>
  <c r="BC433" i="1"/>
  <c r="BC484" i="1"/>
  <c r="BC637" i="1"/>
  <c r="BC45" i="1"/>
  <c r="BC99" i="1"/>
  <c r="BC212" i="1"/>
  <c r="BC671" i="1"/>
  <c r="BC110" i="1"/>
  <c r="BC144" i="1"/>
  <c r="BC229" i="1"/>
  <c r="BC280" i="1"/>
  <c r="BC81" i="1"/>
  <c r="BC297" i="1"/>
  <c r="BC603" i="1"/>
  <c r="BC34" i="1"/>
  <c r="BE6" i="1"/>
  <c r="BF4" i="1"/>
  <c r="BC365" i="1"/>
  <c r="BC450" i="1"/>
  <c r="BC314" i="1"/>
  <c r="BC348" i="1"/>
  <c r="BC127" i="1"/>
  <c r="BB44" i="1"/>
  <c r="BB7" i="1" s="1"/>
  <c r="BC399" i="1"/>
  <c r="BC586" i="1"/>
  <c r="BC552" i="1"/>
  <c r="BC654" i="1"/>
  <c r="BC54" i="1"/>
  <c r="BC195" i="1"/>
  <c r="BC246" i="1"/>
  <c r="BC263" i="1"/>
  <c r="BC331" i="1"/>
  <c r="BC535" i="1"/>
  <c r="BC569" i="1"/>
  <c r="BD699" i="1"/>
  <c r="BD692" i="1"/>
  <c r="BD703" i="1"/>
  <c r="BD693" i="1"/>
  <c r="BD698" i="1"/>
  <c r="BD690" i="1"/>
  <c r="BD689" i="1" s="1"/>
  <c r="BD694" i="1"/>
  <c r="BD697" i="1"/>
  <c r="BD702" i="1"/>
  <c r="BD701" i="1"/>
  <c r="BD696" i="1"/>
  <c r="BD685" i="1"/>
  <c r="BD679" i="1"/>
  <c r="BD681" i="1"/>
  <c r="BD700" i="1"/>
  <c r="BD684" i="1"/>
  <c r="BD691" i="1"/>
  <c r="BD682" i="1"/>
  <c r="BD678" i="1"/>
  <c r="BD675" i="1"/>
  <c r="BD680" i="1"/>
  <c r="BD686" i="1"/>
  <c r="BD677" i="1"/>
  <c r="BD688" i="1"/>
  <c r="BD683" i="1"/>
  <c r="BD687" i="1"/>
  <c r="BD673" i="1"/>
  <c r="BD672" i="1"/>
  <c r="BD659" i="1"/>
  <c r="BD666" i="1"/>
  <c r="BD662" i="1"/>
  <c r="BD667" i="1"/>
  <c r="BD665" i="1"/>
  <c r="BD674" i="1"/>
  <c r="BD668" i="1"/>
  <c r="BD669" i="1"/>
  <c r="BD664" i="1"/>
  <c r="BD655" i="1"/>
  <c r="BD663" i="1"/>
  <c r="BD661" i="1"/>
  <c r="BD676" i="1"/>
  <c r="BD660" i="1"/>
  <c r="BD656" i="1"/>
  <c r="BD653" i="1"/>
  <c r="BD646" i="1"/>
  <c r="BD658" i="1"/>
  <c r="BD643" i="1"/>
  <c r="BD631" i="1"/>
  <c r="BD644" i="1"/>
  <c r="BD647" i="1"/>
  <c r="BD645" i="1"/>
  <c r="BD652" i="1"/>
  <c r="BD650" i="1"/>
  <c r="BD670" i="1"/>
  <c r="BD657" i="1"/>
  <c r="BD648" i="1"/>
  <c r="BD640" i="1"/>
  <c r="BD634" i="1"/>
  <c r="BD630" i="1"/>
  <c r="BD628" i="1"/>
  <c r="BD619" i="1"/>
  <c r="BD642" i="1"/>
  <c r="BD626" i="1"/>
  <c r="BD641" i="1"/>
  <c r="BD651" i="1"/>
  <c r="BD638" i="1"/>
  <c r="BD629" i="1"/>
  <c r="BD635" i="1"/>
  <c r="BD617" i="1"/>
  <c r="BD636" i="1"/>
  <c r="BD621" i="1"/>
  <c r="BD633" i="1"/>
  <c r="BD625" i="1"/>
  <c r="BD624" i="1"/>
  <c r="BD649" i="1"/>
  <c r="BD639" i="1"/>
  <c r="BD627" i="1"/>
  <c r="BD610" i="1"/>
  <c r="BD605" i="1"/>
  <c r="BD615" i="1"/>
  <c r="BD614" i="1"/>
  <c r="BD613" i="1"/>
  <c r="BD608" i="1"/>
  <c r="BD606" i="1"/>
  <c r="BD611" i="1"/>
  <c r="BD601" i="1"/>
  <c r="BD616" i="1"/>
  <c r="BD602" i="1"/>
  <c r="BD607" i="1"/>
  <c r="BD623" i="1"/>
  <c r="BD622" i="1"/>
  <c r="BD632" i="1"/>
  <c r="BD609" i="1"/>
  <c r="BD598" i="1"/>
  <c r="BD612" i="1"/>
  <c r="BD587" i="1"/>
  <c r="BD600" i="1"/>
  <c r="BD618" i="1"/>
  <c r="BD589" i="1"/>
  <c r="BD604" i="1"/>
  <c r="BD593" i="1"/>
  <c r="BD594" i="1"/>
  <c r="BD590" i="1"/>
  <c r="BD595" i="1"/>
  <c r="BD599" i="1"/>
  <c r="BD583" i="1"/>
  <c r="BD588" i="1"/>
  <c r="BD581" i="1"/>
  <c r="BD597" i="1"/>
  <c r="BD592" i="1"/>
  <c r="BD577" i="1"/>
  <c r="BD585" i="1"/>
  <c r="BD584" i="1"/>
  <c r="BD572" i="1"/>
  <c r="BD591" i="1"/>
  <c r="BD571" i="1"/>
  <c r="BD578" i="1"/>
  <c r="BD575" i="1"/>
  <c r="BD567" i="1"/>
  <c r="BD562" i="1"/>
  <c r="BD551" i="1"/>
  <c r="BD545" i="1"/>
  <c r="BD574" i="1"/>
  <c r="BD555" i="1"/>
  <c r="BD570" i="1"/>
  <c r="BD559" i="1"/>
  <c r="BD579" i="1"/>
  <c r="BD582" i="1"/>
  <c r="BD573" i="1"/>
  <c r="BD556" i="1"/>
  <c r="BD560" i="1"/>
  <c r="BD596" i="1"/>
  <c r="BD580" i="1"/>
  <c r="BD568" i="1"/>
  <c r="BD565" i="1"/>
  <c r="BD563" i="1"/>
  <c r="BD561" i="1"/>
  <c r="BD566" i="1"/>
  <c r="BD553" i="1"/>
  <c r="BD540" i="1"/>
  <c r="BD564" i="1"/>
  <c r="BD541" i="1"/>
  <c r="BD542" i="1"/>
  <c r="BD544" i="1"/>
  <c r="BD554" i="1"/>
  <c r="BD548" i="1"/>
  <c r="BD546" i="1"/>
  <c r="BD576" i="1"/>
  <c r="BD558" i="1"/>
  <c r="BD557" i="1"/>
  <c r="BD549" i="1"/>
  <c r="BD533" i="1"/>
  <c r="BD539" i="1"/>
  <c r="BD529" i="1"/>
  <c r="BD525" i="1"/>
  <c r="BD510" i="1"/>
  <c r="BD506" i="1"/>
  <c r="BD538" i="1"/>
  <c r="BD532" i="1"/>
  <c r="BD522" i="1"/>
  <c r="BD503" i="1"/>
  <c r="BD543" i="1"/>
  <c r="BD526" i="1"/>
  <c r="BD536" i="1"/>
  <c r="BD530" i="1"/>
  <c r="BD547" i="1"/>
  <c r="BD527" i="1"/>
  <c r="BD537" i="1"/>
  <c r="BD534" i="1"/>
  <c r="BD531" i="1"/>
  <c r="BD520" i="1"/>
  <c r="BD550" i="1"/>
  <c r="BD528" i="1"/>
  <c r="BD524" i="1"/>
  <c r="BD509" i="1"/>
  <c r="BD514" i="1"/>
  <c r="BD495" i="1"/>
  <c r="BD499" i="1"/>
  <c r="BD512" i="1"/>
  <c r="BD517" i="1"/>
  <c r="BD504" i="1"/>
  <c r="BD496" i="1"/>
  <c r="BD492" i="1"/>
  <c r="BD521" i="1"/>
  <c r="BD515" i="1"/>
  <c r="BD508" i="1"/>
  <c r="BD505" i="1"/>
  <c r="BD502" i="1"/>
  <c r="BD500" i="1"/>
  <c r="BD523" i="1"/>
  <c r="BD489" i="1"/>
  <c r="BD519" i="1"/>
  <c r="BD513" i="1"/>
  <c r="BD511" i="1"/>
  <c r="BD516" i="1"/>
  <c r="BD507" i="1"/>
  <c r="BD487" i="1"/>
  <c r="BD485" i="1"/>
  <c r="BD479" i="1"/>
  <c r="BD490" i="1"/>
  <c r="BD482" i="1"/>
  <c r="BD488" i="1"/>
  <c r="BD480" i="1"/>
  <c r="BD494" i="1"/>
  <c r="BD477" i="1"/>
  <c r="BD498" i="1"/>
  <c r="BD497" i="1"/>
  <c r="BD483" i="1"/>
  <c r="BD478" i="1"/>
  <c r="BD491" i="1"/>
  <c r="BD456" i="1"/>
  <c r="BD481" i="1"/>
  <c r="BD469" i="1"/>
  <c r="BD462" i="1"/>
  <c r="BD461" i="1"/>
  <c r="BD455" i="1"/>
  <c r="BD449" i="1"/>
  <c r="BD486" i="1"/>
  <c r="BD476" i="1"/>
  <c r="BD475" i="1"/>
  <c r="BD472" i="1"/>
  <c r="BD466" i="1"/>
  <c r="BD460" i="1"/>
  <c r="BD468" i="1"/>
  <c r="BD463" i="1"/>
  <c r="BD471" i="1"/>
  <c r="BD459" i="1"/>
  <c r="BD474" i="1"/>
  <c r="BD464" i="1"/>
  <c r="BD470" i="1"/>
  <c r="BD493" i="1"/>
  <c r="BD473" i="1"/>
  <c r="BD446" i="1"/>
  <c r="BD444" i="1"/>
  <c r="BD439" i="1"/>
  <c r="BD430" i="1"/>
  <c r="BD453" i="1"/>
  <c r="BD452" i="1"/>
  <c r="BD448" i="1"/>
  <c r="BD440" i="1"/>
  <c r="BD418" i="1"/>
  <c r="BD414" i="1"/>
  <c r="BD412" i="1"/>
  <c r="BD406" i="1"/>
  <c r="BD451" i="1"/>
  <c r="BD422" i="1"/>
  <c r="BD441" i="1"/>
  <c r="BD426" i="1"/>
  <c r="BD454" i="1"/>
  <c r="BD442" i="1"/>
  <c r="BD434" i="1"/>
  <c r="BD429" i="1"/>
  <c r="BD419" i="1"/>
  <c r="BD415" i="1"/>
  <c r="BD465" i="1"/>
  <c r="BD458" i="1"/>
  <c r="BD432" i="1"/>
  <c r="BD423" i="1"/>
  <c r="BD447" i="1"/>
  <c r="BD436" i="1"/>
  <c r="BD428" i="1"/>
  <c r="BD431" i="1"/>
  <c r="BD420" i="1"/>
  <c r="BD437" i="1"/>
  <c r="BD424" i="1"/>
  <c r="BD417" i="1"/>
  <c r="BD457" i="1"/>
  <c r="BD438" i="1"/>
  <c r="BD427" i="1"/>
  <c r="BD421" i="1"/>
  <c r="BD413" i="1"/>
  <c r="BD403" i="1"/>
  <c r="BD400" i="1"/>
  <c r="BD393" i="1"/>
  <c r="BD443" i="1"/>
  <c r="BD411" i="1"/>
  <c r="BD402" i="1"/>
  <c r="BD397" i="1"/>
  <c r="BD405" i="1"/>
  <c r="BD435" i="1"/>
  <c r="BD394" i="1"/>
  <c r="BD391" i="1"/>
  <c r="BD445" i="1"/>
  <c r="BD425" i="1"/>
  <c r="BD408" i="1"/>
  <c r="BD398" i="1"/>
  <c r="BD401" i="1"/>
  <c r="BD390" i="1"/>
  <c r="BD409" i="1"/>
  <c r="BD407" i="1"/>
  <c r="BD404" i="1"/>
  <c r="BD395" i="1"/>
  <c r="BD410" i="1"/>
  <c r="BD387" i="1"/>
  <c r="BD386" i="1"/>
  <c r="BD385" i="1"/>
  <c r="BD376" i="1"/>
  <c r="BD364" i="1"/>
  <c r="BD377" i="1"/>
  <c r="BD368" i="1"/>
  <c r="BD389" i="1"/>
  <c r="BD384" i="1"/>
  <c r="BD378" i="1"/>
  <c r="BD370" i="1"/>
  <c r="BD396" i="1"/>
  <c r="BD379" i="1"/>
  <c r="BD371" i="1"/>
  <c r="BD388" i="1"/>
  <c r="BD380" i="1"/>
  <c r="BD372" i="1"/>
  <c r="BD366" i="1"/>
  <c r="BD362" i="1"/>
  <c r="BD381" i="1"/>
  <c r="BD360" i="1"/>
  <c r="BD374" i="1"/>
  <c r="BD375" i="1"/>
  <c r="BD392" i="1"/>
  <c r="BD329" i="1"/>
  <c r="BD351" i="1"/>
  <c r="BD337" i="1"/>
  <c r="BD333" i="1"/>
  <c r="BD319" i="1"/>
  <c r="BD367" i="1"/>
  <c r="BD363" i="1"/>
  <c r="BD341" i="1"/>
  <c r="BD326" i="1"/>
  <c r="BD322" i="1"/>
  <c r="BD369" i="1"/>
  <c r="BD352" i="1"/>
  <c r="BD349" i="1"/>
  <c r="BD345" i="1"/>
  <c r="BD330" i="1"/>
  <c r="BD361" i="1"/>
  <c r="BD358" i="1"/>
  <c r="BD357" i="1"/>
  <c r="BD338" i="1"/>
  <c r="BD334" i="1"/>
  <c r="BD373" i="1"/>
  <c r="BD356" i="1"/>
  <c r="BD353" i="1"/>
  <c r="BD342" i="1"/>
  <c r="BD323" i="1"/>
  <c r="BD317" i="1"/>
  <c r="BD354" i="1"/>
  <c r="BD350" i="1"/>
  <c r="BD346" i="1"/>
  <c r="BD327" i="1"/>
  <c r="BD335" i="1"/>
  <c r="BD383" i="1"/>
  <c r="BD359" i="1"/>
  <c r="BD343" i="1"/>
  <c r="BD339" i="1"/>
  <c r="BD324" i="1"/>
  <c r="BD347" i="1"/>
  <c r="BD336" i="1"/>
  <c r="BD355" i="1"/>
  <c r="BD291" i="1"/>
  <c r="BD285" i="1"/>
  <c r="BD279" i="1"/>
  <c r="BD273" i="1"/>
  <c r="BD318" i="1"/>
  <c r="BD312" i="1"/>
  <c r="BD328" i="1"/>
  <c r="BD321" i="1"/>
  <c r="BD315" i="1"/>
  <c r="BD302" i="1"/>
  <c r="BD300" i="1"/>
  <c r="BD289" i="1"/>
  <c r="BD283" i="1"/>
  <c r="BD277" i="1"/>
  <c r="BD271" i="1"/>
  <c r="BD303" i="1"/>
  <c r="BD313" i="1"/>
  <c r="BD304" i="1"/>
  <c r="BD288" i="1"/>
  <c r="BD296" i="1"/>
  <c r="BD305" i="1"/>
  <c r="BD299" i="1"/>
  <c r="BD294" i="1"/>
  <c r="BD293" i="1"/>
  <c r="BD340" i="1"/>
  <c r="BD311" i="1"/>
  <c r="BD310" i="1"/>
  <c r="BD344" i="1"/>
  <c r="BD332" i="1"/>
  <c r="BD309" i="1"/>
  <c r="BD308" i="1"/>
  <c r="BD307" i="1"/>
  <c r="BD306" i="1"/>
  <c r="BD292" i="1"/>
  <c r="BD286" i="1"/>
  <c r="BD325" i="1"/>
  <c r="BD298" i="1"/>
  <c r="BD295" i="1"/>
  <c r="BD281" i="1"/>
  <c r="BD272" i="1"/>
  <c r="BD262" i="1"/>
  <c r="BD258" i="1"/>
  <c r="BD270" i="1"/>
  <c r="BD251" i="1"/>
  <c r="BD240" i="1"/>
  <c r="BD255" i="1"/>
  <c r="BD320" i="1"/>
  <c r="BD266" i="1"/>
  <c r="BD259" i="1"/>
  <c r="BD245" i="1"/>
  <c r="BD239" i="1"/>
  <c r="BD269" i="1"/>
  <c r="BD287" i="1"/>
  <c r="BD267" i="1"/>
  <c r="BD256" i="1"/>
  <c r="BD252" i="1"/>
  <c r="BD244" i="1"/>
  <c r="BD238" i="1"/>
  <c r="BD282" i="1"/>
  <c r="BD265" i="1"/>
  <c r="BD260" i="1"/>
  <c r="BD257" i="1"/>
  <c r="BD253" i="1"/>
  <c r="BD301" i="1"/>
  <c r="BD290" i="1"/>
  <c r="BD284" i="1"/>
  <c r="BD276" i="1"/>
  <c r="BD275" i="1"/>
  <c r="BD268" i="1"/>
  <c r="BD264" i="1"/>
  <c r="BD250" i="1"/>
  <c r="BD316" i="1"/>
  <c r="BD274" i="1"/>
  <c r="BD254" i="1"/>
  <c r="BD247" i="1"/>
  <c r="BD242" i="1"/>
  <c r="BD235" i="1"/>
  <c r="BD232" i="1"/>
  <c r="BD230" i="1"/>
  <c r="BD249" i="1"/>
  <c r="BD243" i="1"/>
  <c r="BD225" i="1"/>
  <c r="BD220" i="1"/>
  <c r="BD211" i="1"/>
  <c r="BD205" i="1"/>
  <c r="BD234" i="1"/>
  <c r="BD227" i="1"/>
  <c r="BD222" i="1"/>
  <c r="BD248" i="1"/>
  <c r="BD231" i="1"/>
  <c r="BD209" i="1"/>
  <c r="BD237" i="1"/>
  <c r="BD223" i="1"/>
  <c r="BD213" i="1"/>
  <c r="BD226" i="1"/>
  <c r="BD216" i="1"/>
  <c r="BD208" i="1"/>
  <c r="BD224" i="1"/>
  <c r="BD278" i="1"/>
  <c r="BD241" i="1"/>
  <c r="BD236" i="1"/>
  <c r="BD228" i="1"/>
  <c r="BD217" i="1"/>
  <c r="BD221" i="1"/>
  <c r="BD214" i="1"/>
  <c r="BD183" i="1"/>
  <c r="BD179" i="1"/>
  <c r="BD175" i="1"/>
  <c r="BD169" i="1"/>
  <c r="BD163" i="1"/>
  <c r="BD261" i="1"/>
  <c r="BD233" i="1"/>
  <c r="BD202" i="1"/>
  <c r="BD198" i="1"/>
  <c r="BD187" i="1"/>
  <c r="BD204" i="1"/>
  <c r="BD191" i="1"/>
  <c r="BD174" i="1"/>
  <c r="BD168" i="1"/>
  <c r="BD162" i="1"/>
  <c r="BD156" i="1"/>
  <c r="BD150" i="1"/>
  <c r="BD194" i="1"/>
  <c r="BD180" i="1"/>
  <c r="BD188" i="1"/>
  <c r="BD184" i="1"/>
  <c r="BD203" i="1"/>
  <c r="BD196" i="1"/>
  <c r="BD193" i="1"/>
  <c r="BD177" i="1"/>
  <c r="BD171" i="1"/>
  <c r="BD165" i="1"/>
  <c r="BD215" i="1"/>
  <c r="BD219" i="1"/>
  <c r="BD201" i="1"/>
  <c r="BD186" i="1"/>
  <c r="BD176" i="1"/>
  <c r="BD197" i="1"/>
  <c r="BD154" i="1"/>
  <c r="BD151" i="1"/>
  <c r="BD136" i="1"/>
  <c r="BD132" i="1"/>
  <c r="BD123" i="1"/>
  <c r="BD117" i="1"/>
  <c r="BD111" i="1"/>
  <c r="BD167" i="1"/>
  <c r="BD218" i="1"/>
  <c r="BD206" i="1"/>
  <c r="BD159" i="1"/>
  <c r="BD129" i="1"/>
  <c r="BD207" i="1"/>
  <c r="BD192" i="1"/>
  <c r="BD173" i="1"/>
  <c r="BD153" i="1"/>
  <c r="BD141" i="1"/>
  <c r="BD121" i="1"/>
  <c r="BD199" i="1"/>
  <c r="BD172" i="1"/>
  <c r="BD130" i="1"/>
  <c r="BD210" i="1"/>
  <c r="BD134" i="1"/>
  <c r="BD185" i="1"/>
  <c r="BD181" i="1"/>
  <c r="BD170" i="1"/>
  <c r="BD164" i="1"/>
  <c r="BD155" i="1"/>
  <c r="BD152" i="1"/>
  <c r="BD131" i="1"/>
  <c r="BD125" i="1"/>
  <c r="BD200" i="1"/>
  <c r="BD182" i="1"/>
  <c r="BD143" i="1"/>
  <c r="BD139" i="1"/>
  <c r="BD147" i="1"/>
  <c r="BD105" i="1"/>
  <c r="BD94" i="1"/>
  <c r="BD83" i="1"/>
  <c r="BD160" i="1"/>
  <c r="BD124" i="1"/>
  <c r="BD104" i="1"/>
  <c r="BD93" i="1"/>
  <c r="BD82" i="1"/>
  <c r="BD113" i="1"/>
  <c r="BD103" i="1"/>
  <c r="BD92" i="1"/>
  <c r="BD148" i="1"/>
  <c r="BD116" i="1"/>
  <c r="BD102" i="1"/>
  <c r="BD91" i="1"/>
  <c r="BD190" i="1"/>
  <c r="BD101" i="1"/>
  <c r="BD80" i="1"/>
  <c r="BD158" i="1"/>
  <c r="BD142" i="1"/>
  <c r="BD128" i="1"/>
  <c r="BD118" i="1"/>
  <c r="BD100" i="1"/>
  <c r="BD119" i="1"/>
  <c r="BD89" i="1"/>
  <c r="BD145" i="1"/>
  <c r="BD140" i="1"/>
  <c r="BD138" i="1"/>
  <c r="BD133" i="1"/>
  <c r="BD120" i="1"/>
  <c r="BD115" i="1"/>
  <c r="BD112" i="1"/>
  <c r="BD88" i="1"/>
  <c r="BD77" i="1"/>
  <c r="BD137" i="1"/>
  <c r="BD135" i="1"/>
  <c r="BD108" i="1"/>
  <c r="BD98" i="1"/>
  <c r="BD87" i="1"/>
  <c r="BD76" i="1"/>
  <c r="BD189" i="1"/>
  <c r="BD157" i="1"/>
  <c r="BD146" i="1"/>
  <c r="BD97" i="1"/>
  <c r="BD86" i="1"/>
  <c r="BD149" i="1"/>
  <c r="BD122" i="1"/>
  <c r="BD114" i="1"/>
  <c r="BD107" i="1"/>
  <c r="BD96" i="1"/>
  <c r="BD126" i="1"/>
  <c r="BD75" i="1"/>
  <c r="BD71" i="1"/>
  <c r="BD56" i="1"/>
  <c r="BD33" i="1"/>
  <c r="BD27" i="1"/>
  <c r="BD21" i="1"/>
  <c r="BD15" i="1"/>
  <c r="BD9" i="1"/>
  <c r="BD55" i="1"/>
  <c r="BD73" i="1"/>
  <c r="BD65" i="1"/>
  <c r="BD38" i="1"/>
  <c r="BD32" i="1"/>
  <c r="BD26" i="1"/>
  <c r="BD20" i="1"/>
  <c r="BD14" i="1"/>
  <c r="BD78" i="1"/>
  <c r="BD69" i="1"/>
  <c r="BD66" i="1"/>
  <c r="BD64" i="1"/>
  <c r="BD166" i="1"/>
  <c r="BD52" i="1"/>
  <c r="BD106" i="1"/>
  <c r="BD79" i="1"/>
  <c r="BD62" i="1"/>
  <c r="BD51" i="1"/>
  <c r="BD42" i="1"/>
  <c r="BD36" i="1"/>
  <c r="BD30" i="1"/>
  <c r="BD24" i="1"/>
  <c r="BD74" i="1"/>
  <c r="BD70" i="1"/>
  <c r="BD67" i="1"/>
  <c r="BD61" i="1"/>
  <c r="BD50" i="1"/>
  <c r="BD84" i="1"/>
  <c r="BD60" i="1"/>
  <c r="BD85" i="1"/>
  <c r="BD59" i="1"/>
  <c r="BD48" i="1"/>
  <c r="BD95" i="1"/>
  <c r="BD68" i="1"/>
  <c r="BD57" i="1"/>
  <c r="BD46" i="1"/>
  <c r="BD37" i="1"/>
  <c r="BD22" i="1"/>
  <c r="BD25" i="1"/>
  <c r="BD12" i="1"/>
  <c r="BD16" i="1"/>
  <c r="BD31" i="1"/>
  <c r="BD17" i="1"/>
  <c r="BD53" i="1"/>
  <c r="BD47" i="1"/>
  <c r="BD41" i="1"/>
  <c r="BD10" i="1"/>
  <c r="BD58" i="1"/>
  <c r="BD35" i="1"/>
  <c r="BD43" i="1"/>
  <c r="BD29" i="1"/>
  <c r="BD19" i="1"/>
  <c r="BD49" i="1"/>
  <c r="BD40" i="1"/>
  <c r="BD23" i="1"/>
  <c r="BD13" i="1"/>
  <c r="BD28" i="1"/>
  <c r="BD18" i="1"/>
  <c r="BD11" i="1"/>
  <c r="BC90" i="1"/>
  <c r="BC161" i="1"/>
  <c r="BC518" i="1"/>
  <c r="BA5" i="1"/>
  <c r="BA8" i="1"/>
  <c r="BC63" i="1"/>
  <c r="BC382" i="1"/>
  <c r="BD263" i="1" l="1"/>
  <c r="BD280" i="1"/>
  <c r="BD365" i="1"/>
  <c r="BD433" i="1"/>
  <c r="BD620" i="1"/>
  <c r="BD695" i="1"/>
  <c r="BD212" i="1"/>
  <c r="BD81" i="1"/>
  <c r="BC109" i="1"/>
  <c r="BD127" i="1"/>
  <c r="BD246" i="1"/>
  <c r="BD110" i="1"/>
  <c r="BD297" i="1"/>
  <c r="BD399" i="1"/>
  <c r="BD467" i="1"/>
  <c r="BD501" i="1"/>
  <c r="BD535" i="1"/>
  <c r="BD161" i="1"/>
  <c r="BD39" i="1"/>
  <c r="BD178" i="1"/>
  <c r="BD552" i="1"/>
  <c r="BG4" i="1"/>
  <c r="BF6" i="1"/>
  <c r="BD348" i="1"/>
  <c r="BD484" i="1"/>
  <c r="BD637" i="1"/>
  <c r="BE702" i="1"/>
  <c r="BE696" i="1"/>
  <c r="BE695" i="1" s="1"/>
  <c r="BE690" i="1"/>
  <c r="BE701" i="1"/>
  <c r="BE703" i="1"/>
  <c r="BE684" i="1"/>
  <c r="BE698" i="1"/>
  <c r="BE694" i="1"/>
  <c r="BE697" i="1"/>
  <c r="BE700" i="1"/>
  <c r="BE686" i="1"/>
  <c r="BE682" i="1"/>
  <c r="BE692" i="1"/>
  <c r="BE693" i="1"/>
  <c r="BE681" i="1"/>
  <c r="BE691" i="1"/>
  <c r="BE699" i="1"/>
  <c r="BE673" i="1"/>
  <c r="BE679" i="1"/>
  <c r="BE676" i="1"/>
  <c r="BE674" i="1"/>
  <c r="BE665" i="1"/>
  <c r="BE659" i="1"/>
  <c r="BE653" i="1"/>
  <c r="BE678" i="1"/>
  <c r="BE670" i="1"/>
  <c r="BE664" i="1"/>
  <c r="BE658" i="1"/>
  <c r="BE685" i="1"/>
  <c r="BE677" i="1"/>
  <c r="BE688" i="1"/>
  <c r="BE683" i="1"/>
  <c r="BE667" i="1"/>
  <c r="BE675" i="1"/>
  <c r="BE672" i="1"/>
  <c r="BE666" i="1"/>
  <c r="BE662" i="1"/>
  <c r="BE669" i="1"/>
  <c r="BE680" i="1"/>
  <c r="BE663" i="1"/>
  <c r="BE661" i="1"/>
  <c r="BE687" i="1"/>
  <c r="BE668" i="1"/>
  <c r="BE646" i="1"/>
  <c r="BE640" i="1"/>
  <c r="BE634" i="1"/>
  <c r="BE628" i="1"/>
  <c r="BE651" i="1"/>
  <c r="BE655" i="1"/>
  <c r="BE644" i="1"/>
  <c r="BE638" i="1"/>
  <c r="BE639" i="1"/>
  <c r="BE635" i="1"/>
  <c r="BE656" i="1"/>
  <c r="BE652" i="1"/>
  <c r="BE650" i="1"/>
  <c r="BE649" i="1"/>
  <c r="BE633" i="1"/>
  <c r="BE629" i="1"/>
  <c r="BE657" i="1"/>
  <c r="BE648" i="1"/>
  <c r="BE630" i="1"/>
  <c r="BE622" i="1"/>
  <c r="BE660" i="1"/>
  <c r="BE641" i="1"/>
  <c r="BE647" i="1"/>
  <c r="BE645" i="1"/>
  <c r="BE642" i="1"/>
  <c r="BE625" i="1"/>
  <c r="BE624" i="1"/>
  <c r="BE613" i="1"/>
  <c r="BE627" i="1"/>
  <c r="BE612" i="1"/>
  <c r="BE606" i="1"/>
  <c r="BE643" i="1"/>
  <c r="BE636" i="1"/>
  <c r="BE631" i="1"/>
  <c r="BE618" i="1"/>
  <c r="BE626" i="1"/>
  <c r="BE610" i="1"/>
  <c r="BE615" i="1"/>
  <c r="BE614" i="1"/>
  <c r="BE604" i="1"/>
  <c r="BE632" i="1"/>
  <c r="BE611" i="1"/>
  <c r="BE598" i="1"/>
  <c r="BE616" i="1"/>
  <c r="BE619" i="1"/>
  <c r="BE617" i="1"/>
  <c r="BE607" i="1"/>
  <c r="BE623" i="1"/>
  <c r="BE595" i="1"/>
  <c r="BE589" i="1"/>
  <c r="BE583" i="1"/>
  <c r="BE621" i="1"/>
  <c r="BE608" i="1"/>
  <c r="BE605" i="1"/>
  <c r="BE601" i="1"/>
  <c r="BE599" i="1"/>
  <c r="BE591" i="1"/>
  <c r="BE600" i="1"/>
  <c r="BE609" i="1"/>
  <c r="BE593" i="1"/>
  <c r="BE576" i="1"/>
  <c r="BE570" i="1"/>
  <c r="BE564" i="1"/>
  <c r="BE558" i="1"/>
  <c r="BE588" i="1"/>
  <c r="BE602" i="1"/>
  <c r="BE581" i="1"/>
  <c r="BE579" i="1"/>
  <c r="BE573" i="1"/>
  <c r="BE567" i="1"/>
  <c r="BE587" i="1"/>
  <c r="BE584" i="1"/>
  <c r="BE597" i="1"/>
  <c r="BE592" i="1"/>
  <c r="BE590" i="1"/>
  <c r="BE585" i="1"/>
  <c r="BE572" i="1"/>
  <c r="BE575" i="1"/>
  <c r="BE594" i="1"/>
  <c r="BE578" i="1"/>
  <c r="BE596" i="1"/>
  <c r="BE574" i="1"/>
  <c r="BE571" i="1"/>
  <c r="BE562" i="1"/>
  <c r="BE555" i="1"/>
  <c r="BE559" i="1"/>
  <c r="BE550" i="1"/>
  <c r="BE544" i="1"/>
  <c r="BE582" i="1"/>
  <c r="BE556" i="1"/>
  <c r="BE549" i="1"/>
  <c r="BE543" i="1"/>
  <c r="BE560" i="1"/>
  <c r="BE548" i="1"/>
  <c r="BE580" i="1"/>
  <c r="BE566" i="1"/>
  <c r="BE577" i="1"/>
  <c r="BE541" i="1"/>
  <c r="BE568" i="1"/>
  <c r="BE565" i="1"/>
  <c r="BE563" i="1"/>
  <c r="BE551" i="1"/>
  <c r="BE542" i="1"/>
  <c r="BE529" i="1"/>
  <c r="BE523" i="1"/>
  <c r="BE517" i="1"/>
  <c r="BE511" i="1"/>
  <c r="BE505" i="1"/>
  <c r="BE554" i="1"/>
  <c r="BE546" i="1"/>
  <c r="BE557" i="1"/>
  <c r="BE561" i="1"/>
  <c r="BE538" i="1"/>
  <c r="BE532" i="1"/>
  <c r="BE553" i="1"/>
  <c r="BE540" i="1"/>
  <c r="BE533" i="1"/>
  <c r="BE521" i="1"/>
  <c r="BE545" i="1"/>
  <c r="BE539" i="1"/>
  <c r="BE525" i="1"/>
  <c r="BE514" i="1"/>
  <c r="BE526" i="1"/>
  <c r="BE507" i="1"/>
  <c r="BE497" i="1"/>
  <c r="BE491" i="1"/>
  <c r="BE485" i="1"/>
  <c r="BE479" i="1"/>
  <c r="BE536" i="1"/>
  <c r="BE530" i="1"/>
  <c r="BE547" i="1"/>
  <c r="BE527" i="1"/>
  <c r="BE537" i="1"/>
  <c r="BE534" i="1"/>
  <c r="BE531" i="1"/>
  <c r="BE528" i="1"/>
  <c r="BE524" i="1"/>
  <c r="BE513" i="1"/>
  <c r="BE499" i="1"/>
  <c r="BE512" i="1"/>
  <c r="BE510" i="1"/>
  <c r="BE522" i="1"/>
  <c r="BE515" i="1"/>
  <c r="BE508" i="1"/>
  <c r="BE502" i="1"/>
  <c r="BE500" i="1"/>
  <c r="BE520" i="1"/>
  <c r="BE519" i="1"/>
  <c r="BE506" i="1"/>
  <c r="BE493" i="1"/>
  <c r="BE516" i="1"/>
  <c r="BE509" i="1"/>
  <c r="BE498" i="1"/>
  <c r="BE504" i="1"/>
  <c r="BE492" i="1"/>
  <c r="BE503" i="1"/>
  <c r="BE490" i="1"/>
  <c r="BE482" i="1"/>
  <c r="BE488" i="1"/>
  <c r="BE495" i="1"/>
  <c r="BE471" i="1"/>
  <c r="BE465" i="1"/>
  <c r="BE496" i="1"/>
  <c r="BE494" i="1"/>
  <c r="BE481" i="1"/>
  <c r="BE476" i="1"/>
  <c r="BE470" i="1"/>
  <c r="BE483" i="1"/>
  <c r="BE486" i="1"/>
  <c r="BE469" i="1"/>
  <c r="BE462" i="1"/>
  <c r="BE461" i="1"/>
  <c r="BE455" i="1"/>
  <c r="BE449" i="1"/>
  <c r="BE443" i="1"/>
  <c r="BE437" i="1"/>
  <c r="BE431" i="1"/>
  <c r="BE425" i="1"/>
  <c r="BE419" i="1"/>
  <c r="BE487" i="1"/>
  <c r="BE475" i="1"/>
  <c r="BE472" i="1"/>
  <c r="BE466" i="1"/>
  <c r="BE489" i="1"/>
  <c r="BE460" i="1"/>
  <c r="BE454" i="1"/>
  <c r="BE448" i="1"/>
  <c r="BE442" i="1"/>
  <c r="BE436" i="1"/>
  <c r="BE478" i="1"/>
  <c r="BE468" i="1"/>
  <c r="BE463" i="1"/>
  <c r="BE480" i="1"/>
  <c r="BE477" i="1"/>
  <c r="BE459" i="1"/>
  <c r="BE474" i="1"/>
  <c r="BE464" i="1"/>
  <c r="BE458" i="1"/>
  <c r="BE452" i="1"/>
  <c r="BE446" i="1"/>
  <c r="BE440" i="1"/>
  <c r="BE434" i="1"/>
  <c r="BE428" i="1"/>
  <c r="BE473" i="1"/>
  <c r="BE453" i="1"/>
  <c r="BE418" i="1"/>
  <c r="BE451" i="1"/>
  <c r="BE422" i="1"/>
  <c r="BE441" i="1"/>
  <c r="BE426" i="1"/>
  <c r="BE429" i="1"/>
  <c r="BE415" i="1"/>
  <c r="BE432" i="1"/>
  <c r="BE423" i="1"/>
  <c r="BE410" i="1"/>
  <c r="BE445" i="1"/>
  <c r="BE435" i="1"/>
  <c r="BE408" i="1"/>
  <c r="BE402" i="1"/>
  <c r="BE396" i="1"/>
  <c r="BE424" i="1"/>
  <c r="BE457" i="1"/>
  <c r="BE438" i="1"/>
  <c r="BE427" i="1"/>
  <c r="BE421" i="1"/>
  <c r="BE456" i="1"/>
  <c r="BE444" i="1"/>
  <c r="BE439" i="1"/>
  <c r="BE430" i="1"/>
  <c r="BE406" i="1"/>
  <c r="BE387" i="1"/>
  <c r="BE414" i="1"/>
  <c r="BE393" i="1"/>
  <c r="BE411" i="1"/>
  <c r="BE397" i="1"/>
  <c r="BE392" i="1"/>
  <c r="BE386" i="1"/>
  <c r="BE380" i="1"/>
  <c r="BE374" i="1"/>
  <c r="BE412" i="1"/>
  <c r="BE405" i="1"/>
  <c r="BE394" i="1"/>
  <c r="BE391" i="1"/>
  <c r="BE385" i="1"/>
  <c r="BE379" i="1"/>
  <c r="BE373" i="1"/>
  <c r="BE367" i="1"/>
  <c r="BE398" i="1"/>
  <c r="BE401" i="1"/>
  <c r="BE413" i="1"/>
  <c r="BE409" i="1"/>
  <c r="BE407" i="1"/>
  <c r="BE404" i="1"/>
  <c r="BE395" i="1"/>
  <c r="BE389" i="1"/>
  <c r="BE383" i="1"/>
  <c r="BE377" i="1"/>
  <c r="BE371" i="1"/>
  <c r="BE447" i="1"/>
  <c r="BE417" i="1"/>
  <c r="BE390" i="1"/>
  <c r="BE368" i="1"/>
  <c r="BE384" i="1"/>
  <c r="BE357" i="1"/>
  <c r="BE351" i="1"/>
  <c r="BE403" i="1"/>
  <c r="BE378" i="1"/>
  <c r="BE370" i="1"/>
  <c r="BE356" i="1"/>
  <c r="BE350" i="1"/>
  <c r="BE344" i="1"/>
  <c r="BE338" i="1"/>
  <c r="BE332" i="1"/>
  <c r="BE326" i="1"/>
  <c r="BE420" i="1"/>
  <c r="BE388" i="1"/>
  <c r="BE369" i="1"/>
  <c r="BE363" i="1"/>
  <c r="BE375" i="1"/>
  <c r="BE376" i="1"/>
  <c r="BE364" i="1"/>
  <c r="BE358" i="1"/>
  <c r="BE352" i="1"/>
  <c r="BE360" i="1"/>
  <c r="BE337" i="1"/>
  <c r="BE333" i="1"/>
  <c r="BE319" i="1"/>
  <c r="BE313" i="1"/>
  <c r="BE307" i="1"/>
  <c r="BE301" i="1"/>
  <c r="BE295" i="1"/>
  <c r="BE372" i="1"/>
  <c r="BE366" i="1"/>
  <c r="BE362" i="1"/>
  <c r="BE341" i="1"/>
  <c r="BE322" i="1"/>
  <c r="BE349" i="1"/>
  <c r="BE345" i="1"/>
  <c r="BE330" i="1"/>
  <c r="BE318" i="1"/>
  <c r="BE312" i="1"/>
  <c r="BE306" i="1"/>
  <c r="BE361" i="1"/>
  <c r="BE334" i="1"/>
  <c r="BE353" i="1"/>
  <c r="BE342" i="1"/>
  <c r="BE323" i="1"/>
  <c r="BE317" i="1"/>
  <c r="BE311" i="1"/>
  <c r="BE354" i="1"/>
  <c r="BE346" i="1"/>
  <c r="BE327" i="1"/>
  <c r="BE335" i="1"/>
  <c r="BE316" i="1"/>
  <c r="BE310" i="1"/>
  <c r="BE304" i="1"/>
  <c r="BE298" i="1"/>
  <c r="BE359" i="1"/>
  <c r="BE343" i="1"/>
  <c r="BE339" i="1"/>
  <c r="BE324" i="1"/>
  <c r="BE400" i="1"/>
  <c r="BE381" i="1"/>
  <c r="BE347" i="1"/>
  <c r="BE328" i="1"/>
  <c r="BE315" i="1"/>
  <c r="BE355" i="1"/>
  <c r="BE340" i="1"/>
  <c r="BE325" i="1"/>
  <c r="BE321" i="1"/>
  <c r="BE320" i="1"/>
  <c r="BE308" i="1"/>
  <c r="BE290" i="1"/>
  <c r="BE284" i="1"/>
  <c r="BE278" i="1"/>
  <c r="BE272" i="1"/>
  <c r="BE266" i="1"/>
  <c r="BE302" i="1"/>
  <c r="BE300" i="1"/>
  <c r="BE289" i="1"/>
  <c r="BE283" i="1"/>
  <c r="BE277" i="1"/>
  <c r="BE271" i="1"/>
  <c r="BE336" i="1"/>
  <c r="BE303" i="1"/>
  <c r="BE329" i="1"/>
  <c r="BE288" i="1"/>
  <c r="BE296" i="1"/>
  <c r="BE305" i="1"/>
  <c r="BE299" i="1"/>
  <c r="BE294" i="1"/>
  <c r="BE293" i="1"/>
  <c r="BE287" i="1"/>
  <c r="BE281" i="1"/>
  <c r="BE275" i="1"/>
  <c r="BE269" i="1"/>
  <c r="BE257" i="1"/>
  <c r="BE251" i="1"/>
  <c r="BE309" i="1"/>
  <c r="BE292" i="1"/>
  <c r="BE286" i="1"/>
  <c r="BE291" i="1"/>
  <c r="BE285" i="1"/>
  <c r="BE273" i="1"/>
  <c r="BE270" i="1"/>
  <c r="BE240" i="1"/>
  <c r="BE234" i="1"/>
  <c r="BE228" i="1"/>
  <c r="BE222" i="1"/>
  <c r="BE216" i="1"/>
  <c r="BE255" i="1"/>
  <c r="BE259" i="1"/>
  <c r="BE245" i="1"/>
  <c r="BE239" i="1"/>
  <c r="BE233" i="1"/>
  <c r="BE227" i="1"/>
  <c r="BE267" i="1"/>
  <c r="BE256" i="1"/>
  <c r="BE252" i="1"/>
  <c r="BE244" i="1"/>
  <c r="BE238" i="1"/>
  <c r="BE232" i="1"/>
  <c r="BE226" i="1"/>
  <c r="BE220" i="1"/>
  <c r="BE282" i="1"/>
  <c r="BE265" i="1"/>
  <c r="BE260" i="1"/>
  <c r="BE261" i="1"/>
  <c r="BE248" i="1"/>
  <c r="BE274" i="1"/>
  <c r="BE254" i="1"/>
  <c r="BE247" i="1"/>
  <c r="BE241" i="1"/>
  <c r="BE235" i="1"/>
  <c r="BE223" i="1"/>
  <c r="BE217" i="1"/>
  <c r="BE262" i="1"/>
  <c r="BE258" i="1"/>
  <c r="BE276" i="1"/>
  <c r="BE249" i="1"/>
  <c r="BE243" i="1"/>
  <c r="BE225" i="1"/>
  <c r="BE253" i="1"/>
  <c r="BE279" i="1"/>
  <c r="BE221" i="1"/>
  <c r="BE210" i="1"/>
  <c r="BE204" i="1"/>
  <c r="BE231" i="1"/>
  <c r="BE237" i="1"/>
  <c r="BE213" i="1"/>
  <c r="BE208" i="1"/>
  <c r="BE202" i="1"/>
  <c r="BE196" i="1"/>
  <c r="BE224" i="1"/>
  <c r="BE236" i="1"/>
  <c r="BE214" i="1"/>
  <c r="BE207" i="1"/>
  <c r="BE201" i="1"/>
  <c r="BE189" i="1"/>
  <c r="BE183" i="1"/>
  <c r="BE268" i="1"/>
  <c r="BE264" i="1"/>
  <c r="BE198" i="1"/>
  <c r="BE187" i="1"/>
  <c r="BE191" i="1"/>
  <c r="BE242" i="1"/>
  <c r="BE194" i="1"/>
  <c r="BE180" i="1"/>
  <c r="BE188" i="1"/>
  <c r="BE184" i="1"/>
  <c r="BE173" i="1"/>
  <c r="BE167" i="1"/>
  <c r="BE155" i="1"/>
  <c r="BE149" i="1"/>
  <c r="BE143" i="1"/>
  <c r="BE137" i="1"/>
  <c r="BE131" i="1"/>
  <c r="BE211" i="1"/>
  <c r="BE197" i="1"/>
  <c r="BE192" i="1"/>
  <c r="BE218" i="1"/>
  <c r="BE206" i="1"/>
  <c r="BE215" i="1"/>
  <c r="BE200" i="1"/>
  <c r="BE199" i="1"/>
  <c r="BE182" i="1"/>
  <c r="BE250" i="1"/>
  <c r="BE219" i="1"/>
  <c r="BE230" i="1"/>
  <c r="BE190" i="1"/>
  <c r="BE158" i="1"/>
  <c r="BE157" i="1"/>
  <c r="BE140" i="1"/>
  <c r="BE165" i="1"/>
  <c r="BE159" i="1"/>
  <c r="BE176" i="1"/>
  <c r="BE169" i="1"/>
  <c r="BE160" i="1"/>
  <c r="BE147" i="1"/>
  <c r="BE133" i="1"/>
  <c r="BE174" i="1"/>
  <c r="BE172" i="1"/>
  <c r="BE150" i="1"/>
  <c r="BE130" i="1"/>
  <c r="BE209" i="1"/>
  <c r="BE205" i="1"/>
  <c r="BE193" i="1"/>
  <c r="BE156" i="1"/>
  <c r="BE134" i="1"/>
  <c r="BE126" i="1"/>
  <c r="BE120" i="1"/>
  <c r="BE114" i="1"/>
  <c r="BE171" i="1"/>
  <c r="BE166" i="1"/>
  <c r="BE162" i="1"/>
  <c r="BE146" i="1"/>
  <c r="BE142" i="1"/>
  <c r="BE138" i="1"/>
  <c r="BE168" i="1"/>
  <c r="BE135" i="1"/>
  <c r="BE203" i="1"/>
  <c r="BE179" i="1"/>
  <c r="BE148" i="1"/>
  <c r="BE145" i="1"/>
  <c r="BE177" i="1"/>
  <c r="BE163" i="1"/>
  <c r="BE125" i="1"/>
  <c r="BE124" i="1"/>
  <c r="BE104" i="1"/>
  <c r="BE93" i="1"/>
  <c r="BE82" i="1"/>
  <c r="BE113" i="1"/>
  <c r="BE103" i="1"/>
  <c r="BE92" i="1"/>
  <c r="BE71" i="1"/>
  <c r="BE154" i="1"/>
  <c r="BE116" i="1"/>
  <c r="BE102" i="1"/>
  <c r="BE91" i="1"/>
  <c r="BE185" i="1"/>
  <c r="BE170" i="1"/>
  <c r="BE164" i="1"/>
  <c r="BE152" i="1"/>
  <c r="BE123" i="1"/>
  <c r="BE101" i="1"/>
  <c r="BE80" i="1"/>
  <c r="BE175" i="1"/>
  <c r="BE128" i="1"/>
  <c r="BE118" i="1"/>
  <c r="BE117" i="1"/>
  <c r="BE111" i="1"/>
  <c r="BE100" i="1"/>
  <c r="BE79" i="1"/>
  <c r="BE119" i="1"/>
  <c r="BE89" i="1"/>
  <c r="BE141" i="1"/>
  <c r="BE139" i="1"/>
  <c r="BE129" i="1"/>
  <c r="BE115" i="1"/>
  <c r="BE112" i="1"/>
  <c r="BE88" i="1"/>
  <c r="BE136" i="1"/>
  <c r="BE108" i="1"/>
  <c r="BE98" i="1"/>
  <c r="BE87" i="1"/>
  <c r="BE76" i="1"/>
  <c r="BE97" i="1"/>
  <c r="BE86" i="1"/>
  <c r="BE75" i="1"/>
  <c r="BE153" i="1"/>
  <c r="BE151" i="1"/>
  <c r="BE122" i="1"/>
  <c r="BE121" i="1"/>
  <c r="BE107" i="1"/>
  <c r="BE96" i="1"/>
  <c r="BE85" i="1"/>
  <c r="BE181" i="1"/>
  <c r="BE106" i="1"/>
  <c r="BE95" i="1"/>
  <c r="BE105" i="1"/>
  <c r="BE77" i="1"/>
  <c r="BE55" i="1"/>
  <c r="BE73" i="1"/>
  <c r="BE65" i="1"/>
  <c r="BE78" i="1"/>
  <c r="BE69" i="1"/>
  <c r="BE66" i="1"/>
  <c r="BE64" i="1"/>
  <c r="BE186" i="1"/>
  <c r="BE132" i="1"/>
  <c r="BE53" i="1"/>
  <c r="BE43" i="1"/>
  <c r="BE37" i="1"/>
  <c r="BE31" i="1"/>
  <c r="BE25" i="1"/>
  <c r="BE19" i="1"/>
  <c r="BE13" i="1"/>
  <c r="BE94" i="1"/>
  <c r="BE62" i="1"/>
  <c r="BE51" i="1"/>
  <c r="BE42" i="1"/>
  <c r="BE36" i="1"/>
  <c r="BE30" i="1"/>
  <c r="BE24" i="1"/>
  <c r="BE18" i="1"/>
  <c r="BE74" i="1"/>
  <c r="BE70" i="1"/>
  <c r="BE67" i="1"/>
  <c r="BE61" i="1"/>
  <c r="BE50" i="1"/>
  <c r="BE84" i="1"/>
  <c r="BE83" i="1"/>
  <c r="BE60" i="1"/>
  <c r="BE49" i="1"/>
  <c r="BE41" i="1"/>
  <c r="BE35" i="1"/>
  <c r="BE29" i="1"/>
  <c r="BE23" i="1"/>
  <c r="BE17" i="1"/>
  <c r="BE11" i="1"/>
  <c r="BE59" i="1"/>
  <c r="BE58" i="1"/>
  <c r="BE47" i="1"/>
  <c r="BE40" i="1"/>
  <c r="BE68" i="1"/>
  <c r="BE56" i="1"/>
  <c r="BE33" i="1"/>
  <c r="BE27" i="1"/>
  <c r="BE21" i="1"/>
  <c r="BE15" i="1"/>
  <c r="BE48" i="1"/>
  <c r="BE16" i="1"/>
  <c r="BE32" i="1"/>
  <c r="BE14" i="1"/>
  <c r="BE38" i="1"/>
  <c r="BE26" i="1"/>
  <c r="BE10" i="1"/>
  <c r="BE12" i="1"/>
  <c r="BE20" i="1"/>
  <c r="BE57" i="1"/>
  <c r="BE52" i="1"/>
  <c r="BE46" i="1"/>
  <c r="BE28" i="1"/>
  <c r="BE9" i="1"/>
  <c r="BE22" i="1"/>
  <c r="BC44" i="1"/>
  <c r="BC7" i="1" s="1"/>
  <c r="BD314" i="1"/>
  <c r="BD450" i="1"/>
  <c r="BD569" i="1"/>
  <c r="BD195" i="1"/>
  <c r="BD603" i="1"/>
  <c r="BD671" i="1"/>
  <c r="BD229" i="1"/>
  <c r="BD144" i="1"/>
  <c r="BD34" i="1"/>
  <c r="BD54" i="1"/>
  <c r="BD416" i="1"/>
  <c r="BD654" i="1"/>
  <c r="BD90" i="1"/>
  <c r="BD63" i="1"/>
  <c r="BD99" i="1"/>
  <c r="BD331" i="1"/>
  <c r="BD382" i="1"/>
  <c r="BB5" i="1"/>
  <c r="BB8" i="1"/>
  <c r="BD72" i="1"/>
  <c r="BD45" i="1"/>
  <c r="BD518" i="1"/>
  <c r="BD586" i="1"/>
  <c r="BE399" i="1" l="1"/>
  <c r="BE433" i="1"/>
  <c r="BE689" i="1"/>
  <c r="BE110" i="1"/>
  <c r="BE90" i="1"/>
  <c r="BE161" i="1"/>
  <c r="BE484" i="1"/>
  <c r="BE552" i="1"/>
  <c r="BC8" i="1"/>
  <c r="BC5" i="1"/>
  <c r="BE39" i="1"/>
  <c r="BE246" i="1"/>
  <c r="BE280" i="1"/>
  <c r="BE654" i="1"/>
  <c r="BE535" i="1"/>
  <c r="BE229" i="1"/>
  <c r="BE297" i="1"/>
  <c r="BE365" i="1"/>
  <c r="BE63" i="1"/>
  <c r="BE637" i="1"/>
  <c r="BE127" i="1"/>
  <c r="BE144" i="1"/>
  <c r="BE382" i="1"/>
  <c r="BE518" i="1"/>
  <c r="BE620" i="1"/>
  <c r="BE603" i="1"/>
  <c r="BE671" i="1"/>
  <c r="BE348" i="1"/>
  <c r="BE72" i="1"/>
  <c r="BE450" i="1"/>
  <c r="BD109" i="1"/>
  <c r="BE331" i="1"/>
  <c r="BE99" i="1"/>
  <c r="BE45" i="1"/>
  <c r="BE54" i="1"/>
  <c r="BE178" i="1"/>
  <c r="BE263" i="1"/>
  <c r="BE212" i="1"/>
  <c r="BE314" i="1"/>
  <c r="BE569" i="1"/>
  <c r="BF703" i="1"/>
  <c r="BF697" i="1"/>
  <c r="BF691" i="1"/>
  <c r="BF702" i="1"/>
  <c r="BF700" i="1"/>
  <c r="BF701" i="1"/>
  <c r="BF696" i="1"/>
  <c r="BF695" i="1" s="1"/>
  <c r="BF692" i="1"/>
  <c r="BF690" i="1"/>
  <c r="BF683" i="1"/>
  <c r="BF698" i="1"/>
  <c r="BF681" i="1"/>
  <c r="BF676" i="1"/>
  <c r="BF686" i="1"/>
  <c r="BF694" i="1"/>
  <c r="BF678" i="1"/>
  <c r="BF699" i="1"/>
  <c r="BF688" i="1"/>
  <c r="BF687" i="1"/>
  <c r="BF682" i="1"/>
  <c r="BF680" i="1"/>
  <c r="BF685" i="1"/>
  <c r="BF693" i="1"/>
  <c r="BF677" i="1"/>
  <c r="BF684" i="1"/>
  <c r="BF675" i="1"/>
  <c r="BF666" i="1"/>
  <c r="BF667" i="1"/>
  <c r="BF665" i="1"/>
  <c r="BF668" i="1"/>
  <c r="BF679" i="1"/>
  <c r="BF673" i="1"/>
  <c r="BF661" i="1"/>
  <c r="BF669" i="1"/>
  <c r="BF672" i="1"/>
  <c r="BF670" i="1"/>
  <c r="BF674" i="1"/>
  <c r="BF651" i="1"/>
  <c r="BF658" i="1"/>
  <c r="BF645" i="1"/>
  <c r="BF655" i="1"/>
  <c r="BF650" i="1"/>
  <c r="BF659" i="1"/>
  <c r="BF664" i="1"/>
  <c r="BF663" i="1"/>
  <c r="BF657" i="1"/>
  <c r="BF644" i="1"/>
  <c r="BF647" i="1"/>
  <c r="BF656" i="1"/>
  <c r="BF653" i="1"/>
  <c r="BF649" i="1"/>
  <c r="BF662" i="1"/>
  <c r="BF648" i="1"/>
  <c r="BF660" i="1"/>
  <c r="BF646" i="1"/>
  <c r="BF641" i="1"/>
  <c r="BF640" i="1"/>
  <c r="BF634" i="1"/>
  <c r="BF642" i="1"/>
  <c r="BF627" i="1"/>
  <c r="BF626" i="1"/>
  <c r="BF633" i="1"/>
  <c r="BF643" i="1"/>
  <c r="BF636" i="1"/>
  <c r="BF652" i="1"/>
  <c r="BF638" i="1"/>
  <c r="BF629" i="1"/>
  <c r="BF635" i="1"/>
  <c r="BF631" i="1"/>
  <c r="BF621" i="1"/>
  <c r="BF619" i="1"/>
  <c r="BF628" i="1"/>
  <c r="BF622" i="1"/>
  <c r="BF639" i="1"/>
  <c r="BF630" i="1"/>
  <c r="BF632" i="1"/>
  <c r="BF623" i="1"/>
  <c r="BF615" i="1"/>
  <c r="BF614" i="1"/>
  <c r="BF625" i="1"/>
  <c r="BF613" i="1"/>
  <c r="BF607" i="1"/>
  <c r="BF624" i="1"/>
  <c r="BF618" i="1"/>
  <c r="BF617" i="1"/>
  <c r="BF601" i="1"/>
  <c r="BF611" i="1"/>
  <c r="BF616" i="1"/>
  <c r="BF608" i="1"/>
  <c r="BF612" i="1"/>
  <c r="BF599" i="1"/>
  <c r="BF595" i="1"/>
  <c r="BF610" i="1"/>
  <c r="BF600" i="1"/>
  <c r="BF609" i="1"/>
  <c r="BF604" i="1"/>
  <c r="BF597" i="1"/>
  <c r="BF596" i="1"/>
  <c r="BF594" i="1"/>
  <c r="BF583" i="1"/>
  <c r="BF593" i="1"/>
  <c r="BF606" i="1"/>
  <c r="BF591" i="1"/>
  <c r="BF602" i="1"/>
  <c r="BF581" i="1"/>
  <c r="BF589" i="1"/>
  <c r="BF587" i="1"/>
  <c r="BF584" i="1"/>
  <c r="BF592" i="1"/>
  <c r="BF580" i="1"/>
  <c r="BF590" i="1"/>
  <c r="BF582" i="1"/>
  <c r="BF605" i="1"/>
  <c r="BF575" i="1"/>
  <c r="BF598" i="1"/>
  <c r="BF572" i="1"/>
  <c r="BF567" i="1"/>
  <c r="BF574" i="1"/>
  <c r="BF559" i="1"/>
  <c r="BF550" i="1"/>
  <c r="BF544" i="1"/>
  <c r="BF570" i="1"/>
  <c r="BF579" i="1"/>
  <c r="BF556" i="1"/>
  <c r="BF573" i="1"/>
  <c r="BF560" i="1"/>
  <c r="BF557" i="1"/>
  <c r="BF553" i="1"/>
  <c r="BF588" i="1"/>
  <c r="BF577" i="1"/>
  <c r="BF576" i="1"/>
  <c r="BF568" i="1"/>
  <c r="BF566" i="1"/>
  <c r="BF565" i="1"/>
  <c r="BF564" i="1"/>
  <c r="BF563" i="1"/>
  <c r="BF551" i="1"/>
  <c r="BF542" i="1"/>
  <c r="BF554" i="1"/>
  <c r="BF546" i="1"/>
  <c r="BF562" i="1"/>
  <c r="BF548" i="1"/>
  <c r="BF561" i="1"/>
  <c r="BF558" i="1"/>
  <c r="BF555" i="1"/>
  <c r="BF578" i="1"/>
  <c r="BF543" i="1"/>
  <c r="BF585" i="1"/>
  <c r="BF571" i="1"/>
  <c r="BF541" i="1"/>
  <c r="BF545" i="1"/>
  <c r="BF539" i="1"/>
  <c r="BF525" i="1"/>
  <c r="BF529" i="1"/>
  <c r="BF538" i="1"/>
  <c r="BF522" i="1"/>
  <c r="BF503" i="1"/>
  <c r="BF549" i="1"/>
  <c r="BF532" i="1"/>
  <c r="BF526" i="1"/>
  <c r="BF536" i="1"/>
  <c r="BF530" i="1"/>
  <c r="BF515" i="1"/>
  <c r="BF511" i="1"/>
  <c r="BF519" i="1"/>
  <c r="BF547" i="1"/>
  <c r="BF540" i="1"/>
  <c r="BF527" i="1"/>
  <c r="BF537" i="1"/>
  <c r="BF534" i="1"/>
  <c r="BF531" i="1"/>
  <c r="BF520" i="1"/>
  <c r="BF528" i="1"/>
  <c r="BF533" i="1"/>
  <c r="BF521" i="1"/>
  <c r="BF517" i="1"/>
  <c r="BF512" i="1"/>
  <c r="BF488" i="1"/>
  <c r="BF510" i="1"/>
  <c r="BF504" i="1"/>
  <c r="BF496" i="1"/>
  <c r="BF508" i="1"/>
  <c r="BF505" i="1"/>
  <c r="BF489" i="1"/>
  <c r="BF485" i="1"/>
  <c r="BF523" i="1"/>
  <c r="BF506" i="1"/>
  <c r="BF493" i="1"/>
  <c r="BF497" i="1"/>
  <c r="BF513" i="1"/>
  <c r="BF516" i="1"/>
  <c r="BF509" i="1"/>
  <c r="BF524" i="1"/>
  <c r="BF507" i="1"/>
  <c r="BF514" i="1"/>
  <c r="BF490" i="1"/>
  <c r="BF502" i="1"/>
  <c r="BF500" i="1"/>
  <c r="BF495" i="1"/>
  <c r="BF494" i="1"/>
  <c r="BF477" i="1"/>
  <c r="BF491" i="1"/>
  <c r="BF498" i="1"/>
  <c r="BF486" i="1"/>
  <c r="BF499" i="1"/>
  <c r="BF492" i="1"/>
  <c r="BF487" i="1"/>
  <c r="BF482" i="1"/>
  <c r="BF481" i="1"/>
  <c r="BF462" i="1"/>
  <c r="BF461" i="1"/>
  <c r="BF455" i="1"/>
  <c r="BF475" i="1"/>
  <c r="BF472" i="1"/>
  <c r="BF466" i="1"/>
  <c r="BF476" i="1"/>
  <c r="BF460" i="1"/>
  <c r="BF454" i="1"/>
  <c r="BF448" i="1"/>
  <c r="BF478" i="1"/>
  <c r="BF468" i="1"/>
  <c r="BF463" i="1"/>
  <c r="BF480" i="1"/>
  <c r="BF459" i="1"/>
  <c r="BF474" i="1"/>
  <c r="BF471" i="1"/>
  <c r="BF483" i="1"/>
  <c r="BF464" i="1"/>
  <c r="BF458" i="1"/>
  <c r="BF470" i="1"/>
  <c r="BF473" i="1"/>
  <c r="BF479" i="1"/>
  <c r="BF465" i="1"/>
  <c r="BF469" i="1"/>
  <c r="BF452" i="1"/>
  <c r="BF451" i="1"/>
  <c r="BF440" i="1"/>
  <c r="BF422" i="1"/>
  <c r="BF441" i="1"/>
  <c r="BF426" i="1"/>
  <c r="BF411" i="1"/>
  <c r="BF405" i="1"/>
  <c r="BF429" i="1"/>
  <c r="BF415" i="1"/>
  <c r="BF442" i="1"/>
  <c r="BF434" i="1"/>
  <c r="BF432" i="1"/>
  <c r="BF423" i="1"/>
  <c r="BF419" i="1"/>
  <c r="BF445" i="1"/>
  <c r="BF435" i="1"/>
  <c r="BF447" i="1"/>
  <c r="BF443" i="1"/>
  <c r="BF425" i="1"/>
  <c r="BF431" i="1"/>
  <c r="BF449" i="1"/>
  <c r="BF437" i="1"/>
  <c r="BF424" i="1"/>
  <c r="BF417" i="1"/>
  <c r="BF457" i="1"/>
  <c r="BF438" i="1"/>
  <c r="BF427" i="1"/>
  <c r="BF421" i="1"/>
  <c r="BF456" i="1"/>
  <c r="BF444" i="1"/>
  <c r="BF439" i="1"/>
  <c r="BF430" i="1"/>
  <c r="BF453" i="1"/>
  <c r="BF446" i="1"/>
  <c r="BF418" i="1"/>
  <c r="BF414" i="1"/>
  <c r="BF412" i="1"/>
  <c r="BF436" i="1"/>
  <c r="BF393" i="1"/>
  <c r="BF397" i="1"/>
  <c r="BF392" i="1"/>
  <c r="BF428" i="1"/>
  <c r="BF402" i="1"/>
  <c r="BF394" i="1"/>
  <c r="BF398" i="1"/>
  <c r="BF408" i="1"/>
  <c r="BF401" i="1"/>
  <c r="BF390" i="1"/>
  <c r="BF413" i="1"/>
  <c r="BF409" i="1"/>
  <c r="BF407" i="1"/>
  <c r="BF404" i="1"/>
  <c r="BF395" i="1"/>
  <c r="BF389" i="1"/>
  <c r="BF410" i="1"/>
  <c r="BF420" i="1"/>
  <c r="BF384" i="1"/>
  <c r="BF377" i="1"/>
  <c r="BF403" i="1"/>
  <c r="BF378" i="1"/>
  <c r="BF370" i="1"/>
  <c r="BF396" i="1"/>
  <c r="BF388" i="1"/>
  <c r="BF379" i="1"/>
  <c r="BF371" i="1"/>
  <c r="BF372" i="1"/>
  <c r="BF366" i="1"/>
  <c r="BF362" i="1"/>
  <c r="BF361" i="1"/>
  <c r="BF406" i="1"/>
  <c r="BF400" i="1"/>
  <c r="BF383" i="1"/>
  <c r="BF381" i="1"/>
  <c r="BF373" i="1"/>
  <c r="BF374" i="1"/>
  <c r="BF367" i="1"/>
  <c r="BF359" i="1"/>
  <c r="BF391" i="1"/>
  <c r="BF375" i="1"/>
  <c r="BF376" i="1"/>
  <c r="BF387" i="1"/>
  <c r="BF386" i="1"/>
  <c r="BF385" i="1"/>
  <c r="BF368" i="1"/>
  <c r="BF351" i="1"/>
  <c r="BF341" i="1"/>
  <c r="BF322" i="1"/>
  <c r="BF363" i="1"/>
  <c r="BF349" i="1"/>
  <c r="BF345" i="1"/>
  <c r="BF330" i="1"/>
  <c r="BF326" i="1"/>
  <c r="BF318" i="1"/>
  <c r="BF369" i="1"/>
  <c r="BF364" i="1"/>
  <c r="BF352" i="1"/>
  <c r="BF334" i="1"/>
  <c r="BF358" i="1"/>
  <c r="BF357" i="1"/>
  <c r="BF353" i="1"/>
  <c r="BF342" i="1"/>
  <c r="BF338" i="1"/>
  <c r="BF323" i="1"/>
  <c r="BF380" i="1"/>
  <c r="BF356" i="1"/>
  <c r="BF354" i="1"/>
  <c r="BF346" i="1"/>
  <c r="BF327" i="1"/>
  <c r="BF350" i="1"/>
  <c r="BF335" i="1"/>
  <c r="BF316" i="1"/>
  <c r="BF343" i="1"/>
  <c r="BF339" i="1"/>
  <c r="BF324" i="1"/>
  <c r="BF347" i="1"/>
  <c r="BF328" i="1"/>
  <c r="BF336" i="1"/>
  <c r="BF332" i="1"/>
  <c r="BF355" i="1"/>
  <c r="BF340" i="1"/>
  <c r="BF344" i="1"/>
  <c r="BF329" i="1"/>
  <c r="BF333" i="1"/>
  <c r="BF312" i="1"/>
  <c r="BF290" i="1"/>
  <c r="BF284" i="1"/>
  <c r="BF278" i="1"/>
  <c r="BF272" i="1"/>
  <c r="BF320" i="1"/>
  <c r="BF319" i="1"/>
  <c r="BF301" i="1"/>
  <c r="BF321" i="1"/>
  <c r="BF315" i="1"/>
  <c r="BF303" i="1"/>
  <c r="BF360" i="1"/>
  <c r="BF288" i="1"/>
  <c r="BF282" i="1"/>
  <c r="BF276" i="1"/>
  <c r="BF270" i="1"/>
  <c r="BF317" i="1"/>
  <c r="BF313" i="1"/>
  <c r="BF304" i="1"/>
  <c r="BF296" i="1"/>
  <c r="BF305" i="1"/>
  <c r="BF299" i="1"/>
  <c r="BF294" i="1"/>
  <c r="BF293" i="1"/>
  <c r="BF287" i="1"/>
  <c r="BF337" i="1"/>
  <c r="BF311" i="1"/>
  <c r="BF310" i="1"/>
  <c r="BF309" i="1"/>
  <c r="BF292" i="1"/>
  <c r="BF308" i="1"/>
  <c r="BF307" i="1"/>
  <c r="BF306" i="1"/>
  <c r="BF325" i="1"/>
  <c r="BF298" i="1"/>
  <c r="BF295" i="1"/>
  <c r="BF291" i="1"/>
  <c r="BF285" i="1"/>
  <c r="BF271" i="1"/>
  <c r="BF255" i="1"/>
  <c r="BF251" i="1"/>
  <c r="BF259" i="1"/>
  <c r="BF245" i="1"/>
  <c r="BF239" i="1"/>
  <c r="BF266" i="1"/>
  <c r="BF300" i="1"/>
  <c r="BF269" i="1"/>
  <c r="BF267" i="1"/>
  <c r="BF256" i="1"/>
  <c r="BF252" i="1"/>
  <c r="BF244" i="1"/>
  <c r="BF238" i="1"/>
  <c r="BF289" i="1"/>
  <c r="BF286" i="1"/>
  <c r="BF265" i="1"/>
  <c r="BF260" i="1"/>
  <c r="BF302" i="1"/>
  <c r="BF249" i="1"/>
  <c r="BF243" i="1"/>
  <c r="BF237" i="1"/>
  <c r="BF279" i="1"/>
  <c r="BF268" i="1"/>
  <c r="BF264" i="1"/>
  <c r="BF250" i="1"/>
  <c r="BF262" i="1"/>
  <c r="BF258" i="1"/>
  <c r="BF281" i="1"/>
  <c r="BF273" i="1"/>
  <c r="BF254" i="1"/>
  <c r="BF240" i="1"/>
  <c r="BF225" i="1"/>
  <c r="BF253" i="1"/>
  <c r="BF274" i="1"/>
  <c r="BF234" i="1"/>
  <c r="BF227" i="1"/>
  <c r="BF221" i="1"/>
  <c r="BF210" i="1"/>
  <c r="BF204" i="1"/>
  <c r="BF283" i="1"/>
  <c r="BF261" i="1"/>
  <c r="BF277" i="1"/>
  <c r="BF248" i="1"/>
  <c r="BF223" i="1"/>
  <c r="BF208" i="1"/>
  <c r="BF275" i="1"/>
  <c r="BF257" i="1"/>
  <c r="BF226" i="1"/>
  <c r="BF224" i="1"/>
  <c r="BF216" i="1"/>
  <c r="BF236" i="1"/>
  <c r="BF214" i="1"/>
  <c r="BF207" i="1"/>
  <c r="BF241" i="1"/>
  <c r="BF228" i="1"/>
  <c r="BF217" i="1"/>
  <c r="BF247" i="1"/>
  <c r="BF242" i="1"/>
  <c r="BF233" i="1"/>
  <c r="BF230" i="1"/>
  <c r="BF218" i="1"/>
  <c r="BF202" i="1"/>
  <c r="BF191" i="1"/>
  <c r="BF174" i="1"/>
  <c r="BF168" i="1"/>
  <c r="BF162" i="1"/>
  <c r="BF194" i="1"/>
  <c r="BF180" i="1"/>
  <c r="BF235" i="1"/>
  <c r="BF188" i="1"/>
  <c r="BF184" i="1"/>
  <c r="BF173" i="1"/>
  <c r="BF167" i="1"/>
  <c r="BF155" i="1"/>
  <c r="BF149" i="1"/>
  <c r="BF231" i="1"/>
  <c r="BF211" i="1"/>
  <c r="BF197" i="1"/>
  <c r="BF192" i="1"/>
  <c r="BF220" i="1"/>
  <c r="BF206" i="1"/>
  <c r="BF181" i="1"/>
  <c r="BF219" i="1"/>
  <c r="BF205" i="1"/>
  <c r="BF186" i="1"/>
  <c r="BF176" i="1"/>
  <c r="BF170" i="1"/>
  <c r="BF179" i="1"/>
  <c r="BF175" i="1"/>
  <c r="BF232" i="1"/>
  <c r="BF213" i="1"/>
  <c r="BF165" i="1"/>
  <c r="BF159" i="1"/>
  <c r="BF129" i="1"/>
  <c r="BF122" i="1"/>
  <c r="BF116" i="1"/>
  <c r="BF169" i="1"/>
  <c r="BF160" i="1"/>
  <c r="BF153" i="1"/>
  <c r="BF141" i="1"/>
  <c r="BF137" i="1"/>
  <c r="BF198" i="1"/>
  <c r="BF209" i="1"/>
  <c r="BF201" i="1"/>
  <c r="BF199" i="1"/>
  <c r="BF193" i="1"/>
  <c r="BF156" i="1"/>
  <c r="BF134" i="1"/>
  <c r="BF126" i="1"/>
  <c r="BF120" i="1"/>
  <c r="BF171" i="1"/>
  <c r="BF166" i="1"/>
  <c r="BF146" i="1"/>
  <c r="BF142" i="1"/>
  <c r="BF138" i="1"/>
  <c r="BF222" i="1"/>
  <c r="BF190" i="1"/>
  <c r="BF189" i="1"/>
  <c r="BF185" i="1"/>
  <c r="BF164" i="1"/>
  <c r="BF163" i="1"/>
  <c r="BF152" i="1"/>
  <c r="BF203" i="1"/>
  <c r="BF200" i="1"/>
  <c r="BF183" i="1"/>
  <c r="BF182" i="1"/>
  <c r="BF139" i="1"/>
  <c r="BF124" i="1"/>
  <c r="BF215" i="1"/>
  <c r="BF148" i="1"/>
  <c r="BF177" i="1"/>
  <c r="BF154" i="1"/>
  <c r="BF151" i="1"/>
  <c r="BF136" i="1"/>
  <c r="BF196" i="1"/>
  <c r="BF172" i="1"/>
  <c r="BF113" i="1"/>
  <c r="BF103" i="1"/>
  <c r="BF92" i="1"/>
  <c r="BF102" i="1"/>
  <c r="BF91" i="1"/>
  <c r="BF70" i="1"/>
  <c r="BF131" i="1"/>
  <c r="BF123" i="1"/>
  <c r="BF101" i="1"/>
  <c r="BF80" i="1"/>
  <c r="BF128" i="1"/>
  <c r="BF118" i="1"/>
  <c r="BF117" i="1"/>
  <c r="BF111" i="1"/>
  <c r="BF100" i="1"/>
  <c r="BF79" i="1"/>
  <c r="BF158" i="1"/>
  <c r="BF150" i="1"/>
  <c r="BF143" i="1"/>
  <c r="BF119" i="1"/>
  <c r="BF89" i="1"/>
  <c r="BF78" i="1"/>
  <c r="BF115" i="1"/>
  <c r="BF112" i="1"/>
  <c r="BF88" i="1"/>
  <c r="BF145" i="1"/>
  <c r="BF140" i="1"/>
  <c r="BF133" i="1"/>
  <c r="BF108" i="1"/>
  <c r="BF98" i="1"/>
  <c r="BF87" i="1"/>
  <c r="BF187" i="1"/>
  <c r="BF135" i="1"/>
  <c r="BF97" i="1"/>
  <c r="BF86" i="1"/>
  <c r="BF157" i="1"/>
  <c r="BF130" i="1"/>
  <c r="BF121" i="1"/>
  <c r="BF107" i="1"/>
  <c r="BF96" i="1"/>
  <c r="BF85" i="1"/>
  <c r="BF74" i="1"/>
  <c r="BF114" i="1"/>
  <c r="BF106" i="1"/>
  <c r="BF95" i="1"/>
  <c r="BF84" i="1"/>
  <c r="BF132" i="1"/>
  <c r="BF105" i="1"/>
  <c r="BF94" i="1"/>
  <c r="BF73" i="1"/>
  <c r="BF65" i="1"/>
  <c r="BF38" i="1"/>
  <c r="BF32" i="1"/>
  <c r="BF26" i="1"/>
  <c r="BF20" i="1"/>
  <c r="BF14" i="1"/>
  <c r="BF69" i="1"/>
  <c r="BF66" i="1"/>
  <c r="BF64" i="1"/>
  <c r="BF53" i="1"/>
  <c r="BF43" i="1"/>
  <c r="BF37" i="1"/>
  <c r="BF31" i="1"/>
  <c r="BF25" i="1"/>
  <c r="BF19" i="1"/>
  <c r="BF13" i="1"/>
  <c r="BF52" i="1"/>
  <c r="BF125" i="1"/>
  <c r="BF67" i="1"/>
  <c r="BF61" i="1"/>
  <c r="BF50" i="1"/>
  <c r="BF147" i="1"/>
  <c r="BF104" i="1"/>
  <c r="BF83" i="1"/>
  <c r="BF60" i="1"/>
  <c r="BF49" i="1"/>
  <c r="BF41" i="1"/>
  <c r="BF35" i="1"/>
  <c r="BF29" i="1"/>
  <c r="BF23" i="1"/>
  <c r="BF82" i="1"/>
  <c r="BF59" i="1"/>
  <c r="BF48" i="1"/>
  <c r="BF58" i="1"/>
  <c r="BF76" i="1"/>
  <c r="BF68" i="1"/>
  <c r="BF57" i="1"/>
  <c r="BF46" i="1"/>
  <c r="BF93" i="1"/>
  <c r="BF77" i="1"/>
  <c r="BF75" i="1"/>
  <c r="BF71" i="1"/>
  <c r="BF55" i="1"/>
  <c r="BF51" i="1"/>
  <c r="BF27" i="1"/>
  <c r="BF21" i="1"/>
  <c r="BF10" i="1"/>
  <c r="BF47" i="1"/>
  <c r="BF12" i="1"/>
  <c r="BF42" i="1"/>
  <c r="BF56" i="1"/>
  <c r="BF17" i="1"/>
  <c r="BF62" i="1"/>
  <c r="BF30" i="1"/>
  <c r="BF24" i="1"/>
  <c r="BF40" i="1"/>
  <c r="BF28" i="1"/>
  <c r="BF36" i="1"/>
  <c r="BF18" i="1"/>
  <c r="BF11" i="1"/>
  <c r="BF9" i="1"/>
  <c r="BF16" i="1"/>
  <c r="BF33" i="1"/>
  <c r="BF22" i="1"/>
  <c r="BF15" i="1"/>
  <c r="BD44" i="1"/>
  <c r="BD7" i="1" s="1"/>
  <c r="BE501" i="1"/>
  <c r="BG6" i="1"/>
  <c r="BH4" i="1"/>
  <c r="BE195" i="1"/>
  <c r="BE34" i="1"/>
  <c r="BE416" i="1"/>
  <c r="BE81" i="1"/>
  <c r="BE467" i="1"/>
  <c r="BE586" i="1"/>
  <c r="BF178" i="1" l="1"/>
  <c r="BF331" i="1"/>
  <c r="BF467" i="1"/>
  <c r="BF501" i="1"/>
  <c r="BF484" i="1"/>
  <c r="BF535" i="1"/>
  <c r="BF654" i="1"/>
  <c r="BF39" i="1"/>
  <c r="BF416" i="1"/>
  <c r="BF689" i="1"/>
  <c r="BD5" i="1"/>
  <c r="BD8" i="1"/>
  <c r="BF45" i="1"/>
  <c r="BF297" i="1"/>
  <c r="BF518" i="1"/>
  <c r="BF99" i="1"/>
  <c r="BF212" i="1"/>
  <c r="BF314" i="1"/>
  <c r="BF450" i="1"/>
  <c r="BF552" i="1"/>
  <c r="BF72" i="1"/>
  <c r="BF144" i="1"/>
  <c r="BF110" i="1"/>
  <c r="BF161" i="1"/>
  <c r="BF382" i="1"/>
  <c r="BF399" i="1"/>
  <c r="BF433" i="1"/>
  <c r="BF637" i="1"/>
  <c r="BE44" i="1"/>
  <c r="BH6" i="1"/>
  <c r="BI4" i="1"/>
  <c r="BF63" i="1"/>
  <c r="BF127" i="1"/>
  <c r="BF195" i="1"/>
  <c r="BF81" i="1"/>
  <c r="BF365" i="1"/>
  <c r="BF569" i="1"/>
  <c r="BF229" i="1"/>
  <c r="BF263" i="1"/>
  <c r="BG701" i="1"/>
  <c r="BG700" i="1"/>
  <c r="BG694" i="1"/>
  <c r="BG703" i="1"/>
  <c r="BG693" i="1"/>
  <c r="BG683" i="1"/>
  <c r="BG690" i="1"/>
  <c r="BG697" i="1"/>
  <c r="BG687" i="1"/>
  <c r="BG691" i="1"/>
  <c r="BG702" i="1"/>
  <c r="BG699" i="1"/>
  <c r="BG696" i="1"/>
  <c r="BG692" i="1"/>
  <c r="BG698" i="1"/>
  <c r="BG685" i="1"/>
  <c r="BG682" i="1"/>
  <c r="BG688" i="1"/>
  <c r="BG679" i="1"/>
  <c r="BG670" i="1"/>
  <c r="BG664" i="1"/>
  <c r="BG658" i="1"/>
  <c r="BG652" i="1"/>
  <c r="BG673" i="1"/>
  <c r="BG669" i="1"/>
  <c r="BG663" i="1"/>
  <c r="BG657" i="1"/>
  <c r="BG686" i="1"/>
  <c r="BG684" i="1"/>
  <c r="BG681" i="1"/>
  <c r="BG672" i="1"/>
  <c r="BG666" i="1"/>
  <c r="BG675" i="1"/>
  <c r="BG667" i="1"/>
  <c r="BG665" i="1"/>
  <c r="BG678" i="1"/>
  <c r="BG668" i="1"/>
  <c r="BG674" i="1"/>
  <c r="BG680" i="1"/>
  <c r="BG676" i="1"/>
  <c r="BG659" i="1"/>
  <c r="BG645" i="1"/>
  <c r="BG639" i="1"/>
  <c r="BG633" i="1"/>
  <c r="BG627" i="1"/>
  <c r="BG655" i="1"/>
  <c r="BG661" i="1"/>
  <c r="BG650" i="1"/>
  <c r="BG677" i="1"/>
  <c r="BG643" i="1"/>
  <c r="BG660" i="1"/>
  <c r="BG647" i="1"/>
  <c r="BG632" i="1"/>
  <c r="BG628" i="1"/>
  <c r="BG656" i="1"/>
  <c r="BG649" i="1"/>
  <c r="BG662" i="1"/>
  <c r="BG642" i="1"/>
  <c r="BG621" i="1"/>
  <c r="BG651" i="1"/>
  <c r="BG631" i="1"/>
  <c r="BG640" i="1"/>
  <c r="BG634" i="1"/>
  <c r="BG612" i="1"/>
  <c r="BG653" i="1"/>
  <c r="BG623" i="1"/>
  <c r="BG611" i="1"/>
  <c r="BG605" i="1"/>
  <c r="BG641" i="1"/>
  <c r="BG648" i="1"/>
  <c r="BG644" i="1"/>
  <c r="BG638" i="1"/>
  <c r="BG635" i="1"/>
  <c r="BG629" i="1"/>
  <c r="BG617" i="1"/>
  <c r="BG646" i="1"/>
  <c r="BG636" i="1"/>
  <c r="BG616" i="1"/>
  <c r="BG630" i="1"/>
  <c r="BG625" i="1"/>
  <c r="BG613" i="1"/>
  <c r="BG609" i="1"/>
  <c r="BG606" i="1"/>
  <c r="BG622" i="1"/>
  <c r="BG618" i="1"/>
  <c r="BG626" i="1"/>
  <c r="BG619" i="1"/>
  <c r="BG597" i="1"/>
  <c r="BG602" i="1"/>
  <c r="BG615" i="1"/>
  <c r="BG594" i="1"/>
  <c r="BG588" i="1"/>
  <c r="BG582" i="1"/>
  <c r="BG624" i="1"/>
  <c r="BG614" i="1"/>
  <c r="BG610" i="1"/>
  <c r="BG601" i="1"/>
  <c r="BG595" i="1"/>
  <c r="BG584" i="1"/>
  <c r="BG596" i="1"/>
  <c r="BG590" i="1"/>
  <c r="BG607" i="1"/>
  <c r="BG583" i="1"/>
  <c r="BG599" i="1"/>
  <c r="BG575" i="1"/>
  <c r="BG563" i="1"/>
  <c r="BG557" i="1"/>
  <c r="BG551" i="1"/>
  <c r="BG593" i="1"/>
  <c r="BG585" i="1"/>
  <c r="BG608" i="1"/>
  <c r="BG589" i="1"/>
  <c r="BG587" i="1"/>
  <c r="BG604" i="1"/>
  <c r="BG578" i="1"/>
  <c r="BG572" i="1"/>
  <c r="BG566" i="1"/>
  <c r="BG592" i="1"/>
  <c r="BG573" i="1"/>
  <c r="BG565" i="1"/>
  <c r="BG598" i="1"/>
  <c r="BG591" i="1"/>
  <c r="BG581" i="1"/>
  <c r="BG568" i="1"/>
  <c r="BG600" i="1"/>
  <c r="BG574" i="1"/>
  <c r="BG559" i="1"/>
  <c r="BG570" i="1"/>
  <c r="BG579" i="1"/>
  <c r="BG556" i="1"/>
  <c r="BG549" i="1"/>
  <c r="BG543" i="1"/>
  <c r="BG560" i="1"/>
  <c r="BG548" i="1"/>
  <c r="BG542" i="1"/>
  <c r="BG553" i="1"/>
  <c r="BG564" i="1"/>
  <c r="BG561" i="1"/>
  <c r="BG547" i="1"/>
  <c r="BG577" i="1"/>
  <c r="BG576" i="1"/>
  <c r="BG558" i="1"/>
  <c r="BG571" i="1"/>
  <c r="BG562" i="1"/>
  <c r="BG567" i="1"/>
  <c r="BG554" i="1"/>
  <c r="BG546" i="1"/>
  <c r="BG534" i="1"/>
  <c r="BG528" i="1"/>
  <c r="BG522" i="1"/>
  <c r="BG516" i="1"/>
  <c r="BG510" i="1"/>
  <c r="BG504" i="1"/>
  <c r="BG544" i="1"/>
  <c r="BG555" i="1"/>
  <c r="BG550" i="1"/>
  <c r="BG537" i="1"/>
  <c r="BG580" i="1"/>
  <c r="BG529" i="1"/>
  <c r="BG538" i="1"/>
  <c r="BG532" i="1"/>
  <c r="BG526" i="1"/>
  <c r="BG507" i="1"/>
  <c r="BG536" i="1"/>
  <c r="BG530" i="1"/>
  <c r="BG519" i="1"/>
  <c r="BG496" i="1"/>
  <c r="BG490" i="1"/>
  <c r="BG478" i="1"/>
  <c r="BG541" i="1"/>
  <c r="BG540" i="1"/>
  <c r="BG527" i="1"/>
  <c r="BG523" i="1"/>
  <c r="BG531" i="1"/>
  <c r="BG524" i="1"/>
  <c r="BG533" i="1"/>
  <c r="BG521" i="1"/>
  <c r="BG545" i="1"/>
  <c r="BG539" i="1"/>
  <c r="BG525" i="1"/>
  <c r="BG506" i="1"/>
  <c r="BG492" i="1"/>
  <c r="BG508" i="1"/>
  <c r="BG503" i="1"/>
  <c r="BG502" i="1"/>
  <c r="BG500" i="1"/>
  <c r="BG517" i="1"/>
  <c r="BG515" i="1"/>
  <c r="BG493" i="1"/>
  <c r="BG520" i="1"/>
  <c r="BG497" i="1"/>
  <c r="BG513" i="1"/>
  <c r="BG486" i="1"/>
  <c r="BG511" i="1"/>
  <c r="BG509" i="1"/>
  <c r="BG498" i="1"/>
  <c r="BG514" i="1"/>
  <c r="BG499" i="1"/>
  <c r="BG512" i="1"/>
  <c r="BG480" i="1"/>
  <c r="BG505" i="1"/>
  <c r="BG495" i="1"/>
  <c r="BG488" i="1"/>
  <c r="BG494" i="1"/>
  <c r="BG481" i="1"/>
  <c r="BG476" i="1"/>
  <c r="BG470" i="1"/>
  <c r="BG464" i="1"/>
  <c r="BG489" i="1"/>
  <c r="BG483" i="1"/>
  <c r="BG475" i="1"/>
  <c r="BG469" i="1"/>
  <c r="BG487" i="1"/>
  <c r="BG482" i="1"/>
  <c r="BG479" i="1"/>
  <c r="BG472" i="1"/>
  <c r="BG466" i="1"/>
  <c r="BG460" i="1"/>
  <c r="BG454" i="1"/>
  <c r="BG448" i="1"/>
  <c r="BG442" i="1"/>
  <c r="BG436" i="1"/>
  <c r="BG430" i="1"/>
  <c r="BG424" i="1"/>
  <c r="BG418" i="1"/>
  <c r="BG468" i="1"/>
  <c r="BG463" i="1"/>
  <c r="BG459" i="1"/>
  <c r="BG453" i="1"/>
  <c r="BG447" i="1"/>
  <c r="BG441" i="1"/>
  <c r="BG435" i="1"/>
  <c r="BG477" i="1"/>
  <c r="BG474" i="1"/>
  <c r="BG471" i="1"/>
  <c r="BG458" i="1"/>
  <c r="BG485" i="1"/>
  <c r="BG457" i="1"/>
  <c r="BG451" i="1"/>
  <c r="BG445" i="1"/>
  <c r="BG439" i="1"/>
  <c r="BG427" i="1"/>
  <c r="BG473" i="1"/>
  <c r="BG465" i="1"/>
  <c r="BG491" i="1"/>
  <c r="BG426" i="1"/>
  <c r="BG455" i="1"/>
  <c r="BG429" i="1"/>
  <c r="BG415" i="1"/>
  <c r="BG434" i="1"/>
  <c r="BG432" i="1"/>
  <c r="BG423" i="1"/>
  <c r="BG419" i="1"/>
  <c r="BG443" i="1"/>
  <c r="BG425" i="1"/>
  <c r="BG409" i="1"/>
  <c r="BG428" i="1"/>
  <c r="BG420" i="1"/>
  <c r="BG461" i="1"/>
  <c r="BG449" i="1"/>
  <c r="BG437" i="1"/>
  <c r="BG462" i="1"/>
  <c r="BG438" i="1"/>
  <c r="BG421" i="1"/>
  <c r="BG413" i="1"/>
  <c r="BG407" i="1"/>
  <c r="BG401" i="1"/>
  <c r="BG395" i="1"/>
  <c r="BG456" i="1"/>
  <c r="BG444" i="1"/>
  <c r="BG446" i="1"/>
  <c r="BG452" i="1"/>
  <c r="BG440" i="1"/>
  <c r="BG422" i="1"/>
  <c r="BG414" i="1"/>
  <c r="BG397" i="1"/>
  <c r="BG392" i="1"/>
  <c r="BG386" i="1"/>
  <c r="BG411" i="1"/>
  <c r="BG402" i="1"/>
  <c r="BG412" i="1"/>
  <c r="BG405" i="1"/>
  <c r="BG394" i="1"/>
  <c r="BG391" i="1"/>
  <c r="BG385" i="1"/>
  <c r="BG379" i="1"/>
  <c r="BG373" i="1"/>
  <c r="BG398" i="1"/>
  <c r="BG408" i="1"/>
  <c r="BG390" i="1"/>
  <c r="BG384" i="1"/>
  <c r="BG378" i="1"/>
  <c r="BG372" i="1"/>
  <c r="BG366" i="1"/>
  <c r="BG404" i="1"/>
  <c r="BG410" i="1"/>
  <c r="BG417" i="1"/>
  <c r="BG388" i="1"/>
  <c r="BG376" i="1"/>
  <c r="BG370" i="1"/>
  <c r="BG403" i="1"/>
  <c r="BG400" i="1"/>
  <c r="BG406" i="1"/>
  <c r="BG393" i="1"/>
  <c r="BG431" i="1"/>
  <c r="BG389" i="1"/>
  <c r="BG356" i="1"/>
  <c r="BG396" i="1"/>
  <c r="BG371" i="1"/>
  <c r="BG362" i="1"/>
  <c r="BG361" i="1"/>
  <c r="BG355" i="1"/>
  <c r="BG349" i="1"/>
  <c r="BG343" i="1"/>
  <c r="BG337" i="1"/>
  <c r="BG325" i="1"/>
  <c r="BG380" i="1"/>
  <c r="BG369" i="1"/>
  <c r="BG383" i="1"/>
  <c r="BG363" i="1"/>
  <c r="BG375" i="1"/>
  <c r="BG387" i="1"/>
  <c r="BG368" i="1"/>
  <c r="BG377" i="1"/>
  <c r="BG357" i="1"/>
  <c r="BG351" i="1"/>
  <c r="BG345" i="1"/>
  <c r="BG330" i="1"/>
  <c r="BG326" i="1"/>
  <c r="BG318" i="1"/>
  <c r="BG312" i="1"/>
  <c r="BG306" i="1"/>
  <c r="BG300" i="1"/>
  <c r="BG294" i="1"/>
  <c r="BG367" i="1"/>
  <c r="BG364" i="1"/>
  <c r="BG352" i="1"/>
  <c r="BG334" i="1"/>
  <c r="BG358" i="1"/>
  <c r="BG353" i="1"/>
  <c r="BG342" i="1"/>
  <c r="BG338" i="1"/>
  <c r="BG323" i="1"/>
  <c r="BG317" i="1"/>
  <c r="BG311" i="1"/>
  <c r="BG305" i="1"/>
  <c r="BG354" i="1"/>
  <c r="BG346" i="1"/>
  <c r="BG327" i="1"/>
  <c r="BG350" i="1"/>
  <c r="BG335" i="1"/>
  <c r="BG316" i="1"/>
  <c r="BG310" i="1"/>
  <c r="BG339" i="1"/>
  <c r="BG324" i="1"/>
  <c r="BG359" i="1"/>
  <c r="BG347" i="1"/>
  <c r="BG328" i="1"/>
  <c r="BG315" i="1"/>
  <c r="BG309" i="1"/>
  <c r="BG303" i="1"/>
  <c r="BG381" i="1"/>
  <c r="BG336" i="1"/>
  <c r="BG332" i="1"/>
  <c r="BG374" i="1"/>
  <c r="BG340" i="1"/>
  <c r="BG321" i="1"/>
  <c r="BG320" i="1"/>
  <c r="BG344" i="1"/>
  <c r="BG360" i="1"/>
  <c r="BG333" i="1"/>
  <c r="BG319" i="1"/>
  <c r="BG313" i="1"/>
  <c r="BG307" i="1"/>
  <c r="BG301" i="1"/>
  <c r="BG302" i="1"/>
  <c r="BG289" i="1"/>
  <c r="BG283" i="1"/>
  <c r="BG277" i="1"/>
  <c r="BG271" i="1"/>
  <c r="BG265" i="1"/>
  <c r="BG341" i="1"/>
  <c r="BG288" i="1"/>
  <c r="BG282" i="1"/>
  <c r="BG276" i="1"/>
  <c r="BG270" i="1"/>
  <c r="BG329" i="1"/>
  <c r="BG304" i="1"/>
  <c r="BG296" i="1"/>
  <c r="BG322" i="1"/>
  <c r="BG299" i="1"/>
  <c r="BG293" i="1"/>
  <c r="BG287" i="1"/>
  <c r="BG292" i="1"/>
  <c r="BG286" i="1"/>
  <c r="BG274" i="1"/>
  <c r="BG268" i="1"/>
  <c r="BG262" i="1"/>
  <c r="BG256" i="1"/>
  <c r="BG250" i="1"/>
  <c r="BG308" i="1"/>
  <c r="BG298" i="1"/>
  <c r="BG295" i="1"/>
  <c r="BG291" i="1"/>
  <c r="BG285" i="1"/>
  <c r="BG290" i="1"/>
  <c r="BG259" i="1"/>
  <c r="BG245" i="1"/>
  <c r="BG239" i="1"/>
  <c r="BG233" i="1"/>
  <c r="BG227" i="1"/>
  <c r="BG221" i="1"/>
  <c r="BG266" i="1"/>
  <c r="BG269" i="1"/>
  <c r="BG267" i="1"/>
  <c r="BG252" i="1"/>
  <c r="BG244" i="1"/>
  <c r="BG238" i="1"/>
  <c r="BG232" i="1"/>
  <c r="BG226" i="1"/>
  <c r="BG260" i="1"/>
  <c r="BG249" i="1"/>
  <c r="BG243" i="1"/>
  <c r="BG237" i="1"/>
  <c r="BG231" i="1"/>
  <c r="BG225" i="1"/>
  <c r="BG219" i="1"/>
  <c r="BG253" i="1"/>
  <c r="BG261" i="1"/>
  <c r="BG257" i="1"/>
  <c r="BG278" i="1"/>
  <c r="BG275" i="1"/>
  <c r="BG254" i="1"/>
  <c r="BG247" i="1"/>
  <c r="BG281" i="1"/>
  <c r="BG273" i="1"/>
  <c r="BG240" i="1"/>
  <c r="BG234" i="1"/>
  <c r="BG228" i="1"/>
  <c r="BG222" i="1"/>
  <c r="BG216" i="1"/>
  <c r="BG272" i="1"/>
  <c r="BG255" i="1"/>
  <c r="BG251" i="1"/>
  <c r="BG284" i="1"/>
  <c r="BG279" i="1"/>
  <c r="BG209" i="1"/>
  <c r="BG203" i="1"/>
  <c r="BG223" i="1"/>
  <c r="BG224" i="1"/>
  <c r="BG236" i="1"/>
  <c r="BG214" i="1"/>
  <c r="BG207" i="1"/>
  <c r="BG201" i="1"/>
  <c r="BG241" i="1"/>
  <c r="BG217" i="1"/>
  <c r="BG264" i="1"/>
  <c r="BG242" i="1"/>
  <c r="BG230" i="1"/>
  <c r="BG218" i="1"/>
  <c r="BG206" i="1"/>
  <c r="BG200" i="1"/>
  <c r="BG194" i="1"/>
  <c r="BG188" i="1"/>
  <c r="BG182" i="1"/>
  <c r="BG258" i="1"/>
  <c r="BG235" i="1"/>
  <c r="BG180" i="1"/>
  <c r="BG204" i="1"/>
  <c r="BG184" i="1"/>
  <c r="BG211" i="1"/>
  <c r="BG208" i="1"/>
  <c r="BG197" i="1"/>
  <c r="BG192" i="1"/>
  <c r="BG248" i="1"/>
  <c r="BG220" i="1"/>
  <c r="BG181" i="1"/>
  <c r="BG172" i="1"/>
  <c r="BG166" i="1"/>
  <c r="BG160" i="1"/>
  <c r="BG154" i="1"/>
  <c r="BG148" i="1"/>
  <c r="BG142" i="1"/>
  <c r="BG136" i="1"/>
  <c r="BG130" i="1"/>
  <c r="BG185" i="1"/>
  <c r="BG213" i="1"/>
  <c r="BG190" i="1"/>
  <c r="BG210" i="1"/>
  <c r="BG198" i="1"/>
  <c r="BG187" i="1"/>
  <c r="BG183" i="1"/>
  <c r="BG202" i="1"/>
  <c r="BG169" i="1"/>
  <c r="BG167" i="1"/>
  <c r="BG147" i="1"/>
  <c r="BG133" i="1"/>
  <c r="BG176" i="1"/>
  <c r="BG150" i="1"/>
  <c r="BG199" i="1"/>
  <c r="BG193" i="1"/>
  <c r="BG205" i="1"/>
  <c r="BG171" i="1"/>
  <c r="BG146" i="1"/>
  <c r="BG138" i="1"/>
  <c r="BG191" i="1"/>
  <c r="BG189" i="1"/>
  <c r="BG164" i="1"/>
  <c r="BG163" i="1"/>
  <c r="BG162" i="1"/>
  <c r="BG152" i="1"/>
  <c r="BG125" i="1"/>
  <c r="BG119" i="1"/>
  <c r="BG113" i="1"/>
  <c r="BG186" i="1"/>
  <c r="BG175" i="1"/>
  <c r="BG170" i="1"/>
  <c r="BG149" i="1"/>
  <c r="BG135" i="1"/>
  <c r="BG131" i="1"/>
  <c r="BG215" i="1"/>
  <c r="BG145" i="1"/>
  <c r="BG143" i="1"/>
  <c r="BG128" i="1"/>
  <c r="BG179" i="1"/>
  <c r="BG177" i="1"/>
  <c r="BG151" i="1"/>
  <c r="BG196" i="1"/>
  <c r="BG158" i="1"/>
  <c r="BG157" i="1"/>
  <c r="BG140" i="1"/>
  <c r="BG165" i="1"/>
  <c r="BG134" i="1"/>
  <c r="BG102" i="1"/>
  <c r="BG91" i="1"/>
  <c r="BG159" i="1"/>
  <c r="BG123" i="1"/>
  <c r="BG116" i="1"/>
  <c r="BG101" i="1"/>
  <c r="BG80" i="1"/>
  <c r="BG69" i="1"/>
  <c r="BG156" i="1"/>
  <c r="BG118" i="1"/>
  <c r="BG117" i="1"/>
  <c r="BG111" i="1"/>
  <c r="BG100" i="1"/>
  <c r="BG79" i="1"/>
  <c r="BG89" i="1"/>
  <c r="BG78" i="1"/>
  <c r="BG115" i="1"/>
  <c r="BG112" i="1"/>
  <c r="BG88" i="1"/>
  <c r="BG77" i="1"/>
  <c r="BG173" i="1"/>
  <c r="BG141" i="1"/>
  <c r="BG139" i="1"/>
  <c r="BG129" i="1"/>
  <c r="BG108" i="1"/>
  <c r="BG98" i="1"/>
  <c r="BG87" i="1"/>
  <c r="BG120" i="1"/>
  <c r="BG97" i="1"/>
  <c r="BG86" i="1"/>
  <c r="BG168" i="1"/>
  <c r="BG137" i="1"/>
  <c r="BG121" i="1"/>
  <c r="BG107" i="1"/>
  <c r="BG96" i="1"/>
  <c r="BG85" i="1"/>
  <c r="BG155" i="1"/>
  <c r="BG153" i="1"/>
  <c r="BG122" i="1"/>
  <c r="BG114" i="1"/>
  <c r="BG106" i="1"/>
  <c r="BG95" i="1"/>
  <c r="BG84" i="1"/>
  <c r="BG73" i="1"/>
  <c r="BG132" i="1"/>
  <c r="BG105" i="1"/>
  <c r="BG94" i="1"/>
  <c r="BG83" i="1"/>
  <c r="BG174" i="1"/>
  <c r="BG126" i="1"/>
  <c r="BG104" i="1"/>
  <c r="BG93" i="1"/>
  <c r="BG103" i="1"/>
  <c r="BG66" i="1"/>
  <c r="BG64" i="1"/>
  <c r="BG53" i="1"/>
  <c r="BG43" i="1"/>
  <c r="BG52" i="1"/>
  <c r="BG62" i="1"/>
  <c r="BG51" i="1"/>
  <c r="BG42" i="1"/>
  <c r="BG36" i="1"/>
  <c r="BG30" i="1"/>
  <c r="BG24" i="1"/>
  <c r="BG18" i="1"/>
  <c r="BG12" i="1"/>
  <c r="BG67" i="1"/>
  <c r="BG92" i="1"/>
  <c r="BG74" i="1"/>
  <c r="BG70" i="1"/>
  <c r="BG60" i="1"/>
  <c r="BG49" i="1"/>
  <c r="BG41" i="1"/>
  <c r="BG35" i="1"/>
  <c r="BG29" i="1"/>
  <c r="BG23" i="1"/>
  <c r="BG17" i="1"/>
  <c r="BG82" i="1"/>
  <c r="BG59" i="1"/>
  <c r="BG48" i="1"/>
  <c r="BG58" i="1"/>
  <c r="BG47" i="1"/>
  <c r="BG40" i="1"/>
  <c r="BG28" i="1"/>
  <c r="BG22" i="1"/>
  <c r="BG16" i="1"/>
  <c r="BG10" i="1"/>
  <c r="BG124" i="1"/>
  <c r="BG76" i="1"/>
  <c r="BG68" i="1"/>
  <c r="BG57" i="1"/>
  <c r="BG56" i="1"/>
  <c r="BG75" i="1"/>
  <c r="BG71" i="1"/>
  <c r="BG65" i="1"/>
  <c r="BG38" i="1"/>
  <c r="BG32" i="1"/>
  <c r="BG26" i="1"/>
  <c r="BG20" i="1"/>
  <c r="BG14" i="1"/>
  <c r="BG21" i="1"/>
  <c r="BG31" i="1"/>
  <c r="BG55" i="1"/>
  <c r="BG50" i="1"/>
  <c r="BG25" i="1"/>
  <c r="BG27" i="1"/>
  <c r="BG19" i="1"/>
  <c r="BG46" i="1"/>
  <c r="BG11" i="1"/>
  <c r="BG9" i="1"/>
  <c r="BG33" i="1"/>
  <c r="BG15" i="1"/>
  <c r="BG13" i="1"/>
  <c r="BG61" i="1"/>
  <c r="BG37" i="1"/>
  <c r="BF348" i="1"/>
  <c r="BF603" i="1"/>
  <c r="BF280" i="1"/>
  <c r="BF34" i="1"/>
  <c r="BF586" i="1"/>
  <c r="BF671" i="1"/>
  <c r="BE109" i="1"/>
  <c r="BF54" i="1"/>
  <c r="BF90" i="1"/>
  <c r="BF246" i="1"/>
  <c r="BF620" i="1"/>
  <c r="BG99" i="1" l="1"/>
  <c r="BG144" i="1"/>
  <c r="BG297" i="1"/>
  <c r="BG365" i="1"/>
  <c r="BG45" i="1"/>
  <c r="BG110" i="1"/>
  <c r="BE7" i="1"/>
  <c r="BG695" i="1"/>
  <c r="BE8" i="1"/>
  <c r="BE5" i="1"/>
  <c r="BG501" i="1"/>
  <c r="BG586" i="1"/>
  <c r="BG39" i="1"/>
  <c r="BG331" i="1"/>
  <c r="BG552" i="1"/>
  <c r="BI6" i="1"/>
  <c r="BJ4" i="1"/>
  <c r="BG229" i="1"/>
  <c r="BG280" i="1"/>
  <c r="BH703" i="1"/>
  <c r="BH698" i="1"/>
  <c r="BH694" i="1"/>
  <c r="BH697" i="1"/>
  <c r="BH691" i="1"/>
  <c r="BH686" i="1"/>
  <c r="BH702" i="1"/>
  <c r="BH700" i="1"/>
  <c r="BH699" i="1"/>
  <c r="BH696" i="1"/>
  <c r="BH701" i="1"/>
  <c r="BH690" i="1"/>
  <c r="BH693" i="1"/>
  <c r="BH676" i="1"/>
  <c r="BH680" i="1"/>
  <c r="BH677" i="1"/>
  <c r="BH675" i="1"/>
  <c r="BH688" i="1"/>
  <c r="BH687" i="1"/>
  <c r="BH692" i="1"/>
  <c r="BH685" i="1"/>
  <c r="BH678" i="1"/>
  <c r="BH684" i="1"/>
  <c r="BH683" i="1"/>
  <c r="BH681" i="1"/>
  <c r="BH673" i="1"/>
  <c r="BH672" i="1"/>
  <c r="BH667" i="1"/>
  <c r="BH665" i="1"/>
  <c r="BH668" i="1"/>
  <c r="BH674" i="1"/>
  <c r="BH661" i="1"/>
  <c r="BH658" i="1"/>
  <c r="BH669" i="1"/>
  <c r="BH682" i="1"/>
  <c r="BH657" i="1"/>
  <c r="BH670" i="1"/>
  <c r="BH679" i="1"/>
  <c r="BH655" i="1"/>
  <c r="BH644" i="1"/>
  <c r="BH659" i="1"/>
  <c r="BH664" i="1"/>
  <c r="BH663" i="1"/>
  <c r="BH660" i="1"/>
  <c r="BH662" i="1"/>
  <c r="BH656" i="1"/>
  <c r="BH652" i="1"/>
  <c r="BH636" i="1"/>
  <c r="BH653" i="1"/>
  <c r="BH645" i="1"/>
  <c r="BH650" i="1"/>
  <c r="BH648" i="1"/>
  <c r="BH630" i="1"/>
  <c r="BH666" i="1"/>
  <c r="BH651" i="1"/>
  <c r="BH631" i="1"/>
  <c r="BH627" i="1"/>
  <c r="BH643" i="1"/>
  <c r="BH635" i="1"/>
  <c r="BH626" i="1"/>
  <c r="BH632" i="1"/>
  <c r="BH617" i="1"/>
  <c r="BH641" i="1"/>
  <c r="BH646" i="1"/>
  <c r="BH639" i="1"/>
  <c r="BH625" i="1"/>
  <c r="BH624" i="1"/>
  <c r="BH642" i="1"/>
  <c r="BH618" i="1"/>
  <c r="BH634" i="1"/>
  <c r="BH628" i="1"/>
  <c r="BH622" i="1"/>
  <c r="BH633" i="1"/>
  <c r="BH649" i="1"/>
  <c r="BH647" i="1"/>
  <c r="BH640" i="1"/>
  <c r="BH623" i="1"/>
  <c r="BH609" i="1"/>
  <c r="BH606" i="1"/>
  <c r="BH638" i="1"/>
  <c r="BH616" i="1"/>
  <c r="BH629" i="1"/>
  <c r="BH611" i="1"/>
  <c r="BH619" i="1"/>
  <c r="BH613" i="1"/>
  <c r="BH615" i="1"/>
  <c r="BH612" i="1"/>
  <c r="BH605" i="1"/>
  <c r="BH621" i="1"/>
  <c r="BH614" i="1"/>
  <c r="BH610" i="1"/>
  <c r="BH600" i="1"/>
  <c r="BH592" i="1"/>
  <c r="BH588" i="1"/>
  <c r="BH604" i="1"/>
  <c r="BH596" i="1"/>
  <c r="BH590" i="1"/>
  <c r="BH607" i="1"/>
  <c r="BH597" i="1"/>
  <c r="BH594" i="1"/>
  <c r="BH602" i="1"/>
  <c r="BH598" i="1"/>
  <c r="BH599" i="1"/>
  <c r="BH595" i="1"/>
  <c r="BH593" i="1"/>
  <c r="BH585" i="1"/>
  <c r="BH591" i="1"/>
  <c r="BH580" i="1"/>
  <c r="BH608" i="1"/>
  <c r="BH584" i="1"/>
  <c r="BH601" i="1"/>
  <c r="BH582" i="1"/>
  <c r="BH579" i="1"/>
  <c r="BH577" i="1"/>
  <c r="BH576" i="1"/>
  <c r="BH575" i="1"/>
  <c r="BH581" i="1"/>
  <c r="BH568" i="1"/>
  <c r="BH578" i="1"/>
  <c r="BH571" i="1"/>
  <c r="BH583" i="1"/>
  <c r="BH570" i="1"/>
  <c r="BH574" i="1"/>
  <c r="BH556" i="1"/>
  <c r="BH549" i="1"/>
  <c r="BH543" i="1"/>
  <c r="BH560" i="1"/>
  <c r="BH587" i="1"/>
  <c r="BH573" i="1"/>
  <c r="BH589" i="1"/>
  <c r="BH553" i="1"/>
  <c r="BH564" i="1"/>
  <c r="BH561" i="1"/>
  <c r="BH557" i="1"/>
  <c r="BH565" i="1"/>
  <c r="BH563" i="1"/>
  <c r="BH562" i="1"/>
  <c r="BH567" i="1"/>
  <c r="BH554" i="1"/>
  <c r="BH546" i="1"/>
  <c r="BH544" i="1"/>
  <c r="BH572" i="1"/>
  <c r="BH548" i="1"/>
  <c r="BH539" i="1"/>
  <c r="BH558" i="1"/>
  <c r="BH555" i="1"/>
  <c r="BH550" i="1"/>
  <c r="BH547" i="1"/>
  <c r="BH545" i="1"/>
  <c r="BH566" i="1"/>
  <c r="BH551" i="1"/>
  <c r="BH542" i="1"/>
  <c r="BH538" i="1"/>
  <c r="BH532" i="1"/>
  <c r="BH526" i="1"/>
  <c r="BH536" i="1"/>
  <c r="BH530" i="1"/>
  <c r="BH515" i="1"/>
  <c r="BH511" i="1"/>
  <c r="BH541" i="1"/>
  <c r="BH540" i="1"/>
  <c r="BH527" i="1"/>
  <c r="BH523" i="1"/>
  <c r="BH508" i="1"/>
  <c r="BH504" i="1"/>
  <c r="BH531" i="1"/>
  <c r="BH537" i="1"/>
  <c r="BH534" i="1"/>
  <c r="BH559" i="1"/>
  <c r="BH528" i="1"/>
  <c r="BH533" i="1"/>
  <c r="BH525" i="1"/>
  <c r="BH529" i="1"/>
  <c r="BH514" i="1"/>
  <c r="BH510" i="1"/>
  <c r="BH503" i="1"/>
  <c r="BH502" i="1"/>
  <c r="BH500" i="1"/>
  <c r="BH496" i="1"/>
  <c r="BH517" i="1"/>
  <c r="BH505" i="1"/>
  <c r="BH522" i="1"/>
  <c r="BH521" i="1"/>
  <c r="BH520" i="1"/>
  <c r="BH506" i="1"/>
  <c r="BH497" i="1"/>
  <c r="BH482" i="1"/>
  <c r="BH519" i="1"/>
  <c r="BH513" i="1"/>
  <c r="BH494" i="1"/>
  <c r="BH490" i="1"/>
  <c r="BH509" i="1"/>
  <c r="BH516" i="1"/>
  <c r="BH524" i="1"/>
  <c r="BH499" i="1"/>
  <c r="BH512" i="1"/>
  <c r="BH480" i="1"/>
  <c r="BH495" i="1"/>
  <c r="BH488" i="1"/>
  <c r="BH491" i="1"/>
  <c r="BH493" i="1"/>
  <c r="BH478" i="1"/>
  <c r="BH487" i="1"/>
  <c r="BH486" i="1"/>
  <c r="BH507" i="1"/>
  <c r="BH492" i="1"/>
  <c r="BH479" i="1"/>
  <c r="BH485" i="1"/>
  <c r="BH475" i="1"/>
  <c r="BH460" i="1"/>
  <c r="BH454" i="1"/>
  <c r="BH476" i="1"/>
  <c r="BH468" i="1"/>
  <c r="BH463" i="1"/>
  <c r="BH489" i="1"/>
  <c r="BH459" i="1"/>
  <c r="BH453" i="1"/>
  <c r="BH447" i="1"/>
  <c r="BH477" i="1"/>
  <c r="BH474" i="1"/>
  <c r="BH471" i="1"/>
  <c r="BH498" i="1"/>
  <c r="BH458" i="1"/>
  <c r="BH483" i="1"/>
  <c r="BH464" i="1"/>
  <c r="BH457" i="1"/>
  <c r="BH473" i="1"/>
  <c r="BH470" i="1"/>
  <c r="BH465" i="1"/>
  <c r="BH469" i="1"/>
  <c r="BH462" i="1"/>
  <c r="BH461" i="1"/>
  <c r="BH481" i="1"/>
  <c r="BH472" i="1"/>
  <c r="BH455" i="1"/>
  <c r="BH448" i="1"/>
  <c r="BH441" i="1"/>
  <c r="BH429" i="1"/>
  <c r="BH434" i="1"/>
  <c r="BH432" i="1"/>
  <c r="BH423" i="1"/>
  <c r="BH419" i="1"/>
  <c r="BH410" i="1"/>
  <c r="BH404" i="1"/>
  <c r="BH442" i="1"/>
  <c r="BH445" i="1"/>
  <c r="BH443" i="1"/>
  <c r="BH435" i="1"/>
  <c r="BH425" i="1"/>
  <c r="BH428" i="1"/>
  <c r="BH420" i="1"/>
  <c r="BH436" i="1"/>
  <c r="BH431" i="1"/>
  <c r="BH438" i="1"/>
  <c r="BH424" i="1"/>
  <c r="BH456" i="1"/>
  <c r="BH444" i="1"/>
  <c r="BH427" i="1"/>
  <c r="BH446" i="1"/>
  <c r="BH439" i="1"/>
  <c r="BH430" i="1"/>
  <c r="BH452" i="1"/>
  <c r="BH440" i="1"/>
  <c r="BH422" i="1"/>
  <c r="BH418" i="1"/>
  <c r="BH466" i="1"/>
  <c r="BH451" i="1"/>
  <c r="BH426" i="1"/>
  <c r="BH449" i="1"/>
  <c r="BH421" i="1"/>
  <c r="BH411" i="1"/>
  <c r="BH402" i="1"/>
  <c r="BH412" i="1"/>
  <c r="BH405" i="1"/>
  <c r="BH394" i="1"/>
  <c r="BH391" i="1"/>
  <c r="BH398" i="1"/>
  <c r="BH408" i="1"/>
  <c r="BH401" i="1"/>
  <c r="BH413" i="1"/>
  <c r="BH409" i="1"/>
  <c r="BH407" i="1"/>
  <c r="BH395" i="1"/>
  <c r="BH389" i="1"/>
  <c r="BH437" i="1"/>
  <c r="BH417" i="1"/>
  <c r="BH388" i="1"/>
  <c r="BH403" i="1"/>
  <c r="BH400" i="1"/>
  <c r="BH396" i="1"/>
  <c r="BH406" i="1"/>
  <c r="BH397" i="1"/>
  <c r="BH378" i="1"/>
  <c r="BH370" i="1"/>
  <c r="BH371" i="1"/>
  <c r="BH379" i="1"/>
  <c r="BH415" i="1"/>
  <c r="BH380" i="1"/>
  <c r="BH372" i="1"/>
  <c r="BH369" i="1"/>
  <c r="BH366" i="1"/>
  <c r="BH383" i="1"/>
  <c r="BH381" i="1"/>
  <c r="BH360" i="1"/>
  <c r="BH414" i="1"/>
  <c r="BH392" i="1"/>
  <c r="BH374" i="1"/>
  <c r="BH367" i="1"/>
  <c r="BH364" i="1"/>
  <c r="BH358" i="1"/>
  <c r="BH387" i="1"/>
  <c r="BH376" i="1"/>
  <c r="BH386" i="1"/>
  <c r="BH385" i="1"/>
  <c r="BH377" i="1"/>
  <c r="BH393" i="1"/>
  <c r="BH390" i="1"/>
  <c r="BH384" i="1"/>
  <c r="BH363" i="1"/>
  <c r="BH362" i="1"/>
  <c r="BH352" i="1"/>
  <c r="BH349" i="1"/>
  <c r="BH334" i="1"/>
  <c r="BH353" i="1"/>
  <c r="BH342" i="1"/>
  <c r="BH338" i="1"/>
  <c r="BH323" i="1"/>
  <c r="BH317" i="1"/>
  <c r="BH361" i="1"/>
  <c r="BH357" i="1"/>
  <c r="BH354" i="1"/>
  <c r="BH346" i="1"/>
  <c r="BH327" i="1"/>
  <c r="BH356" i="1"/>
  <c r="BH350" i="1"/>
  <c r="BH335" i="1"/>
  <c r="BH373" i="1"/>
  <c r="BH339" i="1"/>
  <c r="BH324" i="1"/>
  <c r="BH368" i="1"/>
  <c r="BH359" i="1"/>
  <c r="BH347" i="1"/>
  <c r="BH343" i="1"/>
  <c r="BH328" i="1"/>
  <c r="BH315" i="1"/>
  <c r="BH336" i="1"/>
  <c r="BH332" i="1"/>
  <c r="BH340" i="1"/>
  <c r="BH321" i="1"/>
  <c r="BH320" i="1"/>
  <c r="BH355" i="1"/>
  <c r="BH344" i="1"/>
  <c r="BH329" i="1"/>
  <c r="BH325" i="1"/>
  <c r="BH341" i="1"/>
  <c r="BH337" i="1"/>
  <c r="BH322" i="1"/>
  <c r="BH326" i="1"/>
  <c r="BH319" i="1"/>
  <c r="BH318" i="1"/>
  <c r="BH302" i="1"/>
  <c r="BH289" i="1"/>
  <c r="BH283" i="1"/>
  <c r="BH277" i="1"/>
  <c r="BH271" i="1"/>
  <c r="BH316" i="1"/>
  <c r="BH300" i="1"/>
  <c r="BH304" i="1"/>
  <c r="BH296" i="1"/>
  <c r="BH345" i="1"/>
  <c r="BH313" i="1"/>
  <c r="BH299" i="1"/>
  <c r="BH293" i="1"/>
  <c r="BH287" i="1"/>
  <c r="BH281" i="1"/>
  <c r="BH275" i="1"/>
  <c r="BH269" i="1"/>
  <c r="BH375" i="1"/>
  <c r="BH305" i="1"/>
  <c r="BH294" i="1"/>
  <c r="BH330" i="1"/>
  <c r="BH292" i="1"/>
  <c r="BH286" i="1"/>
  <c r="BH351" i="1"/>
  <c r="BH311" i="1"/>
  <c r="BH310" i="1"/>
  <c r="BH309" i="1"/>
  <c r="BH308" i="1"/>
  <c r="BH307" i="1"/>
  <c r="BH306" i="1"/>
  <c r="BH298" i="1"/>
  <c r="BH295" i="1"/>
  <c r="BH291" i="1"/>
  <c r="BH290" i="1"/>
  <c r="BH284" i="1"/>
  <c r="BH333" i="1"/>
  <c r="BH312" i="1"/>
  <c r="BH301" i="1"/>
  <c r="BH303" i="1"/>
  <c r="BH266" i="1"/>
  <c r="BH267" i="1"/>
  <c r="BH252" i="1"/>
  <c r="BH244" i="1"/>
  <c r="BH238" i="1"/>
  <c r="BH260" i="1"/>
  <c r="BH256" i="1"/>
  <c r="BH285" i="1"/>
  <c r="BH265" i="1"/>
  <c r="BH249" i="1"/>
  <c r="BH243" i="1"/>
  <c r="BH237" i="1"/>
  <c r="BH282" i="1"/>
  <c r="BH253" i="1"/>
  <c r="BH261" i="1"/>
  <c r="BH257" i="1"/>
  <c r="BH248" i="1"/>
  <c r="BH242" i="1"/>
  <c r="BH236" i="1"/>
  <c r="BH279" i="1"/>
  <c r="BH264" i="1"/>
  <c r="BH276" i="1"/>
  <c r="BH274" i="1"/>
  <c r="BH258" i="1"/>
  <c r="BH288" i="1"/>
  <c r="BH272" i="1"/>
  <c r="BH255" i="1"/>
  <c r="BH251" i="1"/>
  <c r="BH270" i="1"/>
  <c r="BH259" i="1"/>
  <c r="BH245" i="1"/>
  <c r="BH234" i="1"/>
  <c r="BH227" i="1"/>
  <c r="BH239" i="1"/>
  <c r="BH209" i="1"/>
  <c r="BH203" i="1"/>
  <c r="BH231" i="1"/>
  <c r="BH222" i="1"/>
  <c r="BH213" i="1"/>
  <c r="BH262" i="1"/>
  <c r="BH224" i="1"/>
  <c r="BH226" i="1"/>
  <c r="BH216" i="1"/>
  <c r="BH214" i="1"/>
  <c r="BH207" i="1"/>
  <c r="BH241" i="1"/>
  <c r="BH217" i="1"/>
  <c r="BH230" i="1"/>
  <c r="BH228" i="1"/>
  <c r="BH218" i="1"/>
  <c r="BH206" i="1"/>
  <c r="BH278" i="1"/>
  <c r="BH273" i="1"/>
  <c r="BH268" i="1"/>
  <c r="BH247" i="1"/>
  <c r="BH235" i="1"/>
  <c r="BH233" i="1"/>
  <c r="BH215" i="1"/>
  <c r="BH250" i="1"/>
  <c r="BH232" i="1"/>
  <c r="BH219" i="1"/>
  <c r="BH240" i="1"/>
  <c r="BH225" i="1"/>
  <c r="BH204" i="1"/>
  <c r="BH194" i="1"/>
  <c r="BH184" i="1"/>
  <c r="BH173" i="1"/>
  <c r="BH167" i="1"/>
  <c r="BH211" i="1"/>
  <c r="BH208" i="1"/>
  <c r="BH197" i="1"/>
  <c r="BH192" i="1"/>
  <c r="BH188" i="1"/>
  <c r="BH223" i="1"/>
  <c r="BH220" i="1"/>
  <c r="BH181" i="1"/>
  <c r="BH172" i="1"/>
  <c r="BH166" i="1"/>
  <c r="BH160" i="1"/>
  <c r="BH154" i="1"/>
  <c r="BH148" i="1"/>
  <c r="BH185" i="1"/>
  <c r="BH193" i="1"/>
  <c r="BH189" i="1"/>
  <c r="BH177" i="1"/>
  <c r="BH254" i="1"/>
  <c r="BH201" i="1"/>
  <c r="BH179" i="1"/>
  <c r="BH175" i="1"/>
  <c r="BH169" i="1"/>
  <c r="BH202" i="1"/>
  <c r="BH191" i="1"/>
  <c r="BH174" i="1"/>
  <c r="BH176" i="1"/>
  <c r="BH153" i="1"/>
  <c r="BH141" i="1"/>
  <c r="BH137" i="1"/>
  <c r="BH121" i="1"/>
  <c r="BH115" i="1"/>
  <c r="BH199" i="1"/>
  <c r="BH198" i="1"/>
  <c r="BH156" i="1"/>
  <c r="BH134" i="1"/>
  <c r="BH130" i="1"/>
  <c r="BH126" i="1"/>
  <c r="BH205" i="1"/>
  <c r="BH164" i="1"/>
  <c r="BH163" i="1"/>
  <c r="BH162" i="1"/>
  <c r="BH152" i="1"/>
  <c r="BH142" i="1"/>
  <c r="BH125" i="1"/>
  <c r="BH119" i="1"/>
  <c r="BH210" i="1"/>
  <c r="BH190" i="1"/>
  <c r="BH186" i="1"/>
  <c r="BH170" i="1"/>
  <c r="BH149" i="1"/>
  <c r="BH135" i="1"/>
  <c r="BH131" i="1"/>
  <c r="BH187" i="1"/>
  <c r="BH168" i="1"/>
  <c r="BH155" i="1"/>
  <c r="BH139" i="1"/>
  <c r="BH180" i="1"/>
  <c r="BH151" i="1"/>
  <c r="BH132" i="1"/>
  <c r="BH196" i="1"/>
  <c r="BH158" i="1"/>
  <c r="BH157" i="1"/>
  <c r="BH165" i="1"/>
  <c r="BH159" i="1"/>
  <c r="BH221" i="1"/>
  <c r="BH183" i="1"/>
  <c r="BH123" i="1"/>
  <c r="BH116" i="1"/>
  <c r="BH101" i="1"/>
  <c r="BH80" i="1"/>
  <c r="BH118" i="1"/>
  <c r="BH117" i="1"/>
  <c r="BH111" i="1"/>
  <c r="BH100" i="1"/>
  <c r="BH79" i="1"/>
  <c r="BH68" i="1"/>
  <c r="BH128" i="1"/>
  <c r="BH89" i="1"/>
  <c r="BH78" i="1"/>
  <c r="BH150" i="1"/>
  <c r="BH143" i="1"/>
  <c r="BH112" i="1"/>
  <c r="BH88" i="1"/>
  <c r="BH77" i="1"/>
  <c r="BH129" i="1"/>
  <c r="BH108" i="1"/>
  <c r="BH98" i="1"/>
  <c r="BH87" i="1"/>
  <c r="BH76" i="1"/>
  <c r="BH182" i="1"/>
  <c r="BH145" i="1"/>
  <c r="BH140" i="1"/>
  <c r="BH133" i="1"/>
  <c r="BH120" i="1"/>
  <c r="BH97" i="1"/>
  <c r="BH86" i="1"/>
  <c r="BH138" i="1"/>
  <c r="BH136" i="1"/>
  <c r="BH107" i="1"/>
  <c r="BH96" i="1"/>
  <c r="BH85" i="1"/>
  <c r="BH171" i="1"/>
  <c r="BH122" i="1"/>
  <c r="BH114" i="1"/>
  <c r="BH106" i="1"/>
  <c r="BH95" i="1"/>
  <c r="BH84" i="1"/>
  <c r="BH146" i="1"/>
  <c r="BH105" i="1"/>
  <c r="BH94" i="1"/>
  <c r="BH83" i="1"/>
  <c r="BH104" i="1"/>
  <c r="BH93" i="1"/>
  <c r="BH82" i="1"/>
  <c r="BH200" i="1"/>
  <c r="BH147" i="1"/>
  <c r="BH124" i="1"/>
  <c r="BH103" i="1"/>
  <c r="BH92" i="1"/>
  <c r="BH69" i="1"/>
  <c r="BH53" i="1"/>
  <c r="BH43" i="1"/>
  <c r="BH37" i="1"/>
  <c r="BH31" i="1"/>
  <c r="BH25" i="1"/>
  <c r="BH19" i="1"/>
  <c r="BH13" i="1"/>
  <c r="BH52" i="1"/>
  <c r="BH113" i="1"/>
  <c r="BH62" i="1"/>
  <c r="BH51" i="1"/>
  <c r="BH42" i="1"/>
  <c r="BH36" i="1"/>
  <c r="BH30" i="1"/>
  <c r="BH24" i="1"/>
  <c r="BH18" i="1"/>
  <c r="BH12" i="1"/>
  <c r="BH67" i="1"/>
  <c r="BH61" i="1"/>
  <c r="BH50" i="1"/>
  <c r="BH74" i="1"/>
  <c r="BH70" i="1"/>
  <c r="BH59" i="1"/>
  <c r="BH48" i="1"/>
  <c r="BH102" i="1"/>
  <c r="BH58" i="1"/>
  <c r="BH47" i="1"/>
  <c r="BH40" i="1"/>
  <c r="BH28" i="1"/>
  <c r="BH22" i="1"/>
  <c r="BH57" i="1"/>
  <c r="BH46" i="1"/>
  <c r="BH56" i="1"/>
  <c r="BH75" i="1"/>
  <c r="BH71" i="1"/>
  <c r="BH55" i="1"/>
  <c r="BH65" i="1"/>
  <c r="BH91" i="1"/>
  <c r="BH73" i="1"/>
  <c r="BH66" i="1"/>
  <c r="BH64" i="1"/>
  <c r="BH32" i="1"/>
  <c r="BH21" i="1"/>
  <c r="BH10" i="1"/>
  <c r="BH38" i="1"/>
  <c r="BH26" i="1"/>
  <c r="BH41" i="1"/>
  <c r="BH17" i="1"/>
  <c r="BH20" i="1"/>
  <c r="BH60" i="1"/>
  <c r="BH35" i="1"/>
  <c r="BH29" i="1"/>
  <c r="BH49" i="1"/>
  <c r="BH11" i="1"/>
  <c r="BH9" i="1"/>
  <c r="BH33" i="1"/>
  <c r="BH23" i="1"/>
  <c r="BH15" i="1"/>
  <c r="BH27" i="1"/>
  <c r="BH16" i="1"/>
  <c r="BH14" i="1"/>
  <c r="BG161" i="1"/>
  <c r="BG603" i="1"/>
  <c r="BG246" i="1"/>
  <c r="BG399" i="1"/>
  <c r="BG72" i="1"/>
  <c r="BG263" i="1"/>
  <c r="BG348" i="1"/>
  <c r="BG54" i="1"/>
  <c r="BG63" i="1"/>
  <c r="BG195" i="1"/>
  <c r="BG637" i="1"/>
  <c r="BG81" i="1"/>
  <c r="BG314" i="1"/>
  <c r="BG450" i="1"/>
  <c r="BG620" i="1"/>
  <c r="BG433" i="1"/>
  <c r="BG467" i="1"/>
  <c r="BG518" i="1"/>
  <c r="BG654" i="1"/>
  <c r="BG178" i="1"/>
  <c r="BG416" i="1"/>
  <c r="BG484" i="1"/>
  <c r="BF44" i="1"/>
  <c r="BF7" i="1" s="1"/>
  <c r="BG127" i="1"/>
  <c r="BG535" i="1"/>
  <c r="BG569" i="1"/>
  <c r="BG34" i="1"/>
  <c r="BG90" i="1"/>
  <c r="BG212" i="1"/>
  <c r="BG382" i="1"/>
  <c r="BG671" i="1"/>
  <c r="BG689" i="1"/>
  <c r="BF109" i="1"/>
  <c r="BG109" i="1" l="1"/>
  <c r="BH54" i="1"/>
  <c r="BH195" i="1"/>
  <c r="BH331" i="1"/>
  <c r="BH433" i="1"/>
  <c r="BH552" i="1"/>
  <c r="BH603" i="1"/>
  <c r="BH246" i="1"/>
  <c r="BH695" i="1"/>
  <c r="BG44" i="1"/>
  <c r="BG7" i="1" s="1"/>
  <c r="BF8" i="1"/>
  <c r="BF5" i="1"/>
  <c r="BH348" i="1"/>
  <c r="BH416" i="1"/>
  <c r="BJ6" i="1"/>
  <c r="BK4" i="1"/>
  <c r="BH314" i="1"/>
  <c r="BH467" i="1"/>
  <c r="BH501" i="1"/>
  <c r="BI700" i="1"/>
  <c r="BI694" i="1"/>
  <c r="BI688" i="1"/>
  <c r="BI699" i="1"/>
  <c r="BI703" i="1"/>
  <c r="BI682" i="1"/>
  <c r="BI697" i="1"/>
  <c r="BI702" i="1"/>
  <c r="BI696" i="1"/>
  <c r="BI695" i="1" s="1"/>
  <c r="BI692" i="1"/>
  <c r="BI701" i="1"/>
  <c r="BI690" i="1"/>
  <c r="BI685" i="1"/>
  <c r="BI683" i="1"/>
  <c r="BI698" i="1"/>
  <c r="BI693" i="1"/>
  <c r="BI680" i="1"/>
  <c r="BI686" i="1"/>
  <c r="BI691" i="1"/>
  <c r="BI687" i="1"/>
  <c r="BI679" i="1"/>
  <c r="BI681" i="1"/>
  <c r="BI673" i="1"/>
  <c r="BI669" i="1"/>
  <c r="BI663" i="1"/>
  <c r="BI657" i="1"/>
  <c r="BI684" i="1"/>
  <c r="BI677" i="1"/>
  <c r="BI668" i="1"/>
  <c r="BI662" i="1"/>
  <c r="BI656" i="1"/>
  <c r="BI675" i="1"/>
  <c r="BI674" i="1"/>
  <c r="BI678" i="1"/>
  <c r="BI661" i="1"/>
  <c r="BI658" i="1"/>
  <c r="BI664" i="1"/>
  <c r="BI676" i="1"/>
  <c r="BI665" i="1"/>
  <c r="BI659" i="1"/>
  <c r="BI652" i="1"/>
  <c r="BI651" i="1"/>
  <c r="BI672" i="1"/>
  <c r="BI644" i="1"/>
  <c r="BI638" i="1"/>
  <c r="BI632" i="1"/>
  <c r="BI650" i="1"/>
  <c r="BI667" i="1"/>
  <c r="BI648" i="1"/>
  <c r="BI642" i="1"/>
  <c r="BI670" i="1"/>
  <c r="BI666" i="1"/>
  <c r="BI653" i="1"/>
  <c r="BI645" i="1"/>
  <c r="BI649" i="1"/>
  <c r="BI646" i="1"/>
  <c r="BI641" i="1"/>
  <c r="BI640" i="1"/>
  <c r="BI634" i="1"/>
  <c r="BI660" i="1"/>
  <c r="BI643" i="1"/>
  <c r="BI635" i="1"/>
  <c r="BI626" i="1"/>
  <c r="BI655" i="1"/>
  <c r="BI639" i="1"/>
  <c r="BI633" i="1"/>
  <c r="BI623" i="1"/>
  <c r="BI611" i="1"/>
  <c r="BI621" i="1"/>
  <c r="BI616" i="1"/>
  <c r="BI610" i="1"/>
  <c r="BI628" i="1"/>
  <c r="BI619" i="1"/>
  <c r="BI631" i="1"/>
  <c r="BI636" i="1"/>
  <c r="BI625" i="1"/>
  <c r="BI624" i="1"/>
  <c r="BI647" i="1"/>
  <c r="BI627" i="1"/>
  <c r="BI609" i="1"/>
  <c r="BI602" i="1"/>
  <c r="BI612" i="1"/>
  <c r="BI608" i="1"/>
  <c r="BI630" i="1"/>
  <c r="BI617" i="1"/>
  <c r="BI613" i="1"/>
  <c r="BI596" i="1"/>
  <c r="BI607" i="1"/>
  <c r="BI615" i="1"/>
  <c r="BI629" i="1"/>
  <c r="BI605" i="1"/>
  <c r="BI622" i="1"/>
  <c r="BI600" i="1"/>
  <c r="BI599" i="1"/>
  <c r="BI593" i="1"/>
  <c r="BI587" i="1"/>
  <c r="BI581" i="1"/>
  <c r="BI618" i="1"/>
  <c r="BI604" i="1"/>
  <c r="BI614" i="1"/>
  <c r="BI597" i="1"/>
  <c r="BI594" i="1"/>
  <c r="BI598" i="1"/>
  <c r="BI585" i="1"/>
  <c r="BI591" i="1"/>
  <c r="BI580" i="1"/>
  <c r="BI574" i="1"/>
  <c r="BI568" i="1"/>
  <c r="BI562" i="1"/>
  <c r="BI556" i="1"/>
  <c r="BI606" i="1"/>
  <c r="BI601" i="1"/>
  <c r="BI592" i="1"/>
  <c r="BI582" i="1"/>
  <c r="BI577" i="1"/>
  <c r="BI571" i="1"/>
  <c r="BI565" i="1"/>
  <c r="BI590" i="1"/>
  <c r="BI584" i="1"/>
  <c r="BI578" i="1"/>
  <c r="BI595" i="1"/>
  <c r="BI589" i="1"/>
  <c r="BI588" i="1"/>
  <c r="BI573" i="1"/>
  <c r="BI570" i="1"/>
  <c r="BI579" i="1"/>
  <c r="BI560" i="1"/>
  <c r="BI548" i="1"/>
  <c r="BI542" i="1"/>
  <c r="BI583" i="1"/>
  <c r="BI564" i="1"/>
  <c r="BI561" i="1"/>
  <c r="BI557" i="1"/>
  <c r="BI547" i="1"/>
  <c r="BI541" i="1"/>
  <c r="BI563" i="1"/>
  <c r="BI566" i="1"/>
  <c r="BI554" i="1"/>
  <c r="BI546" i="1"/>
  <c r="BI576" i="1"/>
  <c r="BI567" i="1"/>
  <c r="BI572" i="1"/>
  <c r="BI544" i="1"/>
  <c r="BI539" i="1"/>
  <c r="BI533" i="1"/>
  <c r="BI527" i="1"/>
  <c r="BI521" i="1"/>
  <c r="BI515" i="1"/>
  <c r="BI509" i="1"/>
  <c r="BI503" i="1"/>
  <c r="BI558" i="1"/>
  <c r="BI555" i="1"/>
  <c r="BI550" i="1"/>
  <c r="BI540" i="1"/>
  <c r="BI536" i="1"/>
  <c r="BI575" i="1"/>
  <c r="BI532" i="1"/>
  <c r="BI526" i="1"/>
  <c r="BI522" i="1"/>
  <c r="BI530" i="1"/>
  <c r="BI549" i="1"/>
  <c r="BI519" i="1"/>
  <c r="BI543" i="1"/>
  <c r="BI531" i="1"/>
  <c r="BI512" i="1"/>
  <c r="BI495" i="1"/>
  <c r="BI489" i="1"/>
  <c r="BI483" i="1"/>
  <c r="BI477" i="1"/>
  <c r="BI537" i="1"/>
  <c r="BI534" i="1"/>
  <c r="BI520" i="1"/>
  <c r="BI559" i="1"/>
  <c r="BI528" i="1"/>
  <c r="BI553" i="1"/>
  <c r="BI551" i="1"/>
  <c r="BI545" i="1"/>
  <c r="BI529" i="1"/>
  <c r="BI538" i="1"/>
  <c r="BI517" i="1"/>
  <c r="BI510" i="1"/>
  <c r="BI508" i="1"/>
  <c r="BI505" i="1"/>
  <c r="BI504" i="1"/>
  <c r="BI525" i="1"/>
  <c r="BI523" i="1"/>
  <c r="BI513" i="1"/>
  <c r="BI486" i="1"/>
  <c r="BI494" i="1"/>
  <c r="BI511" i="1"/>
  <c r="BI498" i="1"/>
  <c r="BI516" i="1"/>
  <c r="BI524" i="1"/>
  <c r="BI507" i="1"/>
  <c r="BI514" i="1"/>
  <c r="BI488" i="1"/>
  <c r="BI502" i="1"/>
  <c r="BI500" i="1"/>
  <c r="BI491" i="1"/>
  <c r="BI496" i="1"/>
  <c r="BI475" i="1"/>
  <c r="BI469" i="1"/>
  <c r="BI463" i="1"/>
  <c r="BI506" i="1"/>
  <c r="BI493" i="1"/>
  <c r="BI474" i="1"/>
  <c r="BI468" i="1"/>
  <c r="BI497" i="1"/>
  <c r="BI492" i="1"/>
  <c r="BI499" i="1"/>
  <c r="BI485" i="1"/>
  <c r="BI482" i="1"/>
  <c r="BI490" i="1"/>
  <c r="BI476" i="1"/>
  <c r="BI487" i="1"/>
  <c r="BI459" i="1"/>
  <c r="BI453" i="1"/>
  <c r="BI447" i="1"/>
  <c r="BI441" i="1"/>
  <c r="BI435" i="1"/>
  <c r="BI429" i="1"/>
  <c r="BI423" i="1"/>
  <c r="BI417" i="1"/>
  <c r="BI478" i="1"/>
  <c r="BI471" i="1"/>
  <c r="BI480" i="1"/>
  <c r="BI458" i="1"/>
  <c r="BI452" i="1"/>
  <c r="BI446" i="1"/>
  <c r="BI440" i="1"/>
  <c r="BI434" i="1"/>
  <c r="BI464" i="1"/>
  <c r="BI457" i="1"/>
  <c r="BI473" i="1"/>
  <c r="BI470" i="1"/>
  <c r="BI465" i="1"/>
  <c r="BI456" i="1"/>
  <c r="BI444" i="1"/>
  <c r="BI438" i="1"/>
  <c r="BI432" i="1"/>
  <c r="BI426" i="1"/>
  <c r="BI479" i="1"/>
  <c r="BI481" i="1"/>
  <c r="BI472" i="1"/>
  <c r="BI466" i="1"/>
  <c r="BI419" i="1"/>
  <c r="BI442" i="1"/>
  <c r="BI445" i="1"/>
  <c r="BI443" i="1"/>
  <c r="BI425" i="1"/>
  <c r="BI454" i="1"/>
  <c r="BI428" i="1"/>
  <c r="BI420" i="1"/>
  <c r="BI436" i="1"/>
  <c r="BI431" i="1"/>
  <c r="BI408" i="1"/>
  <c r="BI449" i="1"/>
  <c r="BI437" i="1"/>
  <c r="BI462" i="1"/>
  <c r="BI427" i="1"/>
  <c r="BI439" i="1"/>
  <c r="BI430" i="1"/>
  <c r="BI414" i="1"/>
  <c r="BI412" i="1"/>
  <c r="BI406" i="1"/>
  <c r="BI400" i="1"/>
  <c r="BI394" i="1"/>
  <c r="BI422" i="1"/>
  <c r="BI451" i="1"/>
  <c r="BI455" i="1"/>
  <c r="BI448" i="1"/>
  <c r="BI415" i="1"/>
  <c r="BI405" i="1"/>
  <c r="BI391" i="1"/>
  <c r="BI385" i="1"/>
  <c r="BI398" i="1"/>
  <c r="BI461" i="1"/>
  <c r="BI390" i="1"/>
  <c r="BI384" i="1"/>
  <c r="BI378" i="1"/>
  <c r="BI372" i="1"/>
  <c r="BI401" i="1"/>
  <c r="BI460" i="1"/>
  <c r="BI413" i="1"/>
  <c r="BI409" i="1"/>
  <c r="BI407" i="1"/>
  <c r="BI404" i="1"/>
  <c r="BI395" i="1"/>
  <c r="BI389" i="1"/>
  <c r="BI383" i="1"/>
  <c r="BI377" i="1"/>
  <c r="BI371" i="1"/>
  <c r="BI418" i="1"/>
  <c r="BI410" i="1"/>
  <c r="BI403" i="1"/>
  <c r="BI396" i="1"/>
  <c r="BI387" i="1"/>
  <c r="BI381" i="1"/>
  <c r="BI375" i="1"/>
  <c r="BI379" i="1"/>
  <c r="BI362" i="1"/>
  <c r="BI361" i="1"/>
  <c r="BI355" i="1"/>
  <c r="BI421" i="1"/>
  <c r="BI388" i="1"/>
  <c r="BI380" i="1"/>
  <c r="BI369" i="1"/>
  <c r="BI360" i="1"/>
  <c r="BI354" i="1"/>
  <c r="BI342" i="1"/>
  <c r="BI336" i="1"/>
  <c r="BI330" i="1"/>
  <c r="BI324" i="1"/>
  <c r="BI373" i="1"/>
  <c r="BI363" i="1"/>
  <c r="BI411" i="1"/>
  <c r="BI392" i="1"/>
  <c r="BI376" i="1"/>
  <c r="BI368" i="1"/>
  <c r="BI386" i="1"/>
  <c r="BI424" i="1"/>
  <c r="BI393" i="1"/>
  <c r="BI402" i="1"/>
  <c r="BI397" i="1"/>
  <c r="BI370" i="1"/>
  <c r="BI356" i="1"/>
  <c r="BI367" i="1"/>
  <c r="BI366" i="1"/>
  <c r="BI364" i="1"/>
  <c r="BI353" i="1"/>
  <c r="BI338" i="1"/>
  <c r="BI323" i="1"/>
  <c r="BI317" i="1"/>
  <c r="BI311" i="1"/>
  <c r="BI305" i="1"/>
  <c r="BI299" i="1"/>
  <c r="BI358" i="1"/>
  <c r="BI357" i="1"/>
  <c r="BI346" i="1"/>
  <c r="BI327" i="1"/>
  <c r="BI350" i="1"/>
  <c r="BI335" i="1"/>
  <c r="BI316" i="1"/>
  <c r="BI310" i="1"/>
  <c r="BI304" i="1"/>
  <c r="BI339" i="1"/>
  <c r="BI359" i="1"/>
  <c r="BI347" i="1"/>
  <c r="BI343" i="1"/>
  <c r="BI328" i="1"/>
  <c r="BI315" i="1"/>
  <c r="BI309" i="1"/>
  <c r="BI332" i="1"/>
  <c r="BI340" i="1"/>
  <c r="BI321" i="1"/>
  <c r="BI320" i="1"/>
  <c r="BI308" i="1"/>
  <c r="BI302" i="1"/>
  <c r="BI296" i="1"/>
  <c r="BI374" i="1"/>
  <c r="BI344" i="1"/>
  <c r="BI329" i="1"/>
  <c r="BI325" i="1"/>
  <c r="BI333" i="1"/>
  <c r="BI319" i="1"/>
  <c r="BI341" i="1"/>
  <c r="BI351" i="1"/>
  <c r="BI345" i="1"/>
  <c r="BI326" i="1"/>
  <c r="BI318" i="1"/>
  <c r="BI312" i="1"/>
  <c r="BI306" i="1"/>
  <c r="BI300" i="1"/>
  <c r="BI334" i="1"/>
  <c r="BI303" i="1"/>
  <c r="BI288" i="1"/>
  <c r="BI282" i="1"/>
  <c r="BI276" i="1"/>
  <c r="BI270" i="1"/>
  <c r="BI264" i="1"/>
  <c r="BI352" i="1"/>
  <c r="BI313" i="1"/>
  <c r="BI293" i="1"/>
  <c r="BI287" i="1"/>
  <c r="BI281" i="1"/>
  <c r="BI275" i="1"/>
  <c r="BI269" i="1"/>
  <c r="BI322" i="1"/>
  <c r="BI294" i="1"/>
  <c r="BI292" i="1"/>
  <c r="BI286" i="1"/>
  <c r="BI349" i="1"/>
  <c r="BI337" i="1"/>
  <c r="BI307" i="1"/>
  <c r="BI298" i="1"/>
  <c r="BI295" i="1"/>
  <c r="BI291" i="1"/>
  <c r="BI285" i="1"/>
  <c r="BI279" i="1"/>
  <c r="BI273" i="1"/>
  <c r="BI267" i="1"/>
  <c r="BI261" i="1"/>
  <c r="BI255" i="1"/>
  <c r="BI249" i="1"/>
  <c r="BI290" i="1"/>
  <c r="BI284" i="1"/>
  <c r="BI301" i="1"/>
  <c r="BI289" i="1"/>
  <c r="BI252" i="1"/>
  <c r="BI244" i="1"/>
  <c r="BI238" i="1"/>
  <c r="BI232" i="1"/>
  <c r="BI226" i="1"/>
  <c r="BI220" i="1"/>
  <c r="BI260" i="1"/>
  <c r="BI256" i="1"/>
  <c r="BI265" i="1"/>
  <c r="BI243" i="1"/>
  <c r="BI237" i="1"/>
  <c r="BI231" i="1"/>
  <c r="BI225" i="1"/>
  <c r="BI253" i="1"/>
  <c r="BI257" i="1"/>
  <c r="BI248" i="1"/>
  <c r="BI242" i="1"/>
  <c r="BI236" i="1"/>
  <c r="BI230" i="1"/>
  <c r="BI224" i="1"/>
  <c r="BI218" i="1"/>
  <c r="BI283" i="1"/>
  <c r="BI278" i="1"/>
  <c r="BI268" i="1"/>
  <c r="BI277" i="1"/>
  <c r="BI262" i="1"/>
  <c r="BI259" i="1"/>
  <c r="BI245" i="1"/>
  <c r="BI239" i="1"/>
  <c r="BI233" i="1"/>
  <c r="BI227" i="1"/>
  <c r="BI221" i="1"/>
  <c r="BI215" i="1"/>
  <c r="BI271" i="1"/>
  <c r="BI266" i="1"/>
  <c r="BI234" i="1"/>
  <c r="BI274" i="1"/>
  <c r="BI222" i="1"/>
  <c r="BI213" i="1"/>
  <c r="BI223" i="1"/>
  <c r="BI208" i="1"/>
  <c r="BI202" i="1"/>
  <c r="BI241" i="1"/>
  <c r="BI217" i="1"/>
  <c r="BI251" i="1"/>
  <c r="BI228" i="1"/>
  <c r="BI206" i="1"/>
  <c r="BI200" i="1"/>
  <c r="BI194" i="1"/>
  <c r="BI247" i="1"/>
  <c r="BI235" i="1"/>
  <c r="BI258" i="1"/>
  <c r="BI250" i="1"/>
  <c r="BI219" i="1"/>
  <c r="BI211" i="1"/>
  <c r="BI205" i="1"/>
  <c r="BI199" i="1"/>
  <c r="BI193" i="1"/>
  <c r="BI187" i="1"/>
  <c r="BI181" i="1"/>
  <c r="BI254" i="1"/>
  <c r="BI240" i="1"/>
  <c r="BI197" i="1"/>
  <c r="BI192" i="1"/>
  <c r="BI188" i="1"/>
  <c r="BI185" i="1"/>
  <c r="BI189" i="1"/>
  <c r="BI177" i="1"/>
  <c r="BI171" i="1"/>
  <c r="BI165" i="1"/>
  <c r="BI159" i="1"/>
  <c r="BI153" i="1"/>
  <c r="BI147" i="1"/>
  <c r="BI141" i="1"/>
  <c r="BI135" i="1"/>
  <c r="BI129" i="1"/>
  <c r="BI196" i="1"/>
  <c r="BI209" i="1"/>
  <c r="BI203" i="1"/>
  <c r="BI216" i="1"/>
  <c r="BI210" i="1"/>
  <c r="BI207" i="1"/>
  <c r="BI198" i="1"/>
  <c r="BI183" i="1"/>
  <c r="BI272" i="1"/>
  <c r="BI180" i="1"/>
  <c r="BI160" i="1"/>
  <c r="BI150" i="1"/>
  <c r="BI174" i="1"/>
  <c r="BI173" i="1"/>
  <c r="BI172" i="1"/>
  <c r="BI146" i="1"/>
  <c r="BI138" i="1"/>
  <c r="BI201" i="1"/>
  <c r="BI214" i="1"/>
  <c r="BI191" i="1"/>
  <c r="BI190" i="1"/>
  <c r="BI186" i="1"/>
  <c r="BI170" i="1"/>
  <c r="BI166" i="1"/>
  <c r="BI149" i="1"/>
  <c r="BI131" i="1"/>
  <c r="BI175" i="1"/>
  <c r="BI168" i="1"/>
  <c r="BI155" i="1"/>
  <c r="BI139" i="1"/>
  <c r="BI124" i="1"/>
  <c r="BI118" i="1"/>
  <c r="BI204" i="1"/>
  <c r="BI184" i="1"/>
  <c r="BI182" i="1"/>
  <c r="BI145" i="1"/>
  <c r="BI143" i="1"/>
  <c r="BI179" i="1"/>
  <c r="BI158" i="1"/>
  <c r="BI157" i="1"/>
  <c r="BI148" i="1"/>
  <c r="BI140" i="1"/>
  <c r="BI136" i="1"/>
  <c r="BI154" i="1"/>
  <c r="BI176" i="1"/>
  <c r="BI169" i="1"/>
  <c r="BI167" i="1"/>
  <c r="BI117" i="1"/>
  <c r="BI111" i="1"/>
  <c r="BI100" i="1"/>
  <c r="BI79" i="1"/>
  <c r="BI156" i="1"/>
  <c r="BI128" i="1"/>
  <c r="BI89" i="1"/>
  <c r="BI78" i="1"/>
  <c r="BI67" i="1"/>
  <c r="BI164" i="1"/>
  <c r="BI152" i="1"/>
  <c r="BI112" i="1"/>
  <c r="BI88" i="1"/>
  <c r="BI77" i="1"/>
  <c r="BI119" i="1"/>
  <c r="BI115" i="1"/>
  <c r="BI108" i="1"/>
  <c r="BI98" i="1"/>
  <c r="BI87" i="1"/>
  <c r="BI76" i="1"/>
  <c r="BI142" i="1"/>
  <c r="BI133" i="1"/>
  <c r="BI120" i="1"/>
  <c r="BI97" i="1"/>
  <c r="BI86" i="1"/>
  <c r="BI75" i="1"/>
  <c r="BI107" i="1"/>
  <c r="BI96" i="1"/>
  <c r="BI85" i="1"/>
  <c r="BI137" i="1"/>
  <c r="BI122" i="1"/>
  <c r="BI121" i="1"/>
  <c r="BI114" i="1"/>
  <c r="BI106" i="1"/>
  <c r="BI95" i="1"/>
  <c r="BI84" i="1"/>
  <c r="BI130" i="1"/>
  <c r="BI105" i="1"/>
  <c r="BI94" i="1"/>
  <c r="BI83" i="1"/>
  <c r="BI162" i="1"/>
  <c r="BI151" i="1"/>
  <c r="BI132" i="1"/>
  <c r="BI104" i="1"/>
  <c r="BI93" i="1"/>
  <c r="BI82" i="1"/>
  <c r="BI126" i="1"/>
  <c r="BI103" i="1"/>
  <c r="BI92" i="1"/>
  <c r="BI125" i="1"/>
  <c r="BI113" i="1"/>
  <c r="BI102" i="1"/>
  <c r="BI91" i="1"/>
  <c r="BI123" i="1"/>
  <c r="BI101" i="1"/>
  <c r="BI52" i="1"/>
  <c r="BI62" i="1"/>
  <c r="BI51" i="1"/>
  <c r="BI42" i="1"/>
  <c r="BI80" i="1"/>
  <c r="BI61" i="1"/>
  <c r="BI50" i="1"/>
  <c r="BI74" i="1"/>
  <c r="BI70" i="1"/>
  <c r="BI60" i="1"/>
  <c r="BI49" i="1"/>
  <c r="BI41" i="1"/>
  <c r="BI35" i="1"/>
  <c r="BI29" i="1"/>
  <c r="BI23" i="1"/>
  <c r="BI17" i="1"/>
  <c r="BI11" i="1"/>
  <c r="BI58" i="1"/>
  <c r="BI47" i="1"/>
  <c r="BI40" i="1"/>
  <c r="BI28" i="1"/>
  <c r="BI22" i="1"/>
  <c r="BI16" i="1"/>
  <c r="BI57" i="1"/>
  <c r="BI46" i="1"/>
  <c r="BI68" i="1"/>
  <c r="BI56" i="1"/>
  <c r="BI33" i="1"/>
  <c r="BI27" i="1"/>
  <c r="BI21" i="1"/>
  <c r="BI15" i="1"/>
  <c r="BI9" i="1"/>
  <c r="BI134" i="1"/>
  <c r="BI71" i="1"/>
  <c r="BI55" i="1"/>
  <c r="BI65" i="1"/>
  <c r="BI38" i="1"/>
  <c r="BI163" i="1"/>
  <c r="BI116" i="1"/>
  <c r="BI73" i="1"/>
  <c r="BI66" i="1"/>
  <c r="BI64" i="1"/>
  <c r="BI69" i="1"/>
  <c r="BI53" i="1"/>
  <c r="BI43" i="1"/>
  <c r="BI37" i="1"/>
  <c r="BI31" i="1"/>
  <c r="BI25" i="1"/>
  <c r="BI19" i="1"/>
  <c r="BI13" i="1"/>
  <c r="BI10" i="1"/>
  <c r="BI26" i="1"/>
  <c r="BI12" i="1"/>
  <c r="BI32" i="1"/>
  <c r="BI20" i="1"/>
  <c r="BI59" i="1"/>
  <c r="BI30" i="1"/>
  <c r="BI24" i="1"/>
  <c r="BI36" i="1"/>
  <c r="BI18" i="1"/>
  <c r="BI14" i="1"/>
  <c r="BI48" i="1"/>
  <c r="BH518" i="1"/>
  <c r="BH586" i="1"/>
  <c r="BH637" i="1"/>
  <c r="BH45" i="1"/>
  <c r="BH178" i="1"/>
  <c r="BH297" i="1"/>
  <c r="BH144" i="1"/>
  <c r="BH212" i="1"/>
  <c r="BH81" i="1"/>
  <c r="BH620" i="1"/>
  <c r="BH63" i="1"/>
  <c r="BH127" i="1"/>
  <c r="BH161" i="1"/>
  <c r="BH484" i="1"/>
  <c r="BH39" i="1"/>
  <c r="BH229" i="1"/>
  <c r="BH280" i="1"/>
  <c r="BH450" i="1"/>
  <c r="BH654" i="1"/>
  <c r="BH671" i="1"/>
  <c r="BH34" i="1"/>
  <c r="BH72" i="1"/>
  <c r="BH382" i="1"/>
  <c r="BH569" i="1"/>
  <c r="BH90" i="1"/>
  <c r="BH99" i="1"/>
  <c r="BH365" i="1"/>
  <c r="BH399" i="1"/>
  <c r="BH110" i="1"/>
  <c r="BH263" i="1"/>
  <c r="BH535" i="1"/>
  <c r="BH689" i="1"/>
  <c r="BI399" i="1" l="1"/>
  <c r="BI467" i="1"/>
  <c r="BI433" i="1"/>
  <c r="BI314" i="1"/>
  <c r="BI212" i="1"/>
  <c r="BI72" i="1"/>
  <c r="BI246" i="1"/>
  <c r="BI382" i="1"/>
  <c r="BI603" i="1"/>
  <c r="BI81" i="1"/>
  <c r="BI280" i="1"/>
  <c r="BI586" i="1"/>
  <c r="BI689" i="1"/>
  <c r="BG8" i="1"/>
  <c r="BG5" i="1"/>
  <c r="BI45" i="1"/>
  <c r="BI34" i="1"/>
  <c r="BI297" i="1"/>
  <c r="BI535" i="1"/>
  <c r="BI54" i="1"/>
  <c r="BI127" i="1"/>
  <c r="BI620" i="1"/>
  <c r="BI637" i="1"/>
  <c r="BL4" i="1"/>
  <c r="BK6" i="1"/>
  <c r="BI90" i="1"/>
  <c r="BI161" i="1"/>
  <c r="BI348" i="1"/>
  <c r="BI263" i="1"/>
  <c r="BJ703" i="1"/>
  <c r="BJ702" i="1"/>
  <c r="BJ690" i="1"/>
  <c r="BJ691" i="1"/>
  <c r="BJ685" i="1"/>
  <c r="BJ700" i="1"/>
  <c r="BJ696" i="1"/>
  <c r="BJ695" i="1" s="1"/>
  <c r="BJ692" i="1"/>
  <c r="BJ701" i="1"/>
  <c r="BJ699" i="1"/>
  <c r="BJ698" i="1"/>
  <c r="BJ679" i="1"/>
  <c r="BJ693" i="1"/>
  <c r="BJ680" i="1"/>
  <c r="BJ677" i="1"/>
  <c r="BJ675" i="1"/>
  <c r="BJ686" i="1"/>
  <c r="BJ684" i="1"/>
  <c r="BJ683" i="1"/>
  <c r="BJ697" i="1"/>
  <c r="BJ694" i="1"/>
  <c r="BJ682" i="1"/>
  <c r="BJ672" i="1"/>
  <c r="BJ688" i="1"/>
  <c r="BJ681" i="1"/>
  <c r="BJ687" i="1"/>
  <c r="BJ678" i="1"/>
  <c r="BJ668" i="1"/>
  <c r="BJ674" i="1"/>
  <c r="BJ669" i="1"/>
  <c r="BJ664" i="1"/>
  <c r="BJ676" i="1"/>
  <c r="BJ673" i="1"/>
  <c r="BJ665" i="1"/>
  <c r="BJ659" i="1"/>
  <c r="BJ652" i="1"/>
  <c r="BJ651" i="1"/>
  <c r="BJ666" i="1"/>
  <c r="BJ662" i="1"/>
  <c r="BJ656" i="1"/>
  <c r="BJ670" i="1"/>
  <c r="BJ658" i="1"/>
  <c r="BJ650" i="1"/>
  <c r="BJ643" i="1"/>
  <c r="BJ667" i="1"/>
  <c r="BJ661" i="1"/>
  <c r="BJ648" i="1"/>
  <c r="BJ649" i="1"/>
  <c r="BJ663" i="1"/>
  <c r="BJ660" i="1"/>
  <c r="BJ653" i="1"/>
  <c r="BJ638" i="1"/>
  <c r="BJ629" i="1"/>
  <c r="BJ646" i="1"/>
  <c r="BJ657" i="1"/>
  <c r="BJ655" i="1"/>
  <c r="BJ639" i="1"/>
  <c r="BJ647" i="1"/>
  <c r="BJ628" i="1"/>
  <c r="BJ625" i="1"/>
  <c r="BJ627" i="1"/>
  <c r="BJ617" i="1"/>
  <c r="BJ641" i="1"/>
  <c r="BJ635" i="1"/>
  <c r="BJ631" i="1"/>
  <c r="BJ636" i="1"/>
  <c r="BJ634" i="1"/>
  <c r="BJ633" i="1"/>
  <c r="BJ624" i="1"/>
  <c r="BJ644" i="1"/>
  <c r="BJ630" i="1"/>
  <c r="BJ640" i="1"/>
  <c r="BJ632" i="1"/>
  <c r="BJ645" i="1"/>
  <c r="BJ616" i="1"/>
  <c r="BJ612" i="1"/>
  <c r="BJ642" i="1"/>
  <c r="BJ607" i="1"/>
  <c r="BJ623" i="1"/>
  <c r="BJ618" i="1"/>
  <c r="BJ626" i="1"/>
  <c r="BJ615" i="1"/>
  <c r="BJ614" i="1"/>
  <c r="BJ621" i="1"/>
  <c r="BJ611" i="1"/>
  <c r="BJ602" i="1"/>
  <c r="BJ619" i="1"/>
  <c r="BJ622" i="1"/>
  <c r="BJ600" i="1"/>
  <c r="BJ599" i="1"/>
  <c r="BJ604" i="1"/>
  <c r="BJ610" i="1"/>
  <c r="BJ613" i="1"/>
  <c r="BJ585" i="1"/>
  <c r="BJ609" i="1"/>
  <c r="BJ598" i="1"/>
  <c r="BJ591" i="1"/>
  <c r="BJ608" i="1"/>
  <c r="BJ606" i="1"/>
  <c r="BJ601" i="1"/>
  <c r="BJ595" i="1"/>
  <c r="BJ593" i="1"/>
  <c r="BJ580" i="1"/>
  <c r="BJ579" i="1"/>
  <c r="BJ592" i="1"/>
  <c r="BJ582" i="1"/>
  <c r="BJ597" i="1"/>
  <c r="BJ590" i="1"/>
  <c r="BJ605" i="1"/>
  <c r="BJ584" i="1"/>
  <c r="BJ581" i="1"/>
  <c r="BJ578" i="1"/>
  <c r="BJ571" i="1"/>
  <c r="BJ583" i="1"/>
  <c r="BJ574" i="1"/>
  <c r="BJ594" i="1"/>
  <c r="BJ596" i="1"/>
  <c r="BJ589" i="1"/>
  <c r="BJ588" i="1"/>
  <c r="BJ587" i="1"/>
  <c r="BJ576" i="1"/>
  <c r="BJ560" i="1"/>
  <c r="BJ548" i="1"/>
  <c r="BJ542" i="1"/>
  <c r="BJ573" i="1"/>
  <c r="BJ553" i="1"/>
  <c r="BJ564" i="1"/>
  <c r="BJ561" i="1"/>
  <c r="BJ557" i="1"/>
  <c r="BJ563" i="1"/>
  <c r="BJ566" i="1"/>
  <c r="BJ565" i="1"/>
  <c r="BJ554" i="1"/>
  <c r="BJ568" i="1"/>
  <c r="BJ558" i="1"/>
  <c r="BJ572" i="1"/>
  <c r="BJ559" i="1"/>
  <c r="BJ575" i="1"/>
  <c r="BJ539" i="1"/>
  <c r="BJ562" i="1"/>
  <c r="BJ555" i="1"/>
  <c r="BJ550" i="1"/>
  <c r="BJ538" i="1"/>
  <c r="BJ570" i="1"/>
  <c r="BJ545" i="1"/>
  <c r="BJ543" i="1"/>
  <c r="BJ577" i="1"/>
  <c r="BJ567" i="1"/>
  <c r="BJ556" i="1"/>
  <c r="BJ546" i="1"/>
  <c r="BJ544" i="1"/>
  <c r="BJ530" i="1"/>
  <c r="BJ549" i="1"/>
  <c r="BJ536" i="1"/>
  <c r="BJ523" i="1"/>
  <c r="BJ508" i="1"/>
  <c r="BJ504" i="1"/>
  <c r="BJ541" i="1"/>
  <c r="BJ540" i="1"/>
  <c r="BJ531" i="1"/>
  <c r="BJ527" i="1"/>
  <c r="BJ537" i="1"/>
  <c r="BJ534" i="1"/>
  <c r="BJ520" i="1"/>
  <c r="BJ516" i="1"/>
  <c r="BJ547" i="1"/>
  <c r="BJ524" i="1"/>
  <c r="BJ528" i="1"/>
  <c r="BJ533" i="1"/>
  <c r="BJ525" i="1"/>
  <c r="BJ521" i="1"/>
  <c r="BJ551" i="1"/>
  <c r="BJ529" i="1"/>
  <c r="BJ532" i="1"/>
  <c r="BJ526" i="1"/>
  <c r="BJ522" i="1"/>
  <c r="BJ507" i="1"/>
  <c r="BJ493" i="1"/>
  <c r="BJ489" i="1"/>
  <c r="BJ515" i="1"/>
  <c r="BJ506" i="1"/>
  <c r="BJ497" i="1"/>
  <c r="BJ513" i="1"/>
  <c r="BJ519" i="1"/>
  <c r="BJ494" i="1"/>
  <c r="BJ490" i="1"/>
  <c r="BJ511" i="1"/>
  <c r="BJ498" i="1"/>
  <c r="BJ509" i="1"/>
  <c r="BJ487" i="1"/>
  <c r="BJ499" i="1"/>
  <c r="BJ514" i="1"/>
  <c r="BJ512" i="1"/>
  <c r="BJ502" i="1"/>
  <c r="BJ500" i="1"/>
  <c r="BJ517" i="1"/>
  <c r="BJ510" i="1"/>
  <c r="BJ505" i="1"/>
  <c r="BJ503" i="1"/>
  <c r="BJ495" i="1"/>
  <c r="BJ481" i="1"/>
  <c r="BJ491" i="1"/>
  <c r="BJ496" i="1"/>
  <c r="BJ483" i="1"/>
  <c r="BJ478" i="1"/>
  <c r="BJ485" i="1"/>
  <c r="BJ482" i="1"/>
  <c r="BJ480" i="1"/>
  <c r="BJ468" i="1"/>
  <c r="BJ463" i="1"/>
  <c r="BJ459" i="1"/>
  <c r="BJ453" i="1"/>
  <c r="BJ488" i="1"/>
  <c r="BJ471" i="1"/>
  <c r="BJ486" i="1"/>
  <c r="BJ477" i="1"/>
  <c r="BJ474" i="1"/>
  <c r="BJ458" i="1"/>
  <c r="BJ452" i="1"/>
  <c r="BJ446" i="1"/>
  <c r="BJ492" i="1"/>
  <c r="BJ464" i="1"/>
  <c r="BJ457" i="1"/>
  <c r="BJ473" i="1"/>
  <c r="BJ470" i="1"/>
  <c r="BJ465" i="1"/>
  <c r="BJ456" i="1"/>
  <c r="BJ479" i="1"/>
  <c r="BJ462" i="1"/>
  <c r="BJ461" i="1"/>
  <c r="BJ472" i="1"/>
  <c r="BJ469" i="1"/>
  <c r="BJ466" i="1"/>
  <c r="BJ460" i="1"/>
  <c r="BJ476" i="1"/>
  <c r="BJ475" i="1"/>
  <c r="BJ442" i="1"/>
  <c r="BJ434" i="1"/>
  <c r="BJ432" i="1"/>
  <c r="BJ423" i="1"/>
  <c r="BJ445" i="1"/>
  <c r="BJ443" i="1"/>
  <c r="BJ425" i="1"/>
  <c r="BJ409" i="1"/>
  <c r="BJ403" i="1"/>
  <c r="BJ454" i="1"/>
  <c r="BJ435" i="1"/>
  <c r="BJ428" i="1"/>
  <c r="BJ420" i="1"/>
  <c r="BJ436" i="1"/>
  <c r="BJ431" i="1"/>
  <c r="BJ449" i="1"/>
  <c r="BJ447" i="1"/>
  <c r="BJ437" i="1"/>
  <c r="BJ424" i="1"/>
  <c r="BJ421" i="1"/>
  <c r="BJ417" i="1"/>
  <c r="BJ413" i="1"/>
  <c r="BJ444" i="1"/>
  <c r="BJ439" i="1"/>
  <c r="BJ430" i="1"/>
  <c r="BJ422" i="1"/>
  <c r="BJ418" i="1"/>
  <c r="BJ451" i="1"/>
  <c r="BJ440" i="1"/>
  <c r="BJ455" i="1"/>
  <c r="BJ448" i="1"/>
  <c r="BJ426" i="1"/>
  <c r="BJ415" i="1"/>
  <c r="BJ441" i="1"/>
  <c r="BJ429" i="1"/>
  <c r="BJ419" i="1"/>
  <c r="BJ412" i="1"/>
  <c r="BJ398" i="1"/>
  <c r="BJ394" i="1"/>
  <c r="BJ390" i="1"/>
  <c r="BJ438" i="1"/>
  <c r="BJ408" i="1"/>
  <c r="BJ401" i="1"/>
  <c r="BJ407" i="1"/>
  <c r="BJ404" i="1"/>
  <c r="BJ395" i="1"/>
  <c r="BJ410" i="1"/>
  <c r="BJ388" i="1"/>
  <c r="BJ396" i="1"/>
  <c r="BJ427" i="1"/>
  <c r="BJ400" i="1"/>
  <c r="BJ387" i="1"/>
  <c r="BJ406" i="1"/>
  <c r="BJ393" i="1"/>
  <c r="BJ397" i="1"/>
  <c r="BJ414" i="1"/>
  <c r="BJ411" i="1"/>
  <c r="BJ389" i="1"/>
  <c r="BJ379" i="1"/>
  <c r="BJ371" i="1"/>
  <c r="BJ362" i="1"/>
  <c r="BJ361" i="1"/>
  <c r="BJ380" i="1"/>
  <c r="BJ369" i="1"/>
  <c r="BJ366" i="1"/>
  <c r="BJ372" i="1"/>
  <c r="BJ383" i="1"/>
  <c r="BJ381" i="1"/>
  <c r="BJ373" i="1"/>
  <c r="BJ363" i="1"/>
  <c r="BJ392" i="1"/>
  <c r="BJ374" i="1"/>
  <c r="BJ367" i="1"/>
  <c r="BJ359" i="1"/>
  <c r="BJ375" i="1"/>
  <c r="BJ364" i="1"/>
  <c r="BJ391" i="1"/>
  <c r="BJ386" i="1"/>
  <c r="BJ357" i="1"/>
  <c r="BJ385" i="1"/>
  <c r="BJ377" i="1"/>
  <c r="BJ405" i="1"/>
  <c r="BJ402" i="1"/>
  <c r="BJ384" i="1"/>
  <c r="BJ370" i="1"/>
  <c r="BJ378" i="1"/>
  <c r="BJ358" i="1"/>
  <c r="BJ346" i="1"/>
  <c r="BJ342" i="1"/>
  <c r="BJ327" i="1"/>
  <c r="BJ354" i="1"/>
  <c r="BJ350" i="1"/>
  <c r="BJ335" i="1"/>
  <c r="BJ376" i="1"/>
  <c r="BJ356" i="1"/>
  <c r="BJ339" i="1"/>
  <c r="BJ347" i="1"/>
  <c r="BJ343" i="1"/>
  <c r="BJ328" i="1"/>
  <c r="BJ324" i="1"/>
  <c r="BJ368" i="1"/>
  <c r="BJ332" i="1"/>
  <c r="BJ340" i="1"/>
  <c r="BJ336" i="1"/>
  <c r="BJ321" i="1"/>
  <c r="BJ320" i="1"/>
  <c r="BJ344" i="1"/>
  <c r="BJ329" i="1"/>
  <c r="BJ325" i="1"/>
  <c r="BJ355" i="1"/>
  <c r="BJ333" i="1"/>
  <c r="BJ319" i="1"/>
  <c r="BJ341" i="1"/>
  <c r="BJ337" i="1"/>
  <c r="BJ322" i="1"/>
  <c r="BJ360" i="1"/>
  <c r="BJ351" i="1"/>
  <c r="BJ345" i="1"/>
  <c r="BJ352" i="1"/>
  <c r="BJ349" i="1"/>
  <c r="BJ334" i="1"/>
  <c r="BJ330" i="1"/>
  <c r="BJ316" i="1"/>
  <c r="BJ303" i="1"/>
  <c r="BJ288" i="1"/>
  <c r="BJ282" i="1"/>
  <c r="BJ276" i="1"/>
  <c r="BJ270" i="1"/>
  <c r="BJ299" i="1"/>
  <c r="BJ294" i="1"/>
  <c r="BJ317" i="1"/>
  <c r="BJ305" i="1"/>
  <c r="BJ292" i="1"/>
  <c r="BJ286" i="1"/>
  <c r="BJ274" i="1"/>
  <c r="BJ268" i="1"/>
  <c r="BJ323" i="1"/>
  <c r="BJ311" i="1"/>
  <c r="BJ310" i="1"/>
  <c r="BJ309" i="1"/>
  <c r="BJ308" i="1"/>
  <c r="BJ307" i="1"/>
  <c r="BJ298" i="1"/>
  <c r="BJ295" i="1"/>
  <c r="BJ291" i="1"/>
  <c r="BJ285" i="1"/>
  <c r="BJ306" i="1"/>
  <c r="BJ338" i="1"/>
  <c r="BJ290" i="1"/>
  <c r="BJ353" i="1"/>
  <c r="BJ301" i="1"/>
  <c r="BJ312" i="1"/>
  <c r="BJ289" i="1"/>
  <c r="BJ283" i="1"/>
  <c r="BJ326" i="1"/>
  <c r="BJ318" i="1"/>
  <c r="BJ302" i="1"/>
  <c r="BJ300" i="1"/>
  <c r="BJ267" i="1"/>
  <c r="BJ260" i="1"/>
  <c r="BJ256" i="1"/>
  <c r="BJ269" i="1"/>
  <c r="BJ265" i="1"/>
  <c r="BJ243" i="1"/>
  <c r="BJ237" i="1"/>
  <c r="BJ315" i="1"/>
  <c r="BJ253" i="1"/>
  <c r="BJ249" i="1"/>
  <c r="BJ257" i="1"/>
  <c r="BJ248" i="1"/>
  <c r="BJ242" i="1"/>
  <c r="BJ236" i="1"/>
  <c r="BJ293" i="1"/>
  <c r="BJ287" i="1"/>
  <c r="BJ261" i="1"/>
  <c r="BJ279" i="1"/>
  <c r="BJ278" i="1"/>
  <c r="BJ264" i="1"/>
  <c r="BJ254" i="1"/>
  <c r="BJ250" i="1"/>
  <c r="BJ247" i="1"/>
  <c r="BJ241" i="1"/>
  <c r="BJ235" i="1"/>
  <c r="BJ258" i="1"/>
  <c r="BJ313" i="1"/>
  <c r="BJ284" i="1"/>
  <c r="BJ273" i="1"/>
  <c r="BJ272" i="1"/>
  <c r="BJ251" i="1"/>
  <c r="BJ271" i="1"/>
  <c r="BJ266" i="1"/>
  <c r="BJ296" i="1"/>
  <c r="BJ252" i="1"/>
  <c r="BJ244" i="1"/>
  <c r="BJ304" i="1"/>
  <c r="BJ227" i="1"/>
  <c r="BJ239" i="1"/>
  <c r="BJ281" i="1"/>
  <c r="BJ231" i="1"/>
  <c r="BJ223" i="1"/>
  <c r="BJ208" i="1"/>
  <c r="BJ202" i="1"/>
  <c r="BJ226" i="1"/>
  <c r="BJ275" i="1"/>
  <c r="BJ228" i="1"/>
  <c r="BJ245" i="1"/>
  <c r="BJ230" i="1"/>
  <c r="BJ218" i="1"/>
  <c r="BJ255" i="1"/>
  <c r="BJ233" i="1"/>
  <c r="BJ219" i="1"/>
  <c r="BJ215" i="1"/>
  <c r="BJ211" i="1"/>
  <c r="BJ240" i="1"/>
  <c r="BJ232" i="1"/>
  <c r="BJ225" i="1"/>
  <c r="BJ220" i="1"/>
  <c r="BJ217" i="1"/>
  <c r="BJ172" i="1"/>
  <c r="BJ166" i="1"/>
  <c r="BJ160" i="1"/>
  <c r="BJ277" i="1"/>
  <c r="BJ185" i="1"/>
  <c r="BJ181" i="1"/>
  <c r="BJ189" i="1"/>
  <c r="BJ177" i="1"/>
  <c r="BJ171" i="1"/>
  <c r="BJ165" i="1"/>
  <c r="BJ159" i="1"/>
  <c r="BJ153" i="1"/>
  <c r="BJ147" i="1"/>
  <c r="BJ206" i="1"/>
  <c r="BJ196" i="1"/>
  <c r="BJ193" i="1"/>
  <c r="BJ213" i="1"/>
  <c r="BJ209" i="1"/>
  <c r="BJ203" i="1"/>
  <c r="BJ199" i="1"/>
  <c r="BJ186" i="1"/>
  <c r="BJ182" i="1"/>
  <c r="BJ176" i="1"/>
  <c r="BJ259" i="1"/>
  <c r="BJ205" i="1"/>
  <c r="BJ200" i="1"/>
  <c r="BJ191" i="1"/>
  <c r="BJ187" i="1"/>
  <c r="BJ174" i="1"/>
  <c r="BJ168" i="1"/>
  <c r="BJ224" i="1"/>
  <c r="BJ238" i="1"/>
  <c r="BJ221" i="1"/>
  <c r="BJ214" i="1"/>
  <c r="BJ204" i="1"/>
  <c r="BJ184" i="1"/>
  <c r="BJ173" i="1"/>
  <c r="BJ156" i="1"/>
  <c r="BJ134" i="1"/>
  <c r="BJ130" i="1"/>
  <c r="BJ126" i="1"/>
  <c r="BJ120" i="1"/>
  <c r="BJ114" i="1"/>
  <c r="BJ198" i="1"/>
  <c r="BJ216" i="1"/>
  <c r="BJ201" i="1"/>
  <c r="BJ164" i="1"/>
  <c r="BJ163" i="1"/>
  <c r="BJ162" i="1"/>
  <c r="BJ152" i="1"/>
  <c r="BJ142" i="1"/>
  <c r="BJ125" i="1"/>
  <c r="BJ207" i="1"/>
  <c r="BJ192" i="1"/>
  <c r="BJ210" i="1"/>
  <c r="BJ175" i="1"/>
  <c r="BJ155" i="1"/>
  <c r="BJ139" i="1"/>
  <c r="BJ135" i="1"/>
  <c r="BJ124" i="1"/>
  <c r="BJ118" i="1"/>
  <c r="BJ222" i="1"/>
  <c r="BJ188" i="1"/>
  <c r="BJ145" i="1"/>
  <c r="BJ143" i="1"/>
  <c r="BJ128" i="1"/>
  <c r="BJ194" i="1"/>
  <c r="BJ183" i="1"/>
  <c r="BJ151" i="1"/>
  <c r="BJ132" i="1"/>
  <c r="BJ234" i="1"/>
  <c r="BJ154" i="1"/>
  <c r="BJ169" i="1"/>
  <c r="BJ167" i="1"/>
  <c r="BJ137" i="1"/>
  <c r="BJ262" i="1"/>
  <c r="BJ197" i="1"/>
  <c r="BJ89" i="1"/>
  <c r="BJ78" i="1"/>
  <c r="BJ131" i="1"/>
  <c r="BJ112" i="1"/>
  <c r="BJ88" i="1"/>
  <c r="BJ77" i="1"/>
  <c r="BJ66" i="1"/>
  <c r="BJ180" i="1"/>
  <c r="BJ170" i="1"/>
  <c r="BJ150" i="1"/>
  <c r="BJ148" i="1"/>
  <c r="BJ119" i="1"/>
  <c r="BJ115" i="1"/>
  <c r="BJ108" i="1"/>
  <c r="BJ98" i="1"/>
  <c r="BJ87" i="1"/>
  <c r="BJ76" i="1"/>
  <c r="BJ190" i="1"/>
  <c r="BJ158" i="1"/>
  <c r="BJ133" i="1"/>
  <c r="BJ129" i="1"/>
  <c r="BJ97" i="1"/>
  <c r="BJ86" i="1"/>
  <c r="BJ75" i="1"/>
  <c r="BJ141" i="1"/>
  <c r="BJ140" i="1"/>
  <c r="BJ107" i="1"/>
  <c r="BJ96" i="1"/>
  <c r="BJ85" i="1"/>
  <c r="BJ74" i="1"/>
  <c r="BJ138" i="1"/>
  <c r="BJ136" i="1"/>
  <c r="BJ122" i="1"/>
  <c r="BJ121" i="1"/>
  <c r="BJ106" i="1"/>
  <c r="BJ95" i="1"/>
  <c r="BJ84" i="1"/>
  <c r="BJ105" i="1"/>
  <c r="BJ94" i="1"/>
  <c r="BJ83" i="1"/>
  <c r="BJ179" i="1"/>
  <c r="BJ157" i="1"/>
  <c r="BJ146" i="1"/>
  <c r="BJ104" i="1"/>
  <c r="BJ93" i="1"/>
  <c r="BJ82" i="1"/>
  <c r="BJ103" i="1"/>
  <c r="BJ92" i="1"/>
  <c r="BJ149" i="1"/>
  <c r="BJ113" i="1"/>
  <c r="BJ102" i="1"/>
  <c r="BJ91" i="1"/>
  <c r="BJ123" i="1"/>
  <c r="BJ116" i="1"/>
  <c r="BJ101" i="1"/>
  <c r="BJ62" i="1"/>
  <c r="BJ51" i="1"/>
  <c r="BJ42" i="1"/>
  <c r="BJ36" i="1"/>
  <c r="BJ30" i="1"/>
  <c r="BJ24" i="1"/>
  <c r="BJ18" i="1"/>
  <c r="BJ12" i="1"/>
  <c r="BJ111" i="1"/>
  <c r="BJ80" i="1"/>
  <c r="BJ61" i="1"/>
  <c r="BJ50" i="1"/>
  <c r="BJ70" i="1"/>
  <c r="BJ67" i="1"/>
  <c r="BJ60" i="1"/>
  <c r="BJ49" i="1"/>
  <c r="BJ41" i="1"/>
  <c r="BJ35" i="1"/>
  <c r="BJ29" i="1"/>
  <c r="BJ23" i="1"/>
  <c r="BJ17" i="1"/>
  <c r="BJ11" i="1"/>
  <c r="BJ59" i="1"/>
  <c r="BJ48" i="1"/>
  <c r="BJ117" i="1"/>
  <c r="BJ79" i="1"/>
  <c r="BJ57" i="1"/>
  <c r="BJ46" i="1"/>
  <c r="BJ100" i="1"/>
  <c r="BJ68" i="1"/>
  <c r="BJ56" i="1"/>
  <c r="BJ33" i="1"/>
  <c r="BJ27" i="1"/>
  <c r="BJ21" i="1"/>
  <c r="BJ71" i="1"/>
  <c r="BJ55" i="1"/>
  <c r="BJ65" i="1"/>
  <c r="BJ73" i="1"/>
  <c r="BJ64" i="1"/>
  <c r="BJ69" i="1"/>
  <c r="BJ52" i="1"/>
  <c r="BJ26" i="1"/>
  <c r="BJ38" i="1"/>
  <c r="BJ31" i="1"/>
  <c r="BJ47" i="1"/>
  <c r="BJ20" i="1"/>
  <c r="BJ53" i="1"/>
  <c r="BJ25" i="1"/>
  <c r="BJ19" i="1"/>
  <c r="BJ58" i="1"/>
  <c r="BJ43" i="1"/>
  <c r="BJ9" i="1"/>
  <c r="BJ40" i="1"/>
  <c r="BJ28" i="1"/>
  <c r="BJ15" i="1"/>
  <c r="BJ14" i="1"/>
  <c r="BJ22" i="1"/>
  <c r="BJ16" i="1"/>
  <c r="BJ13" i="1"/>
  <c r="BJ37" i="1"/>
  <c r="BJ32" i="1"/>
  <c r="BJ10" i="1"/>
  <c r="BI229" i="1"/>
  <c r="BI416" i="1"/>
  <c r="BI484" i="1"/>
  <c r="BI552" i="1"/>
  <c r="BI671" i="1"/>
  <c r="BH109" i="1"/>
  <c r="BI39" i="1"/>
  <c r="BI99" i="1"/>
  <c r="BI178" i="1"/>
  <c r="BI518" i="1"/>
  <c r="BI110" i="1"/>
  <c r="BI195" i="1"/>
  <c r="BI331" i="1"/>
  <c r="BI450" i="1"/>
  <c r="BI501" i="1"/>
  <c r="BI569" i="1"/>
  <c r="BH44" i="1"/>
  <c r="BI63" i="1"/>
  <c r="BI144" i="1"/>
  <c r="BI365" i="1"/>
  <c r="BI654" i="1"/>
  <c r="BJ72" i="1" l="1"/>
  <c r="BJ450" i="1"/>
  <c r="BJ569" i="1"/>
  <c r="BH7" i="1"/>
  <c r="BH5" i="1"/>
  <c r="BH8" i="1"/>
  <c r="BI109" i="1"/>
  <c r="BJ161" i="1"/>
  <c r="BJ229" i="1"/>
  <c r="BJ399" i="1"/>
  <c r="BJ671" i="1"/>
  <c r="BJ54" i="1"/>
  <c r="BJ433" i="1"/>
  <c r="BJ535" i="1"/>
  <c r="BI44" i="1"/>
  <c r="BJ246" i="1"/>
  <c r="BJ178" i="1"/>
  <c r="BJ348" i="1"/>
  <c r="BJ654" i="1"/>
  <c r="BK699" i="1"/>
  <c r="BK693" i="1"/>
  <c r="BK687" i="1"/>
  <c r="BK698" i="1"/>
  <c r="BK703" i="1"/>
  <c r="BK681" i="1"/>
  <c r="BK702" i="1"/>
  <c r="BK700" i="1"/>
  <c r="BK696" i="1"/>
  <c r="BK692" i="1"/>
  <c r="BK688" i="1"/>
  <c r="BK701" i="1"/>
  <c r="BK680" i="1"/>
  <c r="BK684" i="1"/>
  <c r="BK697" i="1"/>
  <c r="BK686" i="1"/>
  <c r="BK683" i="1"/>
  <c r="BK678" i="1"/>
  <c r="BK694" i="1"/>
  <c r="BK676" i="1"/>
  <c r="BK690" i="1"/>
  <c r="BK668" i="1"/>
  <c r="BK662" i="1"/>
  <c r="BK656" i="1"/>
  <c r="BK691" i="1"/>
  <c r="BK685" i="1"/>
  <c r="BK667" i="1"/>
  <c r="BK661" i="1"/>
  <c r="BK655" i="1"/>
  <c r="BK674" i="1"/>
  <c r="BK670" i="1"/>
  <c r="BK669" i="1"/>
  <c r="BK664" i="1"/>
  <c r="BK682" i="1"/>
  <c r="BK679" i="1"/>
  <c r="BK675" i="1"/>
  <c r="BK657" i="1"/>
  <c r="BK650" i="1"/>
  <c r="BK672" i="1"/>
  <c r="BK666" i="1"/>
  <c r="BK660" i="1"/>
  <c r="BK643" i="1"/>
  <c r="BK631" i="1"/>
  <c r="BK677" i="1"/>
  <c r="BK659" i="1"/>
  <c r="BK649" i="1"/>
  <c r="BK673" i="1"/>
  <c r="BK663" i="1"/>
  <c r="BK647" i="1"/>
  <c r="BK641" i="1"/>
  <c r="BK665" i="1"/>
  <c r="BK633" i="1"/>
  <c r="BK652" i="1"/>
  <c r="BK646" i="1"/>
  <c r="BK648" i="1"/>
  <c r="BK658" i="1"/>
  <c r="BK642" i="1"/>
  <c r="BK627" i="1"/>
  <c r="BK651" i="1"/>
  <c r="BK628" i="1"/>
  <c r="BK625" i="1"/>
  <c r="BK619" i="1"/>
  <c r="BK644" i="1"/>
  <c r="BK636" i="1"/>
  <c r="BK632" i="1"/>
  <c r="BK653" i="1"/>
  <c r="BK621" i="1"/>
  <c r="BK616" i="1"/>
  <c r="BK610" i="1"/>
  <c r="BK618" i="1"/>
  <c r="BK615" i="1"/>
  <c r="BK609" i="1"/>
  <c r="BK639" i="1"/>
  <c r="BK640" i="1"/>
  <c r="BK634" i="1"/>
  <c r="BK626" i="1"/>
  <c r="BK622" i="1"/>
  <c r="BK635" i="1"/>
  <c r="BK624" i="1"/>
  <c r="BK630" i="1"/>
  <c r="BK645" i="1"/>
  <c r="BK629" i="1"/>
  <c r="BK612" i="1"/>
  <c r="BK638" i="1"/>
  <c r="BK607" i="1"/>
  <c r="BK601" i="1"/>
  <c r="BK623" i="1"/>
  <c r="BK613" i="1"/>
  <c r="BK595" i="1"/>
  <c r="BK617" i="1"/>
  <c r="BK604" i="1"/>
  <c r="BK614" i="1"/>
  <c r="BK608" i="1"/>
  <c r="BK598" i="1"/>
  <c r="BK592" i="1"/>
  <c r="BK600" i="1"/>
  <c r="BK589" i="1"/>
  <c r="BK591" i="1"/>
  <c r="BK606" i="1"/>
  <c r="BK602" i="1"/>
  <c r="BK605" i="1"/>
  <c r="BK599" i="1"/>
  <c r="BK579" i="1"/>
  <c r="BK573" i="1"/>
  <c r="BK567" i="1"/>
  <c r="BK561" i="1"/>
  <c r="BK555" i="1"/>
  <c r="BK588" i="1"/>
  <c r="BK581" i="1"/>
  <c r="BK597" i="1"/>
  <c r="BK590" i="1"/>
  <c r="BK576" i="1"/>
  <c r="BK570" i="1"/>
  <c r="BK564" i="1"/>
  <c r="BK611" i="1"/>
  <c r="BK596" i="1"/>
  <c r="BK583" i="1"/>
  <c r="BK582" i="1"/>
  <c r="BK572" i="1"/>
  <c r="BK585" i="1"/>
  <c r="BK574" i="1"/>
  <c r="BK594" i="1"/>
  <c r="BK593" i="1"/>
  <c r="BK587" i="1"/>
  <c r="BK580" i="1"/>
  <c r="BK577" i="1"/>
  <c r="BK553" i="1"/>
  <c r="BK557" i="1"/>
  <c r="BK547" i="1"/>
  <c r="BK541" i="1"/>
  <c r="BK563" i="1"/>
  <c r="BK584" i="1"/>
  <c r="BK566" i="1"/>
  <c r="BK565" i="1"/>
  <c r="BK554" i="1"/>
  <c r="BK546" i="1"/>
  <c r="BK540" i="1"/>
  <c r="BK568" i="1"/>
  <c r="BK558" i="1"/>
  <c r="BK545" i="1"/>
  <c r="BK575" i="1"/>
  <c r="BK571" i="1"/>
  <c r="BK578" i="1"/>
  <c r="BK560" i="1"/>
  <c r="BK562" i="1"/>
  <c r="BK550" i="1"/>
  <c r="BK548" i="1"/>
  <c r="BK538" i="1"/>
  <c r="BK532" i="1"/>
  <c r="BK526" i="1"/>
  <c r="BK520" i="1"/>
  <c r="BK514" i="1"/>
  <c r="BK508" i="1"/>
  <c r="BK502" i="1"/>
  <c r="BK543" i="1"/>
  <c r="BK559" i="1"/>
  <c r="BK549" i="1"/>
  <c r="BK556" i="1"/>
  <c r="BK539" i="1"/>
  <c r="BK536" i="1"/>
  <c r="BK519" i="1"/>
  <c r="BK523" i="1"/>
  <c r="BK544" i="1"/>
  <c r="BK531" i="1"/>
  <c r="BK527" i="1"/>
  <c r="BK512" i="1"/>
  <c r="BK537" i="1"/>
  <c r="BK534" i="1"/>
  <c r="BK524" i="1"/>
  <c r="BK505" i="1"/>
  <c r="BK500" i="1"/>
  <c r="BK494" i="1"/>
  <c r="BK488" i="1"/>
  <c r="BK482" i="1"/>
  <c r="BK528" i="1"/>
  <c r="BK533" i="1"/>
  <c r="BK525" i="1"/>
  <c r="BK551" i="1"/>
  <c r="BK542" i="1"/>
  <c r="BK529" i="1"/>
  <c r="BK522" i="1"/>
  <c r="BK530" i="1"/>
  <c r="BK511" i="1"/>
  <c r="BK515" i="1"/>
  <c r="BK506" i="1"/>
  <c r="BK497" i="1"/>
  <c r="BK513" i="1"/>
  <c r="BK521" i="1"/>
  <c r="BK498" i="1"/>
  <c r="BK509" i="1"/>
  <c r="BK516" i="1"/>
  <c r="BK491" i="1"/>
  <c r="BK507" i="1"/>
  <c r="BK517" i="1"/>
  <c r="BK510" i="1"/>
  <c r="BK503" i="1"/>
  <c r="BK504" i="1"/>
  <c r="BK495" i="1"/>
  <c r="BK481" i="1"/>
  <c r="BK496" i="1"/>
  <c r="BK483" i="1"/>
  <c r="BK493" i="1"/>
  <c r="BK489" i="1"/>
  <c r="BK474" i="1"/>
  <c r="BK468" i="1"/>
  <c r="BK462" i="1"/>
  <c r="BK492" i="1"/>
  <c r="BK487" i="1"/>
  <c r="BK486" i="1"/>
  <c r="BK479" i="1"/>
  <c r="BK473" i="1"/>
  <c r="BK499" i="1"/>
  <c r="BK490" i="1"/>
  <c r="BK480" i="1"/>
  <c r="BK471" i="1"/>
  <c r="BK478" i="1"/>
  <c r="BK477" i="1"/>
  <c r="BK458" i="1"/>
  <c r="BK452" i="1"/>
  <c r="BK446" i="1"/>
  <c r="BK440" i="1"/>
  <c r="BK434" i="1"/>
  <c r="BK428" i="1"/>
  <c r="BK422" i="1"/>
  <c r="BK464" i="1"/>
  <c r="BK457" i="1"/>
  <c r="BK451" i="1"/>
  <c r="BK445" i="1"/>
  <c r="BK439" i="1"/>
  <c r="BK470" i="1"/>
  <c r="BK465" i="1"/>
  <c r="BK485" i="1"/>
  <c r="BK461" i="1"/>
  <c r="BK455" i="1"/>
  <c r="BK449" i="1"/>
  <c r="BK443" i="1"/>
  <c r="BK437" i="1"/>
  <c r="BK431" i="1"/>
  <c r="BK425" i="1"/>
  <c r="BK472" i="1"/>
  <c r="BK469" i="1"/>
  <c r="BK466" i="1"/>
  <c r="BK476" i="1"/>
  <c r="BK475" i="1"/>
  <c r="BK454" i="1"/>
  <c r="BK435" i="1"/>
  <c r="BK420" i="1"/>
  <c r="BK436" i="1"/>
  <c r="BK447" i="1"/>
  <c r="BK424" i="1"/>
  <c r="BK421" i="1"/>
  <c r="BK417" i="1"/>
  <c r="BK413" i="1"/>
  <c r="BK460" i="1"/>
  <c r="BK459" i="1"/>
  <c r="BK438" i="1"/>
  <c r="BK427" i="1"/>
  <c r="BK456" i="1"/>
  <c r="BK411" i="1"/>
  <c r="BK405" i="1"/>
  <c r="BK393" i="1"/>
  <c r="BK463" i="1"/>
  <c r="BK448" i="1"/>
  <c r="BK426" i="1"/>
  <c r="BK453" i="1"/>
  <c r="BK441" i="1"/>
  <c r="BK429" i="1"/>
  <c r="BK419" i="1"/>
  <c r="BK442" i="1"/>
  <c r="BK432" i="1"/>
  <c r="BK423" i="1"/>
  <c r="BK390" i="1"/>
  <c r="BK384" i="1"/>
  <c r="BK408" i="1"/>
  <c r="BK401" i="1"/>
  <c r="BK407" i="1"/>
  <c r="BK404" i="1"/>
  <c r="BK395" i="1"/>
  <c r="BK389" i="1"/>
  <c r="BK383" i="1"/>
  <c r="BK377" i="1"/>
  <c r="BK371" i="1"/>
  <c r="BK409" i="1"/>
  <c r="BK430" i="1"/>
  <c r="BK418" i="1"/>
  <c r="BK410" i="1"/>
  <c r="BK388" i="1"/>
  <c r="BK376" i="1"/>
  <c r="BK370" i="1"/>
  <c r="BK364" i="1"/>
  <c r="BK396" i="1"/>
  <c r="BK403" i="1"/>
  <c r="BK400" i="1"/>
  <c r="BK406" i="1"/>
  <c r="BK397" i="1"/>
  <c r="BK392" i="1"/>
  <c r="BK386" i="1"/>
  <c r="BK380" i="1"/>
  <c r="BK374" i="1"/>
  <c r="BK414" i="1"/>
  <c r="BK402" i="1"/>
  <c r="BK444" i="1"/>
  <c r="BK415" i="1"/>
  <c r="BK369" i="1"/>
  <c r="BK366" i="1"/>
  <c r="BK412" i="1"/>
  <c r="BK398" i="1"/>
  <c r="BK372" i="1"/>
  <c r="BK360" i="1"/>
  <c r="BK354" i="1"/>
  <c r="BK381" i="1"/>
  <c r="BK373" i="1"/>
  <c r="BK367" i="1"/>
  <c r="BK359" i="1"/>
  <c r="BK353" i="1"/>
  <c r="BK347" i="1"/>
  <c r="BK341" i="1"/>
  <c r="BK335" i="1"/>
  <c r="BK329" i="1"/>
  <c r="BK323" i="1"/>
  <c r="BK368" i="1"/>
  <c r="BK394" i="1"/>
  <c r="BK387" i="1"/>
  <c r="BK385" i="1"/>
  <c r="BK378" i="1"/>
  <c r="BK379" i="1"/>
  <c r="BK362" i="1"/>
  <c r="BK361" i="1"/>
  <c r="BK355" i="1"/>
  <c r="BK357" i="1"/>
  <c r="BK350" i="1"/>
  <c r="BK316" i="1"/>
  <c r="BK310" i="1"/>
  <c r="BK304" i="1"/>
  <c r="BK298" i="1"/>
  <c r="BK356" i="1"/>
  <c r="BK339" i="1"/>
  <c r="BK343" i="1"/>
  <c r="BK328" i="1"/>
  <c r="BK324" i="1"/>
  <c r="BK315" i="1"/>
  <c r="BK309" i="1"/>
  <c r="BK303" i="1"/>
  <c r="BK391" i="1"/>
  <c r="BK332" i="1"/>
  <c r="BK340" i="1"/>
  <c r="BK336" i="1"/>
  <c r="BK321" i="1"/>
  <c r="BK320" i="1"/>
  <c r="BK308" i="1"/>
  <c r="BK344" i="1"/>
  <c r="BK325" i="1"/>
  <c r="BK333" i="1"/>
  <c r="BK319" i="1"/>
  <c r="BK313" i="1"/>
  <c r="BK307" i="1"/>
  <c r="BK301" i="1"/>
  <c r="BK337" i="1"/>
  <c r="BK322" i="1"/>
  <c r="BK351" i="1"/>
  <c r="BK345" i="1"/>
  <c r="BK326" i="1"/>
  <c r="BK318" i="1"/>
  <c r="BK352" i="1"/>
  <c r="BK349" i="1"/>
  <c r="BK375" i="1"/>
  <c r="BK338" i="1"/>
  <c r="BK317" i="1"/>
  <c r="BK311" i="1"/>
  <c r="BK334" i="1"/>
  <c r="BK327" i="1"/>
  <c r="BK296" i="1"/>
  <c r="BK293" i="1"/>
  <c r="BK287" i="1"/>
  <c r="BK281" i="1"/>
  <c r="BK275" i="1"/>
  <c r="BK269" i="1"/>
  <c r="BK305" i="1"/>
  <c r="BK292" i="1"/>
  <c r="BK286" i="1"/>
  <c r="BK274" i="1"/>
  <c r="BK268" i="1"/>
  <c r="BK330" i="1"/>
  <c r="BK295" i="1"/>
  <c r="BK291" i="1"/>
  <c r="BK285" i="1"/>
  <c r="BK363" i="1"/>
  <c r="BK306" i="1"/>
  <c r="BK290" i="1"/>
  <c r="BK284" i="1"/>
  <c r="BK278" i="1"/>
  <c r="BK272" i="1"/>
  <c r="BK266" i="1"/>
  <c r="BK260" i="1"/>
  <c r="BK254" i="1"/>
  <c r="BK342" i="1"/>
  <c r="BK312" i="1"/>
  <c r="BK289" i="1"/>
  <c r="BK283" i="1"/>
  <c r="BK346" i="1"/>
  <c r="BK302" i="1"/>
  <c r="BK300" i="1"/>
  <c r="BK358" i="1"/>
  <c r="BK288" i="1"/>
  <c r="BK265" i="1"/>
  <c r="BK243" i="1"/>
  <c r="BK237" i="1"/>
  <c r="BK231" i="1"/>
  <c r="BK225" i="1"/>
  <c r="BK219" i="1"/>
  <c r="BK253" i="1"/>
  <c r="BK249" i="1"/>
  <c r="BK257" i="1"/>
  <c r="BK248" i="1"/>
  <c r="BK242" i="1"/>
  <c r="BK236" i="1"/>
  <c r="BK230" i="1"/>
  <c r="BK282" i="1"/>
  <c r="BK261" i="1"/>
  <c r="BK279" i="1"/>
  <c r="BK264" i="1"/>
  <c r="BK250" i="1"/>
  <c r="BK247" i="1"/>
  <c r="BK241" i="1"/>
  <c r="BK235" i="1"/>
  <c r="BK223" i="1"/>
  <c r="BK217" i="1"/>
  <c r="BK258" i="1"/>
  <c r="BK277" i="1"/>
  <c r="BK262" i="1"/>
  <c r="BK299" i="1"/>
  <c r="BK259" i="1"/>
  <c r="BK255" i="1"/>
  <c r="BK294" i="1"/>
  <c r="BK270" i="1"/>
  <c r="BK252" i="1"/>
  <c r="BK244" i="1"/>
  <c r="BK238" i="1"/>
  <c r="BK232" i="1"/>
  <c r="BK226" i="1"/>
  <c r="BK220" i="1"/>
  <c r="BK214" i="1"/>
  <c r="BK267" i="1"/>
  <c r="BK256" i="1"/>
  <c r="BK276" i="1"/>
  <c r="BK271" i="1"/>
  <c r="BK239" i="1"/>
  <c r="BK224" i="1"/>
  <c r="BK216" i="1"/>
  <c r="BK207" i="1"/>
  <c r="BK228" i="1"/>
  <c r="BK251" i="1"/>
  <c r="BK245" i="1"/>
  <c r="BK218" i="1"/>
  <c r="BK233" i="1"/>
  <c r="BK215" i="1"/>
  <c r="BK211" i="1"/>
  <c r="BK205" i="1"/>
  <c r="BK199" i="1"/>
  <c r="BK273" i="1"/>
  <c r="BK240" i="1"/>
  <c r="BK210" i="1"/>
  <c r="BK204" i="1"/>
  <c r="BK198" i="1"/>
  <c r="BK192" i="1"/>
  <c r="BK186" i="1"/>
  <c r="BK180" i="1"/>
  <c r="BK234" i="1"/>
  <c r="BK208" i="1"/>
  <c r="BK185" i="1"/>
  <c r="BK181" i="1"/>
  <c r="BK189" i="1"/>
  <c r="BK177" i="1"/>
  <c r="BK206" i="1"/>
  <c r="BK196" i="1"/>
  <c r="BK193" i="1"/>
  <c r="BK213" i="1"/>
  <c r="BK209" i="1"/>
  <c r="BK203" i="1"/>
  <c r="BK182" i="1"/>
  <c r="BK176" i="1"/>
  <c r="BK170" i="1"/>
  <c r="BK164" i="1"/>
  <c r="BK158" i="1"/>
  <c r="BK152" i="1"/>
  <c r="BK146" i="1"/>
  <c r="BK140" i="1"/>
  <c r="BK134" i="1"/>
  <c r="BK128" i="1"/>
  <c r="BK200" i="1"/>
  <c r="BK190" i="1"/>
  <c r="BK222" i="1"/>
  <c r="BK201" i="1"/>
  <c r="BK227" i="1"/>
  <c r="BK221" i="1"/>
  <c r="BK197" i="1"/>
  <c r="BK194" i="1"/>
  <c r="BK188" i="1"/>
  <c r="BK138" i="1"/>
  <c r="BK174" i="1"/>
  <c r="BK173" i="1"/>
  <c r="BK172" i="1"/>
  <c r="BK163" i="1"/>
  <c r="BK162" i="1"/>
  <c r="BK171" i="1"/>
  <c r="BK149" i="1"/>
  <c r="BK131" i="1"/>
  <c r="BK168" i="1"/>
  <c r="BK145" i="1"/>
  <c r="BK143" i="1"/>
  <c r="BK187" i="1"/>
  <c r="BK184" i="1"/>
  <c r="BK183" i="1"/>
  <c r="BK151" i="1"/>
  <c r="BK132" i="1"/>
  <c r="BK123" i="1"/>
  <c r="BK117" i="1"/>
  <c r="BK179" i="1"/>
  <c r="BK157" i="1"/>
  <c r="BK148" i="1"/>
  <c r="BK136" i="1"/>
  <c r="BK133" i="1"/>
  <c r="BK129" i="1"/>
  <c r="BK169" i="1"/>
  <c r="BK167" i="1"/>
  <c r="BK165" i="1"/>
  <c r="BK159" i="1"/>
  <c r="BK150" i="1"/>
  <c r="BK147" i="1"/>
  <c r="BK141" i="1"/>
  <c r="BK202" i="1"/>
  <c r="BK160" i="1"/>
  <c r="BK156" i="1"/>
  <c r="BK118" i="1"/>
  <c r="BK112" i="1"/>
  <c r="BK88" i="1"/>
  <c r="BK77" i="1"/>
  <c r="BK154" i="1"/>
  <c r="BK119" i="1"/>
  <c r="BK115" i="1"/>
  <c r="BK108" i="1"/>
  <c r="BK98" i="1"/>
  <c r="BK87" i="1"/>
  <c r="BK76" i="1"/>
  <c r="BK97" i="1"/>
  <c r="BK86" i="1"/>
  <c r="BK75" i="1"/>
  <c r="BK175" i="1"/>
  <c r="BK142" i="1"/>
  <c r="BK120" i="1"/>
  <c r="BK107" i="1"/>
  <c r="BK96" i="1"/>
  <c r="BK85" i="1"/>
  <c r="BK74" i="1"/>
  <c r="BK139" i="1"/>
  <c r="BK122" i="1"/>
  <c r="BK121" i="1"/>
  <c r="BK106" i="1"/>
  <c r="BK95" i="1"/>
  <c r="BK84" i="1"/>
  <c r="BK73" i="1"/>
  <c r="BK137" i="1"/>
  <c r="BK114" i="1"/>
  <c r="BK105" i="1"/>
  <c r="BK94" i="1"/>
  <c r="BK83" i="1"/>
  <c r="BK135" i="1"/>
  <c r="BK130" i="1"/>
  <c r="BK104" i="1"/>
  <c r="BK93" i="1"/>
  <c r="BK82" i="1"/>
  <c r="BK155" i="1"/>
  <c r="BK153" i="1"/>
  <c r="BK103" i="1"/>
  <c r="BK92" i="1"/>
  <c r="BK126" i="1"/>
  <c r="BK113" i="1"/>
  <c r="BK102" i="1"/>
  <c r="BK91" i="1"/>
  <c r="BK125" i="1"/>
  <c r="BK124" i="1"/>
  <c r="BK116" i="1"/>
  <c r="BK101" i="1"/>
  <c r="BK80" i="1"/>
  <c r="BK191" i="1"/>
  <c r="BK166" i="1"/>
  <c r="BK111" i="1"/>
  <c r="BK100" i="1"/>
  <c r="BK61" i="1"/>
  <c r="BK50" i="1"/>
  <c r="BK89" i="1"/>
  <c r="BK78" i="1"/>
  <c r="BK70" i="1"/>
  <c r="BK67" i="1"/>
  <c r="BK60" i="1"/>
  <c r="BK49" i="1"/>
  <c r="BK41" i="1"/>
  <c r="BK59" i="1"/>
  <c r="BK48" i="1"/>
  <c r="BK58" i="1"/>
  <c r="BK47" i="1"/>
  <c r="BK40" i="1"/>
  <c r="BK28" i="1"/>
  <c r="BK22" i="1"/>
  <c r="BK16" i="1"/>
  <c r="BK10" i="1"/>
  <c r="BK79" i="1"/>
  <c r="BK68" i="1"/>
  <c r="BK56" i="1"/>
  <c r="BK33" i="1"/>
  <c r="BK27" i="1"/>
  <c r="BK21" i="1"/>
  <c r="BK71" i="1"/>
  <c r="BK55" i="1"/>
  <c r="BK65" i="1"/>
  <c r="BK38" i="1"/>
  <c r="BK32" i="1"/>
  <c r="BK26" i="1"/>
  <c r="BK20" i="1"/>
  <c r="BK14" i="1"/>
  <c r="BK64" i="1"/>
  <c r="BK69" i="1"/>
  <c r="BK66" i="1"/>
  <c r="BK53" i="1"/>
  <c r="BK43" i="1"/>
  <c r="BK37" i="1"/>
  <c r="BK62" i="1"/>
  <c r="BK51" i="1"/>
  <c r="BK42" i="1"/>
  <c r="BK36" i="1"/>
  <c r="BK30" i="1"/>
  <c r="BK24" i="1"/>
  <c r="BK18" i="1"/>
  <c r="BK31" i="1"/>
  <c r="BK12" i="1"/>
  <c r="BK25" i="1"/>
  <c r="BK17" i="1"/>
  <c r="BK57" i="1"/>
  <c r="BK35" i="1"/>
  <c r="BK19" i="1"/>
  <c r="BK29" i="1"/>
  <c r="BK9" i="1"/>
  <c r="BK46" i="1"/>
  <c r="BK15" i="1"/>
  <c r="BK11" i="1"/>
  <c r="BK52" i="1"/>
  <c r="BK23" i="1"/>
  <c r="BK13" i="1"/>
  <c r="BJ110" i="1"/>
  <c r="BJ90" i="1"/>
  <c r="BJ297" i="1"/>
  <c r="BJ603" i="1"/>
  <c r="BM4" i="1"/>
  <c r="BL6" i="1"/>
  <c r="BJ263" i="1"/>
  <c r="BJ314" i="1"/>
  <c r="BJ552" i="1"/>
  <c r="BJ416" i="1"/>
  <c r="BJ467" i="1"/>
  <c r="BJ34" i="1"/>
  <c r="BJ127" i="1"/>
  <c r="BJ518" i="1"/>
  <c r="BJ637" i="1"/>
  <c r="BJ39" i="1"/>
  <c r="BJ99" i="1"/>
  <c r="BJ212" i="1"/>
  <c r="BJ382" i="1"/>
  <c r="BJ689" i="1"/>
  <c r="BJ45" i="1"/>
  <c r="BJ144" i="1"/>
  <c r="BJ280" i="1"/>
  <c r="BJ331" i="1"/>
  <c r="BJ484" i="1"/>
  <c r="BJ501" i="1"/>
  <c r="BJ63" i="1"/>
  <c r="BJ81" i="1"/>
  <c r="BJ195" i="1"/>
  <c r="BJ365" i="1"/>
  <c r="BJ586" i="1"/>
  <c r="BJ620" i="1"/>
  <c r="BI7" i="1" l="1"/>
  <c r="BI8" i="1"/>
  <c r="BI5" i="1"/>
  <c r="BK45" i="1"/>
  <c r="BK81" i="1"/>
  <c r="BK195" i="1"/>
  <c r="BK552" i="1"/>
  <c r="BK603" i="1"/>
  <c r="BK620" i="1"/>
  <c r="BL703" i="1"/>
  <c r="BL701" i="1"/>
  <c r="BL697" i="1"/>
  <c r="BL694" i="1"/>
  <c r="BL702" i="1"/>
  <c r="BL700" i="1"/>
  <c r="BL696" i="1"/>
  <c r="BL684" i="1"/>
  <c r="BL699" i="1"/>
  <c r="BL698" i="1"/>
  <c r="BL693" i="1"/>
  <c r="BL678" i="1"/>
  <c r="BL683" i="1"/>
  <c r="BL674" i="1"/>
  <c r="BL691" i="1"/>
  <c r="BL685" i="1"/>
  <c r="BL681" i="1"/>
  <c r="BL692" i="1"/>
  <c r="BL690" i="1"/>
  <c r="BL680" i="1"/>
  <c r="BL677" i="1"/>
  <c r="BL686" i="1"/>
  <c r="BL688" i="1"/>
  <c r="BL675" i="1"/>
  <c r="BL687" i="1"/>
  <c r="BL679" i="1"/>
  <c r="BL676" i="1"/>
  <c r="BL669" i="1"/>
  <c r="BL664" i="1"/>
  <c r="BL660" i="1"/>
  <c r="BL657" i="1"/>
  <c r="BL682" i="1"/>
  <c r="BL670" i="1"/>
  <c r="BL650" i="1"/>
  <c r="BL672" i="1"/>
  <c r="BL666" i="1"/>
  <c r="BL653" i="1"/>
  <c r="BL668" i="1"/>
  <c r="BL662" i="1"/>
  <c r="BL667" i="1"/>
  <c r="BL661" i="1"/>
  <c r="BL648" i="1"/>
  <c r="BL642" i="1"/>
  <c r="BL659" i="1"/>
  <c r="BL673" i="1"/>
  <c r="BL663" i="1"/>
  <c r="BL647" i="1"/>
  <c r="BL665" i="1"/>
  <c r="BL651" i="1"/>
  <c r="BL656" i="1"/>
  <c r="BL652" i="1"/>
  <c r="BL649" i="1"/>
  <c r="BL658" i="1"/>
  <c r="BL635" i="1"/>
  <c r="BL631" i="1"/>
  <c r="BL626" i="1"/>
  <c r="BL655" i="1"/>
  <c r="BL644" i="1"/>
  <c r="BL636" i="1"/>
  <c r="BL632" i="1"/>
  <c r="BL645" i="1"/>
  <c r="BL624" i="1"/>
  <c r="BL641" i="1"/>
  <c r="BL622" i="1"/>
  <c r="BL646" i="1"/>
  <c r="BL640" i="1"/>
  <c r="BL634" i="1"/>
  <c r="BL623" i="1"/>
  <c r="BL621" i="1"/>
  <c r="BL616" i="1"/>
  <c r="BL643" i="1"/>
  <c r="BL633" i="1"/>
  <c r="BL630" i="1"/>
  <c r="BL615" i="1"/>
  <c r="BL625" i="1"/>
  <c r="BL639" i="1"/>
  <c r="BL629" i="1"/>
  <c r="BL638" i="1"/>
  <c r="BL627" i="1"/>
  <c r="BL619" i="1"/>
  <c r="BL617" i="1"/>
  <c r="BL614" i="1"/>
  <c r="BL605" i="1"/>
  <c r="BL604" i="1"/>
  <c r="BL607" i="1"/>
  <c r="BL612" i="1"/>
  <c r="BL608" i="1"/>
  <c r="BL598" i="1"/>
  <c r="BL609" i="1"/>
  <c r="BL628" i="1"/>
  <c r="BL618" i="1"/>
  <c r="BL613" i="1"/>
  <c r="BL611" i="1"/>
  <c r="BL593" i="1"/>
  <c r="BL597" i="1"/>
  <c r="BL596" i="1"/>
  <c r="BL606" i="1"/>
  <c r="BL602" i="1"/>
  <c r="BL601" i="1"/>
  <c r="BL599" i="1"/>
  <c r="BL595" i="1"/>
  <c r="BL591" i="1"/>
  <c r="BL579" i="1"/>
  <c r="BL588" i="1"/>
  <c r="BL581" i="1"/>
  <c r="BL589" i="1"/>
  <c r="BL587" i="1"/>
  <c r="BL584" i="1"/>
  <c r="BL578" i="1"/>
  <c r="BL590" i="1"/>
  <c r="BL583" i="1"/>
  <c r="BL600" i="1"/>
  <c r="BL594" i="1"/>
  <c r="BL575" i="1"/>
  <c r="BL585" i="1"/>
  <c r="BL574" i="1"/>
  <c r="BL610" i="1"/>
  <c r="BL564" i="1"/>
  <c r="BL567" i="1"/>
  <c r="BL573" i="1"/>
  <c r="BL557" i="1"/>
  <c r="BL547" i="1"/>
  <c r="BL541" i="1"/>
  <c r="BL563" i="1"/>
  <c r="BL561" i="1"/>
  <c r="BL582" i="1"/>
  <c r="BL566" i="1"/>
  <c r="BL565" i="1"/>
  <c r="BL568" i="1"/>
  <c r="BL558" i="1"/>
  <c r="BL592" i="1"/>
  <c r="BL580" i="1"/>
  <c r="BL577" i="1"/>
  <c r="BL562" i="1"/>
  <c r="BL551" i="1"/>
  <c r="BL572" i="1"/>
  <c r="BL571" i="1"/>
  <c r="BL570" i="1"/>
  <c r="BL550" i="1"/>
  <c r="BL548" i="1"/>
  <c r="BL538" i="1"/>
  <c r="BL555" i="1"/>
  <c r="BL537" i="1"/>
  <c r="BL543" i="1"/>
  <c r="BL576" i="1"/>
  <c r="BL545" i="1"/>
  <c r="BL559" i="1"/>
  <c r="BL560" i="1"/>
  <c r="BL554" i="1"/>
  <c r="BL549" i="1"/>
  <c r="BL523" i="1"/>
  <c r="BL544" i="1"/>
  <c r="BL531" i="1"/>
  <c r="BL527" i="1"/>
  <c r="BL540" i="1"/>
  <c r="BL534" i="1"/>
  <c r="BL516" i="1"/>
  <c r="BL528" i="1"/>
  <c r="BL513" i="1"/>
  <c r="BL509" i="1"/>
  <c r="BL533" i="1"/>
  <c r="BL542" i="1"/>
  <c r="BL529" i="1"/>
  <c r="BL553" i="1"/>
  <c r="BL546" i="1"/>
  <c r="BL539" i="1"/>
  <c r="BL532" i="1"/>
  <c r="BL530" i="1"/>
  <c r="BL526" i="1"/>
  <c r="BL556" i="1"/>
  <c r="BL536" i="1"/>
  <c r="BL519" i="1"/>
  <c r="BL515" i="1"/>
  <c r="BL525" i="1"/>
  <c r="BL522" i="1"/>
  <c r="BL521" i="1"/>
  <c r="BL520" i="1"/>
  <c r="BL511" i="1"/>
  <c r="BL487" i="1"/>
  <c r="BL483" i="1"/>
  <c r="BL507" i="1"/>
  <c r="BL499" i="1"/>
  <c r="BL495" i="1"/>
  <c r="BL524" i="1"/>
  <c r="BL514" i="1"/>
  <c r="BL512" i="1"/>
  <c r="BL517" i="1"/>
  <c r="BL510" i="1"/>
  <c r="BL503" i="1"/>
  <c r="BL502" i="1"/>
  <c r="BL500" i="1"/>
  <c r="BL505" i="1"/>
  <c r="BL504" i="1"/>
  <c r="BL508" i="1"/>
  <c r="BL506" i="1"/>
  <c r="BL496" i="1"/>
  <c r="BL491" i="1"/>
  <c r="BL494" i="1"/>
  <c r="BL493" i="1"/>
  <c r="BL489" i="1"/>
  <c r="BL492" i="1"/>
  <c r="BL498" i="1"/>
  <c r="BL485" i="1"/>
  <c r="BL490" i="1"/>
  <c r="BL488" i="1"/>
  <c r="BL478" i="1"/>
  <c r="BL477" i="1"/>
  <c r="BL458" i="1"/>
  <c r="BL452" i="1"/>
  <c r="BL486" i="1"/>
  <c r="BL474" i="1"/>
  <c r="BL464" i="1"/>
  <c r="BL480" i="1"/>
  <c r="BL457" i="1"/>
  <c r="BL451" i="1"/>
  <c r="BL445" i="1"/>
  <c r="BL470" i="1"/>
  <c r="BL473" i="1"/>
  <c r="BL465" i="1"/>
  <c r="BL456" i="1"/>
  <c r="BL461" i="1"/>
  <c r="BL455" i="1"/>
  <c r="BL497" i="1"/>
  <c r="BL479" i="1"/>
  <c r="BL472" i="1"/>
  <c r="BL469" i="1"/>
  <c r="BL466" i="1"/>
  <c r="BL462" i="1"/>
  <c r="BL460" i="1"/>
  <c r="BL481" i="1"/>
  <c r="BL476" i="1"/>
  <c r="BL475" i="1"/>
  <c r="BL463" i="1"/>
  <c r="BL459" i="1"/>
  <c r="BL482" i="1"/>
  <c r="BL471" i="1"/>
  <c r="BL468" i="1"/>
  <c r="BL454" i="1"/>
  <c r="BL443" i="1"/>
  <c r="BL435" i="1"/>
  <c r="BL425" i="1"/>
  <c r="BL420" i="1"/>
  <c r="BL436" i="1"/>
  <c r="BL428" i="1"/>
  <c r="BL408" i="1"/>
  <c r="BL402" i="1"/>
  <c r="BL447" i="1"/>
  <c r="BL431" i="1"/>
  <c r="BL449" i="1"/>
  <c r="BL437" i="1"/>
  <c r="BL424" i="1"/>
  <c r="BL421" i="1"/>
  <c r="BL417" i="1"/>
  <c r="BL413" i="1"/>
  <c r="BL438" i="1"/>
  <c r="BL427" i="1"/>
  <c r="BL444" i="1"/>
  <c r="BL430" i="1"/>
  <c r="BL414" i="1"/>
  <c r="BL412" i="1"/>
  <c r="BL448" i="1"/>
  <c r="BL446" i="1"/>
  <c r="BL440" i="1"/>
  <c r="BL426" i="1"/>
  <c r="BL415" i="1"/>
  <c r="BL453" i="1"/>
  <c r="BL441" i="1"/>
  <c r="BL429" i="1"/>
  <c r="BL442" i="1"/>
  <c r="BL432" i="1"/>
  <c r="BL423" i="1"/>
  <c r="BL434" i="1"/>
  <c r="BL401" i="1"/>
  <c r="BL422" i="1"/>
  <c r="BL419" i="1"/>
  <c r="BL407" i="1"/>
  <c r="BL404" i="1"/>
  <c r="BL395" i="1"/>
  <c r="BL389" i="1"/>
  <c r="BL409" i="1"/>
  <c r="BL418" i="1"/>
  <c r="BL410" i="1"/>
  <c r="BL396" i="1"/>
  <c r="BL403" i="1"/>
  <c r="BL400" i="1"/>
  <c r="BL406" i="1"/>
  <c r="BL397" i="1"/>
  <c r="BL393" i="1"/>
  <c r="BL392" i="1"/>
  <c r="BL386" i="1"/>
  <c r="BL439" i="1"/>
  <c r="BL411" i="1"/>
  <c r="BL405" i="1"/>
  <c r="BL398" i="1"/>
  <c r="BL380" i="1"/>
  <c r="BL372" i="1"/>
  <c r="BL360" i="1"/>
  <c r="BL388" i="1"/>
  <c r="BL381" i="1"/>
  <c r="BL373" i="1"/>
  <c r="BL363" i="1"/>
  <c r="BL383" i="1"/>
  <c r="BL374" i="1"/>
  <c r="BL375" i="1"/>
  <c r="BL358" i="1"/>
  <c r="BL391" i="1"/>
  <c r="BL376" i="1"/>
  <c r="BL377" i="1"/>
  <c r="BL356" i="1"/>
  <c r="BL384" i="1"/>
  <c r="BL378" i="1"/>
  <c r="BL390" i="1"/>
  <c r="BL379" i="1"/>
  <c r="BL371" i="1"/>
  <c r="BL369" i="1"/>
  <c r="BL366" i="1"/>
  <c r="BL354" i="1"/>
  <c r="BL339" i="1"/>
  <c r="BL335" i="1"/>
  <c r="BL370" i="1"/>
  <c r="BL361" i="1"/>
  <c r="BL343" i="1"/>
  <c r="BL328" i="1"/>
  <c r="BL324" i="1"/>
  <c r="BL347" i="1"/>
  <c r="BL332" i="1"/>
  <c r="BL387" i="1"/>
  <c r="BL368" i="1"/>
  <c r="BL359" i="1"/>
  <c r="BL340" i="1"/>
  <c r="BL336" i="1"/>
  <c r="BL321" i="1"/>
  <c r="BL320" i="1"/>
  <c r="BL344" i="1"/>
  <c r="BL325" i="1"/>
  <c r="BL333" i="1"/>
  <c r="BL329" i="1"/>
  <c r="BL319" i="1"/>
  <c r="BL313" i="1"/>
  <c r="BL355" i="1"/>
  <c r="BL337" i="1"/>
  <c r="BL322" i="1"/>
  <c r="BL394" i="1"/>
  <c r="BL351" i="1"/>
  <c r="BL345" i="1"/>
  <c r="BL341" i="1"/>
  <c r="BL326" i="1"/>
  <c r="BL318" i="1"/>
  <c r="BL352" i="1"/>
  <c r="BL349" i="1"/>
  <c r="BL348" i="1" s="1"/>
  <c r="BL334" i="1"/>
  <c r="BL330" i="1"/>
  <c r="BL338" i="1"/>
  <c r="BL353" i="1"/>
  <c r="BL346" i="1"/>
  <c r="BL342" i="1"/>
  <c r="BL327" i="1"/>
  <c r="BL323" i="1"/>
  <c r="BL350" i="1"/>
  <c r="BL296" i="1"/>
  <c r="BL293" i="1"/>
  <c r="BL287" i="1"/>
  <c r="BL281" i="1"/>
  <c r="BL275" i="1"/>
  <c r="BL315" i="1"/>
  <c r="BL304" i="1"/>
  <c r="BL299" i="1"/>
  <c r="BL294" i="1"/>
  <c r="BL364" i="1"/>
  <c r="BL357" i="1"/>
  <c r="BL317" i="1"/>
  <c r="BL385" i="1"/>
  <c r="BL295" i="1"/>
  <c r="BL291" i="1"/>
  <c r="BL285" i="1"/>
  <c r="BL279" i="1"/>
  <c r="BL273" i="1"/>
  <c r="BL267" i="1"/>
  <c r="BL311" i="1"/>
  <c r="BL310" i="1"/>
  <c r="BL309" i="1"/>
  <c r="BL308" i="1"/>
  <c r="BL307" i="1"/>
  <c r="BL306" i="1"/>
  <c r="BL298" i="1"/>
  <c r="BL290" i="1"/>
  <c r="BL284" i="1"/>
  <c r="BL367" i="1"/>
  <c r="BL312" i="1"/>
  <c r="BL301" i="1"/>
  <c r="BL289" i="1"/>
  <c r="BL362" i="1"/>
  <c r="BL302" i="1"/>
  <c r="BL300" i="1"/>
  <c r="BL288" i="1"/>
  <c r="BL282" i="1"/>
  <c r="BL316" i="1"/>
  <c r="BL303" i="1"/>
  <c r="BL269" i="1"/>
  <c r="BL253" i="1"/>
  <c r="BL249" i="1"/>
  <c r="BL257" i="1"/>
  <c r="BL248" i="1"/>
  <c r="BL242" i="1"/>
  <c r="BL236" i="1"/>
  <c r="BL305" i="1"/>
  <c r="BL261" i="1"/>
  <c r="BL286" i="1"/>
  <c r="BL264" i="1"/>
  <c r="BL250" i="1"/>
  <c r="BL247" i="1"/>
  <c r="BL241" i="1"/>
  <c r="BL235" i="1"/>
  <c r="BL278" i="1"/>
  <c r="BL258" i="1"/>
  <c r="BL254" i="1"/>
  <c r="BL283" i="1"/>
  <c r="BL277" i="1"/>
  <c r="BL268" i="1"/>
  <c r="BL262" i="1"/>
  <c r="BL240" i="1"/>
  <c r="BL234" i="1"/>
  <c r="BL276" i="1"/>
  <c r="BL274" i="1"/>
  <c r="BL271" i="1"/>
  <c r="BL292" i="1"/>
  <c r="BL256" i="1"/>
  <c r="BL265" i="1"/>
  <c r="BL260" i="1"/>
  <c r="BL243" i="1"/>
  <c r="BL231" i="1"/>
  <c r="BL266" i="1"/>
  <c r="BL224" i="1"/>
  <c r="BL216" i="1"/>
  <c r="BL207" i="1"/>
  <c r="BL201" i="1"/>
  <c r="BL272" i="1"/>
  <c r="BL252" i="1"/>
  <c r="BL238" i="1"/>
  <c r="BL214" i="1"/>
  <c r="BL251" i="1"/>
  <c r="BL245" i="1"/>
  <c r="BL237" i="1"/>
  <c r="BL270" i="1"/>
  <c r="BL233" i="1"/>
  <c r="BL230" i="1"/>
  <c r="BL229" i="1" s="1"/>
  <c r="BL215" i="1"/>
  <c r="BL211" i="1"/>
  <c r="BL255" i="1"/>
  <c r="BL219" i="1"/>
  <c r="BL232" i="1"/>
  <c r="BL210" i="1"/>
  <c r="BL225" i="1"/>
  <c r="BL220" i="1"/>
  <c r="BL259" i="1"/>
  <c r="BL227" i="1"/>
  <c r="BL221" i="1"/>
  <c r="BL228" i="1"/>
  <c r="BL189" i="1"/>
  <c r="BL177" i="1"/>
  <c r="BL171" i="1"/>
  <c r="BL165" i="1"/>
  <c r="BL159" i="1"/>
  <c r="BL223" i="1"/>
  <c r="BL206" i="1"/>
  <c r="BL196" i="1"/>
  <c r="BL193" i="1"/>
  <c r="BL213" i="1"/>
  <c r="BL209" i="1"/>
  <c r="BL203" i="1"/>
  <c r="BL182" i="1"/>
  <c r="BL176" i="1"/>
  <c r="BL170" i="1"/>
  <c r="BL164" i="1"/>
  <c r="BL158" i="1"/>
  <c r="BL152" i="1"/>
  <c r="BL146" i="1"/>
  <c r="BL200" i="1"/>
  <c r="BL199" i="1"/>
  <c r="BL190" i="1"/>
  <c r="BL186" i="1"/>
  <c r="BL226" i="1"/>
  <c r="BL222" i="1"/>
  <c r="BL218" i="1"/>
  <c r="BL205" i="1"/>
  <c r="BL179" i="1"/>
  <c r="BL244" i="1"/>
  <c r="BL239" i="1"/>
  <c r="BL202" i="1"/>
  <c r="BL184" i="1"/>
  <c r="BL180" i="1"/>
  <c r="BL173" i="1"/>
  <c r="BL167" i="1"/>
  <c r="BL192" i="1"/>
  <c r="BL172" i="1"/>
  <c r="BL198" i="1"/>
  <c r="BL174" i="1"/>
  <c r="BL163" i="1"/>
  <c r="BL162" i="1"/>
  <c r="BL142" i="1"/>
  <c r="BL125" i="1"/>
  <c r="BL119" i="1"/>
  <c r="BL113" i="1"/>
  <c r="BL191" i="1"/>
  <c r="BL175" i="1"/>
  <c r="BL166" i="1"/>
  <c r="BL155" i="1"/>
  <c r="BL139" i="1"/>
  <c r="BL135" i="1"/>
  <c r="BL124" i="1"/>
  <c r="BL208" i="1"/>
  <c r="BL188" i="1"/>
  <c r="BL187" i="1"/>
  <c r="BL183" i="1"/>
  <c r="BL151" i="1"/>
  <c r="BL132" i="1"/>
  <c r="BL128" i="1"/>
  <c r="BL123" i="1"/>
  <c r="BL117" i="1"/>
  <c r="BL204" i="1"/>
  <c r="BL194" i="1"/>
  <c r="BL185" i="1"/>
  <c r="BL157" i="1"/>
  <c r="BL148" i="1"/>
  <c r="BL136" i="1"/>
  <c r="BL181" i="1"/>
  <c r="BL154" i="1"/>
  <c r="BL140" i="1"/>
  <c r="BL217" i="1"/>
  <c r="BL169" i="1"/>
  <c r="BL137" i="1"/>
  <c r="BL150" i="1"/>
  <c r="BL197" i="1"/>
  <c r="BL160" i="1"/>
  <c r="BL156" i="1"/>
  <c r="BL153" i="1"/>
  <c r="BL131" i="1"/>
  <c r="BL115" i="1"/>
  <c r="BL108" i="1"/>
  <c r="BL98" i="1"/>
  <c r="BL87" i="1"/>
  <c r="BL76" i="1"/>
  <c r="BL97" i="1"/>
  <c r="BL86" i="1"/>
  <c r="BL75" i="1"/>
  <c r="BL143" i="1"/>
  <c r="BL133" i="1"/>
  <c r="BL129" i="1"/>
  <c r="BL120" i="1"/>
  <c r="BL107" i="1"/>
  <c r="BL96" i="1"/>
  <c r="BL85" i="1"/>
  <c r="BL74" i="1"/>
  <c r="BL141" i="1"/>
  <c r="BL122" i="1"/>
  <c r="BL121" i="1"/>
  <c r="BL106" i="1"/>
  <c r="BL95" i="1"/>
  <c r="BL84" i="1"/>
  <c r="BL73" i="1"/>
  <c r="BL145" i="1"/>
  <c r="BL138" i="1"/>
  <c r="BL114" i="1"/>
  <c r="BL105" i="1"/>
  <c r="BL94" i="1"/>
  <c r="BL83" i="1"/>
  <c r="BL130" i="1"/>
  <c r="BL104" i="1"/>
  <c r="BL93" i="1"/>
  <c r="BL168" i="1"/>
  <c r="BL103" i="1"/>
  <c r="BL92" i="1"/>
  <c r="BL126" i="1"/>
  <c r="BL102" i="1"/>
  <c r="BL91" i="1"/>
  <c r="BL149" i="1"/>
  <c r="BL116" i="1"/>
  <c r="BL101" i="1"/>
  <c r="BL80" i="1"/>
  <c r="BL147" i="1"/>
  <c r="BL111" i="1"/>
  <c r="BL100" i="1"/>
  <c r="BL79" i="1"/>
  <c r="BL134" i="1"/>
  <c r="BL118" i="1"/>
  <c r="BL89" i="1"/>
  <c r="BL88" i="1"/>
  <c r="BL78" i="1"/>
  <c r="BL70" i="1"/>
  <c r="BL67" i="1"/>
  <c r="BL60" i="1"/>
  <c r="BL49" i="1"/>
  <c r="BL41" i="1"/>
  <c r="BL35" i="1"/>
  <c r="BL29" i="1"/>
  <c r="BL23" i="1"/>
  <c r="BL17" i="1"/>
  <c r="BL11" i="1"/>
  <c r="BL59" i="1"/>
  <c r="BL48" i="1"/>
  <c r="BL58" i="1"/>
  <c r="BL47" i="1"/>
  <c r="BL40" i="1"/>
  <c r="BL28" i="1"/>
  <c r="BL22" i="1"/>
  <c r="BL16" i="1"/>
  <c r="BL10" i="1"/>
  <c r="BL57" i="1"/>
  <c r="BL46" i="1"/>
  <c r="BL68" i="1"/>
  <c r="BL82" i="1"/>
  <c r="BL71" i="1"/>
  <c r="BL55" i="1"/>
  <c r="BL65" i="1"/>
  <c r="BL38" i="1"/>
  <c r="BL32" i="1"/>
  <c r="BL26" i="1"/>
  <c r="BL20" i="1"/>
  <c r="BL112" i="1"/>
  <c r="BL64" i="1"/>
  <c r="BL69" i="1"/>
  <c r="BL66" i="1"/>
  <c r="BL52" i="1"/>
  <c r="BL77" i="1"/>
  <c r="BL62" i="1"/>
  <c r="BL61" i="1"/>
  <c r="BL50" i="1"/>
  <c r="BL12" i="1"/>
  <c r="BL51" i="1"/>
  <c r="BL31" i="1"/>
  <c r="BL25" i="1"/>
  <c r="BL53" i="1"/>
  <c r="BL24" i="1"/>
  <c r="BL56" i="1"/>
  <c r="BL30" i="1"/>
  <c r="BL19" i="1"/>
  <c r="BL9" i="1"/>
  <c r="BL15" i="1"/>
  <c r="BL43" i="1"/>
  <c r="BL21" i="1"/>
  <c r="BL36" i="1"/>
  <c r="BL33" i="1"/>
  <c r="BL18" i="1"/>
  <c r="BL14" i="1"/>
  <c r="BL13" i="1"/>
  <c r="BL37" i="1"/>
  <c r="BL27" i="1"/>
  <c r="BL42" i="1"/>
  <c r="BK433" i="1"/>
  <c r="BM6" i="1"/>
  <c r="BN4" i="1"/>
  <c r="BN6" i="1" s="1"/>
  <c r="BK144" i="1"/>
  <c r="BK348" i="1"/>
  <c r="BK314" i="1"/>
  <c r="BK365" i="1"/>
  <c r="BK399" i="1"/>
  <c r="BK518" i="1"/>
  <c r="BK569" i="1"/>
  <c r="BK654" i="1"/>
  <c r="BK382" i="1"/>
  <c r="BK484" i="1"/>
  <c r="BK535" i="1"/>
  <c r="BK586" i="1"/>
  <c r="BK34" i="1"/>
  <c r="BK90" i="1"/>
  <c r="BK246" i="1"/>
  <c r="BK280" i="1"/>
  <c r="BK671" i="1"/>
  <c r="BK54" i="1"/>
  <c r="BK39" i="1"/>
  <c r="BK178" i="1"/>
  <c r="BJ109" i="1"/>
  <c r="BK263" i="1"/>
  <c r="BK467" i="1"/>
  <c r="BK99" i="1"/>
  <c r="BK161" i="1"/>
  <c r="BK416" i="1"/>
  <c r="BK637" i="1"/>
  <c r="BK110" i="1"/>
  <c r="BK297" i="1"/>
  <c r="BK450" i="1"/>
  <c r="BK501" i="1"/>
  <c r="BJ44" i="1"/>
  <c r="BJ7" i="1" s="1"/>
  <c r="BK63" i="1"/>
  <c r="BK72" i="1"/>
  <c r="BK127" i="1"/>
  <c r="BK212" i="1"/>
  <c r="BK229" i="1"/>
  <c r="BK331" i="1"/>
  <c r="BK689" i="1"/>
  <c r="BK695" i="1"/>
  <c r="BL331" i="1" l="1"/>
  <c r="BL382" i="1"/>
  <c r="BJ8" i="1"/>
  <c r="BJ5" i="1"/>
  <c r="BL365" i="1"/>
  <c r="BL518" i="1"/>
  <c r="BN703" i="1"/>
  <c r="BN702" i="1"/>
  <c r="BN700" i="1"/>
  <c r="BN692" i="1"/>
  <c r="BN701" i="1"/>
  <c r="BN699" i="1"/>
  <c r="BN693" i="1"/>
  <c r="BN698" i="1"/>
  <c r="BN696" i="1"/>
  <c r="BN684" i="1"/>
  <c r="BN677" i="1"/>
  <c r="BN697" i="1"/>
  <c r="BN678" i="1"/>
  <c r="BN673" i="1"/>
  <c r="BN682" i="1"/>
  <c r="BN694" i="1"/>
  <c r="BN691" i="1"/>
  <c r="BN687" i="1"/>
  <c r="BN690" i="1"/>
  <c r="BN685" i="1"/>
  <c r="BN686" i="1"/>
  <c r="BN688" i="1"/>
  <c r="BN683" i="1"/>
  <c r="BN681" i="1"/>
  <c r="BN675" i="1"/>
  <c r="BN670" i="1"/>
  <c r="BN679" i="1"/>
  <c r="BN676" i="1"/>
  <c r="BN674" i="1"/>
  <c r="BN660" i="1"/>
  <c r="BN663" i="1"/>
  <c r="BN680" i="1"/>
  <c r="BN672" i="1"/>
  <c r="BN668" i="1"/>
  <c r="BN666" i="1"/>
  <c r="BN662" i="1"/>
  <c r="BN657" i="1"/>
  <c r="BN656" i="1"/>
  <c r="BN649" i="1"/>
  <c r="BN669" i="1"/>
  <c r="BN667" i="1"/>
  <c r="BN661" i="1"/>
  <c r="BN659" i="1"/>
  <c r="BN647" i="1"/>
  <c r="BN641" i="1"/>
  <c r="BN646" i="1"/>
  <c r="BN665" i="1"/>
  <c r="BN664" i="1"/>
  <c r="BN652" i="1"/>
  <c r="BN658" i="1"/>
  <c r="BN655" i="1"/>
  <c r="BN634" i="1"/>
  <c r="BN630" i="1"/>
  <c r="BN650" i="1"/>
  <c r="BN648" i="1"/>
  <c r="BN651" i="1"/>
  <c r="BN643" i="1"/>
  <c r="BN628" i="1"/>
  <c r="BN625" i="1"/>
  <c r="BN638" i="1"/>
  <c r="BN629" i="1"/>
  <c r="BN633" i="1"/>
  <c r="BN623" i="1"/>
  <c r="BN622" i="1"/>
  <c r="BN618" i="1"/>
  <c r="BN636" i="1"/>
  <c r="BN644" i="1"/>
  <c r="BN645" i="1"/>
  <c r="BN642" i="1"/>
  <c r="BN627" i="1"/>
  <c r="BN626" i="1"/>
  <c r="BN653" i="1"/>
  <c r="BN640" i="1"/>
  <c r="BN639" i="1"/>
  <c r="BN632" i="1"/>
  <c r="BN635" i="1"/>
  <c r="BN611" i="1"/>
  <c r="BN608" i="1"/>
  <c r="BN624" i="1"/>
  <c r="BN616" i="1"/>
  <c r="BN605" i="1"/>
  <c r="BN619" i="1"/>
  <c r="BN617" i="1"/>
  <c r="BN615" i="1"/>
  <c r="BN600" i="1"/>
  <c r="BN612" i="1"/>
  <c r="BN614" i="1"/>
  <c r="BN609" i="1"/>
  <c r="BN606" i="1"/>
  <c r="BN601" i="1"/>
  <c r="BN597" i="1"/>
  <c r="BN621" i="1"/>
  <c r="BN610" i="1"/>
  <c r="BN613" i="1"/>
  <c r="BN590" i="1"/>
  <c r="BN604" i="1"/>
  <c r="BN602" i="1"/>
  <c r="BN631" i="1"/>
  <c r="BN607" i="1"/>
  <c r="BN588" i="1"/>
  <c r="BN592" i="1"/>
  <c r="BN589" i="1"/>
  <c r="BN587" i="1"/>
  <c r="BN584" i="1"/>
  <c r="BN578" i="1"/>
  <c r="BN582" i="1"/>
  <c r="BN577" i="1"/>
  <c r="BN596" i="1"/>
  <c r="BN594" i="1"/>
  <c r="BN598" i="1"/>
  <c r="BN580" i="1"/>
  <c r="BN585" i="1"/>
  <c r="BN599" i="1"/>
  <c r="BN591" i="1"/>
  <c r="BN583" i="1"/>
  <c r="BN570" i="1"/>
  <c r="BN573" i="1"/>
  <c r="BN595" i="1"/>
  <c r="BN593" i="1"/>
  <c r="BN572" i="1"/>
  <c r="BN579" i="1"/>
  <c r="BN561" i="1"/>
  <c r="BN565" i="1"/>
  <c r="BN564" i="1"/>
  <c r="BN563" i="1"/>
  <c r="BN546" i="1"/>
  <c r="BN540" i="1"/>
  <c r="BN568" i="1"/>
  <c r="BN566" i="1"/>
  <c r="BN558" i="1"/>
  <c r="BN554" i="1"/>
  <c r="BN581" i="1"/>
  <c r="BN562" i="1"/>
  <c r="BN551" i="1"/>
  <c r="BN559" i="1"/>
  <c r="BN555" i="1"/>
  <c r="BN576" i="1"/>
  <c r="BN571" i="1"/>
  <c r="BN575" i="1"/>
  <c r="BN560" i="1"/>
  <c r="BN574" i="1"/>
  <c r="BN537" i="1"/>
  <c r="BN543" i="1"/>
  <c r="BN536" i="1"/>
  <c r="BN557" i="1"/>
  <c r="BN545" i="1"/>
  <c r="BN549" i="1"/>
  <c r="BN547" i="1"/>
  <c r="BN556" i="1"/>
  <c r="BN553" i="1"/>
  <c r="BN542" i="1"/>
  <c r="BN567" i="1"/>
  <c r="BN550" i="1"/>
  <c r="BN544" i="1"/>
  <c r="BN531" i="1"/>
  <c r="BN534" i="1"/>
  <c r="BN524" i="1"/>
  <c r="BN541" i="1"/>
  <c r="BN528" i="1"/>
  <c r="BN509" i="1"/>
  <c r="BN548" i="1"/>
  <c r="BN533" i="1"/>
  <c r="BN521" i="1"/>
  <c r="BN506" i="1"/>
  <c r="BN502" i="1"/>
  <c r="BN529" i="1"/>
  <c r="BN525" i="1"/>
  <c r="BN539" i="1"/>
  <c r="BN532" i="1"/>
  <c r="BN530" i="1"/>
  <c r="BN526" i="1"/>
  <c r="BN538" i="1"/>
  <c r="BN523" i="1"/>
  <c r="BN519" i="1"/>
  <c r="BN527" i="1"/>
  <c r="BN512" i="1"/>
  <c r="BN508" i="1"/>
  <c r="BN522" i="1"/>
  <c r="BN513" i="1"/>
  <c r="BN498" i="1"/>
  <c r="BN494" i="1"/>
  <c r="BN520" i="1"/>
  <c r="BN511" i="1"/>
  <c r="BN516" i="1"/>
  <c r="BN495" i="1"/>
  <c r="BN507" i="1"/>
  <c r="BN499" i="1"/>
  <c r="BN514" i="1"/>
  <c r="BN492" i="1"/>
  <c r="BN488" i="1"/>
  <c r="BN510" i="1"/>
  <c r="BN503" i="1"/>
  <c r="BN500" i="1"/>
  <c r="BN517" i="1"/>
  <c r="BN505" i="1"/>
  <c r="BN497" i="1"/>
  <c r="BN515" i="1"/>
  <c r="BN496" i="1"/>
  <c r="BN491" i="1"/>
  <c r="BN478" i="1"/>
  <c r="BN489" i="1"/>
  <c r="BN483" i="1"/>
  <c r="BN493" i="1"/>
  <c r="BN486" i="1"/>
  <c r="BN485" i="1"/>
  <c r="BN480" i="1"/>
  <c r="BN477" i="1"/>
  <c r="BN476" i="1"/>
  <c r="BN504" i="1"/>
  <c r="BN481" i="1"/>
  <c r="BN487" i="1"/>
  <c r="BN457" i="1"/>
  <c r="BN451" i="1"/>
  <c r="BN470" i="1"/>
  <c r="BN465" i="1"/>
  <c r="BN456" i="1"/>
  <c r="BN444" i="1"/>
  <c r="BN473" i="1"/>
  <c r="BN461" i="1"/>
  <c r="BN455" i="1"/>
  <c r="BN469" i="1"/>
  <c r="BN466" i="1"/>
  <c r="BN462" i="1"/>
  <c r="BN490" i="1"/>
  <c r="BN479" i="1"/>
  <c r="BN472" i="1"/>
  <c r="BN460" i="1"/>
  <c r="BN454" i="1"/>
  <c r="BN475" i="1"/>
  <c r="BN463" i="1"/>
  <c r="BN459" i="1"/>
  <c r="BN471" i="1"/>
  <c r="BN468" i="1"/>
  <c r="BN482" i="1"/>
  <c r="BN458" i="1"/>
  <c r="BN474" i="1"/>
  <c r="BN447" i="1"/>
  <c r="BN445" i="1"/>
  <c r="BN436" i="1"/>
  <c r="BN431" i="1"/>
  <c r="BN449" i="1"/>
  <c r="BN437" i="1"/>
  <c r="BN417" i="1"/>
  <c r="BN413" i="1"/>
  <c r="BN407" i="1"/>
  <c r="BN401" i="1"/>
  <c r="BN424" i="1"/>
  <c r="BN421" i="1"/>
  <c r="BN438" i="1"/>
  <c r="BN427" i="1"/>
  <c r="BN414" i="1"/>
  <c r="BN412" i="1"/>
  <c r="BN430" i="1"/>
  <c r="BN418" i="1"/>
  <c r="BN439" i="1"/>
  <c r="BN422" i="1"/>
  <c r="BN411" i="1"/>
  <c r="BN453" i="1"/>
  <c r="BN448" i="1"/>
  <c r="BN441" i="1"/>
  <c r="BN429" i="1"/>
  <c r="BN452" i="1"/>
  <c r="BN432" i="1"/>
  <c r="BN423" i="1"/>
  <c r="BN442" i="1"/>
  <c r="BN434" i="1"/>
  <c r="BN464" i="1"/>
  <c r="BN443" i="1"/>
  <c r="BN435" i="1"/>
  <c r="BN425" i="1"/>
  <c r="BN420" i="1"/>
  <c r="BN428" i="1"/>
  <c r="BN426" i="1"/>
  <c r="BN419" i="1"/>
  <c r="BN409" i="1"/>
  <c r="BN404" i="1"/>
  <c r="BN446" i="1"/>
  <c r="BN388" i="1"/>
  <c r="BN410" i="1"/>
  <c r="BN396" i="1"/>
  <c r="BN403" i="1"/>
  <c r="BN400" i="1"/>
  <c r="BN440" i="1"/>
  <c r="BN406" i="1"/>
  <c r="BN397" i="1"/>
  <c r="BN393" i="1"/>
  <c r="BN392" i="1"/>
  <c r="BN402" i="1"/>
  <c r="BN391" i="1"/>
  <c r="BN385" i="1"/>
  <c r="BN405" i="1"/>
  <c r="BN394" i="1"/>
  <c r="BN415" i="1"/>
  <c r="BN398" i="1"/>
  <c r="BN381" i="1"/>
  <c r="BN373" i="1"/>
  <c r="BN367" i="1"/>
  <c r="BN363" i="1"/>
  <c r="BN359" i="1"/>
  <c r="BN383" i="1"/>
  <c r="BN374" i="1"/>
  <c r="BN375" i="1"/>
  <c r="BN368" i="1"/>
  <c r="BN364" i="1"/>
  <c r="BN395" i="1"/>
  <c r="BN357" i="1"/>
  <c r="BN408" i="1"/>
  <c r="BN387" i="1"/>
  <c r="BN386" i="1"/>
  <c r="BN377" i="1"/>
  <c r="BN390" i="1"/>
  <c r="BN370" i="1"/>
  <c r="BN362" i="1"/>
  <c r="BN361" i="1"/>
  <c r="BN355" i="1"/>
  <c r="BN379" i="1"/>
  <c r="BN380" i="1"/>
  <c r="BN372" i="1"/>
  <c r="BN369" i="1"/>
  <c r="BN389" i="1"/>
  <c r="BN371" i="1"/>
  <c r="BN347" i="1"/>
  <c r="BN332" i="1"/>
  <c r="BN328" i="1"/>
  <c r="BN376" i="1"/>
  <c r="BN336" i="1"/>
  <c r="BN321" i="1"/>
  <c r="BN320" i="1"/>
  <c r="BN344" i="1"/>
  <c r="BN340" i="1"/>
  <c r="BN325" i="1"/>
  <c r="BN384" i="1"/>
  <c r="BN333" i="1"/>
  <c r="BN329" i="1"/>
  <c r="BN319" i="1"/>
  <c r="BN337" i="1"/>
  <c r="BN351" i="1"/>
  <c r="BN345" i="1"/>
  <c r="BN341" i="1"/>
  <c r="BN326" i="1"/>
  <c r="BN322" i="1"/>
  <c r="BN318" i="1"/>
  <c r="BN312" i="1"/>
  <c r="BN349" i="1"/>
  <c r="BN330" i="1"/>
  <c r="BN352" i="1"/>
  <c r="BN338" i="1"/>
  <c r="BN334" i="1"/>
  <c r="BN317" i="1"/>
  <c r="BN378" i="1"/>
  <c r="BN360" i="1"/>
  <c r="BN342" i="1"/>
  <c r="BN327" i="1"/>
  <c r="BN323" i="1"/>
  <c r="BN353" i="1"/>
  <c r="BN350" i="1"/>
  <c r="BN346" i="1"/>
  <c r="BN366" i="1"/>
  <c r="BN358" i="1"/>
  <c r="BN339" i="1"/>
  <c r="BN335" i="1"/>
  <c r="BN315" i="1"/>
  <c r="BN305" i="1"/>
  <c r="BN292" i="1"/>
  <c r="BN286" i="1"/>
  <c r="BN274" i="1"/>
  <c r="BN313" i="1"/>
  <c r="BN343" i="1"/>
  <c r="BN311" i="1"/>
  <c r="BN298" i="1"/>
  <c r="BN354" i="1"/>
  <c r="BN310" i="1"/>
  <c r="BN309" i="1"/>
  <c r="BN308" i="1"/>
  <c r="BN307" i="1"/>
  <c r="BN306" i="1"/>
  <c r="BN290" i="1"/>
  <c r="BN284" i="1"/>
  <c r="BN278" i="1"/>
  <c r="BN272" i="1"/>
  <c r="BN266" i="1"/>
  <c r="BN301" i="1"/>
  <c r="BN289" i="1"/>
  <c r="BN283" i="1"/>
  <c r="BN356" i="1"/>
  <c r="BN324" i="1"/>
  <c r="BN302" i="1"/>
  <c r="BN300" i="1"/>
  <c r="BN288" i="1"/>
  <c r="BN316" i="1"/>
  <c r="BN303" i="1"/>
  <c r="BN296" i="1"/>
  <c r="BN293" i="1"/>
  <c r="BN287" i="1"/>
  <c r="BN281" i="1"/>
  <c r="BN304" i="1"/>
  <c r="BN299" i="1"/>
  <c r="BN294" i="1"/>
  <c r="BN261" i="1"/>
  <c r="BN264" i="1"/>
  <c r="BN250" i="1"/>
  <c r="BN247" i="1"/>
  <c r="BN241" i="1"/>
  <c r="BN235" i="1"/>
  <c r="BN285" i="1"/>
  <c r="BN282" i="1"/>
  <c r="BN258" i="1"/>
  <c r="BN254" i="1"/>
  <c r="BN279" i="1"/>
  <c r="BN262" i="1"/>
  <c r="BN240" i="1"/>
  <c r="BN234" i="1"/>
  <c r="BN295" i="1"/>
  <c r="BN291" i="1"/>
  <c r="BN277" i="1"/>
  <c r="BN276" i="1"/>
  <c r="BN268" i="1"/>
  <c r="BN251" i="1"/>
  <c r="BN275" i="1"/>
  <c r="BN255" i="1"/>
  <c r="BN245" i="1"/>
  <c r="BN239" i="1"/>
  <c r="BN233" i="1"/>
  <c r="BN273" i="1"/>
  <c r="BN259" i="1"/>
  <c r="BN256" i="1"/>
  <c r="BN269" i="1"/>
  <c r="BN265" i="1"/>
  <c r="BN249" i="1"/>
  <c r="BN257" i="1"/>
  <c r="BN253" i="1"/>
  <c r="BN248" i="1"/>
  <c r="BN242" i="1"/>
  <c r="BN260" i="1"/>
  <c r="BN243" i="1"/>
  <c r="BN231" i="1"/>
  <c r="BN238" i="1"/>
  <c r="BN252" i="1"/>
  <c r="BN244" i="1"/>
  <c r="BN226" i="1"/>
  <c r="BN217" i="1"/>
  <c r="BN206" i="1"/>
  <c r="BN200" i="1"/>
  <c r="BN228" i="1"/>
  <c r="BN270" i="1"/>
  <c r="BN267" i="1"/>
  <c r="BN230" i="1"/>
  <c r="BN236" i="1"/>
  <c r="BN232" i="1"/>
  <c r="BN219" i="1"/>
  <c r="BN210" i="1"/>
  <c r="BN220" i="1"/>
  <c r="BN227" i="1"/>
  <c r="BN225" i="1"/>
  <c r="BN221" i="1"/>
  <c r="BN209" i="1"/>
  <c r="BN271" i="1"/>
  <c r="BN222" i="1"/>
  <c r="BN182" i="1"/>
  <c r="BN176" i="1"/>
  <c r="BN170" i="1"/>
  <c r="BN164" i="1"/>
  <c r="BN158" i="1"/>
  <c r="BN213" i="1"/>
  <c r="BN203" i="1"/>
  <c r="BN199" i="1"/>
  <c r="BN190" i="1"/>
  <c r="BN186" i="1"/>
  <c r="BN205" i="1"/>
  <c r="BN175" i="1"/>
  <c r="BN169" i="1"/>
  <c r="BN163" i="1"/>
  <c r="BN157" i="1"/>
  <c r="BN151" i="1"/>
  <c r="BN145" i="1"/>
  <c r="BN237" i="1"/>
  <c r="BN218" i="1"/>
  <c r="BN201" i="1"/>
  <c r="BN183" i="1"/>
  <c r="BN179" i="1"/>
  <c r="BN215" i="1"/>
  <c r="BN187" i="1"/>
  <c r="BN207" i="1"/>
  <c r="BN224" i="1"/>
  <c r="BN204" i="1"/>
  <c r="BN197" i="1"/>
  <c r="BN192" i="1"/>
  <c r="BN172" i="1"/>
  <c r="BN166" i="1"/>
  <c r="BN214" i="1"/>
  <c r="BN189" i="1"/>
  <c r="BN185" i="1"/>
  <c r="BN177" i="1"/>
  <c r="BN171" i="1"/>
  <c r="BN223" i="1"/>
  <c r="BN155" i="1"/>
  <c r="BN152" i="1"/>
  <c r="BN135" i="1"/>
  <c r="BN124" i="1"/>
  <c r="BN118" i="1"/>
  <c r="BN112" i="1"/>
  <c r="BN216" i="1"/>
  <c r="BN191" i="1"/>
  <c r="BN168" i="1"/>
  <c r="BN193" i="1"/>
  <c r="BN132" i="1"/>
  <c r="BN128" i="1"/>
  <c r="BN123" i="1"/>
  <c r="BN208" i="1"/>
  <c r="BN194" i="1"/>
  <c r="BN154" i="1"/>
  <c r="BN140" i="1"/>
  <c r="BN122" i="1"/>
  <c r="BN116" i="1"/>
  <c r="BN211" i="1"/>
  <c r="BN181" i="1"/>
  <c r="BN180" i="1"/>
  <c r="BN129" i="1"/>
  <c r="BN137" i="1"/>
  <c r="BN133" i="1"/>
  <c r="BN196" i="1"/>
  <c r="BN160" i="1"/>
  <c r="BN156" i="1"/>
  <c r="BN153" i="1"/>
  <c r="BN130" i="1"/>
  <c r="BN126" i="1"/>
  <c r="BN202" i="1"/>
  <c r="BN174" i="1"/>
  <c r="BN162" i="1"/>
  <c r="BN142" i="1"/>
  <c r="BN198" i="1"/>
  <c r="BN173" i="1"/>
  <c r="BN159" i="1"/>
  <c r="BN120" i="1"/>
  <c r="BN107" i="1"/>
  <c r="BN96" i="1"/>
  <c r="BN85" i="1"/>
  <c r="BN74" i="1"/>
  <c r="BN188" i="1"/>
  <c r="BN150" i="1"/>
  <c r="BN148" i="1"/>
  <c r="BN143" i="1"/>
  <c r="BN121" i="1"/>
  <c r="BN106" i="1"/>
  <c r="BN95" i="1"/>
  <c r="BN84" i="1"/>
  <c r="BN73" i="1"/>
  <c r="BN167" i="1"/>
  <c r="BN141" i="1"/>
  <c r="BN114" i="1"/>
  <c r="BN105" i="1"/>
  <c r="BN94" i="1"/>
  <c r="BN83" i="1"/>
  <c r="BN139" i="1"/>
  <c r="BN138" i="1"/>
  <c r="BN104" i="1"/>
  <c r="BN93" i="1"/>
  <c r="BN82" i="1"/>
  <c r="BN136" i="1"/>
  <c r="BN103" i="1"/>
  <c r="BN92" i="1"/>
  <c r="BN71" i="1"/>
  <c r="BN102" i="1"/>
  <c r="BN91" i="1"/>
  <c r="BN165" i="1"/>
  <c r="BN146" i="1"/>
  <c r="BN113" i="1"/>
  <c r="BN101" i="1"/>
  <c r="BN80" i="1"/>
  <c r="BN184" i="1"/>
  <c r="BN149" i="1"/>
  <c r="BN125" i="1"/>
  <c r="BN111" i="1"/>
  <c r="BN100" i="1"/>
  <c r="BN79" i="1"/>
  <c r="BN147" i="1"/>
  <c r="BN134" i="1"/>
  <c r="BN89" i="1"/>
  <c r="BN78" i="1"/>
  <c r="BN117" i="1"/>
  <c r="BN88" i="1"/>
  <c r="BN77" i="1"/>
  <c r="BN115" i="1"/>
  <c r="BN108" i="1"/>
  <c r="BN98" i="1"/>
  <c r="BN58" i="1"/>
  <c r="BN47" i="1"/>
  <c r="BN40" i="1"/>
  <c r="BN28" i="1"/>
  <c r="BN22" i="1"/>
  <c r="BN16" i="1"/>
  <c r="BN10" i="1"/>
  <c r="BN57" i="1"/>
  <c r="BN46" i="1"/>
  <c r="BN68" i="1"/>
  <c r="BN56" i="1"/>
  <c r="BN33" i="1"/>
  <c r="BN27" i="1"/>
  <c r="BN21" i="1"/>
  <c r="BN15" i="1"/>
  <c r="BN9" i="1"/>
  <c r="BN55" i="1"/>
  <c r="BN65" i="1"/>
  <c r="BN64" i="1"/>
  <c r="BN131" i="1"/>
  <c r="BN76" i="1"/>
  <c r="BN69" i="1"/>
  <c r="BN66" i="1"/>
  <c r="BN53" i="1"/>
  <c r="BN43" i="1"/>
  <c r="BN37" i="1"/>
  <c r="BN31" i="1"/>
  <c r="BN25" i="1"/>
  <c r="BN19" i="1"/>
  <c r="BN119" i="1"/>
  <c r="BN52" i="1"/>
  <c r="BN75" i="1"/>
  <c r="BN62" i="1"/>
  <c r="BN61" i="1"/>
  <c r="BN50" i="1"/>
  <c r="BN87" i="1"/>
  <c r="BN86" i="1"/>
  <c r="BN70" i="1"/>
  <c r="BN67" i="1"/>
  <c r="BN60" i="1"/>
  <c r="BN97" i="1"/>
  <c r="BN59" i="1"/>
  <c r="BN48" i="1"/>
  <c r="BN38" i="1"/>
  <c r="BN26" i="1"/>
  <c r="BN30" i="1"/>
  <c r="BN20" i="1"/>
  <c r="BN17" i="1"/>
  <c r="BN41" i="1"/>
  <c r="BN35" i="1"/>
  <c r="BN24" i="1"/>
  <c r="BN29" i="1"/>
  <c r="BN11" i="1"/>
  <c r="BN14" i="1"/>
  <c r="BN18" i="1"/>
  <c r="BN49" i="1"/>
  <c r="BN36" i="1"/>
  <c r="BN23" i="1"/>
  <c r="BN13" i="1"/>
  <c r="BN42" i="1"/>
  <c r="BN32" i="1"/>
  <c r="BN51" i="1"/>
  <c r="BN12" i="1"/>
  <c r="BL39" i="1"/>
  <c r="BL246" i="1"/>
  <c r="BL280" i="1"/>
  <c r="BL535" i="1"/>
  <c r="BM698" i="1"/>
  <c r="BM692" i="1"/>
  <c r="BM703" i="1"/>
  <c r="BM697" i="1"/>
  <c r="BM702" i="1"/>
  <c r="BM691" i="1"/>
  <c r="BM687" i="1"/>
  <c r="BM686" i="1"/>
  <c r="BM680" i="1"/>
  <c r="BM700" i="1"/>
  <c r="BM696" i="1"/>
  <c r="BM695" i="1" s="1"/>
  <c r="BM701" i="1"/>
  <c r="BM699" i="1"/>
  <c r="BM693" i="1"/>
  <c r="BM694" i="1"/>
  <c r="BM684" i="1"/>
  <c r="BM682" i="1"/>
  <c r="BM688" i="1"/>
  <c r="BM690" i="1"/>
  <c r="BM677" i="1"/>
  <c r="BM675" i="1"/>
  <c r="BM667" i="1"/>
  <c r="BM661" i="1"/>
  <c r="BM655" i="1"/>
  <c r="BM685" i="1"/>
  <c r="BM672" i="1"/>
  <c r="BM666" i="1"/>
  <c r="BM660" i="1"/>
  <c r="BM683" i="1"/>
  <c r="BM681" i="1"/>
  <c r="BM674" i="1"/>
  <c r="BM679" i="1"/>
  <c r="BM673" i="1"/>
  <c r="BM669" i="1"/>
  <c r="BM678" i="1"/>
  <c r="BM657" i="1"/>
  <c r="BM663" i="1"/>
  <c r="BM676" i="1"/>
  <c r="BM670" i="1"/>
  <c r="BM653" i="1"/>
  <c r="BM668" i="1"/>
  <c r="BM662" i="1"/>
  <c r="BM656" i="1"/>
  <c r="BM649" i="1"/>
  <c r="BM648" i="1"/>
  <c r="BM642" i="1"/>
  <c r="BM636" i="1"/>
  <c r="BM630" i="1"/>
  <c r="BM659" i="1"/>
  <c r="BM646" i="1"/>
  <c r="BM640" i="1"/>
  <c r="BM665" i="1"/>
  <c r="BM664" i="1"/>
  <c r="BM658" i="1"/>
  <c r="BM639" i="1"/>
  <c r="BM647" i="1"/>
  <c r="BM645" i="1"/>
  <c r="BM624" i="1"/>
  <c r="BM618" i="1"/>
  <c r="BM638" i="1"/>
  <c r="BM629" i="1"/>
  <c r="BM641" i="1"/>
  <c r="BM632" i="1"/>
  <c r="BM615" i="1"/>
  <c r="BM609" i="1"/>
  <c r="BM631" i="1"/>
  <c r="BM614" i="1"/>
  <c r="BM608" i="1"/>
  <c r="BM652" i="1"/>
  <c r="BM633" i="1"/>
  <c r="BM635" i="1"/>
  <c r="BM643" i="1"/>
  <c r="BM634" i="1"/>
  <c r="BM628" i="1"/>
  <c r="BM650" i="1"/>
  <c r="BM625" i="1"/>
  <c r="BM644" i="1"/>
  <c r="BM626" i="1"/>
  <c r="BM623" i="1"/>
  <c r="BM651" i="1"/>
  <c r="BM616" i="1"/>
  <c r="BM600" i="1"/>
  <c r="BM611" i="1"/>
  <c r="BM622" i="1"/>
  <c r="BM613" i="1"/>
  <c r="BM610" i="1"/>
  <c r="BM621" i="1"/>
  <c r="BM607" i="1"/>
  <c r="BM627" i="1"/>
  <c r="BM605" i="1"/>
  <c r="BM619" i="1"/>
  <c r="BM617" i="1"/>
  <c r="BM606" i="1"/>
  <c r="BM601" i="1"/>
  <c r="BM597" i="1"/>
  <c r="BM591" i="1"/>
  <c r="BM585" i="1"/>
  <c r="BM604" i="1"/>
  <c r="BM603" i="1" s="1"/>
  <c r="BM599" i="1"/>
  <c r="BM595" i="1"/>
  <c r="BM588" i="1"/>
  <c r="BM581" i="1"/>
  <c r="BM589" i="1"/>
  <c r="BM587" i="1"/>
  <c r="BM584" i="1"/>
  <c r="BM578" i="1"/>
  <c r="BM572" i="1"/>
  <c r="BM566" i="1"/>
  <c r="BM560" i="1"/>
  <c r="BM554" i="1"/>
  <c r="BM592" i="1"/>
  <c r="BM602" i="1"/>
  <c r="BM612" i="1"/>
  <c r="BM583" i="1"/>
  <c r="BM596" i="1"/>
  <c r="BM594" i="1"/>
  <c r="BM575" i="1"/>
  <c r="BM563" i="1"/>
  <c r="BM598" i="1"/>
  <c r="BM567" i="1"/>
  <c r="BM570" i="1"/>
  <c r="BM593" i="1"/>
  <c r="BM580" i="1"/>
  <c r="BM577" i="1"/>
  <c r="BM576" i="1"/>
  <c r="BM582" i="1"/>
  <c r="BM579" i="1"/>
  <c r="BM573" i="1"/>
  <c r="BM561" i="1"/>
  <c r="BM565" i="1"/>
  <c r="BM564" i="1"/>
  <c r="BM546" i="1"/>
  <c r="BM540" i="1"/>
  <c r="BM568" i="1"/>
  <c r="BM558" i="1"/>
  <c r="BM545" i="1"/>
  <c r="BM562" i="1"/>
  <c r="BM559" i="1"/>
  <c r="BM555" i="1"/>
  <c r="BM550" i="1"/>
  <c r="BM544" i="1"/>
  <c r="BM537" i="1"/>
  <c r="BM531" i="1"/>
  <c r="BM525" i="1"/>
  <c r="BM519" i="1"/>
  <c r="BM513" i="1"/>
  <c r="BM507" i="1"/>
  <c r="BM574" i="1"/>
  <c r="BM543" i="1"/>
  <c r="BM557" i="1"/>
  <c r="BM549" i="1"/>
  <c r="BM547" i="1"/>
  <c r="BM551" i="1"/>
  <c r="BM541" i="1"/>
  <c r="BM534" i="1"/>
  <c r="BM590" i="1"/>
  <c r="BM548" i="1"/>
  <c r="BM527" i="1"/>
  <c r="BM524" i="1"/>
  <c r="BM520" i="1"/>
  <c r="BM505" i="1"/>
  <c r="BM528" i="1"/>
  <c r="BM517" i="1"/>
  <c r="BM499" i="1"/>
  <c r="BM493" i="1"/>
  <c r="BM487" i="1"/>
  <c r="BM481" i="1"/>
  <c r="BM533" i="1"/>
  <c r="BM521" i="1"/>
  <c r="BM571" i="1"/>
  <c r="BM542" i="1"/>
  <c r="BM529" i="1"/>
  <c r="BM553" i="1"/>
  <c r="BM522" i="1"/>
  <c r="BM539" i="1"/>
  <c r="BM532" i="1"/>
  <c r="BM530" i="1"/>
  <c r="BM556" i="1"/>
  <c r="BM538" i="1"/>
  <c r="BM536" i="1"/>
  <c r="BM523" i="1"/>
  <c r="BM490" i="1"/>
  <c r="BM498" i="1"/>
  <c r="BM511" i="1"/>
  <c r="BM526" i="1"/>
  <c r="BM509" i="1"/>
  <c r="BM491" i="1"/>
  <c r="BM516" i="1"/>
  <c r="BM495" i="1"/>
  <c r="BM514" i="1"/>
  <c r="BM512" i="1"/>
  <c r="BM510" i="1"/>
  <c r="BM504" i="1"/>
  <c r="BM508" i="1"/>
  <c r="BM506" i="1"/>
  <c r="BM515" i="1"/>
  <c r="BM503" i="1"/>
  <c r="BM502" i="1"/>
  <c r="BM496" i="1"/>
  <c r="BM500" i="1"/>
  <c r="BM494" i="1"/>
  <c r="BM478" i="1"/>
  <c r="BM489" i="1"/>
  <c r="BM492" i="1"/>
  <c r="BM486" i="1"/>
  <c r="BM479" i="1"/>
  <c r="BM473" i="1"/>
  <c r="BM497" i="1"/>
  <c r="BM482" i="1"/>
  <c r="BM472" i="1"/>
  <c r="BM488" i="1"/>
  <c r="BM474" i="1"/>
  <c r="BM464" i="1"/>
  <c r="BM480" i="1"/>
  <c r="BM457" i="1"/>
  <c r="BM451" i="1"/>
  <c r="BM445" i="1"/>
  <c r="BM439" i="1"/>
  <c r="BM427" i="1"/>
  <c r="BM421" i="1"/>
  <c r="BM415" i="1"/>
  <c r="BM470" i="1"/>
  <c r="BM465" i="1"/>
  <c r="BM456" i="1"/>
  <c r="BM444" i="1"/>
  <c r="BM438" i="1"/>
  <c r="BM483" i="1"/>
  <c r="BM485" i="1"/>
  <c r="BM461" i="1"/>
  <c r="BM469" i="1"/>
  <c r="BM466" i="1"/>
  <c r="BM462" i="1"/>
  <c r="BM460" i="1"/>
  <c r="BM454" i="1"/>
  <c r="BM448" i="1"/>
  <c r="BM442" i="1"/>
  <c r="BM436" i="1"/>
  <c r="BM430" i="1"/>
  <c r="BM424" i="1"/>
  <c r="BM476" i="1"/>
  <c r="BM475" i="1"/>
  <c r="BM471" i="1"/>
  <c r="BM468" i="1"/>
  <c r="BM477" i="1"/>
  <c r="BM428" i="1"/>
  <c r="BM447" i="1"/>
  <c r="BM431" i="1"/>
  <c r="BM449" i="1"/>
  <c r="BM437" i="1"/>
  <c r="BM417" i="1"/>
  <c r="BM459" i="1"/>
  <c r="BM458" i="1"/>
  <c r="BM414" i="1"/>
  <c r="BM412" i="1"/>
  <c r="BM418" i="1"/>
  <c r="BM446" i="1"/>
  <c r="BM440" i="1"/>
  <c r="BM426" i="1"/>
  <c r="BM463" i="1"/>
  <c r="BM453" i="1"/>
  <c r="BM441" i="1"/>
  <c r="BM429" i="1"/>
  <c r="BM419" i="1"/>
  <c r="BM410" i="1"/>
  <c r="BM404" i="1"/>
  <c r="BM398" i="1"/>
  <c r="BM455" i="1"/>
  <c r="BM452" i="1"/>
  <c r="BM432" i="1"/>
  <c r="BM423" i="1"/>
  <c r="BM434" i="1"/>
  <c r="BM443" i="1"/>
  <c r="BM435" i="1"/>
  <c r="BM425" i="1"/>
  <c r="BM420" i="1"/>
  <c r="BM422" i="1"/>
  <c r="BM408" i="1"/>
  <c r="BM407" i="1"/>
  <c r="BM395" i="1"/>
  <c r="BM389" i="1"/>
  <c r="BM383" i="1"/>
  <c r="BM409" i="1"/>
  <c r="BM388" i="1"/>
  <c r="BM376" i="1"/>
  <c r="BM370" i="1"/>
  <c r="BM413" i="1"/>
  <c r="BM396" i="1"/>
  <c r="BM403" i="1"/>
  <c r="BM400" i="1"/>
  <c r="BM387" i="1"/>
  <c r="BM381" i="1"/>
  <c r="BM375" i="1"/>
  <c r="BM369" i="1"/>
  <c r="BM363" i="1"/>
  <c r="BM406" i="1"/>
  <c r="BM397" i="1"/>
  <c r="BM393" i="1"/>
  <c r="BM411" i="1"/>
  <c r="BM402" i="1"/>
  <c r="BM391" i="1"/>
  <c r="BM385" i="1"/>
  <c r="BM379" i="1"/>
  <c r="BM373" i="1"/>
  <c r="BM405" i="1"/>
  <c r="BM367" i="1"/>
  <c r="BM359" i="1"/>
  <c r="BM353" i="1"/>
  <c r="BM374" i="1"/>
  <c r="BM392" i="1"/>
  <c r="BM358" i="1"/>
  <c r="BM352" i="1"/>
  <c r="BM346" i="1"/>
  <c r="BM340" i="1"/>
  <c r="BM334" i="1"/>
  <c r="BM328" i="1"/>
  <c r="BM322" i="1"/>
  <c r="BM368" i="1"/>
  <c r="BM364" i="1"/>
  <c r="BM394" i="1"/>
  <c r="BM401" i="1"/>
  <c r="BM384" i="1"/>
  <c r="BM378" i="1"/>
  <c r="BM390" i="1"/>
  <c r="BM371" i="1"/>
  <c r="BM380" i="1"/>
  <c r="BM372" i="1"/>
  <c r="BM360" i="1"/>
  <c r="BM354" i="1"/>
  <c r="BM361" i="1"/>
  <c r="BM356" i="1"/>
  <c r="BM343" i="1"/>
  <c r="BM324" i="1"/>
  <c r="BM315" i="1"/>
  <c r="BM309" i="1"/>
  <c r="BM303" i="1"/>
  <c r="BM347" i="1"/>
  <c r="BM332" i="1"/>
  <c r="BM336" i="1"/>
  <c r="BM321" i="1"/>
  <c r="BM320" i="1"/>
  <c r="BM308" i="1"/>
  <c r="BM302" i="1"/>
  <c r="BM344" i="1"/>
  <c r="BM325" i="1"/>
  <c r="BM333" i="1"/>
  <c r="BM329" i="1"/>
  <c r="BM319" i="1"/>
  <c r="BM313" i="1"/>
  <c r="BM307" i="1"/>
  <c r="BM377" i="1"/>
  <c r="BM355" i="1"/>
  <c r="BM337" i="1"/>
  <c r="BM351" i="1"/>
  <c r="BM345" i="1"/>
  <c r="BM341" i="1"/>
  <c r="BM326" i="1"/>
  <c r="BM318" i="1"/>
  <c r="BM312" i="1"/>
  <c r="BM306" i="1"/>
  <c r="BM300" i="1"/>
  <c r="BM386" i="1"/>
  <c r="BM349" i="1"/>
  <c r="BM330" i="1"/>
  <c r="BM338" i="1"/>
  <c r="BM317" i="1"/>
  <c r="BM342" i="1"/>
  <c r="BM362" i="1"/>
  <c r="BM357" i="1"/>
  <c r="BM350" i="1"/>
  <c r="BM316" i="1"/>
  <c r="BM310" i="1"/>
  <c r="BM327" i="1"/>
  <c r="BM304" i="1"/>
  <c r="BM299" i="1"/>
  <c r="BM294" i="1"/>
  <c r="BM305" i="1"/>
  <c r="BM292" i="1"/>
  <c r="BM286" i="1"/>
  <c r="BM274" i="1"/>
  <c r="BM268" i="1"/>
  <c r="BM339" i="1"/>
  <c r="BM335" i="1"/>
  <c r="BM295" i="1"/>
  <c r="BM291" i="1"/>
  <c r="BM285" i="1"/>
  <c r="BM279" i="1"/>
  <c r="BM273" i="1"/>
  <c r="BM311" i="1"/>
  <c r="BM298" i="1"/>
  <c r="BM323" i="1"/>
  <c r="BM290" i="1"/>
  <c r="BM301" i="1"/>
  <c r="BM289" i="1"/>
  <c r="BM283" i="1"/>
  <c r="BM277" i="1"/>
  <c r="BM271" i="1"/>
  <c r="BM265" i="1"/>
  <c r="BM259" i="1"/>
  <c r="BM253" i="1"/>
  <c r="BM288" i="1"/>
  <c r="BM282" i="1"/>
  <c r="BM366" i="1"/>
  <c r="BM296" i="1"/>
  <c r="BM293" i="1"/>
  <c r="BM287" i="1"/>
  <c r="BM257" i="1"/>
  <c r="BM248" i="1"/>
  <c r="BM242" i="1"/>
  <c r="BM236" i="1"/>
  <c r="BM230" i="1"/>
  <c r="BM224" i="1"/>
  <c r="BM218" i="1"/>
  <c r="BM261" i="1"/>
  <c r="BM264" i="1"/>
  <c r="BM250" i="1"/>
  <c r="BM247" i="1"/>
  <c r="BM241" i="1"/>
  <c r="BM235" i="1"/>
  <c r="BM278" i="1"/>
  <c r="BM258" i="1"/>
  <c r="BM254" i="1"/>
  <c r="BM262" i="1"/>
  <c r="BM240" i="1"/>
  <c r="BM234" i="1"/>
  <c r="BM228" i="1"/>
  <c r="BM222" i="1"/>
  <c r="BM216" i="1"/>
  <c r="BM276" i="1"/>
  <c r="BM251" i="1"/>
  <c r="BM275" i="1"/>
  <c r="BM272" i="1"/>
  <c r="BM281" i="1"/>
  <c r="BM270" i="1"/>
  <c r="BM266" i="1"/>
  <c r="BM252" i="1"/>
  <c r="BM267" i="1"/>
  <c r="BM260" i="1"/>
  <c r="BM243" i="1"/>
  <c r="BM237" i="1"/>
  <c r="BM231" i="1"/>
  <c r="BM225" i="1"/>
  <c r="BM219" i="1"/>
  <c r="BM213" i="1"/>
  <c r="BM269" i="1"/>
  <c r="BM249" i="1"/>
  <c r="BM238" i="1"/>
  <c r="BM214" i="1"/>
  <c r="BM244" i="1"/>
  <c r="BM226" i="1"/>
  <c r="BM217" i="1"/>
  <c r="BM206" i="1"/>
  <c r="BM256" i="1"/>
  <c r="BM233" i="1"/>
  <c r="BM255" i="1"/>
  <c r="BM232" i="1"/>
  <c r="BM210" i="1"/>
  <c r="BM204" i="1"/>
  <c r="BM198" i="1"/>
  <c r="BM220" i="1"/>
  <c r="BM227" i="1"/>
  <c r="BM221" i="1"/>
  <c r="BM209" i="1"/>
  <c r="BM203" i="1"/>
  <c r="BM197" i="1"/>
  <c r="BM191" i="1"/>
  <c r="BM185" i="1"/>
  <c r="BM179" i="1"/>
  <c r="BM284" i="1"/>
  <c r="BM239" i="1"/>
  <c r="BM245" i="1"/>
  <c r="BM223" i="1"/>
  <c r="BM211" i="1"/>
  <c r="BM196" i="1"/>
  <c r="BM193" i="1"/>
  <c r="BM182" i="1"/>
  <c r="BM176" i="1"/>
  <c r="BM200" i="1"/>
  <c r="BM199" i="1"/>
  <c r="BM190" i="1"/>
  <c r="BM186" i="1"/>
  <c r="BM205" i="1"/>
  <c r="BM175" i="1"/>
  <c r="BM169" i="1"/>
  <c r="BM163" i="1"/>
  <c r="BM157" i="1"/>
  <c r="BM151" i="1"/>
  <c r="BM145" i="1"/>
  <c r="BM139" i="1"/>
  <c r="BM133" i="1"/>
  <c r="BM201" i="1"/>
  <c r="BM183" i="1"/>
  <c r="BM215" i="1"/>
  <c r="BM194" i="1"/>
  <c r="BM188" i="1"/>
  <c r="BM208" i="1"/>
  <c r="BM181" i="1"/>
  <c r="BM173" i="1"/>
  <c r="BM172" i="1"/>
  <c r="BM149" i="1"/>
  <c r="BM146" i="1"/>
  <c r="BM131" i="1"/>
  <c r="BM171" i="1"/>
  <c r="BM166" i="1"/>
  <c r="BM164" i="1"/>
  <c r="BM207" i="1"/>
  <c r="BM192" i="1"/>
  <c r="BM170" i="1"/>
  <c r="BM168" i="1"/>
  <c r="BM143" i="1"/>
  <c r="BM189" i="1"/>
  <c r="BM184" i="1"/>
  <c r="BM148" i="1"/>
  <c r="BM136" i="1"/>
  <c r="BM154" i="1"/>
  <c r="BM140" i="1"/>
  <c r="BM122" i="1"/>
  <c r="BM116" i="1"/>
  <c r="BM180" i="1"/>
  <c r="BM158" i="1"/>
  <c r="BM177" i="1"/>
  <c r="BM167" i="1"/>
  <c r="BM165" i="1"/>
  <c r="BM159" i="1"/>
  <c r="BM150" i="1"/>
  <c r="BM147" i="1"/>
  <c r="BM141" i="1"/>
  <c r="BM160" i="1"/>
  <c r="BM156" i="1"/>
  <c r="BM153" i="1"/>
  <c r="BM202" i="1"/>
  <c r="BM138" i="1"/>
  <c r="BM174" i="1"/>
  <c r="BM162" i="1"/>
  <c r="BM128" i="1"/>
  <c r="BM119" i="1"/>
  <c r="BM97" i="1"/>
  <c r="BM86" i="1"/>
  <c r="BM75" i="1"/>
  <c r="BM152" i="1"/>
  <c r="BM129" i="1"/>
  <c r="BM120" i="1"/>
  <c r="BM107" i="1"/>
  <c r="BM96" i="1"/>
  <c r="BM85" i="1"/>
  <c r="BM74" i="1"/>
  <c r="BM142" i="1"/>
  <c r="BM121" i="1"/>
  <c r="BM106" i="1"/>
  <c r="BM95" i="1"/>
  <c r="BM84" i="1"/>
  <c r="BM73" i="1"/>
  <c r="BM114" i="1"/>
  <c r="BM105" i="1"/>
  <c r="BM94" i="1"/>
  <c r="BM83" i="1"/>
  <c r="BM137" i="1"/>
  <c r="BM130" i="1"/>
  <c r="BM104" i="1"/>
  <c r="BM93" i="1"/>
  <c r="BM82" i="1"/>
  <c r="BM135" i="1"/>
  <c r="BM103" i="1"/>
  <c r="BM92" i="1"/>
  <c r="BM187" i="1"/>
  <c r="BM155" i="1"/>
  <c r="BM126" i="1"/>
  <c r="BM102" i="1"/>
  <c r="BM91" i="1"/>
  <c r="BM132" i="1"/>
  <c r="BM113" i="1"/>
  <c r="BM101" i="1"/>
  <c r="BM80" i="1"/>
  <c r="BM125" i="1"/>
  <c r="BM124" i="1"/>
  <c r="BM111" i="1"/>
  <c r="BM100" i="1"/>
  <c r="BM79" i="1"/>
  <c r="BM134" i="1"/>
  <c r="BM123" i="1"/>
  <c r="BM89" i="1"/>
  <c r="BM78" i="1"/>
  <c r="BM118" i="1"/>
  <c r="BM117" i="1"/>
  <c r="BM112" i="1"/>
  <c r="BM59" i="1"/>
  <c r="BM48" i="1"/>
  <c r="BM58" i="1"/>
  <c r="BM47" i="1"/>
  <c r="BM57" i="1"/>
  <c r="BM46" i="1"/>
  <c r="BM115" i="1"/>
  <c r="BM68" i="1"/>
  <c r="BM56" i="1"/>
  <c r="BM33" i="1"/>
  <c r="BM27" i="1"/>
  <c r="BM21" i="1"/>
  <c r="BM15" i="1"/>
  <c r="BM9" i="1"/>
  <c r="BM71" i="1"/>
  <c r="BM98" i="1"/>
  <c r="BM65" i="1"/>
  <c r="BM38" i="1"/>
  <c r="BM32" i="1"/>
  <c r="BM26" i="1"/>
  <c r="BM20" i="1"/>
  <c r="BM108" i="1"/>
  <c r="BM64" i="1"/>
  <c r="BM76" i="1"/>
  <c r="BM69" i="1"/>
  <c r="BM66" i="1"/>
  <c r="BM53" i="1"/>
  <c r="BM43" i="1"/>
  <c r="BM37" i="1"/>
  <c r="BM31" i="1"/>
  <c r="BM25" i="1"/>
  <c r="BM19" i="1"/>
  <c r="BM13" i="1"/>
  <c r="BM77" i="1"/>
  <c r="BM62" i="1"/>
  <c r="BM51" i="1"/>
  <c r="BM42" i="1"/>
  <c r="BM36" i="1"/>
  <c r="BM61" i="1"/>
  <c r="BM88" i="1"/>
  <c r="BM87" i="1"/>
  <c r="BM70" i="1"/>
  <c r="BM67" i="1"/>
  <c r="BM60" i="1"/>
  <c r="BM49" i="1"/>
  <c r="BM41" i="1"/>
  <c r="BM35" i="1"/>
  <c r="BM29" i="1"/>
  <c r="BM23" i="1"/>
  <c r="BM17" i="1"/>
  <c r="BM55" i="1"/>
  <c r="BM30" i="1"/>
  <c r="BM50" i="1"/>
  <c r="BM24" i="1"/>
  <c r="BM11" i="1"/>
  <c r="BM12" i="1"/>
  <c r="BM52" i="1"/>
  <c r="BM40" i="1"/>
  <c r="BM28" i="1"/>
  <c r="BM18" i="1"/>
  <c r="BM14" i="1"/>
  <c r="BM22" i="1"/>
  <c r="BM16" i="1"/>
  <c r="BM10" i="1"/>
  <c r="BL212" i="1"/>
  <c r="BL603" i="1"/>
  <c r="BL81" i="1"/>
  <c r="BL90" i="1"/>
  <c r="BL450" i="1"/>
  <c r="BL484" i="1"/>
  <c r="BL586" i="1"/>
  <c r="BL671" i="1"/>
  <c r="BL416" i="1"/>
  <c r="BL195" i="1"/>
  <c r="BL501" i="1"/>
  <c r="BL54" i="1"/>
  <c r="BL144" i="1"/>
  <c r="BL399" i="1"/>
  <c r="BL467" i="1"/>
  <c r="BL620" i="1"/>
  <c r="BL654" i="1"/>
  <c r="BL127" i="1"/>
  <c r="BK109" i="1"/>
  <c r="BL63" i="1"/>
  <c r="BL72" i="1"/>
  <c r="BL433" i="1"/>
  <c r="BL552" i="1"/>
  <c r="BL263" i="1"/>
  <c r="BL45" i="1"/>
  <c r="BL161" i="1"/>
  <c r="BL689" i="1"/>
  <c r="BL695" i="1"/>
  <c r="BK44" i="1"/>
  <c r="BK7" i="1" s="1"/>
  <c r="BL34" i="1"/>
  <c r="BL99" i="1"/>
  <c r="BL178" i="1"/>
  <c r="BL569" i="1"/>
  <c r="BL637" i="1"/>
  <c r="BL297" i="1"/>
  <c r="BL110" i="1"/>
  <c r="BL314" i="1"/>
  <c r="BM331" i="1" l="1"/>
  <c r="BM467" i="1"/>
  <c r="BM620" i="1"/>
  <c r="BO23" i="1"/>
  <c r="BO30" i="1"/>
  <c r="BO61" i="1"/>
  <c r="BO69" i="1"/>
  <c r="BO68" i="1"/>
  <c r="BO149" i="1"/>
  <c r="BO136" i="1"/>
  <c r="BO107" i="1"/>
  <c r="BO156" i="1"/>
  <c r="BO154" i="1"/>
  <c r="BO124" i="1"/>
  <c r="BO192" i="1"/>
  <c r="BO210" i="1"/>
  <c r="BO244" i="1"/>
  <c r="BO269" i="1"/>
  <c r="BO277" i="1"/>
  <c r="BO241" i="1"/>
  <c r="BO303" i="1"/>
  <c r="BO278" i="1"/>
  <c r="BO313" i="1"/>
  <c r="BO353" i="1"/>
  <c r="BO312" i="1"/>
  <c r="BO325" i="1"/>
  <c r="BO369" i="1"/>
  <c r="BO408" i="1"/>
  <c r="BO440" i="1"/>
  <c r="BO420" i="1"/>
  <c r="BO448" i="1"/>
  <c r="BO424" i="1"/>
  <c r="BO458" i="1"/>
  <c r="BO462" i="1"/>
  <c r="BO487" i="1"/>
  <c r="BO491" i="1"/>
  <c r="BO499" i="1"/>
  <c r="BO527" i="1"/>
  <c r="BO521" i="1"/>
  <c r="BO575" i="1"/>
  <c r="BO540" i="1"/>
  <c r="BO583" i="1"/>
  <c r="BO597" i="1"/>
  <c r="BO624" i="1"/>
  <c r="BO644" i="1"/>
  <c r="BO648" i="1"/>
  <c r="BO659" i="1"/>
  <c r="BO663" i="1"/>
  <c r="BO693" i="1"/>
  <c r="BK8" i="1"/>
  <c r="BK5" i="1"/>
  <c r="BM45" i="1"/>
  <c r="BM229" i="1"/>
  <c r="BM348" i="1"/>
  <c r="BM671" i="1"/>
  <c r="BO36" i="1"/>
  <c r="BO26" i="1"/>
  <c r="BO62" i="1"/>
  <c r="BO76" i="1"/>
  <c r="BN45" i="1"/>
  <c r="BO46" i="1"/>
  <c r="BO77" i="1"/>
  <c r="BO184" i="1"/>
  <c r="BN81" i="1"/>
  <c r="BO82" i="1"/>
  <c r="BO84" i="1"/>
  <c r="BO120" i="1"/>
  <c r="BO160" i="1"/>
  <c r="BO194" i="1"/>
  <c r="BO135" i="1"/>
  <c r="BO197" i="1"/>
  <c r="BO151" i="1"/>
  <c r="BO164" i="1"/>
  <c r="BO219" i="1"/>
  <c r="BO252" i="1"/>
  <c r="BO256" i="1"/>
  <c r="BO291" i="1"/>
  <c r="BN246" i="1"/>
  <c r="BO247" i="1"/>
  <c r="BO316" i="1"/>
  <c r="BO284" i="1"/>
  <c r="BO274" i="1"/>
  <c r="BO323" i="1"/>
  <c r="BO318" i="1"/>
  <c r="BO340" i="1"/>
  <c r="BO372" i="1"/>
  <c r="BO357" i="1"/>
  <c r="BO398" i="1"/>
  <c r="BN399" i="1"/>
  <c r="BO400" i="1"/>
  <c r="BO425" i="1"/>
  <c r="BO453" i="1"/>
  <c r="BO401" i="1"/>
  <c r="BO482" i="1"/>
  <c r="BO466" i="1"/>
  <c r="BO481" i="1"/>
  <c r="BO496" i="1"/>
  <c r="BO507" i="1"/>
  <c r="BN518" i="1"/>
  <c r="BO519" i="1"/>
  <c r="BO533" i="1"/>
  <c r="BN552" i="1"/>
  <c r="BO553" i="1"/>
  <c r="BO571" i="1"/>
  <c r="BO546" i="1"/>
  <c r="BO591" i="1"/>
  <c r="BO589" i="1"/>
  <c r="BO601" i="1"/>
  <c r="BO608" i="1"/>
  <c r="BO636" i="1"/>
  <c r="BO650" i="1"/>
  <c r="BO661" i="1"/>
  <c r="BO660" i="1"/>
  <c r="BO687" i="1"/>
  <c r="BO699" i="1"/>
  <c r="BL44" i="1"/>
  <c r="BM399" i="1"/>
  <c r="BM518" i="1"/>
  <c r="BM569" i="1"/>
  <c r="BO49" i="1"/>
  <c r="BO38" i="1"/>
  <c r="BO75" i="1"/>
  <c r="BO131" i="1"/>
  <c r="BO57" i="1"/>
  <c r="BO88" i="1"/>
  <c r="BO80" i="1"/>
  <c r="BO93" i="1"/>
  <c r="BO95" i="1"/>
  <c r="BO159" i="1"/>
  <c r="BN195" i="1"/>
  <c r="BO196" i="1"/>
  <c r="BO208" i="1"/>
  <c r="BO152" i="1"/>
  <c r="BO204" i="1"/>
  <c r="BO157" i="1"/>
  <c r="BO170" i="1"/>
  <c r="BO232" i="1"/>
  <c r="BO238" i="1"/>
  <c r="BO259" i="1"/>
  <c r="BO295" i="1"/>
  <c r="BO250" i="1"/>
  <c r="BO288" i="1"/>
  <c r="BO290" i="1"/>
  <c r="BO286" i="1"/>
  <c r="BO327" i="1"/>
  <c r="BO322" i="1"/>
  <c r="BO344" i="1"/>
  <c r="BO380" i="1"/>
  <c r="BO395" i="1"/>
  <c r="BO415" i="1"/>
  <c r="BO403" i="1"/>
  <c r="BO435" i="1"/>
  <c r="BO411" i="1"/>
  <c r="BO407" i="1"/>
  <c r="BN467" i="1"/>
  <c r="BO467" i="1" s="1"/>
  <c r="BO468" i="1"/>
  <c r="BO469" i="1"/>
  <c r="BO504" i="1"/>
  <c r="BO515" i="1"/>
  <c r="BO495" i="1"/>
  <c r="BO523" i="1"/>
  <c r="BO548" i="1"/>
  <c r="BO556" i="1"/>
  <c r="BO576" i="1"/>
  <c r="BO563" i="1"/>
  <c r="BO599" i="1"/>
  <c r="BO592" i="1"/>
  <c r="BO606" i="1"/>
  <c r="BO611" i="1"/>
  <c r="BO618" i="1"/>
  <c r="BO630" i="1"/>
  <c r="BO667" i="1"/>
  <c r="BO674" i="1"/>
  <c r="BO691" i="1"/>
  <c r="BO701" i="1"/>
  <c r="BL109" i="1"/>
  <c r="BM99" i="1"/>
  <c r="BM280" i="1"/>
  <c r="BM484" i="1"/>
  <c r="BM450" i="1"/>
  <c r="BM535" i="1"/>
  <c r="BM637" i="1"/>
  <c r="BM654" i="1"/>
  <c r="BO18" i="1"/>
  <c r="BO48" i="1"/>
  <c r="BO52" i="1"/>
  <c r="BN63" i="1"/>
  <c r="BO64" i="1"/>
  <c r="BO10" i="1"/>
  <c r="BO117" i="1"/>
  <c r="BO101" i="1"/>
  <c r="BO104" i="1"/>
  <c r="BO106" i="1"/>
  <c r="BO173" i="1"/>
  <c r="BO133" i="1"/>
  <c r="BO123" i="1"/>
  <c r="BO155" i="1"/>
  <c r="BO224" i="1"/>
  <c r="BO163" i="1"/>
  <c r="BO176" i="1"/>
  <c r="BO236" i="1"/>
  <c r="BO231" i="1"/>
  <c r="BO273" i="1"/>
  <c r="BO234" i="1"/>
  <c r="BN263" i="1"/>
  <c r="BO264" i="1"/>
  <c r="BO300" i="1"/>
  <c r="BO306" i="1"/>
  <c r="BO292" i="1"/>
  <c r="BO342" i="1"/>
  <c r="BO326" i="1"/>
  <c r="BO320" i="1"/>
  <c r="BO379" i="1"/>
  <c r="BO364" i="1"/>
  <c r="BO394" i="1"/>
  <c r="BO396" i="1"/>
  <c r="BO443" i="1"/>
  <c r="BO422" i="1"/>
  <c r="BO413" i="1"/>
  <c r="BO471" i="1"/>
  <c r="BO455" i="1"/>
  <c r="BO476" i="1"/>
  <c r="BO497" i="1"/>
  <c r="BO516" i="1"/>
  <c r="BO538" i="1"/>
  <c r="BO509" i="1"/>
  <c r="BO547" i="1"/>
  <c r="BO555" i="1"/>
  <c r="BO564" i="1"/>
  <c r="BO585" i="1"/>
  <c r="BO588" i="1"/>
  <c r="BO609" i="1"/>
  <c r="BO635" i="1"/>
  <c r="BO622" i="1"/>
  <c r="BO634" i="1"/>
  <c r="BO669" i="1"/>
  <c r="BO676" i="1"/>
  <c r="BO694" i="1"/>
  <c r="BO692" i="1"/>
  <c r="BN144" i="1"/>
  <c r="BO145" i="1"/>
  <c r="BN689" i="1"/>
  <c r="BO690" i="1"/>
  <c r="BM54" i="1"/>
  <c r="BM110" i="1"/>
  <c r="BM72" i="1"/>
  <c r="BM178" i="1"/>
  <c r="BM212" i="1"/>
  <c r="BO14" i="1"/>
  <c r="BO59" i="1"/>
  <c r="BO119" i="1"/>
  <c r="BO65" i="1"/>
  <c r="BO16" i="1"/>
  <c r="BO78" i="1"/>
  <c r="BO113" i="1"/>
  <c r="BO138" i="1"/>
  <c r="BO121" i="1"/>
  <c r="BO198" i="1"/>
  <c r="BO137" i="1"/>
  <c r="BN127" i="1"/>
  <c r="BO128" i="1"/>
  <c r="BO223" i="1"/>
  <c r="BO207" i="1"/>
  <c r="BO169" i="1"/>
  <c r="BO182" i="1"/>
  <c r="BN229" i="1"/>
  <c r="BO229" i="1" s="1"/>
  <c r="BO230" i="1"/>
  <c r="BO243" i="1"/>
  <c r="BO233" i="1"/>
  <c r="BO240" i="1"/>
  <c r="BO261" i="1"/>
  <c r="BO302" i="1"/>
  <c r="BO307" i="1"/>
  <c r="BO305" i="1"/>
  <c r="BO360" i="1"/>
  <c r="BO341" i="1"/>
  <c r="BO321" i="1"/>
  <c r="BO355" i="1"/>
  <c r="BO368" i="1"/>
  <c r="BO405" i="1"/>
  <c r="BO410" i="1"/>
  <c r="BO464" i="1"/>
  <c r="BO439" i="1"/>
  <c r="BN416" i="1"/>
  <c r="BO417" i="1"/>
  <c r="BO459" i="1"/>
  <c r="BO461" i="1"/>
  <c r="BO477" i="1"/>
  <c r="BO505" i="1"/>
  <c r="BO511" i="1"/>
  <c r="BO526" i="1"/>
  <c r="BO528" i="1"/>
  <c r="BO549" i="1"/>
  <c r="BO559" i="1"/>
  <c r="BO565" i="1"/>
  <c r="BO580" i="1"/>
  <c r="BO607" i="1"/>
  <c r="BO614" i="1"/>
  <c r="BO632" i="1"/>
  <c r="BO623" i="1"/>
  <c r="BN654" i="1"/>
  <c r="BO654" i="1" s="1"/>
  <c r="BO655" i="1"/>
  <c r="BO649" i="1"/>
  <c r="BO679" i="1"/>
  <c r="BO682" i="1"/>
  <c r="BO700" i="1"/>
  <c r="BO115" i="1"/>
  <c r="BO158" i="1"/>
  <c r="BO381" i="1"/>
  <c r="BM416" i="1"/>
  <c r="BO11" i="1"/>
  <c r="BO97" i="1"/>
  <c r="BO19" i="1"/>
  <c r="BN54" i="1"/>
  <c r="BO55" i="1"/>
  <c r="BO22" i="1"/>
  <c r="BO89" i="1"/>
  <c r="BO146" i="1"/>
  <c r="BO139" i="1"/>
  <c r="BO143" i="1"/>
  <c r="BO142" i="1"/>
  <c r="BO129" i="1"/>
  <c r="BO132" i="1"/>
  <c r="BO171" i="1"/>
  <c r="BO187" i="1"/>
  <c r="BO175" i="1"/>
  <c r="BO222" i="1"/>
  <c r="BO267" i="1"/>
  <c r="BO260" i="1"/>
  <c r="BO239" i="1"/>
  <c r="BO262" i="1"/>
  <c r="BO294" i="1"/>
  <c r="BO324" i="1"/>
  <c r="BO308" i="1"/>
  <c r="BN314" i="1"/>
  <c r="BO315" i="1"/>
  <c r="BO378" i="1"/>
  <c r="BO345" i="1"/>
  <c r="BO336" i="1"/>
  <c r="BO361" i="1"/>
  <c r="BO375" i="1"/>
  <c r="BO385" i="1"/>
  <c r="BO388" i="1"/>
  <c r="BN433" i="1"/>
  <c r="BO434" i="1"/>
  <c r="BO418" i="1"/>
  <c r="BO437" i="1"/>
  <c r="BO463" i="1"/>
  <c r="BO473" i="1"/>
  <c r="BO480" i="1"/>
  <c r="BO517" i="1"/>
  <c r="BO520" i="1"/>
  <c r="BO530" i="1"/>
  <c r="BO541" i="1"/>
  <c r="BO545" i="1"/>
  <c r="BO551" i="1"/>
  <c r="BO561" i="1"/>
  <c r="BO598" i="1"/>
  <c r="BO631" i="1"/>
  <c r="BO612" i="1"/>
  <c r="BO639" i="1"/>
  <c r="BO633" i="1"/>
  <c r="BO658" i="1"/>
  <c r="BO656" i="1"/>
  <c r="BO670" i="1"/>
  <c r="BO673" i="1"/>
  <c r="BO702" i="1"/>
  <c r="BM314" i="1"/>
  <c r="BO29" i="1"/>
  <c r="BO60" i="1"/>
  <c r="BO25" i="1"/>
  <c r="BO9" i="1"/>
  <c r="BO28" i="1"/>
  <c r="BO134" i="1"/>
  <c r="BO165" i="1"/>
  <c r="BO83" i="1"/>
  <c r="BO148" i="1"/>
  <c r="BN161" i="1"/>
  <c r="BO162" i="1"/>
  <c r="BO180" i="1"/>
  <c r="BO193" i="1"/>
  <c r="BO177" i="1"/>
  <c r="BO215" i="1"/>
  <c r="BO205" i="1"/>
  <c r="BO271" i="1"/>
  <c r="BO270" i="1"/>
  <c r="BO242" i="1"/>
  <c r="BO245" i="1"/>
  <c r="BO279" i="1"/>
  <c r="BO299" i="1"/>
  <c r="BO356" i="1"/>
  <c r="BO309" i="1"/>
  <c r="BO335" i="1"/>
  <c r="BO317" i="1"/>
  <c r="BO351" i="1"/>
  <c r="BO376" i="1"/>
  <c r="BO362" i="1"/>
  <c r="BO374" i="1"/>
  <c r="BO391" i="1"/>
  <c r="BO446" i="1"/>
  <c r="BO442" i="1"/>
  <c r="BO430" i="1"/>
  <c r="BO449" i="1"/>
  <c r="BO475" i="1"/>
  <c r="BO444" i="1"/>
  <c r="BN484" i="1"/>
  <c r="BO484" i="1" s="1"/>
  <c r="BO485" i="1"/>
  <c r="BO500" i="1"/>
  <c r="BO494" i="1"/>
  <c r="BO532" i="1"/>
  <c r="BO524" i="1"/>
  <c r="BO557" i="1"/>
  <c r="BO562" i="1"/>
  <c r="BO579" i="1"/>
  <c r="BO594" i="1"/>
  <c r="BO602" i="1"/>
  <c r="BO600" i="1"/>
  <c r="BO640" i="1"/>
  <c r="BO629" i="1"/>
  <c r="BO652" i="1"/>
  <c r="BO657" i="1"/>
  <c r="BO675" i="1"/>
  <c r="BO678" i="1"/>
  <c r="BO703" i="1"/>
  <c r="BM81" i="1"/>
  <c r="BM246" i="1"/>
  <c r="BM586" i="1"/>
  <c r="BO12" i="1"/>
  <c r="BO24" i="1"/>
  <c r="BO67" i="1"/>
  <c r="BO31" i="1"/>
  <c r="BO15" i="1"/>
  <c r="BN39" i="1"/>
  <c r="BO40" i="1"/>
  <c r="BO147" i="1"/>
  <c r="BN90" i="1"/>
  <c r="BO91" i="1"/>
  <c r="BO94" i="1"/>
  <c r="BO150" i="1"/>
  <c r="BO174" i="1"/>
  <c r="BO181" i="1"/>
  <c r="BO168" i="1"/>
  <c r="BO185" i="1"/>
  <c r="BN178" i="1"/>
  <c r="BO178" i="1" s="1"/>
  <c r="BO179" i="1"/>
  <c r="BO186" i="1"/>
  <c r="BO209" i="1"/>
  <c r="BO228" i="1"/>
  <c r="BO248" i="1"/>
  <c r="BO255" i="1"/>
  <c r="BO254" i="1"/>
  <c r="BO304" i="1"/>
  <c r="BO283" i="1"/>
  <c r="BO310" i="1"/>
  <c r="BO339" i="1"/>
  <c r="BO334" i="1"/>
  <c r="BO337" i="1"/>
  <c r="BO328" i="1"/>
  <c r="BO370" i="1"/>
  <c r="BN382" i="1"/>
  <c r="BO383" i="1"/>
  <c r="BO402" i="1"/>
  <c r="BO404" i="1"/>
  <c r="BO423" i="1"/>
  <c r="BO412" i="1"/>
  <c r="BO431" i="1"/>
  <c r="BO454" i="1"/>
  <c r="BO456" i="1"/>
  <c r="BO486" i="1"/>
  <c r="BO503" i="1"/>
  <c r="BO498" i="1"/>
  <c r="BO539" i="1"/>
  <c r="BO534" i="1"/>
  <c r="BN535" i="1"/>
  <c r="BO535" i="1" s="1"/>
  <c r="BO536" i="1"/>
  <c r="BO581" i="1"/>
  <c r="BO572" i="1"/>
  <c r="BO596" i="1"/>
  <c r="BN603" i="1"/>
  <c r="BO603" i="1" s="1"/>
  <c r="BO604" i="1"/>
  <c r="BO615" i="1"/>
  <c r="BO653" i="1"/>
  <c r="BN637" i="1"/>
  <c r="BO637" i="1" s="1"/>
  <c r="BO638" i="1"/>
  <c r="BO664" i="1"/>
  <c r="BO662" i="1"/>
  <c r="BO681" i="1"/>
  <c r="BO697" i="1"/>
  <c r="BM34" i="1"/>
  <c r="BM63" i="1"/>
  <c r="BM144" i="1"/>
  <c r="BM433" i="1"/>
  <c r="BM689" i="1"/>
  <c r="BO51" i="1"/>
  <c r="BN34" i="1"/>
  <c r="BO35" i="1"/>
  <c r="BO70" i="1"/>
  <c r="BO37" i="1"/>
  <c r="BO21" i="1"/>
  <c r="BO47" i="1"/>
  <c r="BO79" i="1"/>
  <c r="BO102" i="1"/>
  <c r="BO105" i="1"/>
  <c r="BO188" i="1"/>
  <c r="BO202" i="1"/>
  <c r="BO211" i="1"/>
  <c r="BO191" i="1"/>
  <c r="BO189" i="1"/>
  <c r="BO183" i="1"/>
  <c r="BO190" i="1"/>
  <c r="BO221" i="1"/>
  <c r="BO200" i="1"/>
  <c r="BO253" i="1"/>
  <c r="BO275" i="1"/>
  <c r="BO258" i="1"/>
  <c r="BN280" i="1"/>
  <c r="BO280" i="1" s="1"/>
  <c r="BO281" i="1"/>
  <c r="BO289" i="1"/>
  <c r="BO354" i="1"/>
  <c r="BO358" i="1"/>
  <c r="BO338" i="1"/>
  <c r="BO319" i="1"/>
  <c r="BN331" i="1"/>
  <c r="BO331" i="1" s="1"/>
  <c r="BO332" i="1"/>
  <c r="BO390" i="1"/>
  <c r="BO359" i="1"/>
  <c r="BO392" i="1"/>
  <c r="BO409" i="1"/>
  <c r="BO432" i="1"/>
  <c r="BO414" i="1"/>
  <c r="BO436" i="1"/>
  <c r="BO460" i="1"/>
  <c r="BO465" i="1"/>
  <c r="BO493" i="1"/>
  <c r="BO510" i="1"/>
  <c r="BO513" i="1"/>
  <c r="BO525" i="1"/>
  <c r="BO531" i="1"/>
  <c r="BO543" i="1"/>
  <c r="BO554" i="1"/>
  <c r="BO593" i="1"/>
  <c r="BO577" i="1"/>
  <c r="BO590" i="1"/>
  <c r="BO617" i="1"/>
  <c r="BO626" i="1"/>
  <c r="BO625" i="1"/>
  <c r="BO665" i="1"/>
  <c r="BO666" i="1"/>
  <c r="BO683" i="1"/>
  <c r="BO677" i="1"/>
  <c r="BN72" i="1"/>
  <c r="BO72" i="1" s="1"/>
  <c r="BO73" i="1"/>
  <c r="BL7" i="1"/>
  <c r="BM39" i="1"/>
  <c r="BM127" i="1"/>
  <c r="BM263" i="1"/>
  <c r="BM365" i="1"/>
  <c r="BM501" i="1"/>
  <c r="BO32" i="1"/>
  <c r="BO41" i="1"/>
  <c r="BO86" i="1"/>
  <c r="BO43" i="1"/>
  <c r="BO27" i="1"/>
  <c r="BO58" i="1"/>
  <c r="BN99" i="1"/>
  <c r="BO99" i="1" s="1"/>
  <c r="BO100" i="1"/>
  <c r="BO71" i="1"/>
  <c r="BO114" i="1"/>
  <c r="BO74" i="1"/>
  <c r="BO126" i="1"/>
  <c r="BO116" i="1"/>
  <c r="BO216" i="1"/>
  <c r="BO214" i="1"/>
  <c r="BO201" i="1"/>
  <c r="BO199" i="1"/>
  <c r="BO225" i="1"/>
  <c r="BO206" i="1"/>
  <c r="BO257" i="1"/>
  <c r="BO251" i="1"/>
  <c r="BO282" i="1"/>
  <c r="BO287" i="1"/>
  <c r="BO301" i="1"/>
  <c r="BN297" i="1"/>
  <c r="BO298" i="1"/>
  <c r="BN365" i="1"/>
  <c r="BO366" i="1"/>
  <c r="BO352" i="1"/>
  <c r="BO329" i="1"/>
  <c r="BO347" i="1"/>
  <c r="BO377" i="1"/>
  <c r="BO363" i="1"/>
  <c r="BO393" i="1"/>
  <c r="BO419" i="1"/>
  <c r="BO452" i="1"/>
  <c r="BO427" i="1"/>
  <c r="BO445" i="1"/>
  <c r="BO472" i="1"/>
  <c r="BO470" i="1"/>
  <c r="BO483" i="1"/>
  <c r="BO488" i="1"/>
  <c r="BO522" i="1"/>
  <c r="BO529" i="1"/>
  <c r="BO544" i="1"/>
  <c r="BO537" i="1"/>
  <c r="BO558" i="1"/>
  <c r="BO595" i="1"/>
  <c r="BO582" i="1"/>
  <c r="BO613" i="1"/>
  <c r="BO619" i="1"/>
  <c r="BO627" i="1"/>
  <c r="BO628" i="1"/>
  <c r="BO646" i="1"/>
  <c r="BO668" i="1"/>
  <c r="BO688" i="1"/>
  <c r="BO684" i="1"/>
  <c r="BN586" i="1"/>
  <c r="BO586" i="1" s="1"/>
  <c r="BO587" i="1"/>
  <c r="BM161" i="1"/>
  <c r="BM195" i="1"/>
  <c r="BM297" i="1"/>
  <c r="BM382" i="1"/>
  <c r="BM552" i="1"/>
  <c r="BO42" i="1"/>
  <c r="BO17" i="1"/>
  <c r="BO87" i="1"/>
  <c r="BO53" i="1"/>
  <c r="BO33" i="1"/>
  <c r="BO98" i="1"/>
  <c r="BN110" i="1"/>
  <c r="BO111" i="1"/>
  <c r="BO92" i="1"/>
  <c r="BO141" i="1"/>
  <c r="BO85" i="1"/>
  <c r="BO130" i="1"/>
  <c r="BO122" i="1"/>
  <c r="BO112" i="1"/>
  <c r="BO166" i="1"/>
  <c r="BO218" i="1"/>
  <c r="BO203" i="1"/>
  <c r="BO227" i="1"/>
  <c r="BO217" i="1"/>
  <c r="BO249" i="1"/>
  <c r="BO268" i="1"/>
  <c r="BO285" i="1"/>
  <c r="BO293" i="1"/>
  <c r="BO266" i="1"/>
  <c r="BO311" i="1"/>
  <c r="BO346" i="1"/>
  <c r="BO330" i="1"/>
  <c r="BO333" i="1"/>
  <c r="BO371" i="1"/>
  <c r="BO386" i="1"/>
  <c r="BO367" i="1"/>
  <c r="BO397" i="1"/>
  <c r="BO426" i="1"/>
  <c r="BO429" i="1"/>
  <c r="BO438" i="1"/>
  <c r="BO447" i="1"/>
  <c r="BO479" i="1"/>
  <c r="BN450" i="1"/>
  <c r="BO450" i="1" s="1"/>
  <c r="BO451" i="1"/>
  <c r="BO489" i="1"/>
  <c r="BO492" i="1"/>
  <c r="BO508" i="1"/>
  <c r="BN501" i="1"/>
  <c r="BO501" i="1" s="1"/>
  <c r="BO502" i="1"/>
  <c r="BO550" i="1"/>
  <c r="BO574" i="1"/>
  <c r="BO566" i="1"/>
  <c r="BO573" i="1"/>
  <c r="BO578" i="1"/>
  <c r="BO610" i="1"/>
  <c r="BO605" i="1"/>
  <c r="BO642" i="1"/>
  <c r="BO643" i="1"/>
  <c r="BO641" i="1"/>
  <c r="BN671" i="1"/>
  <c r="BO671" i="1" s="1"/>
  <c r="BO672" i="1"/>
  <c r="BO686" i="1"/>
  <c r="BN695" i="1"/>
  <c r="BO695" i="1" s="1"/>
  <c r="BO696" i="1"/>
  <c r="BO542" i="1"/>
  <c r="BM90" i="1"/>
  <c r="BO13" i="1"/>
  <c r="BO20" i="1"/>
  <c r="BO50" i="1"/>
  <c r="BO66" i="1"/>
  <c r="BO56" i="1"/>
  <c r="BO108" i="1"/>
  <c r="BO125" i="1"/>
  <c r="BO103" i="1"/>
  <c r="BO167" i="1"/>
  <c r="BO96" i="1"/>
  <c r="BO153" i="1"/>
  <c r="BO140" i="1"/>
  <c r="BO118" i="1"/>
  <c r="BO172" i="1"/>
  <c r="BO237" i="1"/>
  <c r="BN212" i="1"/>
  <c r="BO212" i="1" s="1"/>
  <c r="BO213" i="1"/>
  <c r="BO220" i="1"/>
  <c r="BO226" i="1"/>
  <c r="BO265" i="1"/>
  <c r="BO276" i="1"/>
  <c r="BO235" i="1"/>
  <c r="BO296" i="1"/>
  <c r="BO272" i="1"/>
  <c r="BO343" i="1"/>
  <c r="BO350" i="1"/>
  <c r="BN348" i="1"/>
  <c r="BO348" i="1" s="1"/>
  <c r="BO349" i="1"/>
  <c r="BO384" i="1"/>
  <c r="BO389" i="1"/>
  <c r="BO387" i="1"/>
  <c r="BO373" i="1"/>
  <c r="BO406" i="1"/>
  <c r="BO428" i="1"/>
  <c r="BO441" i="1"/>
  <c r="BO421" i="1"/>
  <c r="BO474" i="1"/>
  <c r="BO490" i="1"/>
  <c r="BO457" i="1"/>
  <c r="BO478" i="1"/>
  <c r="BO514" i="1"/>
  <c r="BO512" i="1"/>
  <c r="BO506" i="1"/>
  <c r="BO567" i="1"/>
  <c r="BO560" i="1"/>
  <c r="BO568" i="1"/>
  <c r="BN569" i="1"/>
  <c r="BO569" i="1" s="1"/>
  <c r="BO570" i="1"/>
  <c r="BO584" i="1"/>
  <c r="BN620" i="1"/>
  <c r="BO620" i="1" s="1"/>
  <c r="BO621" i="1"/>
  <c r="BO616" i="1"/>
  <c r="BO645" i="1"/>
  <c r="BO651" i="1"/>
  <c r="BO647" i="1"/>
  <c r="BO680" i="1"/>
  <c r="BO685" i="1"/>
  <c r="BO698" i="1"/>
  <c r="BO314" i="1" l="1"/>
  <c r="BO365" i="1"/>
  <c r="BO54" i="1"/>
  <c r="BO39" i="1"/>
  <c r="BL8" i="1"/>
  <c r="BL5" i="1"/>
  <c r="BO263" i="1"/>
  <c r="BO144" i="1"/>
  <c r="BN44" i="1"/>
  <c r="BO45" i="1"/>
  <c r="BO195" i="1"/>
  <c r="BO433" i="1"/>
  <c r="BO416" i="1"/>
  <c r="BO127" i="1"/>
  <c r="BO297" i="1"/>
  <c r="BO63" i="1"/>
  <c r="BO161" i="1"/>
  <c r="BO552" i="1"/>
  <c r="BO246" i="1"/>
  <c r="BN109" i="1"/>
  <c r="BO110" i="1"/>
  <c r="BM109" i="1"/>
  <c r="BO399" i="1"/>
  <c r="BO382" i="1"/>
  <c r="BO90" i="1"/>
  <c r="BO81" i="1"/>
  <c r="BM44" i="1"/>
  <c r="BO34" i="1"/>
  <c r="BO518" i="1"/>
  <c r="BO689" i="1"/>
  <c r="BM7" i="1" l="1"/>
  <c r="BM5" i="1"/>
  <c r="BM8" i="1"/>
  <c r="BO109" i="1"/>
  <c r="BO44" i="1"/>
  <c r="BN7" i="1"/>
  <c r="BN5" i="1" l="1"/>
  <c r="BN8" i="1"/>
</calcChain>
</file>

<file path=xl/sharedStrings.xml><?xml version="1.0" encoding="utf-8"?>
<sst xmlns="http://schemas.openxmlformats.org/spreadsheetml/2006/main" count="2074" uniqueCount="1417">
  <si>
    <t>CW381147-ODS002: CONSTRUCCIÓN DE PLATAFORMAS Y CIMENTACIONES 
DE AEROGENERADORES DEL PARQUE EÓLICO WINDPESHI</t>
  </si>
  <si>
    <t>SEMANAS</t>
  </si>
  <si>
    <t>AVANCES PROGRAMADOS</t>
  </si>
  <si>
    <t>FECHAS</t>
  </si>
  <si>
    <t>EDT</t>
  </si>
  <si>
    <t>Nombre de tarea</t>
  </si>
  <si>
    <t>Duración</t>
  </si>
  <si>
    <t>Costo</t>
  </si>
  <si>
    <t>PESO RELATIVO AL CAPITULO (%)</t>
  </si>
  <si>
    <t>Comienzo</t>
  </si>
  <si>
    <t>Fin</t>
  </si>
  <si>
    <t>ODS02_IIWAKAI</t>
  </si>
  <si>
    <t>357 días</t>
  </si>
  <si>
    <t xml:space="preserve">   HITO 1: ACTA DE INICIO</t>
  </si>
  <si>
    <t>0 días</t>
  </si>
  <si>
    <t xml:space="preserve">   PRELIMINARES GENERALES </t>
  </si>
  <si>
    <t>21 días</t>
  </si>
  <si>
    <t>2.1</t>
  </si>
  <si>
    <t xml:space="preserve">      ENTREGA DE DOCUMENTOS HABILITADORES</t>
  </si>
  <si>
    <t>2.2</t>
  </si>
  <si>
    <t xml:space="preserve">      ENTREGA DE DOCUMENTACIÓN DE EJECUCION DEL PROYECTO</t>
  </si>
  <si>
    <t>2.3</t>
  </si>
  <si>
    <t xml:space="preserve">      REVISIÓN Y RECEPCIÓN DE INGENIERIA</t>
  </si>
  <si>
    <t xml:space="preserve">   SOCIALIZACIÓN CON COMUNIDADES </t>
  </si>
  <si>
    <t>30 días</t>
  </si>
  <si>
    <t>3.1</t>
  </si>
  <si>
    <t xml:space="preserve">      REUNIONES RIO PATAJATAMA</t>
  </si>
  <si>
    <t>3.2</t>
  </si>
  <si>
    <t xml:space="preserve">      REUNIONES RIO ROMANA</t>
  </si>
  <si>
    <t>3.3</t>
  </si>
  <si>
    <t xml:space="preserve">      REUNIONES RIO UTKAP</t>
  </si>
  <si>
    <t>3.4</t>
  </si>
  <si>
    <t xml:space="preserve">      REUNIONES RIO CALINCHON</t>
  </si>
  <si>
    <t>3.5</t>
  </si>
  <si>
    <t xml:space="preserve">      REUNIONES RIO CAÑAVERAL</t>
  </si>
  <si>
    <t>3.6</t>
  </si>
  <si>
    <t xml:space="preserve">      REUNIONES RIO KAMUSHIPA</t>
  </si>
  <si>
    <t>3.7</t>
  </si>
  <si>
    <t xml:space="preserve">      REUNIONES RIO FLOR DE LA FRONTERA</t>
  </si>
  <si>
    <t>3.8</t>
  </si>
  <si>
    <t xml:space="preserve">      REUNIONES RIO JAIKA KALINCHON</t>
  </si>
  <si>
    <t>3.9</t>
  </si>
  <si>
    <t xml:space="preserve">      REUNIONES RIO MASHUMANA</t>
  </si>
  <si>
    <t>3.10</t>
  </si>
  <si>
    <t xml:space="preserve">      REUNIONES RIO MASHUMANA WANE</t>
  </si>
  <si>
    <t>3.11</t>
  </si>
  <si>
    <t xml:space="preserve">      REUNIONES RIO MATAJUNAY</t>
  </si>
  <si>
    <t>3.12</t>
  </si>
  <si>
    <t xml:space="preserve">      REUNIONES RIO MANNAJUYAY</t>
  </si>
  <si>
    <t>3.13</t>
  </si>
  <si>
    <t xml:space="preserve">      REUNIONES RIO WINPESHI</t>
  </si>
  <si>
    <t>3.14</t>
  </si>
  <si>
    <t xml:space="preserve">      REUNIONES RIO JAMUCHERRU</t>
  </si>
  <si>
    <t xml:space="preserve">   PUBLICACIÓN DE VACANTES/CONTRATACIÓN DE PERSONAL </t>
  </si>
  <si>
    <t>20 días</t>
  </si>
  <si>
    <t xml:space="preserve">   SUMINISTRO DE MATERIALES</t>
  </si>
  <si>
    <t>5.1</t>
  </si>
  <si>
    <t xml:space="preserve">      SUMINISTRO DE MATERIALES CIVILES: ANCHOR CAGE (CLIENTE)</t>
  </si>
  <si>
    <t>14 días</t>
  </si>
  <si>
    <t>5.2</t>
  </si>
  <si>
    <t xml:space="preserve">      SUMINISTRO DE MATERIALES CIVILES: ACEROS DE REFUERSO</t>
  </si>
  <si>
    <t>7 días</t>
  </si>
  <si>
    <t xml:space="preserve">   HITO 2: INICIO DE ACTIVIDADES EN CAMPO </t>
  </si>
  <si>
    <t xml:space="preserve">   PISCINA INDUSTRIAL</t>
  </si>
  <si>
    <t>32 días</t>
  </si>
  <si>
    <t>7.1</t>
  </si>
  <si>
    <t xml:space="preserve">      MOVIMIENTO DE TIERRAS Y RECONFORMACION PISCINA INDUSTRIAL</t>
  </si>
  <si>
    <t>7.2</t>
  </si>
  <si>
    <t xml:space="preserve">      INSTALACION DE GEOMEMBRANA PISCINA INDUSTRIAL</t>
  </si>
  <si>
    <t>10 días</t>
  </si>
  <si>
    <t>7.3</t>
  </si>
  <si>
    <t xml:space="preserve">      CONSTRUCCION DE CERRAMIENTO EN ALAMBRE DE PUA PISCINA INDUSTRIAL</t>
  </si>
  <si>
    <t>7.4</t>
  </si>
  <si>
    <t xml:space="preserve">      CONSTRUCCION CUNETA PERIMETRAL PISCINA INDUSTRIAL</t>
  </si>
  <si>
    <t>8 días</t>
  </si>
  <si>
    <t xml:space="preserve">   ZONAS DE CAMPAMENTOS - FAENAS</t>
  </si>
  <si>
    <t>305 días</t>
  </si>
  <si>
    <t>8.1</t>
  </si>
  <si>
    <t xml:space="preserve">      CONFORMACIÓN DEL AREA ZONAS DE CAMPAMENTOS - FAENAS</t>
  </si>
  <si>
    <t>8.2</t>
  </si>
  <si>
    <t xml:space="preserve">      INSTALACIÓN DE CONTENEDORES Y EQUIPOS ZONAS DE CAMPAMENTOS - FAENAS</t>
  </si>
  <si>
    <t>8.3</t>
  </si>
  <si>
    <t xml:space="preserve">      INSTALACIÓN DE LAS FACILIDADES ELECTRICAS E HIDRÚALICAS DE LOS CONTENEDORES ZONAS DE CAMPAMENTOS - FAENAS</t>
  </si>
  <si>
    <t>8.4</t>
  </si>
  <si>
    <t xml:space="preserve">      ADMINISTRACIÓN Y MANTENIMIENTO DE CAMPAMENTOS</t>
  </si>
  <si>
    <t>280 días</t>
  </si>
  <si>
    <t xml:space="preserve">   EJECUCIÓN DE ACTIVIDADES DE CIMENTACIONES EXISTENTES</t>
  </si>
  <si>
    <t>101 días</t>
  </si>
  <si>
    <t>9.1</t>
  </si>
  <si>
    <t xml:space="preserve">      RECALCE 1 WP44</t>
  </si>
  <si>
    <t>9.1.1</t>
  </si>
  <si>
    <t xml:space="preserve">         LOCALIZACIÓN DEL ACERO WP44</t>
  </si>
  <si>
    <t>9.1.2</t>
  </si>
  <si>
    <t xml:space="preserve">         PERFORACION, ESCARIFICADO Y LIMPIEZA DEL RECUBRIMIENTO WP44</t>
  </si>
  <si>
    <t>9.1.3</t>
  </si>
  <si>
    <t xml:space="preserve">         CORTE Y FIGURADO DE ACERO WP44</t>
  </si>
  <si>
    <t>9.1.4</t>
  </si>
  <si>
    <t xml:space="preserve">         APLICACIÓN DE EPOXICO Y FIJACIÓN DEL ACERO WP44</t>
  </si>
  <si>
    <t>9.1.5</t>
  </si>
  <si>
    <t xml:space="preserve">         ENCONFRADO WP44</t>
  </si>
  <si>
    <t>9.1.6</t>
  </si>
  <si>
    <t xml:space="preserve">         VACIADO DE CONCRETO (APLICACIÓN PUENTE DE ADHERENCIA) WP44</t>
  </si>
  <si>
    <t>9.1.7</t>
  </si>
  <si>
    <t xml:space="preserve">         ADECUACIONES E INSTALACIONES ELECTRICAS REQUERIDAS WP44</t>
  </si>
  <si>
    <t>9.1.8</t>
  </si>
  <si>
    <t xml:space="preserve">         INSTALACION DE GROUT Y MORTERO AUTOCOMPACTANTE DE ALTA RESISTENCIA WP44</t>
  </si>
  <si>
    <t>9.2</t>
  </si>
  <si>
    <t xml:space="preserve">      RECALCE 2 WP45</t>
  </si>
  <si>
    <t>53 días</t>
  </si>
  <si>
    <t>9.2.1</t>
  </si>
  <si>
    <t xml:space="preserve">         LOCALIZACIÓN DEL ACERO WP45</t>
  </si>
  <si>
    <t>1 día</t>
  </si>
  <si>
    <t>9.2.2</t>
  </si>
  <si>
    <t xml:space="preserve">         PERFORACION, ESCARIFICADO Y LIMPIEZA DEL RECUBRIMIENTO WP45</t>
  </si>
  <si>
    <t>4 días</t>
  </si>
  <si>
    <t>9.2.3</t>
  </si>
  <si>
    <t xml:space="preserve">         CORTE Y FIGURADO DE ACERO WP45</t>
  </si>
  <si>
    <t>2 días</t>
  </si>
  <si>
    <t>9.2.4</t>
  </si>
  <si>
    <t xml:space="preserve">         APLICACIÓN DE EPOXICO Y FIJACIÓN DEL ACERO WP45</t>
  </si>
  <si>
    <t>9.2.5</t>
  </si>
  <si>
    <t xml:space="preserve">         ENCONFRADO WP45</t>
  </si>
  <si>
    <t>9.2.6</t>
  </si>
  <si>
    <t xml:space="preserve">         VACIADO DE CONCRETO (APLICACIÓN PUENTE DE ADHERENCIA) WP45</t>
  </si>
  <si>
    <t>9.2.7</t>
  </si>
  <si>
    <t xml:space="preserve">         ADECUACIONES E INSTALACIONES ELECTRICAS REQUERIDAS WP45</t>
  </si>
  <si>
    <t>3 días</t>
  </si>
  <si>
    <t>9.2.8</t>
  </si>
  <si>
    <t xml:space="preserve">         INSTALACION DE GROUT Y MORTERO AUTOCOMPACTANTE DE ALTA RESISTENCIA WP45</t>
  </si>
  <si>
    <t>9.3</t>
  </si>
  <si>
    <t xml:space="preserve">      RECALCE 3 WP46</t>
  </si>
  <si>
    <t>9.3.1</t>
  </si>
  <si>
    <t xml:space="preserve">         LOCALIZACIÓN DEL ACERO WP46</t>
  </si>
  <si>
    <t>9.3.2</t>
  </si>
  <si>
    <t xml:space="preserve">         ESCARIFICADO Y LIMPIEZA DEL RECUBRIMIENTO WP46</t>
  </si>
  <si>
    <t>9.3.3</t>
  </si>
  <si>
    <t xml:space="preserve">         CORTE Y FIGURADO DE ACERO WP46</t>
  </si>
  <si>
    <t>9.3.4</t>
  </si>
  <si>
    <t xml:space="preserve">         APLICACIÓN DE EPOXICO Y FIJACIÓN DEL ACERO WP46</t>
  </si>
  <si>
    <t>9.3.5</t>
  </si>
  <si>
    <t xml:space="preserve">         ENCONFRADO WP46</t>
  </si>
  <si>
    <t>9.3.6</t>
  </si>
  <si>
    <t xml:space="preserve">         VACIADO DE CONCRETO (APLICACIÓN PUENTE DE ADHERENCIA) WP46</t>
  </si>
  <si>
    <t>9.3.7</t>
  </si>
  <si>
    <t xml:space="preserve">         ADECUACIONES E INSTALACIONES ELECTRICAS REQUERIDAS WP46</t>
  </si>
  <si>
    <t>9.3.8</t>
  </si>
  <si>
    <t xml:space="preserve">         INSTALACION DE GROUT Y MORTERO AUTOCOMPACTANTE DE ALTA RESISTENCIA WP46</t>
  </si>
  <si>
    <t>9.4</t>
  </si>
  <si>
    <t xml:space="preserve">      RECALCE 4 WP47</t>
  </si>
  <si>
    <t>9.4.1</t>
  </si>
  <si>
    <t xml:space="preserve">         LOCALIZACIÓN DEL ACERO WP47</t>
  </si>
  <si>
    <t>9.4.2</t>
  </si>
  <si>
    <t xml:space="preserve">         ESCARIFICADO Y LIMPIEZA DEL RECUBRIMIENTO WP47</t>
  </si>
  <si>
    <t>9.4.3</t>
  </si>
  <si>
    <t xml:space="preserve">         CORTE Y FIGURADO DE ACERO WP47</t>
  </si>
  <si>
    <t>9.4.4</t>
  </si>
  <si>
    <t xml:space="preserve">         APLICACIÓN DE EPOXICO Y FIJACIÓN DEL ACERO WP47</t>
  </si>
  <si>
    <t>9.4.5</t>
  </si>
  <si>
    <t xml:space="preserve">         ENCONFRADO WP47</t>
  </si>
  <si>
    <t>9.4.6</t>
  </si>
  <si>
    <t xml:space="preserve">         VACIADO DE CONCRETO (APLICACIÓN PUENTE DE ADHERENCIA) WP47</t>
  </si>
  <si>
    <t>9.4.7</t>
  </si>
  <si>
    <t xml:space="preserve">         ADECUACIONES E INSTALACIONES ELECTRICAS REQUERIDAS WP47</t>
  </si>
  <si>
    <t>9.4.8</t>
  </si>
  <si>
    <t xml:space="preserve">         INSTALACION DE GROUT Y MORTERO AUTOCOMPACTANTE DE ALTA RESISTENCIA WP47</t>
  </si>
  <si>
    <t>9.5</t>
  </si>
  <si>
    <t xml:space="preserve">      RECALCE 5 WP48</t>
  </si>
  <si>
    <t>9.5.1</t>
  </si>
  <si>
    <t xml:space="preserve">         LOCALIZACIÓN DEL ACERO WP48</t>
  </si>
  <si>
    <t>9.5.2</t>
  </si>
  <si>
    <t xml:space="preserve">         ESCARIFICADO Y LIMPIEZA DEL RECUBRIMIENTO WP48</t>
  </si>
  <si>
    <t>9.5.3</t>
  </si>
  <si>
    <t xml:space="preserve">         CORTE Y FIGURADO DE ACERO WP48</t>
  </si>
  <si>
    <t>9.5.4</t>
  </si>
  <si>
    <t xml:space="preserve">         APLICACIÓN DE EPOXICO Y FIJACIÓN DEL ACERO WP48</t>
  </si>
  <si>
    <t>9.5.5</t>
  </si>
  <si>
    <t xml:space="preserve">         ENCONFRADO WP48</t>
  </si>
  <si>
    <t>9.5.6</t>
  </si>
  <si>
    <t xml:space="preserve">         VACIADO DE CONCRETO (APLICACIÓN PUENTE DE ADHERENCIA) WP48</t>
  </si>
  <si>
    <t>9.5.7</t>
  </si>
  <si>
    <t xml:space="preserve">         ADECUACIONES E INSTALACIONES ELECTRICAS REQUERIDAS WP48</t>
  </si>
  <si>
    <t>9.5.8</t>
  </si>
  <si>
    <t xml:space="preserve">         INSTALACION DE GROUT Y MORTERO AUTOCOMPACTANTE DE ALTA RESISTENCIA WP48</t>
  </si>
  <si>
    <t>9.6</t>
  </si>
  <si>
    <t xml:space="preserve">      RECALCE 6 WP49</t>
  </si>
  <si>
    <t>9.6.1</t>
  </si>
  <si>
    <t xml:space="preserve">         LOCALIZACIÓN DEL HACERO WP49</t>
  </si>
  <si>
    <t>9.6.2</t>
  </si>
  <si>
    <t xml:space="preserve">         ESCARIFICADO Y LIMPIEZA DEL RECUBRIMIENTO WP49</t>
  </si>
  <si>
    <t>9.6.3</t>
  </si>
  <si>
    <t xml:space="preserve">         CORTE Y FIGURADO DE ACERO WP49</t>
  </si>
  <si>
    <t>9.6.4</t>
  </si>
  <si>
    <t xml:space="preserve">         APLICACIÓN DE EPOXICO Y FIJACIÓN DEL ACERO WP49</t>
  </si>
  <si>
    <t>9.6.5</t>
  </si>
  <si>
    <t xml:space="preserve">         ENCONFRADO WP49</t>
  </si>
  <si>
    <t>9.6.6</t>
  </si>
  <si>
    <t xml:space="preserve">         VACIADO DE CONCRETO (APLICACIÓN PUENTE DE ADHERENCIA) WP49</t>
  </si>
  <si>
    <t>9.6.7</t>
  </si>
  <si>
    <t xml:space="preserve">         ADECUACIONES E INSTALACIONES ELECTRICAS REQUERIDAS WP49</t>
  </si>
  <si>
    <t>9.6.8</t>
  </si>
  <si>
    <t xml:space="preserve">         INSTALACION DE GROUT Y MORTERO AUTOCOMPACTANTE DE ALTA RESISTENCIA WP49</t>
  </si>
  <si>
    <t>9.7</t>
  </si>
  <si>
    <t xml:space="preserve">      RECALCE 7 WP52</t>
  </si>
  <si>
    <t>9.7.1</t>
  </si>
  <si>
    <t xml:space="preserve">         LOCALIZACIÓN DEL ACERO WP52</t>
  </si>
  <si>
    <t>9.7.2</t>
  </si>
  <si>
    <t xml:space="preserve">         ESCARIFICADO Y LIMPIEZA DEL RECUBRIMIENTO WP52</t>
  </si>
  <si>
    <t>9.7.3</t>
  </si>
  <si>
    <t xml:space="preserve">         CORTE Y FIGURADO DE ACERO WP52</t>
  </si>
  <si>
    <t>9.7.4</t>
  </si>
  <si>
    <t xml:space="preserve">         APLICACIÓN DE EPOXICO Y FIJACIÓN DEL ACERO WP52</t>
  </si>
  <si>
    <t>9.7.5</t>
  </si>
  <si>
    <t xml:space="preserve">         ENCONFRADO WP52</t>
  </si>
  <si>
    <t>9.7.6</t>
  </si>
  <si>
    <t xml:space="preserve">         VACIADO DE CONCRETO (APLICACIÓN PUENTE DE ADHERENCIA) WP52</t>
  </si>
  <si>
    <t>9.7.7</t>
  </si>
  <si>
    <t xml:space="preserve">         ADECUACIONES E INSTALACIONES ELECTRICAS REQUERIDAS WP52</t>
  </si>
  <si>
    <t>9.7.8</t>
  </si>
  <si>
    <t xml:space="preserve">         INSTALACION DE GROUT Y MORTERO AUTOCOMPACTANTE DE ALTA RESISTENCIA WP52</t>
  </si>
  <si>
    <t>9.8</t>
  </si>
  <si>
    <t xml:space="preserve">      HITO 3: FIN DE ACTIVIDADES DE RECALCE</t>
  </si>
  <si>
    <t xml:space="preserve">   EJECUCIÓN DE ACTIVIDADES DE CIMENTACIONES NUEVAS</t>
  </si>
  <si>
    <t>325 días</t>
  </si>
  <si>
    <t>10.1</t>
  </si>
  <si>
    <t xml:space="preserve">      CIMENTACION WP50</t>
  </si>
  <si>
    <t>68 días</t>
  </si>
  <si>
    <t>10.1.1</t>
  </si>
  <si>
    <t xml:space="preserve">         LOCALIZACION, REPLANTEO Y DESBROCE DE AREA DE ACOPIO DE TORRE Y DE PALAS WP50</t>
  </si>
  <si>
    <t>10.1.2</t>
  </si>
  <si>
    <t xml:space="preserve">         EXCAVACIÓN DE CIMENTACION WP50</t>
  </si>
  <si>
    <t>10.1.3</t>
  </si>
  <si>
    <t xml:space="preserve">         BANCO DE DUCTO WP50</t>
  </si>
  <si>
    <t>10.1.4</t>
  </si>
  <si>
    <t xml:space="preserve">         COMPACTACION DE SELLO DE BASE WP50</t>
  </si>
  <si>
    <t>10.1.5</t>
  </si>
  <si>
    <t xml:space="preserve">         SOLADO WP50</t>
  </si>
  <si>
    <t>10.1.6</t>
  </si>
  <si>
    <t xml:space="preserve">         INSTALACIÓN DE PERNOS Y SOFT-SPOT WP50</t>
  </si>
  <si>
    <t>5 días</t>
  </si>
  <si>
    <t>10.1.7</t>
  </si>
  <si>
    <t xml:space="preserve">         INSTALACIÓN DE ACERO DE REFUERZO WP50</t>
  </si>
  <si>
    <t>10.1.8</t>
  </si>
  <si>
    <t xml:space="preserve">         ENCOFRADO DE ZAPATA Y DE PEDESTAL WP50</t>
  </si>
  <si>
    <t>10.1.9</t>
  </si>
  <si>
    <t xml:space="preserve">         HITO: ALISTAMIENTO Y MOVILIZACIÓN DE PLANTA DE CONCRETO PARA WP50</t>
  </si>
  <si>
    <t>10.1.10</t>
  </si>
  <si>
    <t xml:space="preserve">         FUNDIDA WP50</t>
  </si>
  <si>
    <t>10.1.11</t>
  </si>
  <si>
    <t xml:space="preserve">         CURADO DEL CONCRETO WP50</t>
  </si>
  <si>
    <t>10.1.12</t>
  </si>
  <si>
    <t xml:space="preserve">         INSTALACIONES ELECTRICAS Y SISTEMA PUESTA TIERRA WP50</t>
  </si>
  <si>
    <t>10.1.13</t>
  </si>
  <si>
    <t xml:space="preserve">         INSTALACION DE GROUT Y MORTERO AUTOCOMPACTANTE DE ALTA RESISTENCIA WP50</t>
  </si>
  <si>
    <t>10.1.14</t>
  </si>
  <si>
    <t xml:space="preserve">         TAPADO AREA DE CIMENTACIÓN Y CONFORMACIÓN DE PLATAFORMA WP50</t>
  </si>
  <si>
    <t>10.1.15</t>
  </si>
  <si>
    <t xml:space="preserve">         ESTABILIZACIÓN DE TALUDES EN PLATAFORMA Y RECONFORMACION FINAL WP50</t>
  </si>
  <si>
    <t>10.1.16</t>
  </si>
  <si>
    <t xml:space="preserve">         HITO: FINALIZACION DE ACTIVIDADES EN CIMENTACION WP50</t>
  </si>
  <si>
    <t>10.2</t>
  </si>
  <si>
    <t xml:space="preserve">      CIMENTACION WP53</t>
  </si>
  <si>
    <t>64 días</t>
  </si>
  <si>
    <t>10.2.1</t>
  </si>
  <si>
    <t xml:space="preserve">         LOCALIZACION, REPLANTEO DESBROCE DE AREA DE ACOPIO DE TORRE Y DE PALAS WP53</t>
  </si>
  <si>
    <t>10.2.2</t>
  </si>
  <si>
    <t xml:space="preserve">         EXCAVACIÓN DE CIMENTACION WP53</t>
  </si>
  <si>
    <t>10.2.3</t>
  </si>
  <si>
    <t xml:space="preserve">         BANCO DE DUCTO WP53</t>
  </si>
  <si>
    <t>10.2.4</t>
  </si>
  <si>
    <t xml:space="preserve">         COMPACTACION DE SELLO DE BASE WP53</t>
  </si>
  <si>
    <t>10.2.5</t>
  </si>
  <si>
    <t xml:space="preserve">          WP53 WP53</t>
  </si>
  <si>
    <t>10.2.6</t>
  </si>
  <si>
    <t xml:space="preserve">         INSTALACIÓN DE PERNOS Y SOFT-SPOT WP53</t>
  </si>
  <si>
    <t>10.2.7</t>
  </si>
  <si>
    <t xml:space="preserve">         INSTALACIÓN DE ACERO DE REFUERZO WP53</t>
  </si>
  <si>
    <t>10.2.8</t>
  </si>
  <si>
    <t xml:space="preserve">         ENCOFRADO DE ZAPATA Y DE PEDESTAL WP53</t>
  </si>
  <si>
    <t>10.2.9</t>
  </si>
  <si>
    <t xml:space="preserve">         HITO: ALISTAMIENTO Y MOVILIZACIÓN DE PLANTA DE CONCRETO PARA WP53</t>
  </si>
  <si>
    <t>10.2.10</t>
  </si>
  <si>
    <t xml:space="preserve">         FUNDIDA WP53</t>
  </si>
  <si>
    <t>10.2.11</t>
  </si>
  <si>
    <t xml:space="preserve">         CURADO DEL CONCRETO WP53</t>
  </si>
  <si>
    <t>10.2.12</t>
  </si>
  <si>
    <t xml:space="preserve">         INSTALACIONES ELECTRICAS Y SISTEMA PUESTA TIERRA WP53</t>
  </si>
  <si>
    <t>10.2.13</t>
  </si>
  <si>
    <t xml:space="preserve">         INSTALACION DE GROUT Y MORTERO AUTOCOMPACTANTE DE ALTA RESISTENCIA WP53</t>
  </si>
  <si>
    <t>10.2.14</t>
  </si>
  <si>
    <t xml:space="preserve">         TAPADO AREA DE CIMENTACIÓN Y CONFORMACIÓN DE PLATAFORMA WP53</t>
  </si>
  <si>
    <t>10.2.15</t>
  </si>
  <si>
    <t xml:space="preserve">         ESTABILIZACIÓN DE TALUDES EN PLATAFORMA Y RECONFORMACION FINAL WP53</t>
  </si>
  <si>
    <t>10.2.16</t>
  </si>
  <si>
    <t xml:space="preserve">         HITO: FINALIZACION DE ACTIVIDADES EN CIMENTACION WP53</t>
  </si>
  <si>
    <t>10.3</t>
  </si>
  <si>
    <t xml:space="preserve">      CIMENTACION WP15</t>
  </si>
  <si>
    <t>10.3.1</t>
  </si>
  <si>
    <t xml:space="preserve">         LOCALIZACION, REPLANTEO DESBROCE DE AREA DE ACOPIO DE TORRE Y DE PALAS WP15</t>
  </si>
  <si>
    <t>10.3.2</t>
  </si>
  <si>
    <t xml:space="preserve">         EXCAVACIÓN DE CIMENTACION WP15</t>
  </si>
  <si>
    <t>10.3.3</t>
  </si>
  <si>
    <t xml:space="preserve">         BANCO DE DUCTO WP15</t>
  </si>
  <si>
    <t>10.3.4</t>
  </si>
  <si>
    <t xml:space="preserve">         COMPACTACION DE SELLO DE BASE WP15</t>
  </si>
  <si>
    <t>10.3.5</t>
  </si>
  <si>
    <t xml:space="preserve">         SOLADO WP15</t>
  </si>
  <si>
    <t>10.3.6</t>
  </si>
  <si>
    <t xml:space="preserve">         INSTALACIÓN DE PERNOS Y SOFT-SPOT WP15</t>
  </si>
  <si>
    <t>10.3.7</t>
  </si>
  <si>
    <t xml:space="preserve">         INSTALACIÓN DE ACERO DE REFUERZO WP15</t>
  </si>
  <si>
    <t>10.3.8</t>
  </si>
  <si>
    <t xml:space="preserve">         ENCOFRADO DE ZAPATA Y DE PEDESTAL WP15</t>
  </si>
  <si>
    <t>10.3.9</t>
  </si>
  <si>
    <t xml:space="preserve">         HITO: ALISTAMIENTO Y MOVILIZACIÓN DE PLANTA DE CONCRETO PARA WP15</t>
  </si>
  <si>
    <t>10.3.10</t>
  </si>
  <si>
    <t xml:space="preserve">         FUNDIDA WP15</t>
  </si>
  <si>
    <t>10.3.11</t>
  </si>
  <si>
    <t xml:space="preserve">         CURADO DEL CONCRETO WP15</t>
  </si>
  <si>
    <t>10.3.12</t>
  </si>
  <si>
    <t xml:space="preserve">         INSTALACIONES ELECTRICAS Y SISTEMA PUESTA TIERRA WP15</t>
  </si>
  <si>
    <t>10.3.13</t>
  </si>
  <si>
    <t xml:space="preserve">         INSTALACION DE GROUT Y MORTERO AUTOCOMPACTANTE DE ALTA RESISTENCIA WP15</t>
  </si>
  <si>
    <t>10.3.14</t>
  </si>
  <si>
    <t xml:space="preserve">         TAPADO AREA DE CIMENTACIÓN Y CONFORMACIÓN DE PLATAFORMA WP15</t>
  </si>
  <si>
    <t>10.3.15</t>
  </si>
  <si>
    <t xml:space="preserve">         ESTABILIZACIÓN DE TALUDES EN PLATAFORMA Y RECONFORMACION FINAL WP15</t>
  </si>
  <si>
    <t>10.3.16</t>
  </si>
  <si>
    <t xml:space="preserve">         HITO: FINALIZACION DE ACTIVIDADES EN CIMENTACION WP15</t>
  </si>
  <si>
    <t>10.4</t>
  </si>
  <si>
    <t xml:space="preserve">      CIMENTACION WP14</t>
  </si>
  <si>
    <t>10.4.1</t>
  </si>
  <si>
    <t xml:space="preserve">         LOCALIZACION, REPLANTEO DESBROCE DE AREA DE ACOPIO DE TORRE Y DE PALAS WP14</t>
  </si>
  <si>
    <t>10.4.2</t>
  </si>
  <si>
    <t xml:space="preserve">         EXCAVACIÓN DE CIMENTACION WP14</t>
  </si>
  <si>
    <t>10.4.3</t>
  </si>
  <si>
    <t xml:space="preserve">         BANCO DE DUCTO WP14</t>
  </si>
  <si>
    <t>10.4.4</t>
  </si>
  <si>
    <t xml:space="preserve">         COMPACTACION DE SELLO DE BASE WP14</t>
  </si>
  <si>
    <t>10.4.5</t>
  </si>
  <si>
    <t xml:space="preserve">         SOLADO WP14</t>
  </si>
  <si>
    <t>10.4.6</t>
  </si>
  <si>
    <t xml:space="preserve">         INSTALACIÓN DE PERNOS Y SOFT-SPOT WP14</t>
  </si>
  <si>
    <t>10.4.7</t>
  </si>
  <si>
    <t xml:space="preserve">         INSTALACIÓN DE ACERO DE REFUERZO WP14</t>
  </si>
  <si>
    <t>10.4.8</t>
  </si>
  <si>
    <t xml:space="preserve">         ENCOFRADO DE ZAPATA Y DE PEDESTAL WP14</t>
  </si>
  <si>
    <t>10.4.9</t>
  </si>
  <si>
    <t xml:space="preserve">         HITO: ALISTAMIENTO Y MOVILIZACIÓN DE PLANTA DE CONCRETO PARA WP14</t>
  </si>
  <si>
    <t>10.4.10</t>
  </si>
  <si>
    <t xml:space="preserve">         FUNDIDA WP14</t>
  </si>
  <si>
    <t>10.4.11</t>
  </si>
  <si>
    <t xml:space="preserve">         CURADO DEL CONCRETO WP14</t>
  </si>
  <si>
    <t>10.4.12</t>
  </si>
  <si>
    <t xml:space="preserve">         INSTALACIONES ELECTRICAS Y SISTEMA PUESTA TIERRA WP14</t>
  </si>
  <si>
    <t>10.4.13</t>
  </si>
  <si>
    <t xml:space="preserve">         INSTALACION DE GROUT Y MORTERO AUTOCOMPACTANTE DE ALTA RESISTENCIA WP14</t>
  </si>
  <si>
    <t>10.4.14</t>
  </si>
  <si>
    <t xml:space="preserve">         TAPADO AREA DE CIMENTACIÓN Y CONFORMACIÓN DE PLATAFORMA WP14</t>
  </si>
  <si>
    <t>10.4.15</t>
  </si>
  <si>
    <t xml:space="preserve">         ESTABILIZACIÓN DE TALUDES EN PLATAFORMA Y RECONFORMACION FINAL WP14</t>
  </si>
  <si>
    <t>10.4.16</t>
  </si>
  <si>
    <t xml:space="preserve">         HITO: FINALIZACION DE ACTIVIDADES EN CIMENTACION WP14</t>
  </si>
  <si>
    <t>10.5</t>
  </si>
  <si>
    <t xml:space="preserve">      CIMENTACION WP16</t>
  </si>
  <si>
    <t>10.5.1</t>
  </si>
  <si>
    <t xml:space="preserve">         LOCALIZACION, REPLANTEO DESBROCE DE AREA DE ACOPIO DE TORRE Y DE PALAS WP16</t>
  </si>
  <si>
    <t>10.5.2</t>
  </si>
  <si>
    <t xml:space="preserve">         EXCAVACIÓN DE CIMENTACION WP16</t>
  </si>
  <si>
    <t>10.5.3</t>
  </si>
  <si>
    <t xml:space="preserve">         BANCO DE DUCTO WP16</t>
  </si>
  <si>
    <t>10.5.4</t>
  </si>
  <si>
    <t xml:space="preserve">         COMPACTACION DE SELLO DE BASE WP16</t>
  </si>
  <si>
    <t>10.5.5</t>
  </si>
  <si>
    <t xml:space="preserve">         SOLADO WP16</t>
  </si>
  <si>
    <t>10.5.6</t>
  </si>
  <si>
    <t xml:space="preserve">         INSTALACIÓN DE PERNOS Y SOFT-SPOT WP16</t>
  </si>
  <si>
    <t>10.5.7</t>
  </si>
  <si>
    <t xml:space="preserve">         INSTALACIÓN DE ACERO DE REFUERZO WP16</t>
  </si>
  <si>
    <t>10.5.8</t>
  </si>
  <si>
    <t xml:space="preserve">         ENCOFRADO DE ZAPATA Y DE PEDESTAL WP16</t>
  </si>
  <si>
    <t>10.5.9</t>
  </si>
  <si>
    <t xml:space="preserve">         HITO: ALISTAMIENTO Y MOVILIZACIÓN DE PLANTA DE CONCRETO PARA WP16</t>
  </si>
  <si>
    <t>10.5.10</t>
  </si>
  <si>
    <t xml:space="preserve">         FUNDIDA WP16</t>
  </si>
  <si>
    <t>10.5.11</t>
  </si>
  <si>
    <t xml:space="preserve">         CURADO DEL CONCRETO WP16</t>
  </si>
  <si>
    <t>10.5.12</t>
  </si>
  <si>
    <t xml:space="preserve">         INSTALACIONES ELECTRICAS Y SISTEMA PUESTA TIERRA WP16</t>
  </si>
  <si>
    <t>10.5.13</t>
  </si>
  <si>
    <t xml:space="preserve">         INSTALACION DE GROUT Y MORTERO AUTOCOMPACTANTE DE ALTA RESISTENCIA WP16</t>
  </si>
  <si>
    <t>10.5.14</t>
  </si>
  <si>
    <t xml:space="preserve">         TAPADO AREA DE CIMENTACIÓN Y CONFORMACIÓN DE PLATAFORMA WP16</t>
  </si>
  <si>
    <t>10.5.15</t>
  </si>
  <si>
    <t xml:space="preserve">         ESTABILIZACIÓN DE TALUDES EN PLATAFORMA Y RECONFORMACION FINAL WP16</t>
  </si>
  <si>
    <t>10.5.16</t>
  </si>
  <si>
    <t xml:space="preserve">         HITO: FINALIZACION DE ACTIVIDADES EN CIMENTACION WP16</t>
  </si>
  <si>
    <t>10.6</t>
  </si>
  <si>
    <t xml:space="preserve">      CIMENTACION WP18</t>
  </si>
  <si>
    <t>10.6.1</t>
  </si>
  <si>
    <t xml:space="preserve">         LOCALIZACION, REPLANTEO DESBROCE DE AREA DE ACOPIO DE TORRE Y DE PALAS WP18</t>
  </si>
  <si>
    <t>10.6.2</t>
  </si>
  <si>
    <t xml:space="preserve">         EXCAVACIÓN DE CIMENTACION WP18</t>
  </si>
  <si>
    <t>10.6.3</t>
  </si>
  <si>
    <t xml:space="preserve">         BANCO DE DUCTO WP18</t>
  </si>
  <si>
    <t>10.6.4</t>
  </si>
  <si>
    <t xml:space="preserve">         COMPACTACION DE SELLO DE BASE WP18</t>
  </si>
  <si>
    <t>10.6.5</t>
  </si>
  <si>
    <t xml:space="preserve">         SOLADO WP18</t>
  </si>
  <si>
    <t>10.6.6</t>
  </si>
  <si>
    <t xml:space="preserve">         INSTALACIÓN DE PERNOS Y SOFT-SPOT WP18</t>
  </si>
  <si>
    <t>10.6.7</t>
  </si>
  <si>
    <t xml:space="preserve">         INSTALACIÓN DE ACERO DE REFUERZO WP18</t>
  </si>
  <si>
    <t>10.6.8</t>
  </si>
  <si>
    <t xml:space="preserve">         ENCOFRADO DE ZAPATA Y DE PEDESTAL WP18</t>
  </si>
  <si>
    <t>10.6.9</t>
  </si>
  <si>
    <t xml:space="preserve">         HITO: ALISTAMIENTO Y MOVILIZACIÓN DE PLANTA DE CONCRETO PARA WP18</t>
  </si>
  <si>
    <t>10.6.10</t>
  </si>
  <si>
    <t xml:space="preserve">         FUNDIDA WP18</t>
  </si>
  <si>
    <t>10.6.11</t>
  </si>
  <si>
    <t xml:space="preserve">         CURADO DEL CONCRETO WP18</t>
  </si>
  <si>
    <t>10.6.12</t>
  </si>
  <si>
    <t xml:space="preserve">         INSTALACIONES ELECTRICAS Y SISTEMA PUESTA TIERRA WP18</t>
  </si>
  <si>
    <t>10.6.13</t>
  </si>
  <si>
    <t xml:space="preserve">         INSTALACION DE GROUT Y MORTERO AUTOCOMPACTANTE DE ALTA RESISTENCIA WP18</t>
  </si>
  <si>
    <t>10.6.14</t>
  </si>
  <si>
    <t xml:space="preserve">         TAPADO AREA DE CIMENTACIÓN Y CONFORMACIÓN DE PLATAFORMA WP18</t>
  </si>
  <si>
    <t>10.6.15</t>
  </si>
  <si>
    <t xml:space="preserve">         ESTABILIZACIÓN DE TALUDES EN PLATAFORMA Y RECONFORMACION FINAL WP18</t>
  </si>
  <si>
    <t>10.6.16</t>
  </si>
  <si>
    <t xml:space="preserve">         HITO: FINALIZACION DE ACTIVIDADES EN CIMENTACION WP18</t>
  </si>
  <si>
    <t>10.7</t>
  </si>
  <si>
    <t xml:space="preserve">      CIMENTACION WP9</t>
  </si>
  <si>
    <t>67 días</t>
  </si>
  <si>
    <t>10.7.1</t>
  </si>
  <si>
    <t xml:space="preserve">         LOCALIZACION, REPLANTEO DESBROCE DE AREA DE ACOPIO DE TORRE Y DE PALAS WP9</t>
  </si>
  <si>
    <t>10.7.2</t>
  </si>
  <si>
    <t xml:space="preserve">         EXCAVACIÓN DE CIMENTACION WP9</t>
  </si>
  <si>
    <t>10.7.3</t>
  </si>
  <si>
    <t xml:space="preserve">         BANCO DE DUCTO WP9</t>
  </si>
  <si>
    <t>10.7.4</t>
  </si>
  <si>
    <t xml:space="preserve">         COMPACTACION DE SELLO DE BASE WP9</t>
  </si>
  <si>
    <t>10.7.5</t>
  </si>
  <si>
    <t xml:space="preserve">         SOLADO WP9</t>
  </si>
  <si>
    <t>10.7.6</t>
  </si>
  <si>
    <t xml:space="preserve">         INSTALACIÓN DE PERNOS Y SOFT-SPOT WP9</t>
  </si>
  <si>
    <t>10.7.7</t>
  </si>
  <si>
    <t xml:space="preserve">         INSTALACIÓN DE ACERO DE REFUERZO WP9</t>
  </si>
  <si>
    <t>10.7.8</t>
  </si>
  <si>
    <t xml:space="preserve">         ENCOFRADO DE ZAPATA Y DE PEDESTAL WP9</t>
  </si>
  <si>
    <t>10.7.9</t>
  </si>
  <si>
    <t xml:space="preserve">         HITO: ALISTAMIENTO Y MOVILIZACIÓN DE PLANTA DE CONCRETO PARA WP9</t>
  </si>
  <si>
    <t>10.7.10</t>
  </si>
  <si>
    <t xml:space="preserve">         FUNDIDA WP9</t>
  </si>
  <si>
    <t>10.7.11</t>
  </si>
  <si>
    <t xml:space="preserve">         CURADO DEL CONCRETO WP9</t>
  </si>
  <si>
    <t>10.7.12</t>
  </si>
  <si>
    <t xml:space="preserve">         INSTALACIONES ELECTRICAS Y SISTEMA PUESTA TIERRA WP9</t>
  </si>
  <si>
    <t>10.7.13</t>
  </si>
  <si>
    <t xml:space="preserve">         INSTALACION DE GROUT Y MORTERO AUTOCOMPACTANTE DE ALTA RESISTENCIA WP9</t>
  </si>
  <si>
    <t>10.7.14</t>
  </si>
  <si>
    <t xml:space="preserve">         TAPADO AREA DE CIMENTACIÓN Y CONFORMACIÓN DE PLATAFORMA WP9</t>
  </si>
  <si>
    <t>10.7.15</t>
  </si>
  <si>
    <t xml:space="preserve">         ESTABILIZACIÓN DE TALUDES EN PLATAFORMA Y RECONFORMACION FINAL WP9</t>
  </si>
  <si>
    <t>10.7.16</t>
  </si>
  <si>
    <t xml:space="preserve">         HITO: FINALIZACION DE ACTIVIDADES EN CIMENTACION WP9</t>
  </si>
  <si>
    <t>10.8</t>
  </si>
  <si>
    <t xml:space="preserve">      CIMENTACION WP8</t>
  </si>
  <si>
    <t>61 días</t>
  </si>
  <si>
    <t>10.8.1</t>
  </si>
  <si>
    <t xml:space="preserve">         LOCALIZACION, REPLANTEO DESBROCE DE AREA DE ACOPIO DE TORRE Y DE PALAS WP8</t>
  </si>
  <si>
    <t>10.8.2</t>
  </si>
  <si>
    <t xml:space="preserve">         EXCAVACIÓN DE CIMENTACION WP8</t>
  </si>
  <si>
    <t>10.8.3</t>
  </si>
  <si>
    <t xml:space="preserve">         BANCO DE DUCTO WP8</t>
  </si>
  <si>
    <t>10.8.4</t>
  </si>
  <si>
    <t xml:space="preserve">         COMPACTACION DE SELLO DE BASE WP8</t>
  </si>
  <si>
    <t>10.8.5</t>
  </si>
  <si>
    <t xml:space="preserve">         SOLADO WP8</t>
  </si>
  <si>
    <t>10.8.6</t>
  </si>
  <si>
    <t xml:space="preserve">         INSTALACIÓN DE PERNOS Y SOFT-SPOT WP8</t>
  </si>
  <si>
    <t>10.8.7</t>
  </si>
  <si>
    <t xml:space="preserve">         INSTALACIÓN DE ACERO DE REFUERZO WP8</t>
  </si>
  <si>
    <t>10.8.8</t>
  </si>
  <si>
    <t xml:space="preserve">         ENCOFRADO DE ZAPATA Y DE PEDESTAL WP8</t>
  </si>
  <si>
    <t>10.8.9</t>
  </si>
  <si>
    <t xml:space="preserve">         HITO: ALISTAMIENTO Y MOVILIZACIÓN DE PLANTA DE CONCRETO PARA WP8</t>
  </si>
  <si>
    <t>10.8.10</t>
  </si>
  <si>
    <t xml:space="preserve">         FUNDIDA WP8</t>
  </si>
  <si>
    <t>10.8.11</t>
  </si>
  <si>
    <t xml:space="preserve">         CURADO DEL CONCRETO WP8</t>
  </si>
  <si>
    <t>10.8.12</t>
  </si>
  <si>
    <t xml:space="preserve">         INSTALACIONES ELECTRICAS Y SISTEMA PUESTA TIERRA WP8</t>
  </si>
  <si>
    <t>10.8.13</t>
  </si>
  <si>
    <t xml:space="preserve">         INSTALACION DE GROUT Y MORTERO AUTOCOMPACTANTE DE ALTA RESISTENCIA WP8</t>
  </si>
  <si>
    <t>10.8.14</t>
  </si>
  <si>
    <t xml:space="preserve">         TAPADO AREA DE CIMENTACIÓN Y CONFORMACIÓN DE PLATAFORMA WP8</t>
  </si>
  <si>
    <t>10.8.15</t>
  </si>
  <si>
    <t xml:space="preserve">         ESTABILIZACIÓN DE TALUDES EN PLATAFORMA Y RECONFORMACION FINAL WP8</t>
  </si>
  <si>
    <t>10.8.16</t>
  </si>
  <si>
    <t xml:space="preserve">         HITO: FINALIZACION DE ACTIVIDADES EN CIMENTACION WP8</t>
  </si>
  <si>
    <t>10.9</t>
  </si>
  <si>
    <t xml:space="preserve">      CIMENTACION WP19</t>
  </si>
  <si>
    <t>10.9.1</t>
  </si>
  <si>
    <t xml:space="preserve">         LOCALIZACION, REPLANTEO DESBROCE DE AREA DE ACOPIO DE TORRE Y DE PALAS WP19</t>
  </si>
  <si>
    <t>10.9.2</t>
  </si>
  <si>
    <t xml:space="preserve">         EXCAVACIÓN DE CIMENTACION WP19</t>
  </si>
  <si>
    <t>10.9.3</t>
  </si>
  <si>
    <t xml:space="preserve">         BANCO DE DUCTO WP19</t>
  </si>
  <si>
    <t>10.9.4</t>
  </si>
  <si>
    <t xml:space="preserve">         COMPACTACION DE SELLO DE BASE WP19</t>
  </si>
  <si>
    <t>10.9.5</t>
  </si>
  <si>
    <t xml:space="preserve">         SOLADO WP19</t>
  </si>
  <si>
    <t>10.9.6</t>
  </si>
  <si>
    <t xml:space="preserve">         INSTALACIÓN DE PERNOS Y SOFT-SPOT WP19</t>
  </si>
  <si>
    <t>10.9.7</t>
  </si>
  <si>
    <t xml:space="preserve">         INSTALACIÓN DE ACERO DE REFUERZO WP19</t>
  </si>
  <si>
    <t>10.9.8</t>
  </si>
  <si>
    <t xml:space="preserve">         ENCOFRADO DE ZAPATA Y DE PEDESTAL WP19</t>
  </si>
  <si>
    <t>10.9.9</t>
  </si>
  <si>
    <t xml:space="preserve">         HITO: ALISTAMIENTO Y MOVILIZACIÓN DE PLANTA DE CONCRETO PARA WP19</t>
  </si>
  <si>
    <t>10.9.10</t>
  </si>
  <si>
    <t xml:space="preserve">         FUNDIDA WP19</t>
  </si>
  <si>
    <t>10.9.11</t>
  </si>
  <si>
    <t xml:space="preserve">         CURADO DEL CONCRETO WP19</t>
  </si>
  <si>
    <t>10.9.12</t>
  </si>
  <si>
    <t xml:space="preserve">         INSTALACIONES ELECTRICAS Y SISTEMA PUESTA TIERRA WP19</t>
  </si>
  <si>
    <t>10.9.13</t>
  </si>
  <si>
    <t xml:space="preserve">         INSTALACION DE GROUT Y MORTERO AUTOCOMPACTANTE DE ALTA RESISTENCIA WP19</t>
  </si>
  <si>
    <t>10.9.14</t>
  </si>
  <si>
    <t xml:space="preserve">         TAPADO AREA DE CIMENTACIÓN Y CONFORMACIÓN DE PLATAFORMA WP19</t>
  </si>
  <si>
    <t>10.9.15</t>
  </si>
  <si>
    <t xml:space="preserve">         ESTABILIZACIÓN DE TALUDES EN PLATAFORMA Y RECONFORMACION FINAL WP19</t>
  </si>
  <si>
    <t>10.9.16</t>
  </si>
  <si>
    <t xml:space="preserve">         HITO: FINALIZACION DE ACTIVIDADES EN CIMENTACION WP19</t>
  </si>
  <si>
    <t>10.10</t>
  </si>
  <si>
    <t xml:space="preserve">      CIMENTACION WP20</t>
  </si>
  <si>
    <t>10.10.1</t>
  </si>
  <si>
    <t xml:space="preserve">        LOCALIZACION, REPLANTEO DESBROCE DE AREA DE ACOPIO DE TORRE Y DE PALAS WP20</t>
  </si>
  <si>
    <t>10.10.2</t>
  </si>
  <si>
    <t xml:space="preserve">         EXCAVACIÓN DE CIMENTACION WP20</t>
  </si>
  <si>
    <t>10.10.3</t>
  </si>
  <si>
    <t xml:space="preserve">         BANCO DE DUCTO WP20</t>
  </si>
  <si>
    <t>10.10.4</t>
  </si>
  <si>
    <t xml:space="preserve">         COMPACTACION DE SELLO DE BASE WP20</t>
  </si>
  <si>
    <t>10.10.5</t>
  </si>
  <si>
    <t xml:space="preserve">         SOLADO WP20</t>
  </si>
  <si>
    <t>10.10.6</t>
  </si>
  <si>
    <t xml:space="preserve">         INSTALACIÓN DE PERNOS Y SOFT-SPOT WP20</t>
  </si>
  <si>
    <t>10.10.7</t>
  </si>
  <si>
    <t xml:space="preserve">         INSTALACIÓN DE ACERO DE REFUERZO WP20</t>
  </si>
  <si>
    <t>10.10.8</t>
  </si>
  <si>
    <t xml:space="preserve">         ENCOFRADO DE ZAPATA Y DE PEDESTAL WP20</t>
  </si>
  <si>
    <t>10.10.9</t>
  </si>
  <si>
    <t xml:space="preserve">         HITO: ALISTAMIENTO Y MOVILIZACIÓN DE PLANTA DE CONCRETO PARA WP20</t>
  </si>
  <si>
    <t>10.10.10</t>
  </si>
  <si>
    <t xml:space="preserve">         FUNDIDA WP20</t>
  </si>
  <si>
    <t>10.10.11</t>
  </si>
  <si>
    <t xml:space="preserve">         CURADO DEL CONCRETO WP20</t>
  </si>
  <si>
    <t>10.10.12</t>
  </si>
  <si>
    <t xml:space="preserve">         INSTALACIONES ELECTRICAS Y SISTEMA PUESTA TIERRA WP20</t>
  </si>
  <si>
    <t>10.10.13</t>
  </si>
  <si>
    <t xml:space="preserve">         INSTALACION DE GROUT Y MORTERO AUTOCOMPACTANTE DE ALTA RESISTENCIA WP20</t>
  </si>
  <si>
    <t>10.10.14</t>
  </si>
  <si>
    <t xml:space="preserve">         TAPADO AREA DE CIMENTACIÓN Y CONFORMACIÓN DE PLATAFORMA WP20</t>
  </si>
  <si>
    <t>10.10.15</t>
  </si>
  <si>
    <t xml:space="preserve">         ESTABILIZACIÓN DE TALUDES EN PLATAFORMA Y RECONFORMACION FINAL WP20</t>
  </si>
  <si>
    <t>10.10.16</t>
  </si>
  <si>
    <t xml:space="preserve">         HITO: FINALIZACION DE ACTIVIDADES EN CIMENTACION WP20</t>
  </si>
  <si>
    <t>10.11</t>
  </si>
  <si>
    <t xml:space="preserve">      CIMENTACION WP22</t>
  </si>
  <si>
    <t>10.11.1</t>
  </si>
  <si>
    <t xml:space="preserve">         LOCALIZACION, REPLANTEO DESBROCE DE AREA DE ACOPIO DE TORRE Y DE PALAS WP22</t>
  </si>
  <si>
    <t>10.11.2</t>
  </si>
  <si>
    <t xml:space="preserve">         EXCAVACIÓN DE CIMENTACION WP22</t>
  </si>
  <si>
    <t>10.11.3</t>
  </si>
  <si>
    <t xml:space="preserve">         BANCO DE DUCTO WP22</t>
  </si>
  <si>
    <t>10.11.4</t>
  </si>
  <si>
    <t xml:space="preserve">         COMPACTACION DE SELLO DE BASE WP22</t>
  </si>
  <si>
    <t>10.11.5</t>
  </si>
  <si>
    <t xml:space="preserve">         SOLADO WP22</t>
  </si>
  <si>
    <t>10.11.6</t>
  </si>
  <si>
    <t xml:space="preserve">         INSTALACIÓN DE PERNOS Y SOFT-SPOT WP22</t>
  </si>
  <si>
    <t>10.11.7</t>
  </si>
  <si>
    <t xml:space="preserve">         INSTALACIÓN DE ACERO DE REFUERZO WP22</t>
  </si>
  <si>
    <t>10.11.8</t>
  </si>
  <si>
    <t xml:space="preserve">         ENCOFRADO DE ZAPATA Y DE PEDESTAL WP22</t>
  </si>
  <si>
    <t>10.11.9</t>
  </si>
  <si>
    <t xml:space="preserve">         HITO: ALISTAMIENTO Y MOVILIZACIÓN DE PLANTA DE CONCRETO PARA WP22</t>
  </si>
  <si>
    <t>10.11.10</t>
  </si>
  <si>
    <t xml:space="preserve">         FUNDIDA WP22</t>
  </si>
  <si>
    <t>10.11.11</t>
  </si>
  <si>
    <t xml:space="preserve">         CURADO DEL CONCRETO WP22</t>
  </si>
  <si>
    <t>10.11.12</t>
  </si>
  <si>
    <t xml:space="preserve">         INSTALACIONES ELECTRICAS Y SISTEMA PUESTA TIERRA WP22</t>
  </si>
  <si>
    <t>10.11.13</t>
  </si>
  <si>
    <t xml:space="preserve">         INSTALACION DE GROUT Y MORTERO AUTOCOMPACTANTE DE ALTA RESISTENCIA WP22</t>
  </si>
  <si>
    <t>10.11.14</t>
  </si>
  <si>
    <t xml:space="preserve">         TAPADO AREA DE CIMENTACIÓN Y CONFORMACIÓN DE PLATAFORMA WP22</t>
  </si>
  <si>
    <t>10.11.15</t>
  </si>
  <si>
    <t xml:space="preserve">         ESTABILIZACIÓN DE TALUDES EN PLATAFORMA Y RECONFORMACION FINAL WP22</t>
  </si>
  <si>
    <t>10.11.16</t>
  </si>
  <si>
    <t xml:space="preserve">         HITO: FINALIZACION DE ACTIVIDADES EN CIMENTACION WP22</t>
  </si>
  <si>
    <t>10.12</t>
  </si>
  <si>
    <t xml:space="preserve">      CIMENTACION WP5</t>
  </si>
  <si>
    <t>10.12.1</t>
  </si>
  <si>
    <t xml:space="preserve">         LOCALIZACION, REPLANTEO DESBROCE DE AREA DE ACOPIO DE TORRE Y DE PALAS WP5</t>
  </si>
  <si>
    <t>10.12.2</t>
  </si>
  <si>
    <t xml:space="preserve">         EXCAVACIÓN DE CIMENTACION WP5</t>
  </si>
  <si>
    <t>10.12.3</t>
  </si>
  <si>
    <t xml:space="preserve">         BANCO DE DUCTO WP5</t>
  </si>
  <si>
    <t>10.12.4</t>
  </si>
  <si>
    <t xml:space="preserve">         COMPACTACION DE SELLO DE BASE WP5</t>
  </si>
  <si>
    <t>10.12.5</t>
  </si>
  <si>
    <t xml:space="preserve">         SOLADO WP5</t>
  </si>
  <si>
    <t>10.12.6</t>
  </si>
  <si>
    <t xml:space="preserve">         INSTALACIÓN DE PERNOS Y SOFT-SPOT WP5</t>
  </si>
  <si>
    <t>10.12.7</t>
  </si>
  <si>
    <t xml:space="preserve">         INSTALACIÓN DE ACERO DE REFUERZO WP5</t>
  </si>
  <si>
    <t>10.12.8</t>
  </si>
  <si>
    <t xml:space="preserve">         ENCOFRADO DE ZAPATA Y DE PEDESTAL WP5</t>
  </si>
  <si>
    <t>10.12.9</t>
  </si>
  <si>
    <t xml:space="preserve">         HITO: ALISTAMIENTO Y MOVILIZACIÓN DE PLANTA DE CONCRETO PARA WP5</t>
  </si>
  <si>
    <t>10.12.10</t>
  </si>
  <si>
    <t xml:space="preserve">         FUNDIDA WP5</t>
  </si>
  <si>
    <t>10.12.11</t>
  </si>
  <si>
    <t xml:space="preserve">         CURADO DEL CONCRETO WP5</t>
  </si>
  <si>
    <t>10.12.12</t>
  </si>
  <si>
    <t xml:space="preserve">         INSTALACIONES ELECTRICAS Y SISTEMA PUESTA TIERRA WP5</t>
  </si>
  <si>
    <t>10.12.13</t>
  </si>
  <si>
    <t xml:space="preserve">         INSTALACION DE GROUT Y MORTERO AUTOCOMPACTANTE DE ALTA RESISTENCIA WP5</t>
  </si>
  <si>
    <t>10.12.14</t>
  </si>
  <si>
    <t xml:space="preserve">         TAPADO AREA DE CIMENTACIÓN Y CONFORMACIÓN DE PLATAFORMA WP5</t>
  </si>
  <si>
    <t>10.12.15</t>
  </si>
  <si>
    <t xml:space="preserve">         ESTABILIZACIÓN DE TALUDES EN PLATAFORMA Y RECONFORMACION FINAL WP5</t>
  </si>
  <si>
    <t>10.12.16</t>
  </si>
  <si>
    <t xml:space="preserve">         HITO: FINALIZACION DE ACTIVIDADES EN CIMENTACION WP5</t>
  </si>
  <si>
    <t>10.13</t>
  </si>
  <si>
    <t xml:space="preserve">      CIMENTACION WP6</t>
  </si>
  <si>
    <t>10.13.1</t>
  </si>
  <si>
    <t xml:space="preserve">        LOCALIZACION, REPLANTEO DESBROCE DE AREA DE ACOPIO DE TORRE Y DE PALAS WP6</t>
  </si>
  <si>
    <t>10.13.2</t>
  </si>
  <si>
    <t xml:space="preserve">         EXCAVACIÓN DE CIMENTACION WP6</t>
  </si>
  <si>
    <t>10.13.3</t>
  </si>
  <si>
    <t xml:space="preserve">         BANCO DE DUCTO WP6</t>
  </si>
  <si>
    <t>10.13.4</t>
  </si>
  <si>
    <t xml:space="preserve">         COMPACTACION DE SELLO DE BASE WP6</t>
  </si>
  <si>
    <t>10.13.5</t>
  </si>
  <si>
    <t xml:space="preserve">         SOLADO WP6</t>
  </si>
  <si>
    <t>10.13.6</t>
  </si>
  <si>
    <t xml:space="preserve">         INSTALACIÓN DE PERNOS Y SOFT-SPOT WP6</t>
  </si>
  <si>
    <t>10.13.7</t>
  </si>
  <si>
    <t xml:space="preserve">         INSTALACIÓN DE ACERO DE REFUERZO WP6</t>
  </si>
  <si>
    <t>10.13.8</t>
  </si>
  <si>
    <t xml:space="preserve">         ENCOFRADO DE ZAPATA Y DE PEDESTAL WP6</t>
  </si>
  <si>
    <t>10.13.9</t>
  </si>
  <si>
    <t xml:space="preserve">         HITO: ALISTAMIENTO Y MOVILIZACIÓN DE PLANTA DE CONCRETO PARA WP6</t>
  </si>
  <si>
    <t>10.13.10</t>
  </si>
  <si>
    <t xml:space="preserve">         FUNDIDA WP6</t>
  </si>
  <si>
    <t>10.13.11</t>
  </si>
  <si>
    <t xml:space="preserve">         CURADO DEL CONCRETO WP6</t>
  </si>
  <si>
    <t>10.13.12</t>
  </si>
  <si>
    <t xml:space="preserve">         INSTALACIONES ELECTRICAS Y SISTEMA PUESTA TIERRA WP6</t>
  </si>
  <si>
    <t>10.13.13</t>
  </si>
  <si>
    <t xml:space="preserve">         INSTALACION DE GROUT Y MORTERO AUTOCOMPACTANTE DE ALTA RESISTENCIA WP6</t>
  </si>
  <si>
    <t>10.13.14</t>
  </si>
  <si>
    <t xml:space="preserve">         TAPADO AREA DE CIMENTACIÓN Y CONFORMACIÓN DE PLATAFORMA WP6</t>
  </si>
  <si>
    <t>10.13.15</t>
  </si>
  <si>
    <t xml:space="preserve">         ESTABILIZACIÓN DE TALUDES EN PLATAFORMA Y RECONFORMACION FINAL WP6</t>
  </si>
  <si>
    <t>10.13.16</t>
  </si>
  <si>
    <t xml:space="preserve">         HITO: FINALIZACION DE ACTIVIDADES EN CIMENTACION WP6</t>
  </si>
  <si>
    <t>10.14</t>
  </si>
  <si>
    <t xml:space="preserve">      CIMENTACION WP42</t>
  </si>
  <si>
    <t>10.14.1</t>
  </si>
  <si>
    <t xml:space="preserve">        LOCALIZACION, REPLANTEO DESBROCE DE AREA DE ACOPIO DE TORRE Y DE PALAS WP42</t>
  </si>
  <si>
    <t>10.14.2</t>
  </si>
  <si>
    <t xml:space="preserve">         EXCAVACIÓN DE CIMENTACION WP42</t>
  </si>
  <si>
    <t>10.14.3</t>
  </si>
  <si>
    <t xml:space="preserve">         BANCO DE DUCTO WP42</t>
  </si>
  <si>
    <t>10.14.4</t>
  </si>
  <si>
    <t xml:space="preserve">         COMPACTACION DE SELLO DE BASE WP42</t>
  </si>
  <si>
    <t>10.14.5</t>
  </si>
  <si>
    <t xml:space="preserve">         SOLADO WP42</t>
  </si>
  <si>
    <t>10.14.6</t>
  </si>
  <si>
    <t xml:space="preserve">         INSTALACIÓN DE PERNOS Y SOFT-SPOT WP42</t>
  </si>
  <si>
    <t>10.14.7</t>
  </si>
  <si>
    <t xml:space="preserve">         INSTALACIÓN DE ACERO DE REFUERZO WP42</t>
  </si>
  <si>
    <t>10.14.8</t>
  </si>
  <si>
    <t xml:space="preserve">         ENCOFRADO DE ZAPATA Y DE PEDESTAL WP42</t>
  </si>
  <si>
    <t>10.14.9</t>
  </si>
  <si>
    <t xml:space="preserve">         HITO: ALISTAMIENTO Y MOVILIZACIÓN DE PLANTA DE CONCRETO PARA WP42</t>
  </si>
  <si>
    <t>10.14.10</t>
  </si>
  <si>
    <t xml:space="preserve">         FUNDIDA WP42</t>
  </si>
  <si>
    <t>10.14.11</t>
  </si>
  <si>
    <t xml:space="preserve">         CURADO DEL CONCRETO WP42</t>
  </si>
  <si>
    <t>10.14.12</t>
  </si>
  <si>
    <t xml:space="preserve">         INSTALACIONES ELECTRICAS Y SISTEMA PUESTA TIERRA WP42</t>
  </si>
  <si>
    <t>10.14.13</t>
  </si>
  <si>
    <t xml:space="preserve">         INSTALACION DE GROUT Y MORTERO AUTOCOMPACTANTE DE ALTA RESISTENCIA WP42</t>
  </si>
  <si>
    <t>10.14.14</t>
  </si>
  <si>
    <t xml:space="preserve">         TAPADO AREA DE CIMENTACIÓN Y CONFORMACIÓN DE PLATAFORMA WP42</t>
  </si>
  <si>
    <t>10.14.15</t>
  </si>
  <si>
    <t xml:space="preserve">         ESTABILIZACIÓN DE TALUDES EN PLATAFORMA Y RECONFORMACION FINAL WP42</t>
  </si>
  <si>
    <t>10.14.16</t>
  </si>
  <si>
    <t xml:space="preserve">         HITO: FINALIZACION DE ACTIVIDADES EN CIMENTACION WP42</t>
  </si>
  <si>
    <t>10.15</t>
  </si>
  <si>
    <t xml:space="preserve">      CIMENTACION WP41</t>
  </si>
  <si>
    <t>10.15.1</t>
  </si>
  <si>
    <t xml:space="preserve">       LOCALIZACION, REPLANTEO  DESBROCE DE AREA DE ACOPIO DE TORRE Y DE PALAS WP41</t>
  </si>
  <si>
    <t>10.15.2</t>
  </si>
  <si>
    <t xml:space="preserve">         EXCAVACIÓN DE CIMENTACION WP41</t>
  </si>
  <si>
    <t>10.15.3</t>
  </si>
  <si>
    <t xml:space="preserve">         BANCO DE DUCTO WP41</t>
  </si>
  <si>
    <t>10.15.4</t>
  </si>
  <si>
    <t xml:space="preserve">         COMPACTACION DE SELLO DE BASE WP41</t>
  </si>
  <si>
    <t>10.15.5</t>
  </si>
  <si>
    <t xml:space="preserve">         SOLADO WP41</t>
  </si>
  <si>
    <t>10.15.6</t>
  </si>
  <si>
    <t xml:space="preserve">         INSTALACIÓN DE PERNOS Y SOFT-SPOT WP41</t>
  </si>
  <si>
    <t>10.15.7</t>
  </si>
  <si>
    <t xml:space="preserve">         INSTALACIÓN DE ACERO DE REFUERZO WP41</t>
  </si>
  <si>
    <t>10.15.8</t>
  </si>
  <si>
    <t xml:space="preserve">         ENCOFRADO DE ZAPATA Y DE PEDESTAL WP41</t>
  </si>
  <si>
    <t>10.15.9</t>
  </si>
  <si>
    <t xml:space="preserve">         HITO: ALISTAMIENTO Y MOVILIZACIÓN DE PLANTA DE CONCRETO PARA WP41</t>
  </si>
  <si>
    <t>10.15.10</t>
  </si>
  <si>
    <t xml:space="preserve">         FUNDIDA WP41</t>
  </si>
  <si>
    <t>10.15.11</t>
  </si>
  <si>
    <t xml:space="preserve">         CURADO DEL CONCRETO WP41</t>
  </si>
  <si>
    <t>10.15.12</t>
  </si>
  <si>
    <t xml:space="preserve">         INSTALACIONES ELECTRICAS Y SISTEMA PUESTA TIERRA WP41</t>
  </si>
  <si>
    <t>10.15.13</t>
  </si>
  <si>
    <t xml:space="preserve">         INSTALACION DE GROUT Y MORTERO AUTOCOMPACTANTE DE ALTA RESISTENCIA WP41</t>
  </si>
  <si>
    <t>10.15.14</t>
  </si>
  <si>
    <t xml:space="preserve">         TAPADO AREA DE CIMENTACIÓN Y CONFORMACIÓN DE PLATAFORMA WP41</t>
  </si>
  <si>
    <t>10.15.15</t>
  </si>
  <si>
    <t xml:space="preserve">         ESTABILIZACIÓN DE TALUDES EN PLATAFORMA Y RECONFORMACION FINAL WP41</t>
  </si>
  <si>
    <t>10.15.16</t>
  </si>
  <si>
    <t xml:space="preserve">         HITO: FINALIZACION DE ACTIVIDADES EN CIMENTACION WP41</t>
  </si>
  <si>
    <t>10.16</t>
  </si>
  <si>
    <t xml:space="preserve">      CIMENTACION WP40</t>
  </si>
  <si>
    <t>10.16.1</t>
  </si>
  <si>
    <t xml:space="preserve">       LOCALIZACION, REPLANTEO  DESBROCE DE AREA DE ACOPIO DE TORRE Y DE PALAS WP40</t>
  </si>
  <si>
    <t>10.16.2</t>
  </si>
  <si>
    <t xml:space="preserve">         EXCAVACIÓN DE CIMENTACION WP40</t>
  </si>
  <si>
    <t>10.16.3</t>
  </si>
  <si>
    <t xml:space="preserve">         BANCO DE DUCTO WP40</t>
  </si>
  <si>
    <t>10.16.4</t>
  </si>
  <si>
    <t xml:space="preserve">         COMPACTACION DE SELLO DE BASE WP40</t>
  </si>
  <si>
    <t>10.16.5</t>
  </si>
  <si>
    <t xml:space="preserve">         SOLADO WP40</t>
  </si>
  <si>
    <t>10.16.6</t>
  </si>
  <si>
    <t xml:space="preserve">         INSTALACIÓN DE PERNOS Y SOFT-SPOT WP40</t>
  </si>
  <si>
    <t>10.16.7</t>
  </si>
  <si>
    <t xml:space="preserve">         INSTALACIÓN DE ACERO DE REFUERZO WP40</t>
  </si>
  <si>
    <t>10.16.8</t>
  </si>
  <si>
    <t xml:space="preserve">         ENCOFRADO DE ZAPATA Y DE PEDESTAL WP40</t>
  </si>
  <si>
    <t>10.16.9</t>
  </si>
  <si>
    <t xml:space="preserve">         HITO: ALISTAMIENTO Y MOVILIZACIÓN DE PLANTA DE CONCRETO PARA WP40</t>
  </si>
  <si>
    <t>10.16.10</t>
  </si>
  <si>
    <t xml:space="preserve">         FUNDIDA WP40</t>
  </si>
  <si>
    <t>10.16.11</t>
  </si>
  <si>
    <t xml:space="preserve">         CURADO DEL CONCRETO WP40</t>
  </si>
  <si>
    <t>10.16.12</t>
  </si>
  <si>
    <t xml:space="preserve">         INSTALACIONES ELECTRICAS Y SISTEMA PUESTA TIERRA WP40</t>
  </si>
  <si>
    <t>10.16.13</t>
  </si>
  <si>
    <t xml:space="preserve">         INSTALACION DE GROUT Y MORTERO AUTOCOMPACTANTE DE ALTA RESISTENCIA WP40</t>
  </si>
  <si>
    <t>10.16.14</t>
  </si>
  <si>
    <t xml:space="preserve">         TAPADO AREA DE CIMENTACIÓN Y CONFORMACIÓN DE PLATAFORMA WP40</t>
  </si>
  <si>
    <t>10.16.15</t>
  </si>
  <si>
    <t xml:space="preserve">         ESTABILIZACIÓN DE TALUDES EN PLATAFORMA Y RECONFORMACION FINAL WP40</t>
  </si>
  <si>
    <t>10.16.16</t>
  </si>
  <si>
    <t xml:space="preserve">         HITO: FINALIZACION DE ACTIVIDADES EN CIMENTACION WP40</t>
  </si>
  <si>
    <t>10.17</t>
  </si>
  <si>
    <t xml:space="preserve">      CIMENTACION WP39</t>
  </si>
  <si>
    <t>10.17.1</t>
  </si>
  <si>
    <t xml:space="preserve">        LOCALIZACION, REPLANTEO DESBROCE DE AREA DE ACOPIO DE TORRE Y DE PALAS WP39</t>
  </si>
  <si>
    <t>10.17.2</t>
  </si>
  <si>
    <t xml:space="preserve">         EXCAVACIÓN DE CIMENTACION WP39</t>
  </si>
  <si>
    <t>10.17.3</t>
  </si>
  <si>
    <t xml:space="preserve">         BANCO DE DUCTO WP39</t>
  </si>
  <si>
    <t>10.17.4</t>
  </si>
  <si>
    <t xml:space="preserve">         COMPACTACION DE SELLO DE BASE WP39</t>
  </si>
  <si>
    <t>10.17.5</t>
  </si>
  <si>
    <t xml:space="preserve">         SOLADO WP39</t>
  </si>
  <si>
    <t>10.17.6</t>
  </si>
  <si>
    <t xml:space="preserve">         INSTALACIÓN DE PERNOS Y SOFT-SPOT WP39</t>
  </si>
  <si>
    <t>10.17.7</t>
  </si>
  <si>
    <t xml:space="preserve">         INSTALACIÓN DE ACERO DE REFUERZO WP39</t>
  </si>
  <si>
    <t>10.17.8</t>
  </si>
  <si>
    <t xml:space="preserve">         ENCOFRADO DE ZAPATA Y DE PEDESTAL WP39</t>
  </si>
  <si>
    <t>10.17.9</t>
  </si>
  <si>
    <t xml:space="preserve">         HITO: ALISTAMIENTO Y MOVILIZACIÓN DE PLANTA DE CONCRETO PARA WP39</t>
  </si>
  <si>
    <t>10.17.10</t>
  </si>
  <si>
    <t xml:space="preserve">         FUNDIDA WP39</t>
  </si>
  <si>
    <t>10.17.11</t>
  </si>
  <si>
    <t xml:space="preserve">         CURADO DEL CONCRETO WP39</t>
  </si>
  <si>
    <t>10.17.12</t>
  </si>
  <si>
    <t xml:space="preserve">         INSTALACIONES ELECTRICAS Y SISTEMA PUESTA TIERRA WP39</t>
  </si>
  <si>
    <t>10.17.13</t>
  </si>
  <si>
    <t xml:space="preserve">         INSTALACION DE GROUT Y MORTERO AUTOCOMPACTANTE DE ALTA RESISTENCIA WP39</t>
  </si>
  <si>
    <t>10.17.14</t>
  </si>
  <si>
    <t xml:space="preserve">         TAPADO AREA DE CIMENTACIÓN Y CONFORMACIÓN DE PLATAFORMA WP39</t>
  </si>
  <si>
    <t>10.17.15</t>
  </si>
  <si>
    <t xml:space="preserve">         ESTABILIZACIÓN DE TALUDES EN PLATAFORMA Y RECONFORMACION FINAL WP39</t>
  </si>
  <si>
    <t>10.17.16</t>
  </si>
  <si>
    <t xml:space="preserve">         HITO: FINALIZACION DE ACTIVIDADES EN CIMENTACION WP39</t>
  </si>
  <si>
    <t>10.18</t>
  </si>
  <si>
    <t xml:space="preserve">      CIMENTACION WP23</t>
  </si>
  <si>
    <t>10.18.1</t>
  </si>
  <si>
    <t xml:space="preserve">       LOCALIZACION, REPLANTEO  DESBROCE DE AREA DE ACOPIO DE TORRE Y DE PALAS WP23</t>
  </si>
  <si>
    <t>10.18.2</t>
  </si>
  <si>
    <t xml:space="preserve">         EXCAVACIÓN DE CIMENTACION WP23</t>
  </si>
  <si>
    <t>10.18.3</t>
  </si>
  <si>
    <t xml:space="preserve">         BANCO DE DUCTO WP23</t>
  </si>
  <si>
    <t>10.18.4</t>
  </si>
  <si>
    <t xml:space="preserve">         COMPACTACION DE SELLO DE BASE WP23</t>
  </si>
  <si>
    <t>10.18.5</t>
  </si>
  <si>
    <t xml:space="preserve">         SOLADO WP23</t>
  </si>
  <si>
    <t>10.18.6</t>
  </si>
  <si>
    <t xml:space="preserve">         INSTALACIÓN DE PERNOS Y SOFT-SPOT WP23</t>
  </si>
  <si>
    <t>10.18.7</t>
  </si>
  <si>
    <t xml:space="preserve">         INSTALACIÓN DE ACERO DE REFUERZO WP23</t>
  </si>
  <si>
    <t>10.18.8</t>
  </si>
  <si>
    <t xml:space="preserve">         ENCOFRADO DE ZAPATA Y DE PEDESTAL WP23</t>
  </si>
  <si>
    <t>10.18.9</t>
  </si>
  <si>
    <t xml:space="preserve">         HITO: ALISTAMIENTO Y MOVILIZACIÓN DE PLANTA DE CONCRETO PARA WP23</t>
  </si>
  <si>
    <t>10.18.10</t>
  </si>
  <si>
    <t xml:space="preserve">         FUNDIDA WP23</t>
  </si>
  <si>
    <t>10.18.11</t>
  </si>
  <si>
    <t xml:space="preserve">         CURADO DEL CONCRETO WP23</t>
  </si>
  <si>
    <t>10.18.12</t>
  </si>
  <si>
    <t xml:space="preserve">         INSTALACIONES ELECTRICAS Y SISTEMA PUESTA TIERRA WP23</t>
  </si>
  <si>
    <t>10.18.13</t>
  </si>
  <si>
    <t xml:space="preserve">         INSTALACION DE GROUT Y MORTERO AUTOCOMPACTANTE DE ALTA RESISTENCIA WP23</t>
  </si>
  <si>
    <t>10.18.14</t>
  </si>
  <si>
    <t xml:space="preserve">         TAPADO AREA DE CIMENTACIÓN Y CONFORMACIÓN DE PLATAFORMA WP23</t>
  </si>
  <si>
    <t>10.18.15</t>
  </si>
  <si>
    <t xml:space="preserve">         ESTABILIZACIÓN DE TALUDES EN PLATAFORMA Y RECONFORMACION FINAL WP23</t>
  </si>
  <si>
    <t>10.18.16</t>
  </si>
  <si>
    <t xml:space="preserve">         HITO: FINALIZACION DE ACTIVIDADES EN CIMENTACION WP23</t>
  </si>
  <si>
    <t>10.19</t>
  </si>
  <si>
    <t xml:space="preserve">      CIMENTACION WP24</t>
  </si>
  <si>
    <t>10.19.1</t>
  </si>
  <si>
    <t xml:space="preserve">        LOCALIZACION, REPLANTEO DESBROCE DE AREA DE ACOPIO DE TORRE Y DE PALAS WP24</t>
  </si>
  <si>
    <t>10.19.2</t>
  </si>
  <si>
    <t xml:space="preserve">         EXCAVACIÓN DE CIMENTACION WP24</t>
  </si>
  <si>
    <t>10.19.3</t>
  </si>
  <si>
    <t xml:space="preserve">         BANCO DE DUCTO WP24</t>
  </si>
  <si>
    <t>10.19.4</t>
  </si>
  <si>
    <t xml:space="preserve">         COMPACTACION DE SELLO DE BASE WP24</t>
  </si>
  <si>
    <t>10.19.5</t>
  </si>
  <si>
    <t xml:space="preserve">         SOLADO WP24</t>
  </si>
  <si>
    <t>10.19.6</t>
  </si>
  <si>
    <t xml:space="preserve">         INSTALACIÓN DE PERNOS Y SOFT-SPOT WP24</t>
  </si>
  <si>
    <t>10.19.7</t>
  </si>
  <si>
    <t xml:space="preserve">         INSTALACIÓN DE ACERO DE REFUERZO WP24</t>
  </si>
  <si>
    <t>10.19.8</t>
  </si>
  <si>
    <t xml:space="preserve">         ENCOFRADO DE ZAPATA Y DE PEDESTAL WP24</t>
  </si>
  <si>
    <t>10.19.9</t>
  </si>
  <si>
    <t xml:space="preserve">         HITO: ALISTAMIENTO Y MOVILIZACIÓN DE PLANTA DE CONCRETO PARA WP24</t>
  </si>
  <si>
    <t>10.19.10</t>
  </si>
  <si>
    <t xml:space="preserve">         FUNDIDA WP24</t>
  </si>
  <si>
    <t>10.19.11</t>
  </si>
  <si>
    <t xml:space="preserve">         CURADO DEL CONCRETO WP24</t>
  </si>
  <si>
    <t>10.19.12</t>
  </si>
  <si>
    <t xml:space="preserve">         INSTALACIONES ELECTRICAS Y SISTEMA PUESTA TIERRA WP24</t>
  </si>
  <si>
    <t>10.19.13</t>
  </si>
  <si>
    <t xml:space="preserve">         INSTALACION DE GROUT Y MORTERO AUTOCOMPACTANTE DE ALTA RESISTENCIA WP24</t>
  </si>
  <si>
    <t>10.19.14</t>
  </si>
  <si>
    <t xml:space="preserve">         TAPADO AREA DE CIMENTACIÓN Y CONFORMACIÓN DE PLATAFORMA WP24</t>
  </si>
  <si>
    <t>10.19.15</t>
  </si>
  <si>
    <t xml:space="preserve">         ESTABILIZACIÓN DE TALUDES EN PLATAFORMA Y RECONFORMACION FINAL WP24</t>
  </si>
  <si>
    <t>10.19.16</t>
  </si>
  <si>
    <t xml:space="preserve">         HITO: FINALIZACION DE ACTIVIDADES EN CIMENTACION WP24</t>
  </si>
  <si>
    <t>10.20</t>
  </si>
  <si>
    <t xml:space="preserve">      CIMENTACION WP25</t>
  </si>
  <si>
    <t>10.20.1</t>
  </si>
  <si>
    <t xml:space="preserve">         LOCALIZACION, REPLANTEO DESBROCE DE AREA DE ACOPIO DE TORRE Y DE PALAS WP25</t>
  </si>
  <si>
    <t>10.20.2</t>
  </si>
  <si>
    <t xml:space="preserve">         EXCAVACIÓN DE CIMENTACION WP25</t>
  </si>
  <si>
    <t>10.20.3</t>
  </si>
  <si>
    <t xml:space="preserve">         BANCO DE DUCTO WP25</t>
  </si>
  <si>
    <t>10.20.4</t>
  </si>
  <si>
    <t xml:space="preserve">         COMPACTACION DE SELLO DE BASE WP25</t>
  </si>
  <si>
    <t>10.20.5</t>
  </si>
  <si>
    <t xml:space="preserve">         SOLADO WP25</t>
  </si>
  <si>
    <t>10.20.6</t>
  </si>
  <si>
    <t xml:space="preserve">         INSTALACIÓN DE PERNOS Y SOFT-SPOT WP25</t>
  </si>
  <si>
    <t>10.20.7</t>
  </si>
  <si>
    <t xml:space="preserve">         INSTALACIÓN DE ACERO DE REFUERZO WP25</t>
  </si>
  <si>
    <t>10.20.8</t>
  </si>
  <si>
    <t xml:space="preserve">         ENCOFRADO DE ZAPATA Y DE PEDESTAL WP25</t>
  </si>
  <si>
    <t>10.20.9</t>
  </si>
  <si>
    <t xml:space="preserve">         HITO: ALISTAMIENTO Y MOVILIZACIÓN DE PLANTA DE CONCRETO PARA WP25</t>
  </si>
  <si>
    <t>10.20.10</t>
  </si>
  <si>
    <t xml:space="preserve">         FUNDIDA WP25</t>
  </si>
  <si>
    <t>10.20.11</t>
  </si>
  <si>
    <t xml:space="preserve">         CURADO DEL CONCRETO WP25</t>
  </si>
  <si>
    <t>10.20.12</t>
  </si>
  <si>
    <t xml:space="preserve">         INSTALACIONES ELECTRICAS Y SISTEMA PUESTA TIERRA WP25</t>
  </si>
  <si>
    <t>10.20.13</t>
  </si>
  <si>
    <t xml:space="preserve">         INSTALACION DE GROUT Y MORTERO AUTOCOMPACTANTE DE ALTA RESISTENCIA WP25</t>
  </si>
  <si>
    <t>10.20.14</t>
  </si>
  <si>
    <t xml:space="preserve">         TAPADO AREA DE CIMENTACIÓN Y CONFORMACIÓN DE PLATAFORMA WP25</t>
  </si>
  <si>
    <t>10.20.15</t>
  </si>
  <si>
    <t xml:space="preserve">         ESTABILIZACIÓN DE TALUDES EN PLATAFORMA Y RECONFORMACION FINAL WP25</t>
  </si>
  <si>
    <t>10.20.16</t>
  </si>
  <si>
    <t xml:space="preserve">         HITO: FINALIZACION DE ACTIVIDADES EN CIMENTACION WP25</t>
  </si>
  <si>
    <t>10.21</t>
  </si>
  <si>
    <t xml:space="preserve">      CIMENTACION WP26</t>
  </si>
  <si>
    <t>10.21.1</t>
  </si>
  <si>
    <t xml:space="preserve">         LOCALIZACION, REPLANTEO DESBROCE DE AREA DE ACOPIO DE TORRE Y DE PALAS WP26</t>
  </si>
  <si>
    <t>10.21.2</t>
  </si>
  <si>
    <t xml:space="preserve">         EXCAVACIÓN DE CIMENTACION WP26</t>
  </si>
  <si>
    <t>10.21.3</t>
  </si>
  <si>
    <t xml:space="preserve">         BANCO DE DUCTO WP26</t>
  </si>
  <si>
    <t>10.21.4</t>
  </si>
  <si>
    <t xml:space="preserve">         COMPACTACION DE SELLO DE BASE WP26</t>
  </si>
  <si>
    <t>10.21.5</t>
  </si>
  <si>
    <t xml:space="preserve">         SOLADO WP26</t>
  </si>
  <si>
    <t>10.21.6</t>
  </si>
  <si>
    <t xml:space="preserve">         INSTALACIÓN DE PERNOS Y SOFT-SPOT WP26</t>
  </si>
  <si>
    <t>10.21.7</t>
  </si>
  <si>
    <t xml:space="preserve">         INSTALACIÓN DE ACERO DE REFUERZO WP26</t>
  </si>
  <si>
    <t>10.21.8</t>
  </si>
  <si>
    <t xml:space="preserve">         ENCOFRADO DE ZAPATA Y DE PEDESTAL WP26</t>
  </si>
  <si>
    <t>10.21.9</t>
  </si>
  <si>
    <t xml:space="preserve">         HITO: ALISTAMIENTO Y MOVILIZACIÓN DE PLANTA DE CONCRETO PARA WP26</t>
  </si>
  <si>
    <t>10.21.10</t>
  </si>
  <si>
    <t xml:space="preserve">         FUNDIDA WP26</t>
  </si>
  <si>
    <t>10.21.11</t>
  </si>
  <si>
    <t xml:space="preserve">         CURADO DEL CONCRETO WP26</t>
  </si>
  <si>
    <t>10.21.12</t>
  </si>
  <si>
    <t xml:space="preserve">         INSTALACIONES ELECTRICAS Y SISTEMA PUESTA TIERRA WP26</t>
  </si>
  <si>
    <t>10.21.13</t>
  </si>
  <si>
    <t xml:space="preserve">         INSTALACION DE GROUT Y MORTERO AUTOCOMPACTANTE DE ALTA RESISTENCIA WP26</t>
  </si>
  <si>
    <t>10.21.14</t>
  </si>
  <si>
    <t xml:space="preserve">         TAPADO AREA DE CIMENTACIÓN Y CONFORMACIÓN DE PLATAFORMA WP26</t>
  </si>
  <si>
    <t>10.21.15</t>
  </si>
  <si>
    <t xml:space="preserve">         ESTABILIZACIÓN DE TALUDES EN PLATAFORMA Y RECONFORMACION FINAL WP26</t>
  </si>
  <si>
    <t>10.21.16</t>
  </si>
  <si>
    <t xml:space="preserve">         HITO: FINALIZACION DE ACTIVIDADES EN CIMENTACION WP26</t>
  </si>
  <si>
    <t>10.22</t>
  </si>
  <si>
    <t xml:space="preserve">      CIMENTACION WP27</t>
  </si>
  <si>
    <t>10.22.1</t>
  </si>
  <si>
    <t xml:space="preserve">        LOCALIZACION, REPLANTEO DESBROCE DE AREA DE ACOPIO DE TORRE Y DE PALAS WP27</t>
  </si>
  <si>
    <t>10.22.2</t>
  </si>
  <si>
    <t xml:space="preserve">         EXCAVACIÓN DE CIMENTACION WP27</t>
  </si>
  <si>
    <t>10.22.3</t>
  </si>
  <si>
    <t xml:space="preserve">         BANCO DE DUCTO WP27</t>
  </si>
  <si>
    <t>10.22.4</t>
  </si>
  <si>
    <t xml:space="preserve">         COMPACTACION DE SELLO DE BASE WP27</t>
  </si>
  <si>
    <t>10.22.5</t>
  </si>
  <si>
    <t xml:space="preserve">         SOLADO WP27</t>
  </si>
  <si>
    <t>10.22.6</t>
  </si>
  <si>
    <t xml:space="preserve">         INSTALACIÓN DE PERNOS Y SOFT-SPOT WP27</t>
  </si>
  <si>
    <t>10.22.7</t>
  </si>
  <si>
    <t xml:space="preserve">         INSTALACIÓN DE ACERO DE REFUERZO WP27</t>
  </si>
  <si>
    <t>10.22.8</t>
  </si>
  <si>
    <t xml:space="preserve">         ENCOFRADO DE ZAPATA Y DE PEDESTAL WP27</t>
  </si>
  <si>
    <t>10.22.9</t>
  </si>
  <si>
    <t xml:space="preserve">         HITO: ALISTAMIENTO Y MOVILIZACIÓN DE PLANTA DE CONCRETO PARA WP27</t>
  </si>
  <si>
    <t>10.22.10</t>
  </si>
  <si>
    <t xml:space="preserve">         FUNDIDA WP27</t>
  </si>
  <si>
    <t>10.22.11</t>
  </si>
  <si>
    <t xml:space="preserve">         CURADO DEL CONCRETO WP27</t>
  </si>
  <si>
    <t>10.22.12</t>
  </si>
  <si>
    <t xml:space="preserve">         INSTALACIONES ELECTRICAS Y SISTEMA PUESTA TIERRA WP27</t>
  </si>
  <si>
    <t>10.22.13</t>
  </si>
  <si>
    <t xml:space="preserve">         INSTALACION DE GROUT Y MORTERO AUTOCOMPACTANTE DE ALTA RESISTENCIA WP27</t>
  </si>
  <si>
    <t>10.22.14</t>
  </si>
  <si>
    <t xml:space="preserve">         TAPADO AREA DE CIMENTACIÓN Y CONFORMACIÓN DE PLATAFORMA WP27</t>
  </si>
  <si>
    <t>10.22.15</t>
  </si>
  <si>
    <t xml:space="preserve">         ESTABILIZACIÓN DE TALUDES EN PLATAFORMA Y RECONFORMACION FINAL WP27</t>
  </si>
  <si>
    <t>10.22.16</t>
  </si>
  <si>
    <t xml:space="preserve">         HITO: FINALIZACION DE ACTIVIDADES EN CIMENTACION WP27</t>
  </si>
  <si>
    <t>10.23</t>
  </si>
  <si>
    <t xml:space="preserve">      CIMENTACION WP28</t>
  </si>
  <si>
    <t>10.23.1</t>
  </si>
  <si>
    <t xml:space="preserve">         LOCALIZACION, REPLANTEO DESBROCE DE AREA DE ACOPIO DE TORRE Y DE PALAS WP28</t>
  </si>
  <si>
    <t>10.23.2</t>
  </si>
  <si>
    <t xml:space="preserve">         EXCAVACIÓN DE CIMENTACION WP28</t>
  </si>
  <si>
    <t>10.23.3</t>
  </si>
  <si>
    <t xml:space="preserve">         BANCO DE DUCTO WP28</t>
  </si>
  <si>
    <t>10.23.4</t>
  </si>
  <si>
    <t xml:space="preserve">         COMPACTACION DE SELLO DE BASE WP28</t>
  </si>
  <si>
    <t>10.23.5</t>
  </si>
  <si>
    <t xml:space="preserve">         SOLADO WP28</t>
  </si>
  <si>
    <t>10.23.6</t>
  </si>
  <si>
    <t xml:space="preserve">         INSTALACIÓN DE PERNOS Y SOFT-SPOT WP28</t>
  </si>
  <si>
    <t>10.23.7</t>
  </si>
  <si>
    <t xml:space="preserve">         INSTALACIÓN DE ACERO DE REFUERZO WP28</t>
  </si>
  <si>
    <t>10.23.8</t>
  </si>
  <si>
    <t xml:space="preserve">         ENCOFRADO DE ZAPATA Y DE PEDESTAL WP28</t>
  </si>
  <si>
    <t>10.23.9</t>
  </si>
  <si>
    <t xml:space="preserve">         HITO: ALISTAMIENTO Y MOVILIZACIÓN DE PLANTA DE CONCRETO PARA WP28</t>
  </si>
  <si>
    <t>10.23.10</t>
  </si>
  <si>
    <t xml:space="preserve">         FUNDIDA WP28</t>
  </si>
  <si>
    <t>10.23.11</t>
  </si>
  <si>
    <t xml:space="preserve">         CURADO DEL CONCRETO WP28</t>
  </si>
  <si>
    <t>10.23.12</t>
  </si>
  <si>
    <t xml:space="preserve">         INSTALACIONES ELECTRICAS Y SISTEMA PUESTA TIERRA WP28</t>
  </si>
  <si>
    <t>10.23.13</t>
  </si>
  <si>
    <t xml:space="preserve">         INSTALACION DE GROUT Y MORTERO AUTOCOMPACTANTE DE ALTA RESISTENCIA WP28</t>
  </si>
  <si>
    <t>10.23.14</t>
  </si>
  <si>
    <t xml:space="preserve">         TAPADO AREA DE CIMENTACIÓN Y CONFORMACIÓN DE PLATAFORMA WP28</t>
  </si>
  <si>
    <t>10.23.15</t>
  </si>
  <si>
    <t xml:space="preserve">         ESTABILIZACIÓN DE TALUDES EN PLATAFORMA Y RECONFORMACION FINAL WP28</t>
  </si>
  <si>
    <t>10.23.16</t>
  </si>
  <si>
    <t xml:space="preserve">         HITO: FINALIZACION DE ACTIVIDADES EN CIMENTACION WP28</t>
  </si>
  <si>
    <t>10.24</t>
  </si>
  <si>
    <t xml:space="preserve">      CIMENTACION WP3</t>
  </si>
  <si>
    <t>10.24.1</t>
  </si>
  <si>
    <t xml:space="preserve">        LOCALIZACION, REPLANTEO DESBROCE DE AREA DE ACOPIO DE TORRE Y DE PALAS WP3</t>
  </si>
  <si>
    <t>10.24.2</t>
  </si>
  <si>
    <t xml:space="preserve">         EXCAVACIÓN DE CIMENTACION WP3</t>
  </si>
  <si>
    <t>10.24.3</t>
  </si>
  <si>
    <t xml:space="preserve">         BANCO DE DUCTO WP3</t>
  </si>
  <si>
    <t>10.24.4</t>
  </si>
  <si>
    <t xml:space="preserve">         COMPACTACION DE SELLO DE BASE WP3</t>
  </si>
  <si>
    <t>10.24.5</t>
  </si>
  <si>
    <t xml:space="preserve">         SOLADO WP3</t>
  </si>
  <si>
    <t>10.24.6</t>
  </si>
  <si>
    <t xml:space="preserve">         INSTALACIÓN DE PERNOS Y SOFT-SPOT WP3</t>
  </si>
  <si>
    <t>10.24.7</t>
  </si>
  <si>
    <t xml:space="preserve">         INSTALACIÓN DE ACERO DE REFUERZO WP3</t>
  </si>
  <si>
    <t>10.24.8</t>
  </si>
  <si>
    <t xml:space="preserve">         ENCOFRADO DE ZAPATA Y DE PEDESTAL WP3</t>
  </si>
  <si>
    <t>10.24.9</t>
  </si>
  <si>
    <t xml:space="preserve">         HITO: ALISTAMIENTO Y MOVILIZACIÓN DE PLANTA DE CONCRETO PARA WP3</t>
  </si>
  <si>
    <t>10.24.10</t>
  </si>
  <si>
    <t xml:space="preserve">         FUNDIDA WP3</t>
  </si>
  <si>
    <t>10.24.11</t>
  </si>
  <si>
    <t xml:space="preserve">         CURADO DEL CONCRETO WP3</t>
  </si>
  <si>
    <t>10.24.12</t>
  </si>
  <si>
    <t xml:space="preserve">         INSTALACIONES ELECTRICAS Y SISTEMA PUESTA TIERRA WP3</t>
  </si>
  <si>
    <t>10.24.13</t>
  </si>
  <si>
    <t xml:space="preserve">         INSTALACION DE GROUT Y MORTERO AUTOCOMPACTANTE DE ALTA RESISTENCIA WP3</t>
  </si>
  <si>
    <t>10.24.14</t>
  </si>
  <si>
    <t xml:space="preserve">         TAPADO AREA DE CIMENTACIÓN Y CONFORMACIÓN DE PLATAFORMA WP3</t>
  </si>
  <si>
    <t>10.24.15</t>
  </si>
  <si>
    <t xml:space="preserve">         ESTABILIZACIÓN DE TALUDES EN PLATAFORMA Y RECONFORMACION FINAL WP3</t>
  </si>
  <si>
    <t>10.24.16</t>
  </si>
  <si>
    <t xml:space="preserve">         HITO: FINALIZACION DE ACTIVIDADES EN CIMENTACION WP3</t>
  </si>
  <si>
    <t>10.25</t>
  </si>
  <si>
    <t xml:space="preserve">      CIMENTACION WP4</t>
  </si>
  <si>
    <t>10.25.1</t>
  </si>
  <si>
    <t xml:space="preserve">         LOCALIZACION, REPLANTEO DESBROCE DE AREA DE ACOPIO DE TORRE Y DE PALAS WP4</t>
  </si>
  <si>
    <t>10.25.2</t>
  </si>
  <si>
    <t xml:space="preserve">         EXCAVACIÓN DE CIMENTACION WP4</t>
  </si>
  <si>
    <t>10.25.3</t>
  </si>
  <si>
    <t xml:space="preserve">         BANCO DE DUCTO WP4</t>
  </si>
  <si>
    <t>10.25.4</t>
  </si>
  <si>
    <t xml:space="preserve">         COMPACTACION DE SELLO DE BASE WP4</t>
  </si>
  <si>
    <t>10.25.5</t>
  </si>
  <si>
    <t xml:space="preserve">         SOLADO WP4</t>
  </si>
  <si>
    <t>10.25.6</t>
  </si>
  <si>
    <t xml:space="preserve">         INSTALACIÓN DE PERNOS Y SOFT-SPOT WP4</t>
  </si>
  <si>
    <t>10.25.7</t>
  </si>
  <si>
    <t xml:space="preserve">         INSTALACIÓN DE ACERO DE REFUERZO WP4</t>
  </si>
  <si>
    <t>10.25.8</t>
  </si>
  <si>
    <t xml:space="preserve">         ENCOFRADO DE ZAPATA Y DE PEDESTAL WP4</t>
  </si>
  <si>
    <t>10.25.9</t>
  </si>
  <si>
    <t xml:space="preserve">         HITO: ALISTAMIENTO Y MOVILIZACIÓN DE PLANTA DE CONCRETO PARA WP4</t>
  </si>
  <si>
    <t>10.25.10</t>
  </si>
  <si>
    <t xml:space="preserve">         FUNDIDA WP4</t>
  </si>
  <si>
    <t>10.25.11</t>
  </si>
  <si>
    <t xml:space="preserve">         CURADO DEL CONCRETO WP4</t>
  </si>
  <si>
    <t>10.25.12</t>
  </si>
  <si>
    <t xml:space="preserve">         INSTALACIONES ELECTRICAS Y SISTEMA PUESTA TIERRAWP4</t>
  </si>
  <si>
    <t>10.25.13</t>
  </si>
  <si>
    <t xml:space="preserve">         INSTALACION DE GROUT Y MORTERO AUTOCOMPACTANTE DE ALTA RESISTENCIA WP4</t>
  </si>
  <si>
    <t>10.25.14</t>
  </si>
  <si>
    <t xml:space="preserve">         TAPADO AREA DE CIMENTACIÓN Y CONFORMACIÓN DE PLATAFORMA WP4</t>
  </si>
  <si>
    <t>10.25.15</t>
  </si>
  <si>
    <t xml:space="preserve">         ESTABILIZACIÓN DE TALUDES EN PLATAFORMA Y RECONFORMACION FINAL WP4</t>
  </si>
  <si>
    <t>10.25.16</t>
  </si>
  <si>
    <t xml:space="preserve">         HITO: FINALIZACION DE ACTIVIDADES EN CIMENTACION WP4</t>
  </si>
  <si>
    <t>10.26</t>
  </si>
  <si>
    <t xml:space="preserve">      CIMENTACION WP2</t>
  </si>
  <si>
    <t>10.26.1</t>
  </si>
  <si>
    <t xml:space="preserve">        LOCALIZACION, REPLANTEO DESBROCE DE AREA DE ACOPIO DE TORRE Y DE PALAS WP2</t>
  </si>
  <si>
    <t>10.26.2</t>
  </si>
  <si>
    <t xml:space="preserve">         EXCAVACIÓN DE CIMENTACION WP2</t>
  </si>
  <si>
    <t>10.26.3</t>
  </si>
  <si>
    <t xml:space="preserve">         BANCO DE DUCTO WP2</t>
  </si>
  <si>
    <t>10.26.4</t>
  </si>
  <si>
    <t xml:space="preserve">         COMPACTACION DE SELLO DE BASE WP2</t>
  </si>
  <si>
    <t>10.26.5</t>
  </si>
  <si>
    <t xml:space="preserve">         SOLADO WP2</t>
  </si>
  <si>
    <t>10.26.6</t>
  </si>
  <si>
    <t xml:space="preserve">         INSTALACIÓN DE PERNOS Y SOFT-SPOT WP2</t>
  </si>
  <si>
    <t>10.26.7</t>
  </si>
  <si>
    <t xml:space="preserve">         INSTALACIÓN DE ACERO DE REFUERZO WP2</t>
  </si>
  <si>
    <t>10.26.8</t>
  </si>
  <si>
    <t xml:space="preserve">         ENCOFRADO DE ZAPATA Y DE PEDESTAL WP2</t>
  </si>
  <si>
    <t>10.26.9</t>
  </si>
  <si>
    <t xml:space="preserve">         HITO: ALISTAMIENTO Y MOVILIZACIÓN DE PLANTA DE CONCRETO PARA WP2</t>
  </si>
  <si>
    <t>10.26.10</t>
  </si>
  <si>
    <t xml:space="preserve">         FUNDIDA WP2</t>
  </si>
  <si>
    <t>10.26.11</t>
  </si>
  <si>
    <t xml:space="preserve">         CURADO DEL CONCRETO WP2</t>
  </si>
  <si>
    <t>10.26.12</t>
  </si>
  <si>
    <t xml:space="preserve">         INSTALACIONES ELECTRICAS Y SISTEMA PUESTA TIERRA WP2</t>
  </si>
  <si>
    <t>10.26.13</t>
  </si>
  <si>
    <t xml:space="preserve">         INSTALACION DE GROUT Y MORTERO AUTOCOMPACTANTE DE ALTA RESISTENCIA WP2</t>
  </si>
  <si>
    <t>10.26.14</t>
  </si>
  <si>
    <t xml:space="preserve">         TAPADO AREA DE CIMENTACIÓN Y CONFORMACIÓN DE PLATAFORMA WP2</t>
  </si>
  <si>
    <t>10.26.15</t>
  </si>
  <si>
    <t xml:space="preserve">         ESTABILIZACIÓN DE TALUDES EN PLATAFORMA Y RECONFORMACION FINAL WP2</t>
  </si>
  <si>
    <t>10.26.16</t>
  </si>
  <si>
    <t xml:space="preserve">         HITO: FINALIZACION DE ACTIVIDADES EN CIMENTACION WP2</t>
  </si>
  <si>
    <t>10.27</t>
  </si>
  <si>
    <t xml:space="preserve">      CIMENTACION WP43</t>
  </si>
  <si>
    <t>10.27.1</t>
  </si>
  <si>
    <t xml:space="preserve">        LOCALIZACION, REPLANTEO DESBROCE DE AREA DE ACOPIO DE TORRE Y DE PALAS WP43</t>
  </si>
  <si>
    <t>10.27.2</t>
  </si>
  <si>
    <t xml:space="preserve">         EXCAVACIÓN DE CIMENTACION WP43</t>
  </si>
  <si>
    <t>10.27.3</t>
  </si>
  <si>
    <t xml:space="preserve">         BANCO DE DUCTO WP43</t>
  </si>
  <si>
    <t>10.27.4</t>
  </si>
  <si>
    <t xml:space="preserve">         COMPACTACION DE SELLO DE BASE WP43</t>
  </si>
  <si>
    <t>10.27.5</t>
  </si>
  <si>
    <t xml:space="preserve">         SOLADO WP43</t>
  </si>
  <si>
    <t>10.27.6</t>
  </si>
  <si>
    <t xml:space="preserve">         INSTALACIÓN DE PERNOS Y SOFT-SPOT WP43</t>
  </si>
  <si>
    <t>10.27.7</t>
  </si>
  <si>
    <t xml:space="preserve">         INSTALACIÓN DE ACERO DE REFUERZO WP43</t>
  </si>
  <si>
    <t>10.27.8</t>
  </si>
  <si>
    <t xml:space="preserve">         ENCOFRADO DE ZAPATA Y DE PEDESTAL WP43</t>
  </si>
  <si>
    <t>10.27.9</t>
  </si>
  <si>
    <t xml:space="preserve">         HITO: ALISTAMIENTO Y MOVILIZACIÓN DE PLANTA DE CONCRETO PARA WP43</t>
  </si>
  <si>
    <t>10.27.10</t>
  </si>
  <si>
    <t xml:space="preserve">         FUNDIDA WP43</t>
  </si>
  <si>
    <t>10.27.11</t>
  </si>
  <si>
    <t xml:space="preserve">         CURADO DEL CONCRETO WP43</t>
  </si>
  <si>
    <t>10.27.12</t>
  </si>
  <si>
    <t xml:space="preserve">         INSTALACIONES ELECTRICAS Y SISTEMA PUESTA TIERRA WP43</t>
  </si>
  <si>
    <t>10.27.13</t>
  </si>
  <si>
    <t xml:space="preserve">         INSTALACION DE GROUT Y MORTERO AUTOCOMPACTANTE DE ALTA RESISTENCIA WP43</t>
  </si>
  <si>
    <t>10.27.14</t>
  </si>
  <si>
    <t xml:space="preserve">         TAPADO AREA DE CIMENTACIÓN Y CONFORMACIÓN DE PLATAFORMA WP43</t>
  </si>
  <si>
    <t>10.27.15</t>
  </si>
  <si>
    <t xml:space="preserve">         ESTABILIZACIÓN DE TALUDES EN PLATAFORMA Y RECONFORMACION FINAL WP43</t>
  </si>
  <si>
    <t>10.27.16</t>
  </si>
  <si>
    <t xml:space="preserve">         HITO: FINALIZACION DE ACTIVIDADES EN CIMENTACION WP43</t>
  </si>
  <si>
    <t>10.28</t>
  </si>
  <si>
    <t xml:space="preserve">      CIMENTACION WP29</t>
  </si>
  <si>
    <t>10.28.1</t>
  </si>
  <si>
    <t xml:space="preserve">        LOCALIZACION, REPLANTEO DESBROCE DE AREA DE ACOPIO DE TORRE Y DE PALAS WP29</t>
  </si>
  <si>
    <t>10.28.2</t>
  </si>
  <si>
    <t xml:space="preserve">         EXCAVACIÓN DE CIMENTACION WP29</t>
  </si>
  <si>
    <t>10.28.3</t>
  </si>
  <si>
    <t xml:space="preserve">         BANCO DE DUCTO WP29</t>
  </si>
  <si>
    <t>10.28.4</t>
  </si>
  <si>
    <t xml:space="preserve">         COMPACTACION DE SELLO DE BASE WP29</t>
  </si>
  <si>
    <t>10.28.5</t>
  </si>
  <si>
    <t xml:space="preserve">         SOLADO WP29</t>
  </si>
  <si>
    <t>10.28.6</t>
  </si>
  <si>
    <t xml:space="preserve">         INSTALACIÓN DE PERNOS Y SOFT-SPOT WP29</t>
  </si>
  <si>
    <t>10.28.7</t>
  </si>
  <si>
    <t xml:space="preserve">         INSTALACIÓN DE ACERO DE REFUERZO WP29</t>
  </si>
  <si>
    <t>10.28.8</t>
  </si>
  <si>
    <t xml:space="preserve">         ENCOFRADO DE ZAPATA Y DE PEDESTAL WP29</t>
  </si>
  <si>
    <t>10.28.9</t>
  </si>
  <si>
    <t xml:space="preserve">         HITO: ALISTAMIENTO Y MOVILIZACIÓN DE PLANTA DE CONCRETO PARA WP29</t>
  </si>
  <si>
    <t>10.28.10</t>
  </si>
  <si>
    <t xml:space="preserve">         FUNDIDA WP29</t>
  </si>
  <si>
    <t>10.28.11</t>
  </si>
  <si>
    <t xml:space="preserve">         CURADO DEL CONCRETO WP29</t>
  </si>
  <si>
    <t>10.28.12</t>
  </si>
  <si>
    <t xml:space="preserve">         INSTALACIONES ELECTRICAS Y SISTEMA PUESTA TIERRA WP29</t>
  </si>
  <si>
    <t>10.28.13</t>
  </si>
  <si>
    <t xml:space="preserve">         INSTALACION DE GROUT Y MORTERO AUTOCOMPACTANTE DE ALTA RESISTENCIA WP29</t>
  </si>
  <si>
    <t>10.28.14</t>
  </si>
  <si>
    <t xml:space="preserve">         TAPADO AREA DE CIMENTACIÓN Y CONFORMACIÓN DE PLATAFORMA WP29</t>
  </si>
  <si>
    <t>10.28.15</t>
  </si>
  <si>
    <t xml:space="preserve">         ESTABILIZACIÓN DE TALUDES EN PLATAFORMA Y RECONFORMACION FINAL WP29</t>
  </si>
  <si>
    <t>10.28.16</t>
  </si>
  <si>
    <t xml:space="preserve">         HITO: FINALIZACION DE ACTIVIDADES EN CIMENTACION WP29</t>
  </si>
  <si>
    <t>10.29</t>
  </si>
  <si>
    <t xml:space="preserve">      CIMENTACION WP30</t>
  </si>
  <si>
    <t>10.29.1</t>
  </si>
  <si>
    <t xml:space="preserve">        LOCALIZACION, REPLANTEO DESBROCE DE AREA DE ACOPIO DE TORRE Y DE PALAS WP30</t>
  </si>
  <si>
    <t>10.29.2</t>
  </si>
  <si>
    <t xml:space="preserve">         EXCAVACIÓN DE CIMENTACION WP30</t>
  </si>
  <si>
    <t>10.29.3</t>
  </si>
  <si>
    <t xml:space="preserve">         BANCO DE DUCTO WP30</t>
  </si>
  <si>
    <t>10.29.4</t>
  </si>
  <si>
    <t xml:space="preserve">         COMPACTACION DE SELLO DE BASE WP30</t>
  </si>
  <si>
    <t>10.29.5</t>
  </si>
  <si>
    <t xml:space="preserve">         SOLADO WP30</t>
  </si>
  <si>
    <t>10.29.6</t>
  </si>
  <si>
    <t xml:space="preserve">         INSTALACIÓN DE PERNOS Y SOFT-SPOT WP30</t>
  </si>
  <si>
    <t>10.29.7</t>
  </si>
  <si>
    <t xml:space="preserve">         INSTALACIÓN DE ACERO DE REFUERZO WP30</t>
  </si>
  <si>
    <t>10.29.8</t>
  </si>
  <si>
    <t xml:space="preserve">         ENCOFRADO DE ZAPATA Y DE PEDESTAL WP30</t>
  </si>
  <si>
    <t>10.29.9</t>
  </si>
  <si>
    <t xml:space="preserve">         HITO: ALISTAMIENTO Y MOVILIZACIÓN DE PLANTA DE CONCRETO PARA WP30</t>
  </si>
  <si>
    <t>10.29.10</t>
  </si>
  <si>
    <t xml:space="preserve">         FUNDIDA WP30</t>
  </si>
  <si>
    <t>10.29.11</t>
  </si>
  <si>
    <t xml:space="preserve">         CURADO DEL CONCRETO WP30</t>
  </si>
  <si>
    <t>10.29.12</t>
  </si>
  <si>
    <t xml:space="preserve">         INSTALACIONES ELECTRICAS Y SISTEMA PUESTA TIERRA WP30</t>
  </si>
  <si>
    <t>10.29.13</t>
  </si>
  <si>
    <t xml:space="preserve">         INSTALACION DE GROUT Y MORTERO AUTOCOMPACTANTE DE ALTA RESISTENCIA WP30</t>
  </si>
  <si>
    <t>10.29.14</t>
  </si>
  <si>
    <t xml:space="preserve">         TAPADO AREA DE CIMENTACIÓN Y CONFORMACIÓN DE PLATAFORMA WP30</t>
  </si>
  <si>
    <t>10.29.15</t>
  </si>
  <si>
    <t xml:space="preserve">         ESTABILIZACIÓN DE TALUDES EN PLATAFORMA Y RECONFORMACION FINAL WP30</t>
  </si>
  <si>
    <t>10.29.16</t>
  </si>
  <si>
    <t xml:space="preserve">         HITO: FINALIZACION DE ACTIVIDADES EN CIMENTACION WP30</t>
  </si>
  <si>
    <t>10.30</t>
  </si>
  <si>
    <t xml:space="preserve">      CIMENTACION WP31</t>
  </si>
  <si>
    <t>10.30.1</t>
  </si>
  <si>
    <t xml:space="preserve">        LOCALIZACION, REPLANTEO DESBROCE DE AREA DE ACOPIO DE TORRE Y DE PALAS WP31</t>
  </si>
  <si>
    <t>10.30.2</t>
  </si>
  <si>
    <t xml:space="preserve">         EXCAVACIÓN DE CIMENTACION WP31</t>
  </si>
  <si>
    <t>10.30.3</t>
  </si>
  <si>
    <t xml:space="preserve">         BANCO DE DUCTO WP31</t>
  </si>
  <si>
    <t>10.30.4</t>
  </si>
  <si>
    <t xml:space="preserve">         COMPACTACION DE SELLO DE BASE WP31</t>
  </si>
  <si>
    <t>10.30.5</t>
  </si>
  <si>
    <t xml:space="preserve">         SOLADO WP31</t>
  </si>
  <si>
    <t>10.30.6</t>
  </si>
  <si>
    <t xml:space="preserve">         INSTALACIÓN DE PERNOS Y SOFT-SPOT WP31</t>
  </si>
  <si>
    <t>10.30.7</t>
  </si>
  <si>
    <t xml:space="preserve">         INSTALACIÓN DE ACERO DE REFUERZO WP31</t>
  </si>
  <si>
    <t>10.30.8</t>
  </si>
  <si>
    <t xml:space="preserve">         ENCOFRADO DE ZAPATA Y DE PEDESTAL WP31</t>
  </si>
  <si>
    <t>10.30.9</t>
  </si>
  <si>
    <t xml:space="preserve">         HITO: ALISTAMIENTO Y MOVILIZACIÓN DE PLANTA DE CONCRETO PARA WP31</t>
  </si>
  <si>
    <t>10.30.10</t>
  </si>
  <si>
    <t xml:space="preserve">         FUNDIDA WP31</t>
  </si>
  <si>
    <t>10.30.11</t>
  </si>
  <si>
    <t xml:space="preserve">         CURADO DEL CONCRETO WP31</t>
  </si>
  <si>
    <t>10.30.12</t>
  </si>
  <si>
    <t xml:space="preserve">         INSTALACIONES ELECTRICAS Y SISTEMA PUESTA TIERRA WP31</t>
  </si>
  <si>
    <t>10.30.13</t>
  </si>
  <si>
    <t xml:space="preserve">         INSTALACION DE GROUT Y MORTERO AUTOCOMPACTANTE DE ALTA RESISTENCIA WP31</t>
  </si>
  <si>
    <t>10.30.14</t>
  </si>
  <si>
    <t xml:space="preserve">         TAPADO AREA DE CIMENTACIÓN Y CONFORMACIÓN DE PLATAFORMA WP31</t>
  </si>
  <si>
    <t>10.30.15</t>
  </si>
  <si>
    <t xml:space="preserve">         ESTABILIZACIÓN DE TALUDES EN PLATAFORMA Y RECONFORMACION FINAL WP31</t>
  </si>
  <si>
    <t>10.30.16</t>
  </si>
  <si>
    <t xml:space="preserve">         HITO: FINALIZACION DE ACTIVIDADES EN CIMENTACION WP31</t>
  </si>
  <si>
    <t>10.31</t>
  </si>
  <si>
    <t xml:space="preserve">      CIMENTACION WP35</t>
  </si>
  <si>
    <t>10.31.1</t>
  </si>
  <si>
    <t xml:space="preserve">        LOCALIZACION, REPLANTEO DESBROCE DE AREA DE ACOPIO DE TORRE Y DE PALAS WP35</t>
  </si>
  <si>
    <t>10.31.2</t>
  </si>
  <si>
    <t xml:space="preserve">         EXCAVACIÓN DE CIMENTACION WP35</t>
  </si>
  <si>
    <t>10.31.3</t>
  </si>
  <si>
    <t xml:space="preserve">         BANCO DE DUCTO WP35</t>
  </si>
  <si>
    <t>10.31.4</t>
  </si>
  <si>
    <t xml:space="preserve">         COMPACTACION DE SELLO DE BASE WP35</t>
  </si>
  <si>
    <t>10.31.5</t>
  </si>
  <si>
    <t xml:space="preserve">         SOLADO WP35</t>
  </si>
  <si>
    <t>10.31.6</t>
  </si>
  <si>
    <t xml:space="preserve">         INSTALACIÓN DE PERNOS Y SOFT-SPOT WP35</t>
  </si>
  <si>
    <t>10.31.7</t>
  </si>
  <si>
    <t xml:space="preserve">         INSTALACIÓN DE ACERO DE REFUERZO WP35</t>
  </si>
  <si>
    <t>10.31.8</t>
  </si>
  <si>
    <t xml:space="preserve">         ENCOFRADO DE ZAPATA Y DE PEDESTAL WP35</t>
  </si>
  <si>
    <t>10.31.9</t>
  </si>
  <si>
    <t xml:space="preserve">         HITO: ALISTAMIENTO Y MOVILIZACIÓN DE PLANTA DE CONCRETO PARA WP35</t>
  </si>
  <si>
    <t>10.31.10</t>
  </si>
  <si>
    <t xml:space="preserve">         FUNDIDA WP35</t>
  </si>
  <si>
    <t>10.31.11</t>
  </si>
  <si>
    <t xml:space="preserve">         CURADO DEL CONCRETO WP35</t>
  </si>
  <si>
    <t>10.31.12</t>
  </si>
  <si>
    <t xml:space="preserve">         INSTALACIONES ELECTRICAS Y SISTEMA PUESTA TIERRA WP35</t>
  </si>
  <si>
    <t>10.31.13</t>
  </si>
  <si>
    <t xml:space="preserve">         INSTALACION DE GROUT Y MORTERO AUTOCOMPACTANTE DE ALTA RESISTENCIA WP35</t>
  </si>
  <si>
    <t>10.31.14</t>
  </si>
  <si>
    <t xml:space="preserve">         TAPADO AREA DE CIMENTACIÓN Y CONFORMACIÓN DE PLATAFORMA WP35</t>
  </si>
  <si>
    <t>10.31.15</t>
  </si>
  <si>
    <t xml:space="preserve">         ESTABILIZACIÓN DE TALUDES EN PLATAFORMA Y RECONFORMACION FINAL WP35</t>
  </si>
  <si>
    <t>10.31.16</t>
  </si>
  <si>
    <t xml:space="preserve">         HITO: FINALIZACION DE ACTIVIDADES EN CIMENTACION WP35</t>
  </si>
  <si>
    <t>10.32</t>
  </si>
  <si>
    <t xml:space="preserve">      CIMENTACION WP34</t>
  </si>
  <si>
    <t>10.32.1</t>
  </si>
  <si>
    <t xml:space="preserve">       LOCALIZACION, REPLANTEO  DESBROCE DE AREA DE ACOPIO DE TORRE Y DE PALAS WP34</t>
  </si>
  <si>
    <t>10.32.2</t>
  </si>
  <si>
    <t xml:space="preserve">         EXCAVACIÓN DE CIMENTACION WP34</t>
  </si>
  <si>
    <t>10.32.3</t>
  </si>
  <si>
    <t xml:space="preserve">         BANCO DE DUCTO WP34</t>
  </si>
  <si>
    <t>10.32.4</t>
  </si>
  <si>
    <t xml:space="preserve">         COMPACTACION DE SELLO DE BASE WP34</t>
  </si>
  <si>
    <t>10.32.5</t>
  </si>
  <si>
    <t xml:space="preserve">         SOLADO WP34</t>
  </si>
  <si>
    <t>10.32.6</t>
  </si>
  <si>
    <t xml:space="preserve">         INSTALACIÓN DE PERNOS Y SOFT-SPOT WP34</t>
  </si>
  <si>
    <t>10.32.7</t>
  </si>
  <si>
    <t xml:space="preserve">         INSTALACIÓN DE ACERO DE REFUERZO WP34</t>
  </si>
  <si>
    <t>10.32.8</t>
  </si>
  <si>
    <t xml:space="preserve">         ENCOFRADO DE ZAPATA Y DE PEDESTAL WP34</t>
  </si>
  <si>
    <t>10.32.9</t>
  </si>
  <si>
    <t xml:space="preserve">         HITO: ALISTAMIENTO Y MOVILIZACIÓN DE PLANTA DE CONCRETO PARA WP34</t>
  </si>
  <si>
    <t>10.32.10</t>
  </si>
  <si>
    <t xml:space="preserve">         FUNDIDA WP34</t>
  </si>
  <si>
    <t>10.32.11</t>
  </si>
  <si>
    <t xml:space="preserve">         CURADO DEL CONCRETO WP34</t>
  </si>
  <si>
    <t>10.32.12</t>
  </si>
  <si>
    <t xml:space="preserve">         INSTALACIONES ELECTRICAS Y SISTEMA PUESTA TIERRA WP34</t>
  </si>
  <si>
    <t>10.32.13</t>
  </si>
  <si>
    <t xml:space="preserve">         INSTALACION DE GROUT Y MORTERO AUTOCOMPACTANTE DE ALTA RESISTENCIA WP34</t>
  </si>
  <si>
    <t>10.32.14</t>
  </si>
  <si>
    <t xml:space="preserve">         TAPADO AREA DE CIMENTACIÓN Y CONFORMACIÓN DE PLATAFORMA WP34</t>
  </si>
  <si>
    <t>10.32.15</t>
  </si>
  <si>
    <t xml:space="preserve">         ESTABILIZACIÓN DE TALUDES EN PLATAFORMA Y RECONFORMACION FINAL WP34</t>
  </si>
  <si>
    <t>10.32.16</t>
  </si>
  <si>
    <t xml:space="preserve">         HITO: FINALIZACION DE ACTIVIDADES EN CIMENTACION WP34</t>
  </si>
  <si>
    <t>10.33</t>
  </si>
  <si>
    <t xml:space="preserve">      CIMENTACION WP33</t>
  </si>
  <si>
    <t>10.33.1</t>
  </si>
  <si>
    <t xml:space="preserve">        LOCALIZACION, REPLANTEO DESBROCE DE AREA DE ACOPIO DE TORRE Y DE PALAS WP33</t>
  </si>
  <si>
    <t>10.33.2</t>
  </si>
  <si>
    <t xml:space="preserve">         EXCAVACIÓN DE CIMENTACION WP33</t>
  </si>
  <si>
    <t>10.33.3</t>
  </si>
  <si>
    <t xml:space="preserve">         BANCO DE DUCTO WP33</t>
  </si>
  <si>
    <t>10.33.4</t>
  </si>
  <si>
    <t xml:space="preserve">         COMPACTACION DE SELLO DE BASE WP33</t>
  </si>
  <si>
    <t>10.33.5</t>
  </si>
  <si>
    <t xml:space="preserve">         SOLADO WP33</t>
  </si>
  <si>
    <t>10.33.6</t>
  </si>
  <si>
    <t xml:space="preserve">         INSTALACIÓN DE PERNOS Y SOFT-SPOT WP33</t>
  </si>
  <si>
    <t>10.33.7</t>
  </si>
  <si>
    <t xml:space="preserve">         INSTALACIÓN DE ACERO DE REFUERZO WP33</t>
  </si>
  <si>
    <t>10.33.8</t>
  </si>
  <si>
    <t xml:space="preserve">         ENCOFRADO DE ZAPATA Y DE PEDESTAL WP33</t>
  </si>
  <si>
    <t>10.33.9</t>
  </si>
  <si>
    <t xml:space="preserve">         HITO: ALISTAMIENTO Y MOVILIZACIÓN DE PLANTA DE CONCRETO PARA WP33</t>
  </si>
  <si>
    <t>10.33.10</t>
  </si>
  <si>
    <t xml:space="preserve">         FUNDIDA WP33</t>
  </si>
  <si>
    <t>10.33.11</t>
  </si>
  <si>
    <t xml:space="preserve">         CURADO DEL CONCRETO WP33</t>
  </si>
  <si>
    <t>10.33.12</t>
  </si>
  <si>
    <t xml:space="preserve">         INSTALACIONES ELECTRICAS Y SISTEMA PUESTA TIERRA WP33</t>
  </si>
  <si>
    <t>10.33.13</t>
  </si>
  <si>
    <t xml:space="preserve">         INSTALACION DE GROUT Y MORTERO AUTOCOMPACTANTE DE ALTA RESISTENCIA WP33</t>
  </si>
  <si>
    <t>10.33.14</t>
  </si>
  <si>
    <t xml:space="preserve">         TAPADO AREA DE CIMENTACIÓN Y CONFORMACIÓN DE PLATAFORMA WP33</t>
  </si>
  <si>
    <t>10.33.15</t>
  </si>
  <si>
    <t xml:space="preserve">         ESTABILIZACIÓN DE TALUDES EN PLATAFORMA Y RECONFORMACION FINAL WP33</t>
  </si>
  <si>
    <t>10.33.16</t>
  </si>
  <si>
    <t xml:space="preserve">         HITO: FINALIZACION DE ACTIVIDADES EN CIMENTACION WP33</t>
  </si>
  <si>
    <t>10.34</t>
  </si>
  <si>
    <t xml:space="preserve">      CIMENTACION WP32</t>
  </si>
  <si>
    <t>10.34.1</t>
  </si>
  <si>
    <t xml:space="preserve">       LOCALIZACION, REPLANTEO  DESBROCE DE AREA DE ACOPIO DE TORRE Y DE PALAS WP32</t>
  </si>
  <si>
    <t>10.34.2</t>
  </si>
  <si>
    <t xml:space="preserve">         EXCAVACIÓN DE CIMENTACION WP32</t>
  </si>
  <si>
    <t>10.34.3</t>
  </si>
  <si>
    <t xml:space="preserve">         BANCO DE DUCTO WP32</t>
  </si>
  <si>
    <t>10.34.4</t>
  </si>
  <si>
    <t xml:space="preserve">         COMPACTACION DE SELLO DE BASE WP32</t>
  </si>
  <si>
    <t>10.34.5</t>
  </si>
  <si>
    <t xml:space="preserve">         SOLADO WP32</t>
  </si>
  <si>
    <t>10.34.6</t>
  </si>
  <si>
    <t xml:space="preserve">         INSTALACIÓN DE PERNOS Y SOFT-SPOT WP32</t>
  </si>
  <si>
    <t>10.34.7</t>
  </si>
  <si>
    <t xml:space="preserve">         INSTALACIÓN DE ACERO DE REFUERZO WP32</t>
  </si>
  <si>
    <t>10.34.8</t>
  </si>
  <si>
    <t xml:space="preserve">         ENCOFRADO DE ZAPATA Y DE PEDESTAL WP32</t>
  </si>
  <si>
    <t>10.34.9</t>
  </si>
  <si>
    <t xml:space="preserve">         HITO: ALISTAMIENTO Y MOVILIZACIÓN DE PLANTA DE CONCRETO PARA WP32</t>
  </si>
  <si>
    <t>10.34.10</t>
  </si>
  <si>
    <t xml:space="preserve">         FUNDIDA WP32</t>
  </si>
  <si>
    <t>10.34.11</t>
  </si>
  <si>
    <t xml:space="preserve">         CURADO DEL CONCRETO WP32</t>
  </si>
  <si>
    <t>10.34.12</t>
  </si>
  <si>
    <t xml:space="preserve">         INSTALACIONES ELECTRICAS Y SISTEMA PUESTA TIERRA WP32</t>
  </si>
  <si>
    <t>10.34.13</t>
  </si>
  <si>
    <t xml:space="preserve">         INSTALACION DE GROUT Y MORTERO AUTOCOMPACTANTE DE ALTA RESISTENCIA WP32</t>
  </si>
  <si>
    <t>10.34.14</t>
  </si>
  <si>
    <t xml:space="preserve">         TAPADO AREA DE CIMENTACIÓN Y CONFORMACIÓN DE PLATAFORMA WP32</t>
  </si>
  <si>
    <t>10.34.15</t>
  </si>
  <si>
    <t xml:space="preserve">         ESTABILIZACIÓN DE TALUDES EN PLATAFORMA Y RECONFORMACION FINAL WP32</t>
  </si>
  <si>
    <t>10.34.16</t>
  </si>
  <si>
    <t xml:space="preserve">         HITO: FINALIZACION DE ACTIVIDADES EN CIMENTACION WP32</t>
  </si>
  <si>
    <t>10.35</t>
  </si>
  <si>
    <t xml:space="preserve">      HITO 4: FIN DE CIMENTACIONES NUEVAS</t>
  </si>
  <si>
    <t xml:space="preserve">   EJECUCIÓN DE ACTIVIDADES CONFORMACIÓN DE ZODMES</t>
  </si>
  <si>
    <t>311 días</t>
  </si>
  <si>
    <t>11.1</t>
  </si>
  <si>
    <t xml:space="preserve">      CONFORMACIÓN DE ZODMES 1,3,4,6,8</t>
  </si>
  <si>
    <t>90 días</t>
  </si>
  <si>
    <t>11.2</t>
  </si>
  <si>
    <t xml:space="preserve">      CONFORMACIÓN DE ZODMES 2,5,7</t>
  </si>
  <si>
    <t>11.3</t>
  </si>
  <si>
    <t xml:space="preserve">      CONFORMACIÓN DE ZODMES 9,10,11,12,14</t>
  </si>
  <si>
    <t>160 días</t>
  </si>
  <si>
    <t>11.4</t>
  </si>
  <si>
    <t xml:space="preserve">      CONFORMACIÓN DE ZODMES 13,15,16,18</t>
  </si>
  <si>
    <t>140 días</t>
  </si>
  <si>
    <t>11.5</t>
  </si>
  <si>
    <t xml:space="preserve">      CONFORMACIÓN DE ZODMES 17,19,20,21</t>
  </si>
  <si>
    <t xml:space="preserve">   EJECUCIÓN DE ACTIVIDADES POR LLAMADO DE MAQUINARIA, EQUIPOS Y PERSONAL</t>
  </si>
  <si>
    <t>240 días</t>
  </si>
  <si>
    <t>12.1</t>
  </si>
  <si>
    <t xml:space="preserve">      EQUIPOS Y/O HERRAMIENTAS POR LLLAMADO</t>
  </si>
  <si>
    <t>12.2</t>
  </si>
  <si>
    <t xml:space="preserve">      ACTIVIDADES Y SUMINISTRO DE PERSONAL POR LLAMADO</t>
  </si>
  <si>
    <t xml:space="preserve">   HITO 5: FIN DE ACTIVIDADES DE OBA</t>
  </si>
  <si>
    <t xml:space="preserve">   ACTIVIDADES FINALES</t>
  </si>
  <si>
    <t>12 días</t>
  </si>
  <si>
    <t>14.1</t>
  </si>
  <si>
    <t xml:space="preserve">      DESMOVILIZACION</t>
  </si>
  <si>
    <t>14.2</t>
  </si>
  <si>
    <t xml:space="preserve">      CIERRES ADMINISTRATIVOS Y GESTIÓN DE ENTORNO FINAL</t>
  </si>
  <si>
    <t>14.3</t>
  </si>
  <si>
    <t xml:space="preserve">      CONFORMACIÓN Y ENTREGA DE DOSSIER</t>
  </si>
  <si>
    <t xml:space="preserve">   HITO 6: ACTA DE TERMINACIÓN DE LA ODS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</si>
</sst>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6" formatCode="&quot;$&quot;\ #,##0;[Red]\-&quot;$&quot;\ #,##0"/>
    <numFmt numFmtId="44" formatCode="_-&quot;$&quot;\ * #,##0.00_-;\-&quot;$&quot;\ * #,##0.00_-;_-&quot;$&quot;\ * &quot;-&quot;??_-;_-@_-"/>
    <numFmt numFmtId="164" formatCode="&quot;$&quot;\ #,##0"/>
    <numFmt numFmtId="165" formatCode="&quot;$&quot;\ #,##0.00"/>
    <numFmt numFmtId="166" formatCode="0.000%"/>
  </numFmts>
  <fonts count="19" x14ac:knownFonts="1">
    <font>
      <sz val="11"/>
      <color theme="1"/>
      <name val="Calibri"/>
      <family val="2"/>
      <scheme val="minor"/>
    </font>
    <font>
      <sz val="11"/>
      <color theme="1"/>
      <name val="Calibri"/>
      <family val="2"/>
      <scheme val="minor"/>
    </font>
    <font>
      <sz val="14"/>
      <color theme="1"/>
      <name val="Calibri"/>
      <family val="2"/>
    </font>
    <font>
      <sz val="14"/>
      <color theme="1"/>
      <name val="Arial"/>
      <family val="2"/>
    </font>
    <font>
      <sz val="11"/>
      <color theme="1"/>
      <name val="Calibri"/>
      <family val="2"/>
    </font>
    <font>
      <sz val="11"/>
      <color theme="1"/>
      <name val="Arial"/>
      <family val="2"/>
    </font>
    <font>
      <b/>
      <sz val="11"/>
      <color theme="1"/>
      <name val="Calibri"/>
      <family val="2"/>
    </font>
    <font>
      <sz val="11"/>
      <color rgb="FFFFFFFF"/>
      <name val="Calibri"/>
      <family val="2"/>
    </font>
    <font>
      <b/>
      <sz val="11"/>
      <color rgb="FFFFFFFF"/>
      <name val="Calibri"/>
      <family val="2"/>
    </font>
    <font>
      <sz val="9"/>
      <color rgb="FFFFFFFF"/>
      <name val="Calibri"/>
      <family val="2"/>
    </font>
    <font>
      <sz val="12"/>
      <color rgb="FFFFFFFF"/>
      <name val="Calibri"/>
      <family val="2"/>
    </font>
    <font>
      <b/>
      <sz val="9"/>
      <color rgb="FFFFFFFF"/>
      <name val="Calibri"/>
      <family val="2"/>
    </font>
    <font>
      <b/>
      <sz val="9"/>
      <color rgb="FF4472C4"/>
      <name val="Calibri"/>
      <family val="2"/>
    </font>
    <font>
      <sz val="9"/>
      <color rgb="FF0070C0"/>
      <name val="Calibri"/>
      <family val="2"/>
    </font>
    <font>
      <sz val="9"/>
      <color rgb="FF000000"/>
      <name val="Calibri"/>
      <family val="2"/>
    </font>
    <font>
      <b/>
      <sz val="9"/>
      <color rgb="FF000000"/>
      <name val="Calibri"/>
      <family val="2"/>
    </font>
    <font>
      <sz val="11"/>
      <color rgb="FF000000"/>
      <name val="Calibri"/>
      <family val="2"/>
      <scheme val="minor"/>
    </font>
    <font>
      <sz val="9"/>
      <color rgb="FFFF0000"/>
      <name val="Calibri"/>
      <family val="2"/>
    </font>
    <font>
      <b/>
      <sz val="9"/>
      <color rgb="FF5B9BD5"/>
      <name val="Calibri"/>
      <family val="2"/>
    </font>
  </fonts>
  <fills count="8">
    <fill>
      <patternFill patternType="none"/>
    </fill>
    <fill>
      <patternFill patternType="gray125"/>
    </fill>
    <fill>
      <patternFill patternType="solid">
        <fgColor rgb="FF78BE20"/>
        <bgColor indexed="64"/>
      </patternFill>
    </fill>
    <fill>
      <patternFill patternType="solid">
        <fgColor rgb="FF00332B"/>
        <bgColor indexed="64"/>
      </patternFill>
    </fill>
    <fill>
      <patternFill patternType="solid">
        <fgColor rgb="FF004237"/>
        <bgColor indexed="64"/>
      </patternFill>
    </fill>
    <fill>
      <patternFill patternType="solid">
        <fgColor rgb="FFEAF3E0"/>
        <bgColor indexed="64"/>
      </patternFill>
    </fill>
    <fill>
      <patternFill patternType="solid">
        <fgColor rgb="FFFFFFFF"/>
        <bgColor indexed="64"/>
      </patternFill>
    </fill>
    <fill>
      <patternFill patternType="solid">
        <fgColor rgb="FFBDD7EE"/>
        <bgColor indexed="64"/>
      </patternFill>
    </fill>
  </fills>
  <borders count="6">
    <border>
      <left/>
      <right/>
      <top/>
      <bottom/>
      <diagonal/>
    </border>
    <border>
      <left/>
      <right style="thin">
        <color auto="1"/>
      </right>
      <top/>
      <bottom/>
      <diagonal/>
    </border>
    <border>
      <left style="thin">
        <color auto="1"/>
      </left>
      <right style="thin">
        <color auto="1"/>
      </right>
      <top style="thin">
        <color auto="1"/>
      </top>
      <bottom style="thin">
        <color auto="1"/>
      </bottom>
      <diagonal/>
    </border>
    <border>
      <left/>
      <right/>
      <top/>
      <bottom style="thin">
        <color auto="1"/>
      </bottom>
      <diagonal/>
    </border>
    <border>
      <left/>
      <right style="thin">
        <color auto="1"/>
      </right>
      <top/>
      <bottom style="thin">
        <color auto="1"/>
      </bottom>
      <diagonal/>
    </border>
    <border>
      <left style="thin">
        <color rgb="FFB1BBCC"/>
      </left>
      <right style="thin">
        <color rgb="FFB1BBCC"/>
      </right>
      <top style="thin">
        <color rgb="FFB1BBCC"/>
      </top>
      <bottom style="thin">
        <color rgb="FFB1BBCC"/>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65">
    <xf numFmtId="0" fontId="0" fillId="0" borderId="0" xfId="0"/>
    <xf numFmtId="0" fontId="2" fillId="0" borderId="0" xfId="0" applyFont="1" applyAlignment="1">
      <alignment horizontal="left"/>
    </xf>
    <xf numFmtId="0" fontId="3" fillId="0" borderId="0" xfId="0" applyFont="1" applyAlignment="1">
      <alignment horizontal="left"/>
    </xf>
    <xf numFmtId="0" fontId="4" fillId="0" borderId="0" xfId="0" applyFont="1" applyAlignment="1">
      <alignment horizontal="left"/>
    </xf>
    <xf numFmtId="0" fontId="5" fillId="0" borderId="0" xfId="0" applyFont="1" applyAlignment="1">
      <alignment horizontal="left"/>
    </xf>
    <xf numFmtId="0" fontId="6" fillId="0" borderId="0" xfId="0" applyFont="1" applyAlignment="1">
      <alignment horizontal="center" vertical="center" wrapText="1"/>
    </xf>
    <xf numFmtId="0" fontId="6" fillId="0" borderId="0" xfId="0" applyFont="1" applyAlignment="1">
      <alignment horizontal="center" vertical="center"/>
    </xf>
    <xf numFmtId="0" fontId="4" fillId="0" borderId="0" xfId="0" applyFont="1" applyAlignment="1">
      <alignment horizontal="center"/>
    </xf>
    <xf numFmtId="0" fontId="4" fillId="0" borderId="1" xfId="0" applyFont="1" applyBorder="1" applyAlignment="1">
      <alignment horizontal="center"/>
    </xf>
    <xf numFmtId="49" fontId="7" fillId="2" borderId="2" xfId="0" applyNumberFormat="1" applyFont="1" applyFill="1" applyBorder="1" applyAlignment="1">
      <alignment horizontal="center" vertical="center" wrapText="1"/>
    </xf>
    <xf numFmtId="0" fontId="8" fillId="2" borderId="2" xfId="0" applyFont="1" applyFill="1" applyBorder="1" applyAlignment="1">
      <alignment horizontal="center" vertical="center"/>
    </xf>
    <xf numFmtId="15" fontId="8" fillId="3" borderId="2" xfId="0" applyNumberFormat="1" applyFont="1" applyFill="1" applyBorder="1" applyAlignment="1">
      <alignment horizontal="center" vertical="center"/>
    </xf>
    <xf numFmtId="49" fontId="7" fillId="2" borderId="2" xfId="0" applyNumberFormat="1" applyFont="1" applyFill="1" applyBorder="1" applyAlignment="1">
      <alignment horizontal="center" vertical="center" wrapText="1"/>
    </xf>
    <xf numFmtId="44" fontId="7" fillId="2" borderId="2" xfId="1" applyFont="1" applyFill="1" applyBorder="1" applyAlignment="1">
      <alignment horizontal="center" vertical="center" wrapText="1"/>
    </xf>
    <xf numFmtId="0" fontId="6" fillId="0" borderId="3" xfId="0" applyFont="1" applyBorder="1" applyAlignment="1">
      <alignment horizontal="center" vertical="center"/>
    </xf>
    <xf numFmtId="0" fontId="4" fillId="0" borderId="3" xfId="0" applyFont="1" applyBorder="1" applyAlignment="1">
      <alignment horizontal="center"/>
    </xf>
    <xf numFmtId="0" fontId="4" fillId="0" borderId="4" xfId="0" applyFont="1" applyBorder="1" applyAlignment="1">
      <alignment horizontal="center"/>
    </xf>
    <xf numFmtId="0" fontId="9" fillId="4" borderId="5" xfId="0" applyFont="1" applyFill="1" applyBorder="1" applyAlignment="1">
      <alignment vertical="center" wrapText="1"/>
    </xf>
    <xf numFmtId="10" fontId="10" fillId="4" borderId="5" xfId="2" applyNumberFormat="1" applyFont="1" applyFill="1" applyBorder="1" applyAlignment="1">
      <alignment vertical="center" wrapText="1"/>
    </xf>
    <xf numFmtId="0" fontId="9" fillId="4" borderId="5" xfId="0" applyFont="1" applyFill="1" applyBorder="1" applyAlignment="1">
      <alignment horizontal="center" vertical="center" wrapText="1"/>
    </xf>
    <xf numFmtId="10" fontId="7" fillId="4" borderId="5" xfId="2" applyNumberFormat="1" applyFont="1" applyFill="1" applyBorder="1" applyAlignment="1">
      <alignment horizontal="center" vertical="center" wrapText="1"/>
    </xf>
    <xf numFmtId="0" fontId="11" fillId="4" borderId="5" xfId="0" applyFont="1" applyFill="1" applyBorder="1" applyAlignment="1">
      <alignment vertical="center" wrapText="1"/>
    </xf>
    <xf numFmtId="0" fontId="11" fillId="4" borderId="5" xfId="0" applyFont="1" applyFill="1" applyBorder="1" applyAlignment="1">
      <alignment horizontal="center" vertical="center" wrapText="1"/>
    </xf>
    <xf numFmtId="6" fontId="11" fillId="4" borderId="5" xfId="0" applyNumberFormat="1" applyFont="1" applyFill="1" applyBorder="1" applyAlignment="1">
      <alignment vertical="center" wrapText="1"/>
    </xf>
    <xf numFmtId="9" fontId="11" fillId="4" borderId="5" xfId="2" applyFont="1" applyFill="1" applyBorder="1" applyAlignment="1">
      <alignment vertical="center" wrapText="1"/>
    </xf>
    <xf numFmtId="14" fontId="11" fillId="4" borderId="5" xfId="0" applyNumberFormat="1" applyFont="1" applyFill="1" applyBorder="1" applyAlignment="1">
      <alignment horizontal="center" vertical="center" wrapText="1"/>
    </xf>
    <xf numFmtId="164" fontId="11" fillId="4" borderId="5" xfId="2" applyNumberFormat="1" applyFont="1" applyFill="1" applyBorder="1" applyAlignment="1">
      <alignment vertical="center" wrapText="1"/>
    </xf>
    <xf numFmtId="0" fontId="5" fillId="0" borderId="0" xfId="0" applyFont="1" applyAlignment="1">
      <alignment horizontal="left" vertical="top"/>
    </xf>
    <xf numFmtId="0" fontId="12" fillId="5" borderId="5" xfId="0" applyFont="1" applyFill="1" applyBorder="1" applyAlignment="1">
      <alignment vertical="center" wrapText="1"/>
    </xf>
    <xf numFmtId="165" fontId="12" fillId="5" borderId="5" xfId="1" applyNumberFormat="1" applyFont="1" applyFill="1" applyBorder="1" applyAlignment="1">
      <alignment vertical="center" wrapText="1"/>
    </xf>
    <xf numFmtId="9" fontId="12" fillId="5" borderId="5" xfId="2" applyFont="1" applyFill="1" applyBorder="1" applyAlignment="1">
      <alignment vertical="center" wrapText="1"/>
    </xf>
    <xf numFmtId="14" fontId="12" fillId="5" borderId="5" xfId="0" applyNumberFormat="1" applyFont="1" applyFill="1" applyBorder="1" applyAlignment="1">
      <alignment horizontal="center" vertical="center" wrapText="1"/>
    </xf>
    <xf numFmtId="9" fontId="5" fillId="0" borderId="0" xfId="0" applyNumberFormat="1" applyFont="1" applyAlignment="1">
      <alignment horizontal="left" vertical="top"/>
    </xf>
    <xf numFmtId="165" fontId="11" fillId="4" borderId="5" xfId="1" applyNumberFormat="1" applyFont="1" applyFill="1" applyBorder="1" applyAlignment="1">
      <alignment vertical="center" wrapText="1"/>
    </xf>
    <xf numFmtId="0" fontId="13" fillId="6" borderId="5" xfId="0" applyFont="1" applyFill="1" applyBorder="1" applyAlignment="1">
      <alignment vertical="center" wrapText="1"/>
    </xf>
    <xf numFmtId="165" fontId="13" fillId="6" borderId="5" xfId="1" applyNumberFormat="1" applyFont="1" applyFill="1" applyBorder="1" applyAlignment="1">
      <alignment vertical="center" wrapText="1"/>
    </xf>
    <xf numFmtId="9" fontId="13" fillId="6" borderId="5" xfId="2" applyFont="1" applyFill="1" applyBorder="1" applyAlignment="1">
      <alignment vertical="center" wrapText="1"/>
    </xf>
    <xf numFmtId="14" fontId="13" fillId="6" borderId="5" xfId="0" applyNumberFormat="1" applyFont="1" applyFill="1" applyBorder="1" applyAlignment="1">
      <alignment horizontal="center" vertical="center" wrapText="1"/>
    </xf>
    <xf numFmtId="0" fontId="14" fillId="5" borderId="5" xfId="0" applyFont="1" applyFill="1" applyBorder="1" applyAlignment="1">
      <alignment vertical="center" wrapText="1"/>
    </xf>
    <xf numFmtId="165" fontId="14" fillId="5" borderId="5" xfId="1" applyNumberFormat="1" applyFont="1" applyFill="1" applyBorder="1" applyAlignment="1">
      <alignment vertical="center" wrapText="1"/>
    </xf>
    <xf numFmtId="9" fontId="14" fillId="5" borderId="5" xfId="2" applyFont="1" applyFill="1" applyBorder="1" applyAlignment="1">
      <alignment vertical="center" wrapText="1"/>
    </xf>
    <xf numFmtId="14" fontId="14" fillId="5" borderId="5" xfId="0" applyNumberFormat="1" applyFont="1" applyFill="1" applyBorder="1" applyAlignment="1">
      <alignment horizontal="center" vertical="center" wrapText="1"/>
    </xf>
    <xf numFmtId="0" fontId="15" fillId="5" borderId="5" xfId="0" applyFont="1" applyFill="1" applyBorder="1" applyAlignment="1">
      <alignment vertical="center" wrapText="1"/>
    </xf>
    <xf numFmtId="165" fontId="15" fillId="5" borderId="5" xfId="1" applyNumberFormat="1" applyFont="1" applyFill="1" applyBorder="1" applyAlignment="1">
      <alignment vertical="center" wrapText="1"/>
    </xf>
    <xf numFmtId="9" fontId="15" fillId="5" borderId="5" xfId="2" applyFont="1" applyFill="1" applyBorder="1" applyAlignment="1">
      <alignment vertical="center" wrapText="1"/>
    </xf>
    <xf numFmtId="14" fontId="15" fillId="5" borderId="5" xfId="0" applyNumberFormat="1" applyFont="1" applyFill="1" applyBorder="1" applyAlignment="1">
      <alignment horizontal="center" vertical="center" wrapText="1"/>
    </xf>
    <xf numFmtId="0" fontId="16" fillId="6" borderId="5" xfId="0" applyFont="1" applyFill="1" applyBorder="1" applyAlignment="1">
      <alignment vertical="center" wrapText="1"/>
    </xf>
    <xf numFmtId="165" fontId="16" fillId="6" borderId="5" xfId="1" applyNumberFormat="1" applyFont="1" applyFill="1" applyBorder="1" applyAlignment="1">
      <alignment vertical="center" wrapText="1"/>
    </xf>
    <xf numFmtId="9" fontId="16" fillId="6" borderId="5" xfId="2" applyFont="1" applyFill="1" applyBorder="1" applyAlignment="1">
      <alignment vertical="center" wrapText="1"/>
    </xf>
    <xf numFmtId="14" fontId="16" fillId="6" borderId="5" xfId="0" applyNumberFormat="1" applyFont="1" applyFill="1" applyBorder="1" applyAlignment="1">
      <alignment horizontal="center" vertical="center" wrapText="1"/>
    </xf>
    <xf numFmtId="0" fontId="14" fillId="6" borderId="5" xfId="0" applyFont="1" applyFill="1" applyBorder="1" applyAlignment="1">
      <alignment vertical="center" wrapText="1"/>
    </xf>
    <xf numFmtId="165" fontId="14" fillId="6" borderId="5" xfId="1" applyNumberFormat="1" applyFont="1" applyFill="1" applyBorder="1" applyAlignment="1">
      <alignment vertical="center" wrapText="1"/>
    </xf>
    <xf numFmtId="9" fontId="14" fillId="6" borderId="5" xfId="2" applyFont="1" applyFill="1" applyBorder="1" applyAlignment="1">
      <alignment vertical="center" wrapText="1"/>
    </xf>
    <xf numFmtId="14" fontId="14" fillId="6" borderId="5" xfId="0" applyNumberFormat="1" applyFont="1" applyFill="1" applyBorder="1" applyAlignment="1">
      <alignment horizontal="center" vertical="center" wrapText="1"/>
    </xf>
    <xf numFmtId="0" fontId="17" fillId="6" borderId="5" xfId="0" applyFont="1" applyFill="1" applyBorder="1" applyAlignment="1">
      <alignment vertical="center" wrapText="1"/>
    </xf>
    <xf numFmtId="0" fontId="18" fillId="5" borderId="5" xfId="0" applyFont="1" applyFill="1" applyBorder="1" applyAlignment="1">
      <alignment vertical="center" wrapText="1"/>
    </xf>
    <xf numFmtId="165" fontId="18" fillId="5" borderId="5" xfId="1" applyNumberFormat="1" applyFont="1" applyFill="1" applyBorder="1" applyAlignment="1">
      <alignment vertical="center" wrapText="1"/>
    </xf>
    <xf numFmtId="9" fontId="18" fillId="5" borderId="5" xfId="2" applyFont="1" applyFill="1" applyBorder="1" applyAlignment="1">
      <alignment vertical="center" wrapText="1"/>
    </xf>
    <xf numFmtId="14" fontId="18" fillId="5" borderId="5" xfId="0" applyNumberFormat="1" applyFont="1" applyFill="1" applyBorder="1" applyAlignment="1">
      <alignment horizontal="center" vertical="center" wrapText="1"/>
    </xf>
    <xf numFmtId="0" fontId="15" fillId="7" borderId="5" xfId="0" applyFont="1" applyFill="1" applyBorder="1" applyAlignment="1">
      <alignment vertical="center" wrapText="1"/>
    </xf>
    <xf numFmtId="165" fontId="15" fillId="7" borderId="5" xfId="1" applyNumberFormat="1" applyFont="1" applyFill="1" applyBorder="1" applyAlignment="1">
      <alignment vertical="center" wrapText="1"/>
    </xf>
    <xf numFmtId="9" fontId="15" fillId="7" borderId="5" xfId="2" applyFont="1" applyFill="1" applyBorder="1" applyAlignment="1">
      <alignment vertical="center" wrapText="1"/>
    </xf>
    <xf numFmtId="14" fontId="15" fillId="7" borderId="5" xfId="0" applyNumberFormat="1" applyFont="1" applyFill="1" applyBorder="1" applyAlignment="1">
      <alignment horizontal="center" vertical="center" wrapText="1"/>
    </xf>
    <xf numFmtId="166" fontId="11" fillId="4" borderId="5" xfId="2" applyNumberFormat="1" applyFont="1" applyFill="1" applyBorder="1" applyAlignment="1">
      <alignment vertical="center" wrapText="1"/>
    </xf>
    <xf numFmtId="10" fontId="15" fillId="5" borderId="5" xfId="2" applyNumberFormat="1" applyFont="1" applyFill="1" applyBorder="1" applyAlignment="1">
      <alignment vertical="center" wrapText="1"/>
    </xf>
  </cellXfs>
  <cellStyles count="3">
    <cellStyle name="Moneda" xfId="1" builtinId="4"/>
    <cellStyle name="Normal" xfId="0" builtinId="0"/>
    <cellStyle name="Porcentaje"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xdr:col>
      <xdr:colOff>714712</xdr:colOff>
      <xdr:row>2</xdr:row>
      <xdr:rowOff>33618</xdr:rowOff>
    </xdr:from>
    <xdr:to>
      <xdr:col>4</xdr:col>
      <xdr:colOff>290473</xdr:colOff>
      <xdr:row>4</xdr:row>
      <xdr:rowOff>247763</xdr:rowOff>
    </xdr:to>
    <xdr:pic>
      <xdr:nvPicPr>
        <xdr:cNvPr id="2" name="Imagen 1">
          <a:extLst>
            <a:ext uri="{FF2B5EF4-FFF2-40B4-BE49-F238E27FC236}">
              <a16:creationId xmlns:a16="http://schemas.microsoft.com/office/drawing/2014/main" id="{FB17625B-5866-40BE-93D7-CC5A3E744B2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01062" y="462243"/>
          <a:ext cx="699711" cy="738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ecopetrol-my.sharepoint.com/personal/efrain_laverde_ecopetrol_com_co/Documents/2026/data/Dashboard-Proyecto-Obra/IWAKARI/ODS02_Informe_Semanal_N7_28-08-2026.xlsx" TargetMode="External"/><Relationship Id="rId1" Type="http://schemas.openxmlformats.org/officeDocument/2006/relationships/externalLinkPath" Target="ODS02_Informe_Semanal_N7_28-08-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sumen"/>
      <sheetName val="C3"/>
      <sheetName val="Alcance Cimentaciones"/>
      <sheetName val="Curva &quot;S&quot; Avance Físico"/>
      <sheetName val="PDT ODS02 EARLY"/>
      <sheetName val="PDT ODS02 Proyectado"/>
      <sheetName val="PDT ODS02 LATE"/>
      <sheetName val="Cuadro Control"/>
      <sheetName val="Hoja1"/>
      <sheetName val="REAL"/>
    </sheetNames>
    <sheetDataSet>
      <sheetData sheetId="0"/>
      <sheetData sheetId="1"/>
      <sheetData sheetId="2"/>
      <sheetData sheetId="3"/>
      <sheetData sheetId="4"/>
      <sheetData sheetId="5"/>
      <sheetData sheetId="6"/>
      <sheetData sheetId="7">
        <row r="5">
          <cell r="C5">
            <v>0</v>
          </cell>
          <cell r="D5" t="str">
            <v>ODS02_IIWAKAI</v>
          </cell>
          <cell r="E5" t="str">
            <v>357 días</v>
          </cell>
          <cell r="F5">
            <v>0</v>
          </cell>
        </row>
        <row r="6">
          <cell r="C6">
            <v>1</v>
          </cell>
          <cell r="D6" t="str">
            <v xml:space="preserve">   HITO 1: ACTA DE INICIO</v>
          </cell>
          <cell r="E6" t="str">
            <v>0 días</v>
          </cell>
          <cell r="F6">
            <v>0</v>
          </cell>
        </row>
        <row r="7">
          <cell r="C7">
            <v>2</v>
          </cell>
          <cell r="D7" t="str">
            <v xml:space="preserve">   PRELIMINARES GENERALES </v>
          </cell>
          <cell r="E7" t="str">
            <v>21 días</v>
          </cell>
          <cell r="F7">
            <v>0</v>
          </cell>
        </row>
        <row r="8">
          <cell r="C8" t="str">
            <v>2.1</v>
          </cell>
          <cell r="D8" t="str">
            <v xml:space="preserve">      ENTREGA DE DOCUMENTOS HABILITADORES</v>
          </cell>
          <cell r="E8" t="str">
            <v>0 días</v>
          </cell>
          <cell r="F8">
            <v>0</v>
          </cell>
        </row>
        <row r="9">
          <cell r="C9" t="str">
            <v>2.2</v>
          </cell>
          <cell r="D9" t="str">
            <v xml:space="preserve">      ENTREGA DE DOCUMENTACIÓN DE EJECUCION DEL PROYECTO</v>
          </cell>
          <cell r="E9" t="str">
            <v>0 días</v>
          </cell>
          <cell r="F9">
            <v>0</v>
          </cell>
        </row>
        <row r="10">
          <cell r="C10" t="str">
            <v>2.3</v>
          </cell>
          <cell r="D10" t="str">
            <v xml:space="preserve">      REVISIÓN Y RECEPCIÓN DE INGENIERIA</v>
          </cell>
          <cell r="E10" t="str">
            <v>21 días</v>
          </cell>
          <cell r="F10">
            <v>0</v>
          </cell>
        </row>
        <row r="11">
          <cell r="C11">
            <v>3</v>
          </cell>
          <cell r="D11" t="str">
            <v xml:space="preserve">   SOCIALIZACIÓN CON COMUNIDADES </v>
          </cell>
          <cell r="E11" t="str">
            <v>30 días</v>
          </cell>
          <cell r="F11">
            <v>0</v>
          </cell>
        </row>
        <row r="12">
          <cell r="C12" t="str">
            <v>3.1</v>
          </cell>
          <cell r="D12" t="str">
            <v xml:space="preserve">      REUNIONES RIO PATAJATAMA</v>
          </cell>
          <cell r="E12" t="str">
            <v>0 días</v>
          </cell>
          <cell r="F12">
            <v>0</v>
          </cell>
        </row>
        <row r="13">
          <cell r="C13" t="str">
            <v>3.2</v>
          </cell>
          <cell r="D13" t="str">
            <v xml:space="preserve">      REUNIONES RIO ROMANA</v>
          </cell>
          <cell r="E13" t="str">
            <v>0 días</v>
          </cell>
          <cell r="F13">
            <v>0</v>
          </cell>
        </row>
        <row r="14">
          <cell r="C14" t="str">
            <v>3.3</v>
          </cell>
          <cell r="D14" t="str">
            <v xml:space="preserve">      REUNIONES RIO UTKAP</v>
          </cell>
          <cell r="E14" t="str">
            <v>0 días</v>
          </cell>
          <cell r="F14">
            <v>0</v>
          </cell>
        </row>
        <row r="15">
          <cell r="C15" t="str">
            <v>3.4</v>
          </cell>
          <cell r="D15" t="str">
            <v xml:space="preserve">      REUNIONES RIO CALINCHON</v>
          </cell>
          <cell r="E15" t="str">
            <v>0 días</v>
          </cell>
          <cell r="F15">
            <v>0</v>
          </cell>
        </row>
        <row r="16">
          <cell r="C16" t="str">
            <v>3.5</v>
          </cell>
          <cell r="D16" t="str">
            <v xml:space="preserve">      REUNIONES RIO CAÑAVERAL</v>
          </cell>
          <cell r="E16" t="str">
            <v>0 días</v>
          </cell>
          <cell r="F16">
            <v>0</v>
          </cell>
        </row>
        <row r="17">
          <cell r="C17" t="str">
            <v>3.6</v>
          </cell>
          <cell r="D17" t="str">
            <v xml:space="preserve">      REUNIONES RIO KAMUSHIPA</v>
          </cell>
          <cell r="E17" t="str">
            <v>0 días</v>
          </cell>
          <cell r="F17">
            <v>0</v>
          </cell>
        </row>
        <row r="18">
          <cell r="C18" t="str">
            <v>3.7</v>
          </cell>
          <cell r="D18" t="str">
            <v xml:space="preserve">      REUNIONES RIO FLOR DE LA FRONTERA</v>
          </cell>
          <cell r="E18" t="str">
            <v>0 días</v>
          </cell>
          <cell r="F18">
            <v>0</v>
          </cell>
        </row>
        <row r="19">
          <cell r="C19" t="str">
            <v>3.8</v>
          </cell>
          <cell r="D19" t="str">
            <v xml:space="preserve">      REUNIONES RIO JAIKA KALINCHON</v>
          </cell>
          <cell r="E19" t="str">
            <v>0 días</v>
          </cell>
          <cell r="F19">
            <v>0</v>
          </cell>
        </row>
        <row r="20">
          <cell r="C20" t="str">
            <v>3.9</v>
          </cell>
          <cell r="D20" t="str">
            <v xml:space="preserve">      REUNIONES RIO MASHUMANA</v>
          </cell>
          <cell r="E20" t="str">
            <v>0 días</v>
          </cell>
          <cell r="F20">
            <v>0</v>
          </cell>
        </row>
        <row r="21">
          <cell r="C21" t="str">
            <v>3.10</v>
          </cell>
          <cell r="D21" t="str">
            <v xml:space="preserve">      REUNIONES RIO MASHUMANA WANE</v>
          </cell>
          <cell r="E21" t="str">
            <v>0 días</v>
          </cell>
          <cell r="F21">
            <v>0</v>
          </cell>
        </row>
        <row r="22">
          <cell r="C22" t="str">
            <v>3.11</v>
          </cell>
          <cell r="D22" t="str">
            <v xml:space="preserve">      REUNIONES RIO MATAJUNAY</v>
          </cell>
          <cell r="E22" t="str">
            <v>0 días</v>
          </cell>
          <cell r="F22">
            <v>0</v>
          </cell>
        </row>
        <row r="23">
          <cell r="C23" t="str">
            <v>3.12</v>
          </cell>
          <cell r="D23" t="str">
            <v xml:space="preserve">      REUNIONES RIO MANNAJUYAY</v>
          </cell>
          <cell r="E23" t="str">
            <v>0 días</v>
          </cell>
          <cell r="F23">
            <v>0</v>
          </cell>
        </row>
        <row r="24">
          <cell r="C24" t="str">
            <v>3.13</v>
          </cell>
          <cell r="D24" t="str">
            <v xml:space="preserve">      REUNIONES RIO WINPESHI</v>
          </cell>
          <cell r="E24" t="str">
            <v>0 días</v>
          </cell>
          <cell r="F24">
            <v>0</v>
          </cell>
        </row>
        <row r="25">
          <cell r="C25" t="str">
            <v>3.14</v>
          </cell>
          <cell r="D25" t="str">
            <v xml:space="preserve">      REUNIONES RIO JAMUCHERRU</v>
          </cell>
          <cell r="E25" t="str">
            <v>0 días</v>
          </cell>
          <cell r="F25">
            <v>0</v>
          </cell>
        </row>
        <row r="26">
          <cell r="C26">
            <v>4</v>
          </cell>
          <cell r="D26" t="str">
            <v xml:space="preserve">   PUBLICACIÓN DE VACANTES/CONTRATACIÓN DE PERSONAL </v>
          </cell>
          <cell r="E26" t="str">
            <v>21 días</v>
          </cell>
          <cell r="F26">
            <v>0</v>
          </cell>
        </row>
        <row r="27">
          <cell r="C27">
            <v>5</v>
          </cell>
          <cell r="D27" t="str">
            <v xml:space="preserve">   SUMINISTRO DE MATERIALES</v>
          </cell>
          <cell r="E27" t="str">
            <v>21 días</v>
          </cell>
          <cell r="F27">
            <v>0</v>
          </cell>
        </row>
        <row r="28">
          <cell r="C28" t="str">
            <v>5.1</v>
          </cell>
          <cell r="D28" t="str">
            <v xml:space="preserve">      SUMINISTRO DE MATERIALES CIVILES: ANCHOR CAGE (CLIENTE)</v>
          </cell>
          <cell r="E28" t="str">
            <v>14 días</v>
          </cell>
          <cell r="F28">
            <v>0</v>
          </cell>
        </row>
        <row r="29">
          <cell r="C29" t="str">
            <v>5.2</v>
          </cell>
          <cell r="D29" t="str">
            <v xml:space="preserve">      SUMINISTRO DE MATERIALES CIVILES: ACEROS DE REFUERSO</v>
          </cell>
          <cell r="E29" t="str">
            <v>7 días</v>
          </cell>
          <cell r="F29">
            <v>0</v>
          </cell>
        </row>
        <row r="30">
          <cell r="C30">
            <v>6</v>
          </cell>
          <cell r="D30" t="str">
            <v xml:space="preserve">   HITO 2: INICIO DE ACTIVIDADES EN CAMPO </v>
          </cell>
          <cell r="E30" t="str">
            <v>0 días</v>
          </cell>
          <cell r="F30">
            <v>0</v>
          </cell>
        </row>
        <row r="31">
          <cell r="C31">
            <v>7</v>
          </cell>
          <cell r="D31" t="str">
            <v xml:space="preserve">   PISCINA INDUSTRIAL</v>
          </cell>
          <cell r="E31" t="str">
            <v>32 días</v>
          </cell>
          <cell r="F31">
            <v>0</v>
          </cell>
        </row>
        <row r="32">
          <cell r="C32" t="str">
            <v>7.1</v>
          </cell>
          <cell r="D32" t="str">
            <v xml:space="preserve">      MOVIMIENTO DE TIERRAS Y RECONFORMACION PISCINA INDUSTRIAL</v>
          </cell>
          <cell r="E32" t="str">
            <v>14 días</v>
          </cell>
          <cell r="F32">
            <v>0</v>
          </cell>
        </row>
        <row r="33">
          <cell r="C33" t="str">
            <v>7.2</v>
          </cell>
          <cell r="D33" t="str">
            <v xml:space="preserve">      INSTALACION DE GEOMEMBRANA PISCINA INDUSTRIAL</v>
          </cell>
          <cell r="E33" t="str">
            <v>10 días</v>
          </cell>
          <cell r="F33">
            <v>0</v>
          </cell>
        </row>
        <row r="34">
          <cell r="C34" t="str">
            <v>7.3</v>
          </cell>
          <cell r="D34" t="str">
            <v xml:space="preserve">      CONSTRUCCION DE CERRAMIENTO EN ALAMBRE DE PUA PISCINA INDUSTRIAL</v>
          </cell>
          <cell r="E34" t="str">
            <v>14 días</v>
          </cell>
          <cell r="F34">
            <v>0</v>
          </cell>
        </row>
        <row r="35">
          <cell r="C35" t="str">
            <v>7.4</v>
          </cell>
          <cell r="D35" t="str">
            <v xml:space="preserve">      CONSTRUCCION CUNETA PERIMETRAL PISCINA INDUSTRIAL</v>
          </cell>
          <cell r="E35" t="str">
            <v>8 días</v>
          </cell>
          <cell r="F35">
            <v>0</v>
          </cell>
          <cell r="J35">
            <v>461790779.99999994</v>
          </cell>
        </row>
        <row r="36">
          <cell r="D36" t="str">
            <v xml:space="preserve"> INSPECCION, REPARACION Y MANTENIMIENTO DE PISCINA INDUSTRIAL</v>
          </cell>
          <cell r="F36" t="str">
            <v>GB</v>
          </cell>
          <cell r="G36">
            <v>1</v>
          </cell>
          <cell r="H36">
            <v>334631000</v>
          </cell>
          <cell r="I36">
            <v>334631000</v>
          </cell>
          <cell r="J36">
            <v>461790779.99999994</v>
          </cell>
        </row>
        <row r="37">
          <cell r="C37">
            <v>8</v>
          </cell>
          <cell r="D37" t="str">
            <v xml:space="preserve">   ZONAS DE CAMPAMENTOS - FAENAS</v>
          </cell>
          <cell r="E37" t="str">
            <v>305 días</v>
          </cell>
          <cell r="F37">
            <v>0</v>
          </cell>
        </row>
        <row r="38">
          <cell r="C38" t="str">
            <v>8.1</v>
          </cell>
          <cell r="D38" t="str">
            <v xml:space="preserve">      CONFORMACIÓN DEL AREA ZONAS DE CAMPAMENTOS - FAENAS</v>
          </cell>
          <cell r="E38" t="str">
            <v>14 días</v>
          </cell>
          <cell r="F38">
            <v>0</v>
          </cell>
          <cell r="J38">
            <v>8694000</v>
          </cell>
        </row>
        <row r="39">
          <cell r="D39" t="str">
            <v>SUMINISTRO DE COMISION TOPOGRAFICA
 (incluyede GPS, Estación Total, tránsitos, distanciómetros, niveles de precisión, miras, prismas, jalones, plomadas, cintas métricas, etc., un cadenero primero , un cadenero segundo, ingeniero topógrafo/topógrafo con matricula vigente, insumos para ralizar la actividad, licencias de software utilizado para la ejecución de los trabajos, movilización de personal equipos y entregables en archivos magnéticos)</v>
          </cell>
          <cell r="F39" t="str">
            <v>Mes</v>
          </cell>
          <cell r="G39">
            <v>0.2</v>
          </cell>
          <cell r="H39">
            <v>31500000</v>
          </cell>
          <cell r="I39">
            <v>6300000</v>
          </cell>
          <cell r="J39">
            <v>8694000</v>
          </cell>
        </row>
        <row r="40">
          <cell r="C40" t="str">
            <v>8.2</v>
          </cell>
          <cell r="D40" t="str">
            <v xml:space="preserve">      INSTALACIÓN DE CONTENEDORES Y EQUIPOS ZONAS DE CAMPAMENTOS - FAENAS</v>
          </cell>
          <cell r="E40" t="str">
            <v>10 días</v>
          </cell>
          <cell r="F40">
            <v>0</v>
          </cell>
          <cell r="J40">
            <v>5260179.1199999992</v>
          </cell>
        </row>
        <row r="41">
          <cell r="D41" t="str">
            <v xml:space="preserve">ALQUILER DE CONTENEDOR 40 FT BODEGA	</v>
          </cell>
          <cell r="F41" t="str">
            <v>MES</v>
          </cell>
          <cell r="G41">
            <v>1</v>
          </cell>
          <cell r="H41">
            <v>3811724</v>
          </cell>
          <cell r="I41">
            <v>3811724</v>
          </cell>
          <cell r="J41">
            <v>5260179.1199999992</v>
          </cell>
        </row>
        <row r="42">
          <cell r="C42" t="str">
            <v>8.3</v>
          </cell>
          <cell r="D42" t="str">
            <v xml:space="preserve">      INSTALACIÓN DE LAS FACILIDADES ELECTRICAS E HIDRÚALICAS DE LOS CONTENEDORES ZONAS DE CAMPAMENTOS - FAENAS</v>
          </cell>
          <cell r="E42" t="str">
            <v>8 días</v>
          </cell>
          <cell r="F42">
            <v>0</v>
          </cell>
          <cell r="J42">
            <v>70893128.159999996</v>
          </cell>
        </row>
        <row r="43">
          <cell r="D43" t="str">
            <v>ALQUILER GENERADOR ELECTRICO 150 KVA</v>
          </cell>
          <cell r="F43" t="str">
            <v>MES</v>
          </cell>
          <cell r="G43">
            <v>1</v>
          </cell>
          <cell r="H43">
            <v>48667800</v>
          </cell>
          <cell r="I43">
            <v>48667800</v>
          </cell>
          <cell r="J43">
            <v>67161564</v>
          </cell>
        </row>
        <row r="44">
          <cell r="D44" t="str">
            <v>ALQUILER BATERÍA DE BAÑOS CON SERVICIO DE ASEO</v>
          </cell>
          <cell r="F44" t="str">
            <v>MES</v>
          </cell>
          <cell r="G44">
            <v>1</v>
          </cell>
          <cell r="H44">
            <v>2704032</v>
          </cell>
          <cell r="I44">
            <v>2704032</v>
          </cell>
          <cell r="J44">
            <v>3731564.1599999997</v>
          </cell>
        </row>
        <row r="45">
          <cell r="C45" t="str">
            <v>8.4</v>
          </cell>
          <cell r="D45" t="str">
            <v xml:space="preserve">      ADMINISTRACIÓN Y MANTENIMIENTO DE CAMPAMENTOS</v>
          </cell>
          <cell r="E45" t="str">
            <v>280 días</v>
          </cell>
          <cell r="F45">
            <v>0</v>
          </cell>
          <cell r="J45">
            <v>8278790483.8199987</v>
          </cell>
        </row>
        <row r="46">
          <cell r="D46" t="str">
            <v xml:space="preserve"> ALQUILER DE CONTENEDOR 40 FT SALA REUINIONES / OFICINA</v>
          </cell>
          <cell r="F46" t="str">
            <v>MES</v>
          </cell>
          <cell r="G46">
            <v>405</v>
          </cell>
          <cell r="H46">
            <v>4252868</v>
          </cell>
          <cell r="I46">
            <v>1722411540</v>
          </cell>
          <cell r="J46">
            <v>2376927925.1999998</v>
          </cell>
        </row>
        <row r="47">
          <cell r="D47" t="str">
            <v xml:space="preserve">ALQUILER DE CONTENEDOR 40 FT CAFETERIA	</v>
          </cell>
          <cell r="F47" t="str">
            <v>MES</v>
          </cell>
          <cell r="G47">
            <v>75</v>
          </cell>
          <cell r="H47">
            <v>4252868</v>
          </cell>
          <cell r="I47">
            <v>318965100</v>
          </cell>
          <cell r="J47">
            <v>440171837.99999994</v>
          </cell>
        </row>
        <row r="48">
          <cell r="D48" t="str">
            <v>ALQUILER DE CONTENEDOR 40 FT ATENCIÓN EMERGENCIA</v>
          </cell>
          <cell r="F48" t="str">
            <v>MES</v>
          </cell>
          <cell r="G48">
            <v>15</v>
          </cell>
          <cell r="H48">
            <v>4473440</v>
          </cell>
          <cell r="I48">
            <v>67101600</v>
          </cell>
          <cell r="J48">
            <v>92600208</v>
          </cell>
        </row>
        <row r="49">
          <cell r="D49" t="str">
            <v xml:space="preserve">ALQUILER DE CONTENEDOR 40 FT BODEGA	</v>
          </cell>
          <cell r="F49" t="str">
            <v>MES</v>
          </cell>
          <cell r="G49">
            <v>14</v>
          </cell>
          <cell r="H49">
            <v>3811724</v>
          </cell>
          <cell r="I49">
            <v>53364136</v>
          </cell>
          <cell r="J49">
            <v>73642507.679999992</v>
          </cell>
        </row>
        <row r="50">
          <cell r="D50" t="str">
            <v>ALQUILER DE CONTENEDOR 40 FT CASILLEROS Y VESTIERES</v>
          </cell>
          <cell r="F50" t="str">
            <v>MES</v>
          </cell>
          <cell r="G50">
            <v>30</v>
          </cell>
          <cell r="H50">
            <v>3811724</v>
          </cell>
          <cell r="I50">
            <v>114351720</v>
          </cell>
          <cell r="J50">
            <v>157805373.59999999</v>
          </cell>
        </row>
        <row r="51">
          <cell r="D51" t="str">
            <v>ALQUILER GENERADOR ELECTRICO 150 KVA</v>
          </cell>
          <cell r="F51" t="str">
            <v>MES</v>
          </cell>
          <cell r="G51">
            <v>14</v>
          </cell>
          <cell r="H51">
            <v>48667800</v>
          </cell>
          <cell r="I51">
            <v>681349200</v>
          </cell>
          <cell r="J51">
            <v>940261895.99999988</v>
          </cell>
        </row>
        <row r="52">
          <cell r="D52" t="str">
            <v>ALQUILER BATERÍA DE BAÑOS CON SERVICIO DE ASEO</v>
          </cell>
          <cell r="F52" t="str">
            <v>MES</v>
          </cell>
          <cell r="G52">
            <v>29</v>
          </cell>
          <cell r="H52">
            <v>2704032</v>
          </cell>
          <cell r="I52">
            <v>78416928</v>
          </cell>
          <cell r="J52">
            <v>108215360.63999999</v>
          </cell>
        </row>
        <row r="53">
          <cell r="D53" t="str">
            <v>SERVICIO DE AMBULANCIA TIPO TAM</v>
          </cell>
          <cell r="F53" t="str">
            <v>MES</v>
          </cell>
          <cell r="G53">
            <v>15</v>
          </cell>
          <cell r="H53">
            <v>75157500</v>
          </cell>
          <cell r="I53">
            <v>1127362500</v>
          </cell>
          <cell r="J53">
            <v>1555760249.9999998</v>
          </cell>
        </row>
        <row r="54">
          <cell r="D54" t="str">
            <v>ALQUILER TANQUE ALMACENAMIENTO AGUA 50 M3</v>
          </cell>
          <cell r="F54" t="str">
            <v>MES</v>
          </cell>
          <cell r="G54">
            <v>30</v>
          </cell>
          <cell r="H54">
            <v>6743000</v>
          </cell>
          <cell r="I54">
            <v>202290000</v>
          </cell>
          <cell r="J54">
            <v>279160200</v>
          </cell>
        </row>
        <row r="55">
          <cell r="D55" t="str">
            <v>SUMINISTRO DE AGUA PARA CAMPAMENTO</v>
          </cell>
          <cell r="F55" t="str">
            <v>m3</v>
          </cell>
          <cell r="G55">
            <v>2700</v>
          </cell>
          <cell r="H55">
            <v>360618</v>
          </cell>
          <cell r="I55">
            <v>973668600</v>
          </cell>
          <cell r="J55">
            <v>1343662668</v>
          </cell>
        </row>
        <row r="56">
          <cell r="D56" t="str">
            <v>SERVICIO DE VIGILACIA DEL CAMPAMENTO 24 HORAS EN EL AREA DE FAENAS</v>
          </cell>
          <cell r="F56" t="str">
            <v>MES</v>
          </cell>
          <cell r="G56">
            <v>15</v>
          </cell>
          <cell r="H56">
            <v>33500000</v>
          </cell>
          <cell r="I56">
            <v>502500000</v>
          </cell>
          <cell r="J56">
            <v>693450000</v>
          </cell>
        </row>
        <row r="57">
          <cell r="D57" t="str">
            <v>SERVICIO DE ASEO EN EL AREA DE CAMPAMENTOS (FAENAS)</v>
          </cell>
          <cell r="F57" t="str">
            <v>MES</v>
          </cell>
          <cell r="G57">
            <v>15</v>
          </cell>
          <cell r="H57">
            <v>10489481</v>
          </cell>
          <cell r="I57">
            <v>157342215</v>
          </cell>
          <cell r="J57">
            <v>217132256.69999999</v>
          </cell>
        </row>
        <row r="58">
          <cell r="C58">
            <v>9</v>
          </cell>
          <cell r="D58" t="str">
            <v xml:space="preserve">   EJECUCIÓN DE ACTIVIDADES DE CIMENTACIONES EXISTENTES</v>
          </cell>
          <cell r="E58" t="str">
            <v>101 días</v>
          </cell>
          <cell r="F58">
            <v>0</v>
          </cell>
        </row>
        <row r="59">
          <cell r="C59" t="str">
            <v>9.1</v>
          </cell>
          <cell r="D59" t="str">
            <v xml:space="preserve">      RECALCE 1 WP44</v>
          </cell>
          <cell r="E59" t="str">
            <v>56 días</v>
          </cell>
          <cell r="F59">
            <v>0</v>
          </cell>
        </row>
        <row r="60">
          <cell r="C60" t="str">
            <v>9.1.1</v>
          </cell>
          <cell r="D60" t="str">
            <v xml:space="preserve">         LOCALIZACIÓN DEL ACERO WP44</v>
          </cell>
          <cell r="E60" t="str">
            <v>1 día</v>
          </cell>
          <cell r="F60">
            <v>0</v>
          </cell>
          <cell r="J60">
            <v>90662604.648000002</v>
          </cell>
        </row>
        <row r="61">
          <cell r="D61" t="str">
            <v>RECALCE DE CIMENTACIONES AEROGENERADORES EXISTENTES</v>
          </cell>
          <cell r="F61" t="str">
            <v>Und</v>
          </cell>
          <cell r="G61">
            <v>0.11</v>
          </cell>
          <cell r="H61">
            <v>597250360</v>
          </cell>
          <cell r="I61">
            <v>65697539.600000001</v>
          </cell>
          <cell r="J61">
            <v>90662604.648000002</v>
          </cell>
        </row>
        <row r="62">
          <cell r="C62" t="str">
            <v>9.1.2</v>
          </cell>
          <cell r="D62" t="str">
            <v xml:space="preserve">         PERFORACION, ESCARIFICADO Y LIMPIEZA DEL RECUBRIMIENTO WP44</v>
          </cell>
          <cell r="E62" t="str">
            <v>4 días</v>
          </cell>
          <cell r="F62">
            <v>0</v>
          </cell>
          <cell r="J62">
            <v>230777539.104</v>
          </cell>
        </row>
        <row r="63">
          <cell r="D63" t="str">
            <v>RECALCE DE CIMENTACIONES AEROGENERADORES EXISTENTES</v>
          </cell>
          <cell r="F63" t="str">
            <v>Und</v>
          </cell>
          <cell r="G63">
            <v>0.28000000000000003</v>
          </cell>
          <cell r="H63">
            <v>597250360</v>
          </cell>
          <cell r="I63">
            <v>167230100.80000001</v>
          </cell>
          <cell r="J63">
            <v>230777539.104</v>
          </cell>
        </row>
        <row r="64">
          <cell r="C64" t="str">
            <v>9.1.3</v>
          </cell>
          <cell r="D64" t="str">
            <v xml:space="preserve">         CORTE Y FIGURADO DE ACERO WP44</v>
          </cell>
          <cell r="E64" t="str">
            <v>2 días</v>
          </cell>
          <cell r="F64">
            <v>0</v>
          </cell>
          <cell r="J64">
            <v>82420549.679999992</v>
          </cell>
        </row>
        <row r="65">
          <cell r="D65" t="str">
            <v>RECALCE DE CIMENTACIONES AEROGENERADORES EXISTENTES</v>
          </cell>
          <cell r="F65" t="str">
            <v>Und</v>
          </cell>
          <cell r="G65">
            <v>0.1</v>
          </cell>
          <cell r="H65">
            <v>597250360</v>
          </cell>
          <cell r="I65">
            <v>59725036</v>
          </cell>
          <cell r="J65">
            <v>82420549.679999992</v>
          </cell>
        </row>
        <row r="66">
          <cell r="C66" t="str">
            <v>9.1.4</v>
          </cell>
          <cell r="D66" t="str">
            <v xml:space="preserve">         APLICACIÓN DE EPOXICO Y FIJACIÓN DEL ACERO WP44</v>
          </cell>
          <cell r="E66" t="str">
            <v>4 días</v>
          </cell>
          <cell r="F66">
            <v>0</v>
          </cell>
          <cell r="J66">
            <v>230777539.104</v>
          </cell>
        </row>
        <row r="67">
          <cell r="D67" t="str">
            <v>RECALCE DE CIMENTACIONES AEROGENERADORES EXISTENTES</v>
          </cell>
          <cell r="F67" t="str">
            <v>Und</v>
          </cell>
          <cell r="G67">
            <v>0.28000000000000003</v>
          </cell>
          <cell r="H67">
            <v>597250360</v>
          </cell>
          <cell r="I67">
            <v>167230100.80000001</v>
          </cell>
          <cell r="J67">
            <v>230777539.104</v>
          </cell>
        </row>
        <row r="68">
          <cell r="C68" t="str">
            <v>9.1.5</v>
          </cell>
          <cell r="D68" t="str">
            <v xml:space="preserve">         ENCONFRADO WP44</v>
          </cell>
          <cell r="E68" t="str">
            <v>1 día</v>
          </cell>
          <cell r="F68">
            <v>0</v>
          </cell>
          <cell r="J68">
            <v>49452329.807999998</v>
          </cell>
        </row>
        <row r="69">
          <cell r="D69" t="str">
            <v>RECALCE DE CIMENTACIONES AEROGENERADORES EXISTENTES</v>
          </cell>
          <cell r="F69" t="str">
            <v>Und</v>
          </cell>
          <cell r="G69">
            <v>0.06</v>
          </cell>
          <cell r="H69">
            <v>597250360</v>
          </cell>
          <cell r="I69">
            <v>35835021.600000001</v>
          </cell>
          <cell r="J69">
            <v>49452329.807999998</v>
          </cell>
        </row>
        <row r="70">
          <cell r="C70" t="str">
            <v>9.1.6</v>
          </cell>
          <cell r="D70" t="str">
            <v xml:space="preserve">         VACIADO DE CONCRETO (APLICACIÓN PUENTE DE ADHERENCIA) WP44</v>
          </cell>
          <cell r="E70" t="str">
            <v>1 día</v>
          </cell>
          <cell r="F70">
            <v>0</v>
          </cell>
          <cell r="J70">
            <v>140114934.456</v>
          </cell>
        </row>
        <row r="71">
          <cell r="D71" t="str">
            <v>RECALCE DE CIMENTACIONES AEROGENERADORES EXISTENTES</v>
          </cell>
          <cell r="F71" t="str">
            <v>Und</v>
          </cell>
          <cell r="G71">
            <v>0.17</v>
          </cell>
          <cell r="H71">
            <v>597250360</v>
          </cell>
          <cell r="I71">
            <v>101532561.2</v>
          </cell>
          <cell r="J71">
            <v>140114934.456</v>
          </cell>
        </row>
        <row r="72">
          <cell r="C72" t="str">
            <v>9.1.7</v>
          </cell>
          <cell r="D72" t="str">
            <v xml:space="preserve"> ADECUACIONES E INSTALACIONES ELECTRICAS REQUERIDAS WP44</v>
          </cell>
          <cell r="J72">
            <v>52335715.768702812</v>
          </cell>
        </row>
        <row r="73">
          <cell r="D73" t="str">
            <v>ARQUETA EN HORMIGON PARA MEDIA TENSION - EMPALMES (500 MT)</v>
          </cell>
          <cell r="F73" t="str">
            <v>Und</v>
          </cell>
          <cell r="G73">
            <v>1</v>
          </cell>
          <cell r="H73">
            <v>12275310.999985719</v>
          </cell>
          <cell r="I73">
            <v>12275310.999985719</v>
          </cell>
          <cell r="J73">
            <v>16939929.179980289</v>
          </cell>
        </row>
        <row r="74">
          <cell r="D74" t="str">
            <v>ARQUETA EN POLIPROPILENO</v>
          </cell>
          <cell r="F74" t="str">
            <v>Und</v>
          </cell>
          <cell r="G74">
            <v>1</v>
          </cell>
          <cell r="H74">
            <v>6068599.9996856553</v>
          </cell>
          <cell r="I74">
            <v>6068599.9996856553</v>
          </cell>
          <cell r="J74">
            <v>8374667.9995662039</v>
          </cell>
        </row>
        <row r="75">
          <cell r="D75" t="str">
            <v>SUMINISTRO E INSTALACIÓN DE PLATINA</v>
          </cell>
          <cell r="F75" t="str">
            <v>Und</v>
          </cell>
          <cell r="G75">
            <v>1</v>
          </cell>
          <cell r="H75">
            <v>361570</v>
          </cell>
          <cell r="I75">
            <v>361570</v>
          </cell>
          <cell r="J75">
            <v>498966.6</v>
          </cell>
        </row>
        <row r="76">
          <cell r="D76" t="str">
            <v>SUMINISTRO E INSTALACIÓN DE VARILLA</v>
          </cell>
          <cell r="F76" t="str">
            <v>Und</v>
          </cell>
          <cell r="G76">
            <v>1</v>
          </cell>
          <cell r="H76">
            <v>398933</v>
          </cell>
          <cell r="I76">
            <v>398933</v>
          </cell>
          <cell r="J76">
            <v>550527.53999999992</v>
          </cell>
        </row>
        <row r="77">
          <cell r="D77" t="str">
            <v>SUMINISTRO E INSTALACIÓN DE ARQUETA PARA INSPECCIÓN DE PICAS EN PUESTA A TIERRA SIN FONDO</v>
          </cell>
          <cell r="F77" t="str">
            <v>Und</v>
          </cell>
          <cell r="G77">
            <v>1</v>
          </cell>
          <cell r="H77">
            <v>14275700</v>
          </cell>
          <cell r="I77">
            <v>14275700</v>
          </cell>
          <cell r="J77">
            <v>19700466</v>
          </cell>
        </row>
        <row r="78">
          <cell r="D78" t="str">
            <v>SUMINISTRO E INSTALACIÓN DE SOLDADURA EXOTERMICA</v>
          </cell>
          <cell r="F78" t="str">
            <v>Und</v>
          </cell>
          <cell r="G78">
            <v>2.8000000000000003</v>
          </cell>
          <cell r="H78">
            <v>185231</v>
          </cell>
          <cell r="I78">
            <v>518646.80000000005</v>
          </cell>
          <cell r="J78">
            <v>715732.58400000003</v>
          </cell>
        </row>
        <row r="79">
          <cell r="D79" t="str">
            <v>SUMINISTRO E INSTALACIÓN DE GRAPA DE ALEACIÓN RICA EN COBRE (LATÓN) MODELO KZ</v>
          </cell>
          <cell r="F79" t="str">
            <v>Und</v>
          </cell>
          <cell r="G79">
            <v>1</v>
          </cell>
          <cell r="H79">
            <v>292083</v>
          </cell>
          <cell r="I79">
            <v>292083</v>
          </cell>
          <cell r="J79">
            <v>403074.54</v>
          </cell>
        </row>
        <row r="80">
          <cell r="D80" t="str">
            <v xml:space="preserve">INSTALACIÓN DE CABLE DE COBRE TRENZADO DESNUDO DE 50 mm2 </v>
          </cell>
          <cell r="F80" t="str">
            <v>ML</v>
          </cell>
          <cell r="G80">
            <v>113.1390243902439</v>
          </cell>
          <cell r="H80">
            <v>33000.000989065411</v>
          </cell>
          <cell r="I80">
            <v>3733587.9167799447</v>
          </cell>
          <cell r="J80">
            <v>5152351.3251563236</v>
          </cell>
        </row>
        <row r="81">
          <cell r="C81" t="str">
            <v>9.1.8</v>
          </cell>
          <cell r="D81" t="str">
            <v xml:space="preserve">         INSTALACION DE GROUT Y MORTERO AUTOCOMPACTANTE DE ALTA RESISTENCIA WP44</v>
          </cell>
          <cell r="E81" t="str">
            <v>2 días</v>
          </cell>
          <cell r="F81">
            <v>0</v>
          </cell>
          <cell r="J81">
            <v>46410609.014634147</v>
          </cell>
        </row>
        <row r="82">
          <cell r="D82" t="str">
            <v>GROUT Y  MORTERO AUTOCOMPACTANTE DE ALTA RESISTENCIA C80/95 (EN206-1)</v>
          </cell>
          <cell r="F82" t="str">
            <v>lt</v>
          </cell>
          <cell r="G82">
            <v>530.73170731707319</v>
          </cell>
          <cell r="H82">
            <v>63367</v>
          </cell>
          <cell r="I82">
            <v>33630876.097560979</v>
          </cell>
          <cell r="J82">
            <v>46410609.014634147</v>
          </cell>
        </row>
        <row r="83">
          <cell r="C83" t="str">
            <v>9.2</v>
          </cell>
          <cell r="D83" t="str">
            <v xml:space="preserve">      RECALCE 2 WP45</v>
          </cell>
          <cell r="E83" t="str">
            <v>53 días</v>
          </cell>
          <cell r="F83">
            <v>0</v>
          </cell>
        </row>
        <row r="84">
          <cell r="C84" t="str">
            <v>9.2.1</v>
          </cell>
          <cell r="D84" t="str">
            <v xml:space="preserve">         LOCALIZACIÓN DEL ACERO WP45</v>
          </cell>
          <cell r="E84" t="str">
            <v>1 día</v>
          </cell>
          <cell r="F84">
            <v>0</v>
          </cell>
          <cell r="J84">
            <v>90662604.648000002</v>
          </cell>
        </row>
        <row r="85">
          <cell r="D85" t="str">
            <v>RECALCE DE CIMENTACIONES AEROGENERADORES EXISTENTES</v>
          </cell>
          <cell r="F85" t="str">
            <v>Und</v>
          </cell>
          <cell r="G85">
            <v>0.11</v>
          </cell>
          <cell r="H85">
            <v>597250360</v>
          </cell>
          <cell r="I85">
            <v>65697539.600000001</v>
          </cell>
          <cell r="J85">
            <v>90662604.648000002</v>
          </cell>
        </row>
        <row r="86">
          <cell r="C86" t="str">
            <v>9.2.2</v>
          </cell>
          <cell r="D86" t="str">
            <v xml:space="preserve">         PERFORACION, ESCARIFICADO Y LIMPIEZA DEL RECUBRIMIENTO WP45</v>
          </cell>
          <cell r="E86" t="str">
            <v>4 días</v>
          </cell>
          <cell r="F86">
            <v>0</v>
          </cell>
          <cell r="J86">
            <v>230777539.104</v>
          </cell>
        </row>
        <row r="87">
          <cell r="D87" t="str">
            <v>RECALCE DE CIMENTACIONES AEROGENERADORES EXISTENTES</v>
          </cell>
          <cell r="F87" t="str">
            <v>Und</v>
          </cell>
          <cell r="G87">
            <v>0.28000000000000003</v>
          </cell>
          <cell r="H87">
            <v>597250360</v>
          </cell>
          <cell r="I87">
            <v>167230100.80000001</v>
          </cell>
          <cell r="J87">
            <v>230777539.104</v>
          </cell>
        </row>
        <row r="88">
          <cell r="C88" t="str">
            <v>9.2.3</v>
          </cell>
          <cell r="D88" t="str">
            <v xml:space="preserve">         CORTE Y FIGURADO DE ACERO WP45</v>
          </cell>
          <cell r="E88" t="str">
            <v>2 días</v>
          </cell>
          <cell r="F88">
            <v>0</v>
          </cell>
          <cell r="J88">
            <v>82420549.679999992</v>
          </cell>
        </row>
        <row r="89">
          <cell r="D89" t="str">
            <v>RECALCE DE CIMENTACIONES AEROGENERADORES EXISTENTES</v>
          </cell>
          <cell r="F89" t="str">
            <v>Und</v>
          </cell>
          <cell r="G89">
            <v>0.1</v>
          </cell>
          <cell r="H89">
            <v>597250360</v>
          </cell>
          <cell r="I89">
            <v>59725036</v>
          </cell>
          <cell r="J89">
            <v>82420549.679999992</v>
          </cell>
        </row>
        <row r="90">
          <cell r="C90" t="str">
            <v>9.2.4</v>
          </cell>
          <cell r="D90" t="str">
            <v xml:space="preserve">         APLICACIÓN DE EPOXICO Y FIJACIÓN DEL ACERO WP45</v>
          </cell>
          <cell r="E90" t="str">
            <v>4 días</v>
          </cell>
          <cell r="F90">
            <v>0</v>
          </cell>
          <cell r="J90">
            <v>230777539.104</v>
          </cell>
        </row>
        <row r="91">
          <cell r="D91" t="str">
            <v>RECALCE DE CIMENTACIONES AEROGENERADORES EXISTENTES</v>
          </cell>
          <cell r="F91" t="str">
            <v>Und</v>
          </cell>
          <cell r="G91">
            <v>0.28000000000000003</v>
          </cell>
          <cell r="H91">
            <v>597250360</v>
          </cell>
          <cell r="I91">
            <v>167230100.80000001</v>
          </cell>
          <cell r="J91">
            <v>230777539.104</v>
          </cell>
        </row>
        <row r="92">
          <cell r="C92" t="str">
            <v>9.2.5</v>
          </cell>
          <cell r="D92" t="str">
            <v xml:space="preserve">         ENCONFRADO WP45</v>
          </cell>
          <cell r="E92" t="str">
            <v>1 día</v>
          </cell>
          <cell r="F92">
            <v>0</v>
          </cell>
          <cell r="J92">
            <v>49452329.807999998</v>
          </cell>
        </row>
        <row r="93">
          <cell r="D93" t="str">
            <v>RECALCE DE CIMENTACIONES AEROGENERADORES EXISTENTES</v>
          </cell>
          <cell r="F93" t="str">
            <v>Und</v>
          </cell>
          <cell r="G93">
            <v>0.06</v>
          </cell>
          <cell r="H93">
            <v>597250360</v>
          </cell>
          <cell r="I93">
            <v>35835021.600000001</v>
          </cell>
          <cell r="J93">
            <v>49452329.807999998</v>
          </cell>
        </row>
        <row r="94">
          <cell r="C94" t="str">
            <v>9.2.6</v>
          </cell>
          <cell r="D94" t="str">
            <v xml:space="preserve">         VACIADO DE CONCRETO (APLICACIÓN PUENTE DE ADHERENCIA) WP45</v>
          </cell>
          <cell r="E94" t="str">
            <v>1 día</v>
          </cell>
          <cell r="F94">
            <v>0</v>
          </cell>
          <cell r="J94">
            <v>140114934.456</v>
          </cell>
        </row>
        <row r="95">
          <cell r="D95" t="str">
            <v>RECALCE DE CIMENTACIONES AEROGENERADORES EXISTENTES</v>
          </cell>
          <cell r="F95" t="str">
            <v>Und</v>
          </cell>
          <cell r="G95">
            <v>0.17</v>
          </cell>
          <cell r="H95">
            <v>597250360</v>
          </cell>
          <cell r="I95">
            <v>101532561.2</v>
          </cell>
          <cell r="J95">
            <v>140114934.456</v>
          </cell>
        </row>
        <row r="96">
          <cell r="C96" t="str">
            <v>9.2.7</v>
          </cell>
          <cell r="D96" t="str">
            <v xml:space="preserve"> ADECUACIONES E INSTALACIONES ELECTRICAS REQUERIDAS WP44</v>
          </cell>
          <cell r="J96">
            <v>52335715.768702812</v>
          </cell>
        </row>
        <row r="97">
          <cell r="D97" t="str">
            <v>ARQUETA EN HORMIGON PARA MEDIA TENSION - EMPALMES (500 MT)</v>
          </cell>
          <cell r="F97" t="str">
            <v>Und</v>
          </cell>
          <cell r="G97">
            <v>1</v>
          </cell>
          <cell r="H97">
            <v>12275310.999985719</v>
          </cell>
          <cell r="I97">
            <v>12275310.999985719</v>
          </cell>
          <cell r="J97">
            <v>16939929.179980289</v>
          </cell>
        </row>
        <row r="98">
          <cell r="D98" t="str">
            <v>ARQUETA EN POLIPROPILENO</v>
          </cell>
          <cell r="F98" t="str">
            <v>Und</v>
          </cell>
          <cell r="G98">
            <v>1</v>
          </cell>
          <cell r="H98">
            <v>6068599.9996856553</v>
          </cell>
          <cell r="I98">
            <v>6068599.9996856553</v>
          </cell>
          <cell r="J98">
            <v>8374667.9995662039</v>
          </cell>
        </row>
        <row r="99">
          <cell r="D99" t="str">
            <v>SUMINISTRO E INSTALACIÓN DE PLATINA</v>
          </cell>
          <cell r="F99" t="str">
            <v>Und</v>
          </cell>
          <cell r="G99">
            <v>1</v>
          </cell>
          <cell r="H99">
            <v>361570</v>
          </cell>
          <cell r="I99">
            <v>361570</v>
          </cell>
          <cell r="J99">
            <v>498966.6</v>
          </cell>
        </row>
        <row r="100">
          <cell r="D100" t="str">
            <v>SUMINISTRO E INSTALACIÓN DE VARILLA</v>
          </cell>
          <cell r="F100" t="str">
            <v>Und</v>
          </cell>
          <cell r="G100">
            <v>1</v>
          </cell>
          <cell r="H100">
            <v>398933</v>
          </cell>
          <cell r="I100">
            <v>398933</v>
          </cell>
          <cell r="J100">
            <v>550527.53999999992</v>
          </cell>
        </row>
        <row r="101">
          <cell r="D101" t="str">
            <v>SUMINISTRO E INSTALACIÓN DE ARQUETA PARA INSPECCIÓN DE PICAS EN PUESTA A TIERRA SIN FONDO</v>
          </cell>
          <cell r="F101" t="str">
            <v>Und</v>
          </cell>
          <cell r="G101">
            <v>1</v>
          </cell>
          <cell r="H101">
            <v>14275700</v>
          </cell>
          <cell r="I101">
            <v>14275700</v>
          </cell>
          <cell r="J101">
            <v>19700466</v>
          </cell>
        </row>
        <row r="102">
          <cell r="D102" t="str">
            <v>SUMINISTRO E INSTALACIÓN DE SOLDADURA EXOTERMICA</v>
          </cell>
          <cell r="F102" t="str">
            <v>Und</v>
          </cell>
          <cell r="G102">
            <v>2.8000000000000003</v>
          </cell>
          <cell r="H102">
            <v>185231</v>
          </cell>
          <cell r="I102">
            <v>518646.80000000005</v>
          </cell>
          <cell r="J102">
            <v>715732.58400000003</v>
          </cell>
        </row>
        <row r="103">
          <cell r="D103" t="str">
            <v>SUMINISTRO E INSTALACIÓN DE GRAPA DE ALEACIÓN RICA EN COBRE (LATÓN) MODELO KZ</v>
          </cell>
          <cell r="F103" t="str">
            <v>Und</v>
          </cell>
          <cell r="G103">
            <v>1</v>
          </cell>
          <cell r="H103">
            <v>292083</v>
          </cell>
          <cell r="I103">
            <v>292083</v>
          </cell>
          <cell r="J103">
            <v>403074.54</v>
          </cell>
        </row>
        <row r="104">
          <cell r="D104" t="str">
            <v xml:space="preserve">INSTALACIÓN DE CABLE DE COBRE TRENZADO DESNUDO DE 50 mm2 </v>
          </cell>
          <cell r="F104" t="str">
            <v>ML</v>
          </cell>
          <cell r="G104">
            <v>113.1390243902439</v>
          </cell>
          <cell r="H104">
            <v>33000.000989065411</v>
          </cell>
          <cell r="I104">
            <v>3733587.9167799447</v>
          </cell>
          <cell r="J104">
            <v>5152351.3251563236</v>
          </cell>
        </row>
        <row r="105">
          <cell r="C105" t="str">
            <v>9.2.8</v>
          </cell>
          <cell r="D105" t="str">
            <v xml:space="preserve">         INSTALACION DE GROUT Y MORTERO AUTOCOMPACTANTE DE ALTA RESISTENCIA WP45</v>
          </cell>
          <cell r="E105" t="str">
            <v>2 días</v>
          </cell>
          <cell r="F105">
            <v>0</v>
          </cell>
          <cell r="J105">
            <v>46410609.014634147</v>
          </cell>
        </row>
        <row r="106">
          <cell r="D106" t="str">
            <v>GROUT Y  MORTERO AUTOCOMPACTANTE DE ALTA RESISTENCIA C80/95 (EN206-1)</v>
          </cell>
          <cell r="F106" t="str">
            <v>lt</v>
          </cell>
          <cell r="G106">
            <v>530.73170731707319</v>
          </cell>
          <cell r="H106">
            <v>63367</v>
          </cell>
          <cell r="I106">
            <v>33630876.097560979</v>
          </cell>
          <cell r="J106">
            <v>46410609.014634147</v>
          </cell>
        </row>
        <row r="107">
          <cell r="C107" t="str">
            <v>9.3</v>
          </cell>
          <cell r="D107" t="str">
            <v xml:space="preserve">      RECALCE 3 WP46</v>
          </cell>
          <cell r="E107" t="str">
            <v>53 días</v>
          </cell>
          <cell r="F107">
            <v>0</v>
          </cell>
        </row>
        <row r="108">
          <cell r="C108" t="str">
            <v>9.3.1</v>
          </cell>
          <cell r="D108" t="str">
            <v xml:space="preserve">         LOCALIZACIÓN DEL ACERO WP46</v>
          </cell>
          <cell r="E108" t="str">
            <v>1 día</v>
          </cell>
          <cell r="F108">
            <v>0</v>
          </cell>
          <cell r="J108">
            <v>90662604.648000002</v>
          </cell>
        </row>
        <row r="109">
          <cell r="D109" t="str">
            <v>RECALCE DE CIMENTACIONES AEROGENERADORES EXISTENTES</v>
          </cell>
          <cell r="F109" t="str">
            <v>Und</v>
          </cell>
          <cell r="G109">
            <v>0.11</v>
          </cell>
          <cell r="H109">
            <v>597250360</v>
          </cell>
          <cell r="I109">
            <v>65697539.600000001</v>
          </cell>
          <cell r="J109">
            <v>90662604.648000002</v>
          </cell>
        </row>
        <row r="110">
          <cell r="C110" t="str">
            <v>9.3.2</v>
          </cell>
          <cell r="D110" t="str">
            <v xml:space="preserve">         ESCARIFICADO Y LIMPIEZA DEL RECUBRIMIENTO WP46</v>
          </cell>
          <cell r="E110" t="str">
            <v>4 días</v>
          </cell>
          <cell r="F110">
            <v>0</v>
          </cell>
          <cell r="J110">
            <v>230777539.104</v>
          </cell>
        </row>
        <row r="111">
          <cell r="D111" t="str">
            <v>RECALCE DE CIMENTACIONES AEROGENERADORES EXISTENTES</v>
          </cell>
          <cell r="F111" t="str">
            <v>Und</v>
          </cell>
          <cell r="G111">
            <v>0.28000000000000003</v>
          </cell>
          <cell r="H111">
            <v>597250360</v>
          </cell>
          <cell r="I111">
            <v>167230100.80000001</v>
          </cell>
          <cell r="J111">
            <v>230777539.104</v>
          </cell>
        </row>
        <row r="112">
          <cell r="C112" t="str">
            <v>9.3.3</v>
          </cell>
          <cell r="D112" t="str">
            <v xml:space="preserve">         CORTE Y FIGURADO DE ACERO WP46</v>
          </cell>
          <cell r="E112" t="str">
            <v>4 días</v>
          </cell>
          <cell r="F112">
            <v>0</v>
          </cell>
          <cell r="J112">
            <v>82420549.679999992</v>
          </cell>
        </row>
        <row r="113">
          <cell r="D113" t="str">
            <v>RECALCE DE CIMENTACIONES AEROGENERADORES EXISTENTES</v>
          </cell>
          <cell r="F113" t="str">
            <v>Und</v>
          </cell>
          <cell r="G113">
            <v>0.1</v>
          </cell>
          <cell r="H113">
            <v>597250360</v>
          </cell>
          <cell r="I113">
            <v>59725036</v>
          </cell>
          <cell r="J113">
            <v>82420549.679999992</v>
          </cell>
        </row>
        <row r="114">
          <cell r="C114" t="str">
            <v>9.3.4</v>
          </cell>
          <cell r="D114" t="str">
            <v xml:space="preserve">         APLICACIÓN DE EPOXICO Y FIJACIÓN DEL ACERO WP46</v>
          </cell>
          <cell r="E114" t="str">
            <v>4 días</v>
          </cell>
          <cell r="F114">
            <v>0</v>
          </cell>
          <cell r="J114">
            <v>230777539.104</v>
          </cell>
        </row>
        <row r="115">
          <cell r="D115" t="str">
            <v>RECALCE DE CIMENTACIONES AEROGENERADORES EXISTENTES</v>
          </cell>
          <cell r="F115" t="str">
            <v>Und</v>
          </cell>
          <cell r="G115">
            <v>0.28000000000000003</v>
          </cell>
          <cell r="H115">
            <v>597250360</v>
          </cell>
          <cell r="I115">
            <v>167230100.80000001</v>
          </cell>
          <cell r="J115">
            <v>230777539.104</v>
          </cell>
        </row>
        <row r="116">
          <cell r="C116" t="str">
            <v>9.3.5</v>
          </cell>
          <cell r="D116" t="str">
            <v xml:space="preserve">         ENCONFRADO WP46</v>
          </cell>
          <cell r="E116" t="str">
            <v>1 día</v>
          </cell>
          <cell r="F116">
            <v>0</v>
          </cell>
          <cell r="J116">
            <v>49452329.807999998</v>
          </cell>
        </row>
        <row r="117">
          <cell r="D117" t="str">
            <v>RECALCE DE CIMENTACIONES AEROGENERADORES EXISTENTES</v>
          </cell>
          <cell r="F117" t="str">
            <v>Und</v>
          </cell>
          <cell r="G117">
            <v>0.06</v>
          </cell>
          <cell r="H117">
            <v>597250360</v>
          </cell>
          <cell r="I117">
            <v>35835021.600000001</v>
          </cell>
          <cell r="J117">
            <v>49452329.807999998</v>
          </cell>
        </row>
        <row r="118">
          <cell r="C118" t="str">
            <v>9.3.6</v>
          </cell>
          <cell r="D118" t="str">
            <v xml:space="preserve">         VACIADO DE CONCRETO (APLICACIÓN PUENTE DE ADHERENCIA) WP46</v>
          </cell>
          <cell r="E118" t="str">
            <v>1 día</v>
          </cell>
          <cell r="F118">
            <v>0</v>
          </cell>
          <cell r="J118">
            <v>140114934.456</v>
          </cell>
        </row>
        <row r="119">
          <cell r="D119" t="str">
            <v>RECALCE DE CIMENTACIONES AEROGENERADORES EXISTENTES</v>
          </cell>
          <cell r="F119" t="str">
            <v>Und</v>
          </cell>
          <cell r="G119">
            <v>0.17</v>
          </cell>
          <cell r="H119">
            <v>597250360</v>
          </cell>
          <cell r="I119">
            <v>101532561.2</v>
          </cell>
          <cell r="J119">
            <v>140114934.456</v>
          </cell>
        </row>
        <row r="120">
          <cell r="C120" t="str">
            <v>9.3.7</v>
          </cell>
          <cell r="D120" t="str">
            <v xml:space="preserve"> ADECUACIONES E INSTALACIONES ELECTRICAS REQUERIDAS WP44</v>
          </cell>
          <cell r="J120">
            <v>52335715.768702812</v>
          </cell>
        </row>
        <row r="121">
          <cell r="D121" t="str">
            <v>ARQUETA EN HORMIGON PARA MEDIA TENSION - EMPALMES (500 MT)</v>
          </cell>
          <cell r="F121" t="str">
            <v>Und</v>
          </cell>
          <cell r="G121">
            <v>1</v>
          </cell>
          <cell r="H121">
            <v>12275310.999985719</v>
          </cell>
          <cell r="I121">
            <v>12275310.999985719</v>
          </cell>
          <cell r="J121">
            <v>16939929.179980289</v>
          </cell>
        </row>
        <row r="122">
          <cell r="D122" t="str">
            <v>ARQUETA EN POLIPROPILENO</v>
          </cell>
          <cell r="F122" t="str">
            <v>Und</v>
          </cell>
          <cell r="G122">
            <v>1</v>
          </cell>
          <cell r="H122">
            <v>6068599.9996856553</v>
          </cell>
          <cell r="I122">
            <v>6068599.9996856553</v>
          </cell>
          <cell r="J122">
            <v>8374667.9995662039</v>
          </cell>
        </row>
        <row r="123">
          <cell r="D123" t="str">
            <v>SUMINISTRO E INSTALACIÓN DE PLATINA</v>
          </cell>
          <cell r="F123" t="str">
            <v>Und</v>
          </cell>
          <cell r="G123">
            <v>1</v>
          </cell>
          <cell r="H123">
            <v>361570</v>
          </cell>
          <cell r="I123">
            <v>361570</v>
          </cell>
          <cell r="J123">
            <v>498966.6</v>
          </cell>
        </row>
        <row r="124">
          <cell r="D124" t="str">
            <v>SUMINISTRO E INSTALACIÓN DE VARILLA</v>
          </cell>
          <cell r="F124" t="str">
            <v>Und</v>
          </cell>
          <cell r="G124">
            <v>1</v>
          </cell>
          <cell r="H124">
            <v>398933</v>
          </cell>
          <cell r="I124">
            <v>398933</v>
          </cell>
          <cell r="J124">
            <v>550527.53999999992</v>
          </cell>
        </row>
        <row r="125">
          <cell r="D125" t="str">
            <v>SUMINISTRO E INSTALACIÓN DE ARQUETA PARA INSPECCIÓN DE PICAS EN PUESTA A TIERRA SIN FONDO</v>
          </cell>
          <cell r="F125" t="str">
            <v>Und</v>
          </cell>
          <cell r="G125">
            <v>1</v>
          </cell>
          <cell r="H125">
            <v>14275700</v>
          </cell>
          <cell r="I125">
            <v>14275700</v>
          </cell>
          <cell r="J125">
            <v>19700466</v>
          </cell>
        </row>
        <row r="126">
          <cell r="D126" t="str">
            <v>SUMINISTRO E INSTALACIÓN DE SOLDADURA EXOTERMICA</v>
          </cell>
          <cell r="F126" t="str">
            <v>Und</v>
          </cell>
          <cell r="G126">
            <v>2.8000000000000003</v>
          </cell>
          <cell r="H126">
            <v>185231</v>
          </cell>
          <cell r="I126">
            <v>518646.80000000005</v>
          </cell>
          <cell r="J126">
            <v>715732.58400000003</v>
          </cell>
        </row>
        <row r="127">
          <cell r="D127" t="str">
            <v>SUMINISTRO E INSTALACIÓN DE GRAPA DE ALEACIÓN RICA EN COBRE (LATÓN) MODELO KZ</v>
          </cell>
          <cell r="F127" t="str">
            <v>Und</v>
          </cell>
          <cell r="G127">
            <v>1</v>
          </cell>
          <cell r="H127">
            <v>292083</v>
          </cell>
          <cell r="I127">
            <v>292083</v>
          </cell>
          <cell r="J127">
            <v>403074.54</v>
          </cell>
        </row>
        <row r="128">
          <cell r="D128" t="str">
            <v xml:space="preserve">INSTALACIÓN DE CABLE DE COBRE TRENZADO DESNUDO DE 50 mm2 </v>
          </cell>
          <cell r="F128" t="str">
            <v>ML</v>
          </cell>
          <cell r="G128">
            <v>113.1390243902439</v>
          </cell>
          <cell r="H128">
            <v>33000.000989065411</v>
          </cell>
          <cell r="I128">
            <v>3733587.9167799447</v>
          </cell>
          <cell r="J128">
            <v>5152351.3251563236</v>
          </cell>
        </row>
        <row r="129">
          <cell r="C129" t="str">
            <v>9.3.8</v>
          </cell>
          <cell r="D129" t="str">
            <v xml:space="preserve">         INSTALACION DE GROUT Y MORTERO AUTOCOMPACTANTE DE ALTA RESISTENCIA WP46</v>
          </cell>
          <cell r="E129" t="str">
            <v>2 días</v>
          </cell>
          <cell r="F129">
            <v>0</v>
          </cell>
          <cell r="J129">
            <v>46410609.014634147</v>
          </cell>
        </row>
        <row r="130">
          <cell r="D130" t="str">
            <v>GROUT Y  MORTERO AUTOCOMPACTANTE DE ALTA RESISTENCIA C80/95 (EN206-1)</v>
          </cell>
          <cell r="F130" t="str">
            <v>lt</v>
          </cell>
          <cell r="G130">
            <v>530.73170731707319</v>
          </cell>
          <cell r="H130">
            <v>63367</v>
          </cell>
          <cell r="I130">
            <v>33630876.097560979</v>
          </cell>
          <cell r="J130">
            <v>46410609.014634147</v>
          </cell>
        </row>
        <row r="131">
          <cell r="C131" t="str">
            <v>9.4</v>
          </cell>
          <cell r="D131" t="str">
            <v xml:space="preserve">      RECALCE 4 WP47</v>
          </cell>
          <cell r="E131" t="str">
            <v>53 días</v>
          </cell>
          <cell r="F131">
            <v>0</v>
          </cell>
        </row>
        <row r="132">
          <cell r="C132" t="str">
            <v>9.4.1</v>
          </cell>
          <cell r="D132" t="str">
            <v xml:space="preserve">         LOCALIZACIÓN DEL ACERO WP47</v>
          </cell>
          <cell r="E132" t="str">
            <v>1 día</v>
          </cell>
          <cell r="F132">
            <v>0</v>
          </cell>
          <cell r="J132">
            <v>90662604.648000002</v>
          </cell>
        </row>
        <row r="133">
          <cell r="D133" t="str">
            <v>RECALCE DE CIMENTACIONES AEROGENERADORES EXISTENTES</v>
          </cell>
          <cell r="F133" t="str">
            <v>Und</v>
          </cell>
          <cell r="G133">
            <v>0.11</v>
          </cell>
          <cell r="H133">
            <v>597250360</v>
          </cell>
          <cell r="I133">
            <v>65697539.600000001</v>
          </cell>
          <cell r="J133">
            <v>90662604.648000002</v>
          </cell>
        </row>
        <row r="134">
          <cell r="C134" t="str">
            <v>9.4.2</v>
          </cell>
          <cell r="D134" t="str">
            <v xml:space="preserve">         ESCARIFICADO Y LIMPIEZA DEL RECUBRIMIENTO WP47</v>
          </cell>
          <cell r="E134" t="str">
            <v>4 días</v>
          </cell>
          <cell r="F134">
            <v>0</v>
          </cell>
          <cell r="J134">
            <v>230777539.104</v>
          </cell>
        </row>
        <row r="135">
          <cell r="D135" t="str">
            <v>RECALCE DE CIMENTACIONES AEROGENERADORES EXISTENTES</v>
          </cell>
          <cell r="F135" t="str">
            <v>Und</v>
          </cell>
          <cell r="G135">
            <v>0.28000000000000003</v>
          </cell>
          <cell r="H135">
            <v>597250360</v>
          </cell>
          <cell r="I135">
            <v>167230100.80000001</v>
          </cell>
          <cell r="J135">
            <v>230777539.104</v>
          </cell>
        </row>
        <row r="136">
          <cell r="C136" t="str">
            <v>9.4.3</v>
          </cell>
          <cell r="D136" t="str">
            <v xml:space="preserve">         CORTE Y FIGURADO DE ACERO WP47</v>
          </cell>
          <cell r="E136" t="str">
            <v>4 días</v>
          </cell>
          <cell r="F136">
            <v>0</v>
          </cell>
          <cell r="J136">
            <v>82420549.679999992</v>
          </cell>
        </row>
        <row r="137">
          <cell r="D137" t="str">
            <v>RECALCE DE CIMENTACIONES AEROGENERADORES EXISTENTES</v>
          </cell>
          <cell r="F137" t="str">
            <v>Und</v>
          </cell>
          <cell r="G137">
            <v>0.1</v>
          </cell>
          <cell r="H137">
            <v>597250360</v>
          </cell>
          <cell r="I137">
            <v>59725036</v>
          </cell>
          <cell r="J137">
            <v>82420549.679999992</v>
          </cell>
        </row>
        <row r="138">
          <cell r="C138" t="str">
            <v>9.4.4</v>
          </cell>
          <cell r="D138" t="str">
            <v xml:space="preserve">         APLICACIÓN DE EPOXICO Y FIJACIÓN DEL ACERO WP47</v>
          </cell>
          <cell r="E138" t="str">
            <v>4 días</v>
          </cell>
          <cell r="F138">
            <v>0</v>
          </cell>
          <cell r="J138">
            <v>230777539.104</v>
          </cell>
        </row>
        <row r="139">
          <cell r="D139" t="str">
            <v>RECALCE DE CIMENTACIONES AEROGENERADORES EXISTENTES</v>
          </cell>
          <cell r="F139" t="str">
            <v>Und</v>
          </cell>
          <cell r="G139">
            <v>0.28000000000000003</v>
          </cell>
          <cell r="H139">
            <v>597250360</v>
          </cell>
          <cell r="I139">
            <v>167230100.80000001</v>
          </cell>
          <cell r="J139">
            <v>230777539.104</v>
          </cell>
        </row>
        <row r="140">
          <cell r="C140" t="str">
            <v>9.4.5</v>
          </cell>
          <cell r="D140" t="str">
            <v xml:space="preserve">         ENCONFRADO WP47</v>
          </cell>
          <cell r="E140" t="str">
            <v>1 día</v>
          </cell>
          <cell r="F140">
            <v>0</v>
          </cell>
          <cell r="J140">
            <v>49452329.807999998</v>
          </cell>
        </row>
        <row r="141">
          <cell r="D141" t="str">
            <v>RECALCE DE CIMENTACIONES AEROGENERADORES EXISTENTES</v>
          </cell>
          <cell r="F141" t="str">
            <v>Und</v>
          </cell>
          <cell r="G141">
            <v>0.06</v>
          </cell>
          <cell r="H141">
            <v>597250360</v>
          </cell>
          <cell r="I141">
            <v>35835021.600000001</v>
          </cell>
          <cell r="J141">
            <v>49452329.807999998</v>
          </cell>
        </row>
        <row r="142">
          <cell r="C142" t="str">
            <v>9.4.6</v>
          </cell>
          <cell r="D142" t="str">
            <v xml:space="preserve">         VACIADO DE CONCRETO (APLICACIÓN PUENTE DE ADHERENCIA) WP47</v>
          </cell>
          <cell r="E142" t="str">
            <v>1 día</v>
          </cell>
          <cell r="F142">
            <v>0</v>
          </cell>
          <cell r="J142">
            <v>140114934.456</v>
          </cell>
        </row>
        <row r="143">
          <cell r="D143" t="str">
            <v>RECALCE DE CIMENTACIONES AEROGENERADORES EXISTENTES</v>
          </cell>
          <cell r="F143" t="str">
            <v>Und</v>
          </cell>
          <cell r="G143">
            <v>0.17</v>
          </cell>
          <cell r="H143">
            <v>597250360</v>
          </cell>
          <cell r="I143">
            <v>101532561.2</v>
          </cell>
          <cell r="J143">
            <v>140114934.456</v>
          </cell>
        </row>
        <row r="144">
          <cell r="C144" t="str">
            <v>9.4.7</v>
          </cell>
          <cell r="D144" t="str">
            <v xml:space="preserve"> ADECUACIONES E INSTALACIONES ELECTRICAS REQUERIDAS WP44</v>
          </cell>
          <cell r="J144">
            <v>52335715.768702812</v>
          </cell>
        </row>
        <row r="145">
          <cell r="D145" t="str">
            <v>ARQUETA EN HORMIGON PARA MEDIA TENSION - EMPALMES (500 MT)</v>
          </cell>
          <cell r="F145" t="str">
            <v>Und</v>
          </cell>
          <cell r="G145">
            <v>1</v>
          </cell>
          <cell r="H145">
            <v>12275310.999985719</v>
          </cell>
          <cell r="I145">
            <v>12275310.999985719</v>
          </cell>
          <cell r="J145">
            <v>16939929.179980289</v>
          </cell>
        </row>
        <row r="146">
          <cell r="D146" t="str">
            <v>ARQUETA EN POLIPROPILENO</v>
          </cell>
          <cell r="F146" t="str">
            <v>Und</v>
          </cell>
          <cell r="G146">
            <v>1</v>
          </cell>
          <cell r="H146">
            <v>6068599.9996856553</v>
          </cell>
          <cell r="I146">
            <v>6068599.9996856553</v>
          </cell>
          <cell r="J146">
            <v>8374667.9995662039</v>
          </cell>
        </row>
        <row r="147">
          <cell r="D147" t="str">
            <v>SUMINISTRO E INSTALACIÓN DE PLATINA</v>
          </cell>
          <cell r="F147" t="str">
            <v>Und</v>
          </cell>
          <cell r="G147">
            <v>1</v>
          </cell>
          <cell r="H147">
            <v>361570</v>
          </cell>
          <cell r="I147">
            <v>361570</v>
          </cell>
          <cell r="J147">
            <v>498966.6</v>
          </cell>
        </row>
        <row r="148">
          <cell r="D148" t="str">
            <v>SUMINISTRO E INSTALACIÓN DE VARILLA</v>
          </cell>
          <cell r="F148" t="str">
            <v>Und</v>
          </cell>
          <cell r="G148">
            <v>1</v>
          </cell>
          <cell r="H148">
            <v>398933</v>
          </cell>
          <cell r="I148">
            <v>398933</v>
          </cell>
          <cell r="J148">
            <v>550527.53999999992</v>
          </cell>
        </row>
        <row r="149">
          <cell r="D149" t="str">
            <v>SUMINISTRO E INSTALACIÓN DE ARQUETA PARA INSPECCIÓN DE PICAS EN PUESTA A TIERRA SIN FONDO</v>
          </cell>
          <cell r="F149" t="str">
            <v>Und</v>
          </cell>
          <cell r="G149">
            <v>1</v>
          </cell>
          <cell r="H149">
            <v>14275700</v>
          </cell>
          <cell r="I149">
            <v>14275700</v>
          </cell>
          <cell r="J149">
            <v>19700466</v>
          </cell>
        </row>
        <row r="150">
          <cell r="D150" t="str">
            <v>SUMINISTRO E INSTALACIÓN DE SOLDADURA EXOTERMICA</v>
          </cell>
          <cell r="F150" t="str">
            <v>Und</v>
          </cell>
          <cell r="G150">
            <v>2.8000000000000003</v>
          </cell>
          <cell r="H150">
            <v>185231</v>
          </cell>
          <cell r="I150">
            <v>518646.80000000005</v>
          </cell>
          <cell r="J150">
            <v>715732.58400000003</v>
          </cell>
        </row>
        <row r="151">
          <cell r="D151" t="str">
            <v>SUMINISTRO E INSTALACIÓN DE GRAPA DE ALEACIÓN RICA EN COBRE (LATÓN) MODELO KZ</v>
          </cell>
          <cell r="F151" t="str">
            <v>Und</v>
          </cell>
          <cell r="G151">
            <v>1</v>
          </cell>
          <cell r="H151">
            <v>292083</v>
          </cell>
          <cell r="I151">
            <v>292083</v>
          </cell>
          <cell r="J151">
            <v>403074.54</v>
          </cell>
        </row>
        <row r="152">
          <cell r="D152" t="str">
            <v xml:space="preserve">INSTALACIÓN DE CABLE DE COBRE TRENZADO DESNUDO DE 50 mm2 </v>
          </cell>
          <cell r="F152" t="str">
            <v>ML</v>
          </cell>
          <cell r="G152">
            <v>113.1390243902439</v>
          </cell>
          <cell r="H152">
            <v>33000.000989065411</v>
          </cell>
          <cell r="I152">
            <v>3733587.9167799447</v>
          </cell>
          <cell r="J152">
            <v>5152351.3251563236</v>
          </cell>
        </row>
        <row r="153">
          <cell r="C153" t="str">
            <v>9.4.8</v>
          </cell>
          <cell r="D153" t="str">
            <v xml:space="preserve">         INSTALACION DE GROUT Y MORTERO AUTOCOMPACTANTE DE ALTA RESISTENCIA WP47</v>
          </cell>
          <cell r="E153" t="str">
            <v>2 días</v>
          </cell>
          <cell r="F153">
            <v>0</v>
          </cell>
          <cell r="J153">
            <v>46410609.014634147</v>
          </cell>
        </row>
        <row r="154">
          <cell r="D154" t="str">
            <v>GROUT Y  MORTERO AUTOCOMPACTANTE DE ALTA RESISTENCIA C80/95 (EN206-1)</v>
          </cell>
          <cell r="F154" t="str">
            <v>lt</v>
          </cell>
          <cell r="G154">
            <v>530.73170731707319</v>
          </cell>
          <cell r="H154">
            <v>63367</v>
          </cell>
          <cell r="I154">
            <v>33630876.097560979</v>
          </cell>
          <cell r="J154">
            <v>46410609.014634147</v>
          </cell>
        </row>
        <row r="155">
          <cell r="C155" t="str">
            <v>9.5</v>
          </cell>
          <cell r="D155" t="str">
            <v xml:space="preserve">      RECALCE 5 WP48</v>
          </cell>
          <cell r="E155" t="str">
            <v>53 días</v>
          </cell>
          <cell r="F155">
            <v>0</v>
          </cell>
        </row>
        <row r="156">
          <cell r="C156" t="str">
            <v>9.5.1</v>
          </cell>
          <cell r="D156" t="str">
            <v xml:space="preserve">         LOCALIZACIÓN DEL ACERO WP48</v>
          </cell>
          <cell r="E156" t="str">
            <v>1 día</v>
          </cell>
          <cell r="F156">
            <v>0</v>
          </cell>
          <cell r="J156">
            <v>90662604.648000002</v>
          </cell>
        </row>
        <row r="157">
          <cell r="D157" t="str">
            <v>RECALCE DE CIMENTACIONES AEROGENERADORES EXISTENTES</v>
          </cell>
          <cell r="F157" t="str">
            <v>Und</v>
          </cell>
          <cell r="G157">
            <v>0.11</v>
          </cell>
          <cell r="H157">
            <v>597250360</v>
          </cell>
          <cell r="I157">
            <v>65697539.600000001</v>
          </cell>
          <cell r="J157">
            <v>90662604.648000002</v>
          </cell>
        </row>
        <row r="158">
          <cell r="C158" t="str">
            <v>9.5.2</v>
          </cell>
          <cell r="D158" t="str">
            <v xml:space="preserve">         ESCARIFICADO Y LIMPIEZA DEL RECUBRIMIENTO WP48</v>
          </cell>
          <cell r="E158" t="str">
            <v>4 días</v>
          </cell>
          <cell r="F158">
            <v>0</v>
          </cell>
          <cell r="J158">
            <v>230777539.104</v>
          </cell>
        </row>
        <row r="159">
          <cell r="D159" t="str">
            <v>RECALCE DE CIMENTACIONES AEROGENERADORES EXISTENTES</v>
          </cell>
          <cell r="F159" t="str">
            <v>Und</v>
          </cell>
          <cell r="G159">
            <v>0.28000000000000003</v>
          </cell>
          <cell r="H159">
            <v>597250360</v>
          </cell>
          <cell r="I159">
            <v>167230100.80000001</v>
          </cell>
          <cell r="J159">
            <v>230777539.104</v>
          </cell>
        </row>
        <row r="160">
          <cell r="C160" t="str">
            <v>9.5.3</v>
          </cell>
          <cell r="D160" t="str">
            <v xml:space="preserve">         CORTE Y FIGURADO DE ACERO WP48</v>
          </cell>
          <cell r="E160" t="str">
            <v>4 días</v>
          </cell>
          <cell r="F160">
            <v>0</v>
          </cell>
          <cell r="J160">
            <v>82420549.679999992</v>
          </cell>
        </row>
        <row r="161">
          <cell r="D161" t="str">
            <v>RECALCE DE CIMENTACIONES AEROGENERADORES EXISTENTES</v>
          </cell>
          <cell r="F161" t="str">
            <v>Und</v>
          </cell>
          <cell r="G161">
            <v>0.1</v>
          </cell>
          <cell r="H161">
            <v>597250360</v>
          </cell>
          <cell r="I161">
            <v>59725036</v>
          </cell>
          <cell r="J161">
            <v>82420549.679999992</v>
          </cell>
        </row>
        <row r="162">
          <cell r="C162" t="str">
            <v>9.5.4</v>
          </cell>
          <cell r="D162" t="str">
            <v xml:space="preserve">         APLICACIÓN DE EPOXICO Y FIJACIÓN DEL ACERO WP48</v>
          </cell>
          <cell r="E162" t="str">
            <v>4 días</v>
          </cell>
          <cell r="F162">
            <v>0</v>
          </cell>
          <cell r="J162">
            <v>230777539.104</v>
          </cell>
        </row>
        <row r="163">
          <cell r="D163" t="str">
            <v>RECALCE DE CIMENTACIONES AEROGENERADORES EXISTENTES</v>
          </cell>
          <cell r="F163" t="str">
            <v>Und</v>
          </cell>
          <cell r="G163">
            <v>0.28000000000000003</v>
          </cell>
          <cell r="H163">
            <v>597250360</v>
          </cell>
          <cell r="I163">
            <v>167230100.80000001</v>
          </cell>
          <cell r="J163">
            <v>230777539.104</v>
          </cell>
        </row>
        <row r="164">
          <cell r="C164" t="str">
            <v>9.5.5</v>
          </cell>
          <cell r="D164" t="str">
            <v xml:space="preserve">         ENCONFRADO WP48</v>
          </cell>
          <cell r="E164" t="str">
            <v>1 día</v>
          </cell>
          <cell r="F164">
            <v>0</v>
          </cell>
          <cell r="J164">
            <v>49452329.807999998</v>
          </cell>
        </row>
        <row r="165">
          <cell r="D165" t="str">
            <v>RECALCE DE CIMENTACIONES AEROGENERADORES EXISTENTES</v>
          </cell>
          <cell r="F165" t="str">
            <v>Und</v>
          </cell>
          <cell r="G165">
            <v>0.06</v>
          </cell>
          <cell r="H165">
            <v>597250360</v>
          </cell>
          <cell r="I165">
            <v>35835021.600000001</v>
          </cell>
          <cell r="J165">
            <v>49452329.807999998</v>
          </cell>
        </row>
        <row r="166">
          <cell r="C166" t="str">
            <v>9.5.6</v>
          </cell>
          <cell r="D166" t="str">
            <v xml:space="preserve">         VACIADO DE CONCRETO (APLICACIÓN PUENTE DE ADHERENCIA) WP48</v>
          </cell>
          <cell r="E166" t="str">
            <v>1 día</v>
          </cell>
          <cell r="F166">
            <v>0</v>
          </cell>
          <cell r="J166">
            <v>140114934.456</v>
          </cell>
        </row>
        <row r="167">
          <cell r="D167" t="str">
            <v>RECALCE DE CIMENTACIONES AEROGENERADORES EXISTENTES</v>
          </cell>
          <cell r="F167" t="str">
            <v>Und</v>
          </cell>
          <cell r="G167">
            <v>0.17</v>
          </cell>
          <cell r="H167">
            <v>597250360</v>
          </cell>
          <cell r="I167">
            <v>101532561.2</v>
          </cell>
          <cell r="J167">
            <v>140114934.456</v>
          </cell>
        </row>
        <row r="168">
          <cell r="C168" t="str">
            <v>9.5.7</v>
          </cell>
          <cell r="D168" t="str">
            <v xml:space="preserve"> ADECUACIONES E INSTALACIONES ELECTRICAS REQUERIDAS WP44</v>
          </cell>
          <cell r="J168">
            <v>52335715.768702812</v>
          </cell>
        </row>
        <row r="169">
          <cell r="D169" t="str">
            <v>ARQUETA EN HORMIGON PARA MEDIA TENSION - EMPALMES (500 MT)</v>
          </cell>
          <cell r="F169" t="str">
            <v>Und</v>
          </cell>
          <cell r="G169">
            <v>1</v>
          </cell>
          <cell r="H169">
            <v>12275310.999985719</v>
          </cell>
          <cell r="I169">
            <v>12275310.999985719</v>
          </cell>
          <cell r="J169">
            <v>16939929.179980289</v>
          </cell>
        </row>
        <row r="170">
          <cell r="D170" t="str">
            <v>ARQUETA EN POLIPROPILENO</v>
          </cell>
          <cell r="F170" t="str">
            <v>Und</v>
          </cell>
          <cell r="G170">
            <v>1</v>
          </cell>
          <cell r="H170">
            <v>6068599.9996856553</v>
          </cell>
          <cell r="I170">
            <v>6068599.9996856553</v>
          </cell>
          <cell r="J170">
            <v>8374667.9995662039</v>
          </cell>
        </row>
        <row r="171">
          <cell r="D171" t="str">
            <v>SUMINISTRO E INSTALACIÓN DE PLATINA</v>
          </cell>
          <cell r="F171" t="str">
            <v>Und</v>
          </cell>
          <cell r="G171">
            <v>1</v>
          </cell>
          <cell r="H171">
            <v>361570</v>
          </cell>
          <cell r="I171">
            <v>361570</v>
          </cell>
          <cell r="J171">
            <v>498966.6</v>
          </cell>
        </row>
        <row r="172">
          <cell r="D172" t="str">
            <v>SUMINISTRO E INSTALACIÓN DE VARILLA</v>
          </cell>
          <cell r="F172" t="str">
            <v>Und</v>
          </cell>
          <cell r="G172">
            <v>1</v>
          </cell>
          <cell r="H172">
            <v>398933</v>
          </cell>
          <cell r="I172">
            <v>398933</v>
          </cell>
          <cell r="J172">
            <v>550527.53999999992</v>
          </cell>
        </row>
        <row r="173">
          <cell r="D173" t="str">
            <v>SUMINISTRO E INSTALACIÓN DE ARQUETA PARA INSPECCIÓN DE PICAS EN PUESTA A TIERRA SIN FONDO</v>
          </cell>
          <cell r="F173" t="str">
            <v>Und</v>
          </cell>
          <cell r="G173">
            <v>1</v>
          </cell>
          <cell r="H173">
            <v>14275700</v>
          </cell>
          <cell r="I173">
            <v>14275700</v>
          </cell>
          <cell r="J173">
            <v>19700466</v>
          </cell>
        </row>
        <row r="174">
          <cell r="D174" t="str">
            <v>SUMINISTRO E INSTALACIÓN DE SOLDADURA EXOTERMICA</v>
          </cell>
          <cell r="F174" t="str">
            <v>Und</v>
          </cell>
          <cell r="G174">
            <v>2.8000000000000003</v>
          </cell>
          <cell r="H174">
            <v>185231</v>
          </cell>
          <cell r="I174">
            <v>518646.80000000005</v>
          </cell>
          <cell r="J174">
            <v>715732.58400000003</v>
          </cell>
        </row>
        <row r="175">
          <cell r="D175" t="str">
            <v>SUMINISTRO E INSTALACIÓN DE GRAPA DE ALEACIÓN RICA EN COBRE (LATÓN) MODELO KZ</v>
          </cell>
          <cell r="F175" t="str">
            <v>Und</v>
          </cell>
          <cell r="G175">
            <v>1</v>
          </cell>
          <cell r="H175">
            <v>292083</v>
          </cell>
          <cell r="I175">
            <v>292083</v>
          </cell>
          <cell r="J175">
            <v>403074.54</v>
          </cell>
        </row>
        <row r="176">
          <cell r="D176" t="str">
            <v xml:space="preserve">INSTALACIÓN DE CABLE DE COBRE TRENZADO DESNUDO DE 50 mm2 </v>
          </cell>
          <cell r="F176" t="str">
            <v>ML</v>
          </cell>
          <cell r="G176">
            <v>113.1390243902439</v>
          </cell>
          <cell r="H176">
            <v>33000.000989065411</v>
          </cell>
          <cell r="I176">
            <v>3733587.9167799447</v>
          </cell>
          <cell r="J176">
            <v>5152351.3251563236</v>
          </cell>
        </row>
        <row r="177">
          <cell r="C177" t="str">
            <v>9.5.8</v>
          </cell>
          <cell r="D177" t="str">
            <v xml:space="preserve">         INSTALACION DE GROUT Y MORTERO AUTOCOMPACTANTE DE ALTA RESISTENCIA WP48</v>
          </cell>
          <cell r="E177" t="str">
            <v>2 días</v>
          </cell>
          <cell r="F177">
            <v>0</v>
          </cell>
          <cell r="J177">
            <v>46410609.014634147</v>
          </cell>
        </row>
        <row r="178">
          <cell r="D178" t="str">
            <v>GROUT Y  MORTERO AUTOCOMPACTANTE DE ALTA RESISTENCIA C80/95 (EN206-1)</v>
          </cell>
          <cell r="F178" t="str">
            <v>lt</v>
          </cell>
          <cell r="G178">
            <v>530.73170731707319</v>
          </cell>
          <cell r="H178">
            <v>63367</v>
          </cell>
          <cell r="I178">
            <v>33630876.097560979</v>
          </cell>
          <cell r="J178">
            <v>46410609.014634147</v>
          </cell>
        </row>
        <row r="179">
          <cell r="C179" t="str">
            <v>9.6</v>
          </cell>
          <cell r="D179" t="str">
            <v xml:space="preserve">      RECALCE 6 WP49</v>
          </cell>
          <cell r="E179" t="str">
            <v>53 días</v>
          </cell>
          <cell r="F179">
            <v>0</v>
          </cell>
        </row>
        <row r="180">
          <cell r="C180" t="str">
            <v>9.6.1</v>
          </cell>
          <cell r="D180" t="str">
            <v xml:space="preserve">         LOCALIZACIÓN DEL HACERO WP49</v>
          </cell>
          <cell r="E180" t="str">
            <v>1 día</v>
          </cell>
          <cell r="F180">
            <v>0</v>
          </cell>
          <cell r="J180">
            <v>90662604.648000002</v>
          </cell>
        </row>
        <row r="181">
          <cell r="D181" t="str">
            <v>RECALCE DE CIMENTACIONES AEROGENERADORES EXISTENTES</v>
          </cell>
          <cell r="F181" t="str">
            <v>Und</v>
          </cell>
          <cell r="G181">
            <v>0.11</v>
          </cell>
          <cell r="H181">
            <v>597250360</v>
          </cell>
          <cell r="I181">
            <v>65697539.600000001</v>
          </cell>
          <cell r="J181">
            <v>90662604.648000002</v>
          </cell>
        </row>
        <row r="182">
          <cell r="C182" t="str">
            <v>9.6.2</v>
          </cell>
          <cell r="D182" t="str">
            <v xml:space="preserve">         ESCARIFICADO Y LIMPIEZA DEL RECUBRIMIENTO WP49</v>
          </cell>
          <cell r="E182" t="str">
            <v>4 días</v>
          </cell>
          <cell r="F182">
            <v>0</v>
          </cell>
          <cell r="J182">
            <v>230777539.104</v>
          </cell>
        </row>
        <row r="183">
          <cell r="D183" t="str">
            <v>RECALCE DE CIMENTACIONES AEROGENERADORES EXISTENTES</v>
          </cell>
          <cell r="F183" t="str">
            <v>Und</v>
          </cell>
          <cell r="G183">
            <v>0.28000000000000003</v>
          </cell>
          <cell r="H183">
            <v>597250360</v>
          </cell>
          <cell r="I183">
            <v>167230100.80000001</v>
          </cell>
          <cell r="J183">
            <v>230777539.104</v>
          </cell>
        </row>
        <row r="184">
          <cell r="C184" t="str">
            <v>9.6.3</v>
          </cell>
          <cell r="D184" t="str">
            <v xml:space="preserve">         CORTE Y FIGURADO DE ACERO WP49</v>
          </cell>
          <cell r="E184" t="str">
            <v>4 días</v>
          </cell>
          <cell r="F184">
            <v>0</v>
          </cell>
          <cell r="J184">
            <v>82420549.679999992</v>
          </cell>
        </row>
        <row r="185">
          <cell r="D185" t="str">
            <v>RECALCE DE CIMENTACIONES AEROGENERADORES EXISTENTES</v>
          </cell>
          <cell r="F185" t="str">
            <v>Und</v>
          </cell>
          <cell r="G185">
            <v>0.1</v>
          </cell>
          <cell r="H185">
            <v>597250360</v>
          </cell>
          <cell r="I185">
            <v>59725036</v>
          </cell>
          <cell r="J185">
            <v>82420549.679999992</v>
          </cell>
        </row>
        <row r="186">
          <cell r="C186" t="str">
            <v>9.6.4</v>
          </cell>
          <cell r="D186" t="str">
            <v xml:space="preserve">         APLICACIÓN DE EPOXICO Y FIJACIÓN DEL ACERO WP49</v>
          </cell>
          <cell r="E186" t="str">
            <v>4 días</v>
          </cell>
          <cell r="F186">
            <v>0</v>
          </cell>
          <cell r="J186">
            <v>230777539.104</v>
          </cell>
        </row>
        <row r="187">
          <cell r="D187" t="str">
            <v>RECALCE DE CIMENTACIONES AEROGENERADORES EXISTENTES</v>
          </cell>
          <cell r="F187" t="str">
            <v>Und</v>
          </cell>
          <cell r="G187">
            <v>0.28000000000000003</v>
          </cell>
          <cell r="H187">
            <v>597250360</v>
          </cell>
          <cell r="I187">
            <v>167230100.80000001</v>
          </cell>
          <cell r="J187">
            <v>230777539.104</v>
          </cell>
        </row>
        <row r="188">
          <cell r="C188" t="str">
            <v>9.6.5</v>
          </cell>
          <cell r="D188" t="str">
            <v xml:space="preserve">         ENCONFRADO WP49</v>
          </cell>
          <cell r="E188" t="str">
            <v>1 día</v>
          </cell>
          <cell r="F188">
            <v>0</v>
          </cell>
          <cell r="J188">
            <v>49452329.807999998</v>
          </cell>
        </row>
        <row r="189">
          <cell r="D189" t="str">
            <v>RECALCE DE CIMENTACIONES AEROGENERADORES EXISTENTES</v>
          </cell>
          <cell r="F189" t="str">
            <v>Und</v>
          </cell>
          <cell r="G189">
            <v>0.06</v>
          </cell>
          <cell r="H189">
            <v>597250360</v>
          </cell>
          <cell r="I189">
            <v>35835021.600000001</v>
          </cell>
          <cell r="J189">
            <v>49452329.807999998</v>
          </cell>
        </row>
        <row r="190">
          <cell r="C190" t="str">
            <v>9.6.6</v>
          </cell>
          <cell r="D190" t="str">
            <v xml:space="preserve">         VACIADO DE CONCRETO (APLICACIÓN PUENTE DE ADHERENCIA) WP49</v>
          </cell>
          <cell r="E190" t="str">
            <v>1 día</v>
          </cell>
          <cell r="F190">
            <v>0</v>
          </cell>
          <cell r="J190">
            <v>140114934.456</v>
          </cell>
        </row>
        <row r="191">
          <cell r="D191" t="str">
            <v>RECALCE DE CIMENTACIONES AEROGENERADORES EXISTENTES</v>
          </cell>
          <cell r="F191" t="str">
            <v>Und</v>
          </cell>
          <cell r="G191">
            <v>0.17</v>
          </cell>
          <cell r="H191">
            <v>597250360</v>
          </cell>
          <cell r="I191">
            <v>101532561.2</v>
          </cell>
          <cell r="J191">
            <v>140114934.456</v>
          </cell>
        </row>
        <row r="192">
          <cell r="C192" t="str">
            <v>9.6.7</v>
          </cell>
          <cell r="D192" t="str">
            <v xml:space="preserve"> ADECUACIONES E INSTALACIONES ELECTRICAS REQUERIDAS WP44</v>
          </cell>
          <cell r="J192">
            <v>52335715.768702812</v>
          </cell>
        </row>
        <row r="193">
          <cell r="D193" t="str">
            <v>ARQUETA EN HORMIGON PARA MEDIA TENSION - EMPALMES (500 MT)</v>
          </cell>
          <cell r="F193" t="str">
            <v>Und</v>
          </cell>
          <cell r="G193">
            <v>1</v>
          </cell>
          <cell r="H193">
            <v>12275310.999985719</v>
          </cell>
          <cell r="I193">
            <v>12275310.999985719</v>
          </cell>
          <cell r="J193">
            <v>16939929.179980289</v>
          </cell>
        </row>
        <row r="194">
          <cell r="D194" t="str">
            <v>ARQUETA EN POLIPROPILENO</v>
          </cell>
          <cell r="F194" t="str">
            <v>Und</v>
          </cell>
          <cell r="G194">
            <v>1</v>
          </cell>
          <cell r="H194">
            <v>6068599.9996856553</v>
          </cell>
          <cell r="I194">
            <v>6068599.9996856553</v>
          </cell>
          <cell r="J194">
            <v>8374667.9995662039</v>
          </cell>
        </row>
        <row r="195">
          <cell r="D195" t="str">
            <v>SUMINISTRO E INSTALACIÓN DE PLATINA</v>
          </cell>
          <cell r="F195" t="str">
            <v>Und</v>
          </cell>
          <cell r="G195">
            <v>1</v>
          </cell>
          <cell r="H195">
            <v>361570</v>
          </cell>
          <cell r="I195">
            <v>361570</v>
          </cell>
          <cell r="J195">
            <v>498966.6</v>
          </cell>
        </row>
        <row r="196">
          <cell r="D196" t="str">
            <v>SUMINISTRO E INSTALACIÓN DE VARILLA</v>
          </cell>
          <cell r="F196" t="str">
            <v>Und</v>
          </cell>
          <cell r="G196">
            <v>1</v>
          </cell>
          <cell r="H196">
            <v>398933</v>
          </cell>
          <cell r="I196">
            <v>398933</v>
          </cell>
          <cell r="J196">
            <v>550527.53999999992</v>
          </cell>
        </row>
        <row r="197">
          <cell r="D197" t="str">
            <v>SUMINISTRO E INSTALACIÓN DE ARQUETA PARA INSPECCIÓN DE PICAS EN PUESTA A TIERRA SIN FONDO</v>
          </cell>
          <cell r="F197" t="str">
            <v>Und</v>
          </cell>
          <cell r="G197">
            <v>1</v>
          </cell>
          <cell r="H197">
            <v>14275700</v>
          </cell>
          <cell r="I197">
            <v>14275700</v>
          </cell>
          <cell r="J197">
            <v>19700466</v>
          </cell>
        </row>
        <row r="198">
          <cell r="D198" t="str">
            <v>SUMINISTRO E INSTALACIÓN DE SOLDADURA EXOTERMICA</v>
          </cell>
          <cell r="F198" t="str">
            <v>Und</v>
          </cell>
          <cell r="G198">
            <v>2.8000000000000003</v>
          </cell>
          <cell r="H198">
            <v>185231</v>
          </cell>
          <cell r="I198">
            <v>518646.80000000005</v>
          </cell>
          <cell r="J198">
            <v>715732.58400000003</v>
          </cell>
        </row>
        <row r="199">
          <cell r="D199" t="str">
            <v>SUMINISTRO E INSTALACIÓN DE GRAPA DE ALEACIÓN RICA EN COBRE (LATÓN) MODELO KZ</v>
          </cell>
          <cell r="F199" t="str">
            <v>Und</v>
          </cell>
          <cell r="G199">
            <v>1</v>
          </cell>
          <cell r="H199">
            <v>292083</v>
          </cell>
          <cell r="I199">
            <v>292083</v>
          </cell>
          <cell r="J199">
            <v>403074.54</v>
          </cell>
        </row>
        <row r="200">
          <cell r="D200" t="str">
            <v xml:space="preserve">INSTALACIÓN DE CABLE DE COBRE TRENZADO DESNUDO DE 50 mm2 </v>
          </cell>
          <cell r="F200" t="str">
            <v>ML</v>
          </cell>
          <cell r="G200">
            <v>113.1390243902439</v>
          </cell>
          <cell r="H200">
            <v>33000.000989065411</v>
          </cell>
          <cell r="I200">
            <v>3733587.9167799447</v>
          </cell>
          <cell r="J200">
            <v>5152351.3251563236</v>
          </cell>
        </row>
        <row r="201">
          <cell r="C201" t="str">
            <v>9.6.8</v>
          </cell>
          <cell r="D201" t="str">
            <v xml:space="preserve">         INSTALACION DE GROUT Y MORTERO AUTOCOMPACTANTE DE ALTA RESISTENCIA WP49</v>
          </cell>
          <cell r="E201" t="str">
            <v>2 días</v>
          </cell>
          <cell r="F201">
            <v>0</v>
          </cell>
          <cell r="J201">
            <v>46410609.014634147</v>
          </cell>
        </row>
        <row r="202">
          <cell r="D202" t="str">
            <v>GROUT Y  MORTERO AUTOCOMPACTANTE DE ALTA RESISTENCIA C80/95 (EN206-1)</v>
          </cell>
          <cell r="F202" t="str">
            <v>lt</v>
          </cell>
          <cell r="G202">
            <v>530.73170731707319</v>
          </cell>
          <cell r="H202">
            <v>63367</v>
          </cell>
          <cell r="I202">
            <v>33630876.097560979</v>
          </cell>
          <cell r="J202">
            <v>46410609.014634147</v>
          </cell>
        </row>
        <row r="203">
          <cell r="C203" t="str">
            <v>9.7</v>
          </cell>
          <cell r="D203" t="str">
            <v xml:space="preserve">      RECALCE 7 WP52</v>
          </cell>
          <cell r="E203" t="str">
            <v>53 días</v>
          </cell>
          <cell r="F203">
            <v>0</v>
          </cell>
        </row>
        <row r="204">
          <cell r="C204" t="str">
            <v>9.7.1</v>
          </cell>
          <cell r="D204" t="str">
            <v xml:space="preserve">         LOCALIZACIÓN DEL ACERO WP52</v>
          </cell>
          <cell r="E204" t="str">
            <v>1 día</v>
          </cell>
          <cell r="F204">
            <v>0</v>
          </cell>
          <cell r="J204">
            <v>90662604.648000002</v>
          </cell>
        </row>
        <row r="205">
          <cell r="D205" t="str">
            <v>RECALCE DE CIMENTACIONES AEROGENERADORES EXISTENTES</v>
          </cell>
          <cell r="F205" t="str">
            <v>Und</v>
          </cell>
          <cell r="G205">
            <v>0.11</v>
          </cell>
          <cell r="H205">
            <v>597250360</v>
          </cell>
          <cell r="I205">
            <v>65697539.600000001</v>
          </cell>
          <cell r="J205">
            <v>90662604.648000002</v>
          </cell>
        </row>
        <row r="206">
          <cell r="C206" t="str">
            <v>9.7.2</v>
          </cell>
          <cell r="D206" t="str">
            <v xml:space="preserve">         ESCARIFICADO Y LIMPIEZA DEL RECUBRIMIENTO WP52</v>
          </cell>
          <cell r="E206" t="str">
            <v>4 días</v>
          </cell>
          <cell r="F206">
            <v>0</v>
          </cell>
          <cell r="J206">
            <v>230777539.104</v>
          </cell>
        </row>
        <row r="207">
          <cell r="D207" t="str">
            <v>RECALCE DE CIMENTACIONES AEROGENERADORES EXISTENTES</v>
          </cell>
          <cell r="F207" t="str">
            <v>Und</v>
          </cell>
          <cell r="G207">
            <v>0.28000000000000003</v>
          </cell>
          <cell r="H207">
            <v>597250360</v>
          </cell>
          <cell r="I207">
            <v>167230100.80000001</v>
          </cell>
          <cell r="J207">
            <v>230777539.104</v>
          </cell>
        </row>
        <row r="208">
          <cell r="C208" t="str">
            <v>9.7.3</v>
          </cell>
          <cell r="D208" t="str">
            <v xml:space="preserve">         CORTE Y FIGURADO DE ACERO WP52</v>
          </cell>
          <cell r="E208" t="str">
            <v>2 días</v>
          </cell>
          <cell r="F208">
            <v>0</v>
          </cell>
          <cell r="J208">
            <v>82420549.679999992</v>
          </cell>
        </row>
        <row r="209">
          <cell r="D209" t="str">
            <v>RECALCE DE CIMENTACIONES AEROGENERADORES EXISTENTES</v>
          </cell>
          <cell r="F209" t="str">
            <v>Und</v>
          </cell>
          <cell r="G209">
            <v>0.1</v>
          </cell>
          <cell r="H209">
            <v>597250360</v>
          </cell>
          <cell r="I209">
            <v>59725036</v>
          </cell>
          <cell r="J209">
            <v>82420549.679999992</v>
          </cell>
        </row>
        <row r="210">
          <cell r="C210" t="str">
            <v>9.7.4</v>
          </cell>
          <cell r="D210" t="str">
            <v xml:space="preserve">         APLICACIÓN DE EPOXICO Y FIJACIÓN DEL ACERO WP52</v>
          </cell>
          <cell r="E210" t="str">
            <v>4 días</v>
          </cell>
          <cell r="F210">
            <v>0</v>
          </cell>
          <cell r="J210">
            <v>230777539.104</v>
          </cell>
        </row>
        <row r="211">
          <cell r="D211" t="str">
            <v>RECALCE DE CIMENTACIONES AEROGENERADORES EXISTENTES</v>
          </cell>
          <cell r="F211" t="str">
            <v>Und</v>
          </cell>
          <cell r="G211">
            <v>0.28000000000000003</v>
          </cell>
          <cell r="H211">
            <v>597250360</v>
          </cell>
          <cell r="I211">
            <v>167230100.80000001</v>
          </cell>
          <cell r="J211">
            <v>230777539.104</v>
          </cell>
        </row>
        <row r="212">
          <cell r="C212" t="str">
            <v>9.7.5</v>
          </cell>
          <cell r="D212" t="str">
            <v xml:space="preserve">         ENCONFRADO WP52</v>
          </cell>
          <cell r="E212" t="str">
            <v>1 día</v>
          </cell>
          <cell r="F212">
            <v>0</v>
          </cell>
          <cell r="J212">
            <v>49452329.807999998</v>
          </cell>
        </row>
        <row r="213">
          <cell r="D213" t="str">
            <v>RECALCE DE CIMENTACIONES AEROGENERADORES EXISTENTES</v>
          </cell>
          <cell r="F213" t="str">
            <v>Und</v>
          </cell>
          <cell r="G213">
            <v>0.06</v>
          </cell>
          <cell r="H213">
            <v>597250360</v>
          </cell>
          <cell r="I213">
            <v>35835021.600000001</v>
          </cell>
          <cell r="J213">
            <v>49452329.807999998</v>
          </cell>
        </row>
        <row r="214">
          <cell r="C214" t="str">
            <v>9.7.6</v>
          </cell>
          <cell r="D214" t="str">
            <v xml:space="preserve">         VACIADO DE CONCRETO (APLICACIÓN PUENTE DE ADHERENCIA) WP52</v>
          </cell>
          <cell r="E214" t="str">
            <v>1 día</v>
          </cell>
          <cell r="F214">
            <v>0</v>
          </cell>
          <cell r="J214">
            <v>140114934.456</v>
          </cell>
        </row>
        <row r="215">
          <cell r="D215" t="str">
            <v>RECALCE DE CIMENTACIONES AEROGENERADORES EXISTENTES</v>
          </cell>
          <cell r="F215" t="str">
            <v>Und</v>
          </cell>
          <cell r="G215">
            <v>0.17</v>
          </cell>
          <cell r="H215">
            <v>597250360</v>
          </cell>
          <cell r="I215">
            <v>101532561.2</v>
          </cell>
          <cell r="J215">
            <v>140114934.456</v>
          </cell>
        </row>
        <row r="216">
          <cell r="C216" t="str">
            <v>9.7.7</v>
          </cell>
          <cell r="D216" t="str">
            <v xml:space="preserve"> ADECUACIONES E INSTALACIONES ELECTRICAS REQUERIDAS WP44</v>
          </cell>
          <cell r="J216">
            <v>52335715.768702812</v>
          </cell>
        </row>
        <row r="217">
          <cell r="D217" t="str">
            <v>ARQUETA EN HORMIGON PARA MEDIA TENSION - EMPALMES (500 MT)</v>
          </cell>
          <cell r="F217" t="str">
            <v>Und</v>
          </cell>
          <cell r="G217">
            <v>1</v>
          </cell>
          <cell r="H217">
            <v>12275310.999985719</v>
          </cell>
          <cell r="I217">
            <v>12275310.999985719</v>
          </cell>
          <cell r="J217">
            <v>16939929.179980289</v>
          </cell>
        </row>
        <row r="218">
          <cell r="D218" t="str">
            <v>ARQUETA EN POLIPROPILENO</v>
          </cell>
          <cell r="F218" t="str">
            <v>Und</v>
          </cell>
          <cell r="G218">
            <v>1</v>
          </cell>
          <cell r="H218">
            <v>6068599.9996856553</v>
          </cell>
          <cell r="I218">
            <v>6068599.9996856553</v>
          </cell>
          <cell r="J218">
            <v>8374667.9995662039</v>
          </cell>
        </row>
        <row r="219">
          <cell r="D219" t="str">
            <v>SUMINISTRO E INSTALACIÓN DE PLATINA</v>
          </cell>
          <cell r="F219" t="str">
            <v>Und</v>
          </cell>
          <cell r="G219">
            <v>1</v>
          </cell>
          <cell r="H219">
            <v>361570</v>
          </cell>
          <cell r="I219">
            <v>361570</v>
          </cell>
          <cell r="J219">
            <v>498966.6</v>
          </cell>
        </row>
        <row r="220">
          <cell r="D220" t="str">
            <v>SUMINISTRO E INSTALACIÓN DE VARILLA</v>
          </cell>
          <cell r="F220" t="str">
            <v>Und</v>
          </cell>
          <cell r="G220">
            <v>1</v>
          </cell>
          <cell r="H220">
            <v>398933</v>
          </cell>
          <cell r="I220">
            <v>398933</v>
          </cell>
          <cell r="J220">
            <v>550527.53999999992</v>
          </cell>
        </row>
        <row r="221">
          <cell r="D221" t="str">
            <v>SUMINISTRO E INSTALACIÓN DE ARQUETA PARA INSPECCIÓN DE PICAS EN PUESTA A TIERRA SIN FONDO</v>
          </cell>
          <cell r="F221" t="str">
            <v>Und</v>
          </cell>
          <cell r="G221">
            <v>1</v>
          </cell>
          <cell r="H221">
            <v>14275700</v>
          </cell>
          <cell r="I221">
            <v>14275700</v>
          </cell>
          <cell r="J221">
            <v>19700466</v>
          </cell>
        </row>
        <row r="222">
          <cell r="D222" t="str">
            <v>SUMINISTRO E INSTALACIÓN DE SOLDADURA EXOTERMICA</v>
          </cell>
          <cell r="F222" t="str">
            <v>Und</v>
          </cell>
          <cell r="G222">
            <v>2.8000000000000003</v>
          </cell>
          <cell r="H222">
            <v>185231</v>
          </cell>
          <cell r="I222">
            <v>518646.80000000005</v>
          </cell>
          <cell r="J222">
            <v>715732.58400000003</v>
          </cell>
        </row>
        <row r="223">
          <cell r="D223" t="str">
            <v>SUMINISTRO E INSTALACIÓN DE GRAPA DE ALEACIÓN RICA EN COBRE (LATÓN) MODELO KZ</v>
          </cell>
          <cell r="F223" t="str">
            <v>Und</v>
          </cell>
          <cell r="G223">
            <v>1</v>
          </cell>
          <cell r="H223">
            <v>292083</v>
          </cell>
          <cell r="I223">
            <v>292083</v>
          </cell>
          <cell r="J223">
            <v>403074.54</v>
          </cell>
        </row>
        <row r="224">
          <cell r="D224" t="str">
            <v xml:space="preserve">INSTALACIÓN DE CABLE DE COBRE TRENZADO DESNUDO DE 50 mm2 </v>
          </cell>
          <cell r="F224" t="str">
            <v>ML</v>
          </cell>
          <cell r="G224">
            <v>113.1390243902439</v>
          </cell>
          <cell r="H224">
            <v>33000.000989065411</v>
          </cell>
          <cell r="I224">
            <v>3733587.9167799447</v>
          </cell>
          <cell r="J224">
            <v>5152351.3251563236</v>
          </cell>
        </row>
        <row r="225">
          <cell r="C225" t="str">
            <v>9.7.8</v>
          </cell>
          <cell r="D225" t="str">
            <v xml:space="preserve">         INSTALACION DE GROUT Y MORTERO AUTOCOMPACTANTE DE ALTA RESISTENCIA WP52</v>
          </cell>
          <cell r="E225" t="str">
            <v>2 días</v>
          </cell>
          <cell r="F225">
            <v>0</v>
          </cell>
          <cell r="J225">
            <v>46410609.014634147</v>
          </cell>
        </row>
        <row r="226">
          <cell r="D226" t="str">
            <v>GROUT Y  MORTERO AUTOCOMPACTANTE DE ALTA RESISTENCIA C80/95 (EN206-1)</v>
          </cell>
          <cell r="F226" t="str">
            <v>lt</v>
          </cell>
          <cell r="G226">
            <v>530.73170731707319</v>
          </cell>
          <cell r="H226">
            <v>63367</v>
          </cell>
          <cell r="I226">
            <v>33630876.097560979</v>
          </cell>
          <cell r="J226">
            <v>46410609.014634147</v>
          </cell>
        </row>
        <row r="227">
          <cell r="C227" t="str">
            <v>9.8</v>
          </cell>
          <cell r="D227" t="str">
            <v xml:space="preserve">      HITO 3: FIN DE ACTIVIDADES DE RECALCE</v>
          </cell>
          <cell r="E227" t="str">
            <v>0 días</v>
          </cell>
          <cell r="F227">
            <v>0</v>
          </cell>
        </row>
        <row r="228">
          <cell r="C228">
            <v>10</v>
          </cell>
          <cell r="D228" t="str">
            <v xml:space="preserve">   EJECUCIÓN DE ACTIVIDADES DE CIMENTACIONES NUEVAS</v>
          </cell>
          <cell r="E228" t="str">
            <v>324 días</v>
          </cell>
          <cell r="F228">
            <v>0</v>
          </cell>
        </row>
        <row r="229">
          <cell r="C229" t="str">
            <v>10.1</v>
          </cell>
          <cell r="D229" t="str">
            <v xml:space="preserve">      CIMENTACION WP50</v>
          </cell>
          <cell r="E229" t="str">
            <v>67 días</v>
          </cell>
          <cell r="F229">
            <v>0</v>
          </cell>
        </row>
        <row r="230">
          <cell r="C230" t="str">
            <v>10.1.1</v>
          </cell>
          <cell r="D230" t="str">
            <v xml:space="preserve">         DESBROCE DE AREA DE ACOPIO DE TORRE Y DE PALAS WP50</v>
          </cell>
          <cell r="E230" t="str">
            <v>8 días</v>
          </cell>
          <cell r="F230">
            <v>0</v>
          </cell>
          <cell r="J230">
            <v>83271780.884117648</v>
          </cell>
        </row>
        <row r="231">
          <cell r="D231" t="str">
            <v>DESBROCE Y LIMPIEZA</v>
          </cell>
          <cell r="F231" t="str">
            <v>m2</v>
          </cell>
          <cell r="G231">
            <v>4799.0294117647063</v>
          </cell>
          <cell r="H231">
            <v>4140</v>
          </cell>
          <cell r="I231">
            <v>19867981.764705885</v>
          </cell>
          <cell r="J231">
            <v>27417814.83529412</v>
          </cell>
        </row>
        <row r="232">
          <cell r="D232" t="str">
            <v>SUMINISTRO DE COMISION TOPOGRAFICA
 (incluyede GPS, Estación Total, tránsitos, distanciómetros, niveles de precisión, miras, prismas, jalones, plomadas, cintas métricas, etc., un cadenero primero , un cadenero segundo, ingeniero topógrafo/topógrafo con matricula vigente, insumos para ralizar la actividad, licencias de software utilizado para la ejecución de los trabajos, movilización de personal equipos y entregables en archivos magnéticos)</v>
          </cell>
          <cell r="F232" t="str">
            <v>Mes</v>
          </cell>
          <cell r="G232">
            <v>0.2</v>
          </cell>
          <cell r="H232">
            <v>31500000</v>
          </cell>
          <cell r="I232">
            <v>6300000</v>
          </cell>
          <cell r="J232">
            <v>8694000</v>
          </cell>
        </row>
        <row r="233">
          <cell r="D233" t="str">
            <v>DESMONTE, DESCAPOTE Y LIMPIEZA INCLUYE  TALA DE ARBOLES CON DAP ≤0.15M, TRANSPORTE Y DISPOSICIÓN FINAL</v>
          </cell>
          <cell r="F233" t="str">
            <v>m2</v>
          </cell>
          <cell r="G233">
            <v>4799.0294117647063</v>
          </cell>
          <cell r="H233">
            <v>7121</v>
          </cell>
          <cell r="I233">
            <v>34173888.441176474</v>
          </cell>
          <cell r="J233">
            <v>47159966.048823528</v>
          </cell>
        </row>
        <row r="234">
          <cell r="C234" t="str">
            <v>10.1.2</v>
          </cell>
          <cell r="D234" t="str">
            <v xml:space="preserve">         EXCAVACIÓN DE CIMENTACION WP50</v>
          </cell>
          <cell r="E234" t="str">
            <v>7 días</v>
          </cell>
          <cell r="F234">
            <v>0</v>
          </cell>
          <cell r="J234">
            <v>312374505.66882348</v>
          </cell>
        </row>
        <row r="235">
          <cell r="D235" t="str">
            <v>EXCAVACIÓN MECÁNICA EN MATERIAL COMÚN</v>
          </cell>
          <cell r="F235" t="str">
            <v>m3</v>
          </cell>
          <cell r="G235">
            <v>4799.0294117647063</v>
          </cell>
          <cell r="H235">
            <v>35495</v>
          </cell>
          <cell r="I235">
            <v>170341548.97058824</v>
          </cell>
          <cell r="J235">
            <v>235071337.57941175</v>
          </cell>
        </row>
        <row r="236">
          <cell r="D236" t="str">
            <v>EXCAVACIÓN EN ROCA</v>
          </cell>
          <cell r="F236" t="str">
            <v>m3</v>
          </cell>
          <cell r="G236">
            <v>414.35294117647061</v>
          </cell>
          <cell r="H236">
            <v>135191</v>
          </cell>
          <cell r="I236">
            <v>56016788.470588237</v>
          </cell>
          <cell r="J236">
            <v>77303168.089411765</v>
          </cell>
        </row>
        <row r="237">
          <cell r="C237" t="str">
            <v>10.1.3</v>
          </cell>
          <cell r="D237" t="str">
            <v xml:space="preserve">         BANCO DE DUCTO WP50</v>
          </cell>
          <cell r="E237" t="str">
            <v>3 días</v>
          </cell>
          <cell r="F237">
            <v>0</v>
          </cell>
          <cell r="J237">
            <v>9527825.6870364472</v>
          </cell>
        </row>
        <row r="238">
          <cell r="D238" t="str">
            <v>INSTALACION DE TUBERIA PVC TIPO TDP Y/O CORRUGADA TIPO PEAD-HDPE  - 50mm</v>
          </cell>
          <cell r="F238" t="str">
            <v>ML</v>
          </cell>
          <cell r="G238">
            <v>7.2352941176470589</v>
          </cell>
          <cell r="H238">
            <v>27751.000385791169</v>
          </cell>
          <cell r="I238">
            <v>200786.64985013611</v>
          </cell>
          <cell r="J238">
            <v>277085.57679318782</v>
          </cell>
        </row>
        <row r="239">
          <cell r="D239" t="str">
            <v>INSTALACION DE TUBERIA PVC TIPO TDP Y/O CORRUGADA TIPO PEAD-HDPE - 90mm</v>
          </cell>
          <cell r="F239" t="str">
            <v>ML</v>
          </cell>
          <cell r="G239">
            <v>34.694117647058818</v>
          </cell>
          <cell r="H239">
            <v>31239.000009014315</v>
          </cell>
          <cell r="I239">
            <v>1083809.5414892142</v>
          </cell>
          <cell r="J239">
            <v>1495657.1672551155</v>
          </cell>
        </row>
        <row r="240">
          <cell r="D240" t="str">
            <v>INSTALACION DE TUBERIA PVC TIPO TDP  Y/O CORRUGADA TIPO PEAD-HDPE - 200mm</v>
          </cell>
          <cell r="F240" t="str">
            <v>ML</v>
          </cell>
          <cell r="G240">
            <v>70.332352941176467</v>
          </cell>
          <cell r="H240">
            <v>79900.999838665448</v>
          </cell>
          <cell r="I240">
            <v>5619625.3210059023</v>
          </cell>
          <cell r="J240">
            <v>7755082.9429881442</v>
          </cell>
        </row>
        <row r="241">
          <cell r="C241" t="str">
            <v>10.1.4</v>
          </cell>
          <cell r="D241" t="str">
            <v xml:space="preserve">         COMPACTACION DE SELLO DE BASE WP50</v>
          </cell>
          <cell r="E241" t="str">
            <v>2 días</v>
          </cell>
          <cell r="F241">
            <v>0</v>
          </cell>
          <cell r="J241">
            <v>320494616.71764702</v>
          </cell>
        </row>
        <row r="242">
          <cell r="D242" t="str">
            <v>RELLENO CON MATERIAL DE EXCAVACIÓN SELECCIONADO</v>
          </cell>
          <cell r="F242" t="str">
            <v>m3</v>
          </cell>
          <cell r="G242">
            <v>4530.6764705882351</v>
          </cell>
          <cell r="H242">
            <v>51260</v>
          </cell>
          <cell r="I242">
            <v>232242475.88235292</v>
          </cell>
          <cell r="J242">
            <v>320494616.71764702</v>
          </cell>
        </row>
        <row r="243">
          <cell r="C243" t="str">
            <v>10.1.5</v>
          </cell>
          <cell r="D243" t="str">
            <v xml:space="preserve">         SOLADO WP50</v>
          </cell>
          <cell r="E243" t="str">
            <v>1 día</v>
          </cell>
          <cell r="F243">
            <v>0</v>
          </cell>
          <cell r="J243">
            <v>94303618.549411759</v>
          </cell>
        </row>
        <row r="244">
          <cell r="D244" t="str">
            <v>CONCRETO CLASE F (140 kg/cm2 Ó 2000 psi)</v>
          </cell>
          <cell r="F244" t="str">
            <v>m3</v>
          </cell>
          <cell r="G244">
            <v>43.941176470588232</v>
          </cell>
          <cell r="H244">
            <v>1555169</v>
          </cell>
          <cell r="I244">
            <v>68335955.470588237</v>
          </cell>
          <cell r="J244">
            <v>94303618.549411759</v>
          </cell>
        </row>
        <row r="245">
          <cell r="C245" t="str">
            <v>10.1.6</v>
          </cell>
          <cell r="D245" t="str">
            <v xml:space="preserve">         INSTALACIÓN DE PERNOS Y SOFT-SPOT WP50</v>
          </cell>
          <cell r="E245" t="str">
            <v>5 días</v>
          </cell>
          <cell r="F245">
            <v>0</v>
          </cell>
          <cell r="J245">
            <v>179436034.15411764</v>
          </cell>
        </row>
        <row r="246">
          <cell r="D246" t="str">
            <v>S0FT-SPOT  (EPS) Tipo II (ASM C578)</v>
          </cell>
          <cell r="F246" t="str">
            <v>m2</v>
          </cell>
          <cell r="G246">
            <v>62.117647058823529</v>
          </cell>
          <cell r="H246">
            <v>484846</v>
          </cell>
          <cell r="I246">
            <v>30117492.705882352</v>
          </cell>
          <cell r="J246">
            <v>41562139.934117645</v>
          </cell>
        </row>
        <row r="247">
          <cell r="D247" t="str">
            <v>MONTAJE Y NIVELACION DE LA JAULA DE ANCLAJES INCLUYE  LA PREPARACIÓN
 DEL ÁREA, LA NIVELACIÓN Y POSICIONAMIENTO DE LOS COMPONENTES (COMO PLANTILLAS Y VARILLAS), EL ENSAMBLAJE DE LA ESTRUCTURA, LA FIJACIÓN FINAL A LA CIMENTACIÓN CON PERNOS DE ANCLAJE, MONTAJE DE BRIDAS, TORQUE Y LIBERACIÓN DE LA CESTA, INCLUYE LA HERRAMIENTA Y EQUIPO DE INSTALACIÓN (peso estimado por jaula 13896  kg)</v>
          </cell>
          <cell r="F247" t="str">
            <v>Und</v>
          </cell>
          <cell r="G247">
            <v>1</v>
          </cell>
          <cell r="H247">
            <v>99908619</v>
          </cell>
          <cell r="I247">
            <v>99908619</v>
          </cell>
          <cell r="J247">
            <v>137873894.22</v>
          </cell>
        </row>
        <row r="248">
          <cell r="C248" t="str">
            <v>10.1.7</v>
          </cell>
          <cell r="D248" t="str">
            <v xml:space="preserve">         INSTALACIÓN DE ACERO DE REFUERZO WP50</v>
          </cell>
          <cell r="E248" t="str">
            <v>14 días</v>
          </cell>
          <cell r="F248">
            <v>0</v>
          </cell>
          <cell r="J248">
            <v>1212623361.2117648</v>
          </cell>
        </row>
        <row r="249">
          <cell r="D249" t="str">
            <v>ACERO FY:  60000 psi (4.200 kg/cm2)</v>
          </cell>
          <cell r="F249" t="str">
            <v>kg</v>
          </cell>
          <cell r="G249">
            <v>68756.852941176476</v>
          </cell>
          <cell r="H249">
            <v>12780</v>
          </cell>
          <cell r="I249">
            <v>878712580.58823538</v>
          </cell>
          <cell r="J249">
            <v>1212623361.2117648</v>
          </cell>
        </row>
        <row r="250">
          <cell r="C250" t="str">
            <v>10.1.8</v>
          </cell>
          <cell r="D250" t="str">
            <v xml:space="preserve">         ENCOFRADO DE ZAPATA Y DE PEDESTAL WP50</v>
          </cell>
          <cell r="E250" t="str">
            <v>3 días</v>
          </cell>
          <cell r="F250">
            <v>0</v>
          </cell>
        </row>
        <row r="251">
          <cell r="C251" t="str">
            <v>10.1.9</v>
          </cell>
          <cell r="D251" t="str">
            <v xml:space="preserve">         HITO: ALISTAMIENTO Y MOVILIZACIÓN DE PLANTA DE CONCRETO PARA WP50</v>
          </cell>
          <cell r="E251" t="str">
            <v>0 días</v>
          </cell>
          <cell r="F251">
            <v>0</v>
          </cell>
        </row>
        <row r="252">
          <cell r="C252" t="str">
            <v>10.1.10</v>
          </cell>
          <cell r="D252" t="str">
            <v xml:space="preserve">         FUNDIDA WP50</v>
          </cell>
          <cell r="E252" t="str">
            <v>1 día</v>
          </cell>
          <cell r="F252">
            <v>0</v>
          </cell>
          <cell r="J252">
            <v>1230815225.9452939</v>
          </cell>
        </row>
        <row r="253">
          <cell r="D253" t="str">
            <v>CONCRETO ESTRUCTURAL  35 MPa(350 kg/cm2 Ó 5000 psi)</v>
          </cell>
          <cell r="F253" t="str">
            <v>m3</v>
          </cell>
          <cell r="G253">
            <v>429.02941176470586</v>
          </cell>
          <cell r="H253">
            <v>1926653</v>
          </cell>
          <cell r="I253">
            <v>826590803.26470578</v>
          </cell>
          <cell r="J253">
            <v>1140695308.5052938</v>
          </cell>
        </row>
        <row r="254">
          <cell r="D254" t="str">
            <v>CONCRETO ESTRUCTURAL  45 MPa(457 kg/cm2 Ó 6500psi)</v>
          </cell>
          <cell r="F254" t="str">
            <v>m3</v>
          </cell>
          <cell r="G254">
            <v>32</v>
          </cell>
          <cell r="H254">
            <v>2040759</v>
          </cell>
          <cell r="I254">
            <v>65304288</v>
          </cell>
          <cell r="J254">
            <v>90119917.439999998</v>
          </cell>
        </row>
        <row r="255">
          <cell r="C255" t="str">
            <v>10.1.11</v>
          </cell>
          <cell r="D255" t="str">
            <v xml:space="preserve">         CURADO DEL CONCRETO WP50</v>
          </cell>
          <cell r="E255" t="str">
            <v>5 días</v>
          </cell>
          <cell r="F255">
            <v>0</v>
          </cell>
        </row>
        <row r="256">
          <cell r="C256" t="str">
            <v>10.1.12</v>
          </cell>
          <cell r="D256" t="str">
            <v xml:space="preserve">         INSTALACIONES ELECTRICAS Y SISTEMA PUESTA TIERRA WP50</v>
          </cell>
          <cell r="E256" t="str">
            <v>2 días</v>
          </cell>
          <cell r="F256">
            <v>0</v>
          </cell>
          <cell r="J256">
            <v>52736347.43270281</v>
          </cell>
        </row>
        <row r="257">
          <cell r="D257" t="str">
            <v>ARQUETA EN HORMIGON PARA MEDIA TENSION - EMPALMES (500 MT)</v>
          </cell>
          <cell r="F257" t="str">
            <v>Und</v>
          </cell>
          <cell r="G257">
            <v>1</v>
          </cell>
          <cell r="H257">
            <v>12275310.999985719</v>
          </cell>
          <cell r="I257">
            <v>12275310.999985719</v>
          </cell>
          <cell r="J257">
            <v>16939929.179980289</v>
          </cell>
        </row>
        <row r="258">
          <cell r="D258" t="str">
            <v>ARQUETA EN POLIPROPILENO</v>
          </cell>
          <cell r="F258" t="str">
            <v>Und</v>
          </cell>
          <cell r="G258">
            <v>1</v>
          </cell>
          <cell r="H258">
            <v>6068599.9996856553</v>
          </cell>
          <cell r="I258">
            <v>6068599.9996856553</v>
          </cell>
          <cell r="J258">
            <v>8374667.9995662039</v>
          </cell>
        </row>
        <row r="259">
          <cell r="D259" t="str">
            <v>SUMINISTRO E INSTALACIÓN DE PLATINA</v>
          </cell>
          <cell r="F259" t="str">
            <v>Und</v>
          </cell>
          <cell r="G259">
            <v>1</v>
          </cell>
          <cell r="H259">
            <v>361570</v>
          </cell>
          <cell r="I259">
            <v>361570</v>
          </cell>
          <cell r="J259">
            <v>498966.6</v>
          </cell>
        </row>
        <row r="260">
          <cell r="D260" t="str">
            <v>SUMINISTRO E INSTALACIÓN DE VARILLA</v>
          </cell>
          <cell r="F260" t="str">
            <v>Und</v>
          </cell>
          <cell r="G260">
            <v>1</v>
          </cell>
          <cell r="H260">
            <v>398933</v>
          </cell>
          <cell r="I260">
            <v>398933</v>
          </cell>
          <cell r="J260">
            <v>550527.53999999992</v>
          </cell>
        </row>
        <row r="261">
          <cell r="D261" t="str">
            <v>SUMINISTRO E INSTALACIÓN DE ARQUETA PARA INSPECCIÓN DE PICAS EN PUESTA A TIERRA SIN FONDO</v>
          </cell>
          <cell r="F261" t="str">
            <v>Und</v>
          </cell>
          <cell r="G261">
            <v>1</v>
          </cell>
          <cell r="H261">
            <v>14275700</v>
          </cell>
          <cell r="I261">
            <v>14275700</v>
          </cell>
          <cell r="J261">
            <v>19700466</v>
          </cell>
        </row>
        <row r="262">
          <cell r="D262" t="str">
            <v>SUMINISTRO E INSTALACIÓN DE SOLDADURA EXOTERMICA</v>
          </cell>
          <cell r="F262" t="str">
            <v>Und</v>
          </cell>
          <cell r="G262">
            <v>2.8000000000000003</v>
          </cell>
          <cell r="H262">
            <v>185231</v>
          </cell>
          <cell r="I262">
            <v>518646.80000000005</v>
          </cell>
          <cell r="J262">
            <v>715732.58400000003</v>
          </cell>
        </row>
        <row r="263">
          <cell r="D263" t="str">
            <v>SUMINISTRO E INSTALACIÓN DE GRAPA DE ALEACIÓN RICA EN COBRE (LATÓN) MODELO KZ</v>
          </cell>
          <cell r="F263" t="str">
            <v>Und</v>
          </cell>
          <cell r="G263">
            <v>1</v>
          </cell>
          <cell r="H263">
            <v>292083</v>
          </cell>
          <cell r="I263">
            <v>292083</v>
          </cell>
          <cell r="J263">
            <v>403074.54</v>
          </cell>
        </row>
        <row r="264">
          <cell r="D264" t="str">
            <v>SUMINISTRO E INSTALACIÓN DE GRAPA DE ALEACIÓN RICA EN COBRE (LATÓN) MODELO KPD</v>
          </cell>
          <cell r="F264" t="str">
            <v>Und</v>
          </cell>
          <cell r="G264">
            <v>0.99393939393939412</v>
          </cell>
          <cell r="H264">
            <v>292083</v>
          </cell>
          <cell r="I264">
            <v>290312.80000000005</v>
          </cell>
          <cell r="J264">
            <v>400631.66400000005</v>
          </cell>
        </row>
        <row r="265">
          <cell r="D265" t="str">
            <v xml:space="preserve">INSTALACIÓN DE CABLE DE COBRE TRENZADO DESNUDO DE 50 mm2 </v>
          </cell>
          <cell r="F265" t="str">
            <v>ML</v>
          </cell>
          <cell r="G265">
            <v>113.1390243902439</v>
          </cell>
          <cell r="H265">
            <v>33000.000989065411</v>
          </cell>
          <cell r="I265">
            <v>3733587.9167799447</v>
          </cell>
          <cell r="J265">
            <v>5152351.3251563236</v>
          </cell>
        </row>
        <row r="266">
          <cell r="C266" t="str">
            <v>10.1.13</v>
          </cell>
          <cell r="D266" t="str">
            <v xml:space="preserve">         INSTALACION DE GROUT Y MORTERO AUTOCOMPACTANTE DE ALTA RESISTENCIA WP50</v>
          </cell>
          <cell r="E266" t="str">
            <v>2 días</v>
          </cell>
          <cell r="F266">
            <v>0</v>
          </cell>
          <cell r="J266">
            <v>46410609.014634147</v>
          </cell>
        </row>
        <row r="267">
          <cell r="D267" t="str">
            <v>GROUT Y  MORTERO AUTOCOMPACTANTE DE ALTA RESISTENCIA C80/95 (EN206-1)</v>
          </cell>
          <cell r="F267" t="str">
            <v>lt</v>
          </cell>
          <cell r="G267">
            <v>530.73170731707319</v>
          </cell>
          <cell r="H267">
            <v>63367</v>
          </cell>
          <cell r="I267">
            <v>33630876.097560979</v>
          </cell>
          <cell r="J267">
            <v>46410609.014634147</v>
          </cell>
        </row>
        <row r="268">
          <cell r="C268" t="str">
            <v>10.1.14</v>
          </cell>
          <cell r="D268" t="str">
            <v xml:space="preserve">         TAPADO AREA DE CIMENTACIÓN Y CONFORMACIÓN DE PLATAFORMA WP50</v>
          </cell>
          <cell r="E268" t="str">
            <v>7 días</v>
          </cell>
          <cell r="F268">
            <v>0</v>
          </cell>
          <cell r="J268">
            <v>1587346329.5488234</v>
          </cell>
        </row>
        <row r="269">
          <cell r="D269" t="str">
            <v>MATERIAL SELECIONADA PARA  FORMACIÓN Y COMPACTACIÓN DE TERRAPLENES Y RELLENO ESTRUCTURAL  (INCLUYE TRANSPORTE DESDE LAS CANTERAS LICENCIADAS HASTA EL SITIO DE INSTALACIÓN)</v>
          </cell>
          <cell r="F269" t="str">
            <v>m3</v>
          </cell>
          <cell r="G269">
            <v>5388.7058823529414</v>
          </cell>
          <cell r="H269">
            <v>174890</v>
          </cell>
          <cell r="I269">
            <v>942430771.7647059</v>
          </cell>
          <cell r="J269">
            <v>1300554465.0352941</v>
          </cell>
        </row>
        <row r="270">
          <cell r="D270" t="str">
            <v>PREPARACIÓN DE SUBRASANTE COMPACTACIÓN Y VALORACIÓN DE LA CAPA DE SUBRASANTE DE LOS VIALES. INCLUYENDO LAS PRUEBAS SEGÚN LO PRESCRITO.</v>
          </cell>
          <cell r="F270" t="str">
            <v>m2</v>
          </cell>
          <cell r="G270">
            <v>631.61764705882354</v>
          </cell>
          <cell r="H270">
            <v>11537</v>
          </cell>
          <cell r="I270">
            <v>7286972.7941176472</v>
          </cell>
          <cell r="J270">
            <v>10056022.455882352</v>
          </cell>
        </row>
        <row r="271">
          <cell r="D271" t="str">
            <v>SUBBASE GRANULAR  (INCLUYE TRANSPORTE DESDE LAS CANTERAS LICENCIADAS HASTA EL SITIO DE INSTALACIÓN)</v>
          </cell>
          <cell r="F271" t="str">
            <v>m3</v>
          </cell>
          <cell r="G271">
            <v>880.85294117647061</v>
          </cell>
          <cell r="H271">
            <v>227658</v>
          </cell>
          <cell r="I271">
            <v>200533218.88235295</v>
          </cell>
          <cell r="J271">
            <v>276735842.05764705</v>
          </cell>
        </row>
        <row r="272">
          <cell r="C272" t="str">
            <v>10.1.15</v>
          </cell>
          <cell r="D272" t="str">
            <v xml:space="preserve">         ESTABILIZACIÓN DE TALUDES EN PLATAFORMA Y RECONFORMACION FINAL WP50</v>
          </cell>
          <cell r="E272" t="str">
            <v>7 días</v>
          </cell>
          <cell r="F272">
            <v>0</v>
          </cell>
          <cell r="J272">
            <v>179532477.23999998</v>
          </cell>
        </row>
        <row r="273">
          <cell r="D273" t="str">
            <v xml:space="preserve">ENROCADO PROTECCIÓN TALUD PLATAFORMAS PROTECCIÓN CON ENROCADO DE PIEDRA DEL TALUD DE LAS PLATAFORMAS EN TERRAPLÉN CON 30 CM DE PIEDRA DE 6-10 CM DE DIÁMETRO, PESO ESPECÍFICO DE LAS PIEDRAS DE 2,64  G/CM3  (INCLUYE TRANSPORTE DESDE LAS CANTERAS LICENCIADAS HASTA EL SITIO DE INSTALACIÓN) </v>
          </cell>
          <cell r="F273" t="str">
            <v>m3</v>
          </cell>
          <cell r="G273">
            <v>42.352941176470587</v>
          </cell>
          <cell r="H273">
            <v>276393</v>
          </cell>
          <cell r="I273">
            <v>11706056.470588235</v>
          </cell>
          <cell r="J273">
            <v>16154357.929411763</v>
          </cell>
        </row>
        <row r="274">
          <cell r="D274" t="str">
            <v xml:space="preserve">ENROCADO PROTECCIÓN TALUD CIMENTACION PROTECCIÓN CON ENROCADO DE PIEDRA DEL TALUD DE LAS CIMENTACIONES EN TERRAPLÉN CON 30 CM DE PIEDRA DE 6-10 CM DE DIÁMETRO, PESO ESPECÍFICO DE LAS PIEDRAS DE 2,64 G/CM3   (INCLUYE TRANSPORTE DESDE LAS CANTERAS LICENCIADAS HASTA EL SITIO DE INSTALACIÓN) </v>
          </cell>
          <cell r="F274" t="str">
            <v>m3</v>
          </cell>
          <cell r="G274">
            <v>25.529411764705884</v>
          </cell>
          <cell r="H274">
            <v>286818</v>
          </cell>
          <cell r="I274">
            <v>7322294.823529412</v>
          </cell>
          <cell r="J274">
            <v>10104766.856470589</v>
          </cell>
        </row>
        <row r="275">
          <cell r="D275" t="str">
            <v>BASE GRANULAR   (INCLUYE TRANSPORTE DESDE LAS CANTERAS LICENCIADAS HASTA EL SITIO DE INSTALACIÓN)</v>
          </cell>
          <cell r="F275" t="str">
            <v>m3</v>
          </cell>
          <cell r="G275">
            <v>237.64705882352942</v>
          </cell>
          <cell r="H275">
            <v>265112</v>
          </cell>
          <cell r="I275">
            <v>63003087.058823533</v>
          </cell>
          <cell r="J275">
            <v>86944260.141176462</v>
          </cell>
        </row>
        <row r="276">
          <cell r="D276" t="str">
            <v>SUMINISTRO E INSTALACIÓN DE GEOTEXTILES</v>
          </cell>
          <cell r="F276" t="str">
            <v>m2</v>
          </cell>
          <cell r="G276">
            <v>887.17647058823525</v>
          </cell>
          <cell r="H276">
            <v>54177</v>
          </cell>
          <cell r="I276">
            <v>48064559.647058822</v>
          </cell>
          <cell r="J276">
            <v>66329092.312941171</v>
          </cell>
        </row>
        <row r="277">
          <cell r="C277" t="str">
            <v>10.1.16</v>
          </cell>
          <cell r="D277" t="str">
            <v xml:space="preserve">         HITO: FINALIZACION DE ACTIVIDADES EN CIMENTACION WP50</v>
          </cell>
          <cell r="E277" t="str">
            <v>0 días</v>
          </cell>
          <cell r="F277">
            <v>0</v>
          </cell>
        </row>
        <row r="278">
          <cell r="C278" t="str">
            <v>10.2</v>
          </cell>
          <cell r="D278" t="str">
            <v xml:space="preserve">      CIMENTACION WP53</v>
          </cell>
          <cell r="E278" t="str">
            <v>64 días</v>
          </cell>
          <cell r="F278">
            <v>0</v>
          </cell>
        </row>
        <row r="279">
          <cell r="C279" t="str">
            <v>10.2.1</v>
          </cell>
          <cell r="D279" t="str">
            <v xml:space="preserve">         DESBROCE DE AREA DE ACOPIO DE TORRE Y DE PALAS WP53</v>
          </cell>
          <cell r="E279" t="str">
            <v>8 días</v>
          </cell>
          <cell r="F279">
            <v>0</v>
          </cell>
          <cell r="J279">
            <v>83271780.884117648</v>
          </cell>
        </row>
        <row r="280">
          <cell r="D280" t="str">
            <v>DESBROCE Y LIMPIEZA</v>
          </cell>
          <cell r="F280" t="str">
            <v>m2</v>
          </cell>
          <cell r="G280">
            <v>4799.0294117647063</v>
          </cell>
          <cell r="H280">
            <v>4140</v>
          </cell>
          <cell r="I280">
            <v>19867981.764705885</v>
          </cell>
          <cell r="J280">
            <v>27417814.83529412</v>
          </cell>
        </row>
        <row r="281">
          <cell r="D281" t="str">
            <v>SUMINISTRO DE COMISION TOPOGRAFICA
 (incluyede GPS, Estación Total, tránsitos, distanciómetros, niveles de precisión, miras, prismas, jalones, plomadas, cintas métricas, etc., un cadenero primero , un cadenero segundo, ingeniero topógrafo/topógrafo con matricula vigente, insumos para ralizar la actividad, licencias de software utilizado para la ejecución de los trabajos, movilización de personal equipos y entregables en archivos magnéticos)</v>
          </cell>
          <cell r="F281" t="str">
            <v>Mes</v>
          </cell>
          <cell r="G281">
            <v>0.2</v>
          </cell>
          <cell r="H281">
            <v>31500000</v>
          </cell>
          <cell r="I281">
            <v>6300000</v>
          </cell>
          <cell r="J281">
            <v>8694000</v>
          </cell>
        </row>
        <row r="282">
          <cell r="D282" t="str">
            <v>DESMONTE, DESCAPOTE Y LIMPIEZA INCLUYE  TALA DE ARBOLES CON DAP ≤0.15M, TRANSPORTE Y DISPOSICIÓN FINAL</v>
          </cell>
          <cell r="F282" t="str">
            <v>m2</v>
          </cell>
          <cell r="G282">
            <v>4799.0294117647063</v>
          </cell>
          <cell r="H282">
            <v>7121</v>
          </cell>
          <cell r="I282">
            <v>34173888.441176474</v>
          </cell>
          <cell r="J282">
            <v>47159966.048823528</v>
          </cell>
        </row>
        <row r="283">
          <cell r="C283" t="str">
            <v>10.2.2</v>
          </cell>
          <cell r="D283" t="str">
            <v xml:space="preserve">         EXCAVACIÓN DE CIMENTACION WP53</v>
          </cell>
          <cell r="E283" t="str">
            <v>7 días</v>
          </cell>
          <cell r="F283">
            <v>0</v>
          </cell>
          <cell r="J283">
            <v>312374505.66882348</v>
          </cell>
        </row>
        <row r="284">
          <cell r="D284" t="str">
            <v>EXCAVACIÓN MECÁNICA EN MATERIAL COMÚN</v>
          </cell>
          <cell r="F284" t="str">
            <v>m3</v>
          </cell>
          <cell r="G284">
            <v>4799.0294117647063</v>
          </cell>
          <cell r="H284">
            <v>35495</v>
          </cell>
          <cell r="I284">
            <v>170341548.97058824</v>
          </cell>
          <cell r="J284">
            <v>235071337.57941175</v>
          </cell>
        </row>
        <row r="285">
          <cell r="D285" t="str">
            <v>EXCAVACIÓN EN ROCA</v>
          </cell>
          <cell r="F285" t="str">
            <v>m3</v>
          </cell>
          <cell r="G285">
            <v>414.35294117647061</v>
          </cell>
          <cell r="H285">
            <v>135191</v>
          </cell>
          <cell r="I285">
            <v>56016788.470588237</v>
          </cell>
          <cell r="J285">
            <v>77303168.089411765</v>
          </cell>
        </row>
        <row r="286">
          <cell r="C286" t="str">
            <v>10.2.3</v>
          </cell>
          <cell r="D286" t="str">
            <v xml:space="preserve">         BANCO DE DUCTO WP53</v>
          </cell>
          <cell r="E286" t="str">
            <v>3 días</v>
          </cell>
          <cell r="F286">
            <v>0</v>
          </cell>
          <cell r="J286">
            <v>9527825.6870364472</v>
          </cell>
        </row>
        <row r="287">
          <cell r="D287" t="str">
            <v>INSTALACION DE TUBERIA PVC TIPO TDP Y/O CORRUGADA TIPO PEAD-HDPE  - 50mm</v>
          </cell>
          <cell r="F287" t="str">
            <v>ML</v>
          </cell>
          <cell r="G287">
            <v>7.2352941176470589</v>
          </cell>
          <cell r="H287">
            <v>27751.000385791169</v>
          </cell>
          <cell r="I287">
            <v>200786.64985013611</v>
          </cell>
          <cell r="J287">
            <v>277085.57679318782</v>
          </cell>
        </row>
        <row r="288">
          <cell r="D288" t="str">
            <v>INSTALACION DE TUBERIA PVC TIPO TDP Y/O CORRUGADA TIPO PEAD-HDPE - 90mm</v>
          </cell>
          <cell r="F288" t="str">
            <v>ML</v>
          </cell>
          <cell r="G288">
            <v>34.694117647058818</v>
          </cell>
          <cell r="H288">
            <v>31239.000009014315</v>
          </cell>
          <cell r="I288">
            <v>1083809.5414892142</v>
          </cell>
          <cell r="J288">
            <v>1495657.1672551155</v>
          </cell>
        </row>
        <row r="289">
          <cell r="D289" t="str">
            <v>INSTALACION DE TUBERIA PVC TIPO TDP  Y/O CORRUGADA TIPO PEAD-HDPE - 200mm</v>
          </cell>
          <cell r="F289" t="str">
            <v>ML</v>
          </cell>
          <cell r="G289">
            <v>70.332352941176467</v>
          </cell>
          <cell r="H289">
            <v>79900.999838665448</v>
          </cell>
          <cell r="I289">
            <v>5619625.3210059023</v>
          </cell>
          <cell r="J289">
            <v>7755082.9429881442</v>
          </cell>
        </row>
        <row r="290">
          <cell r="C290" t="str">
            <v>10.2.4</v>
          </cell>
          <cell r="D290" t="str">
            <v xml:space="preserve">         COMPACTACION DE SELLO DE BASE WP53</v>
          </cell>
          <cell r="E290" t="str">
            <v>2 días</v>
          </cell>
          <cell r="F290">
            <v>0</v>
          </cell>
          <cell r="J290">
            <v>320494616.71764702</v>
          </cell>
        </row>
        <row r="291">
          <cell r="D291" t="str">
            <v>RELLENO CON MATERIAL DE EXCAVACIÓN SELECCIONADO</v>
          </cell>
          <cell r="F291" t="str">
            <v>m3</v>
          </cell>
          <cell r="G291">
            <v>4530.6764705882351</v>
          </cell>
          <cell r="H291">
            <v>51260</v>
          </cell>
          <cell r="I291">
            <v>232242475.88235292</v>
          </cell>
          <cell r="J291">
            <v>320494616.71764702</v>
          </cell>
        </row>
        <row r="292">
          <cell r="C292" t="str">
            <v>10.2.5</v>
          </cell>
          <cell r="D292" t="str">
            <v xml:space="preserve">         SOLADO WP53</v>
          </cell>
          <cell r="E292" t="str">
            <v>1 día</v>
          </cell>
          <cell r="F292">
            <v>0</v>
          </cell>
          <cell r="J292">
            <v>94303618.549411759</v>
          </cell>
        </row>
        <row r="293">
          <cell r="D293" t="str">
            <v>CONCRETO CLASE F (140 kg/cm2 Ó 2000 psi)</v>
          </cell>
          <cell r="F293" t="str">
            <v>m3</v>
          </cell>
          <cell r="G293">
            <v>43.941176470588232</v>
          </cell>
          <cell r="H293">
            <v>1555169</v>
          </cell>
          <cell r="I293">
            <v>68335955.470588237</v>
          </cell>
          <cell r="J293">
            <v>94303618.549411759</v>
          </cell>
        </row>
        <row r="294">
          <cell r="C294" t="str">
            <v>10.2.6</v>
          </cell>
          <cell r="D294" t="str">
            <v xml:space="preserve">         INSTALACIÓN DE PERNOS Y SOFT-SPOT WP53</v>
          </cell>
          <cell r="E294" t="str">
            <v>5 días</v>
          </cell>
          <cell r="F294">
            <v>0</v>
          </cell>
          <cell r="J294">
            <v>179436034.15411764</v>
          </cell>
        </row>
        <row r="295">
          <cell r="D295" t="str">
            <v>S0FT-SPOT  (EPS) Tipo II (ASM C578)</v>
          </cell>
          <cell r="F295" t="str">
            <v>m2</v>
          </cell>
          <cell r="G295">
            <v>62.117647058823529</v>
          </cell>
          <cell r="H295">
            <v>484846</v>
          </cell>
          <cell r="I295">
            <v>30117492.705882352</v>
          </cell>
          <cell r="J295">
            <v>41562139.934117645</v>
          </cell>
        </row>
        <row r="296">
          <cell r="D296" t="str">
            <v>MONTAJE Y NIVELACION DE LA JAULA DE ANCLAJES INCLUYE  LA PREPARACIÓN
 DEL ÁREA, LA NIVELACIÓN Y POSICIONAMIENTO DE LOS COMPONENTES (COMO PLANTILLAS Y VARILLAS), EL ENSAMBLAJE DE LA ESTRUCTURA, LA FIJACIÓN FINAL A LA CIMENTACIÓN CON PERNOS DE ANCLAJE, MONTAJE DE BRIDAS, TORQUE Y LIBERACIÓN DE LA CESTA, INCLUYE LA HERRAMIENTA Y EQUIPO DE INSTALACIÓN (peso estimado por jaula 13896  kg)</v>
          </cell>
          <cell r="F296" t="str">
            <v>Und</v>
          </cell>
          <cell r="G296">
            <v>1</v>
          </cell>
          <cell r="H296">
            <v>99908619</v>
          </cell>
          <cell r="I296">
            <v>99908619</v>
          </cell>
          <cell r="J296">
            <v>137873894.22</v>
          </cell>
        </row>
        <row r="297">
          <cell r="C297" t="str">
            <v>10.2.7</v>
          </cell>
          <cell r="D297" t="str">
            <v xml:space="preserve">         INSTALACIÓN DE ACERO DE REFUERZO WP53</v>
          </cell>
          <cell r="E297" t="str">
            <v>14 días</v>
          </cell>
          <cell r="F297">
            <v>0</v>
          </cell>
          <cell r="J297">
            <v>1212623361.2117648</v>
          </cell>
        </row>
        <row r="298">
          <cell r="D298" t="str">
            <v>ACERO FY:  60000 psi (4.200 kg/cm2)</v>
          </cell>
          <cell r="F298" t="str">
            <v>kg</v>
          </cell>
          <cell r="G298">
            <v>68756.852941176476</v>
          </cell>
          <cell r="H298">
            <v>12780</v>
          </cell>
          <cell r="I298">
            <v>878712580.58823538</v>
          </cell>
          <cell r="J298">
            <v>1212623361.2117648</v>
          </cell>
        </row>
        <row r="299">
          <cell r="C299" t="str">
            <v>10.2.8</v>
          </cell>
          <cell r="D299" t="str">
            <v xml:space="preserve">         ENCOFRADO DE ZAPATA Y DE PEDESTAL WP53</v>
          </cell>
          <cell r="E299" t="str">
            <v>3 días</v>
          </cell>
          <cell r="F299">
            <v>0</v>
          </cell>
        </row>
        <row r="300">
          <cell r="C300" t="str">
            <v>10.2.9</v>
          </cell>
          <cell r="D300" t="str">
            <v xml:space="preserve">         HITO: ALISTAMIENTO Y MOVILIZACIÓN DE PLANTA DE CONCRETO PARA WP53</v>
          </cell>
          <cell r="E300" t="str">
            <v>0 días</v>
          </cell>
          <cell r="F300">
            <v>0</v>
          </cell>
        </row>
        <row r="301">
          <cell r="C301" t="str">
            <v>10.2.10</v>
          </cell>
          <cell r="D301" t="str">
            <v xml:space="preserve">         FUNDIDA WP53</v>
          </cell>
          <cell r="E301" t="str">
            <v>1 día</v>
          </cell>
          <cell r="F301">
            <v>0</v>
          </cell>
          <cell r="J301">
            <v>1230815225.9452939</v>
          </cell>
        </row>
        <row r="302">
          <cell r="D302" t="str">
            <v>CONCRETO ESTRUCTURAL  35 MPa(350 kg/cm2 Ó 5000 psi)</v>
          </cell>
          <cell r="F302" t="str">
            <v>m3</v>
          </cell>
          <cell r="G302">
            <v>429.02941176470586</v>
          </cell>
          <cell r="H302">
            <v>1926653</v>
          </cell>
          <cell r="I302">
            <v>826590803.26470578</v>
          </cell>
          <cell r="J302">
            <v>1140695308.5052938</v>
          </cell>
        </row>
        <row r="303">
          <cell r="D303" t="str">
            <v>CONCRETO ESTRUCTURAL  45 MPa(457 kg/cm2 Ó 6500psi)</v>
          </cell>
          <cell r="F303" t="str">
            <v>m3</v>
          </cell>
          <cell r="G303">
            <v>32</v>
          </cell>
          <cell r="H303">
            <v>2040759</v>
          </cell>
          <cell r="I303">
            <v>65304288</v>
          </cell>
          <cell r="J303">
            <v>90119917.439999998</v>
          </cell>
        </row>
        <row r="304">
          <cell r="C304" t="str">
            <v>10.2.11</v>
          </cell>
          <cell r="D304" t="str">
            <v xml:space="preserve">         CURADO DEL CONCRETO WP53</v>
          </cell>
          <cell r="E304" t="str">
            <v>5 días</v>
          </cell>
          <cell r="F304">
            <v>0</v>
          </cell>
        </row>
        <row r="305">
          <cell r="C305" t="str">
            <v>10.2.12</v>
          </cell>
          <cell r="D305" t="str">
            <v xml:space="preserve">         INSTALACIONES ELECTRICAS Y SISTEMA PUESTA TIERRA WP53</v>
          </cell>
          <cell r="E305" t="str">
            <v>2 días</v>
          </cell>
          <cell r="F305">
            <v>0</v>
          </cell>
          <cell r="J305">
            <v>52736347.43270281</v>
          </cell>
        </row>
        <row r="306">
          <cell r="D306" t="str">
            <v>ARQUETA EN HORMIGON PARA MEDIA TENSION - EMPALMES (500 MT)</v>
          </cell>
          <cell r="F306" t="str">
            <v>Und</v>
          </cell>
          <cell r="G306">
            <v>1</v>
          </cell>
          <cell r="H306">
            <v>12275310.999985719</v>
          </cell>
          <cell r="I306">
            <v>12275310.999985719</v>
          </cell>
          <cell r="J306">
            <v>16939929.179980289</v>
          </cell>
        </row>
        <row r="307">
          <cell r="D307" t="str">
            <v>ARQUETA EN POLIPROPILENO</v>
          </cell>
          <cell r="F307" t="str">
            <v>Und</v>
          </cell>
          <cell r="G307">
            <v>1</v>
          </cell>
          <cell r="H307">
            <v>6068599.9996856553</v>
          </cell>
          <cell r="I307">
            <v>6068599.9996856553</v>
          </cell>
          <cell r="J307">
            <v>8374667.9995662039</v>
          </cell>
        </row>
        <row r="308">
          <cell r="D308" t="str">
            <v>SUMINISTRO E INSTALACIÓN DE PLATINA</v>
          </cell>
          <cell r="F308" t="str">
            <v>Und</v>
          </cell>
          <cell r="G308">
            <v>1</v>
          </cell>
          <cell r="H308">
            <v>361570</v>
          </cell>
          <cell r="I308">
            <v>361570</v>
          </cell>
          <cell r="J308">
            <v>498966.6</v>
          </cell>
        </row>
        <row r="309">
          <cell r="D309" t="str">
            <v>SUMINISTRO E INSTALACIÓN DE VARILLA</v>
          </cell>
          <cell r="F309" t="str">
            <v>Und</v>
          </cell>
          <cell r="G309">
            <v>1</v>
          </cell>
          <cell r="H309">
            <v>398933</v>
          </cell>
          <cell r="I309">
            <v>398933</v>
          </cell>
          <cell r="J309">
            <v>550527.53999999992</v>
          </cell>
        </row>
        <row r="310">
          <cell r="D310" t="str">
            <v>SUMINISTRO E INSTALACIÓN DE ARQUETA PARA INSPECCIÓN DE PICAS EN PUESTA A TIERRA SIN FONDO</v>
          </cell>
          <cell r="F310" t="str">
            <v>Und</v>
          </cell>
          <cell r="G310">
            <v>1</v>
          </cell>
          <cell r="H310">
            <v>14275700</v>
          </cell>
          <cell r="I310">
            <v>14275700</v>
          </cell>
          <cell r="J310">
            <v>19700466</v>
          </cell>
        </row>
        <row r="311">
          <cell r="D311" t="str">
            <v>SUMINISTRO E INSTALACIÓN DE SOLDADURA EXOTERMICA</v>
          </cell>
          <cell r="F311" t="str">
            <v>Und</v>
          </cell>
          <cell r="G311">
            <v>2.8000000000000003</v>
          </cell>
          <cell r="H311">
            <v>185231</v>
          </cell>
          <cell r="I311">
            <v>518646.80000000005</v>
          </cell>
          <cell r="J311">
            <v>715732.58400000003</v>
          </cell>
        </row>
        <row r="312">
          <cell r="D312" t="str">
            <v>SUMINISTRO E INSTALACIÓN DE GRAPA DE ALEACIÓN RICA EN COBRE (LATÓN) MODELO KZ</v>
          </cell>
          <cell r="F312" t="str">
            <v>Und</v>
          </cell>
          <cell r="G312">
            <v>1</v>
          </cell>
          <cell r="H312">
            <v>292083</v>
          </cell>
          <cell r="I312">
            <v>292083</v>
          </cell>
          <cell r="J312">
            <v>403074.54</v>
          </cell>
        </row>
        <row r="313">
          <cell r="D313" t="str">
            <v>SUMINISTRO E INSTALACIÓN DE GRAPA DE ALEACIÓN RICA EN COBRE (LATÓN) MODELO KPD</v>
          </cell>
          <cell r="F313" t="str">
            <v>Und</v>
          </cell>
          <cell r="G313">
            <v>0.99393939393939412</v>
          </cell>
          <cell r="H313">
            <v>292083</v>
          </cell>
          <cell r="I313">
            <v>290312.80000000005</v>
          </cell>
          <cell r="J313">
            <v>400631.66400000005</v>
          </cell>
        </row>
        <row r="314">
          <cell r="D314" t="str">
            <v xml:space="preserve">INSTALACIÓN DE CABLE DE COBRE TRENZADO DESNUDO DE 50 mm2 </v>
          </cell>
          <cell r="F314" t="str">
            <v>ML</v>
          </cell>
          <cell r="G314">
            <v>113.1390243902439</v>
          </cell>
          <cell r="H314">
            <v>33000.000989065411</v>
          </cell>
          <cell r="I314">
            <v>3733587.9167799447</v>
          </cell>
          <cell r="J314">
            <v>5152351.3251563236</v>
          </cell>
        </row>
        <row r="315">
          <cell r="C315" t="str">
            <v>10.2.13</v>
          </cell>
          <cell r="D315" t="str">
            <v xml:space="preserve">         INSTALACION DE GROUT Y MORTERO AUTOCOMPACTANTE DE ALTA RESISTENCIA WP53</v>
          </cell>
          <cell r="E315" t="str">
            <v>2 días</v>
          </cell>
          <cell r="F315">
            <v>0</v>
          </cell>
          <cell r="J315">
            <v>46410609.014634147</v>
          </cell>
        </row>
        <row r="316">
          <cell r="D316" t="str">
            <v>GROUT Y  MORTERO AUTOCOMPACTANTE DE ALTA RESISTENCIA C80/95 (EN206-1)</v>
          </cell>
          <cell r="F316" t="str">
            <v>lt</v>
          </cell>
          <cell r="G316">
            <v>530.73170731707319</v>
          </cell>
          <cell r="H316">
            <v>63367</v>
          </cell>
          <cell r="I316">
            <v>33630876.097560979</v>
          </cell>
          <cell r="J316">
            <v>46410609.014634147</v>
          </cell>
        </row>
        <row r="317">
          <cell r="C317" t="str">
            <v>10.2.14</v>
          </cell>
          <cell r="D317" t="str">
            <v xml:space="preserve">         TAPADO AREA DE CIMENTACIÓN Y CONFORMACIÓN DE PLATAFORMA WP53</v>
          </cell>
          <cell r="E317" t="str">
            <v>7 días</v>
          </cell>
          <cell r="F317">
            <v>0</v>
          </cell>
          <cell r="J317">
            <v>1587346329.5488234</v>
          </cell>
        </row>
        <row r="318">
          <cell r="D318" t="str">
            <v>MATERIAL SELECIONADA PARA  FORMACIÓN Y COMPACTACIÓN DE TERRAPLENES Y RELLENO ESTRUCTURAL  (INCLUYE TRANSPORTE DESDE LAS CANTERAS LICENCIADAS HASTA EL SITIO DE INSTALACIÓN)</v>
          </cell>
          <cell r="F318" t="str">
            <v>m3</v>
          </cell>
          <cell r="G318">
            <v>5388.7058823529414</v>
          </cell>
          <cell r="H318">
            <v>174890</v>
          </cell>
          <cell r="I318">
            <v>942430771.7647059</v>
          </cell>
          <cell r="J318">
            <v>1300554465.0352941</v>
          </cell>
        </row>
        <row r="319">
          <cell r="D319" t="str">
            <v>PREPARACIÓN DE SUBRASANTE COMPACTACIÓN Y VALORACIÓN DE LA CAPA DE SUBRASANTE DE LOS VIALES. INCLUYENDO LAS PRUEBAS SEGÚN LO PRESCRITO.</v>
          </cell>
          <cell r="F319" t="str">
            <v>m2</v>
          </cell>
          <cell r="G319">
            <v>631.61764705882354</v>
          </cell>
          <cell r="H319">
            <v>11537</v>
          </cell>
          <cell r="I319">
            <v>7286972.7941176472</v>
          </cell>
          <cell r="J319">
            <v>10056022.455882352</v>
          </cell>
        </row>
        <row r="320">
          <cell r="D320" t="str">
            <v>SUBBASE GRANULAR  (INCLUYE TRANSPORTE DESDE LAS CANTERAS LICENCIADAS HASTA EL SITIO DE INSTALACIÓN)</v>
          </cell>
          <cell r="F320" t="str">
            <v>m3</v>
          </cell>
          <cell r="G320">
            <v>880.85294117647061</v>
          </cell>
          <cell r="H320">
            <v>227658</v>
          </cell>
          <cell r="I320">
            <v>200533218.88235295</v>
          </cell>
          <cell r="J320">
            <v>276735842.05764705</v>
          </cell>
        </row>
        <row r="321">
          <cell r="C321" t="str">
            <v>10.2.15</v>
          </cell>
          <cell r="D321" t="str">
            <v xml:space="preserve">         ESTABILIZACIÓN DE TALUDES EN PLATAFORMA Y RECONFORMACION FINAL WP53</v>
          </cell>
          <cell r="E321" t="str">
            <v>7 días</v>
          </cell>
          <cell r="F321">
            <v>0</v>
          </cell>
          <cell r="J321">
            <v>179532477.23999998</v>
          </cell>
        </row>
        <row r="322">
          <cell r="D322" t="str">
            <v xml:space="preserve">ENROCADO PROTECCIÓN TALUD PLATAFORMAS PROTECCIÓN CON ENROCADO DE PIEDRA DEL TALUD DE LAS PLATAFORMAS EN TERRAPLÉN CON 30 CM DE PIEDRA DE 6-10 CM DE DIÁMETRO, PESO ESPECÍFICO DE LAS PIEDRAS DE 2,64  G/CM3  (INCLUYE TRANSPORTE DESDE LAS CANTERAS LICENCIADAS HASTA EL SITIO DE INSTALACIÓN) </v>
          </cell>
          <cell r="F322" t="str">
            <v>m3</v>
          </cell>
          <cell r="G322">
            <v>42.352941176470587</v>
          </cell>
          <cell r="H322">
            <v>276393</v>
          </cell>
          <cell r="I322">
            <v>11706056.470588235</v>
          </cell>
          <cell r="J322">
            <v>16154357.929411763</v>
          </cell>
        </row>
        <row r="323">
          <cell r="D323" t="str">
            <v xml:space="preserve">ENROCADO PROTECCIÓN TALUD CIMENTACION PROTECCIÓN CON ENROCADO DE PIEDRA DEL TALUD DE LAS CIMENTACIONES EN TERRAPLÉN CON 30 CM DE PIEDRA DE 6-10 CM DE DIÁMETRO, PESO ESPECÍFICO DE LAS PIEDRAS DE 2,64 G/CM3   (INCLUYE TRANSPORTE DESDE LAS CANTERAS LICENCIADAS HASTA EL SITIO DE INSTALACIÓN) </v>
          </cell>
          <cell r="F323" t="str">
            <v>m3</v>
          </cell>
          <cell r="G323">
            <v>25.529411764705884</v>
          </cell>
          <cell r="H323">
            <v>286818</v>
          </cell>
          <cell r="I323">
            <v>7322294.823529412</v>
          </cell>
          <cell r="J323">
            <v>10104766.856470589</v>
          </cell>
        </row>
        <row r="324">
          <cell r="D324" t="str">
            <v>BASE GRANULAR   (INCLUYE TRANSPORTE DESDE LAS CANTERAS LICENCIADAS HASTA EL SITIO DE INSTALACIÓN)</v>
          </cell>
          <cell r="F324" t="str">
            <v>m3</v>
          </cell>
          <cell r="G324">
            <v>237.64705882352942</v>
          </cell>
          <cell r="H324">
            <v>265112</v>
          </cell>
          <cell r="I324">
            <v>63003087.058823533</v>
          </cell>
          <cell r="J324">
            <v>86944260.141176462</v>
          </cell>
        </row>
        <row r="325">
          <cell r="D325" t="str">
            <v>SUMINISTRO E INSTALACIÓN DE GEOTEXTILES</v>
          </cell>
          <cell r="F325" t="str">
            <v>m2</v>
          </cell>
          <cell r="G325">
            <v>887.17647058823525</v>
          </cell>
          <cell r="H325">
            <v>54177</v>
          </cell>
          <cell r="I325">
            <v>48064559.647058822</v>
          </cell>
          <cell r="J325">
            <v>66329092.312941171</v>
          </cell>
        </row>
        <row r="326">
          <cell r="C326" t="str">
            <v>10.2.16</v>
          </cell>
          <cell r="D326" t="str">
            <v xml:space="preserve">         HITO: FINALIZACION DE ACTIVIDADES EN CIMENTACION WP53</v>
          </cell>
          <cell r="E326" t="str">
            <v>0 días</v>
          </cell>
          <cell r="F326">
            <v>0</v>
          </cell>
        </row>
        <row r="327">
          <cell r="C327" t="str">
            <v>10.3</v>
          </cell>
          <cell r="D327" t="str">
            <v xml:space="preserve">      CIMENTACION WP15</v>
          </cell>
          <cell r="E327" t="str">
            <v>64 días</v>
          </cell>
          <cell r="F327">
            <v>0</v>
          </cell>
        </row>
        <row r="328">
          <cell r="C328" t="str">
            <v>10.3.1</v>
          </cell>
          <cell r="D328" t="str">
            <v xml:space="preserve">         DESBROCE DE AREA DE ACOPIO DE TORRE Y DE PALAS WP15</v>
          </cell>
          <cell r="E328" t="str">
            <v>8 días</v>
          </cell>
          <cell r="F328">
            <v>0</v>
          </cell>
          <cell r="J328">
            <v>83271780.884117648</v>
          </cell>
        </row>
        <row r="329">
          <cell r="D329" t="str">
            <v>DESBROCE Y LIMPIEZA</v>
          </cell>
          <cell r="F329" t="str">
            <v>m2</v>
          </cell>
          <cell r="G329">
            <v>4799.0294117647063</v>
          </cell>
          <cell r="H329">
            <v>4140</v>
          </cell>
          <cell r="I329">
            <v>19867981.764705885</v>
          </cell>
          <cell r="J329">
            <v>27417814.83529412</v>
          </cell>
        </row>
        <row r="330">
          <cell r="D330" t="str">
            <v>SUMINISTRO DE COMISION TOPOGRAFICA
 (incluyede GPS, Estación Total, tránsitos, distanciómetros, niveles de precisión, miras, prismas, jalones, plomadas, cintas métricas, etc., un cadenero primero , un cadenero segundo, ingeniero topógrafo/topógrafo con matricula vigente, insumos para ralizar la actividad, licencias de software utilizado para la ejecución de los trabajos, movilización de personal equipos y entregables en archivos magnéticos)</v>
          </cell>
          <cell r="F330" t="str">
            <v>Mes</v>
          </cell>
          <cell r="G330">
            <v>0.2</v>
          </cell>
          <cell r="H330">
            <v>31500000</v>
          </cell>
          <cell r="I330">
            <v>6300000</v>
          </cell>
          <cell r="J330">
            <v>8694000</v>
          </cell>
        </row>
        <row r="331">
          <cell r="D331" t="str">
            <v>DESMONTE, DESCAPOTE Y LIMPIEZA INCLUYE  TALA DE ARBOLES CON DAP ≤0.15M, TRANSPORTE Y DISPOSICIÓN FINAL</v>
          </cell>
          <cell r="F331" t="str">
            <v>m2</v>
          </cell>
          <cell r="G331">
            <v>4799.0294117647063</v>
          </cell>
          <cell r="H331">
            <v>7121</v>
          </cell>
          <cell r="I331">
            <v>34173888.441176474</v>
          </cell>
          <cell r="J331">
            <v>47159966.048823528</v>
          </cell>
        </row>
        <row r="332">
          <cell r="C332" t="str">
            <v>10.3.2</v>
          </cell>
          <cell r="D332" t="str">
            <v xml:space="preserve">         EXCAVACIÓN DE CIMENTACION WP15</v>
          </cell>
          <cell r="E332" t="str">
            <v>7 días</v>
          </cell>
          <cell r="F332">
            <v>0</v>
          </cell>
          <cell r="J332">
            <v>312374505.66882348</v>
          </cell>
        </row>
        <row r="333">
          <cell r="D333" t="str">
            <v>EXCAVACIÓN MECÁNICA EN MATERIAL COMÚN</v>
          </cell>
          <cell r="F333" t="str">
            <v>m3</v>
          </cell>
          <cell r="G333">
            <v>4799.0294117647063</v>
          </cell>
          <cell r="H333">
            <v>35495</v>
          </cell>
          <cell r="I333">
            <v>170341548.97058824</v>
          </cell>
          <cell r="J333">
            <v>235071337.57941175</v>
          </cell>
        </row>
        <row r="334">
          <cell r="D334" t="str">
            <v>EXCAVACIÓN EN ROCA</v>
          </cell>
          <cell r="F334" t="str">
            <v>m3</v>
          </cell>
          <cell r="G334">
            <v>414.35294117647061</v>
          </cell>
          <cell r="H334">
            <v>135191</v>
          </cell>
          <cell r="I334">
            <v>56016788.470588237</v>
          </cell>
          <cell r="J334">
            <v>77303168.089411765</v>
          </cell>
        </row>
        <row r="335">
          <cell r="C335" t="str">
            <v>10.3.3</v>
          </cell>
          <cell r="D335" t="str">
            <v xml:space="preserve">         BANCO DE DUCTO WP15</v>
          </cell>
          <cell r="E335" t="str">
            <v>3 días</v>
          </cell>
          <cell r="F335">
            <v>0</v>
          </cell>
          <cell r="J335">
            <v>9527825.6870364472</v>
          </cell>
        </row>
        <row r="336">
          <cell r="D336" t="str">
            <v>INSTALACION DE TUBERIA PVC TIPO TDP Y/O CORRUGADA TIPO PEAD-HDPE  - 50mm</v>
          </cell>
          <cell r="F336" t="str">
            <v>ML</v>
          </cell>
          <cell r="G336">
            <v>7.2352941176470589</v>
          </cell>
          <cell r="H336">
            <v>27751.000385791169</v>
          </cell>
          <cell r="I336">
            <v>200786.64985013611</v>
          </cell>
          <cell r="J336">
            <v>277085.57679318782</v>
          </cell>
        </row>
        <row r="337">
          <cell r="D337" t="str">
            <v>INSTALACION DE TUBERIA PVC TIPO TDP Y/O CORRUGADA TIPO PEAD-HDPE - 90mm</v>
          </cell>
          <cell r="F337" t="str">
            <v>ML</v>
          </cell>
          <cell r="G337">
            <v>34.694117647058818</v>
          </cell>
          <cell r="H337">
            <v>31239.000009014315</v>
          </cell>
          <cell r="I337">
            <v>1083809.5414892142</v>
          </cell>
          <cell r="J337">
            <v>1495657.1672551155</v>
          </cell>
        </row>
        <row r="338">
          <cell r="D338" t="str">
            <v>INSTALACION DE TUBERIA PVC TIPO TDP  Y/O CORRUGADA TIPO PEAD-HDPE - 200mm</v>
          </cell>
          <cell r="F338" t="str">
            <v>ML</v>
          </cell>
          <cell r="G338">
            <v>70.332352941176467</v>
          </cell>
          <cell r="H338">
            <v>79900.999838665448</v>
          </cell>
          <cell r="I338">
            <v>5619625.3210059023</v>
          </cell>
          <cell r="J338">
            <v>7755082.9429881442</v>
          </cell>
        </row>
        <row r="339">
          <cell r="C339" t="str">
            <v>10.3.4</v>
          </cell>
          <cell r="D339" t="str">
            <v xml:space="preserve">         COMPACTACION DE SELLO DE BASE WP15</v>
          </cell>
          <cell r="E339" t="str">
            <v>2 días</v>
          </cell>
          <cell r="F339">
            <v>0</v>
          </cell>
          <cell r="J339">
            <v>320494616.71764702</v>
          </cell>
        </row>
        <row r="340">
          <cell r="D340" t="str">
            <v>RELLENO CON MATERIAL DE EXCAVACIÓN SELECCIONADO</v>
          </cell>
          <cell r="F340" t="str">
            <v>m3</v>
          </cell>
          <cell r="G340">
            <v>4530.6764705882351</v>
          </cell>
          <cell r="H340">
            <v>51260</v>
          </cell>
          <cell r="I340">
            <v>232242475.88235292</v>
          </cell>
          <cell r="J340">
            <v>320494616.71764702</v>
          </cell>
        </row>
        <row r="341">
          <cell r="C341" t="str">
            <v>10.3.5</v>
          </cell>
          <cell r="D341" t="str">
            <v xml:space="preserve">         SOLADO WP15</v>
          </cell>
          <cell r="E341" t="str">
            <v>1 día</v>
          </cell>
          <cell r="F341">
            <v>0</v>
          </cell>
          <cell r="J341">
            <v>94303618.549411759</v>
          </cell>
        </row>
        <row r="342">
          <cell r="D342" t="str">
            <v>CONCRETO CLASE F (140 kg/cm2 Ó 2000 psi)</v>
          </cell>
          <cell r="F342" t="str">
            <v>m3</v>
          </cell>
          <cell r="G342">
            <v>43.941176470588232</v>
          </cell>
          <cell r="H342">
            <v>1555169</v>
          </cell>
          <cell r="I342">
            <v>68335955.470588237</v>
          </cell>
          <cell r="J342">
            <v>94303618.549411759</v>
          </cell>
        </row>
        <row r="343">
          <cell r="C343" t="str">
            <v>10.3.6</v>
          </cell>
          <cell r="D343" t="str">
            <v xml:space="preserve">         INSTALACIÓN DE PERNOS Y SOFT-SPOT WP15</v>
          </cell>
          <cell r="E343" t="str">
            <v>5 días</v>
          </cell>
          <cell r="F343">
            <v>0</v>
          </cell>
          <cell r="J343">
            <v>179436034.15411764</v>
          </cell>
        </row>
        <row r="344">
          <cell r="D344" t="str">
            <v>S0FT-SPOT  (EPS) Tipo II (ASM C578)</v>
          </cell>
          <cell r="F344" t="str">
            <v>m2</v>
          </cell>
          <cell r="G344">
            <v>62.117647058823529</v>
          </cell>
          <cell r="H344">
            <v>484846</v>
          </cell>
          <cell r="I344">
            <v>30117492.705882352</v>
          </cell>
          <cell r="J344">
            <v>41562139.934117645</v>
          </cell>
        </row>
        <row r="345">
          <cell r="D345" t="str">
            <v>MONTAJE Y NIVELACION DE LA JAULA DE ANCLAJES INCLUYE  LA PREPARACIÓN
 DEL ÁREA, LA NIVELACIÓN Y POSICIONAMIENTO DE LOS COMPONENTES (COMO PLANTILLAS Y VARILLAS), EL ENSAMBLAJE DE LA ESTRUCTURA, LA FIJACIÓN FINAL A LA CIMENTACIÓN CON PERNOS DE ANCLAJE, MONTAJE DE BRIDAS, TORQUE Y LIBERACIÓN DE LA CESTA, INCLUYE LA HERRAMIENTA Y EQUIPO DE INSTALACIÓN (peso estimado por jaula 13896  kg)</v>
          </cell>
          <cell r="F345" t="str">
            <v>Und</v>
          </cell>
          <cell r="G345">
            <v>1</v>
          </cell>
          <cell r="H345">
            <v>99908619</v>
          </cell>
          <cell r="I345">
            <v>99908619</v>
          </cell>
          <cell r="J345">
            <v>137873894.22</v>
          </cell>
        </row>
        <row r="346">
          <cell r="C346" t="str">
            <v>10.3.7</v>
          </cell>
          <cell r="D346" t="str">
            <v xml:space="preserve">         INSTALACIÓN DE ACERO DE REFUERZO WP15</v>
          </cell>
          <cell r="E346" t="str">
            <v>14 días</v>
          </cell>
          <cell r="F346">
            <v>0</v>
          </cell>
          <cell r="J346">
            <v>1212623361.2117648</v>
          </cell>
        </row>
        <row r="347">
          <cell r="D347" t="str">
            <v>ACERO FY:  60000 psi (4.200 kg/cm2)</v>
          </cell>
          <cell r="F347" t="str">
            <v>kg</v>
          </cell>
          <cell r="G347">
            <v>68756.852941176476</v>
          </cell>
          <cell r="H347">
            <v>12780</v>
          </cell>
          <cell r="I347">
            <v>878712580.58823538</v>
          </cell>
          <cell r="J347">
            <v>1212623361.2117648</v>
          </cell>
        </row>
        <row r="348">
          <cell r="C348" t="str">
            <v>10.3.8</v>
          </cell>
          <cell r="D348" t="str">
            <v xml:space="preserve">         ENCOFRADO DE ZAPATA Y DE PEDESTAL WP15</v>
          </cell>
          <cell r="E348" t="str">
            <v>3 días</v>
          </cell>
          <cell r="F348">
            <v>0</v>
          </cell>
        </row>
        <row r="349">
          <cell r="C349" t="str">
            <v>10.3.9</v>
          </cell>
          <cell r="D349" t="str">
            <v xml:space="preserve">         HITO: ALISTAMIENTO Y MOVILIZACIÓN DE PLANTA DE CONCRETO PARA WP15</v>
          </cell>
          <cell r="E349" t="str">
            <v>0 días</v>
          </cell>
          <cell r="F349">
            <v>0</v>
          </cell>
        </row>
        <row r="350">
          <cell r="C350" t="str">
            <v>10.3.10</v>
          </cell>
          <cell r="D350" t="str">
            <v xml:space="preserve">         FUNDIDA WP15</v>
          </cell>
          <cell r="E350" t="str">
            <v>1 día</v>
          </cell>
          <cell r="F350">
            <v>0</v>
          </cell>
          <cell r="J350">
            <v>1230815225.9452939</v>
          </cell>
        </row>
        <row r="351">
          <cell r="D351" t="str">
            <v>CONCRETO ESTRUCTURAL  35 MPa(350 kg/cm2 Ó 5000 psi)</v>
          </cell>
          <cell r="F351" t="str">
            <v>m3</v>
          </cell>
          <cell r="G351">
            <v>429.02941176470586</v>
          </cell>
          <cell r="H351">
            <v>1926653</v>
          </cell>
          <cell r="I351">
            <v>826590803.26470578</v>
          </cell>
          <cell r="J351">
            <v>1140695308.5052938</v>
          </cell>
        </row>
        <row r="352">
          <cell r="D352" t="str">
            <v>CONCRETO ESTRUCTURAL  45 MPa(457 kg/cm2 Ó 6500psi)</v>
          </cell>
          <cell r="F352" t="str">
            <v>m3</v>
          </cell>
          <cell r="G352">
            <v>32</v>
          </cell>
          <cell r="H352">
            <v>2040759</v>
          </cell>
          <cell r="I352">
            <v>65304288</v>
          </cell>
          <cell r="J352">
            <v>90119917.439999998</v>
          </cell>
        </row>
        <row r="353">
          <cell r="C353" t="str">
            <v>10.3.11</v>
          </cell>
          <cell r="D353" t="str">
            <v xml:space="preserve">         CURADO DEL CONCRETO WP15</v>
          </cell>
          <cell r="E353" t="str">
            <v>5 días</v>
          </cell>
          <cell r="F353">
            <v>0</v>
          </cell>
        </row>
        <row r="354">
          <cell r="C354" t="str">
            <v>10.3.12</v>
          </cell>
          <cell r="D354" t="str">
            <v xml:space="preserve">         INSTALACIONES ELECTRICAS Y SISTEMA PUESTA TIERRA WP15</v>
          </cell>
          <cell r="E354" t="str">
            <v>2 días</v>
          </cell>
          <cell r="F354">
            <v>0</v>
          </cell>
          <cell r="J354">
            <v>52736347.43270281</v>
          </cell>
        </row>
        <row r="355">
          <cell r="D355" t="str">
            <v>ARQUETA EN HORMIGON PARA MEDIA TENSION - EMPALMES (500 MT)</v>
          </cell>
          <cell r="F355" t="str">
            <v>Und</v>
          </cell>
          <cell r="G355">
            <v>1</v>
          </cell>
          <cell r="H355">
            <v>12275310.999985719</v>
          </cell>
          <cell r="I355">
            <v>12275310.999985719</v>
          </cell>
          <cell r="J355">
            <v>16939929.179980289</v>
          </cell>
        </row>
        <row r="356">
          <cell r="D356" t="str">
            <v>ARQUETA EN POLIPROPILENO</v>
          </cell>
          <cell r="F356" t="str">
            <v>Und</v>
          </cell>
          <cell r="G356">
            <v>1</v>
          </cell>
          <cell r="H356">
            <v>6068599.9996856553</v>
          </cell>
          <cell r="I356">
            <v>6068599.9996856553</v>
          </cell>
          <cell r="J356">
            <v>8374667.9995662039</v>
          </cell>
        </row>
        <row r="357">
          <cell r="D357" t="str">
            <v>SUMINISTRO E INSTALACIÓN DE PLATINA</v>
          </cell>
          <cell r="F357" t="str">
            <v>Und</v>
          </cell>
          <cell r="G357">
            <v>1</v>
          </cell>
          <cell r="H357">
            <v>361570</v>
          </cell>
          <cell r="I357">
            <v>361570</v>
          </cell>
          <cell r="J357">
            <v>498966.6</v>
          </cell>
        </row>
        <row r="358">
          <cell r="D358" t="str">
            <v>SUMINISTRO E INSTALACIÓN DE VARILLA</v>
          </cell>
          <cell r="F358" t="str">
            <v>Und</v>
          </cell>
          <cell r="G358">
            <v>1</v>
          </cell>
          <cell r="H358">
            <v>398933</v>
          </cell>
          <cell r="I358">
            <v>398933</v>
          </cell>
          <cell r="J358">
            <v>550527.53999999992</v>
          </cell>
        </row>
        <row r="359">
          <cell r="D359" t="str">
            <v>SUMINISTRO E INSTALACIÓN DE ARQUETA PARA INSPECCIÓN DE PICAS EN PUESTA A TIERRA SIN FONDO</v>
          </cell>
          <cell r="F359" t="str">
            <v>Und</v>
          </cell>
          <cell r="G359">
            <v>1</v>
          </cell>
          <cell r="H359">
            <v>14275700</v>
          </cell>
          <cell r="I359">
            <v>14275700</v>
          </cell>
          <cell r="J359">
            <v>19700466</v>
          </cell>
        </row>
        <row r="360">
          <cell r="D360" t="str">
            <v>SUMINISTRO E INSTALACIÓN DE SOLDADURA EXOTERMICA</v>
          </cell>
          <cell r="F360" t="str">
            <v>Und</v>
          </cell>
          <cell r="G360">
            <v>2.8000000000000003</v>
          </cell>
          <cell r="H360">
            <v>185231</v>
          </cell>
          <cell r="I360">
            <v>518646.80000000005</v>
          </cell>
          <cell r="J360">
            <v>715732.58400000003</v>
          </cell>
        </row>
        <row r="361">
          <cell r="D361" t="str">
            <v>SUMINISTRO E INSTALACIÓN DE GRAPA DE ALEACIÓN RICA EN COBRE (LATÓN) MODELO KZ</v>
          </cell>
          <cell r="F361" t="str">
            <v>Und</v>
          </cell>
          <cell r="G361">
            <v>1</v>
          </cell>
          <cell r="H361">
            <v>292083</v>
          </cell>
          <cell r="I361">
            <v>292083</v>
          </cell>
          <cell r="J361">
            <v>403074.54</v>
          </cell>
        </row>
        <row r="362">
          <cell r="D362" t="str">
            <v>SUMINISTRO E INSTALACIÓN DE GRAPA DE ALEACIÓN RICA EN COBRE (LATÓN) MODELO KPD</v>
          </cell>
          <cell r="F362" t="str">
            <v>Und</v>
          </cell>
          <cell r="G362">
            <v>0.99393939393939412</v>
          </cell>
          <cell r="H362">
            <v>292083</v>
          </cell>
          <cell r="I362">
            <v>290312.80000000005</v>
          </cell>
          <cell r="J362">
            <v>400631.66400000005</v>
          </cell>
        </row>
        <row r="363">
          <cell r="D363" t="str">
            <v xml:space="preserve">INSTALACIÓN DE CABLE DE COBRE TRENZADO DESNUDO DE 50 mm2 </v>
          </cell>
          <cell r="F363" t="str">
            <v>ML</v>
          </cell>
          <cell r="G363">
            <v>113.1390243902439</v>
          </cell>
          <cell r="H363">
            <v>33000.000989065411</v>
          </cell>
          <cell r="I363">
            <v>3733587.9167799447</v>
          </cell>
          <cell r="J363">
            <v>5152351.3251563236</v>
          </cell>
        </row>
        <row r="364">
          <cell r="C364" t="str">
            <v>10.3.13</v>
          </cell>
          <cell r="D364" t="str">
            <v xml:space="preserve">         INSTALACION DE GROUT Y MORTERO AUTOCOMPACTANTE DE ALTA RESISTENCIA WP15</v>
          </cell>
          <cell r="E364" t="str">
            <v>2 días</v>
          </cell>
          <cell r="F364">
            <v>0</v>
          </cell>
          <cell r="J364">
            <v>46410609.014634147</v>
          </cell>
        </row>
        <row r="365">
          <cell r="D365" t="str">
            <v>GROUT Y  MORTERO AUTOCOMPACTANTE DE ALTA RESISTENCIA C80/95 (EN206-1)</v>
          </cell>
          <cell r="F365" t="str">
            <v>lt</v>
          </cell>
          <cell r="G365">
            <v>530.73170731707319</v>
          </cell>
          <cell r="H365">
            <v>63367</v>
          </cell>
          <cell r="I365">
            <v>33630876.097560979</v>
          </cell>
          <cell r="J365">
            <v>46410609.014634147</v>
          </cell>
        </row>
        <row r="366">
          <cell r="C366" t="str">
            <v>10.3.14</v>
          </cell>
          <cell r="D366" t="str">
            <v xml:space="preserve">         TAPADO AREA DE CIMENTACIÓN Y CONFORMACIÓN DE PLATAFORMA WP15</v>
          </cell>
          <cell r="E366" t="str">
            <v>7 días</v>
          </cell>
          <cell r="F366">
            <v>0</v>
          </cell>
          <cell r="J366">
            <v>1587346329.5488234</v>
          </cell>
        </row>
        <row r="367">
          <cell r="D367" t="str">
            <v>MATERIAL SELECIONADA PARA  FORMACIÓN Y COMPACTACIÓN DE TERRAPLENES Y RELLENO ESTRUCTURAL  (INCLUYE TRANSPORTE DESDE LAS CANTERAS LICENCIADAS HASTA EL SITIO DE INSTALACIÓN)</v>
          </cell>
          <cell r="F367" t="str">
            <v>m3</v>
          </cell>
          <cell r="G367">
            <v>5388.7058823529414</v>
          </cell>
          <cell r="H367">
            <v>174890</v>
          </cell>
          <cell r="I367">
            <v>942430771.7647059</v>
          </cell>
          <cell r="J367">
            <v>1300554465.0352941</v>
          </cell>
        </row>
        <row r="368">
          <cell r="D368" t="str">
            <v>PREPARACIÓN DE SUBRASANTE COMPACTACIÓN Y VALORACIÓN DE LA CAPA DE SUBRASANTE DE LOS VIALES. INCLUYENDO LAS PRUEBAS SEGÚN LO PRESCRITO.</v>
          </cell>
          <cell r="F368" t="str">
            <v>m2</v>
          </cell>
          <cell r="G368">
            <v>631.61764705882354</v>
          </cell>
          <cell r="H368">
            <v>11537</v>
          </cell>
          <cell r="I368">
            <v>7286972.7941176472</v>
          </cell>
          <cell r="J368">
            <v>10056022.455882352</v>
          </cell>
        </row>
        <row r="369">
          <cell r="D369" t="str">
            <v>SUBBASE GRANULAR  (INCLUYE TRANSPORTE DESDE LAS CANTERAS LICENCIADAS HASTA EL SITIO DE INSTALACIÓN)</v>
          </cell>
          <cell r="F369" t="str">
            <v>m3</v>
          </cell>
          <cell r="G369">
            <v>880.85294117647061</v>
          </cell>
          <cell r="H369">
            <v>227658</v>
          </cell>
          <cell r="I369">
            <v>200533218.88235295</v>
          </cell>
          <cell r="J369">
            <v>276735842.05764705</v>
          </cell>
        </row>
        <row r="370">
          <cell r="C370" t="str">
            <v>10.3.15</v>
          </cell>
          <cell r="D370" t="str">
            <v xml:space="preserve">         ESTABILIZACIÓN DE TALUDES EN PLATAFORMA Y RECONFORMACION FINAL WP15</v>
          </cell>
          <cell r="E370" t="str">
            <v>7 días</v>
          </cell>
          <cell r="F370">
            <v>0</v>
          </cell>
          <cell r="J370">
            <v>179532477.23999998</v>
          </cell>
        </row>
        <row r="371">
          <cell r="D371" t="str">
            <v xml:space="preserve">ENROCADO PROTECCIÓN TALUD PLATAFORMAS PROTECCIÓN CON ENROCADO DE PIEDRA DEL TALUD DE LAS PLATAFORMAS EN TERRAPLÉN CON 30 CM DE PIEDRA DE 6-10 CM DE DIÁMETRO, PESO ESPECÍFICO DE LAS PIEDRAS DE 2,64  G/CM3  (INCLUYE TRANSPORTE DESDE LAS CANTERAS LICENCIADAS HASTA EL SITIO DE INSTALACIÓN) </v>
          </cell>
          <cell r="F371" t="str">
            <v>m3</v>
          </cell>
          <cell r="G371">
            <v>42.352941176470587</v>
          </cell>
          <cell r="H371">
            <v>276393</v>
          </cell>
          <cell r="I371">
            <v>11706056.470588235</v>
          </cell>
          <cell r="J371">
            <v>16154357.929411763</v>
          </cell>
        </row>
        <row r="372">
          <cell r="D372" t="str">
            <v xml:space="preserve">ENROCADO PROTECCIÓN TALUD CIMENTACION PROTECCIÓN CON ENROCADO DE PIEDRA DEL TALUD DE LAS CIMENTACIONES EN TERRAPLÉN CON 30 CM DE PIEDRA DE 6-10 CM DE DIÁMETRO, PESO ESPECÍFICO DE LAS PIEDRAS DE 2,64 G/CM3   (INCLUYE TRANSPORTE DESDE LAS CANTERAS LICENCIADAS HASTA EL SITIO DE INSTALACIÓN) </v>
          </cell>
          <cell r="F372" t="str">
            <v>m3</v>
          </cell>
          <cell r="G372">
            <v>25.529411764705884</v>
          </cell>
          <cell r="H372">
            <v>286818</v>
          </cell>
          <cell r="I372">
            <v>7322294.823529412</v>
          </cell>
          <cell r="J372">
            <v>10104766.856470589</v>
          </cell>
        </row>
        <row r="373">
          <cell r="D373" t="str">
            <v>BASE GRANULAR   (INCLUYE TRANSPORTE DESDE LAS CANTERAS LICENCIADAS HASTA EL SITIO DE INSTALACIÓN)</v>
          </cell>
          <cell r="F373" t="str">
            <v>m3</v>
          </cell>
          <cell r="G373">
            <v>237.64705882352942</v>
          </cell>
          <cell r="H373">
            <v>265112</v>
          </cell>
          <cell r="I373">
            <v>63003087.058823533</v>
          </cell>
          <cell r="J373">
            <v>86944260.141176462</v>
          </cell>
        </row>
        <row r="374">
          <cell r="D374" t="str">
            <v>SUMINISTRO E INSTALACIÓN DE GEOTEXTILES</v>
          </cell>
          <cell r="F374" t="str">
            <v>m2</v>
          </cell>
          <cell r="G374">
            <v>887.17647058823525</v>
          </cell>
          <cell r="H374">
            <v>54177</v>
          </cell>
          <cell r="I374">
            <v>48064559.647058822</v>
          </cell>
          <cell r="J374">
            <v>66329092.312941171</v>
          </cell>
        </row>
        <row r="375">
          <cell r="C375" t="str">
            <v>10.3.16</v>
          </cell>
          <cell r="D375" t="str">
            <v xml:space="preserve">         HITO: FINALIZACION DE ACTIVIDADES EN CIMENTACION WP15</v>
          </cell>
          <cell r="E375" t="str">
            <v>0 días</v>
          </cell>
          <cell r="F375">
            <v>0</v>
          </cell>
        </row>
        <row r="376">
          <cell r="C376" t="str">
            <v>10.4</v>
          </cell>
          <cell r="D376" t="str">
            <v xml:space="preserve">      CIMENTACION WP14</v>
          </cell>
          <cell r="E376" t="str">
            <v>64 días</v>
          </cell>
          <cell r="F376">
            <v>0</v>
          </cell>
        </row>
        <row r="377">
          <cell r="C377" t="str">
            <v>10.4.1</v>
          </cell>
          <cell r="D377" t="str">
            <v xml:space="preserve">         DESBROCE DE AREA DE ACOPIO DE TORRE Y DE PALAS WP14</v>
          </cell>
          <cell r="E377" t="str">
            <v>8 días</v>
          </cell>
          <cell r="F377">
            <v>0</v>
          </cell>
          <cell r="J377">
            <v>83271780.884117648</v>
          </cell>
        </row>
        <row r="378">
          <cell r="D378" t="str">
            <v>DESBROCE Y LIMPIEZA</v>
          </cell>
          <cell r="F378" t="str">
            <v>m2</v>
          </cell>
          <cell r="G378">
            <v>4799.0294117647063</v>
          </cell>
          <cell r="H378">
            <v>4140</v>
          </cell>
          <cell r="I378">
            <v>19867981.764705885</v>
          </cell>
          <cell r="J378">
            <v>27417814.83529412</v>
          </cell>
        </row>
        <row r="379">
          <cell r="D379" t="str">
            <v>SUMINISTRO DE COMISION TOPOGRAFICA
 (incluyede GPS, Estación Total, tránsitos, distanciómetros, niveles de precisión, miras, prismas, jalones, plomadas, cintas métricas, etc., un cadenero primero , un cadenero segundo, ingeniero topógrafo/topógrafo con matricula vigente, insumos para ralizar la actividad, licencias de software utilizado para la ejecución de los trabajos, movilización de personal equipos y entregables en archivos magnéticos)</v>
          </cell>
          <cell r="F379" t="str">
            <v>Mes</v>
          </cell>
          <cell r="G379">
            <v>0.2</v>
          </cell>
          <cell r="H379">
            <v>31500000</v>
          </cell>
          <cell r="I379">
            <v>6300000</v>
          </cell>
          <cell r="J379">
            <v>8694000</v>
          </cell>
        </row>
        <row r="380">
          <cell r="D380" t="str">
            <v>DESMONTE, DESCAPOTE Y LIMPIEZA INCLUYE  TALA DE ARBOLES CON DAP ≤0.15M, TRANSPORTE Y DISPOSICIÓN FINAL</v>
          </cell>
          <cell r="F380" t="str">
            <v>m2</v>
          </cell>
          <cell r="G380">
            <v>4799.0294117647063</v>
          </cell>
          <cell r="H380">
            <v>7121</v>
          </cell>
          <cell r="I380">
            <v>34173888.441176474</v>
          </cell>
          <cell r="J380">
            <v>47159966.048823528</v>
          </cell>
        </row>
        <row r="381">
          <cell r="C381" t="str">
            <v>10.4.2</v>
          </cell>
          <cell r="D381" t="str">
            <v xml:space="preserve">         EXCAVACIÓN DE CIMENTACION WP14</v>
          </cell>
          <cell r="E381" t="str">
            <v>7 días</v>
          </cell>
          <cell r="F381">
            <v>0</v>
          </cell>
          <cell r="J381">
            <v>312374505.66882348</v>
          </cell>
        </row>
        <row r="382">
          <cell r="D382" t="str">
            <v>EXCAVACIÓN MECÁNICA EN MATERIAL COMÚN</v>
          </cell>
          <cell r="F382" t="str">
            <v>m3</v>
          </cell>
          <cell r="G382">
            <v>4799.0294117647063</v>
          </cell>
          <cell r="H382">
            <v>35495</v>
          </cell>
          <cell r="I382">
            <v>170341548.97058824</v>
          </cell>
          <cell r="J382">
            <v>235071337.57941175</v>
          </cell>
        </row>
        <row r="383">
          <cell r="D383" t="str">
            <v>EXCAVACIÓN EN ROCA</v>
          </cell>
          <cell r="F383" t="str">
            <v>m3</v>
          </cell>
          <cell r="G383">
            <v>414.35294117647061</v>
          </cell>
          <cell r="H383">
            <v>135191</v>
          </cell>
          <cell r="I383">
            <v>56016788.470588237</v>
          </cell>
          <cell r="J383">
            <v>77303168.089411765</v>
          </cell>
        </row>
        <row r="384">
          <cell r="C384" t="str">
            <v>10.4.3</v>
          </cell>
          <cell r="D384" t="str">
            <v xml:space="preserve">         BANCO DE DUCTO WP14</v>
          </cell>
          <cell r="E384" t="str">
            <v>3 días</v>
          </cell>
          <cell r="F384">
            <v>0</v>
          </cell>
          <cell r="J384">
            <v>9527825.6870364472</v>
          </cell>
        </row>
        <row r="385">
          <cell r="D385" t="str">
            <v>INSTALACION DE TUBERIA PVC TIPO TDP Y/O CORRUGADA TIPO PEAD-HDPE  - 50mm</v>
          </cell>
          <cell r="F385" t="str">
            <v>ML</v>
          </cell>
          <cell r="G385">
            <v>7.2352941176470589</v>
          </cell>
          <cell r="H385">
            <v>27751.000385791169</v>
          </cell>
          <cell r="I385">
            <v>200786.64985013611</v>
          </cell>
          <cell r="J385">
            <v>277085.57679318782</v>
          </cell>
        </row>
        <row r="386">
          <cell r="D386" t="str">
            <v>INSTALACION DE TUBERIA PVC TIPO TDP Y/O CORRUGADA TIPO PEAD-HDPE - 90mm</v>
          </cell>
          <cell r="F386" t="str">
            <v>ML</v>
          </cell>
          <cell r="G386">
            <v>34.694117647058818</v>
          </cell>
          <cell r="H386">
            <v>31239.000009014315</v>
          </cell>
          <cell r="I386">
            <v>1083809.5414892142</v>
          </cell>
          <cell r="J386">
            <v>1495657.1672551155</v>
          </cell>
        </row>
        <row r="387">
          <cell r="D387" t="str">
            <v>INSTALACION DE TUBERIA PVC TIPO TDP  Y/O CORRUGADA TIPO PEAD-HDPE - 200mm</v>
          </cell>
          <cell r="F387" t="str">
            <v>ML</v>
          </cell>
          <cell r="G387">
            <v>70.332352941176467</v>
          </cell>
          <cell r="H387">
            <v>79900.999838665448</v>
          </cell>
          <cell r="I387">
            <v>5619625.3210059023</v>
          </cell>
          <cell r="J387">
            <v>7755082.9429881442</v>
          </cell>
        </row>
        <row r="388">
          <cell r="C388" t="str">
            <v>10.4.4</v>
          </cell>
          <cell r="D388" t="str">
            <v xml:space="preserve">         COMPACTACION DE SELLO DE BASE WP14</v>
          </cell>
          <cell r="E388" t="str">
            <v>2 días</v>
          </cell>
          <cell r="F388">
            <v>0</v>
          </cell>
          <cell r="J388">
            <v>320494616.71764702</v>
          </cell>
        </row>
        <row r="389">
          <cell r="D389" t="str">
            <v>RELLENO CON MATERIAL DE EXCAVACIÓN SELECCIONADO</v>
          </cell>
          <cell r="F389" t="str">
            <v>m3</v>
          </cell>
          <cell r="G389">
            <v>4530.6764705882351</v>
          </cell>
          <cell r="H389">
            <v>51260</v>
          </cell>
          <cell r="I389">
            <v>232242475.88235292</v>
          </cell>
          <cell r="J389">
            <v>320494616.71764702</v>
          </cell>
        </row>
        <row r="390">
          <cell r="C390" t="str">
            <v>10.4.5</v>
          </cell>
          <cell r="D390" t="str">
            <v xml:space="preserve">         SOLADO WP14</v>
          </cell>
          <cell r="E390" t="str">
            <v>1 día</v>
          </cell>
          <cell r="F390">
            <v>0</v>
          </cell>
          <cell r="J390">
            <v>94303618.549411759</v>
          </cell>
        </row>
        <row r="391">
          <cell r="D391" t="str">
            <v>CONCRETO CLASE F (140 kg/cm2 Ó 2000 psi)</v>
          </cell>
          <cell r="F391" t="str">
            <v>m3</v>
          </cell>
          <cell r="G391">
            <v>43.941176470588232</v>
          </cell>
          <cell r="H391">
            <v>1555169</v>
          </cell>
          <cell r="I391">
            <v>68335955.470588237</v>
          </cell>
          <cell r="J391">
            <v>94303618.549411759</v>
          </cell>
        </row>
        <row r="392">
          <cell r="C392" t="str">
            <v>10.4.6</v>
          </cell>
          <cell r="D392" t="str">
            <v xml:space="preserve">         INSTALACIÓN DE PERNOS Y SOFT-SPOT WP14</v>
          </cell>
          <cell r="E392" t="str">
            <v>5 días</v>
          </cell>
          <cell r="F392">
            <v>0</v>
          </cell>
          <cell r="J392">
            <v>179436034.15411764</v>
          </cell>
        </row>
        <row r="393">
          <cell r="D393" t="str">
            <v>S0FT-SPOT  (EPS) Tipo II (ASM C578)</v>
          </cell>
          <cell r="F393" t="str">
            <v>m2</v>
          </cell>
          <cell r="G393">
            <v>62.117647058823529</v>
          </cell>
          <cell r="H393">
            <v>484846</v>
          </cell>
          <cell r="I393">
            <v>30117492.705882352</v>
          </cell>
          <cell r="J393">
            <v>41562139.934117645</v>
          </cell>
        </row>
        <row r="394">
          <cell r="D394" t="str">
            <v>MONTAJE Y NIVELACION DE LA JAULA DE ANCLAJES INCLUYE  LA PREPARACIÓN
 DEL ÁREA, LA NIVELACIÓN Y POSICIONAMIENTO DE LOS COMPONENTES (COMO PLANTILLAS Y VARILLAS), EL ENSAMBLAJE DE LA ESTRUCTURA, LA FIJACIÓN FINAL A LA CIMENTACIÓN CON PERNOS DE ANCLAJE, MONTAJE DE BRIDAS, TORQUE Y LIBERACIÓN DE LA CESTA, INCLUYE LA HERRAMIENTA Y EQUIPO DE INSTALACIÓN (peso estimado por jaula 13896  kg)</v>
          </cell>
          <cell r="F394" t="str">
            <v>Und</v>
          </cell>
          <cell r="G394">
            <v>1</v>
          </cell>
          <cell r="H394">
            <v>99908619</v>
          </cell>
          <cell r="I394">
            <v>99908619</v>
          </cell>
          <cell r="J394">
            <v>137873894.22</v>
          </cell>
        </row>
        <row r="395">
          <cell r="C395" t="str">
            <v>10.4.7</v>
          </cell>
          <cell r="D395" t="str">
            <v xml:space="preserve">         INSTALACIÓN DE ACERO DE REFUERZO WP14</v>
          </cell>
          <cell r="E395" t="str">
            <v>14 días</v>
          </cell>
          <cell r="F395">
            <v>0</v>
          </cell>
          <cell r="J395">
            <v>1212623361.2117648</v>
          </cell>
        </row>
        <row r="396">
          <cell r="D396" t="str">
            <v>ACERO FY:  60000 psi (4.200 kg/cm2)</v>
          </cell>
          <cell r="F396" t="str">
            <v>kg</v>
          </cell>
          <cell r="G396">
            <v>68756.852941176476</v>
          </cell>
          <cell r="H396">
            <v>12780</v>
          </cell>
          <cell r="I396">
            <v>878712580.58823538</v>
          </cell>
          <cell r="J396">
            <v>1212623361.2117648</v>
          </cell>
        </row>
        <row r="397">
          <cell r="C397" t="str">
            <v>10.4.8</v>
          </cell>
          <cell r="D397" t="str">
            <v xml:space="preserve">         ENCOFRADO DE ZAPATA Y DE PEDESTAL WP14</v>
          </cell>
          <cell r="E397" t="str">
            <v>3 días</v>
          </cell>
          <cell r="F397">
            <v>0</v>
          </cell>
        </row>
        <row r="398">
          <cell r="C398" t="str">
            <v>10.4.9</v>
          </cell>
          <cell r="D398" t="str">
            <v xml:space="preserve">         HITO: ALISTAMIENTO Y MOVILIZACIÓN DE PLANTA DE CONCRETO PARA WP14</v>
          </cell>
          <cell r="E398" t="str">
            <v>0 días</v>
          </cell>
          <cell r="F398">
            <v>0</v>
          </cell>
        </row>
        <row r="399">
          <cell r="C399" t="str">
            <v>10.4.10</v>
          </cell>
          <cell r="D399" t="str">
            <v xml:space="preserve">         FUNDIDA WP14</v>
          </cell>
          <cell r="E399" t="str">
            <v>1 día</v>
          </cell>
          <cell r="F399">
            <v>0</v>
          </cell>
          <cell r="J399">
            <v>1230815225.9452939</v>
          </cell>
        </row>
        <row r="400">
          <cell r="D400" t="str">
            <v>CONCRETO ESTRUCTURAL  35 MPa(350 kg/cm2 Ó 5000 psi)</v>
          </cell>
          <cell r="F400" t="str">
            <v>m3</v>
          </cell>
          <cell r="G400">
            <v>429.02941176470586</v>
          </cell>
          <cell r="H400">
            <v>1926653</v>
          </cell>
          <cell r="I400">
            <v>826590803.26470578</v>
          </cell>
          <cell r="J400">
            <v>1140695308.5052938</v>
          </cell>
        </row>
        <row r="401">
          <cell r="D401" t="str">
            <v>CONCRETO ESTRUCTURAL  45 MPa(457 kg/cm2 Ó 6500psi)</v>
          </cell>
          <cell r="F401" t="str">
            <v>m3</v>
          </cell>
          <cell r="G401">
            <v>32</v>
          </cell>
          <cell r="H401">
            <v>2040759</v>
          </cell>
          <cell r="I401">
            <v>65304288</v>
          </cell>
          <cell r="J401">
            <v>90119917.439999998</v>
          </cell>
        </row>
        <row r="402">
          <cell r="C402" t="str">
            <v>10.4.11</v>
          </cell>
          <cell r="D402" t="str">
            <v xml:space="preserve">         CURADO DEL CONCRETO WP14</v>
          </cell>
          <cell r="E402" t="str">
            <v>5 días</v>
          </cell>
          <cell r="F402">
            <v>0</v>
          </cell>
        </row>
        <row r="403">
          <cell r="C403" t="str">
            <v>10.4.12</v>
          </cell>
          <cell r="D403" t="str">
            <v xml:space="preserve">         INSTALACIONES ELECTRICAS Y SISTEMA PUESTA TIERRA WP14</v>
          </cell>
          <cell r="E403" t="str">
            <v>2 días</v>
          </cell>
          <cell r="F403">
            <v>0</v>
          </cell>
          <cell r="J403">
            <v>52736347.43270281</v>
          </cell>
        </row>
        <row r="404">
          <cell r="D404" t="str">
            <v>ARQUETA EN HORMIGON PARA MEDIA TENSION - EMPALMES (500 MT)</v>
          </cell>
          <cell r="F404" t="str">
            <v>Und</v>
          </cell>
          <cell r="G404">
            <v>1</v>
          </cell>
          <cell r="H404">
            <v>12275310.999985719</v>
          </cell>
          <cell r="I404">
            <v>12275310.999985719</v>
          </cell>
          <cell r="J404">
            <v>16939929.179980289</v>
          </cell>
        </row>
        <row r="405">
          <cell r="D405" t="str">
            <v>ARQUETA EN POLIPROPILENO</v>
          </cell>
          <cell r="F405" t="str">
            <v>Und</v>
          </cell>
          <cell r="G405">
            <v>1</v>
          </cell>
          <cell r="H405">
            <v>6068599.9996856553</v>
          </cell>
          <cell r="I405">
            <v>6068599.9996856553</v>
          </cell>
          <cell r="J405">
            <v>8374667.9995662039</v>
          </cell>
        </row>
        <row r="406">
          <cell r="D406" t="str">
            <v>SUMINISTRO E INSTALACIÓN DE PLATINA</v>
          </cell>
          <cell r="F406" t="str">
            <v>Und</v>
          </cell>
          <cell r="G406">
            <v>1</v>
          </cell>
          <cell r="H406">
            <v>361570</v>
          </cell>
          <cell r="I406">
            <v>361570</v>
          </cell>
          <cell r="J406">
            <v>498966.6</v>
          </cell>
        </row>
        <row r="407">
          <cell r="D407" t="str">
            <v>SUMINISTRO E INSTALACIÓN DE VARILLA</v>
          </cell>
          <cell r="F407" t="str">
            <v>Und</v>
          </cell>
          <cell r="G407">
            <v>1</v>
          </cell>
          <cell r="H407">
            <v>398933</v>
          </cell>
          <cell r="I407">
            <v>398933</v>
          </cell>
          <cell r="J407">
            <v>550527.53999999992</v>
          </cell>
        </row>
        <row r="408">
          <cell r="D408" t="str">
            <v>SUMINISTRO E INSTALACIÓN DE ARQUETA PARA INSPECCIÓN DE PICAS EN PUESTA A TIERRA SIN FONDO</v>
          </cell>
          <cell r="F408" t="str">
            <v>Und</v>
          </cell>
          <cell r="G408">
            <v>1</v>
          </cell>
          <cell r="H408">
            <v>14275700</v>
          </cell>
          <cell r="I408">
            <v>14275700</v>
          </cell>
          <cell r="J408">
            <v>19700466</v>
          </cell>
        </row>
        <row r="409">
          <cell r="D409" t="str">
            <v>SUMINISTRO E INSTALACIÓN DE SOLDADURA EXOTERMICA</v>
          </cell>
          <cell r="F409" t="str">
            <v>Und</v>
          </cell>
          <cell r="G409">
            <v>2.8000000000000003</v>
          </cell>
          <cell r="H409">
            <v>185231</v>
          </cell>
          <cell r="I409">
            <v>518646.80000000005</v>
          </cell>
          <cell r="J409">
            <v>715732.58400000003</v>
          </cell>
        </row>
        <row r="410">
          <cell r="D410" t="str">
            <v>SUMINISTRO E INSTALACIÓN DE GRAPA DE ALEACIÓN RICA EN COBRE (LATÓN) MODELO KZ</v>
          </cell>
          <cell r="F410" t="str">
            <v>Und</v>
          </cell>
          <cell r="G410">
            <v>1</v>
          </cell>
          <cell r="H410">
            <v>292083</v>
          </cell>
          <cell r="I410">
            <v>292083</v>
          </cell>
          <cell r="J410">
            <v>403074.54</v>
          </cell>
        </row>
        <row r="411">
          <cell r="D411" t="str">
            <v>SUMINISTRO E INSTALACIÓN DE GRAPA DE ALEACIÓN RICA EN COBRE (LATÓN) MODELO KPD</v>
          </cell>
          <cell r="F411" t="str">
            <v>Und</v>
          </cell>
          <cell r="G411">
            <v>0.99393939393939412</v>
          </cell>
          <cell r="H411">
            <v>292083</v>
          </cell>
          <cell r="I411">
            <v>290312.80000000005</v>
          </cell>
          <cell r="J411">
            <v>400631.66400000005</v>
          </cell>
        </row>
        <row r="412">
          <cell r="D412" t="str">
            <v xml:space="preserve">INSTALACIÓN DE CABLE DE COBRE TRENZADO DESNUDO DE 50 mm2 </v>
          </cell>
          <cell r="F412" t="str">
            <v>ML</v>
          </cell>
          <cell r="G412">
            <v>113.1390243902439</v>
          </cell>
          <cell r="H412">
            <v>33000.000989065411</v>
          </cell>
          <cell r="I412">
            <v>3733587.9167799447</v>
          </cell>
          <cell r="J412">
            <v>5152351.3251563236</v>
          </cell>
        </row>
        <row r="413">
          <cell r="C413" t="str">
            <v>10.4.13</v>
          </cell>
          <cell r="D413" t="str">
            <v xml:space="preserve">         INSTALACION DE GROUT Y MORTERO AUTOCOMPACTANTE DE ALTA RESISTENCIA WP14</v>
          </cell>
          <cell r="E413" t="str">
            <v>2 días</v>
          </cell>
          <cell r="F413">
            <v>0</v>
          </cell>
          <cell r="J413">
            <v>46410609.014634147</v>
          </cell>
        </row>
        <row r="414">
          <cell r="D414" t="str">
            <v>GROUT Y  MORTERO AUTOCOMPACTANTE DE ALTA RESISTENCIA C80/95 (EN206-1)</v>
          </cell>
          <cell r="F414" t="str">
            <v>lt</v>
          </cell>
          <cell r="G414">
            <v>530.73170731707319</v>
          </cell>
          <cell r="H414">
            <v>63367</v>
          </cell>
          <cell r="I414">
            <v>33630876.097560979</v>
          </cell>
          <cell r="J414">
            <v>46410609.014634147</v>
          </cell>
        </row>
        <row r="415">
          <cell r="C415" t="str">
            <v>10.4.14</v>
          </cell>
          <cell r="D415" t="str">
            <v xml:space="preserve">         TAPADO AREA DE CIMENTACIÓN Y CONFORMACIÓN DE PLATAFORMA WP14</v>
          </cell>
          <cell r="E415" t="str">
            <v>7 días</v>
          </cell>
          <cell r="F415">
            <v>0</v>
          </cell>
          <cell r="J415">
            <v>1587346329.5488234</v>
          </cell>
        </row>
        <row r="416">
          <cell r="D416" t="str">
            <v>MATERIAL SELECIONADA PARA  FORMACIÓN Y COMPACTACIÓN DE TERRAPLENES Y RELLENO ESTRUCTURAL  (INCLUYE TRANSPORTE DESDE LAS CANTERAS LICENCIADAS HASTA EL SITIO DE INSTALACIÓN)</v>
          </cell>
          <cell r="F416" t="str">
            <v>m3</v>
          </cell>
          <cell r="G416">
            <v>5388.7058823529414</v>
          </cell>
          <cell r="H416">
            <v>174890</v>
          </cell>
          <cell r="I416">
            <v>942430771.7647059</v>
          </cell>
          <cell r="J416">
            <v>1300554465.0352941</v>
          </cell>
        </row>
        <row r="417">
          <cell r="D417" t="str">
            <v>PREPARACIÓN DE SUBRASANTE COMPACTACIÓN Y VALORACIÓN DE LA CAPA DE SUBRASANTE DE LOS VIALES. INCLUYENDO LAS PRUEBAS SEGÚN LO PRESCRITO.</v>
          </cell>
          <cell r="F417" t="str">
            <v>m2</v>
          </cell>
          <cell r="G417">
            <v>631.61764705882354</v>
          </cell>
          <cell r="H417">
            <v>11537</v>
          </cell>
          <cell r="I417">
            <v>7286972.7941176472</v>
          </cell>
          <cell r="J417">
            <v>10056022.455882352</v>
          </cell>
        </row>
        <row r="418">
          <cell r="D418" t="str">
            <v>SUBBASE GRANULAR  (INCLUYE TRANSPORTE DESDE LAS CANTERAS LICENCIADAS HASTA EL SITIO DE INSTALACIÓN)</v>
          </cell>
          <cell r="F418" t="str">
            <v>m3</v>
          </cell>
          <cell r="G418">
            <v>880.85294117647061</v>
          </cell>
          <cell r="H418">
            <v>227658</v>
          </cell>
          <cell r="I418">
            <v>200533218.88235295</v>
          </cell>
          <cell r="J418">
            <v>276735842.05764705</v>
          </cell>
        </row>
        <row r="419">
          <cell r="C419" t="str">
            <v>10.4.15</v>
          </cell>
          <cell r="D419" t="str">
            <v xml:space="preserve">         ESTABILIZACIÓN DE TALUDES EN PLATAFORMA Y RECONFORMACION FINAL WP14</v>
          </cell>
          <cell r="E419" t="str">
            <v>7 días</v>
          </cell>
          <cell r="F419">
            <v>0</v>
          </cell>
          <cell r="J419">
            <v>179532477.23999998</v>
          </cell>
        </row>
        <row r="420">
          <cell r="D420" t="str">
            <v xml:space="preserve">ENROCADO PROTECCIÓN TALUD PLATAFORMAS PROTECCIÓN CON ENROCADO DE PIEDRA DEL TALUD DE LAS PLATAFORMAS EN TERRAPLÉN CON 30 CM DE PIEDRA DE 6-10 CM DE DIÁMETRO, PESO ESPECÍFICO DE LAS PIEDRAS DE 2,64  G/CM3  (INCLUYE TRANSPORTE DESDE LAS CANTERAS LICENCIADAS HASTA EL SITIO DE INSTALACIÓN) </v>
          </cell>
          <cell r="F420" t="str">
            <v>m3</v>
          </cell>
          <cell r="G420">
            <v>42.352941176470587</v>
          </cell>
          <cell r="H420">
            <v>276393</v>
          </cell>
          <cell r="I420">
            <v>11706056.470588235</v>
          </cell>
          <cell r="J420">
            <v>16154357.929411763</v>
          </cell>
        </row>
        <row r="421">
          <cell r="D421" t="str">
            <v xml:space="preserve">ENROCADO PROTECCIÓN TALUD CIMENTACION PROTECCIÓN CON ENROCADO DE PIEDRA DEL TALUD DE LAS CIMENTACIONES EN TERRAPLÉN CON 30 CM DE PIEDRA DE 6-10 CM DE DIÁMETRO, PESO ESPECÍFICO DE LAS PIEDRAS DE 2,64 G/CM3   (INCLUYE TRANSPORTE DESDE LAS CANTERAS LICENCIADAS HASTA EL SITIO DE INSTALACIÓN) </v>
          </cell>
          <cell r="F421" t="str">
            <v>m3</v>
          </cell>
          <cell r="G421">
            <v>25.529411764705884</v>
          </cell>
          <cell r="H421">
            <v>286818</v>
          </cell>
          <cell r="I421">
            <v>7322294.823529412</v>
          </cell>
          <cell r="J421">
            <v>10104766.856470589</v>
          </cell>
        </row>
        <row r="422">
          <cell r="D422" t="str">
            <v>BASE GRANULAR   (INCLUYE TRANSPORTE DESDE LAS CANTERAS LICENCIADAS HASTA EL SITIO DE INSTALACIÓN)</v>
          </cell>
          <cell r="F422" t="str">
            <v>m3</v>
          </cell>
          <cell r="G422">
            <v>237.64705882352942</v>
          </cell>
          <cell r="H422">
            <v>265112</v>
          </cell>
          <cell r="I422">
            <v>63003087.058823533</v>
          </cell>
          <cell r="J422">
            <v>86944260.141176462</v>
          </cell>
        </row>
        <row r="423">
          <cell r="D423" t="str">
            <v>SUMINISTRO E INSTALACIÓN DE GEOTEXTILES</v>
          </cell>
          <cell r="F423" t="str">
            <v>m2</v>
          </cell>
          <cell r="G423">
            <v>887.17647058823525</v>
          </cell>
          <cell r="H423">
            <v>54177</v>
          </cell>
          <cell r="I423">
            <v>48064559.647058822</v>
          </cell>
          <cell r="J423">
            <v>66329092.312941171</v>
          </cell>
        </row>
        <row r="424">
          <cell r="C424" t="str">
            <v>10.4.16</v>
          </cell>
          <cell r="D424" t="str">
            <v xml:space="preserve">         HITO: FINALIZACION DE ACTIVIDADES EN CIMENTACION WP14</v>
          </cell>
          <cell r="E424" t="str">
            <v>0 días</v>
          </cell>
          <cell r="F424">
            <v>0</v>
          </cell>
        </row>
        <row r="425">
          <cell r="C425" t="str">
            <v>10.5</v>
          </cell>
          <cell r="D425" t="str">
            <v xml:space="preserve">      CIMENTACION WP16</v>
          </cell>
          <cell r="E425" t="str">
            <v>64 días</v>
          </cell>
          <cell r="F425">
            <v>0</v>
          </cell>
        </row>
        <row r="426">
          <cell r="C426" t="str">
            <v>10.5.1</v>
          </cell>
          <cell r="D426" t="str">
            <v xml:space="preserve">         DESBROCE DE AREA DE ACOPIO DE TORRE Y DE PALAS WP16</v>
          </cell>
          <cell r="E426" t="str">
            <v>8 días</v>
          </cell>
          <cell r="F426">
            <v>0</v>
          </cell>
          <cell r="J426">
            <v>83271780.884117648</v>
          </cell>
        </row>
        <row r="427">
          <cell r="D427" t="str">
            <v>DESBROCE Y LIMPIEZA</v>
          </cell>
          <cell r="F427" t="str">
            <v>m2</v>
          </cell>
          <cell r="G427">
            <v>4799.0294117647063</v>
          </cell>
          <cell r="H427">
            <v>4140</v>
          </cell>
          <cell r="I427">
            <v>19867981.764705885</v>
          </cell>
          <cell r="J427">
            <v>27417814.83529412</v>
          </cell>
        </row>
        <row r="428">
          <cell r="D428" t="str">
            <v>SUMINISTRO DE COMISION TOPOGRAFICA
 (incluyede GPS, Estación Total, tránsitos, distanciómetros, niveles de precisión, miras, prismas, jalones, plomadas, cintas métricas, etc., un cadenero primero , un cadenero segundo, ingeniero topógrafo/topógrafo con matricula vigente, insumos para ralizar la actividad, licencias de software utilizado para la ejecución de los trabajos, movilización de personal equipos y entregables en archivos magnéticos)</v>
          </cell>
          <cell r="F428" t="str">
            <v>Mes</v>
          </cell>
          <cell r="G428">
            <v>0.2</v>
          </cell>
          <cell r="H428">
            <v>31500000</v>
          </cell>
          <cell r="I428">
            <v>6300000</v>
          </cell>
          <cell r="J428">
            <v>8694000</v>
          </cell>
        </row>
        <row r="429">
          <cell r="D429" t="str">
            <v>DESMONTE, DESCAPOTE Y LIMPIEZA INCLUYE  TALA DE ARBOLES CON DAP ≤0.15M, TRANSPORTE Y DISPOSICIÓN FINAL</v>
          </cell>
          <cell r="F429" t="str">
            <v>m2</v>
          </cell>
          <cell r="G429">
            <v>4799.0294117647063</v>
          </cell>
          <cell r="H429">
            <v>7121</v>
          </cell>
          <cell r="I429">
            <v>34173888.441176474</v>
          </cell>
          <cell r="J429">
            <v>47159966.048823528</v>
          </cell>
        </row>
        <row r="430">
          <cell r="C430" t="str">
            <v>10.5.2</v>
          </cell>
          <cell r="D430" t="str">
            <v xml:space="preserve">         EXCAVACIÓN DE CIMENTACION WP16</v>
          </cell>
          <cell r="E430" t="str">
            <v>7 días</v>
          </cell>
          <cell r="F430">
            <v>0</v>
          </cell>
          <cell r="J430">
            <v>312374505.66882348</v>
          </cell>
        </row>
        <row r="431">
          <cell r="D431" t="str">
            <v>EXCAVACIÓN MECÁNICA EN MATERIAL COMÚN</v>
          </cell>
          <cell r="F431" t="str">
            <v>m3</v>
          </cell>
          <cell r="G431">
            <v>4799.0294117647063</v>
          </cell>
          <cell r="H431">
            <v>35495</v>
          </cell>
          <cell r="I431">
            <v>170341548.97058824</v>
          </cell>
          <cell r="J431">
            <v>235071337.57941175</v>
          </cell>
        </row>
        <row r="432">
          <cell r="D432" t="str">
            <v>EXCAVACIÓN EN ROCA</v>
          </cell>
          <cell r="F432" t="str">
            <v>m3</v>
          </cell>
          <cell r="G432">
            <v>414.35294117647061</v>
          </cell>
          <cell r="H432">
            <v>135191</v>
          </cell>
          <cell r="I432">
            <v>56016788.470588237</v>
          </cell>
          <cell r="J432">
            <v>77303168.089411765</v>
          </cell>
        </row>
        <row r="433">
          <cell r="C433" t="str">
            <v>10.5.3</v>
          </cell>
          <cell r="D433" t="str">
            <v xml:space="preserve">         BANCO DE DUCTO WP16</v>
          </cell>
          <cell r="E433" t="str">
            <v>3 días</v>
          </cell>
          <cell r="F433">
            <v>0</v>
          </cell>
          <cell r="J433">
            <v>9527825.6870364472</v>
          </cell>
        </row>
        <row r="434">
          <cell r="D434" t="str">
            <v>INSTALACION DE TUBERIA PVC TIPO TDP Y/O CORRUGADA TIPO PEAD-HDPE  - 50mm</v>
          </cell>
          <cell r="F434" t="str">
            <v>ML</v>
          </cell>
          <cell r="G434">
            <v>7.2352941176470589</v>
          </cell>
          <cell r="H434">
            <v>27751.000385791169</v>
          </cell>
          <cell r="I434">
            <v>200786.64985013611</v>
          </cell>
          <cell r="J434">
            <v>277085.57679318782</v>
          </cell>
        </row>
        <row r="435">
          <cell r="D435" t="str">
            <v>INSTALACION DE TUBERIA PVC TIPO TDP Y/O CORRUGADA TIPO PEAD-HDPE - 90mm</v>
          </cell>
          <cell r="F435" t="str">
            <v>ML</v>
          </cell>
          <cell r="G435">
            <v>34.694117647058818</v>
          </cell>
          <cell r="H435">
            <v>31239.000009014315</v>
          </cell>
          <cell r="I435">
            <v>1083809.5414892142</v>
          </cell>
          <cell r="J435">
            <v>1495657.1672551155</v>
          </cell>
        </row>
        <row r="436">
          <cell r="D436" t="str">
            <v>INSTALACION DE TUBERIA PVC TIPO TDP  Y/O CORRUGADA TIPO PEAD-HDPE - 200mm</v>
          </cell>
          <cell r="F436" t="str">
            <v>ML</v>
          </cell>
          <cell r="G436">
            <v>70.332352941176467</v>
          </cell>
          <cell r="H436">
            <v>79900.999838665448</v>
          </cell>
          <cell r="I436">
            <v>5619625.3210059023</v>
          </cell>
          <cell r="J436">
            <v>7755082.9429881442</v>
          </cell>
        </row>
        <row r="437">
          <cell r="C437" t="str">
            <v>10.5.4</v>
          </cell>
          <cell r="D437" t="str">
            <v xml:space="preserve">         COMPACTACION DE SELLO DE BASE WP16</v>
          </cell>
          <cell r="E437" t="str">
            <v>2 días</v>
          </cell>
          <cell r="F437">
            <v>0</v>
          </cell>
          <cell r="J437">
            <v>320494616.71764702</v>
          </cell>
        </row>
        <row r="438">
          <cell r="D438" t="str">
            <v>RELLENO CON MATERIAL DE EXCAVACIÓN SELECCIONADO</v>
          </cell>
          <cell r="F438" t="str">
            <v>m3</v>
          </cell>
          <cell r="G438">
            <v>4530.6764705882351</v>
          </cell>
          <cell r="H438">
            <v>51260</v>
          </cell>
          <cell r="I438">
            <v>232242475.88235292</v>
          </cell>
          <cell r="J438">
            <v>320494616.71764702</v>
          </cell>
        </row>
        <row r="439">
          <cell r="C439" t="str">
            <v>10.5.5</v>
          </cell>
          <cell r="D439" t="str">
            <v xml:space="preserve">         SOLADO WP16</v>
          </cell>
          <cell r="E439" t="str">
            <v>1 día</v>
          </cell>
          <cell r="F439">
            <v>0</v>
          </cell>
          <cell r="J439">
            <v>94303618.549411759</v>
          </cell>
        </row>
        <row r="440">
          <cell r="D440" t="str">
            <v>CONCRETO CLASE F (140 kg/cm2 Ó 2000 psi)</v>
          </cell>
          <cell r="F440" t="str">
            <v>m3</v>
          </cell>
          <cell r="G440">
            <v>43.941176470588232</v>
          </cell>
          <cell r="H440">
            <v>1555169</v>
          </cell>
          <cell r="I440">
            <v>68335955.470588237</v>
          </cell>
          <cell r="J440">
            <v>94303618.549411759</v>
          </cell>
        </row>
        <row r="441">
          <cell r="C441" t="str">
            <v>10.5.6</v>
          </cell>
          <cell r="D441" t="str">
            <v xml:space="preserve">         INSTALACIÓN DE PERNOS Y SOFT-SPOT WP16</v>
          </cell>
          <cell r="E441" t="str">
            <v>5 días</v>
          </cell>
          <cell r="F441">
            <v>0</v>
          </cell>
          <cell r="J441">
            <v>179436034.15411764</v>
          </cell>
        </row>
        <row r="442">
          <cell r="D442" t="str">
            <v>S0FT-SPOT  (EPS) Tipo II (ASM C578)</v>
          </cell>
          <cell r="F442" t="str">
            <v>m2</v>
          </cell>
          <cell r="G442">
            <v>62.117647058823529</v>
          </cell>
          <cell r="H442">
            <v>484846</v>
          </cell>
          <cell r="I442">
            <v>30117492.705882352</v>
          </cell>
          <cell r="J442">
            <v>41562139.934117645</v>
          </cell>
        </row>
        <row r="443">
          <cell r="D443" t="str">
            <v>MONTAJE Y NIVELACION DE LA JAULA DE ANCLAJES INCLUYE  LA PREPARACIÓN
 DEL ÁREA, LA NIVELACIÓN Y POSICIONAMIENTO DE LOS COMPONENTES (COMO PLANTILLAS Y VARILLAS), EL ENSAMBLAJE DE LA ESTRUCTURA, LA FIJACIÓN FINAL A LA CIMENTACIÓN CON PERNOS DE ANCLAJE, MONTAJE DE BRIDAS, TORQUE Y LIBERACIÓN DE LA CESTA, INCLUYE LA HERRAMIENTA Y EQUIPO DE INSTALACIÓN (peso estimado por jaula 13896  kg)</v>
          </cell>
          <cell r="F443" t="str">
            <v>Und</v>
          </cell>
          <cell r="G443">
            <v>1</v>
          </cell>
          <cell r="H443">
            <v>99908619</v>
          </cell>
          <cell r="I443">
            <v>99908619</v>
          </cell>
          <cell r="J443">
            <v>137873894.22</v>
          </cell>
        </row>
        <row r="444">
          <cell r="C444" t="str">
            <v>10.5.7</v>
          </cell>
          <cell r="D444" t="str">
            <v xml:space="preserve">         INSTALACIÓN DE ACERO DE REFUERZO WP16</v>
          </cell>
          <cell r="E444" t="str">
            <v>14 días</v>
          </cell>
          <cell r="F444">
            <v>0</v>
          </cell>
          <cell r="J444">
            <v>1212623361.2117648</v>
          </cell>
        </row>
        <row r="445">
          <cell r="D445" t="str">
            <v>ACERO FY:  60000 psi (4.200 kg/cm2)</v>
          </cell>
          <cell r="F445" t="str">
            <v>kg</v>
          </cell>
          <cell r="G445">
            <v>68756.852941176476</v>
          </cell>
          <cell r="H445">
            <v>12780</v>
          </cell>
          <cell r="I445">
            <v>878712580.58823538</v>
          </cell>
          <cell r="J445">
            <v>1212623361.2117648</v>
          </cell>
        </row>
        <row r="446">
          <cell r="C446" t="str">
            <v>10.5.8</v>
          </cell>
          <cell r="D446" t="str">
            <v xml:space="preserve">         ENCOFRADO DE ZAPATA Y DE PEDESTAL WP16</v>
          </cell>
          <cell r="E446" t="str">
            <v>3 días</v>
          </cell>
          <cell r="F446">
            <v>0</v>
          </cell>
        </row>
        <row r="447">
          <cell r="C447" t="str">
            <v>10.5.9</v>
          </cell>
          <cell r="D447" t="str">
            <v xml:space="preserve">         HITO: ALISTAMIENTO Y MOVILIZACIÓN DE PLANTA DE CONCRETO PARA WP16</v>
          </cell>
          <cell r="E447" t="str">
            <v>0 días</v>
          </cell>
          <cell r="F447">
            <v>0</v>
          </cell>
        </row>
        <row r="448">
          <cell r="C448" t="str">
            <v>10.5.10</v>
          </cell>
          <cell r="D448" t="str">
            <v xml:space="preserve">         FUNDIDA WP16</v>
          </cell>
          <cell r="E448" t="str">
            <v>1 día</v>
          </cell>
          <cell r="F448">
            <v>0</v>
          </cell>
          <cell r="J448">
            <v>1230815225.9452939</v>
          </cell>
        </row>
        <row r="449">
          <cell r="D449" t="str">
            <v>CONCRETO ESTRUCTURAL  35 MPa(350 kg/cm2 Ó 5000 psi)</v>
          </cell>
          <cell r="F449" t="str">
            <v>m3</v>
          </cell>
          <cell r="G449">
            <v>429.02941176470586</v>
          </cell>
          <cell r="H449">
            <v>1926653</v>
          </cell>
          <cell r="I449">
            <v>826590803.26470578</v>
          </cell>
          <cell r="J449">
            <v>1140695308.5052938</v>
          </cell>
        </row>
        <row r="450">
          <cell r="D450" t="str">
            <v>CONCRETO ESTRUCTURAL  45 MPa(457 kg/cm2 Ó 6500psi)</v>
          </cell>
          <cell r="F450" t="str">
            <v>m3</v>
          </cell>
          <cell r="G450">
            <v>32</v>
          </cell>
          <cell r="H450">
            <v>2040759</v>
          </cell>
          <cell r="I450">
            <v>65304288</v>
          </cell>
          <cell r="J450">
            <v>90119917.439999998</v>
          </cell>
        </row>
        <row r="451">
          <cell r="C451" t="str">
            <v>10.5.11</v>
          </cell>
          <cell r="D451" t="str">
            <v xml:space="preserve">         CURADO DEL CONCRETO WP16</v>
          </cell>
          <cell r="E451" t="str">
            <v>5 días</v>
          </cell>
          <cell r="F451">
            <v>0</v>
          </cell>
        </row>
        <row r="452">
          <cell r="C452" t="str">
            <v>10.5.12</v>
          </cell>
          <cell r="D452" t="str">
            <v xml:space="preserve">         INSTALACIONES ELECTRICAS Y SISTEMA PUESTA TIERRA WP16</v>
          </cell>
          <cell r="E452" t="str">
            <v>2 días</v>
          </cell>
          <cell r="F452">
            <v>0</v>
          </cell>
          <cell r="J452">
            <v>52736347.43270281</v>
          </cell>
        </row>
        <row r="453">
          <cell r="D453" t="str">
            <v>ARQUETA EN HORMIGON PARA MEDIA TENSION - EMPALMES (500 MT)</v>
          </cell>
          <cell r="F453" t="str">
            <v>Und</v>
          </cell>
          <cell r="G453">
            <v>1</v>
          </cell>
          <cell r="H453">
            <v>12275310.999985719</v>
          </cell>
          <cell r="I453">
            <v>12275310.999985719</v>
          </cell>
          <cell r="J453">
            <v>16939929.179980289</v>
          </cell>
        </row>
        <row r="454">
          <cell r="D454" t="str">
            <v>ARQUETA EN POLIPROPILENO</v>
          </cell>
          <cell r="F454" t="str">
            <v>Und</v>
          </cell>
          <cell r="G454">
            <v>1</v>
          </cell>
          <cell r="H454">
            <v>6068599.9996856553</v>
          </cell>
          <cell r="I454">
            <v>6068599.9996856553</v>
          </cell>
          <cell r="J454">
            <v>8374667.9995662039</v>
          </cell>
        </row>
        <row r="455">
          <cell r="D455" t="str">
            <v>SUMINISTRO E INSTALACIÓN DE PLATINA</v>
          </cell>
          <cell r="F455" t="str">
            <v>Und</v>
          </cell>
          <cell r="G455">
            <v>1</v>
          </cell>
          <cell r="H455">
            <v>361570</v>
          </cell>
          <cell r="I455">
            <v>361570</v>
          </cell>
          <cell r="J455">
            <v>498966.6</v>
          </cell>
        </row>
        <row r="456">
          <cell r="D456" t="str">
            <v>SUMINISTRO E INSTALACIÓN DE VARILLA</v>
          </cell>
          <cell r="F456" t="str">
            <v>Und</v>
          </cell>
          <cell r="G456">
            <v>1</v>
          </cell>
          <cell r="H456">
            <v>398933</v>
          </cell>
          <cell r="I456">
            <v>398933</v>
          </cell>
          <cell r="J456">
            <v>550527.53999999992</v>
          </cell>
        </row>
        <row r="457">
          <cell r="D457" t="str">
            <v>SUMINISTRO E INSTALACIÓN DE ARQUETA PARA INSPECCIÓN DE PICAS EN PUESTA A TIERRA SIN FONDO</v>
          </cell>
          <cell r="F457" t="str">
            <v>Und</v>
          </cell>
          <cell r="G457">
            <v>1</v>
          </cell>
          <cell r="H457">
            <v>14275700</v>
          </cell>
          <cell r="I457">
            <v>14275700</v>
          </cell>
          <cell r="J457">
            <v>19700466</v>
          </cell>
        </row>
        <row r="458">
          <cell r="D458" t="str">
            <v>SUMINISTRO E INSTALACIÓN DE SOLDADURA EXOTERMICA</v>
          </cell>
          <cell r="F458" t="str">
            <v>Und</v>
          </cell>
          <cell r="G458">
            <v>2.8000000000000003</v>
          </cell>
          <cell r="H458">
            <v>185231</v>
          </cell>
          <cell r="I458">
            <v>518646.80000000005</v>
          </cell>
          <cell r="J458">
            <v>715732.58400000003</v>
          </cell>
        </row>
        <row r="459">
          <cell r="D459" t="str">
            <v>SUMINISTRO E INSTALACIÓN DE GRAPA DE ALEACIÓN RICA EN COBRE (LATÓN) MODELO KZ</v>
          </cell>
          <cell r="F459" t="str">
            <v>Und</v>
          </cell>
          <cell r="G459">
            <v>1</v>
          </cell>
          <cell r="H459">
            <v>292083</v>
          </cell>
          <cell r="I459">
            <v>292083</v>
          </cell>
          <cell r="J459">
            <v>403074.54</v>
          </cell>
        </row>
        <row r="460">
          <cell r="D460" t="str">
            <v>SUMINISTRO E INSTALACIÓN DE GRAPA DE ALEACIÓN RICA EN COBRE (LATÓN) MODELO KPD</v>
          </cell>
          <cell r="F460" t="str">
            <v>Und</v>
          </cell>
          <cell r="G460">
            <v>0.99393939393939412</v>
          </cell>
          <cell r="H460">
            <v>292083</v>
          </cell>
          <cell r="I460">
            <v>290312.80000000005</v>
          </cell>
          <cell r="J460">
            <v>400631.66400000005</v>
          </cell>
        </row>
        <row r="461">
          <cell r="D461" t="str">
            <v xml:space="preserve">INSTALACIÓN DE CABLE DE COBRE TRENZADO DESNUDO DE 50 mm2 </v>
          </cell>
          <cell r="F461" t="str">
            <v>ML</v>
          </cell>
          <cell r="G461">
            <v>113.1390243902439</v>
          </cell>
          <cell r="H461">
            <v>33000.000989065411</v>
          </cell>
          <cell r="I461">
            <v>3733587.9167799447</v>
          </cell>
          <cell r="J461">
            <v>5152351.3251563236</v>
          </cell>
        </row>
        <row r="462">
          <cell r="C462" t="str">
            <v>10.5.13</v>
          </cell>
          <cell r="D462" t="str">
            <v xml:space="preserve">         INSTALACION DE GROUT Y MORTERO AUTOCOMPACTANTE DE ALTA RESISTENCIA WP16</v>
          </cell>
          <cell r="E462" t="str">
            <v>2 días</v>
          </cell>
          <cell r="F462">
            <v>0</v>
          </cell>
          <cell r="J462">
            <v>46410609.014634147</v>
          </cell>
        </row>
        <row r="463">
          <cell r="D463" t="str">
            <v>GROUT Y  MORTERO AUTOCOMPACTANTE DE ALTA RESISTENCIA C80/95 (EN206-1)</v>
          </cell>
          <cell r="F463" t="str">
            <v>lt</v>
          </cell>
          <cell r="G463">
            <v>530.73170731707319</v>
          </cell>
          <cell r="H463">
            <v>63367</v>
          </cell>
          <cell r="I463">
            <v>33630876.097560979</v>
          </cell>
          <cell r="J463">
            <v>46410609.014634147</v>
          </cell>
        </row>
        <row r="464">
          <cell r="C464" t="str">
            <v>10.5.14</v>
          </cell>
          <cell r="D464" t="str">
            <v xml:space="preserve">         TAPADO AREA DE CIMENTACIÓN Y CONFORMACIÓN DE PLATAFORMA WP16</v>
          </cell>
          <cell r="E464" t="str">
            <v>7 días</v>
          </cell>
          <cell r="F464">
            <v>0</v>
          </cell>
          <cell r="J464">
            <v>1587346329.5488234</v>
          </cell>
        </row>
        <row r="465">
          <cell r="D465" t="str">
            <v>MATERIAL SELECIONADA PARA  FORMACIÓN Y COMPACTACIÓN DE TERRAPLENES Y RELLENO ESTRUCTURAL  (INCLUYE TRANSPORTE DESDE LAS CANTERAS LICENCIADAS HASTA EL SITIO DE INSTALACIÓN)</v>
          </cell>
          <cell r="F465" t="str">
            <v>m3</v>
          </cell>
          <cell r="G465">
            <v>5388.7058823529414</v>
          </cell>
          <cell r="H465">
            <v>174890</v>
          </cell>
          <cell r="I465">
            <v>942430771.7647059</v>
          </cell>
          <cell r="J465">
            <v>1300554465.0352941</v>
          </cell>
        </row>
        <row r="466">
          <cell r="D466" t="str">
            <v>PREPARACIÓN DE SUBRASANTE COMPACTACIÓN Y VALORACIÓN DE LA CAPA DE SUBRASANTE DE LOS VIALES. INCLUYENDO LAS PRUEBAS SEGÚN LO PRESCRITO.</v>
          </cell>
          <cell r="F466" t="str">
            <v>m2</v>
          </cell>
          <cell r="G466">
            <v>631.61764705882354</v>
          </cell>
          <cell r="H466">
            <v>11537</v>
          </cell>
          <cell r="I466">
            <v>7286972.7941176472</v>
          </cell>
          <cell r="J466">
            <v>10056022.455882352</v>
          </cell>
        </row>
        <row r="467">
          <cell r="D467" t="str">
            <v>SUBBASE GRANULAR  (INCLUYE TRANSPORTE DESDE LAS CANTERAS LICENCIADAS HASTA EL SITIO DE INSTALACIÓN)</v>
          </cell>
          <cell r="F467" t="str">
            <v>m3</v>
          </cell>
          <cell r="G467">
            <v>880.85294117647061</v>
          </cell>
          <cell r="H467">
            <v>227658</v>
          </cell>
          <cell r="I467">
            <v>200533218.88235295</v>
          </cell>
          <cell r="J467">
            <v>276735842.05764705</v>
          </cell>
        </row>
        <row r="468">
          <cell r="C468" t="str">
            <v>10.5.15</v>
          </cell>
          <cell r="D468" t="str">
            <v xml:space="preserve">         ESTABILIZACIÓN DE TALUDES EN PLATAFORMA Y RECONFORMACION FINAL WP16</v>
          </cell>
          <cell r="E468" t="str">
            <v>7 días</v>
          </cell>
          <cell r="F468">
            <v>0</v>
          </cell>
          <cell r="J468">
            <v>179532477.23999998</v>
          </cell>
        </row>
        <row r="469">
          <cell r="D469" t="str">
            <v xml:space="preserve">ENROCADO PROTECCIÓN TALUD PLATAFORMAS PROTECCIÓN CON ENROCADO DE PIEDRA DEL TALUD DE LAS PLATAFORMAS EN TERRAPLÉN CON 30 CM DE PIEDRA DE 6-10 CM DE DIÁMETRO, PESO ESPECÍFICO DE LAS PIEDRAS DE 2,64  G/CM3  (INCLUYE TRANSPORTE DESDE LAS CANTERAS LICENCIADAS HASTA EL SITIO DE INSTALACIÓN) </v>
          </cell>
          <cell r="F469" t="str">
            <v>m3</v>
          </cell>
          <cell r="G469">
            <v>42.352941176470587</v>
          </cell>
          <cell r="H469">
            <v>276393</v>
          </cell>
          <cell r="I469">
            <v>11706056.470588235</v>
          </cell>
          <cell r="J469">
            <v>16154357.929411763</v>
          </cell>
        </row>
        <row r="470">
          <cell r="D470" t="str">
            <v xml:space="preserve">ENROCADO PROTECCIÓN TALUD CIMENTACION PROTECCIÓN CON ENROCADO DE PIEDRA DEL TALUD DE LAS CIMENTACIONES EN TERRAPLÉN CON 30 CM DE PIEDRA DE 6-10 CM DE DIÁMETRO, PESO ESPECÍFICO DE LAS PIEDRAS DE 2,64 G/CM3   (INCLUYE TRANSPORTE DESDE LAS CANTERAS LICENCIADAS HASTA EL SITIO DE INSTALACIÓN) </v>
          </cell>
          <cell r="F470" t="str">
            <v>m3</v>
          </cell>
          <cell r="G470">
            <v>25.529411764705884</v>
          </cell>
          <cell r="H470">
            <v>286818</v>
          </cell>
          <cell r="I470">
            <v>7322294.823529412</v>
          </cell>
          <cell r="J470">
            <v>10104766.856470589</v>
          </cell>
        </row>
        <row r="471">
          <cell r="D471" t="str">
            <v>BASE GRANULAR   (INCLUYE TRANSPORTE DESDE LAS CANTERAS LICENCIADAS HASTA EL SITIO DE INSTALACIÓN)</v>
          </cell>
          <cell r="F471" t="str">
            <v>m3</v>
          </cell>
          <cell r="G471">
            <v>237.64705882352942</v>
          </cell>
          <cell r="H471">
            <v>265112</v>
          </cell>
          <cell r="I471">
            <v>63003087.058823533</v>
          </cell>
          <cell r="J471">
            <v>86944260.141176462</v>
          </cell>
        </row>
        <row r="472">
          <cell r="D472" t="str">
            <v>SUMINISTRO E INSTALACIÓN DE GEOTEXTILES</v>
          </cell>
          <cell r="F472" t="str">
            <v>m2</v>
          </cell>
          <cell r="G472">
            <v>887.17647058823525</v>
          </cell>
          <cell r="H472">
            <v>54177</v>
          </cell>
          <cell r="I472">
            <v>48064559.647058822</v>
          </cell>
          <cell r="J472">
            <v>66329092.312941171</v>
          </cell>
        </row>
        <row r="473">
          <cell r="C473" t="str">
            <v>10.5.16</v>
          </cell>
          <cell r="D473" t="str">
            <v xml:space="preserve">         HITO: FINALIZACION DE ACTIVIDADES EN CIMENTACION WP16</v>
          </cell>
          <cell r="E473" t="str">
            <v>0 días</v>
          </cell>
          <cell r="F473">
            <v>0</v>
          </cell>
        </row>
        <row r="474">
          <cell r="C474" t="str">
            <v>10.6</v>
          </cell>
          <cell r="D474" t="str">
            <v xml:space="preserve">      CIMENTACION WP18</v>
          </cell>
          <cell r="E474" t="str">
            <v>64 días</v>
          </cell>
          <cell r="F474">
            <v>0</v>
          </cell>
        </row>
        <row r="475">
          <cell r="C475" t="str">
            <v>10.6.1</v>
          </cell>
          <cell r="D475" t="str">
            <v xml:space="preserve">         DESBROCE DE AREA DE ACOPIO DE TORRE Y DE PALAS WP18</v>
          </cell>
          <cell r="E475" t="str">
            <v>8 días</v>
          </cell>
          <cell r="F475">
            <v>0</v>
          </cell>
          <cell r="J475">
            <v>83271780.884117648</v>
          </cell>
        </row>
        <row r="476">
          <cell r="D476" t="str">
            <v>DESBROCE Y LIMPIEZA</v>
          </cell>
          <cell r="F476" t="str">
            <v>m2</v>
          </cell>
          <cell r="G476">
            <v>4799.0294117647063</v>
          </cell>
          <cell r="H476">
            <v>4140</v>
          </cell>
          <cell r="I476">
            <v>19867981.764705885</v>
          </cell>
          <cell r="J476">
            <v>27417814.83529412</v>
          </cell>
        </row>
        <row r="477">
          <cell r="D477" t="str">
            <v>SUMINISTRO DE COMISION TOPOGRAFICA
 (incluyede GPS, Estación Total, tránsitos, distanciómetros, niveles de precisión, miras, prismas, jalones, plomadas, cintas métricas, etc., un cadenero primero , un cadenero segundo, ingeniero topógrafo/topógrafo con matricula vigente, insumos para ralizar la actividad, licencias de software utilizado para la ejecución de los trabajos, movilización de personal equipos y entregables en archivos magnéticos)</v>
          </cell>
          <cell r="F477" t="str">
            <v>Mes</v>
          </cell>
          <cell r="G477">
            <v>0.2</v>
          </cell>
          <cell r="H477">
            <v>31500000</v>
          </cell>
          <cell r="I477">
            <v>6300000</v>
          </cell>
          <cell r="J477">
            <v>8694000</v>
          </cell>
        </row>
        <row r="478">
          <cell r="D478" t="str">
            <v>DESMONTE, DESCAPOTE Y LIMPIEZA INCLUYE  TALA DE ARBOLES CON DAP ≤0.15M, TRANSPORTE Y DISPOSICIÓN FINAL</v>
          </cell>
          <cell r="F478" t="str">
            <v>m2</v>
          </cell>
          <cell r="G478">
            <v>4799.0294117647063</v>
          </cell>
          <cell r="H478">
            <v>7121</v>
          </cell>
          <cell r="I478">
            <v>34173888.441176474</v>
          </cell>
          <cell r="J478">
            <v>47159966.048823528</v>
          </cell>
        </row>
        <row r="479">
          <cell r="C479" t="str">
            <v>10.6.2</v>
          </cell>
          <cell r="D479" t="str">
            <v xml:space="preserve">         EXCAVACIÓN DE CIMENTACION WP18</v>
          </cell>
          <cell r="E479" t="str">
            <v>7 días</v>
          </cell>
          <cell r="F479">
            <v>0</v>
          </cell>
          <cell r="J479">
            <v>312374505.66882348</v>
          </cell>
        </row>
        <row r="480">
          <cell r="D480" t="str">
            <v>EXCAVACIÓN MECÁNICA EN MATERIAL COMÚN</v>
          </cell>
          <cell r="F480" t="str">
            <v>m3</v>
          </cell>
          <cell r="G480">
            <v>4799.0294117647063</v>
          </cell>
          <cell r="H480">
            <v>35495</v>
          </cell>
          <cell r="I480">
            <v>170341548.97058824</v>
          </cell>
          <cell r="J480">
            <v>235071337.57941175</v>
          </cell>
        </row>
        <row r="481">
          <cell r="D481" t="str">
            <v>EXCAVACIÓN EN ROCA</v>
          </cell>
          <cell r="F481" t="str">
            <v>m3</v>
          </cell>
          <cell r="G481">
            <v>414.35294117647061</v>
          </cell>
          <cell r="H481">
            <v>135191</v>
          </cell>
          <cell r="I481">
            <v>56016788.470588237</v>
          </cell>
          <cell r="J481">
            <v>77303168.089411765</v>
          </cell>
        </row>
        <row r="482">
          <cell r="C482" t="str">
            <v>10.6.3</v>
          </cell>
          <cell r="D482" t="str">
            <v xml:space="preserve">         BANCO DE DUCTO WP18</v>
          </cell>
          <cell r="E482" t="str">
            <v>3 días</v>
          </cell>
          <cell r="F482">
            <v>0</v>
          </cell>
          <cell r="J482">
            <v>9527825.6870364472</v>
          </cell>
        </row>
        <row r="483">
          <cell r="D483" t="str">
            <v>INSTALACION DE TUBERIA PVC TIPO TDP Y/O CORRUGADA TIPO PEAD-HDPE  - 50mm</v>
          </cell>
          <cell r="F483" t="str">
            <v>ML</v>
          </cell>
          <cell r="G483">
            <v>7.2352941176470589</v>
          </cell>
          <cell r="H483">
            <v>27751.000385791169</v>
          </cell>
          <cell r="I483">
            <v>200786.64985013611</v>
          </cell>
          <cell r="J483">
            <v>277085.57679318782</v>
          </cell>
        </row>
        <row r="484">
          <cell r="D484" t="str">
            <v>INSTALACION DE TUBERIA PVC TIPO TDP Y/O CORRUGADA TIPO PEAD-HDPE - 90mm</v>
          </cell>
          <cell r="F484" t="str">
            <v>ML</v>
          </cell>
          <cell r="G484">
            <v>34.694117647058818</v>
          </cell>
          <cell r="H484">
            <v>31239.000009014315</v>
          </cell>
          <cell r="I484">
            <v>1083809.5414892142</v>
          </cell>
          <cell r="J484">
            <v>1495657.1672551155</v>
          </cell>
        </row>
        <row r="485">
          <cell r="D485" t="str">
            <v>INSTALACION DE TUBERIA PVC TIPO TDP  Y/O CORRUGADA TIPO PEAD-HDPE - 200mm</v>
          </cell>
          <cell r="F485" t="str">
            <v>ML</v>
          </cell>
          <cell r="G485">
            <v>70.332352941176467</v>
          </cell>
          <cell r="H485">
            <v>79900.999838665448</v>
          </cell>
          <cell r="I485">
            <v>5619625.3210059023</v>
          </cell>
          <cell r="J485">
            <v>7755082.9429881442</v>
          </cell>
        </row>
        <row r="486">
          <cell r="C486" t="str">
            <v>10.6.4</v>
          </cell>
          <cell r="D486" t="str">
            <v xml:space="preserve">         COMPACTACION DE SELLO DE BASE WP18</v>
          </cell>
          <cell r="E486" t="str">
            <v>2 días</v>
          </cell>
          <cell r="F486">
            <v>0</v>
          </cell>
          <cell r="J486">
            <v>320494616.71764702</v>
          </cell>
        </row>
        <row r="487">
          <cell r="D487" t="str">
            <v>RELLENO CON MATERIAL DE EXCAVACIÓN SELECCIONADO</v>
          </cell>
          <cell r="F487" t="str">
            <v>m3</v>
          </cell>
          <cell r="G487">
            <v>4530.6764705882351</v>
          </cell>
          <cell r="H487">
            <v>51260</v>
          </cell>
          <cell r="I487">
            <v>232242475.88235292</v>
          </cell>
          <cell r="J487">
            <v>320494616.71764702</v>
          </cell>
        </row>
        <row r="488">
          <cell r="C488" t="str">
            <v>10.6.5</v>
          </cell>
          <cell r="D488" t="str">
            <v xml:space="preserve">         SOLADO WP18</v>
          </cell>
          <cell r="E488" t="str">
            <v>1 día</v>
          </cell>
          <cell r="F488">
            <v>0</v>
          </cell>
          <cell r="J488">
            <v>94303618.549411759</v>
          </cell>
        </row>
        <row r="489">
          <cell r="D489" t="str">
            <v>CONCRETO CLASE F (140 kg/cm2 Ó 2000 psi)</v>
          </cell>
          <cell r="F489" t="str">
            <v>m3</v>
          </cell>
          <cell r="G489">
            <v>43.941176470588232</v>
          </cell>
          <cell r="H489">
            <v>1555169</v>
          </cell>
          <cell r="I489">
            <v>68335955.470588237</v>
          </cell>
          <cell r="J489">
            <v>94303618.549411759</v>
          </cell>
        </row>
        <row r="490">
          <cell r="C490" t="str">
            <v>10.6.6</v>
          </cell>
          <cell r="D490" t="str">
            <v xml:space="preserve">         INSTALACIÓN DE PERNOS Y SOFT-SPOT WP18</v>
          </cell>
          <cell r="E490" t="str">
            <v>5 días</v>
          </cell>
          <cell r="F490">
            <v>0</v>
          </cell>
          <cell r="J490">
            <v>179436034.15411764</v>
          </cell>
        </row>
        <row r="491">
          <cell r="D491" t="str">
            <v>S0FT-SPOT  (EPS) Tipo II (ASM C578)</v>
          </cell>
          <cell r="F491" t="str">
            <v>m2</v>
          </cell>
          <cell r="G491">
            <v>62.117647058823529</v>
          </cell>
          <cell r="H491">
            <v>484846</v>
          </cell>
          <cell r="I491">
            <v>30117492.705882352</v>
          </cell>
          <cell r="J491">
            <v>41562139.934117645</v>
          </cell>
        </row>
        <row r="492">
          <cell r="D492" t="str">
            <v>MONTAJE Y NIVELACION DE LA JAULA DE ANCLAJES INCLUYE  LA PREPARACIÓN
 DEL ÁREA, LA NIVELACIÓN Y POSICIONAMIENTO DE LOS COMPONENTES (COMO PLANTILLAS Y VARILLAS), EL ENSAMBLAJE DE LA ESTRUCTURA, LA FIJACIÓN FINAL A LA CIMENTACIÓN CON PERNOS DE ANCLAJE, MONTAJE DE BRIDAS, TORQUE Y LIBERACIÓN DE LA CESTA, INCLUYE LA HERRAMIENTA Y EQUIPO DE INSTALACIÓN (peso estimado por jaula 13896  kg)</v>
          </cell>
          <cell r="F492" t="str">
            <v>Und</v>
          </cell>
          <cell r="G492">
            <v>1</v>
          </cell>
          <cell r="H492">
            <v>99908619</v>
          </cell>
          <cell r="I492">
            <v>99908619</v>
          </cell>
          <cell r="J492">
            <v>137873894.22</v>
          </cell>
        </row>
        <row r="493">
          <cell r="C493" t="str">
            <v>10.6.7</v>
          </cell>
          <cell r="D493" t="str">
            <v xml:space="preserve">         INSTALACIÓN DE ACERO DE REFUERZO WP18</v>
          </cell>
          <cell r="E493" t="str">
            <v>14 días</v>
          </cell>
          <cell r="F493">
            <v>0</v>
          </cell>
          <cell r="J493">
            <v>1212623361.2117648</v>
          </cell>
        </row>
        <row r="494">
          <cell r="D494" t="str">
            <v>ACERO FY:  60000 psi (4.200 kg/cm2)</v>
          </cell>
          <cell r="F494" t="str">
            <v>kg</v>
          </cell>
          <cell r="G494">
            <v>68756.852941176476</v>
          </cell>
          <cell r="H494">
            <v>12780</v>
          </cell>
          <cell r="I494">
            <v>878712580.58823538</v>
          </cell>
          <cell r="J494">
            <v>1212623361.2117648</v>
          </cell>
        </row>
        <row r="495">
          <cell r="C495" t="str">
            <v>10.6.8</v>
          </cell>
          <cell r="D495" t="str">
            <v xml:space="preserve">         ENCOFRADO DE ZAPATA Y DE PEDESTAL WP18</v>
          </cell>
          <cell r="E495" t="str">
            <v>3 días</v>
          </cell>
          <cell r="F495">
            <v>0</v>
          </cell>
        </row>
        <row r="496">
          <cell r="C496" t="str">
            <v>10.6.9</v>
          </cell>
          <cell r="D496" t="str">
            <v xml:space="preserve">         HITO: ALISTAMIENTO Y MOVILIZACIÓN DE PLANTA DE CONCRETO PARA WP18</v>
          </cell>
          <cell r="E496" t="str">
            <v>0 días</v>
          </cell>
          <cell r="F496">
            <v>0</v>
          </cell>
        </row>
        <row r="497">
          <cell r="C497" t="str">
            <v>10.6.10</v>
          </cell>
          <cell r="D497" t="str">
            <v xml:space="preserve">         FUNDIDA WP18</v>
          </cell>
          <cell r="E497" t="str">
            <v>1 día</v>
          </cell>
          <cell r="F497">
            <v>0</v>
          </cell>
          <cell r="J497">
            <v>1230815225.9452939</v>
          </cell>
        </row>
        <row r="498">
          <cell r="D498" t="str">
            <v>CONCRETO ESTRUCTURAL  35 MPa(350 kg/cm2 Ó 5000 psi)</v>
          </cell>
          <cell r="F498" t="str">
            <v>m3</v>
          </cell>
          <cell r="G498">
            <v>429.02941176470586</v>
          </cell>
          <cell r="H498">
            <v>1926653</v>
          </cell>
          <cell r="I498">
            <v>826590803.26470578</v>
          </cell>
          <cell r="J498">
            <v>1140695308.5052938</v>
          </cell>
        </row>
        <row r="499">
          <cell r="D499" t="str">
            <v>CONCRETO ESTRUCTURAL  45 MPa(457 kg/cm2 Ó 6500psi)</v>
          </cell>
          <cell r="F499" t="str">
            <v>m3</v>
          </cell>
          <cell r="G499">
            <v>32</v>
          </cell>
          <cell r="H499">
            <v>2040759</v>
          </cell>
          <cell r="I499">
            <v>65304288</v>
          </cell>
          <cell r="J499">
            <v>90119917.439999998</v>
          </cell>
        </row>
        <row r="500">
          <cell r="C500" t="str">
            <v>10.6.11</v>
          </cell>
          <cell r="D500" t="str">
            <v xml:space="preserve">         CURADO DEL CONCRETO WP18</v>
          </cell>
          <cell r="E500" t="str">
            <v>5 días</v>
          </cell>
          <cell r="F500">
            <v>0</v>
          </cell>
        </row>
        <row r="501">
          <cell r="C501" t="str">
            <v>10.6.12</v>
          </cell>
          <cell r="D501" t="str">
            <v xml:space="preserve">         INSTALACIONES ELECTRICAS Y SISTEMA PUESTA TIERRA WP18</v>
          </cell>
          <cell r="E501" t="str">
            <v>2 días</v>
          </cell>
          <cell r="F501">
            <v>0</v>
          </cell>
          <cell r="J501">
            <v>52736347.43270281</v>
          </cell>
        </row>
        <row r="502">
          <cell r="D502" t="str">
            <v>ARQUETA EN HORMIGON PARA MEDIA TENSION - EMPALMES (500 MT)</v>
          </cell>
          <cell r="F502" t="str">
            <v>Und</v>
          </cell>
          <cell r="G502">
            <v>1</v>
          </cell>
          <cell r="H502">
            <v>12275310.999985719</v>
          </cell>
          <cell r="I502">
            <v>12275310.999985719</v>
          </cell>
          <cell r="J502">
            <v>16939929.179980289</v>
          </cell>
        </row>
        <row r="503">
          <cell r="D503" t="str">
            <v>ARQUETA EN POLIPROPILENO</v>
          </cell>
          <cell r="F503" t="str">
            <v>Und</v>
          </cell>
          <cell r="G503">
            <v>1</v>
          </cell>
          <cell r="H503">
            <v>6068599.9996856553</v>
          </cell>
          <cell r="I503">
            <v>6068599.9996856553</v>
          </cell>
          <cell r="J503">
            <v>8374667.9995662039</v>
          </cell>
        </row>
        <row r="504">
          <cell r="D504" t="str">
            <v>SUMINISTRO E INSTALACIÓN DE PLATINA</v>
          </cell>
          <cell r="F504" t="str">
            <v>Und</v>
          </cell>
          <cell r="G504">
            <v>1</v>
          </cell>
          <cell r="H504">
            <v>361570</v>
          </cell>
          <cell r="I504">
            <v>361570</v>
          </cell>
          <cell r="J504">
            <v>498966.6</v>
          </cell>
        </row>
        <row r="505">
          <cell r="D505" t="str">
            <v>SUMINISTRO E INSTALACIÓN DE VARILLA</v>
          </cell>
          <cell r="F505" t="str">
            <v>Und</v>
          </cell>
          <cell r="G505">
            <v>1</v>
          </cell>
          <cell r="H505">
            <v>398933</v>
          </cell>
          <cell r="I505">
            <v>398933</v>
          </cell>
          <cell r="J505">
            <v>550527.53999999992</v>
          </cell>
        </row>
        <row r="506">
          <cell r="D506" t="str">
            <v>SUMINISTRO E INSTALACIÓN DE ARQUETA PARA INSPECCIÓN DE PICAS EN PUESTA A TIERRA SIN FONDO</v>
          </cell>
          <cell r="F506" t="str">
            <v>Und</v>
          </cell>
          <cell r="G506">
            <v>1</v>
          </cell>
          <cell r="H506">
            <v>14275700</v>
          </cell>
          <cell r="I506">
            <v>14275700</v>
          </cell>
          <cell r="J506">
            <v>19700466</v>
          </cell>
        </row>
        <row r="507">
          <cell r="D507" t="str">
            <v>SUMINISTRO E INSTALACIÓN DE SOLDADURA EXOTERMICA</v>
          </cell>
          <cell r="F507" t="str">
            <v>Und</v>
          </cell>
          <cell r="G507">
            <v>2.8000000000000003</v>
          </cell>
          <cell r="H507">
            <v>185231</v>
          </cell>
          <cell r="I507">
            <v>518646.80000000005</v>
          </cell>
          <cell r="J507">
            <v>715732.58400000003</v>
          </cell>
        </row>
        <row r="508">
          <cell r="D508" t="str">
            <v>SUMINISTRO E INSTALACIÓN DE GRAPA DE ALEACIÓN RICA EN COBRE (LATÓN) MODELO KZ</v>
          </cell>
          <cell r="F508" t="str">
            <v>Und</v>
          </cell>
          <cell r="G508">
            <v>1</v>
          </cell>
          <cell r="H508">
            <v>292083</v>
          </cell>
          <cell r="I508">
            <v>292083</v>
          </cell>
          <cell r="J508">
            <v>403074.54</v>
          </cell>
        </row>
        <row r="509">
          <cell r="D509" t="str">
            <v>SUMINISTRO E INSTALACIÓN DE GRAPA DE ALEACIÓN RICA EN COBRE (LATÓN) MODELO KPD</v>
          </cell>
          <cell r="F509" t="str">
            <v>Und</v>
          </cell>
          <cell r="G509">
            <v>0.99393939393939412</v>
          </cell>
          <cell r="H509">
            <v>292083</v>
          </cell>
          <cell r="I509">
            <v>290312.80000000005</v>
          </cell>
          <cell r="J509">
            <v>400631.66400000005</v>
          </cell>
        </row>
        <row r="510">
          <cell r="D510" t="str">
            <v xml:space="preserve">INSTALACIÓN DE CABLE DE COBRE TRENZADO DESNUDO DE 50 mm2 </v>
          </cell>
          <cell r="F510" t="str">
            <v>ML</v>
          </cell>
          <cell r="G510">
            <v>113.1390243902439</v>
          </cell>
          <cell r="H510">
            <v>33000.000989065411</v>
          </cell>
          <cell r="I510">
            <v>3733587.9167799447</v>
          </cell>
          <cell r="J510">
            <v>5152351.3251563236</v>
          </cell>
        </row>
        <row r="511">
          <cell r="C511" t="str">
            <v>10.6.13</v>
          </cell>
          <cell r="D511" t="str">
            <v xml:space="preserve">         INSTALACION DE GROUT Y MORTERO AUTOCOMPACTANTE DE ALTA RESISTENCIA WP18</v>
          </cell>
          <cell r="E511" t="str">
            <v>2 días</v>
          </cell>
          <cell r="F511">
            <v>0</v>
          </cell>
          <cell r="J511">
            <v>46410609.014634147</v>
          </cell>
        </row>
        <row r="512">
          <cell r="D512" t="str">
            <v>GROUT Y  MORTERO AUTOCOMPACTANTE DE ALTA RESISTENCIA C80/95 (EN206-1)</v>
          </cell>
          <cell r="F512" t="str">
            <v>lt</v>
          </cell>
          <cell r="G512">
            <v>530.73170731707319</v>
          </cell>
          <cell r="H512">
            <v>63367</v>
          </cell>
          <cell r="I512">
            <v>33630876.097560979</v>
          </cell>
          <cell r="J512">
            <v>46410609.014634147</v>
          </cell>
        </row>
        <row r="513">
          <cell r="C513" t="str">
            <v>10.6.14</v>
          </cell>
          <cell r="D513" t="str">
            <v xml:space="preserve">         TAPADO AREA DE CIMENTACIÓN Y CONFORMACIÓN DE PLATAFORMA WP18</v>
          </cell>
          <cell r="E513" t="str">
            <v>7 días</v>
          </cell>
          <cell r="F513">
            <v>0</v>
          </cell>
          <cell r="J513">
            <v>1587346329.5488234</v>
          </cell>
        </row>
        <row r="514">
          <cell r="D514" t="str">
            <v>MATERIAL SELECIONADA PARA  FORMACIÓN Y COMPACTACIÓN DE TERRAPLENES Y RELLENO ESTRUCTURAL  (INCLUYE TRANSPORTE DESDE LAS CANTERAS LICENCIADAS HASTA EL SITIO DE INSTALACIÓN)</v>
          </cell>
          <cell r="F514" t="str">
            <v>m3</v>
          </cell>
          <cell r="G514">
            <v>5388.7058823529414</v>
          </cell>
          <cell r="H514">
            <v>174890</v>
          </cell>
          <cell r="I514">
            <v>942430771.7647059</v>
          </cell>
          <cell r="J514">
            <v>1300554465.0352941</v>
          </cell>
        </row>
        <row r="515">
          <cell r="D515" t="str">
            <v>PREPARACIÓN DE SUBRASANTE COMPACTACIÓN Y VALORACIÓN DE LA CAPA DE SUBRASANTE DE LOS VIALES. INCLUYENDO LAS PRUEBAS SEGÚN LO PRESCRITO.</v>
          </cell>
          <cell r="F515" t="str">
            <v>m2</v>
          </cell>
          <cell r="G515">
            <v>631.61764705882354</v>
          </cell>
          <cell r="H515">
            <v>11537</v>
          </cell>
          <cell r="I515">
            <v>7286972.7941176472</v>
          </cell>
          <cell r="J515">
            <v>10056022.455882352</v>
          </cell>
        </row>
        <row r="516">
          <cell r="D516" t="str">
            <v>SUBBASE GRANULAR  (INCLUYE TRANSPORTE DESDE LAS CANTERAS LICENCIADAS HASTA EL SITIO DE INSTALACIÓN)</v>
          </cell>
          <cell r="F516" t="str">
            <v>m3</v>
          </cell>
          <cell r="G516">
            <v>880.85294117647061</v>
          </cell>
          <cell r="H516">
            <v>227658</v>
          </cell>
          <cell r="I516">
            <v>200533218.88235295</v>
          </cell>
          <cell r="J516">
            <v>276735842.05764705</v>
          </cell>
        </row>
        <row r="517">
          <cell r="C517" t="str">
            <v>10.6.15</v>
          </cell>
          <cell r="D517" t="str">
            <v xml:space="preserve">         ESTABILIZACIÓN DE TALUDES EN PLATAFORMA Y RECONFORMACION FINAL WP18</v>
          </cell>
          <cell r="E517" t="str">
            <v>7 días</v>
          </cell>
          <cell r="F517">
            <v>0</v>
          </cell>
          <cell r="J517">
            <v>179532477.23999998</v>
          </cell>
        </row>
        <row r="518">
          <cell r="D518" t="str">
            <v xml:space="preserve">ENROCADO PROTECCIÓN TALUD PLATAFORMAS PROTECCIÓN CON ENROCADO DE PIEDRA DEL TALUD DE LAS PLATAFORMAS EN TERRAPLÉN CON 30 CM DE PIEDRA DE 6-10 CM DE DIÁMETRO, PESO ESPECÍFICO DE LAS PIEDRAS DE 2,64  G/CM3  (INCLUYE TRANSPORTE DESDE LAS CANTERAS LICENCIADAS HASTA EL SITIO DE INSTALACIÓN) </v>
          </cell>
          <cell r="F518" t="str">
            <v>m3</v>
          </cell>
          <cell r="G518">
            <v>42.352941176470587</v>
          </cell>
          <cell r="H518">
            <v>276393</v>
          </cell>
          <cell r="I518">
            <v>11706056.470588235</v>
          </cell>
          <cell r="J518">
            <v>16154357.929411763</v>
          </cell>
        </row>
        <row r="519">
          <cell r="D519" t="str">
            <v xml:space="preserve">ENROCADO PROTECCIÓN TALUD CIMENTACION PROTECCIÓN CON ENROCADO DE PIEDRA DEL TALUD DE LAS CIMENTACIONES EN TERRAPLÉN CON 30 CM DE PIEDRA DE 6-10 CM DE DIÁMETRO, PESO ESPECÍFICO DE LAS PIEDRAS DE 2,64 G/CM3   (INCLUYE TRANSPORTE DESDE LAS CANTERAS LICENCIADAS HASTA EL SITIO DE INSTALACIÓN) </v>
          </cell>
          <cell r="F519" t="str">
            <v>m3</v>
          </cell>
          <cell r="G519">
            <v>25.529411764705884</v>
          </cell>
          <cell r="H519">
            <v>286818</v>
          </cell>
          <cell r="I519">
            <v>7322294.823529412</v>
          </cell>
          <cell r="J519">
            <v>10104766.856470589</v>
          </cell>
        </row>
        <row r="520">
          <cell r="D520" t="str">
            <v>BASE GRANULAR   (INCLUYE TRANSPORTE DESDE LAS CANTERAS LICENCIADAS HASTA EL SITIO DE INSTALACIÓN)</v>
          </cell>
          <cell r="F520" t="str">
            <v>m3</v>
          </cell>
          <cell r="G520">
            <v>237.64705882352942</v>
          </cell>
          <cell r="H520">
            <v>265112</v>
          </cell>
          <cell r="I520">
            <v>63003087.058823533</v>
          </cell>
          <cell r="J520">
            <v>86944260.141176462</v>
          </cell>
        </row>
        <row r="521">
          <cell r="D521" t="str">
            <v>SUMINISTRO E INSTALACIÓN DE GEOTEXTILES</v>
          </cell>
          <cell r="F521" t="str">
            <v>m2</v>
          </cell>
          <cell r="G521">
            <v>887.17647058823525</v>
          </cell>
          <cell r="H521">
            <v>54177</v>
          </cell>
          <cell r="I521">
            <v>48064559.647058822</v>
          </cell>
          <cell r="J521">
            <v>66329092.312941171</v>
          </cell>
        </row>
        <row r="522">
          <cell r="C522" t="str">
            <v>10.6.16</v>
          </cell>
          <cell r="D522" t="str">
            <v xml:space="preserve">         HITO: FINALIZACION DE ACTIVIDADES EN CIMENTACION WP18</v>
          </cell>
          <cell r="E522" t="str">
            <v>0 días</v>
          </cell>
          <cell r="F522">
            <v>0</v>
          </cell>
        </row>
        <row r="523">
          <cell r="C523" t="str">
            <v>10.7</v>
          </cell>
          <cell r="D523" t="str">
            <v xml:space="preserve">      CIMENTACION WP9</v>
          </cell>
          <cell r="E523" t="str">
            <v>66 días</v>
          </cell>
          <cell r="F523">
            <v>0</v>
          </cell>
        </row>
        <row r="524">
          <cell r="C524" t="str">
            <v>10.7.1</v>
          </cell>
          <cell r="D524" t="str">
            <v xml:space="preserve">         DESBROCE DE AREA DE ACOPIO DE TORRE Y DE PALAS WP9</v>
          </cell>
          <cell r="E524" t="str">
            <v>8 días</v>
          </cell>
          <cell r="F524">
            <v>0</v>
          </cell>
          <cell r="J524">
            <v>83271780.884117648</v>
          </cell>
        </row>
        <row r="525">
          <cell r="D525" t="str">
            <v>DESBROCE Y LIMPIEZA</v>
          </cell>
          <cell r="F525" t="str">
            <v>m2</v>
          </cell>
          <cell r="G525">
            <v>4799.0294117647063</v>
          </cell>
          <cell r="H525">
            <v>4140</v>
          </cell>
          <cell r="I525">
            <v>19867981.764705885</v>
          </cell>
          <cell r="J525">
            <v>27417814.83529412</v>
          </cell>
        </row>
        <row r="526">
          <cell r="D526" t="str">
            <v>SUMINISTRO DE COMISION TOPOGRAFICA
 (incluyede GPS, Estación Total, tránsitos, distanciómetros, niveles de precisión, miras, prismas, jalones, plomadas, cintas métricas, etc., un cadenero primero , un cadenero segundo, ingeniero topógrafo/topógrafo con matricula vigente, insumos para ralizar la actividad, licencias de software utilizado para la ejecución de los trabajos, movilización de personal equipos y entregables en archivos magnéticos)</v>
          </cell>
          <cell r="F526" t="str">
            <v>Mes</v>
          </cell>
          <cell r="G526">
            <v>0.2</v>
          </cell>
          <cell r="H526">
            <v>31500000</v>
          </cell>
          <cell r="I526">
            <v>6300000</v>
          </cell>
          <cell r="J526">
            <v>8694000</v>
          </cell>
        </row>
        <row r="527">
          <cell r="D527" t="str">
            <v>DESMONTE, DESCAPOTE Y LIMPIEZA INCLUYE  TALA DE ARBOLES CON DAP ≤0.15M, TRANSPORTE Y DISPOSICIÓN FINAL</v>
          </cell>
          <cell r="F527" t="str">
            <v>m2</v>
          </cell>
          <cell r="G527">
            <v>4799.0294117647063</v>
          </cell>
          <cell r="H527">
            <v>7121</v>
          </cell>
          <cell r="I527">
            <v>34173888.441176474</v>
          </cell>
          <cell r="J527">
            <v>47159966.048823528</v>
          </cell>
        </row>
        <row r="528">
          <cell r="C528" t="str">
            <v>10.7.2</v>
          </cell>
          <cell r="D528" t="str">
            <v xml:space="preserve">         EXCAVACIÓN DE CIMENTACION WP9</v>
          </cell>
          <cell r="E528" t="str">
            <v>7 días</v>
          </cell>
          <cell r="F528">
            <v>0</v>
          </cell>
          <cell r="J528">
            <v>312374505.66882348</v>
          </cell>
        </row>
        <row r="529">
          <cell r="D529" t="str">
            <v>EXCAVACIÓN MECÁNICA EN MATERIAL COMÚN</v>
          </cell>
          <cell r="F529" t="str">
            <v>m3</v>
          </cell>
          <cell r="G529">
            <v>4799.0294117647063</v>
          </cell>
          <cell r="H529">
            <v>35495</v>
          </cell>
          <cell r="I529">
            <v>170341548.97058824</v>
          </cell>
          <cell r="J529">
            <v>235071337.57941175</v>
          </cell>
        </row>
        <row r="530">
          <cell r="D530" t="str">
            <v>EXCAVACIÓN EN ROCA</v>
          </cell>
          <cell r="F530" t="str">
            <v>m3</v>
          </cell>
          <cell r="G530">
            <v>414.35294117647061</v>
          </cell>
          <cell r="H530">
            <v>135191</v>
          </cell>
          <cell r="I530">
            <v>56016788.470588237</v>
          </cell>
          <cell r="J530">
            <v>77303168.089411765</v>
          </cell>
        </row>
        <row r="531">
          <cell r="C531" t="str">
            <v>10.7.3</v>
          </cell>
          <cell r="D531" t="str">
            <v xml:space="preserve">         BANCO DE DUCTO WP9</v>
          </cell>
          <cell r="E531" t="str">
            <v>3 días</v>
          </cell>
          <cell r="F531">
            <v>0</v>
          </cell>
          <cell r="J531">
            <v>9527825.6870364472</v>
          </cell>
        </row>
        <row r="532">
          <cell r="D532" t="str">
            <v>INSTALACION DE TUBERIA PVC TIPO TDP Y/O CORRUGADA TIPO PEAD-HDPE  - 50mm</v>
          </cell>
          <cell r="F532" t="str">
            <v>ML</v>
          </cell>
          <cell r="G532">
            <v>7.2352941176470589</v>
          </cell>
          <cell r="H532">
            <v>27751.000385791169</v>
          </cell>
          <cell r="I532">
            <v>200786.64985013611</v>
          </cell>
          <cell r="J532">
            <v>277085.57679318782</v>
          </cell>
        </row>
        <row r="533">
          <cell r="D533" t="str">
            <v>INSTALACION DE TUBERIA PVC TIPO TDP Y/O CORRUGADA TIPO PEAD-HDPE - 90mm</v>
          </cell>
          <cell r="F533" t="str">
            <v>ML</v>
          </cell>
          <cell r="G533">
            <v>34.694117647058818</v>
          </cell>
          <cell r="H533">
            <v>31239.000009014315</v>
          </cell>
          <cell r="I533">
            <v>1083809.5414892142</v>
          </cell>
          <cell r="J533">
            <v>1495657.1672551155</v>
          </cell>
        </row>
        <row r="534">
          <cell r="D534" t="str">
            <v>INSTALACION DE TUBERIA PVC TIPO TDP  Y/O CORRUGADA TIPO PEAD-HDPE - 200mm</v>
          </cell>
          <cell r="F534" t="str">
            <v>ML</v>
          </cell>
          <cell r="G534">
            <v>70.332352941176467</v>
          </cell>
          <cell r="H534">
            <v>79900.999838665448</v>
          </cell>
          <cell r="I534">
            <v>5619625.3210059023</v>
          </cell>
          <cell r="J534">
            <v>7755082.9429881442</v>
          </cell>
        </row>
        <row r="535">
          <cell r="C535" t="str">
            <v>10.7.4</v>
          </cell>
          <cell r="D535" t="str">
            <v xml:space="preserve">         COMPACTACION DE SELLO DE BASE WP9</v>
          </cell>
          <cell r="E535" t="str">
            <v>2 días</v>
          </cell>
          <cell r="F535">
            <v>0</v>
          </cell>
          <cell r="J535">
            <v>320494616.71764702</v>
          </cell>
        </row>
        <row r="536">
          <cell r="D536" t="str">
            <v>RELLENO CON MATERIAL DE EXCAVACIÓN SELECCIONADO</v>
          </cell>
          <cell r="F536" t="str">
            <v>m3</v>
          </cell>
          <cell r="G536">
            <v>4530.6764705882351</v>
          </cell>
          <cell r="H536">
            <v>51260</v>
          </cell>
          <cell r="I536">
            <v>232242475.88235292</v>
          </cell>
          <cell r="J536">
            <v>320494616.71764702</v>
          </cell>
        </row>
        <row r="537">
          <cell r="C537" t="str">
            <v>10.7.5</v>
          </cell>
          <cell r="D537" t="str">
            <v xml:space="preserve">         SOLADO WP9</v>
          </cell>
          <cell r="E537" t="str">
            <v>1 día</v>
          </cell>
          <cell r="F537">
            <v>0</v>
          </cell>
          <cell r="J537">
            <v>94303618.549411759</v>
          </cell>
        </row>
        <row r="538">
          <cell r="D538" t="str">
            <v>CONCRETO CLASE F (140 kg/cm2 Ó 2000 psi)</v>
          </cell>
          <cell r="F538" t="str">
            <v>m3</v>
          </cell>
          <cell r="G538">
            <v>43.941176470588232</v>
          </cell>
          <cell r="H538">
            <v>1555169</v>
          </cell>
          <cell r="I538">
            <v>68335955.470588237</v>
          </cell>
          <cell r="J538">
            <v>94303618.549411759</v>
          </cell>
        </row>
        <row r="539">
          <cell r="C539" t="str">
            <v>10.7.6</v>
          </cell>
          <cell r="D539" t="str">
            <v xml:space="preserve">         INSTALACIÓN DE PERNOS Y SOFT-SPOT WP9</v>
          </cell>
          <cell r="E539" t="str">
            <v>5 días</v>
          </cell>
          <cell r="F539">
            <v>0</v>
          </cell>
          <cell r="J539">
            <v>179436034.15411764</v>
          </cell>
        </row>
        <row r="540">
          <cell r="D540" t="str">
            <v>S0FT-SPOT  (EPS) Tipo II (ASM C578)</v>
          </cell>
          <cell r="F540" t="str">
            <v>m2</v>
          </cell>
          <cell r="G540">
            <v>62.117647058823529</v>
          </cell>
          <cell r="H540">
            <v>484846</v>
          </cell>
          <cell r="I540">
            <v>30117492.705882352</v>
          </cell>
          <cell r="J540">
            <v>41562139.934117645</v>
          </cell>
        </row>
        <row r="541">
          <cell r="D541" t="str">
            <v>MONTAJE Y NIVELACION DE LA JAULA DE ANCLAJES INCLUYE  LA PREPARACIÓN
 DEL ÁREA, LA NIVELACIÓN Y POSICIONAMIENTO DE LOS COMPONENTES (COMO PLANTILLAS Y VARILLAS), EL ENSAMBLAJE DE LA ESTRUCTURA, LA FIJACIÓN FINAL A LA CIMENTACIÓN CON PERNOS DE ANCLAJE, MONTAJE DE BRIDAS, TORQUE Y LIBERACIÓN DE LA CESTA, INCLUYE LA HERRAMIENTA Y EQUIPO DE INSTALACIÓN (peso estimado por jaula 13896  kg)</v>
          </cell>
          <cell r="F541" t="str">
            <v>Und</v>
          </cell>
          <cell r="G541">
            <v>1</v>
          </cell>
          <cell r="H541">
            <v>99908619</v>
          </cell>
          <cell r="I541">
            <v>99908619</v>
          </cell>
          <cell r="J541">
            <v>137873894.22</v>
          </cell>
        </row>
        <row r="542">
          <cell r="C542" t="str">
            <v>10.7.7</v>
          </cell>
          <cell r="D542" t="str">
            <v xml:space="preserve">         INSTALACIÓN DE ACERO DE REFUERZO WP9</v>
          </cell>
          <cell r="E542" t="str">
            <v>14 días</v>
          </cell>
          <cell r="F542">
            <v>0</v>
          </cell>
          <cell r="J542">
            <v>1212623361.2117648</v>
          </cell>
        </row>
        <row r="543">
          <cell r="D543" t="str">
            <v>ACERO FY:  60000 psi (4.200 kg/cm2)</v>
          </cell>
          <cell r="F543" t="str">
            <v>kg</v>
          </cell>
          <cell r="G543">
            <v>68756.852941176476</v>
          </cell>
          <cell r="H543">
            <v>12780</v>
          </cell>
          <cell r="I543">
            <v>878712580.58823538</v>
          </cell>
          <cell r="J543">
            <v>1212623361.2117648</v>
          </cell>
        </row>
        <row r="544">
          <cell r="C544" t="str">
            <v>10.7.8</v>
          </cell>
          <cell r="D544" t="str">
            <v xml:space="preserve">         ENCOFRADO DE ZAPATA Y DE PEDESTAL WP9</v>
          </cell>
          <cell r="E544" t="str">
            <v>3 días</v>
          </cell>
          <cell r="F544">
            <v>0</v>
          </cell>
        </row>
        <row r="545">
          <cell r="C545" t="str">
            <v>10.7.9</v>
          </cell>
          <cell r="D545" t="str">
            <v xml:space="preserve">         HITO: ALISTAMIENTO Y MOVILIZACIÓN DE PLANTA DE CONCRETO PARA WP9</v>
          </cell>
          <cell r="E545" t="str">
            <v>0 días</v>
          </cell>
          <cell r="F545">
            <v>0</v>
          </cell>
        </row>
        <row r="546">
          <cell r="C546" t="str">
            <v>10.7.10</v>
          </cell>
          <cell r="D546" t="str">
            <v xml:space="preserve">         FUNDIDA WP9</v>
          </cell>
          <cell r="E546" t="str">
            <v>1 día</v>
          </cell>
          <cell r="F546">
            <v>0</v>
          </cell>
          <cell r="J546">
            <v>1230815225.9452939</v>
          </cell>
        </row>
        <row r="547">
          <cell r="D547" t="str">
            <v>CONCRETO ESTRUCTURAL  35 MPa(350 kg/cm2 Ó 5000 psi)</v>
          </cell>
          <cell r="F547" t="str">
            <v>m3</v>
          </cell>
          <cell r="G547">
            <v>429.02941176470586</v>
          </cell>
          <cell r="H547">
            <v>1926653</v>
          </cell>
          <cell r="I547">
            <v>826590803.26470578</v>
          </cell>
          <cell r="J547">
            <v>1140695308.5052938</v>
          </cell>
        </row>
        <row r="548">
          <cell r="D548" t="str">
            <v>CONCRETO ESTRUCTURAL  45 MPa(457 kg/cm2 Ó 6500psi)</v>
          </cell>
          <cell r="F548" t="str">
            <v>m3</v>
          </cell>
          <cell r="G548">
            <v>32</v>
          </cell>
          <cell r="H548">
            <v>2040759</v>
          </cell>
          <cell r="I548">
            <v>65304288</v>
          </cell>
          <cell r="J548">
            <v>90119917.439999998</v>
          </cell>
        </row>
        <row r="549">
          <cell r="C549" t="str">
            <v>10.7.11</v>
          </cell>
          <cell r="D549" t="str">
            <v xml:space="preserve">         CURADO DEL CONCRETO WP9</v>
          </cell>
          <cell r="E549" t="str">
            <v>5 días</v>
          </cell>
          <cell r="F549">
            <v>0</v>
          </cell>
        </row>
        <row r="550">
          <cell r="C550" t="str">
            <v>10.7.12</v>
          </cell>
          <cell r="D550" t="str">
            <v xml:space="preserve">         INSTALACIONES ELECTRICAS Y SISTEMA PUESTA TIERRA WP9</v>
          </cell>
          <cell r="E550" t="str">
            <v>2 días</v>
          </cell>
          <cell r="F550">
            <v>0</v>
          </cell>
          <cell r="J550">
            <v>52736347.43270281</v>
          </cell>
        </row>
        <row r="551">
          <cell r="D551" t="str">
            <v>ARQUETA EN HORMIGON PARA MEDIA TENSION - EMPALMES (500 MT)</v>
          </cell>
          <cell r="F551" t="str">
            <v>Und</v>
          </cell>
          <cell r="G551">
            <v>1</v>
          </cell>
          <cell r="H551">
            <v>12275310.999985719</v>
          </cell>
          <cell r="I551">
            <v>12275310.999985719</v>
          </cell>
          <cell r="J551">
            <v>16939929.179980289</v>
          </cell>
        </row>
        <row r="552">
          <cell r="D552" t="str">
            <v>ARQUETA EN POLIPROPILENO</v>
          </cell>
          <cell r="F552" t="str">
            <v>Und</v>
          </cell>
          <cell r="G552">
            <v>1</v>
          </cell>
          <cell r="H552">
            <v>6068599.9996856553</v>
          </cell>
          <cell r="I552">
            <v>6068599.9996856553</v>
          </cell>
          <cell r="J552">
            <v>8374667.9995662039</v>
          </cell>
        </row>
        <row r="553">
          <cell r="D553" t="str">
            <v>SUMINISTRO E INSTALACIÓN DE PLATINA</v>
          </cell>
          <cell r="F553" t="str">
            <v>Und</v>
          </cell>
          <cell r="G553">
            <v>1</v>
          </cell>
          <cell r="H553">
            <v>361570</v>
          </cell>
          <cell r="I553">
            <v>361570</v>
          </cell>
          <cell r="J553">
            <v>498966.6</v>
          </cell>
        </row>
        <row r="554">
          <cell r="D554" t="str">
            <v>SUMINISTRO E INSTALACIÓN DE VARILLA</v>
          </cell>
          <cell r="F554" t="str">
            <v>Und</v>
          </cell>
          <cell r="G554">
            <v>1</v>
          </cell>
          <cell r="H554">
            <v>398933</v>
          </cell>
          <cell r="I554">
            <v>398933</v>
          </cell>
          <cell r="J554">
            <v>550527.53999999992</v>
          </cell>
        </row>
        <row r="555">
          <cell r="D555" t="str">
            <v>SUMINISTRO E INSTALACIÓN DE ARQUETA PARA INSPECCIÓN DE PICAS EN PUESTA A TIERRA SIN FONDO</v>
          </cell>
          <cell r="F555" t="str">
            <v>Und</v>
          </cell>
          <cell r="G555">
            <v>1</v>
          </cell>
          <cell r="H555">
            <v>14275700</v>
          </cell>
          <cell r="I555">
            <v>14275700</v>
          </cell>
          <cell r="J555">
            <v>19700466</v>
          </cell>
        </row>
        <row r="556">
          <cell r="D556" t="str">
            <v>SUMINISTRO E INSTALACIÓN DE SOLDADURA EXOTERMICA</v>
          </cell>
          <cell r="F556" t="str">
            <v>Und</v>
          </cell>
          <cell r="G556">
            <v>2.8000000000000003</v>
          </cell>
          <cell r="H556">
            <v>185231</v>
          </cell>
          <cell r="I556">
            <v>518646.80000000005</v>
          </cell>
          <cell r="J556">
            <v>715732.58400000003</v>
          </cell>
        </row>
        <row r="557">
          <cell r="D557" t="str">
            <v>SUMINISTRO E INSTALACIÓN DE GRAPA DE ALEACIÓN RICA EN COBRE (LATÓN) MODELO KZ</v>
          </cell>
          <cell r="F557" t="str">
            <v>Und</v>
          </cell>
          <cell r="G557">
            <v>1</v>
          </cell>
          <cell r="H557">
            <v>292083</v>
          </cell>
          <cell r="I557">
            <v>292083</v>
          </cell>
          <cell r="J557">
            <v>403074.54</v>
          </cell>
        </row>
        <row r="558">
          <cell r="D558" t="str">
            <v>SUMINISTRO E INSTALACIÓN DE GRAPA DE ALEACIÓN RICA EN COBRE (LATÓN) MODELO KPD</v>
          </cell>
          <cell r="F558" t="str">
            <v>Und</v>
          </cell>
          <cell r="G558">
            <v>0.99393939393939412</v>
          </cell>
          <cell r="H558">
            <v>292083</v>
          </cell>
          <cell r="I558">
            <v>290312.80000000005</v>
          </cell>
          <cell r="J558">
            <v>400631.66400000005</v>
          </cell>
        </row>
        <row r="559">
          <cell r="D559" t="str">
            <v xml:space="preserve">INSTALACIÓN DE CABLE DE COBRE TRENZADO DESNUDO DE 50 mm2 </v>
          </cell>
          <cell r="F559" t="str">
            <v>ML</v>
          </cell>
          <cell r="G559">
            <v>113.1390243902439</v>
          </cell>
          <cell r="H559">
            <v>33000.000989065411</v>
          </cell>
          <cell r="I559">
            <v>3733587.9167799447</v>
          </cell>
          <cell r="J559">
            <v>5152351.3251563236</v>
          </cell>
        </row>
        <row r="560">
          <cell r="C560" t="str">
            <v>10.7.13</v>
          </cell>
          <cell r="D560" t="str">
            <v xml:space="preserve">         INSTALACION DE GROUT Y MORTERO AUTOCOMPACTANTE DE ALTA RESISTENCIA WP9</v>
          </cell>
          <cell r="E560" t="str">
            <v>2 días</v>
          </cell>
          <cell r="F560">
            <v>0</v>
          </cell>
          <cell r="J560">
            <v>46410609.014634147</v>
          </cell>
        </row>
        <row r="561">
          <cell r="D561" t="str">
            <v>GROUT Y  MORTERO AUTOCOMPACTANTE DE ALTA RESISTENCIA C80/95 (EN206-1)</v>
          </cell>
          <cell r="F561" t="str">
            <v>lt</v>
          </cell>
          <cell r="G561">
            <v>530.73170731707319</v>
          </cell>
          <cell r="H561">
            <v>63367</v>
          </cell>
          <cell r="I561">
            <v>33630876.097560979</v>
          </cell>
          <cell r="J561">
            <v>46410609.014634147</v>
          </cell>
        </row>
        <row r="562">
          <cell r="C562" t="str">
            <v>10.7.14</v>
          </cell>
          <cell r="D562" t="str">
            <v xml:space="preserve">         TAPADO AREA DE CIMENTACIÓN Y CONFORMACIÓN DE PLATAFORMA WP9</v>
          </cell>
          <cell r="E562" t="str">
            <v>7 días</v>
          </cell>
          <cell r="F562">
            <v>0</v>
          </cell>
          <cell r="J562">
            <v>1587346329.5488234</v>
          </cell>
        </row>
        <row r="563">
          <cell r="D563" t="str">
            <v>MATERIAL SELECIONADA PARA  FORMACIÓN Y COMPACTACIÓN DE TERRAPLENES Y RELLENO ESTRUCTURAL  (INCLUYE TRANSPORTE DESDE LAS CANTERAS LICENCIADAS HASTA EL SITIO DE INSTALACIÓN)</v>
          </cell>
          <cell r="F563" t="str">
            <v>m3</v>
          </cell>
          <cell r="G563">
            <v>5388.7058823529414</v>
          </cell>
          <cell r="H563">
            <v>174890</v>
          </cell>
          <cell r="I563">
            <v>942430771.7647059</v>
          </cell>
          <cell r="J563">
            <v>1300554465.0352941</v>
          </cell>
        </row>
        <row r="564">
          <cell r="D564" t="str">
            <v>PREPARACIÓN DE SUBRASANTE COMPACTACIÓN Y VALORACIÓN DE LA CAPA DE SUBRASANTE DE LOS VIALES. INCLUYENDO LAS PRUEBAS SEGÚN LO PRESCRITO.</v>
          </cell>
          <cell r="F564" t="str">
            <v>m2</v>
          </cell>
          <cell r="G564">
            <v>631.61764705882354</v>
          </cell>
          <cell r="H564">
            <v>11537</v>
          </cell>
          <cell r="I564">
            <v>7286972.7941176472</v>
          </cell>
          <cell r="J564">
            <v>10056022.455882352</v>
          </cell>
        </row>
        <row r="565">
          <cell r="D565" t="str">
            <v>SUBBASE GRANULAR  (INCLUYE TRANSPORTE DESDE LAS CANTERAS LICENCIADAS HASTA EL SITIO DE INSTALACIÓN)</v>
          </cell>
          <cell r="F565" t="str">
            <v>m3</v>
          </cell>
          <cell r="G565">
            <v>880.85294117647061</v>
          </cell>
          <cell r="H565">
            <v>227658</v>
          </cell>
          <cell r="I565">
            <v>200533218.88235295</v>
          </cell>
          <cell r="J565">
            <v>276735842.05764705</v>
          </cell>
        </row>
        <row r="566">
          <cell r="C566" t="str">
            <v>10.7.15</v>
          </cell>
          <cell r="D566" t="str">
            <v xml:space="preserve">         ESTABILIZACIÓN DE TALUDES EN PLATAFORMA Y RECONFORMACION FINAL WP9</v>
          </cell>
          <cell r="E566" t="str">
            <v>7 días</v>
          </cell>
          <cell r="F566">
            <v>0</v>
          </cell>
          <cell r="J566">
            <v>179532477.23999998</v>
          </cell>
        </row>
        <row r="567">
          <cell r="D567" t="str">
            <v xml:space="preserve">ENROCADO PROTECCIÓN TALUD PLATAFORMAS PROTECCIÓN CON ENROCADO DE PIEDRA DEL TALUD DE LAS PLATAFORMAS EN TERRAPLÉN CON 30 CM DE PIEDRA DE 6-10 CM DE DIÁMETRO, PESO ESPECÍFICO DE LAS PIEDRAS DE 2,64  G/CM3  (INCLUYE TRANSPORTE DESDE LAS CANTERAS LICENCIADAS HASTA EL SITIO DE INSTALACIÓN) </v>
          </cell>
          <cell r="F567" t="str">
            <v>m3</v>
          </cell>
          <cell r="G567">
            <v>42.352941176470587</v>
          </cell>
          <cell r="H567">
            <v>276393</v>
          </cell>
          <cell r="I567">
            <v>11706056.470588235</v>
          </cell>
          <cell r="J567">
            <v>16154357.929411763</v>
          </cell>
        </row>
        <row r="568">
          <cell r="D568" t="str">
            <v xml:space="preserve">ENROCADO PROTECCIÓN TALUD CIMENTACION PROTECCIÓN CON ENROCADO DE PIEDRA DEL TALUD DE LAS CIMENTACIONES EN TERRAPLÉN CON 30 CM DE PIEDRA DE 6-10 CM DE DIÁMETRO, PESO ESPECÍFICO DE LAS PIEDRAS DE 2,64 G/CM3   (INCLUYE TRANSPORTE DESDE LAS CANTERAS LICENCIADAS HASTA EL SITIO DE INSTALACIÓN) </v>
          </cell>
          <cell r="F568" t="str">
            <v>m3</v>
          </cell>
          <cell r="G568">
            <v>25.529411764705884</v>
          </cell>
          <cell r="H568">
            <v>286818</v>
          </cell>
          <cell r="I568">
            <v>7322294.823529412</v>
          </cell>
          <cell r="J568">
            <v>10104766.856470589</v>
          </cell>
        </row>
        <row r="569">
          <cell r="D569" t="str">
            <v>BASE GRANULAR   (INCLUYE TRANSPORTE DESDE LAS CANTERAS LICENCIADAS HASTA EL SITIO DE INSTALACIÓN)</v>
          </cell>
          <cell r="F569" t="str">
            <v>m3</v>
          </cell>
          <cell r="G569">
            <v>237.64705882352942</v>
          </cell>
          <cell r="H569">
            <v>265112</v>
          </cell>
          <cell r="I569">
            <v>63003087.058823533</v>
          </cell>
          <cell r="J569">
            <v>86944260.141176462</v>
          </cell>
        </row>
        <row r="570">
          <cell r="D570" t="str">
            <v>SUMINISTRO E INSTALACIÓN DE GEOTEXTILES</v>
          </cell>
          <cell r="F570" t="str">
            <v>m2</v>
          </cell>
          <cell r="G570">
            <v>887.17647058823525</v>
          </cell>
          <cell r="H570">
            <v>54177</v>
          </cell>
          <cell r="I570">
            <v>48064559.647058822</v>
          </cell>
          <cell r="J570">
            <v>66329092.312941171</v>
          </cell>
        </row>
        <row r="571">
          <cell r="C571" t="str">
            <v>10.7.16</v>
          </cell>
          <cell r="D571" t="str">
            <v xml:space="preserve">         HITO: FINALIZACION DE ACTIVIDADES EN CIMENTACION WP9</v>
          </cell>
          <cell r="E571" t="str">
            <v>0 días</v>
          </cell>
          <cell r="F571">
            <v>0</v>
          </cell>
        </row>
        <row r="572">
          <cell r="C572" t="str">
            <v>10.8</v>
          </cell>
          <cell r="D572" t="str">
            <v xml:space="preserve">      CIMENTACION WP8</v>
          </cell>
          <cell r="E572" t="str">
            <v>60 días</v>
          </cell>
          <cell r="F572">
            <v>0</v>
          </cell>
        </row>
        <row r="573">
          <cell r="C573" t="str">
            <v>10.8.1</v>
          </cell>
          <cell r="D573" t="str">
            <v xml:space="preserve">         DESBROCE DE AREA DE ACOPIO DE TORRE Y DE PALAS WP8</v>
          </cell>
          <cell r="E573" t="str">
            <v>8 días</v>
          </cell>
          <cell r="F573">
            <v>0</v>
          </cell>
          <cell r="J573">
            <v>83271780.884117648</v>
          </cell>
        </row>
        <row r="574">
          <cell r="D574" t="str">
            <v>DESBROCE Y LIMPIEZA</v>
          </cell>
          <cell r="F574" t="str">
            <v>m2</v>
          </cell>
          <cell r="G574">
            <v>4799.0294117647063</v>
          </cell>
          <cell r="H574">
            <v>4140</v>
          </cell>
          <cell r="I574">
            <v>19867981.764705885</v>
          </cell>
          <cell r="J574">
            <v>27417814.83529412</v>
          </cell>
        </row>
        <row r="575">
          <cell r="D575" t="str">
            <v>SUMINISTRO DE COMISION TOPOGRAFICA
 (incluyede GPS, Estación Total, tránsitos, distanciómetros, niveles de precisión, miras, prismas, jalones, plomadas, cintas métricas, etc., un cadenero primero , un cadenero segundo, ingeniero topógrafo/topógrafo con matricula vigente, insumos para ralizar la actividad, licencias de software utilizado para la ejecución de los trabajos, movilización de personal equipos y entregables en archivos magnéticos)</v>
          </cell>
          <cell r="F575" t="str">
            <v>Mes</v>
          </cell>
          <cell r="G575">
            <v>0.2</v>
          </cell>
          <cell r="H575">
            <v>31500000</v>
          </cell>
          <cell r="I575">
            <v>6300000</v>
          </cell>
          <cell r="J575">
            <v>8694000</v>
          </cell>
        </row>
        <row r="576">
          <cell r="D576" t="str">
            <v>DESMONTE, DESCAPOTE Y LIMPIEZA INCLUYE  TALA DE ARBOLES CON DAP ≤0.15M, TRANSPORTE Y DISPOSICIÓN FINAL</v>
          </cell>
          <cell r="F576" t="str">
            <v>m2</v>
          </cell>
          <cell r="G576">
            <v>4799.0294117647063</v>
          </cell>
          <cell r="H576">
            <v>7121</v>
          </cell>
          <cell r="I576">
            <v>34173888.441176474</v>
          </cell>
          <cell r="J576">
            <v>47159966.048823528</v>
          </cell>
        </row>
        <row r="577">
          <cell r="C577" t="str">
            <v>10.8.2</v>
          </cell>
          <cell r="D577" t="str">
            <v xml:space="preserve">         EXCAVACIÓN DE CIMENTACION WP8</v>
          </cell>
          <cell r="E577" t="str">
            <v>7 días</v>
          </cell>
          <cell r="F577">
            <v>0</v>
          </cell>
          <cell r="J577">
            <v>312374505.66882348</v>
          </cell>
        </row>
        <row r="578">
          <cell r="D578" t="str">
            <v>EXCAVACIÓN MECÁNICA EN MATERIAL COMÚN</v>
          </cell>
          <cell r="F578" t="str">
            <v>m3</v>
          </cell>
          <cell r="G578">
            <v>4799.0294117647063</v>
          </cell>
          <cell r="H578">
            <v>35495</v>
          </cell>
          <cell r="I578">
            <v>170341548.97058824</v>
          </cell>
          <cell r="J578">
            <v>235071337.57941175</v>
          </cell>
        </row>
        <row r="579">
          <cell r="D579" t="str">
            <v>EXCAVACIÓN EN ROCA</v>
          </cell>
          <cell r="F579" t="str">
            <v>m3</v>
          </cell>
          <cell r="G579">
            <v>414.35294117647061</v>
          </cell>
          <cell r="H579">
            <v>135191</v>
          </cell>
          <cell r="I579">
            <v>56016788.470588237</v>
          </cell>
          <cell r="J579">
            <v>77303168.089411765</v>
          </cell>
        </row>
        <row r="580">
          <cell r="C580" t="str">
            <v>10.8.3</v>
          </cell>
          <cell r="D580" t="str">
            <v xml:space="preserve">         BANCO DE DUCTO WP8</v>
          </cell>
          <cell r="E580" t="str">
            <v>3 días</v>
          </cell>
          <cell r="F580">
            <v>0</v>
          </cell>
          <cell r="J580">
            <v>9527825.6870364472</v>
          </cell>
        </row>
        <row r="581">
          <cell r="D581" t="str">
            <v>INSTALACION DE TUBERIA PVC TIPO TDP Y/O CORRUGADA TIPO PEAD-HDPE  - 50mm</v>
          </cell>
          <cell r="F581" t="str">
            <v>ML</v>
          </cell>
          <cell r="G581">
            <v>7.2352941176470589</v>
          </cell>
          <cell r="H581">
            <v>27751.000385791169</v>
          </cell>
          <cell r="I581">
            <v>200786.64985013611</v>
          </cell>
          <cell r="J581">
            <v>277085.57679318782</v>
          </cell>
        </row>
        <row r="582">
          <cell r="D582" t="str">
            <v>INSTALACION DE TUBERIA PVC TIPO TDP Y/O CORRUGADA TIPO PEAD-HDPE - 90mm</v>
          </cell>
          <cell r="F582" t="str">
            <v>ML</v>
          </cell>
          <cell r="G582">
            <v>34.694117647058818</v>
          </cell>
          <cell r="H582">
            <v>31239.000009014315</v>
          </cell>
          <cell r="I582">
            <v>1083809.5414892142</v>
          </cell>
          <cell r="J582">
            <v>1495657.1672551155</v>
          </cell>
        </row>
        <row r="583">
          <cell r="D583" t="str">
            <v>INSTALACION DE TUBERIA PVC TIPO TDP  Y/O CORRUGADA TIPO PEAD-HDPE - 200mm</v>
          </cell>
          <cell r="F583" t="str">
            <v>ML</v>
          </cell>
          <cell r="G583">
            <v>70.332352941176467</v>
          </cell>
          <cell r="H583">
            <v>79900.999838665448</v>
          </cell>
          <cell r="I583">
            <v>5619625.3210059023</v>
          </cell>
          <cell r="J583">
            <v>7755082.9429881442</v>
          </cell>
        </row>
        <row r="584">
          <cell r="C584" t="str">
            <v>10.8.4</v>
          </cell>
          <cell r="D584" t="str">
            <v xml:space="preserve">         COMPACTACION DE SELLO DE BASE WP8</v>
          </cell>
          <cell r="E584" t="str">
            <v>2 días</v>
          </cell>
          <cell r="F584">
            <v>0</v>
          </cell>
          <cell r="J584">
            <v>320494616.71764702</v>
          </cell>
        </row>
        <row r="585">
          <cell r="D585" t="str">
            <v>RELLENO CON MATERIAL DE EXCAVACIÓN SELECCIONADO</v>
          </cell>
          <cell r="F585" t="str">
            <v>m3</v>
          </cell>
          <cell r="G585">
            <v>4530.6764705882351</v>
          </cell>
          <cell r="H585">
            <v>51260</v>
          </cell>
          <cell r="I585">
            <v>232242475.88235292</v>
          </cell>
          <cell r="J585">
            <v>320494616.71764702</v>
          </cell>
        </row>
        <row r="586">
          <cell r="C586" t="str">
            <v>10.8.5</v>
          </cell>
          <cell r="D586" t="str">
            <v xml:space="preserve">         SOLADO WP8</v>
          </cell>
          <cell r="E586" t="str">
            <v>1 día</v>
          </cell>
          <cell r="F586">
            <v>0</v>
          </cell>
          <cell r="J586">
            <v>94303618.549411759</v>
          </cell>
        </row>
        <row r="587">
          <cell r="D587" t="str">
            <v>CONCRETO CLASE F (140 kg/cm2 Ó 2000 psi)</v>
          </cell>
          <cell r="F587" t="str">
            <v>m3</v>
          </cell>
          <cell r="G587">
            <v>43.941176470588232</v>
          </cell>
          <cell r="H587">
            <v>1555169</v>
          </cell>
          <cell r="I587">
            <v>68335955.470588237</v>
          </cell>
          <cell r="J587">
            <v>94303618.549411759</v>
          </cell>
        </row>
        <row r="588">
          <cell r="C588" t="str">
            <v>10.8.6</v>
          </cell>
          <cell r="D588" t="str">
            <v xml:space="preserve">         INSTALACIÓN DE PERNOS Y SOFT-SPOT WP8</v>
          </cell>
          <cell r="E588" t="str">
            <v>5 días</v>
          </cell>
          <cell r="F588">
            <v>0</v>
          </cell>
          <cell r="J588">
            <v>179436034.15411764</v>
          </cell>
        </row>
        <row r="589">
          <cell r="D589" t="str">
            <v>S0FT-SPOT  (EPS) Tipo II (ASM C578)</v>
          </cell>
          <cell r="F589" t="str">
            <v>m2</v>
          </cell>
          <cell r="G589">
            <v>62.117647058823529</v>
          </cell>
          <cell r="H589">
            <v>484846</v>
          </cell>
          <cell r="I589">
            <v>30117492.705882352</v>
          </cell>
          <cell r="J589">
            <v>41562139.934117645</v>
          </cell>
        </row>
        <row r="590">
          <cell r="D590" t="str">
            <v>MONTAJE Y NIVELACION DE LA JAULA DE ANCLAJES INCLUYE  LA PREPARACIÓN
 DEL ÁREA, LA NIVELACIÓN Y POSICIONAMIENTO DE LOS COMPONENTES (COMO PLANTILLAS Y VARILLAS), EL ENSAMBLAJE DE LA ESTRUCTURA, LA FIJACIÓN FINAL A LA CIMENTACIÓN CON PERNOS DE ANCLAJE, MONTAJE DE BRIDAS, TORQUE Y LIBERACIÓN DE LA CESTA, INCLUYE LA HERRAMIENTA Y EQUIPO DE INSTALACIÓN (peso estimado por jaula 13896  kg)</v>
          </cell>
          <cell r="F590" t="str">
            <v>Und</v>
          </cell>
          <cell r="G590">
            <v>1</v>
          </cell>
          <cell r="H590">
            <v>99908619</v>
          </cell>
          <cell r="I590">
            <v>99908619</v>
          </cell>
          <cell r="J590">
            <v>137873894.22</v>
          </cell>
        </row>
        <row r="591">
          <cell r="C591" t="str">
            <v>10.8.7</v>
          </cell>
          <cell r="D591" t="str">
            <v xml:space="preserve">         INSTALACIÓN DE ACERO DE REFUERZO WP8</v>
          </cell>
          <cell r="E591" t="str">
            <v>14 días</v>
          </cell>
          <cell r="F591">
            <v>0</v>
          </cell>
          <cell r="J591">
            <v>1212623361.2117648</v>
          </cell>
        </row>
        <row r="592">
          <cell r="D592" t="str">
            <v>ACERO FY:  60000 psi (4.200 kg/cm2)</v>
          </cell>
          <cell r="F592" t="str">
            <v>kg</v>
          </cell>
          <cell r="G592">
            <v>68756.852941176476</v>
          </cell>
          <cell r="H592">
            <v>12780</v>
          </cell>
          <cell r="I592">
            <v>878712580.58823538</v>
          </cell>
          <cell r="J592">
            <v>1212623361.2117648</v>
          </cell>
        </row>
        <row r="593">
          <cell r="C593" t="str">
            <v>10.8.8</v>
          </cell>
          <cell r="D593" t="str">
            <v xml:space="preserve">         ENCOFRADO DE ZAPATA Y DE PEDESTAL WP8</v>
          </cell>
          <cell r="E593" t="str">
            <v>3 días</v>
          </cell>
          <cell r="F593">
            <v>0</v>
          </cell>
        </row>
        <row r="594">
          <cell r="C594" t="str">
            <v>10.8.9</v>
          </cell>
          <cell r="D594" t="str">
            <v xml:space="preserve">         HITO: ALISTAMIENTO Y MOVILIZACIÓN DE PLANTA DE CONCRETO PARA WP8</v>
          </cell>
          <cell r="E594" t="str">
            <v>0 días</v>
          </cell>
          <cell r="F594">
            <v>0</v>
          </cell>
        </row>
        <row r="595">
          <cell r="C595" t="str">
            <v>10.8.10</v>
          </cell>
          <cell r="D595" t="str">
            <v xml:space="preserve">         FUNDIDA WP8</v>
          </cell>
          <cell r="E595" t="str">
            <v>1 día</v>
          </cell>
          <cell r="F595">
            <v>0</v>
          </cell>
          <cell r="J595">
            <v>1230815225.9452939</v>
          </cell>
        </row>
        <row r="596">
          <cell r="D596" t="str">
            <v>CONCRETO ESTRUCTURAL  35 MPa(350 kg/cm2 Ó 5000 psi)</v>
          </cell>
          <cell r="F596" t="str">
            <v>m3</v>
          </cell>
          <cell r="G596">
            <v>429.02941176470586</v>
          </cell>
          <cell r="H596">
            <v>1926653</v>
          </cell>
          <cell r="I596">
            <v>826590803.26470578</v>
          </cell>
          <cell r="J596">
            <v>1140695308.5052938</v>
          </cell>
        </row>
        <row r="597">
          <cell r="D597" t="str">
            <v>CONCRETO ESTRUCTURAL  45 MPa(457 kg/cm2 Ó 6500psi)</v>
          </cell>
          <cell r="F597" t="str">
            <v>m3</v>
          </cell>
          <cell r="G597">
            <v>32</v>
          </cell>
          <cell r="H597">
            <v>2040759</v>
          </cell>
          <cell r="I597">
            <v>65304288</v>
          </cell>
          <cell r="J597">
            <v>90119917.439999998</v>
          </cell>
        </row>
        <row r="598">
          <cell r="C598" t="str">
            <v>10.8.11</v>
          </cell>
          <cell r="D598" t="str">
            <v xml:space="preserve">         CURADO DEL CONCRETO WP8</v>
          </cell>
          <cell r="E598" t="str">
            <v>5 días</v>
          </cell>
          <cell r="F598">
            <v>0</v>
          </cell>
        </row>
        <row r="599">
          <cell r="C599" t="str">
            <v>10.8.12</v>
          </cell>
          <cell r="D599" t="str">
            <v xml:space="preserve">         INSTALACIONES ELECTRICAS Y SISTEMA PUESTA TIERRA WP8</v>
          </cell>
          <cell r="E599" t="str">
            <v>2 días</v>
          </cell>
          <cell r="F599">
            <v>0</v>
          </cell>
          <cell r="J599">
            <v>52736347.43270281</v>
          </cell>
        </row>
        <row r="600">
          <cell r="D600" t="str">
            <v>ARQUETA EN HORMIGON PARA MEDIA TENSION - EMPALMES (500 MT)</v>
          </cell>
          <cell r="F600" t="str">
            <v>Und</v>
          </cell>
          <cell r="G600">
            <v>1</v>
          </cell>
          <cell r="H600">
            <v>12275310.999985719</v>
          </cell>
          <cell r="I600">
            <v>12275310.999985719</v>
          </cell>
          <cell r="J600">
            <v>16939929.179980289</v>
          </cell>
        </row>
        <row r="601">
          <cell r="D601" t="str">
            <v>ARQUETA EN POLIPROPILENO</v>
          </cell>
          <cell r="F601" t="str">
            <v>Und</v>
          </cell>
          <cell r="G601">
            <v>1</v>
          </cell>
          <cell r="H601">
            <v>6068599.9996856553</v>
          </cell>
          <cell r="I601">
            <v>6068599.9996856553</v>
          </cell>
          <cell r="J601">
            <v>8374667.9995662039</v>
          </cell>
        </row>
        <row r="602">
          <cell r="D602" t="str">
            <v>SUMINISTRO E INSTALACIÓN DE PLATINA</v>
          </cell>
          <cell r="F602" t="str">
            <v>Und</v>
          </cell>
          <cell r="G602">
            <v>1</v>
          </cell>
          <cell r="H602">
            <v>361570</v>
          </cell>
          <cell r="I602">
            <v>361570</v>
          </cell>
          <cell r="J602">
            <v>498966.6</v>
          </cell>
        </row>
        <row r="603">
          <cell r="D603" t="str">
            <v>SUMINISTRO E INSTALACIÓN DE VARILLA</v>
          </cell>
          <cell r="F603" t="str">
            <v>Und</v>
          </cell>
          <cell r="G603">
            <v>1</v>
          </cell>
          <cell r="H603">
            <v>398933</v>
          </cell>
          <cell r="I603">
            <v>398933</v>
          </cell>
          <cell r="J603">
            <v>550527.53999999992</v>
          </cell>
        </row>
        <row r="604">
          <cell r="D604" t="str">
            <v>SUMINISTRO E INSTALACIÓN DE ARQUETA PARA INSPECCIÓN DE PICAS EN PUESTA A TIERRA SIN FONDO</v>
          </cell>
          <cell r="F604" t="str">
            <v>Und</v>
          </cell>
          <cell r="G604">
            <v>1</v>
          </cell>
          <cell r="H604">
            <v>14275700</v>
          </cell>
          <cell r="I604">
            <v>14275700</v>
          </cell>
          <cell r="J604">
            <v>19700466</v>
          </cell>
        </row>
        <row r="605">
          <cell r="D605" t="str">
            <v>SUMINISTRO E INSTALACIÓN DE SOLDADURA EXOTERMICA</v>
          </cell>
          <cell r="F605" t="str">
            <v>Und</v>
          </cell>
          <cell r="G605">
            <v>2.8000000000000003</v>
          </cell>
          <cell r="H605">
            <v>185231</v>
          </cell>
          <cell r="I605">
            <v>518646.80000000005</v>
          </cell>
          <cell r="J605">
            <v>715732.58400000003</v>
          </cell>
        </row>
        <row r="606">
          <cell r="D606" t="str">
            <v>SUMINISTRO E INSTALACIÓN DE GRAPA DE ALEACIÓN RICA EN COBRE (LATÓN) MODELO KZ</v>
          </cell>
          <cell r="F606" t="str">
            <v>Und</v>
          </cell>
          <cell r="G606">
            <v>1</v>
          </cell>
          <cell r="H606">
            <v>292083</v>
          </cell>
          <cell r="I606">
            <v>292083</v>
          </cell>
          <cell r="J606">
            <v>403074.54</v>
          </cell>
        </row>
        <row r="607">
          <cell r="D607" t="str">
            <v>SUMINISTRO E INSTALACIÓN DE GRAPA DE ALEACIÓN RICA EN COBRE (LATÓN) MODELO KPD</v>
          </cell>
          <cell r="F607" t="str">
            <v>Und</v>
          </cell>
          <cell r="G607">
            <v>0.99393939393939412</v>
          </cell>
          <cell r="H607">
            <v>292083</v>
          </cell>
          <cell r="I607">
            <v>290312.80000000005</v>
          </cell>
          <cell r="J607">
            <v>400631.66400000005</v>
          </cell>
        </row>
        <row r="608">
          <cell r="D608" t="str">
            <v xml:space="preserve">INSTALACIÓN DE CABLE DE COBRE TRENZADO DESNUDO DE 50 mm2 </v>
          </cell>
          <cell r="F608" t="str">
            <v>ML</v>
          </cell>
          <cell r="G608">
            <v>113.1390243902439</v>
          </cell>
          <cell r="H608">
            <v>33000.000989065411</v>
          </cell>
          <cell r="I608">
            <v>3733587.9167799447</v>
          </cell>
          <cell r="J608">
            <v>5152351.3251563236</v>
          </cell>
        </row>
        <row r="609">
          <cell r="C609" t="str">
            <v>10.8.13</v>
          </cell>
          <cell r="D609" t="str">
            <v xml:space="preserve">         INSTALACION DE GROUT Y MORTERO AUTOCOMPACTANTE DE ALTA RESISTENCIA WP8</v>
          </cell>
          <cell r="E609" t="str">
            <v>2 días</v>
          </cell>
          <cell r="F609">
            <v>0</v>
          </cell>
          <cell r="J609">
            <v>46410609.014634147</v>
          </cell>
        </row>
        <row r="610">
          <cell r="D610" t="str">
            <v>GROUT Y  MORTERO AUTOCOMPACTANTE DE ALTA RESISTENCIA C80/95 (EN206-1)</v>
          </cell>
          <cell r="F610" t="str">
            <v>lt</v>
          </cell>
          <cell r="G610">
            <v>530.73170731707319</v>
          </cell>
          <cell r="H610">
            <v>63367</v>
          </cell>
          <cell r="I610">
            <v>33630876.097560979</v>
          </cell>
          <cell r="J610">
            <v>46410609.014634147</v>
          </cell>
        </row>
        <row r="611">
          <cell r="C611" t="str">
            <v>10.8.14</v>
          </cell>
          <cell r="D611" t="str">
            <v xml:space="preserve">         TAPADO AREA DE CIMENTACIÓN Y CONFORMACIÓN DE PLATAFORMA WP8</v>
          </cell>
          <cell r="E611" t="str">
            <v>7 días</v>
          </cell>
          <cell r="F611">
            <v>0</v>
          </cell>
          <cell r="J611">
            <v>1587346329.5488234</v>
          </cell>
        </row>
        <row r="612">
          <cell r="D612" t="str">
            <v>MATERIAL SELECIONADA PARA  FORMACIÓN Y COMPACTACIÓN DE TERRAPLENES Y RELLENO ESTRUCTURAL  (INCLUYE TRANSPORTE DESDE LAS CANTERAS LICENCIADAS HASTA EL SITIO DE INSTALACIÓN)</v>
          </cell>
          <cell r="F612" t="str">
            <v>m3</v>
          </cell>
          <cell r="G612">
            <v>5388.7058823529414</v>
          </cell>
          <cell r="H612">
            <v>174890</v>
          </cell>
          <cell r="I612">
            <v>942430771.7647059</v>
          </cell>
          <cell r="J612">
            <v>1300554465.0352941</v>
          </cell>
        </row>
        <row r="613">
          <cell r="D613" t="str">
            <v>PREPARACIÓN DE SUBRASANTE COMPACTACIÓN Y VALORACIÓN DE LA CAPA DE SUBRASANTE DE LOS VIALES. INCLUYENDO LAS PRUEBAS SEGÚN LO PRESCRITO.</v>
          </cell>
          <cell r="F613" t="str">
            <v>m2</v>
          </cell>
          <cell r="G613">
            <v>631.61764705882354</v>
          </cell>
          <cell r="H613">
            <v>11537</v>
          </cell>
          <cell r="I613">
            <v>7286972.7941176472</v>
          </cell>
          <cell r="J613">
            <v>10056022.455882352</v>
          </cell>
        </row>
        <row r="614">
          <cell r="D614" t="str">
            <v>SUBBASE GRANULAR  (INCLUYE TRANSPORTE DESDE LAS CANTERAS LICENCIADAS HASTA EL SITIO DE INSTALACIÓN)</v>
          </cell>
          <cell r="F614" t="str">
            <v>m3</v>
          </cell>
          <cell r="G614">
            <v>880.85294117647061</v>
          </cell>
          <cell r="H614">
            <v>227658</v>
          </cell>
          <cell r="I614">
            <v>200533218.88235295</v>
          </cell>
          <cell r="J614">
            <v>276735842.05764705</v>
          </cell>
        </row>
        <row r="615">
          <cell r="C615" t="str">
            <v>10.8.15</v>
          </cell>
          <cell r="D615" t="str">
            <v xml:space="preserve">         ESTABILIZACIÓN DE TALUDES EN PLATAFORMA Y RECONFORMACION FINAL WP8</v>
          </cell>
          <cell r="E615" t="str">
            <v>7 días</v>
          </cell>
          <cell r="F615">
            <v>0</v>
          </cell>
          <cell r="J615">
            <v>179532477.23999998</v>
          </cell>
        </row>
        <row r="616">
          <cell r="D616" t="str">
            <v xml:space="preserve">ENROCADO PROTECCIÓN TALUD PLATAFORMAS PROTECCIÓN CON ENROCADO DE PIEDRA DEL TALUD DE LAS PLATAFORMAS EN TERRAPLÉN CON 30 CM DE PIEDRA DE 6-10 CM DE DIÁMETRO, PESO ESPECÍFICO DE LAS PIEDRAS DE 2,64  G/CM3  (INCLUYE TRANSPORTE DESDE LAS CANTERAS LICENCIADAS HASTA EL SITIO DE INSTALACIÓN) </v>
          </cell>
          <cell r="F616" t="str">
            <v>m3</v>
          </cell>
          <cell r="G616">
            <v>42.352941176470587</v>
          </cell>
          <cell r="H616">
            <v>276393</v>
          </cell>
          <cell r="I616">
            <v>11706056.470588235</v>
          </cell>
          <cell r="J616">
            <v>16154357.929411763</v>
          </cell>
        </row>
        <row r="617">
          <cell r="D617" t="str">
            <v xml:space="preserve">ENROCADO PROTECCIÓN TALUD CIMENTACION PROTECCIÓN CON ENROCADO DE PIEDRA DEL TALUD DE LAS CIMENTACIONES EN TERRAPLÉN CON 30 CM DE PIEDRA DE 6-10 CM DE DIÁMETRO, PESO ESPECÍFICO DE LAS PIEDRAS DE 2,64 G/CM3   (INCLUYE TRANSPORTE DESDE LAS CANTERAS LICENCIADAS HASTA EL SITIO DE INSTALACIÓN) </v>
          </cell>
          <cell r="F617" t="str">
            <v>m3</v>
          </cell>
          <cell r="G617">
            <v>25.529411764705884</v>
          </cell>
          <cell r="H617">
            <v>286818</v>
          </cell>
          <cell r="I617">
            <v>7322294.823529412</v>
          </cell>
          <cell r="J617">
            <v>10104766.856470589</v>
          </cell>
        </row>
        <row r="618">
          <cell r="D618" t="str">
            <v>BASE GRANULAR   (INCLUYE TRANSPORTE DESDE LAS CANTERAS LICENCIADAS HASTA EL SITIO DE INSTALACIÓN)</v>
          </cell>
          <cell r="F618" t="str">
            <v>m3</v>
          </cell>
          <cell r="G618">
            <v>237.64705882352942</v>
          </cell>
          <cell r="H618">
            <v>265112</v>
          </cell>
          <cell r="I618">
            <v>63003087.058823533</v>
          </cell>
          <cell r="J618">
            <v>86944260.141176462</v>
          </cell>
        </row>
        <row r="619">
          <cell r="D619" t="str">
            <v>SUMINISTRO E INSTALACIÓN DE GEOTEXTILES</v>
          </cell>
          <cell r="F619" t="str">
            <v>m2</v>
          </cell>
          <cell r="G619">
            <v>887.17647058823525</v>
          </cell>
          <cell r="H619">
            <v>54177</v>
          </cell>
          <cell r="I619">
            <v>48064559.647058822</v>
          </cell>
          <cell r="J619">
            <v>66329092.312941171</v>
          </cell>
        </row>
        <row r="620">
          <cell r="C620" t="str">
            <v>10.8.16</v>
          </cell>
          <cell r="D620" t="str">
            <v xml:space="preserve">         HITO: FINALIZACION DE ACTIVIDADES EN CIMENTACION WP8</v>
          </cell>
          <cell r="E620" t="str">
            <v>0 días</v>
          </cell>
          <cell r="F620">
            <v>0</v>
          </cell>
        </row>
        <row r="621">
          <cell r="C621" t="str">
            <v>10.9</v>
          </cell>
          <cell r="D621" t="str">
            <v xml:space="preserve">      CIMENTACION WP19</v>
          </cell>
          <cell r="E621" t="str">
            <v>60 días</v>
          </cell>
          <cell r="F621">
            <v>0</v>
          </cell>
        </row>
        <row r="622">
          <cell r="C622" t="str">
            <v>10.9.1</v>
          </cell>
          <cell r="D622" t="str">
            <v xml:space="preserve">         DESBROCE DE AREA DE ACOPIO DE TORRE Y DE PALAS WP19</v>
          </cell>
          <cell r="E622" t="str">
            <v>8 días</v>
          </cell>
          <cell r="F622">
            <v>0</v>
          </cell>
          <cell r="J622">
            <v>83271780.884117648</v>
          </cell>
        </row>
        <row r="623">
          <cell r="D623" t="str">
            <v>DESBROCE Y LIMPIEZA</v>
          </cell>
          <cell r="F623" t="str">
            <v>m2</v>
          </cell>
          <cell r="G623">
            <v>4799.0294117647063</v>
          </cell>
          <cell r="H623">
            <v>4140</v>
          </cell>
          <cell r="I623">
            <v>19867981.764705885</v>
          </cell>
          <cell r="J623">
            <v>27417814.83529412</v>
          </cell>
        </row>
        <row r="624">
          <cell r="D624" t="str">
            <v>SUMINISTRO DE COMISION TOPOGRAFICA
 (incluyede GPS, Estación Total, tránsitos, distanciómetros, niveles de precisión, miras, prismas, jalones, plomadas, cintas métricas, etc., un cadenero primero , un cadenero segundo, ingeniero topógrafo/topógrafo con matricula vigente, insumos para ralizar la actividad, licencias de software utilizado para la ejecución de los trabajos, movilización de personal equipos y entregables en archivos magnéticos)</v>
          </cell>
          <cell r="F624" t="str">
            <v>Mes</v>
          </cell>
          <cell r="G624">
            <v>0.2</v>
          </cell>
          <cell r="H624">
            <v>31500000</v>
          </cell>
          <cell r="I624">
            <v>6300000</v>
          </cell>
          <cell r="J624">
            <v>8694000</v>
          </cell>
        </row>
        <row r="625">
          <cell r="D625" t="str">
            <v>DESMONTE, DESCAPOTE Y LIMPIEZA INCLUYE  TALA DE ARBOLES CON DAP ≤0.15M, TRANSPORTE Y DISPOSICIÓN FINAL</v>
          </cell>
          <cell r="F625" t="str">
            <v>m2</v>
          </cell>
          <cell r="G625">
            <v>4799.0294117647063</v>
          </cell>
          <cell r="H625">
            <v>7121</v>
          </cell>
          <cell r="I625">
            <v>34173888.441176474</v>
          </cell>
          <cell r="J625">
            <v>47159966.048823528</v>
          </cell>
        </row>
        <row r="626">
          <cell r="C626" t="str">
            <v>10.9.2</v>
          </cell>
          <cell r="D626" t="str">
            <v xml:space="preserve">         EXCAVACIÓN DE CIMENTACION WP19</v>
          </cell>
          <cell r="E626" t="str">
            <v>7 días</v>
          </cell>
          <cell r="F626">
            <v>0</v>
          </cell>
          <cell r="J626">
            <v>312374505.66882348</v>
          </cell>
        </row>
        <row r="627">
          <cell r="D627" t="str">
            <v>EXCAVACIÓN MECÁNICA EN MATERIAL COMÚN</v>
          </cell>
          <cell r="F627" t="str">
            <v>m3</v>
          </cell>
          <cell r="G627">
            <v>4799.0294117647063</v>
          </cell>
          <cell r="H627">
            <v>35495</v>
          </cell>
          <cell r="I627">
            <v>170341548.97058824</v>
          </cell>
          <cell r="J627">
            <v>235071337.57941175</v>
          </cell>
        </row>
        <row r="628">
          <cell r="D628" t="str">
            <v>EXCAVACIÓN EN ROCA</v>
          </cell>
          <cell r="F628" t="str">
            <v>m3</v>
          </cell>
          <cell r="G628">
            <v>414.35294117647061</v>
          </cell>
          <cell r="H628">
            <v>135191</v>
          </cell>
          <cell r="I628">
            <v>56016788.470588237</v>
          </cell>
          <cell r="J628">
            <v>77303168.089411765</v>
          </cell>
        </row>
        <row r="629">
          <cell r="C629" t="str">
            <v>10.9.3</v>
          </cell>
          <cell r="D629" t="str">
            <v xml:space="preserve">         BANCO DE DUCTO WP19</v>
          </cell>
          <cell r="E629" t="str">
            <v>3 días</v>
          </cell>
          <cell r="F629">
            <v>0</v>
          </cell>
          <cell r="J629">
            <v>9527825.6870364472</v>
          </cell>
        </row>
        <row r="630">
          <cell r="D630" t="str">
            <v>INSTALACION DE TUBERIA PVC TIPO TDP Y/O CORRUGADA TIPO PEAD-HDPE  - 50mm</v>
          </cell>
          <cell r="F630" t="str">
            <v>ML</v>
          </cell>
          <cell r="G630">
            <v>7.2352941176470589</v>
          </cell>
          <cell r="H630">
            <v>27751.000385791169</v>
          </cell>
          <cell r="I630">
            <v>200786.64985013611</v>
          </cell>
          <cell r="J630">
            <v>277085.57679318782</v>
          </cell>
        </row>
        <row r="631">
          <cell r="D631" t="str">
            <v>INSTALACION DE TUBERIA PVC TIPO TDP Y/O CORRUGADA TIPO PEAD-HDPE - 90mm</v>
          </cell>
          <cell r="F631" t="str">
            <v>ML</v>
          </cell>
          <cell r="G631">
            <v>34.694117647058818</v>
          </cell>
          <cell r="H631">
            <v>31239.000009014315</v>
          </cell>
          <cell r="I631">
            <v>1083809.5414892142</v>
          </cell>
          <cell r="J631">
            <v>1495657.1672551155</v>
          </cell>
        </row>
        <row r="632">
          <cell r="D632" t="str">
            <v>INSTALACION DE TUBERIA PVC TIPO TDP  Y/O CORRUGADA TIPO PEAD-HDPE - 200mm</v>
          </cell>
          <cell r="F632" t="str">
            <v>ML</v>
          </cell>
          <cell r="G632">
            <v>70.332352941176467</v>
          </cell>
          <cell r="H632">
            <v>79900.999838665448</v>
          </cell>
          <cell r="I632">
            <v>5619625.3210059023</v>
          </cell>
          <cell r="J632">
            <v>7755082.9429881442</v>
          </cell>
        </row>
        <row r="633">
          <cell r="C633" t="str">
            <v>10.9.4</v>
          </cell>
          <cell r="D633" t="str">
            <v xml:space="preserve">         COMPACTACION DE SELLO DE BASE WP19</v>
          </cell>
          <cell r="E633" t="str">
            <v>2 días</v>
          </cell>
          <cell r="F633">
            <v>0</v>
          </cell>
          <cell r="J633">
            <v>320494616.71764702</v>
          </cell>
        </row>
        <row r="634">
          <cell r="D634" t="str">
            <v>RELLENO CON MATERIAL DE EXCAVACIÓN SELECCIONADO</v>
          </cell>
          <cell r="F634" t="str">
            <v>m3</v>
          </cell>
          <cell r="G634">
            <v>4530.6764705882351</v>
          </cell>
          <cell r="H634">
            <v>51260</v>
          </cell>
          <cell r="I634">
            <v>232242475.88235292</v>
          </cell>
          <cell r="J634">
            <v>320494616.71764702</v>
          </cell>
        </row>
        <row r="635">
          <cell r="C635" t="str">
            <v>10.9.5</v>
          </cell>
          <cell r="D635" t="str">
            <v xml:space="preserve">         SOLADO WP19</v>
          </cell>
          <cell r="E635" t="str">
            <v>1 día</v>
          </cell>
          <cell r="F635">
            <v>0</v>
          </cell>
          <cell r="J635">
            <v>94303618.549411759</v>
          </cell>
        </row>
        <row r="636">
          <cell r="D636" t="str">
            <v>CONCRETO CLASE F (140 kg/cm2 Ó 2000 psi)</v>
          </cell>
          <cell r="F636" t="str">
            <v>m3</v>
          </cell>
          <cell r="G636">
            <v>43.941176470588232</v>
          </cell>
          <cell r="H636">
            <v>1555169</v>
          </cell>
          <cell r="I636">
            <v>68335955.470588237</v>
          </cell>
          <cell r="J636">
            <v>94303618.549411759</v>
          </cell>
        </row>
        <row r="637">
          <cell r="C637" t="str">
            <v>10.9.6</v>
          </cell>
          <cell r="D637" t="str">
            <v xml:space="preserve">         INSTALACIÓN DE PERNOS Y SOFT-SPOT WP19</v>
          </cell>
          <cell r="E637" t="str">
            <v>5 días</v>
          </cell>
          <cell r="F637">
            <v>0</v>
          </cell>
          <cell r="J637">
            <v>179436034.15411764</v>
          </cell>
        </row>
        <row r="638">
          <cell r="D638" t="str">
            <v>S0FT-SPOT  (EPS) Tipo II (ASM C578)</v>
          </cell>
          <cell r="F638" t="str">
            <v>m2</v>
          </cell>
          <cell r="G638">
            <v>62.117647058823529</v>
          </cell>
          <cell r="H638">
            <v>484846</v>
          </cell>
          <cell r="I638">
            <v>30117492.705882352</v>
          </cell>
          <cell r="J638">
            <v>41562139.934117645</v>
          </cell>
        </row>
        <row r="639">
          <cell r="D639" t="str">
            <v>MONTAJE Y NIVELACION DE LA JAULA DE ANCLAJES INCLUYE  LA PREPARACIÓN
 DEL ÁREA, LA NIVELACIÓN Y POSICIONAMIENTO DE LOS COMPONENTES (COMO PLANTILLAS Y VARILLAS), EL ENSAMBLAJE DE LA ESTRUCTURA, LA FIJACIÓN FINAL A LA CIMENTACIÓN CON PERNOS DE ANCLAJE, MONTAJE DE BRIDAS, TORQUE Y LIBERACIÓN DE LA CESTA, INCLUYE LA HERRAMIENTA Y EQUIPO DE INSTALACIÓN (peso estimado por jaula 13896  kg)</v>
          </cell>
          <cell r="F639" t="str">
            <v>Und</v>
          </cell>
          <cell r="G639">
            <v>1</v>
          </cell>
          <cell r="H639">
            <v>99908619</v>
          </cell>
          <cell r="I639">
            <v>99908619</v>
          </cell>
          <cell r="J639">
            <v>137873894.22</v>
          </cell>
        </row>
        <row r="640">
          <cell r="C640" t="str">
            <v>10.9.7</v>
          </cell>
          <cell r="D640" t="str">
            <v xml:space="preserve">         INSTALACIÓN DE ACERO DE REFUERZO WP19</v>
          </cell>
          <cell r="E640" t="str">
            <v>14 días</v>
          </cell>
          <cell r="F640">
            <v>0</v>
          </cell>
          <cell r="J640">
            <v>1212623361.2117648</v>
          </cell>
        </row>
        <row r="641">
          <cell r="D641" t="str">
            <v>ACERO FY:  60000 psi (4.200 kg/cm2)</v>
          </cell>
          <cell r="F641" t="str">
            <v>kg</v>
          </cell>
          <cell r="G641">
            <v>68756.852941176476</v>
          </cell>
          <cell r="H641">
            <v>12780</v>
          </cell>
          <cell r="I641">
            <v>878712580.58823538</v>
          </cell>
          <cell r="J641">
            <v>1212623361.2117648</v>
          </cell>
        </row>
        <row r="642">
          <cell r="C642" t="str">
            <v>10.9.8</v>
          </cell>
          <cell r="D642" t="str">
            <v xml:space="preserve">         ENCOFRADO DE ZAPATA Y DE PEDESTAL WP19</v>
          </cell>
          <cell r="E642" t="str">
            <v>3 días</v>
          </cell>
          <cell r="F642">
            <v>0</v>
          </cell>
        </row>
        <row r="643">
          <cell r="C643" t="str">
            <v>10.9.9</v>
          </cell>
          <cell r="D643" t="str">
            <v xml:space="preserve">         HITO: ALISTAMIENTO Y MOVILIZACIÓN DE PLANTA DE CONCRETO PARA WP19</v>
          </cell>
          <cell r="E643" t="str">
            <v>0 días</v>
          </cell>
          <cell r="F643">
            <v>0</v>
          </cell>
        </row>
        <row r="644">
          <cell r="C644" t="str">
            <v>10.9.10</v>
          </cell>
          <cell r="D644" t="str">
            <v xml:space="preserve">         FUNDIDA WP19</v>
          </cell>
          <cell r="E644" t="str">
            <v>1 día</v>
          </cell>
          <cell r="F644">
            <v>0</v>
          </cell>
          <cell r="J644">
            <v>1230815225.9452939</v>
          </cell>
        </row>
        <row r="645">
          <cell r="D645" t="str">
            <v>CONCRETO ESTRUCTURAL  35 MPa(350 kg/cm2 Ó 5000 psi)</v>
          </cell>
          <cell r="F645" t="str">
            <v>m3</v>
          </cell>
          <cell r="G645">
            <v>429.02941176470586</v>
          </cell>
          <cell r="H645">
            <v>1926653</v>
          </cell>
          <cell r="I645">
            <v>826590803.26470578</v>
          </cell>
          <cell r="J645">
            <v>1140695308.5052938</v>
          </cell>
        </row>
        <row r="646">
          <cell r="D646" t="str">
            <v>CONCRETO ESTRUCTURAL  45 MPa(457 kg/cm2 Ó 6500psi)</v>
          </cell>
          <cell r="F646" t="str">
            <v>m3</v>
          </cell>
          <cell r="G646">
            <v>32</v>
          </cell>
          <cell r="H646">
            <v>2040759</v>
          </cell>
          <cell r="I646">
            <v>65304288</v>
          </cell>
          <cell r="J646">
            <v>90119917.439999998</v>
          </cell>
        </row>
        <row r="647">
          <cell r="C647" t="str">
            <v>10.9.11</v>
          </cell>
          <cell r="D647" t="str">
            <v xml:space="preserve">         CURADO DEL CONCRETO WP19</v>
          </cell>
          <cell r="E647" t="str">
            <v>5 días</v>
          </cell>
          <cell r="F647">
            <v>0</v>
          </cell>
        </row>
        <row r="648">
          <cell r="C648" t="str">
            <v>10.9.12</v>
          </cell>
          <cell r="D648" t="str">
            <v xml:space="preserve">         INSTALACIONES ELECTRICAS Y SISTEMA PUESTA TIERRA WP19</v>
          </cell>
          <cell r="E648" t="str">
            <v>2 días</v>
          </cell>
          <cell r="F648">
            <v>0</v>
          </cell>
          <cell r="J648">
            <v>52736347.43270281</v>
          </cell>
        </row>
        <row r="649">
          <cell r="D649" t="str">
            <v>ARQUETA EN HORMIGON PARA MEDIA TENSION - EMPALMES (500 MT)</v>
          </cell>
          <cell r="F649" t="str">
            <v>Und</v>
          </cell>
          <cell r="G649">
            <v>1</v>
          </cell>
          <cell r="H649">
            <v>12275310.999985719</v>
          </cell>
          <cell r="I649">
            <v>12275310.999985719</v>
          </cell>
          <cell r="J649">
            <v>16939929.179980289</v>
          </cell>
        </row>
        <row r="650">
          <cell r="D650" t="str">
            <v>ARQUETA EN POLIPROPILENO</v>
          </cell>
          <cell r="F650" t="str">
            <v>Und</v>
          </cell>
          <cell r="G650">
            <v>1</v>
          </cell>
          <cell r="H650">
            <v>6068599.9996856553</v>
          </cell>
          <cell r="I650">
            <v>6068599.9996856553</v>
          </cell>
          <cell r="J650">
            <v>8374667.9995662039</v>
          </cell>
        </row>
        <row r="651">
          <cell r="D651" t="str">
            <v>SUMINISTRO E INSTALACIÓN DE PLATINA</v>
          </cell>
          <cell r="F651" t="str">
            <v>Und</v>
          </cell>
          <cell r="G651">
            <v>1</v>
          </cell>
          <cell r="H651">
            <v>361570</v>
          </cell>
          <cell r="I651">
            <v>361570</v>
          </cell>
          <cell r="J651">
            <v>498966.6</v>
          </cell>
        </row>
        <row r="652">
          <cell r="D652" t="str">
            <v>SUMINISTRO E INSTALACIÓN DE VARILLA</v>
          </cell>
          <cell r="F652" t="str">
            <v>Und</v>
          </cell>
          <cell r="G652">
            <v>1</v>
          </cell>
          <cell r="H652">
            <v>398933</v>
          </cell>
          <cell r="I652">
            <v>398933</v>
          </cell>
          <cell r="J652">
            <v>550527.53999999992</v>
          </cell>
        </row>
        <row r="653">
          <cell r="D653" t="str">
            <v>SUMINISTRO E INSTALACIÓN DE ARQUETA PARA INSPECCIÓN DE PICAS EN PUESTA A TIERRA SIN FONDO</v>
          </cell>
          <cell r="F653" t="str">
            <v>Und</v>
          </cell>
          <cell r="G653">
            <v>1</v>
          </cell>
          <cell r="H653">
            <v>14275700</v>
          </cell>
          <cell r="I653">
            <v>14275700</v>
          </cell>
          <cell r="J653">
            <v>19700466</v>
          </cell>
        </row>
        <row r="654">
          <cell r="D654" t="str">
            <v>SUMINISTRO E INSTALACIÓN DE SOLDADURA EXOTERMICA</v>
          </cell>
          <cell r="F654" t="str">
            <v>Und</v>
          </cell>
          <cell r="G654">
            <v>2.8000000000000003</v>
          </cell>
          <cell r="H654">
            <v>185231</v>
          </cell>
          <cell r="I654">
            <v>518646.80000000005</v>
          </cell>
          <cell r="J654">
            <v>715732.58400000003</v>
          </cell>
        </row>
        <row r="655">
          <cell r="D655" t="str">
            <v>SUMINISTRO E INSTALACIÓN DE GRAPA DE ALEACIÓN RICA EN COBRE (LATÓN) MODELO KZ</v>
          </cell>
          <cell r="F655" t="str">
            <v>Und</v>
          </cell>
          <cell r="G655">
            <v>1</v>
          </cell>
          <cell r="H655">
            <v>292083</v>
          </cell>
          <cell r="I655">
            <v>292083</v>
          </cell>
          <cell r="J655">
            <v>403074.54</v>
          </cell>
        </row>
        <row r="656">
          <cell r="D656" t="str">
            <v>SUMINISTRO E INSTALACIÓN DE GRAPA DE ALEACIÓN RICA EN COBRE (LATÓN) MODELO KPD</v>
          </cell>
          <cell r="F656" t="str">
            <v>Und</v>
          </cell>
          <cell r="G656">
            <v>0.99393939393939412</v>
          </cell>
          <cell r="H656">
            <v>292083</v>
          </cell>
          <cell r="I656">
            <v>290312.80000000005</v>
          </cell>
          <cell r="J656">
            <v>400631.66400000005</v>
          </cell>
        </row>
        <row r="657">
          <cell r="D657" t="str">
            <v xml:space="preserve">INSTALACIÓN DE CABLE DE COBRE TRENZADO DESNUDO DE 50 mm2 </v>
          </cell>
          <cell r="F657" t="str">
            <v>ML</v>
          </cell>
          <cell r="G657">
            <v>113.1390243902439</v>
          </cell>
          <cell r="H657">
            <v>33000.000989065411</v>
          </cell>
          <cell r="I657">
            <v>3733587.9167799447</v>
          </cell>
          <cell r="J657">
            <v>5152351.3251563236</v>
          </cell>
        </row>
        <row r="658">
          <cell r="C658" t="str">
            <v>10.9.13</v>
          </cell>
          <cell r="D658" t="str">
            <v xml:space="preserve">         INSTALACION DE GROUT Y MORTERO AUTOCOMPACTANTE DE ALTA RESISTENCIA WP19</v>
          </cell>
          <cell r="E658" t="str">
            <v>2 días</v>
          </cell>
          <cell r="F658">
            <v>0</v>
          </cell>
          <cell r="J658">
            <v>46410609.014634147</v>
          </cell>
        </row>
        <row r="659">
          <cell r="D659" t="str">
            <v>GROUT Y  MORTERO AUTOCOMPACTANTE DE ALTA RESISTENCIA C80/95 (EN206-1)</v>
          </cell>
          <cell r="F659" t="str">
            <v>lt</v>
          </cell>
          <cell r="G659">
            <v>530.73170731707319</v>
          </cell>
          <cell r="H659">
            <v>63367</v>
          </cell>
          <cell r="I659">
            <v>33630876.097560979</v>
          </cell>
          <cell r="J659">
            <v>46410609.014634147</v>
          </cell>
        </row>
        <row r="660">
          <cell r="C660" t="str">
            <v>10.9.14</v>
          </cell>
          <cell r="D660" t="str">
            <v xml:space="preserve">         TAPADO AREA DE CIMENTACIÓN Y CONFORMACIÓN DE PLATAFORMA WP19</v>
          </cell>
          <cell r="E660" t="str">
            <v>7 días</v>
          </cell>
          <cell r="F660">
            <v>0</v>
          </cell>
          <cell r="J660">
            <v>1587346329.5488234</v>
          </cell>
        </row>
        <row r="661">
          <cell r="D661" t="str">
            <v>MATERIAL SELECIONADA PARA  FORMACIÓN Y COMPACTACIÓN DE TERRAPLENES Y RELLENO ESTRUCTURAL  (INCLUYE TRANSPORTE DESDE LAS CANTERAS LICENCIADAS HASTA EL SITIO DE INSTALACIÓN)</v>
          </cell>
          <cell r="F661" t="str">
            <v>m3</v>
          </cell>
          <cell r="G661">
            <v>5388.7058823529414</v>
          </cell>
          <cell r="H661">
            <v>174890</v>
          </cell>
          <cell r="I661">
            <v>942430771.7647059</v>
          </cell>
          <cell r="J661">
            <v>1300554465.0352941</v>
          </cell>
        </row>
        <row r="662">
          <cell r="D662" t="str">
            <v>PREPARACIÓN DE SUBRASANTE COMPACTACIÓN Y VALORACIÓN DE LA CAPA DE SUBRASANTE DE LOS VIALES. INCLUYENDO LAS PRUEBAS SEGÚN LO PRESCRITO.</v>
          </cell>
          <cell r="F662" t="str">
            <v>m2</v>
          </cell>
          <cell r="G662">
            <v>631.61764705882354</v>
          </cell>
          <cell r="H662">
            <v>11537</v>
          </cell>
          <cell r="I662">
            <v>7286972.7941176472</v>
          </cell>
          <cell r="J662">
            <v>10056022.455882352</v>
          </cell>
        </row>
        <row r="663">
          <cell r="D663" t="str">
            <v>SUBBASE GRANULAR  (INCLUYE TRANSPORTE DESDE LAS CANTERAS LICENCIADAS HASTA EL SITIO DE INSTALACIÓN)</v>
          </cell>
          <cell r="F663" t="str">
            <v>m3</v>
          </cell>
          <cell r="G663">
            <v>880.85294117647061</v>
          </cell>
          <cell r="H663">
            <v>227658</v>
          </cell>
          <cell r="I663">
            <v>200533218.88235295</v>
          </cell>
          <cell r="J663">
            <v>276735842.05764705</v>
          </cell>
        </row>
        <row r="664">
          <cell r="C664" t="str">
            <v>10.9.15</v>
          </cell>
          <cell r="D664" t="str">
            <v xml:space="preserve">         ESTABILIZACIÓN DE TALUDES EN PLATAFORMA Y RECONFORMACION FINAL WP19</v>
          </cell>
          <cell r="E664" t="str">
            <v>7 días</v>
          </cell>
          <cell r="F664">
            <v>0</v>
          </cell>
          <cell r="J664">
            <v>179532477.23999998</v>
          </cell>
        </row>
        <row r="665">
          <cell r="D665" t="str">
            <v xml:space="preserve">ENROCADO PROTECCIÓN TALUD PLATAFORMAS PROTECCIÓN CON ENROCADO DE PIEDRA DEL TALUD DE LAS PLATAFORMAS EN TERRAPLÉN CON 30 CM DE PIEDRA DE 6-10 CM DE DIÁMETRO, PESO ESPECÍFICO DE LAS PIEDRAS DE 2,64  G/CM3  (INCLUYE TRANSPORTE DESDE LAS CANTERAS LICENCIADAS HASTA EL SITIO DE INSTALACIÓN) </v>
          </cell>
          <cell r="F665" t="str">
            <v>m3</v>
          </cell>
          <cell r="G665">
            <v>42.352941176470587</v>
          </cell>
          <cell r="H665">
            <v>276393</v>
          </cell>
          <cell r="I665">
            <v>11706056.470588235</v>
          </cell>
          <cell r="J665">
            <v>16154357.929411763</v>
          </cell>
        </row>
        <row r="666">
          <cell r="D666" t="str">
            <v xml:space="preserve">ENROCADO PROTECCIÓN TALUD CIMENTACION PROTECCIÓN CON ENROCADO DE PIEDRA DEL TALUD DE LAS CIMENTACIONES EN TERRAPLÉN CON 30 CM DE PIEDRA DE 6-10 CM DE DIÁMETRO, PESO ESPECÍFICO DE LAS PIEDRAS DE 2,64 G/CM3   (INCLUYE TRANSPORTE DESDE LAS CANTERAS LICENCIADAS HASTA EL SITIO DE INSTALACIÓN) </v>
          </cell>
          <cell r="F666" t="str">
            <v>m3</v>
          </cell>
          <cell r="G666">
            <v>25.529411764705884</v>
          </cell>
          <cell r="H666">
            <v>286818</v>
          </cell>
          <cell r="I666">
            <v>7322294.823529412</v>
          </cell>
          <cell r="J666">
            <v>10104766.856470589</v>
          </cell>
        </row>
        <row r="667">
          <cell r="D667" t="str">
            <v>BASE GRANULAR   (INCLUYE TRANSPORTE DESDE LAS CANTERAS LICENCIADAS HASTA EL SITIO DE INSTALACIÓN)</v>
          </cell>
          <cell r="F667" t="str">
            <v>m3</v>
          </cell>
          <cell r="G667">
            <v>237.64705882352942</v>
          </cell>
          <cell r="H667">
            <v>265112</v>
          </cell>
          <cell r="I667">
            <v>63003087.058823533</v>
          </cell>
          <cell r="J667">
            <v>86944260.141176462</v>
          </cell>
        </row>
        <row r="668">
          <cell r="D668" t="str">
            <v>SUMINISTRO E INSTALACIÓN DE GEOTEXTILES</v>
          </cell>
          <cell r="F668" t="str">
            <v>m2</v>
          </cell>
          <cell r="G668">
            <v>887.17647058823525</v>
          </cell>
          <cell r="H668">
            <v>54177</v>
          </cell>
          <cell r="I668">
            <v>48064559.647058822</v>
          </cell>
          <cell r="J668">
            <v>66329092.312941171</v>
          </cell>
        </row>
        <row r="669">
          <cell r="C669" t="str">
            <v>10.9.16</v>
          </cell>
          <cell r="D669" t="str">
            <v xml:space="preserve">         HITO: FINALIZACION DE ACTIVIDADES EN CIMENTACION WP19</v>
          </cell>
          <cell r="E669" t="str">
            <v>0 días</v>
          </cell>
          <cell r="F669">
            <v>0</v>
          </cell>
        </row>
        <row r="670">
          <cell r="C670" t="str">
            <v>10.10</v>
          </cell>
          <cell r="D670" t="str">
            <v xml:space="preserve">      CIMENTACION WP20</v>
          </cell>
          <cell r="E670" t="str">
            <v>60 días</v>
          </cell>
          <cell r="F670">
            <v>0</v>
          </cell>
        </row>
        <row r="671">
          <cell r="C671" t="str">
            <v>10.10.1</v>
          </cell>
          <cell r="D671" t="str">
            <v xml:space="preserve">         DESBROCE DE AREA DE ACOPIO DE TORRE Y DE PALAS WP20</v>
          </cell>
          <cell r="E671" t="str">
            <v>8 días</v>
          </cell>
          <cell r="F671">
            <v>0</v>
          </cell>
          <cell r="J671">
            <v>83271780.884117648</v>
          </cell>
        </row>
        <row r="672">
          <cell r="D672" t="str">
            <v>DESBROCE Y LIMPIEZA</v>
          </cell>
          <cell r="F672" t="str">
            <v>m2</v>
          </cell>
          <cell r="G672">
            <v>4799.0294117647063</v>
          </cell>
          <cell r="H672">
            <v>4140</v>
          </cell>
          <cell r="I672">
            <v>19867981.764705885</v>
          </cell>
          <cell r="J672">
            <v>27417814.83529412</v>
          </cell>
        </row>
        <row r="673">
          <cell r="D673" t="str">
            <v>SUMINISTRO DE COMISION TOPOGRAFICA
 (incluyede GPS, Estación Total, tránsitos, distanciómetros, niveles de precisión, miras, prismas, jalones, plomadas, cintas métricas, etc., un cadenero primero , un cadenero segundo, ingeniero topógrafo/topógrafo con matricula vigente, insumos para ralizar la actividad, licencias de software utilizado para la ejecución de los trabajos, movilización de personal equipos y entregables en archivos magnéticos)</v>
          </cell>
          <cell r="F673" t="str">
            <v>Mes</v>
          </cell>
          <cell r="G673">
            <v>0.2</v>
          </cell>
          <cell r="H673">
            <v>31500000</v>
          </cell>
          <cell r="I673">
            <v>6300000</v>
          </cell>
          <cell r="J673">
            <v>8694000</v>
          </cell>
        </row>
        <row r="674">
          <cell r="D674" t="str">
            <v>DESMONTE, DESCAPOTE Y LIMPIEZA INCLUYE  TALA DE ARBOLES CON DAP ≤0.15M, TRANSPORTE Y DISPOSICIÓN FINAL</v>
          </cell>
          <cell r="F674" t="str">
            <v>m2</v>
          </cell>
          <cell r="G674">
            <v>4799.0294117647063</v>
          </cell>
          <cell r="H674">
            <v>7121</v>
          </cell>
          <cell r="I674">
            <v>34173888.441176474</v>
          </cell>
          <cell r="J674">
            <v>47159966.048823528</v>
          </cell>
        </row>
        <row r="675">
          <cell r="C675" t="str">
            <v>10.10.2</v>
          </cell>
          <cell r="D675" t="str">
            <v xml:space="preserve">         EXCAVACIÓN DE CIMENTACION WP20</v>
          </cell>
          <cell r="E675" t="str">
            <v>7 días</v>
          </cell>
          <cell r="F675">
            <v>0</v>
          </cell>
          <cell r="J675">
            <v>312374505.66882348</v>
          </cell>
        </row>
        <row r="676">
          <cell r="D676" t="str">
            <v>EXCAVACIÓN MECÁNICA EN MATERIAL COMÚN</v>
          </cell>
          <cell r="F676" t="str">
            <v>m3</v>
          </cell>
          <cell r="G676">
            <v>4799.0294117647063</v>
          </cell>
          <cell r="H676">
            <v>35495</v>
          </cell>
          <cell r="I676">
            <v>170341548.97058824</v>
          </cell>
          <cell r="J676">
            <v>235071337.57941175</v>
          </cell>
        </row>
        <row r="677">
          <cell r="D677" t="str">
            <v>EXCAVACIÓN EN ROCA</v>
          </cell>
          <cell r="F677" t="str">
            <v>m3</v>
          </cell>
          <cell r="G677">
            <v>414.35294117647061</v>
          </cell>
          <cell r="H677">
            <v>135191</v>
          </cell>
          <cell r="I677">
            <v>56016788.470588237</v>
          </cell>
          <cell r="J677">
            <v>77303168.089411765</v>
          </cell>
        </row>
        <row r="678">
          <cell r="C678" t="str">
            <v>10.10.3</v>
          </cell>
          <cell r="D678" t="str">
            <v xml:space="preserve">         BANCO DE DUCTO WP20</v>
          </cell>
          <cell r="E678" t="str">
            <v>3 días</v>
          </cell>
          <cell r="F678">
            <v>0</v>
          </cell>
          <cell r="J678">
            <v>9527825.6870364472</v>
          </cell>
        </row>
        <row r="679">
          <cell r="D679" t="str">
            <v>INSTALACION DE TUBERIA PVC TIPO TDP Y/O CORRUGADA TIPO PEAD-HDPE  - 50mm</v>
          </cell>
          <cell r="F679" t="str">
            <v>ML</v>
          </cell>
          <cell r="G679">
            <v>7.2352941176470589</v>
          </cell>
          <cell r="H679">
            <v>27751.000385791169</v>
          </cell>
          <cell r="I679">
            <v>200786.64985013611</v>
          </cell>
          <cell r="J679">
            <v>277085.57679318782</v>
          </cell>
        </row>
        <row r="680">
          <cell r="D680" t="str">
            <v>INSTALACION DE TUBERIA PVC TIPO TDP Y/O CORRUGADA TIPO PEAD-HDPE - 90mm</v>
          </cell>
          <cell r="F680" t="str">
            <v>ML</v>
          </cell>
          <cell r="G680">
            <v>34.694117647058818</v>
          </cell>
          <cell r="H680">
            <v>31239.000009014315</v>
          </cell>
          <cell r="I680">
            <v>1083809.5414892142</v>
          </cell>
          <cell r="J680">
            <v>1495657.1672551155</v>
          </cell>
        </row>
        <row r="681">
          <cell r="D681" t="str">
            <v>INSTALACION DE TUBERIA PVC TIPO TDP  Y/O CORRUGADA TIPO PEAD-HDPE - 200mm</v>
          </cell>
          <cell r="F681" t="str">
            <v>ML</v>
          </cell>
          <cell r="G681">
            <v>70.332352941176467</v>
          </cell>
          <cell r="H681">
            <v>79900.999838665448</v>
          </cell>
          <cell r="I681">
            <v>5619625.3210059023</v>
          </cell>
          <cell r="J681">
            <v>7755082.9429881442</v>
          </cell>
        </row>
        <row r="682">
          <cell r="C682" t="str">
            <v>10.10.4</v>
          </cell>
          <cell r="D682" t="str">
            <v xml:space="preserve">         COMPACTACION DE SELLO DE BASE WP20</v>
          </cell>
          <cell r="E682" t="str">
            <v>2 días</v>
          </cell>
          <cell r="F682">
            <v>0</v>
          </cell>
          <cell r="J682">
            <v>320494616.71764702</v>
          </cell>
        </row>
        <row r="683">
          <cell r="D683" t="str">
            <v>RELLENO CON MATERIAL DE EXCAVACIÓN SELECCIONADO</v>
          </cell>
          <cell r="F683" t="str">
            <v>m3</v>
          </cell>
          <cell r="G683">
            <v>4530.6764705882351</v>
          </cell>
          <cell r="H683">
            <v>51260</v>
          </cell>
          <cell r="I683">
            <v>232242475.88235292</v>
          </cell>
          <cell r="J683">
            <v>320494616.71764702</v>
          </cell>
        </row>
        <row r="684">
          <cell r="C684" t="str">
            <v>10.10.5</v>
          </cell>
          <cell r="D684" t="str">
            <v xml:space="preserve">         SOLADO WP20</v>
          </cell>
          <cell r="E684" t="str">
            <v>1 día</v>
          </cell>
          <cell r="F684">
            <v>0</v>
          </cell>
          <cell r="J684">
            <v>94303618.549411759</v>
          </cell>
        </row>
        <row r="685">
          <cell r="D685" t="str">
            <v>CONCRETO CLASE F (140 kg/cm2 Ó 2000 psi)</v>
          </cell>
          <cell r="F685" t="str">
            <v>m3</v>
          </cell>
          <cell r="G685">
            <v>43.941176470588232</v>
          </cell>
          <cell r="H685">
            <v>1555169</v>
          </cell>
          <cell r="I685">
            <v>68335955.470588237</v>
          </cell>
          <cell r="J685">
            <v>94303618.549411759</v>
          </cell>
        </row>
        <row r="686">
          <cell r="C686" t="str">
            <v>10.10.6</v>
          </cell>
          <cell r="D686" t="str">
            <v xml:space="preserve">         INSTALACIÓN DE PERNOS Y SOFT-SPOT WP20</v>
          </cell>
          <cell r="E686" t="str">
            <v>5 días</v>
          </cell>
          <cell r="F686">
            <v>0</v>
          </cell>
          <cell r="J686">
            <v>179436034.15411764</v>
          </cell>
        </row>
        <row r="687">
          <cell r="D687" t="str">
            <v>S0FT-SPOT  (EPS) Tipo II (ASM C578)</v>
          </cell>
          <cell r="F687" t="str">
            <v>m2</v>
          </cell>
          <cell r="G687">
            <v>62.117647058823529</v>
          </cell>
          <cell r="H687">
            <v>484846</v>
          </cell>
          <cell r="I687">
            <v>30117492.705882352</v>
          </cell>
          <cell r="J687">
            <v>41562139.934117645</v>
          </cell>
        </row>
        <row r="688">
          <cell r="D688" t="str">
            <v>MONTAJE Y NIVELACION DE LA JAULA DE ANCLAJES INCLUYE  LA PREPARACIÓN
 DEL ÁREA, LA NIVELACIÓN Y POSICIONAMIENTO DE LOS COMPONENTES (COMO PLANTILLAS Y VARILLAS), EL ENSAMBLAJE DE LA ESTRUCTURA, LA FIJACIÓN FINAL A LA CIMENTACIÓN CON PERNOS DE ANCLAJE, MONTAJE DE BRIDAS, TORQUE Y LIBERACIÓN DE LA CESTA, INCLUYE LA HERRAMIENTA Y EQUIPO DE INSTALACIÓN (peso estimado por jaula 13896  kg)</v>
          </cell>
          <cell r="F688" t="str">
            <v>Und</v>
          </cell>
          <cell r="G688">
            <v>1</v>
          </cell>
          <cell r="H688">
            <v>99908619</v>
          </cell>
          <cell r="I688">
            <v>99908619</v>
          </cell>
          <cell r="J688">
            <v>137873894.22</v>
          </cell>
        </row>
        <row r="689">
          <cell r="C689" t="str">
            <v>10.10.7</v>
          </cell>
          <cell r="D689" t="str">
            <v xml:space="preserve">         INSTALACIÓN DE ACERO DE REFUERZO WP20</v>
          </cell>
          <cell r="E689" t="str">
            <v>14 días</v>
          </cell>
          <cell r="F689">
            <v>0</v>
          </cell>
          <cell r="J689">
            <v>1212623361.2117648</v>
          </cell>
        </row>
        <row r="690">
          <cell r="D690" t="str">
            <v>ACERO FY:  60000 psi (4.200 kg/cm2)</v>
          </cell>
          <cell r="F690" t="str">
            <v>kg</v>
          </cell>
          <cell r="G690">
            <v>68756.852941176476</v>
          </cell>
          <cell r="H690">
            <v>12780</v>
          </cell>
          <cell r="I690">
            <v>878712580.58823538</v>
          </cell>
          <cell r="J690">
            <v>1212623361.2117648</v>
          </cell>
        </row>
        <row r="691">
          <cell r="C691" t="str">
            <v>10.10.8</v>
          </cell>
          <cell r="D691" t="str">
            <v xml:space="preserve">         ENCOFRADO DE ZAPATA Y DE PEDESTAL WP20</v>
          </cell>
          <cell r="E691" t="str">
            <v>3 días</v>
          </cell>
          <cell r="F691">
            <v>0</v>
          </cell>
        </row>
        <row r="692">
          <cell r="C692" t="str">
            <v>10.10.9</v>
          </cell>
          <cell r="D692" t="str">
            <v xml:space="preserve">         HITO: ALISTAMIENTO Y MOVILIZACIÓN DE PLANTA DE CONCRETO PARA WP20</v>
          </cell>
          <cell r="E692" t="str">
            <v>0 días</v>
          </cell>
          <cell r="F692">
            <v>0</v>
          </cell>
        </row>
        <row r="693">
          <cell r="C693" t="str">
            <v>10.10.10</v>
          </cell>
          <cell r="D693" t="str">
            <v xml:space="preserve">         FUNDIDA WP20</v>
          </cell>
          <cell r="E693" t="str">
            <v>1 día</v>
          </cell>
          <cell r="F693">
            <v>0</v>
          </cell>
          <cell r="J693">
            <v>1230815225.9452939</v>
          </cell>
        </row>
        <row r="694">
          <cell r="D694" t="str">
            <v>CONCRETO ESTRUCTURAL  35 MPa(350 kg/cm2 Ó 5000 psi)</v>
          </cell>
          <cell r="F694" t="str">
            <v>m3</v>
          </cell>
          <cell r="G694">
            <v>429.02941176470586</v>
          </cell>
          <cell r="H694">
            <v>1926653</v>
          </cell>
          <cell r="I694">
            <v>826590803.26470578</v>
          </cell>
          <cell r="J694">
            <v>1140695308.5052938</v>
          </cell>
        </row>
        <row r="695">
          <cell r="D695" t="str">
            <v>CONCRETO ESTRUCTURAL  45 MPa(457 kg/cm2 Ó 6500psi)</v>
          </cell>
          <cell r="F695" t="str">
            <v>m3</v>
          </cell>
          <cell r="G695">
            <v>32</v>
          </cell>
          <cell r="H695">
            <v>2040759</v>
          </cell>
          <cell r="I695">
            <v>65304288</v>
          </cell>
          <cell r="J695">
            <v>90119917.439999998</v>
          </cell>
        </row>
        <row r="696">
          <cell r="C696" t="str">
            <v>10.10.11</v>
          </cell>
          <cell r="D696" t="str">
            <v xml:space="preserve">         CURADO DEL CONCRETO WP20</v>
          </cell>
          <cell r="E696" t="str">
            <v>5 días</v>
          </cell>
          <cell r="F696">
            <v>0</v>
          </cell>
        </row>
        <row r="697">
          <cell r="C697" t="str">
            <v>10.10.12</v>
          </cell>
          <cell r="D697" t="str">
            <v xml:space="preserve">         INSTALACIONES ELECTRICAS Y SISTEMA PUESTA TIERRA WP20</v>
          </cell>
          <cell r="E697" t="str">
            <v>2 días</v>
          </cell>
          <cell r="F697">
            <v>0</v>
          </cell>
          <cell r="J697">
            <v>52736347.43270281</v>
          </cell>
        </row>
        <row r="698">
          <cell r="D698" t="str">
            <v>ARQUETA EN HORMIGON PARA MEDIA TENSION - EMPALMES (500 MT)</v>
          </cell>
          <cell r="F698" t="str">
            <v>Und</v>
          </cell>
          <cell r="G698">
            <v>1</v>
          </cell>
          <cell r="H698">
            <v>12275310.999985719</v>
          </cell>
          <cell r="I698">
            <v>12275310.999985719</v>
          </cell>
          <cell r="J698">
            <v>16939929.179980289</v>
          </cell>
        </row>
        <row r="699">
          <cell r="D699" t="str">
            <v>ARQUETA EN POLIPROPILENO</v>
          </cell>
          <cell r="F699" t="str">
            <v>Und</v>
          </cell>
          <cell r="G699">
            <v>1</v>
          </cell>
          <cell r="H699">
            <v>6068599.9996856553</v>
          </cell>
          <cell r="I699">
            <v>6068599.9996856553</v>
          </cell>
          <cell r="J699">
            <v>8374667.9995662039</v>
          </cell>
        </row>
        <row r="700">
          <cell r="D700" t="str">
            <v>SUMINISTRO E INSTALACIÓN DE PLATINA</v>
          </cell>
          <cell r="F700" t="str">
            <v>Und</v>
          </cell>
          <cell r="G700">
            <v>1</v>
          </cell>
          <cell r="H700">
            <v>361570</v>
          </cell>
          <cell r="I700">
            <v>361570</v>
          </cell>
          <cell r="J700">
            <v>498966.6</v>
          </cell>
        </row>
        <row r="701">
          <cell r="D701" t="str">
            <v>SUMINISTRO E INSTALACIÓN DE VARILLA</v>
          </cell>
          <cell r="F701" t="str">
            <v>Und</v>
          </cell>
          <cell r="G701">
            <v>1</v>
          </cell>
          <cell r="H701">
            <v>398933</v>
          </cell>
          <cell r="I701">
            <v>398933</v>
          </cell>
          <cell r="J701">
            <v>550527.53999999992</v>
          </cell>
        </row>
        <row r="702">
          <cell r="D702" t="str">
            <v>SUMINISTRO E INSTALACIÓN DE ARQUETA PARA INSPECCIÓN DE PICAS EN PUESTA A TIERRA SIN FONDO</v>
          </cell>
          <cell r="F702" t="str">
            <v>Und</v>
          </cell>
          <cell r="G702">
            <v>1</v>
          </cell>
          <cell r="H702">
            <v>14275700</v>
          </cell>
          <cell r="I702">
            <v>14275700</v>
          </cell>
          <cell r="J702">
            <v>19700466</v>
          </cell>
        </row>
        <row r="703">
          <cell r="D703" t="str">
            <v>SUMINISTRO E INSTALACIÓN DE SOLDADURA EXOTERMICA</v>
          </cell>
          <cell r="F703" t="str">
            <v>Und</v>
          </cell>
          <cell r="G703">
            <v>2.8000000000000003</v>
          </cell>
          <cell r="H703">
            <v>185231</v>
          </cell>
          <cell r="I703">
            <v>518646.80000000005</v>
          </cell>
          <cell r="J703">
            <v>715732.58400000003</v>
          </cell>
        </row>
        <row r="704">
          <cell r="D704" t="str">
            <v>SUMINISTRO E INSTALACIÓN DE GRAPA DE ALEACIÓN RICA EN COBRE (LATÓN) MODELO KZ</v>
          </cell>
          <cell r="F704" t="str">
            <v>Und</v>
          </cell>
          <cell r="G704">
            <v>1</v>
          </cell>
          <cell r="H704">
            <v>292083</v>
          </cell>
          <cell r="I704">
            <v>292083</v>
          </cell>
          <cell r="J704">
            <v>403074.54</v>
          </cell>
        </row>
        <row r="705">
          <cell r="D705" t="str">
            <v>SUMINISTRO E INSTALACIÓN DE GRAPA DE ALEACIÓN RICA EN COBRE (LATÓN) MODELO KPD</v>
          </cell>
          <cell r="F705" t="str">
            <v>Und</v>
          </cell>
          <cell r="G705">
            <v>0.99393939393939412</v>
          </cell>
          <cell r="H705">
            <v>292083</v>
          </cell>
          <cell r="I705">
            <v>290312.80000000005</v>
          </cell>
          <cell r="J705">
            <v>400631.66400000005</v>
          </cell>
        </row>
        <row r="706">
          <cell r="D706" t="str">
            <v xml:space="preserve">INSTALACIÓN DE CABLE DE COBRE TRENZADO DESNUDO DE 50 mm2 </v>
          </cell>
          <cell r="F706" t="str">
            <v>ML</v>
          </cell>
          <cell r="G706">
            <v>113.1390243902439</v>
          </cell>
          <cell r="H706">
            <v>33000.000989065411</v>
          </cell>
          <cell r="I706">
            <v>3733587.9167799447</v>
          </cell>
          <cell r="J706">
            <v>5152351.3251563236</v>
          </cell>
        </row>
        <row r="707">
          <cell r="C707" t="str">
            <v>10.10.13</v>
          </cell>
          <cell r="D707" t="str">
            <v xml:space="preserve">         INSTALACION DE GROUT Y MORTERO AUTOCOMPACTANTE DE ALTA RESISTENCIA WP20</v>
          </cell>
          <cell r="E707" t="str">
            <v>2 días</v>
          </cell>
          <cell r="F707">
            <v>0</v>
          </cell>
          <cell r="J707">
            <v>46410609.014634147</v>
          </cell>
        </row>
        <row r="708">
          <cell r="D708" t="str">
            <v>GROUT Y  MORTERO AUTOCOMPACTANTE DE ALTA RESISTENCIA C80/95 (EN206-1)</v>
          </cell>
          <cell r="F708" t="str">
            <v>lt</v>
          </cell>
          <cell r="G708">
            <v>530.73170731707319</v>
          </cell>
          <cell r="H708">
            <v>63367</v>
          </cell>
          <cell r="I708">
            <v>33630876.097560979</v>
          </cell>
          <cell r="J708">
            <v>46410609.014634147</v>
          </cell>
        </row>
        <row r="709">
          <cell r="C709" t="str">
            <v>10.10.14</v>
          </cell>
          <cell r="D709" t="str">
            <v xml:space="preserve">         TAPADO AREA DE CIMENTACIÓN Y CONFORMACIÓN DE PLATAFORMA WP20</v>
          </cell>
          <cell r="E709" t="str">
            <v>7 días</v>
          </cell>
          <cell r="F709">
            <v>0</v>
          </cell>
          <cell r="J709">
            <v>1587346329.5488234</v>
          </cell>
        </row>
        <row r="710">
          <cell r="D710" t="str">
            <v>MATERIAL SELECIONADA PARA  FORMACIÓN Y COMPACTACIÓN DE TERRAPLENES Y RELLENO ESTRUCTURAL  (INCLUYE TRANSPORTE DESDE LAS CANTERAS LICENCIADAS HASTA EL SITIO DE INSTALACIÓN)</v>
          </cell>
          <cell r="F710" t="str">
            <v>m3</v>
          </cell>
          <cell r="G710">
            <v>5388.7058823529414</v>
          </cell>
          <cell r="H710">
            <v>174890</v>
          </cell>
          <cell r="I710">
            <v>942430771.7647059</v>
          </cell>
          <cell r="J710">
            <v>1300554465.0352941</v>
          </cell>
        </row>
        <row r="711">
          <cell r="D711" t="str">
            <v>PREPARACIÓN DE SUBRASANTE COMPACTACIÓN Y VALORACIÓN DE LA CAPA DE SUBRASANTE DE LOS VIALES. INCLUYENDO LAS PRUEBAS SEGÚN LO PRESCRITO.</v>
          </cell>
          <cell r="F711" t="str">
            <v>m2</v>
          </cell>
          <cell r="G711">
            <v>631.61764705882354</v>
          </cell>
          <cell r="H711">
            <v>11537</v>
          </cell>
          <cell r="I711">
            <v>7286972.7941176472</v>
          </cell>
          <cell r="J711">
            <v>10056022.455882352</v>
          </cell>
        </row>
        <row r="712">
          <cell r="D712" t="str">
            <v>SUBBASE GRANULAR  (INCLUYE TRANSPORTE DESDE LAS CANTERAS LICENCIADAS HASTA EL SITIO DE INSTALACIÓN)</v>
          </cell>
          <cell r="F712" t="str">
            <v>m3</v>
          </cell>
          <cell r="G712">
            <v>880.85294117647061</v>
          </cell>
          <cell r="H712">
            <v>227658</v>
          </cell>
          <cell r="I712">
            <v>200533218.88235295</v>
          </cell>
          <cell r="J712">
            <v>276735842.05764705</v>
          </cell>
        </row>
        <row r="713">
          <cell r="C713" t="str">
            <v>10.10.15</v>
          </cell>
          <cell r="D713" t="str">
            <v xml:space="preserve">         ESTABILIZACIÓN DE TALUDES EN PLATAFORMA Y RECONFORMACION FINAL WP20</v>
          </cell>
          <cell r="E713" t="str">
            <v>7 días</v>
          </cell>
          <cell r="F713">
            <v>0</v>
          </cell>
          <cell r="J713">
            <v>179532477.23999998</v>
          </cell>
        </row>
        <row r="714">
          <cell r="D714" t="str">
            <v xml:space="preserve">ENROCADO PROTECCIÓN TALUD PLATAFORMAS PROTECCIÓN CON ENROCADO DE PIEDRA DEL TALUD DE LAS PLATAFORMAS EN TERRAPLÉN CON 30 CM DE PIEDRA DE 6-10 CM DE DIÁMETRO, PESO ESPECÍFICO DE LAS PIEDRAS DE 2,64  G/CM3  (INCLUYE TRANSPORTE DESDE LAS CANTERAS LICENCIADAS HASTA EL SITIO DE INSTALACIÓN) </v>
          </cell>
          <cell r="F714" t="str">
            <v>m3</v>
          </cell>
          <cell r="G714">
            <v>42.352941176470587</v>
          </cell>
          <cell r="H714">
            <v>276393</v>
          </cell>
          <cell r="I714">
            <v>11706056.470588235</v>
          </cell>
          <cell r="J714">
            <v>16154357.929411763</v>
          </cell>
        </row>
        <row r="715">
          <cell r="D715" t="str">
            <v xml:space="preserve">ENROCADO PROTECCIÓN TALUD CIMENTACION PROTECCIÓN CON ENROCADO DE PIEDRA DEL TALUD DE LAS CIMENTACIONES EN TERRAPLÉN CON 30 CM DE PIEDRA DE 6-10 CM DE DIÁMETRO, PESO ESPECÍFICO DE LAS PIEDRAS DE 2,64 G/CM3   (INCLUYE TRANSPORTE DESDE LAS CANTERAS LICENCIADAS HASTA EL SITIO DE INSTALACIÓN) </v>
          </cell>
          <cell r="F715" t="str">
            <v>m3</v>
          </cell>
          <cell r="G715">
            <v>25.529411764705884</v>
          </cell>
          <cell r="H715">
            <v>286818</v>
          </cell>
          <cell r="I715">
            <v>7322294.823529412</v>
          </cell>
          <cell r="J715">
            <v>10104766.856470589</v>
          </cell>
        </row>
        <row r="716">
          <cell r="D716" t="str">
            <v>BASE GRANULAR   (INCLUYE TRANSPORTE DESDE LAS CANTERAS LICENCIADAS HASTA EL SITIO DE INSTALACIÓN)</v>
          </cell>
          <cell r="F716" t="str">
            <v>m3</v>
          </cell>
          <cell r="G716">
            <v>237.64705882352942</v>
          </cell>
          <cell r="H716">
            <v>265112</v>
          </cell>
          <cell r="I716">
            <v>63003087.058823533</v>
          </cell>
          <cell r="J716">
            <v>86944260.141176462</v>
          </cell>
        </row>
        <row r="717">
          <cell r="D717" t="str">
            <v>SUMINISTRO E INSTALACIÓN DE GEOTEXTILES</v>
          </cell>
          <cell r="F717" t="str">
            <v>m2</v>
          </cell>
          <cell r="G717">
            <v>887.17647058823525</v>
          </cell>
          <cell r="H717">
            <v>54177</v>
          </cell>
          <cell r="I717">
            <v>48064559.647058822</v>
          </cell>
          <cell r="J717">
            <v>66329092.312941171</v>
          </cell>
        </row>
        <row r="718">
          <cell r="C718" t="str">
            <v>10.10.16</v>
          </cell>
          <cell r="D718" t="str">
            <v xml:space="preserve">         HITO: FINALIZACION DE ACTIVIDADES EN CIMENTACION WP20</v>
          </cell>
          <cell r="E718" t="str">
            <v>0 días</v>
          </cell>
          <cell r="F718">
            <v>0</v>
          </cell>
        </row>
        <row r="719">
          <cell r="C719" t="str">
            <v>10.11</v>
          </cell>
          <cell r="D719" t="str">
            <v xml:space="preserve">      CIMENTACION WP22</v>
          </cell>
          <cell r="E719" t="str">
            <v>60 días</v>
          </cell>
          <cell r="F719">
            <v>0</v>
          </cell>
        </row>
        <row r="720">
          <cell r="C720" t="str">
            <v>10.11.1</v>
          </cell>
          <cell r="D720" t="str">
            <v xml:space="preserve">         DESBROCE DE AREA DE ACOPIO DE TORRE Y DE PALAS WP22</v>
          </cell>
          <cell r="E720" t="str">
            <v>8 días</v>
          </cell>
          <cell r="F720">
            <v>0</v>
          </cell>
          <cell r="J720">
            <v>83271780.884117648</v>
          </cell>
        </row>
        <row r="721">
          <cell r="D721" t="str">
            <v>DESBROCE Y LIMPIEZA</v>
          </cell>
          <cell r="F721" t="str">
            <v>m2</v>
          </cell>
          <cell r="G721">
            <v>4799.0294117647063</v>
          </cell>
          <cell r="H721">
            <v>4140</v>
          </cell>
          <cell r="I721">
            <v>19867981.764705885</v>
          </cell>
          <cell r="J721">
            <v>27417814.83529412</v>
          </cell>
        </row>
        <row r="722">
          <cell r="D722" t="str">
            <v>SUMINISTRO DE COMISION TOPOGRAFICA
 (incluyede GPS, Estación Total, tránsitos, distanciómetros, niveles de precisión, miras, prismas, jalones, plomadas, cintas métricas, etc., un cadenero primero , un cadenero segundo, ingeniero topógrafo/topógrafo con matricula vigente, insumos para ralizar la actividad, licencias de software utilizado para la ejecución de los trabajos, movilización de personal equipos y entregables en archivos magnéticos)</v>
          </cell>
          <cell r="F722" t="str">
            <v>Mes</v>
          </cell>
          <cell r="G722">
            <v>0.2</v>
          </cell>
          <cell r="H722">
            <v>31500000</v>
          </cell>
          <cell r="I722">
            <v>6300000</v>
          </cell>
          <cell r="J722">
            <v>8694000</v>
          </cell>
        </row>
        <row r="723">
          <cell r="D723" t="str">
            <v>DESMONTE, DESCAPOTE Y LIMPIEZA INCLUYE  TALA DE ARBOLES CON DAP ≤0.15M, TRANSPORTE Y DISPOSICIÓN FINAL</v>
          </cell>
          <cell r="F723" t="str">
            <v>m2</v>
          </cell>
          <cell r="G723">
            <v>4799.0294117647063</v>
          </cell>
          <cell r="H723">
            <v>7121</v>
          </cell>
          <cell r="I723">
            <v>34173888.441176474</v>
          </cell>
          <cell r="J723">
            <v>47159966.048823528</v>
          </cell>
        </row>
        <row r="724">
          <cell r="C724" t="str">
            <v>10.11.2</v>
          </cell>
          <cell r="D724" t="str">
            <v xml:space="preserve">         EXCAVACIÓN DE CIMENTACION WP22</v>
          </cell>
          <cell r="E724" t="str">
            <v>7 días</v>
          </cell>
          <cell r="F724">
            <v>0</v>
          </cell>
          <cell r="J724">
            <v>312374505.66882348</v>
          </cell>
        </row>
        <row r="725">
          <cell r="D725" t="str">
            <v>EXCAVACIÓN MECÁNICA EN MATERIAL COMÚN</v>
          </cell>
          <cell r="F725" t="str">
            <v>m3</v>
          </cell>
          <cell r="G725">
            <v>4799.0294117647063</v>
          </cell>
          <cell r="H725">
            <v>35495</v>
          </cell>
          <cell r="I725">
            <v>170341548.97058824</v>
          </cell>
          <cell r="J725">
            <v>235071337.57941175</v>
          </cell>
        </row>
        <row r="726">
          <cell r="D726" t="str">
            <v>EXCAVACIÓN EN ROCA</v>
          </cell>
          <cell r="F726" t="str">
            <v>m3</v>
          </cell>
          <cell r="G726">
            <v>414.35294117647061</v>
          </cell>
          <cell r="H726">
            <v>135191</v>
          </cell>
          <cell r="I726">
            <v>56016788.470588237</v>
          </cell>
          <cell r="J726">
            <v>77303168.089411765</v>
          </cell>
        </row>
        <row r="727">
          <cell r="C727" t="str">
            <v>10.11.3</v>
          </cell>
          <cell r="D727" t="str">
            <v xml:space="preserve">         BANCO DE DUCTO WP22</v>
          </cell>
          <cell r="E727" t="str">
            <v>3 días</v>
          </cell>
          <cell r="F727">
            <v>0</v>
          </cell>
          <cell r="J727">
            <v>9527825.6870364472</v>
          </cell>
        </row>
        <row r="728">
          <cell r="D728" t="str">
            <v>INSTALACION DE TUBERIA PVC TIPO TDP Y/O CORRUGADA TIPO PEAD-HDPE  - 50mm</v>
          </cell>
          <cell r="F728" t="str">
            <v>ML</v>
          </cell>
          <cell r="G728">
            <v>7.2352941176470589</v>
          </cell>
          <cell r="H728">
            <v>27751.000385791169</v>
          </cell>
          <cell r="I728">
            <v>200786.64985013611</v>
          </cell>
          <cell r="J728">
            <v>277085.57679318782</v>
          </cell>
        </row>
        <row r="729">
          <cell r="D729" t="str">
            <v>INSTALACION DE TUBERIA PVC TIPO TDP Y/O CORRUGADA TIPO PEAD-HDPE - 90mm</v>
          </cell>
          <cell r="F729" t="str">
            <v>ML</v>
          </cell>
          <cell r="G729">
            <v>34.694117647058818</v>
          </cell>
          <cell r="H729">
            <v>31239.000009014315</v>
          </cell>
          <cell r="I729">
            <v>1083809.5414892142</v>
          </cell>
          <cell r="J729">
            <v>1495657.1672551155</v>
          </cell>
        </row>
        <row r="730">
          <cell r="D730" t="str">
            <v>INSTALACION DE TUBERIA PVC TIPO TDP  Y/O CORRUGADA TIPO PEAD-HDPE - 200mm</v>
          </cell>
          <cell r="F730" t="str">
            <v>ML</v>
          </cell>
          <cell r="G730">
            <v>70.332352941176467</v>
          </cell>
          <cell r="H730">
            <v>79900.999838665448</v>
          </cell>
          <cell r="I730">
            <v>5619625.3210059023</v>
          </cell>
          <cell r="J730">
            <v>7755082.9429881442</v>
          </cell>
        </row>
        <row r="731">
          <cell r="C731" t="str">
            <v>10.11.4</v>
          </cell>
          <cell r="D731" t="str">
            <v xml:space="preserve">         COMPACTACION DE SELLO DE BASE WP22</v>
          </cell>
          <cell r="E731" t="str">
            <v>2 días</v>
          </cell>
          <cell r="F731">
            <v>0</v>
          </cell>
          <cell r="J731">
            <v>320494616.71764702</v>
          </cell>
        </row>
        <row r="732">
          <cell r="D732" t="str">
            <v>RELLENO CON MATERIAL DE EXCAVACIÓN SELECCIONADO</v>
          </cell>
          <cell r="F732" t="str">
            <v>m3</v>
          </cell>
          <cell r="G732">
            <v>4530.6764705882351</v>
          </cell>
          <cell r="H732">
            <v>51260</v>
          </cell>
          <cell r="I732">
            <v>232242475.88235292</v>
          </cell>
          <cell r="J732">
            <v>320494616.71764702</v>
          </cell>
        </row>
        <row r="733">
          <cell r="C733" t="str">
            <v>10.11.5</v>
          </cell>
          <cell r="D733" t="str">
            <v xml:space="preserve">         SOLADO WP22</v>
          </cell>
          <cell r="E733" t="str">
            <v>1 día</v>
          </cell>
          <cell r="F733">
            <v>0</v>
          </cell>
          <cell r="J733">
            <v>94303618.549411759</v>
          </cell>
        </row>
        <row r="734">
          <cell r="D734" t="str">
            <v>CONCRETO CLASE F (140 kg/cm2 Ó 2000 psi)</v>
          </cell>
          <cell r="F734" t="str">
            <v>m3</v>
          </cell>
          <cell r="G734">
            <v>43.941176470588232</v>
          </cell>
          <cell r="H734">
            <v>1555169</v>
          </cell>
          <cell r="I734">
            <v>68335955.470588237</v>
          </cell>
          <cell r="J734">
            <v>94303618.549411759</v>
          </cell>
        </row>
        <row r="735">
          <cell r="C735" t="str">
            <v>10.11.6</v>
          </cell>
          <cell r="D735" t="str">
            <v xml:space="preserve">         INSTALACIÓN DE PERNOS Y SOFT-SPOT WP22</v>
          </cell>
          <cell r="E735" t="str">
            <v>5 días</v>
          </cell>
          <cell r="F735">
            <v>0</v>
          </cell>
          <cell r="J735">
            <v>179436034.15411764</v>
          </cell>
        </row>
        <row r="736">
          <cell r="D736" t="str">
            <v>S0FT-SPOT  (EPS) Tipo II (ASM C578)</v>
          </cell>
          <cell r="F736" t="str">
            <v>m2</v>
          </cell>
          <cell r="G736">
            <v>62.117647058823529</v>
          </cell>
          <cell r="H736">
            <v>484846</v>
          </cell>
          <cell r="I736">
            <v>30117492.705882352</v>
          </cell>
          <cell r="J736">
            <v>41562139.934117645</v>
          </cell>
        </row>
        <row r="737">
          <cell r="D737" t="str">
            <v>MONTAJE Y NIVELACION DE LA JAULA DE ANCLAJES INCLUYE  LA PREPARACIÓN
 DEL ÁREA, LA NIVELACIÓN Y POSICIONAMIENTO DE LOS COMPONENTES (COMO PLANTILLAS Y VARILLAS), EL ENSAMBLAJE DE LA ESTRUCTURA, LA FIJACIÓN FINAL A LA CIMENTACIÓN CON PERNOS DE ANCLAJE, MONTAJE DE BRIDAS, TORQUE Y LIBERACIÓN DE LA CESTA, INCLUYE LA HERRAMIENTA Y EQUIPO DE INSTALACIÓN (peso estimado por jaula 13896  kg)</v>
          </cell>
          <cell r="F737" t="str">
            <v>Und</v>
          </cell>
          <cell r="G737">
            <v>1</v>
          </cell>
          <cell r="H737">
            <v>99908619</v>
          </cell>
          <cell r="I737">
            <v>99908619</v>
          </cell>
          <cell r="J737">
            <v>137873894.22</v>
          </cell>
        </row>
        <row r="738">
          <cell r="C738" t="str">
            <v>10.11.7</v>
          </cell>
          <cell r="D738" t="str">
            <v xml:space="preserve">         INSTALACIÓN DE ACERO DE REFUERZO WP22</v>
          </cell>
          <cell r="E738" t="str">
            <v>14 días</v>
          </cell>
          <cell r="F738">
            <v>0</v>
          </cell>
          <cell r="J738">
            <v>1212623361.2117648</v>
          </cell>
        </row>
        <row r="739">
          <cell r="D739" t="str">
            <v>ACERO FY:  60000 psi (4.200 kg/cm2)</v>
          </cell>
          <cell r="F739" t="str">
            <v>kg</v>
          </cell>
          <cell r="G739">
            <v>68756.852941176476</v>
          </cell>
          <cell r="H739">
            <v>12780</v>
          </cell>
          <cell r="I739">
            <v>878712580.58823538</v>
          </cell>
          <cell r="J739">
            <v>1212623361.2117648</v>
          </cell>
        </row>
        <row r="740">
          <cell r="C740" t="str">
            <v>10.11.8</v>
          </cell>
          <cell r="D740" t="str">
            <v xml:space="preserve">         ENCOFRADO DE ZAPATA Y DE PEDESTAL WP22</v>
          </cell>
          <cell r="E740" t="str">
            <v>3 días</v>
          </cell>
          <cell r="F740">
            <v>0</v>
          </cell>
        </row>
        <row r="741">
          <cell r="C741" t="str">
            <v>10.11.9</v>
          </cell>
          <cell r="D741" t="str">
            <v xml:space="preserve">         HITO: ALISTAMIENTO Y MOVILIZACIÓN DE PLANTA DE CONCRETO PARA WP22</v>
          </cell>
          <cell r="E741" t="str">
            <v>0 días</v>
          </cell>
          <cell r="F741">
            <v>0</v>
          </cell>
        </row>
        <row r="742">
          <cell r="C742" t="str">
            <v>10.11.10</v>
          </cell>
          <cell r="D742" t="str">
            <v xml:space="preserve">         FUNDIDA WP22</v>
          </cell>
          <cell r="E742" t="str">
            <v>1 día</v>
          </cell>
          <cell r="F742">
            <v>0</v>
          </cell>
          <cell r="J742">
            <v>1230815225.9452939</v>
          </cell>
        </row>
        <row r="743">
          <cell r="D743" t="str">
            <v>CONCRETO ESTRUCTURAL  35 MPa(350 kg/cm2 Ó 5000 psi)</v>
          </cell>
          <cell r="F743" t="str">
            <v>m3</v>
          </cell>
          <cell r="G743">
            <v>429.02941176470586</v>
          </cell>
          <cell r="H743">
            <v>1926653</v>
          </cell>
          <cell r="I743">
            <v>826590803.26470578</v>
          </cell>
          <cell r="J743">
            <v>1140695308.5052938</v>
          </cell>
        </row>
        <row r="744">
          <cell r="D744" t="str">
            <v>CONCRETO ESTRUCTURAL  45 MPa(457 kg/cm2 Ó 6500psi)</v>
          </cell>
          <cell r="F744" t="str">
            <v>m3</v>
          </cell>
          <cell r="G744">
            <v>32</v>
          </cell>
          <cell r="H744">
            <v>2040759</v>
          </cell>
          <cell r="I744">
            <v>65304288</v>
          </cell>
          <cell r="J744">
            <v>90119917.439999998</v>
          </cell>
        </row>
        <row r="745">
          <cell r="C745" t="str">
            <v>10.11.11</v>
          </cell>
          <cell r="D745" t="str">
            <v xml:space="preserve">         CURADO DEL CONCRETO WP22</v>
          </cell>
          <cell r="E745" t="str">
            <v>5 días</v>
          </cell>
          <cell r="F745">
            <v>0</v>
          </cell>
        </row>
        <row r="746">
          <cell r="C746" t="str">
            <v>10.11.12</v>
          </cell>
          <cell r="D746" t="str">
            <v xml:space="preserve">         INSTALACIONES ELECTRICAS Y SISTEMA PUESTA TIERRA WP22</v>
          </cell>
          <cell r="E746" t="str">
            <v>2 días</v>
          </cell>
          <cell r="F746">
            <v>0</v>
          </cell>
          <cell r="J746">
            <v>52736347.43270281</v>
          </cell>
        </row>
        <row r="747">
          <cell r="D747" t="str">
            <v>ARQUETA EN HORMIGON PARA MEDIA TENSION - EMPALMES (500 MT)</v>
          </cell>
          <cell r="F747" t="str">
            <v>Und</v>
          </cell>
          <cell r="G747">
            <v>1</v>
          </cell>
          <cell r="H747">
            <v>12275310.999985719</v>
          </cell>
          <cell r="I747">
            <v>12275310.999985719</v>
          </cell>
          <cell r="J747">
            <v>16939929.179980289</v>
          </cell>
        </row>
        <row r="748">
          <cell r="D748" t="str">
            <v>ARQUETA EN POLIPROPILENO</v>
          </cell>
          <cell r="F748" t="str">
            <v>Und</v>
          </cell>
          <cell r="G748">
            <v>1</v>
          </cell>
          <cell r="H748">
            <v>6068599.9996856553</v>
          </cell>
          <cell r="I748">
            <v>6068599.9996856553</v>
          </cell>
          <cell r="J748">
            <v>8374667.9995662039</v>
          </cell>
        </row>
        <row r="749">
          <cell r="D749" t="str">
            <v>SUMINISTRO E INSTALACIÓN DE PLATINA</v>
          </cell>
          <cell r="F749" t="str">
            <v>Und</v>
          </cell>
          <cell r="G749">
            <v>1</v>
          </cell>
          <cell r="H749">
            <v>361570</v>
          </cell>
          <cell r="I749">
            <v>361570</v>
          </cell>
          <cell r="J749">
            <v>498966.6</v>
          </cell>
        </row>
        <row r="750">
          <cell r="D750" t="str">
            <v>SUMINISTRO E INSTALACIÓN DE VARILLA</v>
          </cell>
          <cell r="F750" t="str">
            <v>Und</v>
          </cell>
          <cell r="G750">
            <v>1</v>
          </cell>
          <cell r="H750">
            <v>398933</v>
          </cell>
          <cell r="I750">
            <v>398933</v>
          </cell>
          <cell r="J750">
            <v>550527.53999999992</v>
          </cell>
        </row>
        <row r="751">
          <cell r="D751" t="str">
            <v>SUMINISTRO E INSTALACIÓN DE ARQUETA PARA INSPECCIÓN DE PICAS EN PUESTA A TIERRA SIN FONDO</v>
          </cell>
          <cell r="F751" t="str">
            <v>Und</v>
          </cell>
          <cell r="G751">
            <v>1</v>
          </cell>
          <cell r="H751">
            <v>14275700</v>
          </cell>
          <cell r="I751">
            <v>14275700</v>
          </cell>
          <cell r="J751">
            <v>19700466</v>
          </cell>
        </row>
        <row r="752">
          <cell r="D752" t="str">
            <v>SUMINISTRO E INSTALACIÓN DE SOLDADURA EXOTERMICA</v>
          </cell>
          <cell r="F752" t="str">
            <v>Und</v>
          </cell>
          <cell r="G752">
            <v>2.8000000000000003</v>
          </cell>
          <cell r="H752">
            <v>185231</v>
          </cell>
          <cell r="I752">
            <v>518646.80000000005</v>
          </cell>
          <cell r="J752">
            <v>715732.58400000003</v>
          </cell>
        </row>
        <row r="753">
          <cell r="D753" t="str">
            <v>SUMINISTRO E INSTALACIÓN DE GRAPA DE ALEACIÓN RICA EN COBRE (LATÓN) MODELO KZ</v>
          </cell>
          <cell r="F753" t="str">
            <v>Und</v>
          </cell>
          <cell r="G753">
            <v>1</v>
          </cell>
          <cell r="H753">
            <v>292083</v>
          </cell>
          <cell r="I753">
            <v>292083</v>
          </cell>
          <cell r="J753">
            <v>403074.54</v>
          </cell>
        </row>
        <row r="754">
          <cell r="D754" t="str">
            <v>SUMINISTRO E INSTALACIÓN DE GRAPA DE ALEACIÓN RICA EN COBRE (LATÓN) MODELO KPD</v>
          </cell>
          <cell r="F754" t="str">
            <v>Und</v>
          </cell>
          <cell r="G754">
            <v>0.99393939393939412</v>
          </cell>
          <cell r="H754">
            <v>292083</v>
          </cell>
          <cell r="I754">
            <v>290312.80000000005</v>
          </cell>
          <cell r="J754">
            <v>400631.66400000005</v>
          </cell>
        </row>
        <row r="755">
          <cell r="D755" t="str">
            <v xml:space="preserve">INSTALACIÓN DE CABLE DE COBRE TRENZADO DESNUDO DE 50 mm2 </v>
          </cell>
          <cell r="F755" t="str">
            <v>ML</v>
          </cell>
          <cell r="G755">
            <v>113.1390243902439</v>
          </cell>
          <cell r="H755">
            <v>33000.000989065411</v>
          </cell>
          <cell r="I755">
            <v>3733587.9167799447</v>
          </cell>
          <cell r="J755">
            <v>5152351.3251563236</v>
          </cell>
        </row>
        <row r="756">
          <cell r="C756" t="str">
            <v>10.11.13</v>
          </cell>
          <cell r="D756" t="str">
            <v xml:space="preserve">         INSTALACION DE GROUT Y MORTERO AUTOCOMPACTANTE DE ALTA RESISTENCIA WP22</v>
          </cell>
          <cell r="E756" t="str">
            <v>2 días</v>
          </cell>
          <cell r="F756">
            <v>0</v>
          </cell>
          <cell r="J756">
            <v>46410609.014634147</v>
          </cell>
        </row>
        <row r="757">
          <cell r="D757" t="str">
            <v>GROUT Y  MORTERO AUTOCOMPACTANTE DE ALTA RESISTENCIA C80/95 (EN206-1)</v>
          </cell>
          <cell r="F757" t="str">
            <v>lt</v>
          </cell>
          <cell r="G757">
            <v>530.73170731707319</v>
          </cell>
          <cell r="H757">
            <v>63367</v>
          </cell>
          <cell r="I757">
            <v>33630876.097560979</v>
          </cell>
          <cell r="J757">
            <v>46410609.014634147</v>
          </cell>
        </row>
        <row r="758">
          <cell r="C758" t="str">
            <v>10.11.14</v>
          </cell>
          <cell r="D758" t="str">
            <v xml:space="preserve">         TAPADO AREA DE CIMENTACIÓN Y CONFORMACIÓN DE PLATAFORMA WP22</v>
          </cell>
          <cell r="E758" t="str">
            <v>7 días</v>
          </cell>
          <cell r="F758">
            <v>0</v>
          </cell>
          <cell r="J758">
            <v>1587346329.5488234</v>
          </cell>
        </row>
        <row r="759">
          <cell r="D759" t="str">
            <v>MATERIAL SELECIONADA PARA  FORMACIÓN Y COMPACTACIÓN DE TERRAPLENES Y RELLENO ESTRUCTURAL  (INCLUYE TRANSPORTE DESDE LAS CANTERAS LICENCIADAS HASTA EL SITIO DE INSTALACIÓN)</v>
          </cell>
          <cell r="F759" t="str">
            <v>m3</v>
          </cell>
          <cell r="G759">
            <v>5388.7058823529414</v>
          </cell>
          <cell r="H759">
            <v>174890</v>
          </cell>
          <cell r="I759">
            <v>942430771.7647059</v>
          </cell>
          <cell r="J759">
            <v>1300554465.0352941</v>
          </cell>
        </row>
        <row r="760">
          <cell r="D760" t="str">
            <v>PREPARACIÓN DE SUBRASANTE COMPACTACIÓN Y VALORACIÓN DE LA CAPA DE SUBRASANTE DE LOS VIALES. INCLUYENDO LAS PRUEBAS SEGÚN LO PRESCRITO.</v>
          </cell>
          <cell r="F760" t="str">
            <v>m2</v>
          </cell>
          <cell r="G760">
            <v>631.61764705882354</v>
          </cell>
          <cell r="H760">
            <v>11537</v>
          </cell>
          <cell r="I760">
            <v>7286972.7941176472</v>
          </cell>
          <cell r="J760">
            <v>10056022.455882352</v>
          </cell>
        </row>
        <row r="761">
          <cell r="D761" t="str">
            <v>SUBBASE GRANULAR  (INCLUYE TRANSPORTE DESDE LAS CANTERAS LICENCIADAS HASTA EL SITIO DE INSTALACIÓN)</v>
          </cell>
          <cell r="F761" t="str">
            <v>m3</v>
          </cell>
          <cell r="G761">
            <v>880.85294117647061</v>
          </cell>
          <cell r="H761">
            <v>227658</v>
          </cell>
          <cell r="I761">
            <v>200533218.88235295</v>
          </cell>
          <cell r="J761">
            <v>276735842.05764705</v>
          </cell>
        </row>
        <row r="762">
          <cell r="C762" t="str">
            <v>10.11.15</v>
          </cell>
          <cell r="D762" t="str">
            <v xml:space="preserve">         ESTABILIZACIÓN DE TALUDES EN PLATAFORMA Y RECONFORMACION FINAL WP22</v>
          </cell>
          <cell r="E762" t="str">
            <v>7 días</v>
          </cell>
          <cell r="F762">
            <v>0</v>
          </cell>
          <cell r="J762">
            <v>179532477.23999998</v>
          </cell>
        </row>
        <row r="763">
          <cell r="D763" t="str">
            <v>BASE GRANULAR   (INCLUYE TRANSPORTE DESDE LAS CANTERAS LICENCIADAS HASTA EL SITIO DE INSTALACIÓN)</v>
          </cell>
          <cell r="F763" t="str">
            <v>m3</v>
          </cell>
          <cell r="G763">
            <v>237.64705882352942</v>
          </cell>
          <cell r="H763">
            <v>265112</v>
          </cell>
          <cell r="I763">
            <v>63003087.058823533</v>
          </cell>
          <cell r="J763">
            <v>86944260.141176462</v>
          </cell>
        </row>
        <row r="764">
          <cell r="D764" t="str">
            <v xml:space="preserve">ENROCADO PROTECCIÓN TALUD PLATAFORMAS PROTECCIÓN CON ENROCADO DE PIEDRA DEL TALUD DE LAS PLATAFORMAS EN TERRAPLÉN CON 30 CM DE PIEDRA DE 6-10 CM DE DIÁMETRO, PESO ESPECÍFICO DE LAS PIEDRAS DE 2,64  G/CM3  (INCLUYE TRANSPORTE DESDE LAS CANTERAS LICENCIADAS HASTA EL SITIO DE INSTALACIÓN) </v>
          </cell>
          <cell r="F764" t="str">
            <v>m3</v>
          </cell>
          <cell r="G764">
            <v>42.352941176470587</v>
          </cell>
          <cell r="H764">
            <v>276393</v>
          </cell>
          <cell r="I764">
            <v>11706056.470588235</v>
          </cell>
          <cell r="J764">
            <v>16154357.929411763</v>
          </cell>
        </row>
        <row r="765">
          <cell r="D765" t="str">
            <v xml:space="preserve">ENROCADO PROTECCIÓN TALUD CIMENTACION PROTECCIÓN CON ENROCADO DE PIEDRA DEL TALUD DE LAS CIMENTACIONES EN TERRAPLÉN CON 30 CM DE PIEDRA DE 6-10 CM DE DIÁMETRO, PESO ESPECÍFICO DE LAS PIEDRAS DE 2,64 G/CM3   (INCLUYE TRANSPORTE DESDE LAS CANTERAS LICENCIADAS HASTA EL SITIO DE INSTALACIÓN) </v>
          </cell>
          <cell r="F765" t="str">
            <v>m3</v>
          </cell>
          <cell r="G765">
            <v>25.529411764705884</v>
          </cell>
          <cell r="H765">
            <v>286818</v>
          </cell>
          <cell r="I765">
            <v>7322294.823529412</v>
          </cell>
          <cell r="J765">
            <v>10104766.856470589</v>
          </cell>
        </row>
        <row r="766">
          <cell r="D766" t="str">
            <v>SUMINISTRO E INSTALACIÓN DE GEOTEXTILES</v>
          </cell>
          <cell r="F766" t="str">
            <v>m2</v>
          </cell>
          <cell r="G766">
            <v>887.17647058823525</v>
          </cell>
          <cell r="H766">
            <v>54177</v>
          </cell>
          <cell r="I766">
            <v>48064559.647058822</v>
          </cell>
          <cell r="J766">
            <v>66329092.312941171</v>
          </cell>
        </row>
        <row r="767">
          <cell r="C767" t="str">
            <v>10.11.16</v>
          </cell>
          <cell r="D767" t="str">
            <v xml:space="preserve">         HITO: FINALIZACION DE ACTIVIDADES EN CIMENTACION WP22</v>
          </cell>
          <cell r="E767" t="str">
            <v>0 días</v>
          </cell>
          <cell r="F767">
            <v>0</v>
          </cell>
        </row>
        <row r="768">
          <cell r="C768" t="str">
            <v>10.12</v>
          </cell>
          <cell r="D768" t="str">
            <v xml:space="preserve">      CIMENTACION WP5</v>
          </cell>
          <cell r="E768" t="str">
            <v>60 días</v>
          </cell>
          <cell r="F768">
            <v>0</v>
          </cell>
        </row>
        <row r="769">
          <cell r="C769" t="str">
            <v>10.12.1</v>
          </cell>
          <cell r="D769" t="str">
            <v xml:space="preserve">         DESBROCE DE AREA DE ACOPIO DE TORRE Y DE PALAS WP5</v>
          </cell>
          <cell r="E769" t="str">
            <v>8 días</v>
          </cell>
          <cell r="F769">
            <v>0</v>
          </cell>
          <cell r="J769">
            <v>83271780.884117648</v>
          </cell>
        </row>
        <row r="770">
          <cell r="D770" t="str">
            <v>DESBROCE Y LIMPIEZA</v>
          </cell>
          <cell r="F770" t="str">
            <v>m2</v>
          </cell>
          <cell r="G770">
            <v>4799.0294117647063</v>
          </cell>
          <cell r="H770">
            <v>4140</v>
          </cell>
          <cell r="I770">
            <v>19867981.764705885</v>
          </cell>
          <cell r="J770">
            <v>27417814.83529412</v>
          </cell>
        </row>
        <row r="771">
          <cell r="D771" t="str">
            <v>SUMINISTRO DE COMISION TOPOGRAFICA
 (incluyede GPS, Estación Total, tránsitos, distanciómetros, niveles de precisión, miras, prismas, jalones, plomadas, cintas métricas, etc., un cadenero primero , un cadenero segundo, ingeniero topógrafo/topógrafo con matricula vigente, insumos para ralizar la actividad, licencias de software utilizado para la ejecución de los trabajos, movilización de personal equipos y entregables en archivos magnéticos)</v>
          </cell>
          <cell r="F771" t="str">
            <v>Mes</v>
          </cell>
          <cell r="G771">
            <v>0.2</v>
          </cell>
          <cell r="H771">
            <v>31500000</v>
          </cell>
          <cell r="I771">
            <v>6300000</v>
          </cell>
          <cell r="J771">
            <v>8694000</v>
          </cell>
        </row>
        <row r="772">
          <cell r="D772" t="str">
            <v>DESMONTE, DESCAPOTE Y LIMPIEZA INCLUYE  TALA DE ARBOLES CON DAP ≤0.15M, TRANSPORTE Y DISPOSICIÓN FINAL</v>
          </cell>
          <cell r="F772" t="str">
            <v>m2</v>
          </cell>
          <cell r="G772">
            <v>4799.0294117647063</v>
          </cell>
          <cell r="H772">
            <v>7121</v>
          </cell>
          <cell r="I772">
            <v>34173888.441176474</v>
          </cell>
          <cell r="J772">
            <v>47159966.048823528</v>
          </cell>
        </row>
        <row r="773">
          <cell r="C773" t="str">
            <v>10.12.2</v>
          </cell>
          <cell r="D773" t="str">
            <v xml:space="preserve">         EXCAVACIÓN DE CIMENTACION WP5</v>
          </cell>
          <cell r="E773" t="str">
            <v>7 días</v>
          </cell>
          <cell r="F773">
            <v>0</v>
          </cell>
          <cell r="J773">
            <v>312374505.66882348</v>
          </cell>
        </row>
        <row r="774">
          <cell r="D774" t="str">
            <v>EXCAVACIÓN MECÁNICA EN MATERIAL COMÚN</v>
          </cell>
          <cell r="F774" t="str">
            <v>m3</v>
          </cell>
          <cell r="G774">
            <v>4799.0294117647063</v>
          </cell>
          <cell r="H774">
            <v>35495</v>
          </cell>
          <cell r="I774">
            <v>170341548.97058824</v>
          </cell>
          <cell r="J774">
            <v>235071337.57941175</v>
          </cell>
        </row>
        <row r="775">
          <cell r="D775" t="str">
            <v>EXCAVACIÓN EN ROCA</v>
          </cell>
          <cell r="F775" t="str">
            <v>m3</v>
          </cell>
          <cell r="G775">
            <v>414.35294117647061</v>
          </cell>
          <cell r="H775">
            <v>135191</v>
          </cell>
          <cell r="I775">
            <v>56016788.470588237</v>
          </cell>
          <cell r="J775">
            <v>77303168.089411765</v>
          </cell>
        </row>
        <row r="776">
          <cell r="C776" t="str">
            <v>10.12.3</v>
          </cell>
          <cell r="D776" t="str">
            <v xml:space="preserve">         BANCO DE DUCTO WP5</v>
          </cell>
          <cell r="E776" t="str">
            <v>3 días</v>
          </cell>
          <cell r="F776">
            <v>0</v>
          </cell>
          <cell r="J776">
            <v>9527825.6870364472</v>
          </cell>
        </row>
        <row r="777">
          <cell r="D777" t="str">
            <v>INSTALACION DE TUBERIA PVC TIPO TDP Y/O CORRUGADA TIPO PEAD-HDPE  - 50mm</v>
          </cell>
          <cell r="F777" t="str">
            <v>ML</v>
          </cell>
          <cell r="G777">
            <v>7.2352941176470589</v>
          </cell>
          <cell r="H777">
            <v>27751.000385791169</v>
          </cell>
          <cell r="I777">
            <v>200786.64985013611</v>
          </cell>
          <cell r="J777">
            <v>277085.57679318782</v>
          </cell>
        </row>
        <row r="778">
          <cell r="D778" t="str">
            <v>INSTALACION DE TUBERIA PVC TIPO TDP Y/O CORRUGADA TIPO PEAD-HDPE - 90mm</v>
          </cell>
          <cell r="F778" t="str">
            <v>ML</v>
          </cell>
          <cell r="G778">
            <v>34.694117647058818</v>
          </cell>
          <cell r="H778">
            <v>31239.000009014315</v>
          </cell>
          <cell r="I778">
            <v>1083809.5414892142</v>
          </cell>
          <cell r="J778">
            <v>1495657.1672551155</v>
          </cell>
        </row>
        <row r="779">
          <cell r="D779" t="str">
            <v>INSTALACION DE TUBERIA PVC TIPO TDP  Y/O CORRUGADA TIPO PEAD-HDPE - 200mm</v>
          </cell>
          <cell r="F779" t="str">
            <v>ML</v>
          </cell>
          <cell r="G779">
            <v>70.332352941176467</v>
          </cell>
          <cell r="H779">
            <v>79900.999838665448</v>
          </cell>
          <cell r="I779">
            <v>5619625.3210059023</v>
          </cell>
          <cell r="J779">
            <v>7755082.9429881442</v>
          </cell>
        </row>
        <row r="780">
          <cell r="C780" t="str">
            <v>10.12.4</v>
          </cell>
          <cell r="D780" t="str">
            <v xml:space="preserve">         COMPACTACION DE SELLO DE BASE WP5</v>
          </cell>
          <cell r="E780" t="str">
            <v>2 días</v>
          </cell>
          <cell r="F780">
            <v>0</v>
          </cell>
          <cell r="J780">
            <v>320494616.71764702</v>
          </cell>
        </row>
        <row r="781">
          <cell r="D781" t="str">
            <v>RELLENO CON MATERIAL DE EXCAVACIÓN SELECCIONADO</v>
          </cell>
          <cell r="F781" t="str">
            <v>m3</v>
          </cell>
          <cell r="G781">
            <v>4530.6764705882351</v>
          </cell>
          <cell r="H781">
            <v>51260</v>
          </cell>
          <cell r="I781">
            <v>232242475.88235292</v>
          </cell>
          <cell r="J781">
            <v>320494616.71764702</v>
          </cell>
        </row>
        <row r="782">
          <cell r="C782" t="str">
            <v>10.12.5</v>
          </cell>
          <cell r="D782" t="str">
            <v xml:space="preserve">         SOLADO WP5</v>
          </cell>
          <cell r="E782" t="str">
            <v>1 día</v>
          </cell>
          <cell r="F782">
            <v>0</v>
          </cell>
          <cell r="J782">
            <v>94303618.549411759</v>
          </cell>
        </row>
        <row r="783">
          <cell r="D783" t="str">
            <v>CONCRETO CLASE F (140 kg/cm2 Ó 2000 psi)</v>
          </cell>
          <cell r="F783" t="str">
            <v>m3</v>
          </cell>
          <cell r="G783">
            <v>43.941176470588232</v>
          </cell>
          <cell r="H783">
            <v>1555169</v>
          </cell>
          <cell r="I783">
            <v>68335955.470588237</v>
          </cell>
          <cell r="J783">
            <v>94303618.549411759</v>
          </cell>
        </row>
        <row r="784">
          <cell r="C784" t="str">
            <v>10.12.6</v>
          </cell>
          <cell r="D784" t="str">
            <v xml:space="preserve">         INSTALACIÓN DE PERNOS Y SOFT-SPOT WP5</v>
          </cell>
          <cell r="E784" t="str">
            <v>5 días</v>
          </cell>
          <cell r="F784">
            <v>0</v>
          </cell>
          <cell r="J784">
            <v>179436034.15411764</v>
          </cell>
        </row>
        <row r="785">
          <cell r="D785" t="str">
            <v>S0FT-SPOT  (EPS) Tipo II (ASM C578)</v>
          </cell>
          <cell r="F785" t="str">
            <v>m2</v>
          </cell>
          <cell r="G785">
            <v>62.117647058823529</v>
          </cell>
          <cell r="H785">
            <v>484846</v>
          </cell>
          <cell r="I785">
            <v>30117492.705882352</v>
          </cell>
          <cell r="J785">
            <v>41562139.934117645</v>
          </cell>
        </row>
        <row r="786">
          <cell r="D786" t="str">
            <v>MONTAJE Y NIVELACION DE LA JAULA DE ANCLAJES INCLUYE  LA PREPARACIÓN
 DEL ÁREA, LA NIVELACIÓN Y POSICIONAMIENTO DE LOS COMPONENTES (COMO PLANTILLAS Y VARILLAS), EL ENSAMBLAJE DE LA ESTRUCTURA, LA FIJACIÓN FINAL A LA CIMENTACIÓN CON PERNOS DE ANCLAJE, MONTAJE DE BRIDAS, TORQUE Y LIBERACIÓN DE LA CESTA, INCLUYE LA HERRAMIENTA Y EQUIPO DE INSTALACIÓN (peso estimado por jaula 13896  kg)</v>
          </cell>
          <cell r="F786" t="str">
            <v>Und</v>
          </cell>
          <cell r="G786">
            <v>1</v>
          </cell>
          <cell r="H786">
            <v>99908619</v>
          </cell>
          <cell r="I786">
            <v>99908619</v>
          </cell>
          <cell r="J786">
            <v>137873894.22</v>
          </cell>
        </row>
        <row r="787">
          <cell r="C787" t="str">
            <v>10.12.7</v>
          </cell>
          <cell r="D787" t="str">
            <v xml:space="preserve">         INSTALACIÓN DE ACERO DE REFUERZO WP5</v>
          </cell>
          <cell r="E787" t="str">
            <v>14 días</v>
          </cell>
          <cell r="F787">
            <v>0</v>
          </cell>
          <cell r="J787">
            <v>1212623361.2117648</v>
          </cell>
        </row>
        <row r="788">
          <cell r="D788" t="str">
            <v>ACERO FY:  60000 psi (4.200 kg/cm2)</v>
          </cell>
          <cell r="F788" t="str">
            <v>kg</v>
          </cell>
          <cell r="G788">
            <v>68756.852941176476</v>
          </cell>
          <cell r="H788">
            <v>12780</v>
          </cell>
          <cell r="I788">
            <v>878712580.58823538</v>
          </cell>
          <cell r="J788">
            <v>1212623361.2117648</v>
          </cell>
        </row>
        <row r="789">
          <cell r="C789" t="str">
            <v>10.12.8</v>
          </cell>
          <cell r="D789" t="str">
            <v xml:space="preserve">         ENCOFRADO DE ZAPATA Y DE PEDESTAL WP5</v>
          </cell>
          <cell r="E789" t="str">
            <v>3 días</v>
          </cell>
          <cell r="F789">
            <v>0</v>
          </cell>
        </row>
        <row r="790">
          <cell r="C790" t="str">
            <v>10.12.9</v>
          </cell>
          <cell r="D790" t="str">
            <v xml:space="preserve">         HITO: ALISTAMIENTO Y MOVILIZACIÓN DE PLANTA DE CONCRETO PARA WP5</v>
          </cell>
          <cell r="E790" t="str">
            <v>0 días</v>
          </cell>
          <cell r="F790">
            <v>0</v>
          </cell>
        </row>
        <row r="791">
          <cell r="C791" t="str">
            <v>10.12.10</v>
          </cell>
          <cell r="D791" t="str">
            <v xml:space="preserve">         FUNDIDA WP5</v>
          </cell>
          <cell r="E791" t="str">
            <v>1 día</v>
          </cell>
          <cell r="F791">
            <v>0</v>
          </cell>
          <cell r="J791">
            <v>1230815225.9452939</v>
          </cell>
        </row>
        <row r="792">
          <cell r="D792" t="str">
            <v>CONCRETO ESTRUCTURAL  35 MPa(350 kg/cm2 Ó 5000 psi)</v>
          </cell>
          <cell r="F792" t="str">
            <v>m3</v>
          </cell>
          <cell r="G792">
            <v>429.02941176470586</v>
          </cell>
          <cell r="H792">
            <v>1926653</v>
          </cell>
          <cell r="I792">
            <v>826590803.26470578</v>
          </cell>
          <cell r="J792">
            <v>1140695308.5052938</v>
          </cell>
        </row>
        <row r="793">
          <cell r="D793" t="str">
            <v>CONCRETO ESTRUCTURAL  45 MPa(457 kg/cm2 Ó 6500psi)</v>
          </cell>
          <cell r="F793" t="str">
            <v>m3</v>
          </cell>
          <cell r="G793">
            <v>32</v>
          </cell>
          <cell r="H793">
            <v>2040759</v>
          </cell>
          <cell r="I793">
            <v>65304288</v>
          </cell>
          <cell r="J793">
            <v>90119917.439999998</v>
          </cell>
        </row>
        <row r="794">
          <cell r="C794" t="str">
            <v>10.12.11</v>
          </cell>
          <cell r="D794" t="str">
            <v xml:space="preserve">         CURADO DEL CONCRETO WP5</v>
          </cell>
          <cell r="E794" t="str">
            <v>5 días</v>
          </cell>
          <cell r="F794">
            <v>0</v>
          </cell>
        </row>
        <row r="795">
          <cell r="C795" t="str">
            <v>10.12.12</v>
          </cell>
          <cell r="D795" t="str">
            <v xml:space="preserve">         INSTALACIONES ELECTRICAS Y SISTEMA PUESTA TIERRA WP5</v>
          </cell>
          <cell r="E795" t="str">
            <v>2 días</v>
          </cell>
          <cell r="F795">
            <v>0</v>
          </cell>
          <cell r="J795">
            <v>52736347.43270281</v>
          </cell>
        </row>
        <row r="796">
          <cell r="D796" t="str">
            <v>ARQUETA EN HORMIGON PARA MEDIA TENSION - EMPALMES (500 MT)</v>
          </cell>
          <cell r="F796" t="str">
            <v>Und</v>
          </cell>
          <cell r="G796">
            <v>1</v>
          </cell>
          <cell r="H796">
            <v>12275310.999985719</v>
          </cell>
          <cell r="I796">
            <v>12275310.999985719</v>
          </cell>
          <cell r="J796">
            <v>16939929.179980289</v>
          </cell>
        </row>
        <row r="797">
          <cell r="D797" t="str">
            <v>ARQUETA EN POLIPROPILENO</v>
          </cell>
          <cell r="F797" t="str">
            <v>Und</v>
          </cell>
          <cell r="G797">
            <v>1</v>
          </cell>
          <cell r="H797">
            <v>6068599.9996856553</v>
          </cell>
          <cell r="I797">
            <v>6068599.9996856553</v>
          </cell>
          <cell r="J797">
            <v>8374667.9995662039</v>
          </cell>
        </row>
        <row r="798">
          <cell r="D798" t="str">
            <v>SUMINISTRO E INSTALACIÓN DE PLATINA</v>
          </cell>
          <cell r="F798" t="str">
            <v>Und</v>
          </cell>
          <cell r="G798">
            <v>1</v>
          </cell>
          <cell r="H798">
            <v>361570</v>
          </cell>
          <cell r="I798">
            <v>361570</v>
          </cell>
          <cell r="J798">
            <v>498966.6</v>
          </cell>
        </row>
        <row r="799">
          <cell r="D799" t="str">
            <v>SUMINISTRO E INSTALACIÓN DE VARILLA</v>
          </cell>
          <cell r="F799" t="str">
            <v>Und</v>
          </cell>
          <cell r="G799">
            <v>1</v>
          </cell>
          <cell r="H799">
            <v>398933</v>
          </cell>
          <cell r="I799">
            <v>398933</v>
          </cell>
          <cell r="J799">
            <v>550527.53999999992</v>
          </cell>
        </row>
        <row r="800">
          <cell r="D800" t="str">
            <v>SUMINISTRO E INSTALACIÓN DE ARQUETA PARA INSPECCIÓN DE PICAS EN PUESTA A TIERRA SIN FONDO</v>
          </cell>
          <cell r="F800" t="str">
            <v>Und</v>
          </cell>
          <cell r="G800">
            <v>1</v>
          </cell>
          <cell r="H800">
            <v>14275700</v>
          </cell>
          <cell r="I800">
            <v>14275700</v>
          </cell>
          <cell r="J800">
            <v>19700466</v>
          </cell>
        </row>
        <row r="801">
          <cell r="D801" t="str">
            <v>SUMINISTRO E INSTALACIÓN DE SOLDADURA EXOTERMICA</v>
          </cell>
          <cell r="F801" t="str">
            <v>Und</v>
          </cell>
          <cell r="G801">
            <v>2.8000000000000003</v>
          </cell>
          <cell r="H801">
            <v>185231</v>
          </cell>
          <cell r="I801">
            <v>518646.80000000005</v>
          </cell>
          <cell r="J801">
            <v>715732.58400000003</v>
          </cell>
        </row>
        <row r="802">
          <cell r="D802" t="str">
            <v>SUMINISTRO E INSTALACIÓN DE GRAPA DE ALEACIÓN RICA EN COBRE (LATÓN) MODELO KZ</v>
          </cell>
          <cell r="F802" t="str">
            <v>Und</v>
          </cell>
          <cell r="G802">
            <v>1</v>
          </cell>
          <cell r="H802">
            <v>292083</v>
          </cell>
          <cell r="I802">
            <v>292083</v>
          </cell>
          <cell r="J802">
            <v>403074.54</v>
          </cell>
        </row>
        <row r="803">
          <cell r="D803" t="str">
            <v>SUMINISTRO E INSTALACIÓN DE GRAPA DE ALEACIÓN RICA EN COBRE (LATÓN) MODELO KPD</v>
          </cell>
          <cell r="F803" t="str">
            <v>Und</v>
          </cell>
          <cell r="G803">
            <v>0.99393939393939412</v>
          </cell>
          <cell r="H803">
            <v>292083</v>
          </cell>
          <cell r="I803">
            <v>290312.80000000005</v>
          </cell>
          <cell r="J803">
            <v>400631.66400000005</v>
          </cell>
        </row>
        <row r="804">
          <cell r="D804" t="str">
            <v xml:space="preserve">INSTALACIÓN DE CABLE DE COBRE TRENZADO DESNUDO DE 50 mm2 </v>
          </cell>
          <cell r="F804" t="str">
            <v>ML</v>
          </cell>
          <cell r="G804">
            <v>113.1390243902439</v>
          </cell>
          <cell r="H804">
            <v>33000.000989065411</v>
          </cell>
          <cell r="I804">
            <v>3733587.9167799447</v>
          </cell>
          <cell r="J804">
            <v>5152351.3251563236</v>
          </cell>
        </row>
        <row r="805">
          <cell r="C805" t="str">
            <v>10.12.13</v>
          </cell>
          <cell r="D805" t="str">
            <v xml:space="preserve">         INSTALACION DE GROUT Y MORTERO AUTOCOMPACTANTE DE ALTA RESISTENCIA WP5</v>
          </cell>
          <cell r="E805" t="str">
            <v>2 días</v>
          </cell>
          <cell r="F805">
            <v>0</v>
          </cell>
          <cell r="J805">
            <v>46410609.014634147</v>
          </cell>
        </row>
        <row r="806">
          <cell r="D806" t="str">
            <v>GROUT Y  MORTERO AUTOCOMPACTANTE DE ALTA RESISTENCIA C80/95 (EN206-1)</v>
          </cell>
          <cell r="F806" t="str">
            <v>lt</v>
          </cell>
          <cell r="G806">
            <v>530.73170731707319</v>
          </cell>
          <cell r="H806">
            <v>63367</v>
          </cell>
          <cell r="I806">
            <v>33630876.097560979</v>
          </cell>
          <cell r="J806">
            <v>46410609.014634147</v>
          </cell>
        </row>
        <row r="807">
          <cell r="C807" t="str">
            <v>10.12.14</v>
          </cell>
          <cell r="D807" t="str">
            <v xml:space="preserve">         TAPADO AREA DE CIMENTACIÓN Y CONFORMACIÓN DE PLATAFORMA WP5</v>
          </cell>
          <cell r="E807" t="str">
            <v>7 días</v>
          </cell>
          <cell r="F807">
            <v>0</v>
          </cell>
          <cell r="J807">
            <v>1587346329.5488234</v>
          </cell>
        </row>
        <row r="808">
          <cell r="D808" t="str">
            <v>MATERIAL SELECIONADA PARA  FORMACIÓN Y COMPACTACIÓN DE TERRAPLENES Y RELLENO ESTRUCTURAL  (INCLUYE TRANSPORTE DESDE LAS CANTERAS LICENCIADAS HASTA EL SITIO DE INSTALACIÓN)</v>
          </cell>
          <cell r="F808" t="str">
            <v>m3</v>
          </cell>
          <cell r="G808">
            <v>5388.7058823529414</v>
          </cell>
          <cell r="H808">
            <v>174890</v>
          </cell>
          <cell r="I808">
            <v>942430771.7647059</v>
          </cell>
          <cell r="J808">
            <v>1300554465.0352941</v>
          </cell>
        </row>
        <row r="809">
          <cell r="D809" t="str">
            <v>PREPARACIÓN DE SUBRASANTE COMPACTACIÓN Y VALORACIÓN DE LA CAPA DE SUBRASANTE DE LOS VIALES. INCLUYENDO LAS PRUEBAS SEGÚN LO PRESCRITO.</v>
          </cell>
          <cell r="F809" t="str">
            <v>m2</v>
          </cell>
          <cell r="G809">
            <v>631.61764705882354</v>
          </cell>
          <cell r="H809">
            <v>11537</v>
          </cell>
          <cell r="I809">
            <v>7286972.7941176472</v>
          </cell>
          <cell r="J809">
            <v>10056022.455882352</v>
          </cell>
        </row>
        <row r="810">
          <cell r="D810" t="str">
            <v>SUBBASE GRANULAR  (INCLUYE TRANSPORTE DESDE LAS CANTERAS LICENCIADAS HASTA EL SITIO DE INSTALACIÓN)</v>
          </cell>
          <cell r="F810" t="str">
            <v>m3</v>
          </cell>
          <cell r="G810">
            <v>880.85294117647061</v>
          </cell>
          <cell r="H810">
            <v>227658</v>
          </cell>
          <cell r="I810">
            <v>200533218.88235295</v>
          </cell>
          <cell r="J810">
            <v>276735842.05764705</v>
          </cell>
        </row>
        <row r="811">
          <cell r="C811" t="str">
            <v>10.12.15</v>
          </cell>
          <cell r="D811" t="str">
            <v xml:space="preserve">         ESTABILIZACIÓN DE TALUDES EN PLATAFORMA Y RECONFORMACION FINAL WP5</v>
          </cell>
          <cell r="E811" t="str">
            <v>7 días</v>
          </cell>
          <cell r="F811">
            <v>0</v>
          </cell>
          <cell r="J811">
            <v>179532477.23999998</v>
          </cell>
        </row>
        <row r="812">
          <cell r="D812" t="str">
            <v>BASE GRANULAR   (INCLUYE TRANSPORTE DESDE LAS CANTERAS LICENCIADAS HASTA EL SITIO DE INSTALACIÓN)</v>
          </cell>
          <cell r="F812" t="str">
            <v>m3</v>
          </cell>
          <cell r="G812">
            <v>237.64705882352942</v>
          </cell>
          <cell r="H812">
            <v>265112</v>
          </cell>
          <cell r="I812">
            <v>63003087.058823533</v>
          </cell>
          <cell r="J812">
            <v>86944260.141176462</v>
          </cell>
        </row>
        <row r="813">
          <cell r="D813" t="str">
            <v xml:space="preserve">ENROCADO PROTECCIÓN TALUD PLATAFORMAS PROTECCIÓN CON ENROCADO DE PIEDRA DEL TALUD DE LAS PLATAFORMAS EN TERRAPLÉN CON 30 CM DE PIEDRA DE 6-10 CM DE DIÁMETRO, PESO ESPECÍFICO DE LAS PIEDRAS DE 2,64  G/CM3  (INCLUYE TRANSPORTE DESDE LAS CANTERAS LICENCIADAS HASTA EL SITIO DE INSTALACIÓN) </v>
          </cell>
          <cell r="F813" t="str">
            <v>m3</v>
          </cell>
          <cell r="G813">
            <v>42.352941176470587</v>
          </cell>
          <cell r="H813">
            <v>276393</v>
          </cell>
          <cell r="I813">
            <v>11706056.470588235</v>
          </cell>
          <cell r="J813">
            <v>16154357.929411763</v>
          </cell>
        </row>
        <row r="814">
          <cell r="D814" t="str">
            <v xml:space="preserve">ENROCADO PROTECCIÓN TALUD CIMENTACION PROTECCIÓN CON ENROCADO DE PIEDRA DEL TALUD DE LAS CIMENTACIONES EN TERRAPLÉN CON 30 CM DE PIEDRA DE 6-10 CM DE DIÁMETRO, PESO ESPECÍFICO DE LAS PIEDRAS DE 2,64 G/CM3   (INCLUYE TRANSPORTE DESDE LAS CANTERAS LICENCIADAS HASTA EL SITIO DE INSTALACIÓN) </v>
          </cell>
          <cell r="F814" t="str">
            <v>m3</v>
          </cell>
          <cell r="G814">
            <v>25.529411764705884</v>
          </cell>
          <cell r="H814">
            <v>286818</v>
          </cell>
          <cell r="I814">
            <v>7322294.823529412</v>
          </cell>
          <cell r="J814">
            <v>10104766.856470589</v>
          </cell>
        </row>
        <row r="815">
          <cell r="D815" t="str">
            <v>SUMINISTRO E INSTALACIÓN DE GEOTEXTILES</v>
          </cell>
          <cell r="F815" t="str">
            <v>m2</v>
          </cell>
          <cell r="G815">
            <v>887.17647058823525</v>
          </cell>
          <cell r="H815">
            <v>54177</v>
          </cell>
          <cell r="I815">
            <v>48064559.647058822</v>
          </cell>
          <cell r="J815">
            <v>66329092.312941171</v>
          </cell>
        </row>
        <row r="816">
          <cell r="C816" t="str">
            <v>10.12.16</v>
          </cell>
          <cell r="D816" t="str">
            <v xml:space="preserve">         HITO: FINALIZACION DE ACTIVIDADES EN CIMENTACION WP5</v>
          </cell>
          <cell r="E816" t="str">
            <v>0 días</v>
          </cell>
          <cell r="F816">
            <v>0</v>
          </cell>
        </row>
        <row r="817">
          <cell r="C817" t="str">
            <v>10.13</v>
          </cell>
          <cell r="D817" t="str">
            <v xml:space="preserve">      CIMENTACION WP6</v>
          </cell>
          <cell r="E817" t="str">
            <v>60 días</v>
          </cell>
          <cell r="F817">
            <v>0</v>
          </cell>
        </row>
        <row r="818">
          <cell r="C818" t="str">
            <v>10.13.1</v>
          </cell>
          <cell r="D818" t="str">
            <v xml:space="preserve">         DESBROCE DE AREA DE ACOPIO DE TORRE Y DE PALAS WP6</v>
          </cell>
          <cell r="E818" t="str">
            <v>8 días</v>
          </cell>
          <cell r="F818">
            <v>0</v>
          </cell>
          <cell r="J818">
            <v>83271780.884117648</v>
          </cell>
        </row>
        <row r="819">
          <cell r="D819" t="str">
            <v>DESBROCE Y LIMPIEZA</v>
          </cell>
          <cell r="F819" t="str">
            <v>m2</v>
          </cell>
          <cell r="G819">
            <v>4799.0294117647063</v>
          </cell>
          <cell r="H819">
            <v>4140</v>
          </cell>
          <cell r="I819">
            <v>19867981.764705885</v>
          </cell>
          <cell r="J819">
            <v>27417814.83529412</v>
          </cell>
        </row>
        <row r="820">
          <cell r="D820" t="str">
            <v>SUMINISTRO DE COMISION TOPOGRAFICA
 (incluyede GPS, Estación Total, tránsitos, distanciómetros, niveles de precisión, miras, prismas, jalones, plomadas, cintas métricas, etc., un cadenero primero , un cadenero segundo, ingeniero topógrafo/topógrafo con matricula vigente, insumos para ralizar la actividad, licencias de software utilizado para la ejecución de los trabajos, movilización de personal equipos y entregables en archivos magnéticos)</v>
          </cell>
          <cell r="F820" t="str">
            <v>Mes</v>
          </cell>
          <cell r="G820">
            <v>0.2</v>
          </cell>
          <cell r="H820">
            <v>31500000</v>
          </cell>
          <cell r="I820">
            <v>6300000</v>
          </cell>
          <cell r="J820">
            <v>8694000</v>
          </cell>
        </row>
        <row r="821">
          <cell r="D821" t="str">
            <v>DESMONTE, DESCAPOTE Y LIMPIEZA INCLUYE  TALA DE ARBOLES CON DAP ≤0.15M, TRANSPORTE Y DISPOSICIÓN FINAL</v>
          </cell>
          <cell r="F821" t="str">
            <v>m2</v>
          </cell>
          <cell r="G821">
            <v>4799.0294117647063</v>
          </cell>
          <cell r="H821">
            <v>7121</v>
          </cell>
          <cell r="I821">
            <v>34173888.441176474</v>
          </cell>
          <cell r="J821">
            <v>47159966.048823528</v>
          </cell>
        </row>
        <row r="822">
          <cell r="C822" t="str">
            <v>10.13.2</v>
          </cell>
          <cell r="D822" t="str">
            <v xml:space="preserve">         EXCAVACIÓN DE CIMENTACION WP6</v>
          </cell>
          <cell r="E822" t="str">
            <v>7 días</v>
          </cell>
          <cell r="F822">
            <v>0</v>
          </cell>
          <cell r="J822">
            <v>312374505.66882348</v>
          </cell>
        </row>
        <row r="823">
          <cell r="D823" t="str">
            <v>EXCAVACIÓN MECÁNICA EN MATERIAL COMÚN</v>
          </cell>
          <cell r="F823" t="str">
            <v>m3</v>
          </cell>
          <cell r="G823">
            <v>4799.0294117647063</v>
          </cell>
          <cell r="H823">
            <v>35495</v>
          </cell>
          <cell r="I823">
            <v>170341548.97058824</v>
          </cell>
          <cell r="J823">
            <v>235071337.57941175</v>
          </cell>
        </row>
        <row r="824">
          <cell r="D824" t="str">
            <v>EXCAVACIÓN EN ROCA</v>
          </cell>
          <cell r="F824" t="str">
            <v>m3</v>
          </cell>
          <cell r="G824">
            <v>414.35294117647061</v>
          </cell>
          <cell r="H824">
            <v>135191</v>
          </cell>
          <cell r="I824">
            <v>56016788.470588237</v>
          </cell>
          <cell r="J824">
            <v>77303168.089411765</v>
          </cell>
        </row>
        <row r="825">
          <cell r="C825" t="str">
            <v>10.13.3</v>
          </cell>
          <cell r="D825" t="str">
            <v xml:space="preserve">         BANCO DE DUCTO WP6</v>
          </cell>
          <cell r="E825" t="str">
            <v>3 días</v>
          </cell>
          <cell r="F825">
            <v>0</v>
          </cell>
          <cell r="J825">
            <v>9527825.6870364472</v>
          </cell>
        </row>
        <row r="826">
          <cell r="D826" t="str">
            <v>INSTALACION DE TUBERIA PVC TIPO TDP Y/O CORRUGADA TIPO PEAD-HDPE  - 50mm</v>
          </cell>
          <cell r="F826" t="str">
            <v>ML</v>
          </cell>
          <cell r="G826">
            <v>7.2352941176470589</v>
          </cell>
          <cell r="H826">
            <v>27751.000385791169</v>
          </cell>
          <cell r="I826">
            <v>200786.64985013611</v>
          </cell>
          <cell r="J826">
            <v>277085.57679318782</v>
          </cell>
        </row>
        <row r="827">
          <cell r="D827" t="str">
            <v>INSTALACION DE TUBERIA PVC TIPO TDP Y/O CORRUGADA TIPO PEAD-HDPE - 90mm</v>
          </cell>
          <cell r="F827" t="str">
            <v>ML</v>
          </cell>
          <cell r="G827">
            <v>34.694117647058818</v>
          </cell>
          <cell r="H827">
            <v>31239.000009014315</v>
          </cell>
          <cell r="I827">
            <v>1083809.5414892142</v>
          </cell>
          <cell r="J827">
            <v>1495657.1672551155</v>
          </cell>
        </row>
        <row r="828">
          <cell r="D828" t="str">
            <v>INSTALACION DE TUBERIA PVC TIPO TDP  Y/O CORRUGADA TIPO PEAD-HDPE - 200mm</v>
          </cell>
          <cell r="F828" t="str">
            <v>ML</v>
          </cell>
          <cell r="G828">
            <v>70.332352941176467</v>
          </cell>
          <cell r="H828">
            <v>79900.999838665448</v>
          </cell>
          <cell r="I828">
            <v>5619625.3210059023</v>
          </cell>
          <cell r="J828">
            <v>7755082.9429881442</v>
          </cell>
        </row>
        <row r="829">
          <cell r="C829" t="str">
            <v>10.13.4</v>
          </cell>
          <cell r="D829" t="str">
            <v xml:space="preserve">         COMPACTACION DE SELLO DE BASE WP6</v>
          </cell>
          <cell r="E829" t="str">
            <v>2 días</v>
          </cell>
          <cell r="F829">
            <v>0</v>
          </cell>
          <cell r="J829">
            <v>320494616.71764702</v>
          </cell>
        </row>
        <row r="830">
          <cell r="D830" t="str">
            <v>RELLENO CON MATERIAL DE EXCAVACIÓN SELECCIONADO</v>
          </cell>
          <cell r="F830" t="str">
            <v>m3</v>
          </cell>
          <cell r="G830">
            <v>4530.6764705882351</v>
          </cell>
          <cell r="H830">
            <v>51260</v>
          </cell>
          <cell r="I830">
            <v>232242475.88235292</v>
          </cell>
          <cell r="J830">
            <v>320494616.71764702</v>
          </cell>
        </row>
        <row r="831">
          <cell r="C831" t="str">
            <v>10.13.5</v>
          </cell>
          <cell r="D831" t="str">
            <v xml:space="preserve">         SOLADO WP6</v>
          </cell>
          <cell r="E831" t="str">
            <v>1 día</v>
          </cell>
          <cell r="F831">
            <v>0</v>
          </cell>
          <cell r="J831">
            <v>94303618.549411759</v>
          </cell>
        </row>
        <row r="832">
          <cell r="D832" t="str">
            <v>CONCRETO CLASE F (140 kg/cm2 Ó 2000 psi)</v>
          </cell>
          <cell r="F832" t="str">
            <v>m3</v>
          </cell>
          <cell r="G832">
            <v>43.941176470588232</v>
          </cell>
          <cell r="H832">
            <v>1555169</v>
          </cell>
          <cell r="I832">
            <v>68335955.470588237</v>
          </cell>
          <cell r="J832">
            <v>94303618.549411759</v>
          </cell>
        </row>
        <row r="833">
          <cell r="C833" t="str">
            <v>10.13.6</v>
          </cell>
          <cell r="D833" t="str">
            <v xml:space="preserve">         INSTALACIÓN DE PERNOS Y SOFT-SPOT WP6</v>
          </cell>
          <cell r="E833" t="str">
            <v>5 días</v>
          </cell>
          <cell r="F833">
            <v>0</v>
          </cell>
          <cell r="J833">
            <v>179436034.15411764</v>
          </cell>
        </row>
        <row r="834">
          <cell r="D834" t="str">
            <v>S0FT-SPOT  (EPS) Tipo II (ASM C578)</v>
          </cell>
          <cell r="F834" t="str">
            <v>m2</v>
          </cell>
          <cell r="G834">
            <v>62.117647058823529</v>
          </cell>
          <cell r="H834">
            <v>484846</v>
          </cell>
          <cell r="I834">
            <v>30117492.705882352</v>
          </cell>
          <cell r="J834">
            <v>41562139.934117645</v>
          </cell>
        </row>
        <row r="835">
          <cell r="D835" t="str">
            <v>MONTAJE Y NIVELACION DE LA JAULA DE ANCLAJES INCLUYE  LA PREPARACIÓN
 DEL ÁREA, LA NIVELACIÓN Y POSICIONAMIENTO DE LOS COMPONENTES (COMO PLANTILLAS Y VARILLAS), EL ENSAMBLAJE DE LA ESTRUCTURA, LA FIJACIÓN FINAL A LA CIMENTACIÓN CON PERNOS DE ANCLAJE, MONTAJE DE BRIDAS, TORQUE Y LIBERACIÓN DE LA CESTA, INCLUYE LA HERRAMIENTA Y EQUIPO DE INSTALACIÓN (peso estimado por jaula 13896  kg)</v>
          </cell>
          <cell r="F835" t="str">
            <v>Und</v>
          </cell>
          <cell r="G835">
            <v>1</v>
          </cell>
          <cell r="H835">
            <v>99908619</v>
          </cell>
          <cell r="I835">
            <v>99908619</v>
          </cell>
          <cell r="J835">
            <v>137873894.22</v>
          </cell>
        </row>
        <row r="836">
          <cell r="C836" t="str">
            <v>10.13.7</v>
          </cell>
          <cell r="D836" t="str">
            <v xml:space="preserve">         INSTALACIÓN DE ACERO DE REFUERZO WP6</v>
          </cell>
          <cell r="E836" t="str">
            <v>14 días</v>
          </cell>
          <cell r="F836">
            <v>0</v>
          </cell>
          <cell r="J836">
            <v>1212623361.2117648</v>
          </cell>
        </row>
        <row r="837">
          <cell r="D837" t="str">
            <v>ACERO FY:  60000 psi (4.200 kg/cm2)</v>
          </cell>
          <cell r="F837" t="str">
            <v>kg</v>
          </cell>
          <cell r="G837">
            <v>68756.852941176476</v>
          </cell>
          <cell r="H837">
            <v>12780</v>
          </cell>
          <cell r="I837">
            <v>878712580.58823538</v>
          </cell>
          <cell r="J837">
            <v>1212623361.2117648</v>
          </cell>
        </row>
        <row r="838">
          <cell r="C838" t="str">
            <v>10.13.8</v>
          </cell>
          <cell r="D838" t="str">
            <v xml:space="preserve">         ENCOFRADO DE ZAPATA Y DE PEDESTAL WP6</v>
          </cell>
          <cell r="E838" t="str">
            <v>3 días</v>
          </cell>
          <cell r="F838">
            <v>0</v>
          </cell>
        </row>
        <row r="839">
          <cell r="C839" t="str">
            <v>10.13.9</v>
          </cell>
          <cell r="D839" t="str">
            <v xml:space="preserve">         HITO: ALISTAMIENTO Y MOVILIZACIÓN DE PLANTA DE CONCRETO PARA WP6</v>
          </cell>
          <cell r="E839" t="str">
            <v>0 días</v>
          </cell>
          <cell r="F839">
            <v>0</v>
          </cell>
        </row>
        <row r="840">
          <cell r="C840" t="str">
            <v>10.13.10</v>
          </cell>
          <cell r="D840" t="str">
            <v xml:space="preserve">         FUNDIDA WP6</v>
          </cell>
          <cell r="E840" t="str">
            <v>1 día</v>
          </cell>
          <cell r="F840">
            <v>0</v>
          </cell>
          <cell r="J840">
            <v>1230815225.9452939</v>
          </cell>
        </row>
        <row r="841">
          <cell r="D841" t="str">
            <v>CONCRETO ESTRUCTURAL  35 MPa(350 kg/cm2 Ó 5000 psi)</v>
          </cell>
          <cell r="F841" t="str">
            <v>m3</v>
          </cell>
          <cell r="G841">
            <v>429.02941176470586</v>
          </cell>
          <cell r="H841">
            <v>1926653</v>
          </cell>
          <cell r="I841">
            <v>826590803.26470578</v>
          </cell>
          <cell r="J841">
            <v>1140695308.5052938</v>
          </cell>
        </row>
        <row r="842">
          <cell r="D842" t="str">
            <v>CONCRETO ESTRUCTURAL  45 MPa(457 kg/cm2 Ó 6500psi)</v>
          </cell>
          <cell r="F842" t="str">
            <v>m3</v>
          </cell>
          <cell r="G842">
            <v>32</v>
          </cell>
          <cell r="H842">
            <v>2040759</v>
          </cell>
          <cell r="I842">
            <v>65304288</v>
          </cell>
          <cell r="J842">
            <v>90119917.439999998</v>
          </cell>
        </row>
        <row r="843">
          <cell r="C843" t="str">
            <v>10.13.11</v>
          </cell>
          <cell r="D843" t="str">
            <v xml:space="preserve">         CURADO DEL CONCRETO WP6</v>
          </cell>
          <cell r="E843" t="str">
            <v>5 días</v>
          </cell>
          <cell r="F843">
            <v>0</v>
          </cell>
        </row>
        <row r="844">
          <cell r="C844" t="str">
            <v>10.13.12</v>
          </cell>
          <cell r="D844" t="str">
            <v xml:space="preserve">         INSTALACIONES ELECTRICAS Y SISTEMA PUESTA TIERRA WP6</v>
          </cell>
          <cell r="E844" t="str">
            <v>2 días</v>
          </cell>
          <cell r="F844">
            <v>0</v>
          </cell>
          <cell r="J844">
            <v>52736347.43270281</v>
          </cell>
        </row>
        <row r="845">
          <cell r="D845" t="str">
            <v>ARQUETA EN HORMIGON PARA MEDIA TENSION - EMPALMES (500 MT)</v>
          </cell>
          <cell r="F845" t="str">
            <v>Und</v>
          </cell>
          <cell r="G845">
            <v>1</v>
          </cell>
          <cell r="H845">
            <v>12275310.999985719</v>
          </cell>
          <cell r="I845">
            <v>12275310.999985719</v>
          </cell>
          <cell r="J845">
            <v>16939929.179980289</v>
          </cell>
        </row>
        <row r="846">
          <cell r="D846" t="str">
            <v>ARQUETA EN POLIPROPILENO</v>
          </cell>
          <cell r="F846" t="str">
            <v>Und</v>
          </cell>
          <cell r="G846">
            <v>1</v>
          </cell>
          <cell r="H846">
            <v>6068599.9996856553</v>
          </cell>
          <cell r="I846">
            <v>6068599.9996856553</v>
          </cell>
          <cell r="J846">
            <v>8374667.9995662039</v>
          </cell>
        </row>
        <row r="847">
          <cell r="D847" t="str">
            <v>SUMINISTRO E INSTALACIÓN DE PLATINA</v>
          </cell>
          <cell r="F847" t="str">
            <v>Und</v>
          </cell>
          <cell r="G847">
            <v>1</v>
          </cell>
          <cell r="H847">
            <v>361570</v>
          </cell>
          <cell r="I847">
            <v>361570</v>
          </cell>
          <cell r="J847">
            <v>498966.6</v>
          </cell>
        </row>
        <row r="848">
          <cell r="D848" t="str">
            <v>SUMINISTRO E INSTALACIÓN DE VARILLA</v>
          </cell>
          <cell r="F848" t="str">
            <v>Und</v>
          </cell>
          <cell r="G848">
            <v>1</v>
          </cell>
          <cell r="H848">
            <v>398933</v>
          </cell>
          <cell r="I848">
            <v>398933</v>
          </cell>
          <cell r="J848">
            <v>550527.53999999992</v>
          </cell>
        </row>
        <row r="849">
          <cell r="D849" t="str">
            <v>SUMINISTRO E INSTALACIÓN DE ARQUETA PARA INSPECCIÓN DE PICAS EN PUESTA A TIERRA SIN FONDO</v>
          </cell>
          <cell r="F849" t="str">
            <v>Und</v>
          </cell>
          <cell r="G849">
            <v>1</v>
          </cell>
          <cell r="H849">
            <v>14275700</v>
          </cell>
          <cell r="I849">
            <v>14275700</v>
          </cell>
          <cell r="J849">
            <v>19700466</v>
          </cell>
        </row>
        <row r="850">
          <cell r="D850" t="str">
            <v>SUMINISTRO E INSTALACIÓN DE SOLDADURA EXOTERMICA</v>
          </cell>
          <cell r="F850" t="str">
            <v>Und</v>
          </cell>
          <cell r="G850">
            <v>2.8000000000000003</v>
          </cell>
          <cell r="H850">
            <v>185231</v>
          </cell>
          <cell r="I850">
            <v>518646.80000000005</v>
          </cell>
          <cell r="J850">
            <v>715732.58400000003</v>
          </cell>
        </row>
        <row r="851">
          <cell r="D851" t="str">
            <v>SUMINISTRO E INSTALACIÓN DE GRAPA DE ALEACIÓN RICA EN COBRE (LATÓN) MODELO KZ</v>
          </cell>
          <cell r="F851" t="str">
            <v>Und</v>
          </cell>
          <cell r="G851">
            <v>1</v>
          </cell>
          <cell r="H851">
            <v>292083</v>
          </cell>
          <cell r="I851">
            <v>292083</v>
          </cell>
          <cell r="J851">
            <v>403074.54</v>
          </cell>
        </row>
        <row r="852">
          <cell r="D852" t="str">
            <v>SUMINISTRO E INSTALACIÓN DE GRAPA DE ALEACIÓN RICA EN COBRE (LATÓN) MODELO KPD</v>
          </cell>
          <cell r="F852" t="str">
            <v>Und</v>
          </cell>
          <cell r="G852">
            <v>0.99393939393939412</v>
          </cell>
          <cell r="H852">
            <v>292083</v>
          </cell>
          <cell r="I852">
            <v>290312.80000000005</v>
          </cell>
          <cell r="J852">
            <v>400631.66400000005</v>
          </cell>
        </row>
        <row r="853">
          <cell r="D853" t="str">
            <v xml:space="preserve">INSTALACIÓN DE CABLE DE COBRE TRENZADO DESNUDO DE 50 mm2 </v>
          </cell>
          <cell r="F853" t="str">
            <v>ML</v>
          </cell>
          <cell r="G853">
            <v>113.1390243902439</v>
          </cell>
          <cell r="H853">
            <v>33000.000989065411</v>
          </cell>
          <cell r="I853">
            <v>3733587.9167799447</v>
          </cell>
          <cell r="J853">
            <v>5152351.3251563236</v>
          </cell>
        </row>
        <row r="854">
          <cell r="C854" t="str">
            <v>10.13.13</v>
          </cell>
          <cell r="D854" t="str">
            <v xml:space="preserve">         INSTALACION DE GROUT Y MORTERO AUTOCOMPACTANTE DE ALTA RESISTENCIA WP6</v>
          </cell>
          <cell r="E854" t="str">
            <v>2 días</v>
          </cell>
          <cell r="F854">
            <v>0</v>
          </cell>
          <cell r="J854">
            <v>46410609.014634147</v>
          </cell>
        </row>
        <row r="855">
          <cell r="D855" t="str">
            <v>GROUT Y  MORTERO AUTOCOMPACTANTE DE ALTA RESISTENCIA C80/95 (EN206-1)</v>
          </cell>
          <cell r="F855" t="str">
            <v>lt</v>
          </cell>
          <cell r="G855">
            <v>530.73170731707319</v>
          </cell>
          <cell r="H855">
            <v>63367</v>
          </cell>
          <cell r="I855">
            <v>33630876.097560979</v>
          </cell>
          <cell r="J855">
            <v>46410609.014634147</v>
          </cell>
        </row>
        <row r="856">
          <cell r="C856" t="str">
            <v>10.13.14</v>
          </cell>
          <cell r="D856" t="str">
            <v xml:space="preserve">         TAPADO AREA DE CIMENTACIÓN Y CONFORMACIÓN DE PLATAFORMA WP6</v>
          </cell>
          <cell r="E856" t="str">
            <v>7 días</v>
          </cell>
          <cell r="F856">
            <v>0</v>
          </cell>
          <cell r="J856">
            <v>1587346329.5488234</v>
          </cell>
        </row>
        <row r="857">
          <cell r="D857" t="str">
            <v>MATERIAL SELECIONADA PARA  FORMACIÓN Y COMPACTACIÓN DE TERRAPLENES Y RELLENO ESTRUCTURAL  (INCLUYE TRANSPORTE DESDE LAS CANTERAS LICENCIADAS HASTA EL SITIO DE INSTALACIÓN)</v>
          </cell>
          <cell r="F857" t="str">
            <v>m3</v>
          </cell>
          <cell r="G857">
            <v>5388.7058823529414</v>
          </cell>
          <cell r="H857">
            <v>174890</v>
          </cell>
          <cell r="I857">
            <v>942430771.7647059</v>
          </cell>
          <cell r="J857">
            <v>1300554465.0352941</v>
          </cell>
        </row>
        <row r="858">
          <cell r="D858" t="str">
            <v>PREPARACIÓN DE SUBRASANTE COMPACTACIÓN Y VALORACIÓN DE LA CAPA DE SUBRASANTE DE LOS VIALES. INCLUYENDO LAS PRUEBAS SEGÚN LO PRESCRITO.</v>
          </cell>
          <cell r="F858" t="str">
            <v>m2</v>
          </cell>
          <cell r="G858">
            <v>631.61764705882354</v>
          </cell>
          <cell r="H858">
            <v>11537</v>
          </cell>
          <cell r="I858">
            <v>7286972.7941176472</v>
          </cell>
          <cell r="J858">
            <v>10056022.455882352</v>
          </cell>
        </row>
        <row r="859">
          <cell r="D859" t="str">
            <v>SUBBASE GRANULAR  (INCLUYE TRANSPORTE DESDE LAS CANTERAS LICENCIADAS HASTA EL SITIO DE INSTALACIÓN)</v>
          </cell>
          <cell r="F859" t="str">
            <v>m3</v>
          </cell>
          <cell r="G859">
            <v>880.85294117647061</v>
          </cell>
          <cell r="H859">
            <v>227658</v>
          </cell>
          <cell r="I859">
            <v>200533218.88235295</v>
          </cell>
          <cell r="J859">
            <v>276735842.05764705</v>
          </cell>
        </row>
        <row r="860">
          <cell r="C860" t="str">
            <v>10.13.15</v>
          </cell>
          <cell r="D860" t="str">
            <v xml:space="preserve">         ESTABILIZACIÓN DE TALUDES EN PLATAFORMA Y RECONFORMACION FINAL WP6</v>
          </cell>
          <cell r="E860" t="str">
            <v>7 días</v>
          </cell>
          <cell r="F860">
            <v>0</v>
          </cell>
          <cell r="J860">
            <v>179532477.23999998</v>
          </cell>
        </row>
        <row r="861">
          <cell r="D861" t="str">
            <v>BASE GRANULAR   (INCLUYE TRANSPORTE DESDE LAS CANTERAS LICENCIADAS HASTA EL SITIO DE INSTALACIÓN)</v>
          </cell>
          <cell r="F861" t="str">
            <v>m3</v>
          </cell>
          <cell r="G861">
            <v>237.64705882352942</v>
          </cell>
          <cell r="H861">
            <v>265112</v>
          </cell>
          <cell r="I861">
            <v>63003087.058823533</v>
          </cell>
          <cell r="J861">
            <v>86944260.141176462</v>
          </cell>
        </row>
        <row r="862">
          <cell r="D862" t="str">
            <v xml:space="preserve">ENROCADO PROTECCIÓN TALUD PLATAFORMAS PROTECCIÓN CON ENROCADO DE PIEDRA DEL TALUD DE LAS PLATAFORMAS EN TERRAPLÉN CON 30 CM DE PIEDRA DE 6-10 CM DE DIÁMETRO, PESO ESPECÍFICO DE LAS PIEDRAS DE 2,64  G/CM3  (INCLUYE TRANSPORTE DESDE LAS CANTERAS LICENCIADAS HASTA EL SITIO DE INSTALACIÓN) </v>
          </cell>
          <cell r="F862" t="str">
            <v>m3</v>
          </cell>
          <cell r="G862">
            <v>42.352941176470587</v>
          </cell>
          <cell r="H862">
            <v>276393</v>
          </cell>
          <cell r="I862">
            <v>11706056.470588235</v>
          </cell>
          <cell r="J862">
            <v>16154357.929411763</v>
          </cell>
        </row>
        <row r="863">
          <cell r="D863" t="str">
            <v xml:space="preserve">ENROCADO PROTECCIÓN TALUD CIMENTACION PROTECCIÓN CON ENROCADO DE PIEDRA DEL TALUD DE LAS CIMENTACIONES EN TERRAPLÉN CON 30 CM DE PIEDRA DE 6-10 CM DE DIÁMETRO, PESO ESPECÍFICO DE LAS PIEDRAS DE 2,64 G/CM3   (INCLUYE TRANSPORTE DESDE LAS CANTERAS LICENCIADAS HASTA EL SITIO DE INSTALACIÓN) </v>
          </cell>
          <cell r="F863" t="str">
            <v>m3</v>
          </cell>
          <cell r="G863">
            <v>25.529411764705884</v>
          </cell>
          <cell r="H863">
            <v>286818</v>
          </cell>
          <cell r="I863">
            <v>7322294.823529412</v>
          </cell>
          <cell r="J863">
            <v>10104766.856470589</v>
          </cell>
        </row>
        <row r="864">
          <cell r="D864" t="str">
            <v>SUMINISTRO E INSTALACIÓN DE GEOTEXTILES</v>
          </cell>
          <cell r="F864" t="str">
            <v>m2</v>
          </cell>
          <cell r="G864">
            <v>887.17647058823525</v>
          </cell>
          <cell r="H864">
            <v>54177</v>
          </cell>
          <cell r="I864">
            <v>48064559.647058822</v>
          </cell>
          <cell r="J864">
            <v>66329092.312941171</v>
          </cell>
        </row>
        <row r="865">
          <cell r="C865" t="str">
            <v>10.13.16</v>
          </cell>
          <cell r="D865" t="str">
            <v xml:space="preserve">         HITO: FINALIZACION DE ACTIVIDADES EN CIMENTACION WP6</v>
          </cell>
          <cell r="E865" t="str">
            <v>0 días</v>
          </cell>
          <cell r="F865">
            <v>0</v>
          </cell>
        </row>
        <row r="866">
          <cell r="C866" t="str">
            <v>10.14</v>
          </cell>
          <cell r="D866" t="str">
            <v xml:space="preserve">      CIMENTACION WP42</v>
          </cell>
          <cell r="E866" t="str">
            <v>60 días</v>
          </cell>
          <cell r="F866">
            <v>0</v>
          </cell>
        </row>
        <row r="867">
          <cell r="C867" t="str">
            <v>10.14.1</v>
          </cell>
          <cell r="D867" t="str">
            <v xml:space="preserve">         DESBROCE DE AREA DE ACOPIO DE TORRE Y DE PALAS WP42</v>
          </cell>
          <cell r="E867" t="str">
            <v>8 días</v>
          </cell>
          <cell r="F867">
            <v>0</v>
          </cell>
          <cell r="J867">
            <v>83271780.884117648</v>
          </cell>
        </row>
        <row r="868">
          <cell r="D868" t="str">
            <v>DESBROCE Y LIMPIEZA</v>
          </cell>
          <cell r="F868" t="str">
            <v>m2</v>
          </cell>
          <cell r="G868">
            <v>4799.0294117647063</v>
          </cell>
          <cell r="H868">
            <v>4140</v>
          </cell>
          <cell r="I868">
            <v>19867981.764705885</v>
          </cell>
          <cell r="J868">
            <v>27417814.83529412</v>
          </cell>
        </row>
        <row r="869">
          <cell r="D869" t="str">
            <v>SUMINISTRO DE COMISION TOPOGRAFICA
 (incluyede GPS, Estación Total, tránsitos, distanciómetros, niveles de precisión, miras, prismas, jalones, plomadas, cintas métricas, etc., un cadenero primero , un cadenero segundo, ingeniero topógrafo/topógrafo con matricula vigente, insumos para ralizar la actividad, licencias de software utilizado para la ejecución de los trabajos, movilización de personal equipos y entregables en archivos magnéticos)</v>
          </cell>
          <cell r="F869" t="str">
            <v>Mes</v>
          </cell>
          <cell r="G869">
            <v>0.2</v>
          </cell>
          <cell r="H869">
            <v>31500000</v>
          </cell>
          <cell r="I869">
            <v>6300000</v>
          </cell>
          <cell r="J869">
            <v>8694000</v>
          </cell>
        </row>
        <row r="870">
          <cell r="D870" t="str">
            <v>DESMONTE, DESCAPOTE Y LIMPIEZA INCLUYE  TALA DE ARBOLES CON DAP ≤0.15M, TRANSPORTE Y DISPOSICIÓN FINAL</v>
          </cell>
          <cell r="F870" t="str">
            <v>m2</v>
          </cell>
          <cell r="G870">
            <v>4799.0294117647063</v>
          </cell>
          <cell r="H870">
            <v>7121</v>
          </cell>
          <cell r="I870">
            <v>34173888.441176474</v>
          </cell>
          <cell r="J870">
            <v>47159966.048823528</v>
          </cell>
        </row>
        <row r="871">
          <cell r="C871" t="str">
            <v>10.14.2</v>
          </cell>
          <cell r="D871" t="str">
            <v xml:space="preserve">         EXCAVACIÓN DE CIMENTACION WP42</v>
          </cell>
          <cell r="E871" t="str">
            <v>7 días</v>
          </cell>
          <cell r="F871">
            <v>0</v>
          </cell>
          <cell r="J871">
            <v>312374505.66882348</v>
          </cell>
        </row>
        <row r="872">
          <cell r="D872" t="str">
            <v>EXCAVACIÓN MECÁNICA EN MATERIAL COMÚN</v>
          </cell>
          <cell r="F872" t="str">
            <v>m3</v>
          </cell>
          <cell r="G872">
            <v>4799.0294117647063</v>
          </cell>
          <cell r="H872">
            <v>35495</v>
          </cell>
          <cell r="I872">
            <v>170341548.97058824</v>
          </cell>
          <cell r="J872">
            <v>235071337.57941175</v>
          </cell>
        </row>
        <row r="873">
          <cell r="D873" t="str">
            <v>EXCAVACIÓN EN ROCA</v>
          </cell>
          <cell r="F873" t="str">
            <v>m3</v>
          </cell>
          <cell r="G873">
            <v>414.35294117647061</v>
          </cell>
          <cell r="H873">
            <v>135191</v>
          </cell>
          <cell r="I873">
            <v>56016788.470588237</v>
          </cell>
          <cell r="J873">
            <v>77303168.089411765</v>
          </cell>
        </row>
        <row r="874">
          <cell r="C874" t="str">
            <v>10.14.3</v>
          </cell>
          <cell r="D874" t="str">
            <v xml:space="preserve">         BANCO DE DUCTO WP42</v>
          </cell>
          <cell r="E874" t="str">
            <v>3 días</v>
          </cell>
          <cell r="F874">
            <v>0</v>
          </cell>
          <cell r="J874">
            <v>9527825.6870364472</v>
          </cell>
        </row>
        <row r="875">
          <cell r="D875" t="str">
            <v>INSTALACION DE TUBERIA PVC TIPO TDP Y/O CORRUGADA TIPO PEAD-HDPE  - 50mm</v>
          </cell>
          <cell r="F875" t="str">
            <v>ML</v>
          </cell>
          <cell r="G875">
            <v>7.2352941176470589</v>
          </cell>
          <cell r="H875">
            <v>27751.000385791169</v>
          </cell>
          <cell r="I875">
            <v>200786.64985013611</v>
          </cell>
          <cell r="J875">
            <v>277085.57679318782</v>
          </cell>
        </row>
        <row r="876">
          <cell r="D876" t="str">
            <v>INSTALACION DE TUBERIA PVC TIPO TDP Y/O CORRUGADA TIPO PEAD-HDPE - 90mm</v>
          </cell>
          <cell r="F876" t="str">
            <v>ML</v>
          </cell>
          <cell r="G876">
            <v>34.694117647058818</v>
          </cell>
          <cell r="H876">
            <v>31239.000009014315</v>
          </cell>
          <cell r="I876">
            <v>1083809.5414892142</v>
          </cell>
          <cell r="J876">
            <v>1495657.1672551155</v>
          </cell>
        </row>
        <row r="877">
          <cell r="D877" t="str">
            <v>INSTALACION DE TUBERIA PVC TIPO TDP  Y/O CORRUGADA TIPO PEAD-HDPE - 200mm</v>
          </cell>
          <cell r="F877" t="str">
            <v>ML</v>
          </cell>
          <cell r="G877">
            <v>70.332352941176467</v>
          </cell>
          <cell r="H877">
            <v>79900.999838665448</v>
          </cell>
          <cell r="I877">
            <v>5619625.3210059023</v>
          </cell>
          <cell r="J877">
            <v>7755082.9429881442</v>
          </cell>
        </row>
        <row r="878">
          <cell r="C878" t="str">
            <v>10.14.4</v>
          </cell>
          <cell r="D878" t="str">
            <v xml:space="preserve">         COMPACTACION DE SELLO DE BASE WP42</v>
          </cell>
          <cell r="E878" t="str">
            <v>2 días</v>
          </cell>
          <cell r="F878">
            <v>0</v>
          </cell>
          <cell r="J878">
            <v>320494616.71764702</v>
          </cell>
        </row>
        <row r="879">
          <cell r="D879" t="str">
            <v>RELLENO CON MATERIAL DE EXCAVACIÓN SELECCIONADO</v>
          </cell>
          <cell r="F879" t="str">
            <v>m3</v>
          </cell>
          <cell r="G879">
            <v>4530.6764705882351</v>
          </cell>
          <cell r="H879">
            <v>51260</v>
          </cell>
          <cell r="I879">
            <v>232242475.88235292</v>
          </cell>
          <cell r="J879">
            <v>320494616.71764702</v>
          </cell>
        </row>
        <row r="880">
          <cell r="C880" t="str">
            <v>10.14.5</v>
          </cell>
          <cell r="D880" t="str">
            <v xml:space="preserve">         SOLADO WP42</v>
          </cell>
          <cell r="E880" t="str">
            <v>1 día</v>
          </cell>
          <cell r="F880">
            <v>0</v>
          </cell>
          <cell r="J880">
            <v>94303618.549411759</v>
          </cell>
        </row>
        <row r="881">
          <cell r="D881" t="str">
            <v>CONCRETO CLASE F (140 kg/cm2 Ó 2000 psi)</v>
          </cell>
          <cell r="F881" t="str">
            <v>m3</v>
          </cell>
          <cell r="G881">
            <v>43.941176470588232</v>
          </cell>
          <cell r="H881">
            <v>1555169</v>
          </cell>
          <cell r="I881">
            <v>68335955.470588237</v>
          </cell>
          <cell r="J881">
            <v>94303618.549411759</v>
          </cell>
        </row>
        <row r="882">
          <cell r="C882" t="str">
            <v>10.14.6</v>
          </cell>
          <cell r="D882" t="str">
            <v xml:space="preserve">         INSTALACIÓN DE PERNOS Y SOFT-SPOT WP42</v>
          </cell>
          <cell r="E882" t="str">
            <v>5 días</v>
          </cell>
          <cell r="F882">
            <v>0</v>
          </cell>
          <cell r="J882">
            <v>179436034.15411764</v>
          </cell>
        </row>
        <row r="883">
          <cell r="D883" t="str">
            <v>S0FT-SPOT  (EPS) Tipo II (ASM C578)</v>
          </cell>
          <cell r="F883" t="str">
            <v>m2</v>
          </cell>
          <cell r="G883">
            <v>62.117647058823529</v>
          </cell>
          <cell r="H883">
            <v>484846</v>
          </cell>
          <cell r="I883">
            <v>30117492.705882352</v>
          </cell>
          <cell r="J883">
            <v>41562139.934117645</v>
          </cell>
        </row>
        <row r="884">
          <cell r="D884" t="str">
            <v>MONTAJE Y NIVELACION DE LA JAULA DE ANCLAJES INCLUYE  LA PREPARACIÓN
 DEL ÁREA, LA NIVELACIÓN Y POSICIONAMIENTO DE LOS COMPONENTES (COMO PLANTILLAS Y VARILLAS), EL ENSAMBLAJE DE LA ESTRUCTURA, LA FIJACIÓN FINAL A LA CIMENTACIÓN CON PERNOS DE ANCLAJE, MONTAJE DE BRIDAS, TORQUE Y LIBERACIÓN DE LA CESTA, INCLUYE LA HERRAMIENTA Y EQUIPO DE INSTALACIÓN (peso estimado por jaula 13896  kg)</v>
          </cell>
          <cell r="F884" t="str">
            <v>Und</v>
          </cell>
          <cell r="G884">
            <v>1</v>
          </cell>
          <cell r="H884">
            <v>99908619</v>
          </cell>
          <cell r="I884">
            <v>99908619</v>
          </cell>
          <cell r="J884">
            <v>137873894.22</v>
          </cell>
        </row>
        <row r="885">
          <cell r="C885" t="str">
            <v>10.14.7</v>
          </cell>
          <cell r="D885" t="str">
            <v xml:space="preserve">         INSTALACIÓN DE ACERO DE REFUERZO WP42</v>
          </cell>
          <cell r="E885" t="str">
            <v>14 días</v>
          </cell>
          <cell r="F885">
            <v>0</v>
          </cell>
          <cell r="J885">
            <v>1212623361.2117648</v>
          </cell>
        </row>
        <row r="886">
          <cell r="D886" t="str">
            <v>ACERO FY:  60000 psi (4.200 kg/cm2)</v>
          </cell>
          <cell r="F886" t="str">
            <v>kg</v>
          </cell>
          <cell r="G886">
            <v>68756.852941176476</v>
          </cell>
          <cell r="H886">
            <v>12780</v>
          </cell>
          <cell r="I886">
            <v>878712580.58823538</v>
          </cell>
          <cell r="J886">
            <v>1212623361.2117648</v>
          </cell>
        </row>
        <row r="887">
          <cell r="C887" t="str">
            <v>10.14.8</v>
          </cell>
          <cell r="D887" t="str">
            <v xml:space="preserve">         ENCOFRADO DE ZAPATA Y DE PEDESTAL WP42</v>
          </cell>
          <cell r="E887" t="str">
            <v>3 días</v>
          </cell>
          <cell r="F887">
            <v>0</v>
          </cell>
        </row>
        <row r="888">
          <cell r="C888" t="str">
            <v>10.14.9</v>
          </cell>
          <cell r="D888" t="str">
            <v xml:space="preserve">         HITO: ALISTAMIENTO Y MOVILIZACIÓN DE PLANTA DE CONCRETO PARA WP42</v>
          </cell>
          <cell r="E888" t="str">
            <v>0 días</v>
          </cell>
          <cell r="F888">
            <v>0</v>
          </cell>
        </row>
        <row r="889">
          <cell r="C889" t="str">
            <v>10.14.10</v>
          </cell>
          <cell r="D889" t="str">
            <v xml:space="preserve">         FUNDIDA WP42</v>
          </cell>
          <cell r="E889" t="str">
            <v>1 día</v>
          </cell>
          <cell r="F889">
            <v>0</v>
          </cell>
          <cell r="J889">
            <v>1230815225.9452939</v>
          </cell>
        </row>
        <row r="890">
          <cell r="D890" t="str">
            <v>CONCRETO ESTRUCTURAL  35 MPa(350 kg/cm2 Ó 5000 psi)</v>
          </cell>
          <cell r="F890" t="str">
            <v>m3</v>
          </cell>
          <cell r="G890">
            <v>429.02941176470586</v>
          </cell>
          <cell r="H890">
            <v>1926653</v>
          </cell>
          <cell r="I890">
            <v>826590803.26470578</v>
          </cell>
          <cell r="J890">
            <v>1140695308.5052938</v>
          </cell>
        </row>
        <row r="891">
          <cell r="D891" t="str">
            <v>CONCRETO ESTRUCTURAL  45 MPa(457 kg/cm2 Ó 6500psi)</v>
          </cell>
          <cell r="F891" t="str">
            <v>m3</v>
          </cell>
          <cell r="G891">
            <v>32</v>
          </cell>
          <cell r="H891">
            <v>2040759</v>
          </cell>
          <cell r="I891">
            <v>65304288</v>
          </cell>
          <cell r="J891">
            <v>90119917.439999998</v>
          </cell>
        </row>
        <row r="892">
          <cell r="C892" t="str">
            <v>10.14.11</v>
          </cell>
          <cell r="D892" t="str">
            <v xml:space="preserve">         CURADO DEL CONCRETO WP42</v>
          </cell>
          <cell r="E892" t="str">
            <v>5 días</v>
          </cell>
          <cell r="F892">
            <v>0</v>
          </cell>
        </row>
        <row r="893">
          <cell r="C893" t="str">
            <v>10.14.12</v>
          </cell>
          <cell r="D893" t="str">
            <v xml:space="preserve">         INSTALACIONES ELECTRICAS Y SISTEMA PUESTA TIERRA WP42</v>
          </cell>
          <cell r="E893" t="str">
            <v>2 días</v>
          </cell>
          <cell r="F893">
            <v>0</v>
          </cell>
          <cell r="J893">
            <v>52736347.43270281</v>
          </cell>
        </row>
        <row r="894">
          <cell r="D894" t="str">
            <v>ARQUETA EN HORMIGON PARA MEDIA TENSION - EMPALMES (500 MT)</v>
          </cell>
          <cell r="F894" t="str">
            <v>Und</v>
          </cell>
          <cell r="G894">
            <v>1</v>
          </cell>
          <cell r="H894">
            <v>12275310.999985719</v>
          </cell>
          <cell r="I894">
            <v>12275310.999985719</v>
          </cell>
          <cell r="J894">
            <v>16939929.179980289</v>
          </cell>
        </row>
        <row r="895">
          <cell r="D895" t="str">
            <v>ARQUETA EN POLIPROPILENO</v>
          </cell>
          <cell r="F895" t="str">
            <v>Und</v>
          </cell>
          <cell r="G895">
            <v>1</v>
          </cell>
          <cell r="H895">
            <v>6068599.9996856553</v>
          </cell>
          <cell r="I895">
            <v>6068599.9996856553</v>
          </cell>
          <cell r="J895">
            <v>8374667.9995662039</v>
          </cell>
        </row>
        <row r="896">
          <cell r="D896" t="str">
            <v>SUMINISTRO E INSTALACIÓN DE PLATINA</v>
          </cell>
          <cell r="F896" t="str">
            <v>Und</v>
          </cell>
          <cell r="G896">
            <v>1</v>
          </cell>
          <cell r="H896">
            <v>361570</v>
          </cell>
          <cell r="I896">
            <v>361570</v>
          </cell>
          <cell r="J896">
            <v>498966.6</v>
          </cell>
        </row>
        <row r="897">
          <cell r="D897" t="str">
            <v>SUMINISTRO E INSTALACIÓN DE VARILLA</v>
          </cell>
          <cell r="F897" t="str">
            <v>Und</v>
          </cell>
          <cell r="G897">
            <v>1</v>
          </cell>
          <cell r="H897">
            <v>398933</v>
          </cell>
          <cell r="I897">
            <v>398933</v>
          </cell>
          <cell r="J897">
            <v>550527.53999999992</v>
          </cell>
        </row>
        <row r="898">
          <cell r="D898" t="str">
            <v>SUMINISTRO E INSTALACIÓN DE ARQUETA PARA INSPECCIÓN DE PICAS EN PUESTA A TIERRA SIN FONDO</v>
          </cell>
          <cell r="F898" t="str">
            <v>Und</v>
          </cell>
          <cell r="G898">
            <v>1</v>
          </cell>
          <cell r="H898">
            <v>14275700</v>
          </cell>
          <cell r="I898">
            <v>14275700</v>
          </cell>
          <cell r="J898">
            <v>19700466</v>
          </cell>
        </row>
        <row r="899">
          <cell r="D899" t="str">
            <v>SUMINISTRO E INSTALACIÓN DE SOLDADURA EXOTERMICA</v>
          </cell>
          <cell r="F899" t="str">
            <v>Und</v>
          </cell>
          <cell r="G899">
            <v>2.8000000000000003</v>
          </cell>
          <cell r="H899">
            <v>185231</v>
          </cell>
          <cell r="I899">
            <v>518646.80000000005</v>
          </cell>
          <cell r="J899">
            <v>715732.58400000003</v>
          </cell>
        </row>
        <row r="900">
          <cell r="D900" t="str">
            <v>SUMINISTRO E INSTALACIÓN DE GRAPA DE ALEACIÓN RICA EN COBRE (LATÓN) MODELO KZ</v>
          </cell>
          <cell r="F900" t="str">
            <v>Und</v>
          </cell>
          <cell r="G900">
            <v>1</v>
          </cell>
          <cell r="H900">
            <v>292083</v>
          </cell>
          <cell r="I900">
            <v>292083</v>
          </cell>
          <cell r="J900">
            <v>403074.54</v>
          </cell>
        </row>
        <row r="901">
          <cell r="D901" t="str">
            <v>SUMINISTRO E INSTALACIÓN DE GRAPA DE ALEACIÓN RICA EN COBRE (LATÓN) MODELO KPD</v>
          </cell>
          <cell r="F901" t="str">
            <v>Und</v>
          </cell>
          <cell r="G901">
            <v>0.99393939393939412</v>
          </cell>
          <cell r="H901">
            <v>292083</v>
          </cell>
          <cell r="I901">
            <v>290312.80000000005</v>
          </cell>
          <cell r="J901">
            <v>400631.66400000005</v>
          </cell>
        </row>
        <row r="902">
          <cell r="D902" t="str">
            <v xml:space="preserve">INSTALACIÓN DE CABLE DE COBRE TRENZADO DESNUDO DE 50 mm2 </v>
          </cell>
          <cell r="F902" t="str">
            <v>ML</v>
          </cell>
          <cell r="G902">
            <v>113.1390243902439</v>
          </cell>
          <cell r="H902">
            <v>33000.000989065411</v>
          </cell>
          <cell r="I902">
            <v>3733587.9167799447</v>
          </cell>
          <cell r="J902">
            <v>5152351.3251563236</v>
          </cell>
        </row>
        <row r="903">
          <cell r="C903" t="str">
            <v>10.14.13</v>
          </cell>
          <cell r="D903" t="str">
            <v xml:space="preserve">         INSTALACION DE GROUT Y MORTERO AUTOCOMPACTANTE DE ALTA RESISTENCIA WP42</v>
          </cell>
          <cell r="E903" t="str">
            <v>2 días</v>
          </cell>
          <cell r="F903">
            <v>0</v>
          </cell>
          <cell r="J903">
            <v>46410609.014634147</v>
          </cell>
        </row>
        <row r="904">
          <cell r="D904" t="str">
            <v>GROUT Y  MORTERO AUTOCOMPACTANTE DE ALTA RESISTENCIA C80/95 (EN206-1)</v>
          </cell>
          <cell r="F904" t="str">
            <v>lt</v>
          </cell>
          <cell r="G904">
            <v>530.73170731707319</v>
          </cell>
          <cell r="H904">
            <v>63367</v>
          </cell>
          <cell r="I904">
            <v>33630876.097560979</v>
          </cell>
          <cell r="J904">
            <v>46410609.014634147</v>
          </cell>
        </row>
        <row r="905">
          <cell r="C905" t="str">
            <v>10.14.14</v>
          </cell>
          <cell r="D905" t="str">
            <v xml:space="preserve">         TAPADO AREA DE CIMENTACIÓN Y CONFORMACIÓN DE PLATAFORMA WP42</v>
          </cell>
          <cell r="E905" t="str">
            <v>7 días</v>
          </cell>
          <cell r="F905">
            <v>0</v>
          </cell>
          <cell r="J905">
            <v>1587346329.5488234</v>
          </cell>
        </row>
        <row r="906">
          <cell r="D906" t="str">
            <v>MATERIAL SELECIONADA PARA  FORMACIÓN Y COMPACTACIÓN DE TERRAPLENES Y RELLENO ESTRUCTURAL  (INCLUYE TRANSPORTE DESDE LAS CANTERAS LICENCIADAS HASTA EL SITIO DE INSTALACIÓN)</v>
          </cell>
          <cell r="F906" t="str">
            <v>m3</v>
          </cell>
          <cell r="G906">
            <v>5388.7058823529414</v>
          </cell>
          <cell r="H906">
            <v>174890</v>
          </cell>
          <cell r="I906">
            <v>942430771.7647059</v>
          </cell>
          <cell r="J906">
            <v>1300554465.0352941</v>
          </cell>
        </row>
        <row r="907">
          <cell r="D907" t="str">
            <v>PREPARACIÓN DE SUBRASANTE COMPACTACIÓN Y VALORACIÓN DE LA CAPA DE SUBRASANTE DE LOS VIALES. INCLUYENDO LAS PRUEBAS SEGÚN LO PRESCRITO.</v>
          </cell>
          <cell r="F907" t="str">
            <v>m2</v>
          </cell>
          <cell r="G907">
            <v>631.61764705882354</v>
          </cell>
          <cell r="H907">
            <v>11537</v>
          </cell>
          <cell r="I907">
            <v>7286972.7941176472</v>
          </cell>
          <cell r="J907">
            <v>10056022.455882352</v>
          </cell>
        </row>
        <row r="908">
          <cell r="D908" t="str">
            <v>SUBBASE GRANULAR  (INCLUYE TRANSPORTE DESDE LAS CANTERAS LICENCIADAS HASTA EL SITIO DE INSTALACIÓN)</v>
          </cell>
          <cell r="F908" t="str">
            <v>m3</v>
          </cell>
          <cell r="G908">
            <v>880.85294117647061</v>
          </cell>
          <cell r="H908">
            <v>227658</v>
          </cell>
          <cell r="I908">
            <v>200533218.88235295</v>
          </cell>
          <cell r="J908">
            <v>276735842.05764705</v>
          </cell>
        </row>
        <row r="909">
          <cell r="C909" t="str">
            <v>10.14.15</v>
          </cell>
          <cell r="D909" t="str">
            <v xml:space="preserve">         ESTABILIZACIÓN DE TALUDES EN PLATAFORMA Y RECONFORMACION FINAL WP42</v>
          </cell>
          <cell r="E909" t="str">
            <v>7 días</v>
          </cell>
          <cell r="F909">
            <v>0</v>
          </cell>
          <cell r="J909">
            <v>179532477.23999998</v>
          </cell>
        </row>
        <row r="910">
          <cell r="D910" t="str">
            <v>BASE GRANULAR   (INCLUYE TRANSPORTE DESDE LAS CANTERAS LICENCIADAS HASTA EL SITIO DE INSTALACIÓN)</v>
          </cell>
          <cell r="F910" t="str">
            <v>m3</v>
          </cell>
          <cell r="G910">
            <v>237.64705882352942</v>
          </cell>
          <cell r="H910">
            <v>265112</v>
          </cell>
          <cell r="I910">
            <v>63003087.058823533</v>
          </cell>
          <cell r="J910">
            <v>86944260.141176462</v>
          </cell>
        </row>
        <row r="911">
          <cell r="D911" t="str">
            <v xml:space="preserve">ENROCADO PROTECCIÓN TALUD PLATAFORMAS PROTECCIÓN CON ENROCADO DE PIEDRA DEL TALUD DE LAS PLATAFORMAS EN TERRAPLÉN CON 30 CM DE PIEDRA DE 6-10 CM DE DIÁMETRO, PESO ESPECÍFICO DE LAS PIEDRAS DE 2,64  G/CM3  (INCLUYE TRANSPORTE DESDE LAS CANTERAS LICENCIADAS HASTA EL SITIO DE INSTALACIÓN) </v>
          </cell>
          <cell r="F911" t="str">
            <v>m3</v>
          </cell>
          <cell r="G911">
            <v>42.352941176470587</v>
          </cell>
          <cell r="H911">
            <v>276393</v>
          </cell>
          <cell r="I911">
            <v>11706056.470588235</v>
          </cell>
          <cell r="J911">
            <v>16154357.929411763</v>
          </cell>
        </row>
        <row r="912">
          <cell r="D912" t="str">
            <v xml:space="preserve">ENROCADO PROTECCIÓN TALUD CIMENTACION PROTECCIÓN CON ENROCADO DE PIEDRA DEL TALUD DE LAS CIMENTACIONES EN TERRAPLÉN CON 30 CM DE PIEDRA DE 6-10 CM DE DIÁMETRO, PESO ESPECÍFICO DE LAS PIEDRAS DE 2,64 G/CM3   (INCLUYE TRANSPORTE DESDE LAS CANTERAS LICENCIADAS HASTA EL SITIO DE INSTALACIÓN) </v>
          </cell>
          <cell r="F912" t="str">
            <v>m3</v>
          </cell>
          <cell r="G912">
            <v>25.529411764705884</v>
          </cell>
          <cell r="H912">
            <v>286818</v>
          </cell>
          <cell r="I912">
            <v>7322294.823529412</v>
          </cell>
          <cell r="J912">
            <v>10104766.856470589</v>
          </cell>
        </row>
        <row r="913">
          <cell r="D913" t="str">
            <v>SUMINISTRO E INSTALACIÓN DE GEOTEXTILES</v>
          </cell>
          <cell r="F913" t="str">
            <v>m2</v>
          </cell>
          <cell r="G913">
            <v>887.17647058823525</v>
          </cell>
          <cell r="H913">
            <v>54177</v>
          </cell>
          <cell r="I913">
            <v>48064559.647058822</v>
          </cell>
          <cell r="J913">
            <v>66329092.312941171</v>
          </cell>
        </row>
        <row r="914">
          <cell r="C914" t="str">
            <v>10.14.16</v>
          </cell>
          <cell r="D914" t="str">
            <v xml:space="preserve">         HITO: FINALIZACION DE ACTIVIDADES EN CIMENTACION WP42</v>
          </cell>
          <cell r="E914" t="str">
            <v>0 días</v>
          </cell>
          <cell r="F914">
            <v>0</v>
          </cell>
        </row>
        <row r="915">
          <cell r="C915" t="str">
            <v>10.15</v>
          </cell>
          <cell r="D915" t="str">
            <v xml:space="preserve">      CIMENTACION WP41</v>
          </cell>
          <cell r="E915" t="str">
            <v>60 días</v>
          </cell>
          <cell r="F915">
            <v>0</v>
          </cell>
        </row>
        <row r="916">
          <cell r="C916" t="str">
            <v>10.15.1</v>
          </cell>
          <cell r="D916" t="str">
            <v xml:space="preserve">         DESBROCE DE AREA DE ACOPIO DE TORRE Y DE PALAS WP41</v>
          </cell>
          <cell r="E916" t="str">
            <v>8 días</v>
          </cell>
          <cell r="F916">
            <v>0</v>
          </cell>
          <cell r="J916">
            <v>83271780.884117648</v>
          </cell>
        </row>
        <row r="917">
          <cell r="D917" t="str">
            <v>DESBROCE Y LIMPIEZA</v>
          </cell>
          <cell r="F917" t="str">
            <v>m2</v>
          </cell>
          <cell r="G917">
            <v>4799.0294117647063</v>
          </cell>
          <cell r="H917">
            <v>4140</v>
          </cell>
          <cell r="I917">
            <v>19867981.764705885</v>
          </cell>
          <cell r="J917">
            <v>27417814.83529412</v>
          </cell>
        </row>
        <row r="918">
          <cell r="D918" t="str">
            <v>SUMINISTRO DE COMISION TOPOGRAFICA
 (incluyede GPS, Estación Total, tránsitos, distanciómetros, niveles de precisión, miras, prismas, jalones, plomadas, cintas métricas, etc., un cadenero primero , un cadenero segundo, ingeniero topógrafo/topógrafo con matricula vigente, insumos para ralizar la actividad, licencias de software utilizado para la ejecución de los trabajos, movilización de personal equipos y entregables en archivos magnéticos)</v>
          </cell>
          <cell r="F918" t="str">
            <v>Mes</v>
          </cell>
          <cell r="G918">
            <v>0.2</v>
          </cell>
          <cell r="H918">
            <v>31500000</v>
          </cell>
          <cell r="I918">
            <v>6300000</v>
          </cell>
          <cell r="J918">
            <v>8694000</v>
          </cell>
        </row>
        <row r="919">
          <cell r="D919" t="str">
            <v>DESMONTE, DESCAPOTE Y LIMPIEZA INCLUYE  TALA DE ARBOLES CON DAP ≤0.15M, TRANSPORTE Y DISPOSICIÓN FINAL</v>
          </cell>
          <cell r="F919" t="str">
            <v>m2</v>
          </cell>
          <cell r="G919">
            <v>4799.0294117647063</v>
          </cell>
          <cell r="H919">
            <v>7121</v>
          </cell>
          <cell r="I919">
            <v>34173888.441176474</v>
          </cell>
          <cell r="J919">
            <v>47159966.048823528</v>
          </cell>
        </row>
        <row r="920">
          <cell r="C920" t="str">
            <v>10.15.2</v>
          </cell>
          <cell r="D920" t="str">
            <v xml:space="preserve">         EXCAVACIÓN DE CIMENTACION WP41</v>
          </cell>
          <cell r="E920" t="str">
            <v>7 días</v>
          </cell>
          <cell r="F920">
            <v>0</v>
          </cell>
          <cell r="J920">
            <v>312374505.66882348</v>
          </cell>
        </row>
        <row r="921">
          <cell r="D921" t="str">
            <v>EXCAVACIÓN MECÁNICA EN MATERIAL COMÚN</v>
          </cell>
          <cell r="F921" t="str">
            <v>m3</v>
          </cell>
          <cell r="G921">
            <v>4799.0294117647063</v>
          </cell>
          <cell r="H921">
            <v>35495</v>
          </cell>
          <cell r="I921">
            <v>170341548.97058824</v>
          </cell>
          <cell r="J921">
            <v>235071337.57941175</v>
          </cell>
        </row>
        <row r="922">
          <cell r="D922" t="str">
            <v>EXCAVACIÓN EN ROCA</v>
          </cell>
          <cell r="F922" t="str">
            <v>m3</v>
          </cell>
          <cell r="G922">
            <v>414.35294117647061</v>
          </cell>
          <cell r="H922">
            <v>135191</v>
          </cell>
          <cell r="I922">
            <v>56016788.470588237</v>
          </cell>
          <cell r="J922">
            <v>77303168.089411765</v>
          </cell>
        </row>
        <row r="923">
          <cell r="C923" t="str">
            <v>10.15.3</v>
          </cell>
          <cell r="D923" t="str">
            <v xml:space="preserve">         BANCO DE DUCTO WP41</v>
          </cell>
          <cell r="E923" t="str">
            <v>3 días</v>
          </cell>
          <cell r="F923">
            <v>0</v>
          </cell>
          <cell r="J923">
            <v>9527825.6870364472</v>
          </cell>
        </row>
        <row r="924">
          <cell r="D924" t="str">
            <v>INSTALACION DE TUBERIA PVC TIPO TDP Y/O CORRUGADA TIPO PEAD-HDPE  - 50mm</v>
          </cell>
          <cell r="F924" t="str">
            <v>ML</v>
          </cell>
          <cell r="G924">
            <v>7.2352941176470589</v>
          </cell>
          <cell r="H924">
            <v>27751.000385791169</v>
          </cell>
          <cell r="I924">
            <v>200786.64985013611</v>
          </cell>
          <cell r="J924">
            <v>277085.57679318782</v>
          </cell>
        </row>
        <row r="925">
          <cell r="D925" t="str">
            <v>INSTALACION DE TUBERIA PVC TIPO TDP Y/O CORRUGADA TIPO PEAD-HDPE - 90mm</v>
          </cell>
          <cell r="F925" t="str">
            <v>ML</v>
          </cell>
          <cell r="G925">
            <v>34.694117647058818</v>
          </cell>
          <cell r="H925">
            <v>31239.000009014315</v>
          </cell>
          <cell r="I925">
            <v>1083809.5414892142</v>
          </cell>
          <cell r="J925">
            <v>1495657.1672551155</v>
          </cell>
        </row>
        <row r="926">
          <cell r="D926" t="str">
            <v>INSTALACION DE TUBERIA PVC TIPO TDP  Y/O CORRUGADA TIPO PEAD-HDPE - 200mm</v>
          </cell>
          <cell r="F926" t="str">
            <v>ML</v>
          </cell>
          <cell r="G926">
            <v>70.332352941176467</v>
          </cell>
          <cell r="H926">
            <v>79900.999838665448</v>
          </cell>
          <cell r="I926">
            <v>5619625.3210059023</v>
          </cell>
          <cell r="J926">
            <v>7755082.9429881442</v>
          </cell>
        </row>
        <row r="927">
          <cell r="C927" t="str">
            <v>10.15.4</v>
          </cell>
          <cell r="D927" t="str">
            <v xml:space="preserve">         COMPACTACION DE SELLO DE BASE WP41</v>
          </cell>
          <cell r="E927" t="str">
            <v>2 días</v>
          </cell>
          <cell r="F927">
            <v>0</v>
          </cell>
          <cell r="J927">
            <v>320494616.71764702</v>
          </cell>
        </row>
        <row r="928">
          <cell r="D928" t="str">
            <v>RELLENO CON MATERIAL DE EXCAVACIÓN SELECCIONADO</v>
          </cell>
          <cell r="F928" t="str">
            <v>m3</v>
          </cell>
          <cell r="G928">
            <v>4530.6764705882351</v>
          </cell>
          <cell r="H928">
            <v>51260</v>
          </cell>
          <cell r="I928">
            <v>232242475.88235292</v>
          </cell>
          <cell r="J928">
            <v>320494616.71764702</v>
          </cell>
        </row>
        <row r="929">
          <cell r="C929" t="str">
            <v>10.15.5</v>
          </cell>
          <cell r="D929" t="str">
            <v xml:space="preserve">         SOLADO WP41</v>
          </cell>
          <cell r="E929" t="str">
            <v>1 día</v>
          </cell>
          <cell r="F929">
            <v>0</v>
          </cell>
          <cell r="J929">
            <v>94303618.549411759</v>
          </cell>
        </row>
        <row r="930">
          <cell r="D930" t="str">
            <v>CONCRETO CLASE F (140 kg/cm2 Ó 2000 psi)</v>
          </cell>
          <cell r="F930" t="str">
            <v>m3</v>
          </cell>
          <cell r="G930">
            <v>43.941176470588232</v>
          </cell>
          <cell r="H930">
            <v>1555169</v>
          </cell>
          <cell r="I930">
            <v>68335955.470588237</v>
          </cell>
          <cell r="J930">
            <v>94303618.549411759</v>
          </cell>
        </row>
        <row r="931">
          <cell r="C931" t="str">
            <v>10.15.6</v>
          </cell>
          <cell r="D931" t="str">
            <v xml:space="preserve">         INSTALACIÓN DE PERNOS Y SOFT-SPOT WP41</v>
          </cell>
          <cell r="E931" t="str">
            <v>5 días</v>
          </cell>
          <cell r="F931">
            <v>0</v>
          </cell>
          <cell r="J931">
            <v>179436034.15411764</v>
          </cell>
        </row>
        <row r="932">
          <cell r="D932" t="str">
            <v>S0FT-SPOT  (EPS) Tipo II (ASM C578)</v>
          </cell>
          <cell r="F932" t="str">
            <v>m2</v>
          </cell>
          <cell r="G932">
            <v>62.117647058823529</v>
          </cell>
          <cell r="H932">
            <v>484846</v>
          </cell>
          <cell r="I932">
            <v>30117492.705882352</v>
          </cell>
          <cell r="J932">
            <v>41562139.934117645</v>
          </cell>
        </row>
        <row r="933">
          <cell r="D933" t="str">
            <v>MONTAJE Y NIVELACION DE LA JAULA DE ANCLAJES INCLUYE  LA PREPARACIÓN
 DEL ÁREA, LA NIVELACIÓN Y POSICIONAMIENTO DE LOS COMPONENTES (COMO PLANTILLAS Y VARILLAS), EL ENSAMBLAJE DE LA ESTRUCTURA, LA FIJACIÓN FINAL A LA CIMENTACIÓN CON PERNOS DE ANCLAJE, MONTAJE DE BRIDAS, TORQUE Y LIBERACIÓN DE LA CESTA, INCLUYE LA HERRAMIENTA Y EQUIPO DE INSTALACIÓN (peso estimado por jaula 13896  kg)</v>
          </cell>
          <cell r="F933" t="str">
            <v>Und</v>
          </cell>
          <cell r="G933">
            <v>1</v>
          </cell>
          <cell r="H933">
            <v>99908619</v>
          </cell>
          <cell r="I933">
            <v>99908619</v>
          </cell>
          <cell r="J933">
            <v>137873894.22</v>
          </cell>
        </row>
        <row r="934">
          <cell r="C934" t="str">
            <v>10.15.7</v>
          </cell>
          <cell r="D934" t="str">
            <v xml:space="preserve">         INSTALACIÓN DE ACERO DE REFUERZO WP41</v>
          </cell>
          <cell r="E934" t="str">
            <v>14 días</v>
          </cell>
          <cell r="F934">
            <v>0</v>
          </cell>
          <cell r="J934">
            <v>1212623361.2117648</v>
          </cell>
        </row>
        <row r="935">
          <cell r="D935" t="str">
            <v>ACERO FY:  60000 psi (4.200 kg/cm2)</v>
          </cell>
          <cell r="F935" t="str">
            <v>kg</v>
          </cell>
          <cell r="G935">
            <v>68756.852941176476</v>
          </cell>
          <cell r="H935">
            <v>12780</v>
          </cell>
          <cell r="I935">
            <v>878712580.58823538</v>
          </cell>
          <cell r="J935">
            <v>1212623361.2117648</v>
          </cell>
        </row>
        <row r="936">
          <cell r="C936" t="str">
            <v>10.15.8</v>
          </cell>
          <cell r="D936" t="str">
            <v xml:space="preserve">         ENCOFRADO DE ZAPATA Y DE PEDESTAL WP41</v>
          </cell>
          <cell r="E936" t="str">
            <v>3 días</v>
          </cell>
          <cell r="F936">
            <v>0</v>
          </cell>
        </row>
        <row r="937">
          <cell r="C937" t="str">
            <v>10.15.9</v>
          </cell>
          <cell r="D937" t="str">
            <v xml:space="preserve">         HITO: ALISTAMIENTO Y MOVILIZACIÓN DE PLANTA DE CONCRETO PARA WP41</v>
          </cell>
          <cell r="E937" t="str">
            <v>0 días</v>
          </cell>
          <cell r="F937">
            <v>0</v>
          </cell>
        </row>
        <row r="938">
          <cell r="C938" t="str">
            <v>10.15.10</v>
          </cell>
          <cell r="D938" t="str">
            <v xml:space="preserve">         FUNDIDA WP41</v>
          </cell>
          <cell r="E938" t="str">
            <v>1 día</v>
          </cell>
          <cell r="F938">
            <v>0</v>
          </cell>
          <cell r="J938">
            <v>1230815225.9452939</v>
          </cell>
        </row>
        <row r="939">
          <cell r="D939" t="str">
            <v>CONCRETO ESTRUCTURAL  35 MPa(350 kg/cm2 Ó 5000 psi)</v>
          </cell>
          <cell r="F939" t="str">
            <v>m3</v>
          </cell>
          <cell r="G939">
            <v>429.02941176470586</v>
          </cell>
          <cell r="H939">
            <v>1926653</v>
          </cell>
          <cell r="I939">
            <v>826590803.26470578</v>
          </cell>
          <cell r="J939">
            <v>1140695308.5052938</v>
          </cell>
        </row>
        <row r="940">
          <cell r="D940" t="str">
            <v>CONCRETO ESTRUCTURAL  45 MPa(457 kg/cm2 Ó 6500psi)</v>
          </cell>
          <cell r="F940" t="str">
            <v>m3</v>
          </cell>
          <cell r="G940">
            <v>32</v>
          </cell>
          <cell r="H940">
            <v>2040759</v>
          </cell>
          <cell r="I940">
            <v>65304288</v>
          </cell>
          <cell r="J940">
            <v>90119917.439999998</v>
          </cell>
        </row>
        <row r="941">
          <cell r="C941" t="str">
            <v>10.15.11</v>
          </cell>
          <cell r="D941" t="str">
            <v xml:space="preserve">         CURADO DEL CONCRETO WP41</v>
          </cell>
          <cell r="E941" t="str">
            <v>5 días</v>
          </cell>
          <cell r="F941">
            <v>0</v>
          </cell>
        </row>
        <row r="942">
          <cell r="C942" t="str">
            <v>10.15.12</v>
          </cell>
          <cell r="D942" t="str">
            <v xml:space="preserve">         INSTALACIONES ELECTRICAS Y SISTEMA PUESTA TIERRA WP41</v>
          </cell>
          <cell r="E942" t="str">
            <v>2 días</v>
          </cell>
          <cell r="F942">
            <v>0</v>
          </cell>
          <cell r="J942">
            <v>52736347.43270281</v>
          </cell>
        </row>
        <row r="943">
          <cell r="D943" t="str">
            <v>ARQUETA EN HORMIGON PARA MEDIA TENSION - EMPALMES (500 MT)</v>
          </cell>
          <cell r="F943" t="str">
            <v>Und</v>
          </cell>
          <cell r="G943">
            <v>1</v>
          </cell>
          <cell r="H943">
            <v>12275310.999985719</v>
          </cell>
          <cell r="I943">
            <v>12275310.999985719</v>
          </cell>
          <cell r="J943">
            <v>16939929.179980289</v>
          </cell>
        </row>
        <row r="944">
          <cell r="D944" t="str">
            <v>ARQUETA EN POLIPROPILENO</v>
          </cell>
          <cell r="F944" t="str">
            <v>Und</v>
          </cell>
          <cell r="G944">
            <v>1</v>
          </cell>
          <cell r="H944">
            <v>6068599.9996856553</v>
          </cell>
          <cell r="I944">
            <v>6068599.9996856553</v>
          </cell>
          <cell r="J944">
            <v>8374667.9995662039</v>
          </cell>
        </row>
        <row r="945">
          <cell r="D945" t="str">
            <v>SUMINISTRO E INSTALACIÓN DE PLATINA</v>
          </cell>
          <cell r="F945" t="str">
            <v>Und</v>
          </cell>
          <cell r="G945">
            <v>1</v>
          </cell>
          <cell r="H945">
            <v>361570</v>
          </cell>
          <cell r="I945">
            <v>361570</v>
          </cell>
          <cell r="J945">
            <v>498966.6</v>
          </cell>
        </row>
        <row r="946">
          <cell r="D946" t="str">
            <v>SUMINISTRO E INSTALACIÓN DE VARILLA</v>
          </cell>
          <cell r="F946" t="str">
            <v>Und</v>
          </cell>
          <cell r="G946">
            <v>1</v>
          </cell>
          <cell r="H946">
            <v>398933</v>
          </cell>
          <cell r="I946">
            <v>398933</v>
          </cell>
          <cell r="J946">
            <v>550527.53999999992</v>
          </cell>
        </row>
        <row r="947">
          <cell r="D947" t="str">
            <v>SUMINISTRO E INSTALACIÓN DE ARQUETA PARA INSPECCIÓN DE PICAS EN PUESTA A TIERRA SIN FONDO</v>
          </cell>
          <cell r="F947" t="str">
            <v>Und</v>
          </cell>
          <cell r="G947">
            <v>1</v>
          </cell>
          <cell r="H947">
            <v>14275700</v>
          </cell>
          <cell r="I947">
            <v>14275700</v>
          </cell>
          <cell r="J947">
            <v>19700466</v>
          </cell>
        </row>
        <row r="948">
          <cell r="D948" t="str">
            <v>SUMINISTRO E INSTALACIÓN DE SOLDADURA EXOTERMICA</v>
          </cell>
          <cell r="F948" t="str">
            <v>Und</v>
          </cell>
          <cell r="G948">
            <v>2.8000000000000003</v>
          </cell>
          <cell r="H948">
            <v>185231</v>
          </cell>
          <cell r="I948">
            <v>518646.80000000005</v>
          </cell>
          <cell r="J948">
            <v>715732.58400000003</v>
          </cell>
        </row>
        <row r="949">
          <cell r="D949" t="str">
            <v>SUMINISTRO E INSTALACIÓN DE GRAPA DE ALEACIÓN RICA EN COBRE (LATÓN) MODELO KZ</v>
          </cell>
          <cell r="F949" t="str">
            <v>Und</v>
          </cell>
          <cell r="G949">
            <v>1</v>
          </cell>
          <cell r="H949">
            <v>292083</v>
          </cell>
          <cell r="I949">
            <v>292083</v>
          </cell>
          <cell r="J949">
            <v>403074.54</v>
          </cell>
        </row>
        <row r="950">
          <cell r="D950" t="str">
            <v>SUMINISTRO E INSTALACIÓN DE GRAPA DE ALEACIÓN RICA EN COBRE (LATÓN) MODELO KPD</v>
          </cell>
          <cell r="F950" t="str">
            <v>Und</v>
          </cell>
          <cell r="G950">
            <v>0.99393939393939412</v>
          </cell>
          <cell r="H950">
            <v>292083</v>
          </cell>
          <cell r="I950">
            <v>290312.80000000005</v>
          </cell>
          <cell r="J950">
            <v>400631.66400000005</v>
          </cell>
        </row>
        <row r="951">
          <cell r="D951" t="str">
            <v xml:space="preserve">INSTALACIÓN DE CABLE DE COBRE TRENZADO DESNUDO DE 50 mm2 </v>
          </cell>
          <cell r="F951" t="str">
            <v>ML</v>
          </cell>
          <cell r="G951">
            <v>113.1390243902439</v>
          </cell>
          <cell r="H951">
            <v>33000.000989065411</v>
          </cell>
          <cell r="I951">
            <v>3733587.9167799447</v>
          </cell>
          <cell r="J951">
            <v>5152351.3251563236</v>
          </cell>
        </row>
        <row r="952">
          <cell r="C952" t="str">
            <v>10.15.13</v>
          </cell>
          <cell r="D952" t="str">
            <v xml:space="preserve">         INSTALACION DE GROUT Y MORTERO AUTOCOMPACTANTE DE ALTA RESISTENCIA WP41</v>
          </cell>
          <cell r="E952" t="str">
            <v>2 días</v>
          </cell>
          <cell r="F952">
            <v>0</v>
          </cell>
          <cell r="J952">
            <v>46410609.014634147</v>
          </cell>
        </row>
        <row r="953">
          <cell r="D953" t="str">
            <v>GROUT Y  MORTERO AUTOCOMPACTANTE DE ALTA RESISTENCIA C80/95 (EN206-1)</v>
          </cell>
          <cell r="F953" t="str">
            <v>lt</v>
          </cell>
          <cell r="G953">
            <v>530.73170731707319</v>
          </cell>
          <cell r="H953">
            <v>63367</v>
          </cell>
          <cell r="I953">
            <v>33630876.097560979</v>
          </cell>
          <cell r="J953">
            <v>46410609.014634147</v>
          </cell>
        </row>
        <row r="954">
          <cell r="C954" t="str">
            <v>10.15.14</v>
          </cell>
          <cell r="D954" t="str">
            <v xml:space="preserve">         TAPADO AREA DE CIMENTACIÓN Y CONFORMACIÓN DE PLATAFORMA WP41</v>
          </cell>
          <cell r="E954" t="str">
            <v>7 días</v>
          </cell>
          <cell r="F954">
            <v>0</v>
          </cell>
          <cell r="J954">
            <v>1587346329.5488234</v>
          </cell>
        </row>
        <row r="955">
          <cell r="D955" t="str">
            <v>MATERIAL SELECIONADA PARA  FORMACIÓN Y COMPACTACIÓN DE TERRAPLENES Y RELLENO ESTRUCTURAL  (INCLUYE TRANSPORTE DESDE LAS CANTERAS LICENCIADAS HASTA EL SITIO DE INSTALACIÓN)</v>
          </cell>
          <cell r="F955" t="str">
            <v>m3</v>
          </cell>
          <cell r="G955">
            <v>5388.7058823529414</v>
          </cell>
          <cell r="H955">
            <v>174890</v>
          </cell>
          <cell r="I955">
            <v>942430771.7647059</v>
          </cell>
          <cell r="J955">
            <v>1300554465.0352941</v>
          </cell>
        </row>
        <row r="956">
          <cell r="D956" t="str">
            <v>PREPARACIÓN DE SUBRASANTE COMPACTACIÓN Y VALORACIÓN DE LA CAPA DE SUBRASANTE DE LOS VIALES. INCLUYENDO LAS PRUEBAS SEGÚN LO PRESCRITO.</v>
          </cell>
          <cell r="F956" t="str">
            <v>m2</v>
          </cell>
          <cell r="G956">
            <v>631.61764705882354</v>
          </cell>
          <cell r="H956">
            <v>11537</v>
          </cell>
          <cell r="I956">
            <v>7286972.7941176472</v>
          </cell>
          <cell r="J956">
            <v>10056022.455882352</v>
          </cell>
        </row>
        <row r="957">
          <cell r="D957" t="str">
            <v>SUBBASE GRANULAR  (INCLUYE TRANSPORTE DESDE LAS CANTERAS LICENCIADAS HASTA EL SITIO DE INSTALACIÓN)</v>
          </cell>
          <cell r="F957" t="str">
            <v>m3</v>
          </cell>
          <cell r="G957">
            <v>880.85294117647061</v>
          </cell>
          <cell r="H957">
            <v>227658</v>
          </cell>
          <cell r="I957">
            <v>200533218.88235295</v>
          </cell>
          <cell r="J957">
            <v>276735842.05764705</v>
          </cell>
        </row>
        <row r="958">
          <cell r="C958" t="str">
            <v>10.15.15</v>
          </cell>
          <cell r="D958" t="str">
            <v xml:space="preserve">         ESTABILIZACIÓN DE TALUDES EN PLATAFORMA Y RECONFORMACION FINAL WP41</v>
          </cell>
          <cell r="E958" t="str">
            <v>7 días</v>
          </cell>
          <cell r="F958">
            <v>0</v>
          </cell>
          <cell r="J958">
            <v>179532477.23999998</v>
          </cell>
        </row>
        <row r="959">
          <cell r="D959" t="str">
            <v>BASE GRANULAR   (INCLUYE TRANSPORTE DESDE LAS CANTERAS LICENCIADAS HASTA EL SITIO DE INSTALACIÓN)</v>
          </cell>
          <cell r="F959" t="str">
            <v>m3</v>
          </cell>
          <cell r="G959">
            <v>237.64705882352942</v>
          </cell>
          <cell r="H959">
            <v>265112</v>
          </cell>
          <cell r="I959">
            <v>63003087.058823533</v>
          </cell>
          <cell r="J959">
            <v>86944260.141176462</v>
          </cell>
        </row>
        <row r="960">
          <cell r="D960" t="str">
            <v xml:space="preserve">ENROCADO PROTECCIÓN TALUD PLATAFORMAS PROTECCIÓN CON ENROCADO DE PIEDRA DEL TALUD DE LAS PLATAFORMAS EN TERRAPLÉN CON 30 CM DE PIEDRA DE 6-10 CM DE DIÁMETRO, PESO ESPECÍFICO DE LAS PIEDRAS DE 2,64  G/CM3  (INCLUYE TRANSPORTE DESDE LAS CANTERAS LICENCIADAS HASTA EL SITIO DE INSTALACIÓN) </v>
          </cell>
          <cell r="F960" t="str">
            <v>m3</v>
          </cell>
          <cell r="G960">
            <v>42.352941176470587</v>
          </cell>
          <cell r="H960">
            <v>276393</v>
          </cell>
          <cell r="I960">
            <v>11706056.470588235</v>
          </cell>
          <cell r="J960">
            <v>16154357.929411763</v>
          </cell>
        </row>
        <row r="961">
          <cell r="D961" t="str">
            <v xml:space="preserve">ENROCADO PROTECCIÓN TALUD CIMENTACION PROTECCIÓN CON ENROCADO DE PIEDRA DEL TALUD DE LAS CIMENTACIONES EN TERRAPLÉN CON 30 CM DE PIEDRA DE 6-10 CM DE DIÁMETRO, PESO ESPECÍFICO DE LAS PIEDRAS DE 2,64 G/CM3   (INCLUYE TRANSPORTE DESDE LAS CANTERAS LICENCIADAS HASTA EL SITIO DE INSTALACIÓN) </v>
          </cell>
          <cell r="F961" t="str">
            <v>m3</v>
          </cell>
          <cell r="G961">
            <v>25.529411764705884</v>
          </cell>
          <cell r="H961">
            <v>286818</v>
          </cell>
          <cell r="I961">
            <v>7322294.823529412</v>
          </cell>
          <cell r="J961">
            <v>10104766.856470589</v>
          </cell>
        </row>
        <row r="962">
          <cell r="D962" t="str">
            <v>SUMINISTRO E INSTALACIÓN DE GEOTEXTILES</v>
          </cell>
          <cell r="F962" t="str">
            <v>m2</v>
          </cell>
          <cell r="G962">
            <v>887.17647058823525</v>
          </cell>
          <cell r="H962">
            <v>54177</v>
          </cell>
          <cell r="I962">
            <v>48064559.647058822</v>
          </cell>
          <cell r="J962">
            <v>66329092.312941171</v>
          </cell>
        </row>
        <row r="963">
          <cell r="C963" t="str">
            <v>10.15.16</v>
          </cell>
          <cell r="D963" t="str">
            <v xml:space="preserve">         HITO: FINALIZACION DE ACTIVIDADES EN CIMENTACION WP41</v>
          </cell>
          <cell r="E963" t="str">
            <v>0 días</v>
          </cell>
          <cell r="F963">
            <v>0</v>
          </cell>
        </row>
        <row r="964">
          <cell r="C964" t="str">
            <v>10.16</v>
          </cell>
          <cell r="D964" t="str">
            <v xml:space="preserve">      CIMENTACION WP40</v>
          </cell>
          <cell r="E964" t="str">
            <v>60 días</v>
          </cell>
          <cell r="F964">
            <v>0</v>
          </cell>
        </row>
        <row r="965">
          <cell r="C965" t="str">
            <v>10.16.1</v>
          </cell>
          <cell r="D965" t="str">
            <v xml:space="preserve">         DESBROCE DE AREA DE ACOPIO DE TORRE Y DE PALAS WP40</v>
          </cell>
          <cell r="E965" t="str">
            <v>8 días</v>
          </cell>
          <cell r="F965">
            <v>0</v>
          </cell>
          <cell r="J965">
            <v>83271780.884117648</v>
          </cell>
        </row>
        <row r="966">
          <cell r="D966" t="str">
            <v>DESBROCE Y LIMPIEZA</v>
          </cell>
          <cell r="F966" t="str">
            <v>m2</v>
          </cell>
          <cell r="G966">
            <v>4799.0294117647063</v>
          </cell>
          <cell r="H966">
            <v>4140</v>
          </cell>
          <cell r="I966">
            <v>19867981.764705885</v>
          </cell>
          <cell r="J966">
            <v>27417814.83529412</v>
          </cell>
        </row>
        <row r="967">
          <cell r="D967" t="str">
            <v>SUMINISTRO DE COMISION TOPOGRAFICA
 (incluyede GPS, Estación Total, tránsitos, distanciómetros, niveles de precisión, miras, prismas, jalones, plomadas, cintas métricas, etc., un cadenero primero , un cadenero segundo, ingeniero topógrafo/topógrafo con matricula vigente, insumos para ralizar la actividad, licencias de software utilizado para la ejecución de los trabajos, movilización de personal equipos y entregables en archivos magnéticos)</v>
          </cell>
          <cell r="F967" t="str">
            <v>Mes</v>
          </cell>
          <cell r="G967">
            <v>0.2</v>
          </cell>
          <cell r="H967">
            <v>31500000</v>
          </cell>
          <cell r="I967">
            <v>6300000</v>
          </cell>
          <cell r="J967">
            <v>8694000</v>
          </cell>
        </row>
        <row r="968">
          <cell r="D968" t="str">
            <v>DESMONTE, DESCAPOTE Y LIMPIEZA INCLUYE  TALA DE ARBOLES CON DAP ≤0.15M, TRANSPORTE Y DISPOSICIÓN FINAL</v>
          </cell>
          <cell r="F968" t="str">
            <v>m2</v>
          </cell>
          <cell r="G968">
            <v>4799.0294117647063</v>
          </cell>
          <cell r="H968">
            <v>7121</v>
          </cell>
          <cell r="I968">
            <v>34173888.441176474</v>
          </cell>
          <cell r="J968">
            <v>47159966.048823528</v>
          </cell>
        </row>
        <row r="969">
          <cell r="C969" t="str">
            <v>10.16.2</v>
          </cell>
          <cell r="D969" t="str">
            <v xml:space="preserve">         EXCAVACIÓN DE CIMENTACION WP40</v>
          </cell>
          <cell r="E969" t="str">
            <v>7 días</v>
          </cell>
          <cell r="F969">
            <v>0</v>
          </cell>
          <cell r="J969">
            <v>312374505.66882348</v>
          </cell>
        </row>
        <row r="970">
          <cell r="D970" t="str">
            <v>EXCAVACIÓN MECÁNICA EN MATERIAL COMÚN</v>
          </cell>
          <cell r="F970" t="str">
            <v>m3</v>
          </cell>
          <cell r="G970">
            <v>4799.0294117647063</v>
          </cell>
          <cell r="H970">
            <v>35495</v>
          </cell>
          <cell r="I970">
            <v>170341548.97058824</v>
          </cell>
          <cell r="J970">
            <v>235071337.57941175</v>
          </cell>
        </row>
        <row r="971">
          <cell r="D971" t="str">
            <v>EXCAVACIÓN EN ROCA</v>
          </cell>
          <cell r="F971" t="str">
            <v>m3</v>
          </cell>
          <cell r="G971">
            <v>414.35294117647061</v>
          </cell>
          <cell r="H971">
            <v>135191</v>
          </cell>
          <cell r="I971">
            <v>56016788.470588237</v>
          </cell>
          <cell r="J971">
            <v>77303168.089411765</v>
          </cell>
        </row>
        <row r="972">
          <cell r="C972" t="str">
            <v>10.16.3</v>
          </cell>
          <cell r="D972" t="str">
            <v xml:space="preserve">         BANCO DE DUCTO WP40</v>
          </cell>
          <cell r="E972" t="str">
            <v>3 días</v>
          </cell>
          <cell r="F972">
            <v>0</v>
          </cell>
          <cell r="J972">
            <v>9527825.6870364472</v>
          </cell>
        </row>
        <row r="973">
          <cell r="D973" t="str">
            <v>INSTALACION DE TUBERIA PVC TIPO TDP Y/O CORRUGADA TIPO PEAD-HDPE  - 50mm</v>
          </cell>
          <cell r="F973" t="str">
            <v>ML</v>
          </cell>
          <cell r="G973">
            <v>7.2352941176470589</v>
          </cell>
          <cell r="H973">
            <v>27751.000385791169</v>
          </cell>
          <cell r="I973">
            <v>200786.64985013611</v>
          </cell>
          <cell r="J973">
            <v>277085.57679318782</v>
          </cell>
        </row>
        <row r="974">
          <cell r="D974" t="str">
            <v>INSTALACION DE TUBERIA PVC TIPO TDP Y/O CORRUGADA TIPO PEAD-HDPE - 90mm</v>
          </cell>
          <cell r="F974" t="str">
            <v>ML</v>
          </cell>
          <cell r="G974">
            <v>34.694117647058818</v>
          </cell>
          <cell r="H974">
            <v>31239.000009014315</v>
          </cell>
          <cell r="I974">
            <v>1083809.5414892142</v>
          </cell>
          <cell r="J974">
            <v>1495657.1672551155</v>
          </cell>
        </row>
        <row r="975">
          <cell r="D975" t="str">
            <v>INSTALACION DE TUBERIA PVC TIPO TDP  Y/O CORRUGADA TIPO PEAD-HDPE - 200mm</v>
          </cell>
          <cell r="F975" t="str">
            <v>ML</v>
          </cell>
          <cell r="G975">
            <v>70.332352941176467</v>
          </cell>
          <cell r="H975">
            <v>79900.999838665448</v>
          </cell>
          <cell r="I975">
            <v>5619625.3210059023</v>
          </cell>
          <cell r="J975">
            <v>7755082.9429881442</v>
          </cell>
        </row>
        <row r="976">
          <cell r="C976" t="str">
            <v>10.16.4</v>
          </cell>
          <cell r="D976" t="str">
            <v xml:space="preserve">         COMPACTACION DE SELLO DE BASE WP40</v>
          </cell>
          <cell r="E976" t="str">
            <v>2 días</v>
          </cell>
          <cell r="F976">
            <v>0</v>
          </cell>
          <cell r="J976">
            <v>320494616.71764702</v>
          </cell>
        </row>
        <row r="977">
          <cell r="D977" t="str">
            <v>RELLENO CON MATERIAL DE EXCAVACIÓN SELECCIONADO</v>
          </cell>
          <cell r="F977" t="str">
            <v>m3</v>
          </cell>
          <cell r="G977">
            <v>4530.6764705882351</v>
          </cell>
          <cell r="H977">
            <v>51260</v>
          </cell>
          <cell r="I977">
            <v>232242475.88235292</v>
          </cell>
          <cell r="J977">
            <v>320494616.71764702</v>
          </cell>
        </row>
        <row r="978">
          <cell r="C978" t="str">
            <v>10.16.5</v>
          </cell>
          <cell r="D978" t="str">
            <v xml:space="preserve">         SOLADO WP40</v>
          </cell>
          <cell r="E978" t="str">
            <v>1 día</v>
          </cell>
          <cell r="F978">
            <v>0</v>
          </cell>
          <cell r="J978">
            <v>94303618.549411759</v>
          </cell>
        </row>
        <row r="979">
          <cell r="D979" t="str">
            <v>CONCRETO CLASE F (140 kg/cm2 Ó 2000 psi)</v>
          </cell>
          <cell r="F979" t="str">
            <v>m3</v>
          </cell>
          <cell r="G979">
            <v>43.941176470588232</v>
          </cell>
          <cell r="H979">
            <v>1555169</v>
          </cell>
          <cell r="I979">
            <v>68335955.470588237</v>
          </cell>
          <cell r="J979">
            <v>94303618.549411759</v>
          </cell>
        </row>
        <row r="980">
          <cell r="C980" t="str">
            <v>10.16.6</v>
          </cell>
          <cell r="D980" t="str">
            <v xml:space="preserve">         INSTALACIÓN DE PERNOS Y SOFT-SPOT WP40</v>
          </cell>
          <cell r="E980" t="str">
            <v>5 días</v>
          </cell>
          <cell r="F980">
            <v>0</v>
          </cell>
          <cell r="J980">
            <v>179436034.15411764</v>
          </cell>
        </row>
        <row r="981">
          <cell r="D981" t="str">
            <v>S0FT-SPOT  (EPS) Tipo II (ASM C578)</v>
          </cell>
          <cell r="F981" t="str">
            <v>m2</v>
          </cell>
          <cell r="G981">
            <v>62.117647058823529</v>
          </cell>
          <cell r="H981">
            <v>484846</v>
          </cell>
          <cell r="I981">
            <v>30117492.705882352</v>
          </cell>
          <cell r="J981">
            <v>41562139.934117645</v>
          </cell>
        </row>
        <row r="982">
          <cell r="D982" t="str">
            <v>MONTAJE Y NIVELACION DE LA JAULA DE ANCLAJES INCLUYE  LA PREPARACIÓN
 DEL ÁREA, LA NIVELACIÓN Y POSICIONAMIENTO DE LOS COMPONENTES (COMO PLANTILLAS Y VARILLAS), EL ENSAMBLAJE DE LA ESTRUCTURA, LA FIJACIÓN FINAL A LA CIMENTACIÓN CON PERNOS DE ANCLAJE, MONTAJE DE BRIDAS, TORQUE Y LIBERACIÓN DE LA CESTA, INCLUYE LA HERRAMIENTA Y EQUIPO DE INSTALACIÓN (peso estimado por jaula 13896  kg)</v>
          </cell>
          <cell r="F982" t="str">
            <v>Und</v>
          </cell>
          <cell r="G982">
            <v>1</v>
          </cell>
          <cell r="H982">
            <v>99908619</v>
          </cell>
          <cell r="I982">
            <v>99908619</v>
          </cell>
          <cell r="J982">
            <v>137873894.22</v>
          </cell>
        </row>
        <row r="983">
          <cell r="C983" t="str">
            <v>10.16.7</v>
          </cell>
          <cell r="D983" t="str">
            <v xml:space="preserve">         INSTALACIÓN DE ACERO DE REFUERZO WP40</v>
          </cell>
          <cell r="E983" t="str">
            <v>14 días</v>
          </cell>
          <cell r="F983">
            <v>0</v>
          </cell>
          <cell r="J983">
            <v>1212623361.2117648</v>
          </cell>
        </row>
        <row r="984">
          <cell r="D984" t="str">
            <v>ACERO FY:  60000 psi (4.200 kg/cm2)</v>
          </cell>
          <cell r="F984" t="str">
            <v>kg</v>
          </cell>
          <cell r="G984">
            <v>68756.852941176476</v>
          </cell>
          <cell r="H984">
            <v>12780</v>
          </cell>
          <cell r="I984">
            <v>878712580.58823538</v>
          </cell>
          <cell r="J984">
            <v>1212623361.2117648</v>
          </cell>
        </row>
        <row r="985">
          <cell r="C985" t="str">
            <v>10.16.8</v>
          </cell>
          <cell r="D985" t="str">
            <v xml:space="preserve">         ENCOFRADO DE ZAPATA Y DE PEDESTAL WP40</v>
          </cell>
          <cell r="E985" t="str">
            <v>3 días</v>
          </cell>
          <cell r="F985">
            <v>0</v>
          </cell>
        </row>
        <row r="986">
          <cell r="C986" t="str">
            <v>10.16.9</v>
          </cell>
          <cell r="D986" t="str">
            <v xml:space="preserve">         HITO: ALISTAMIENTO Y MOVILIZACIÓN DE PLANTA DE CONCRETO PARA WP40</v>
          </cell>
          <cell r="E986" t="str">
            <v>0 días</v>
          </cell>
          <cell r="F986">
            <v>0</v>
          </cell>
        </row>
        <row r="987">
          <cell r="C987" t="str">
            <v>10.16.10</v>
          </cell>
          <cell r="D987" t="str">
            <v xml:space="preserve">         FUNDIDA WP40</v>
          </cell>
          <cell r="E987" t="str">
            <v>1 día</v>
          </cell>
          <cell r="F987">
            <v>0</v>
          </cell>
          <cell r="J987">
            <v>1230815225.9452939</v>
          </cell>
        </row>
        <row r="988">
          <cell r="D988" t="str">
            <v>CONCRETO ESTRUCTURAL  35 MPa(350 kg/cm2 Ó 5000 psi)</v>
          </cell>
          <cell r="F988" t="str">
            <v>m3</v>
          </cell>
          <cell r="G988">
            <v>429.02941176470586</v>
          </cell>
          <cell r="H988">
            <v>1926653</v>
          </cell>
          <cell r="I988">
            <v>826590803.26470578</v>
          </cell>
          <cell r="J988">
            <v>1140695308.5052938</v>
          </cell>
        </row>
        <row r="989">
          <cell r="D989" t="str">
            <v>CONCRETO ESTRUCTURAL  45 MPa(457 kg/cm2 Ó 6500psi)</v>
          </cell>
          <cell r="F989" t="str">
            <v>m3</v>
          </cell>
          <cell r="G989">
            <v>32</v>
          </cell>
          <cell r="H989">
            <v>2040759</v>
          </cell>
          <cell r="I989">
            <v>65304288</v>
          </cell>
          <cell r="J989">
            <v>90119917.439999998</v>
          </cell>
        </row>
        <row r="990">
          <cell r="C990" t="str">
            <v>10.16.11</v>
          </cell>
          <cell r="D990" t="str">
            <v xml:space="preserve">         CURADO DEL CONCRETO WP40</v>
          </cell>
          <cell r="E990" t="str">
            <v>5 días</v>
          </cell>
          <cell r="F990">
            <v>0</v>
          </cell>
        </row>
        <row r="991">
          <cell r="C991" t="str">
            <v>10.16.12</v>
          </cell>
          <cell r="D991" t="str">
            <v xml:space="preserve">         INSTALACIONES ELECTRICAS Y SISTEMA PUESTA TIERRA WP40</v>
          </cell>
          <cell r="E991" t="str">
            <v>2 días</v>
          </cell>
          <cell r="F991">
            <v>0</v>
          </cell>
          <cell r="J991">
            <v>52736347.43270281</v>
          </cell>
        </row>
        <row r="992">
          <cell r="D992" t="str">
            <v>ARQUETA EN HORMIGON PARA MEDIA TENSION - EMPALMES (500 MT)</v>
          </cell>
          <cell r="F992" t="str">
            <v>Und</v>
          </cell>
          <cell r="G992">
            <v>1</v>
          </cell>
          <cell r="H992">
            <v>12275310.999985719</v>
          </cell>
          <cell r="I992">
            <v>12275310.999985719</v>
          </cell>
          <cell r="J992">
            <v>16939929.179980289</v>
          </cell>
        </row>
        <row r="993">
          <cell r="D993" t="str">
            <v>ARQUETA EN POLIPROPILENO</v>
          </cell>
          <cell r="F993" t="str">
            <v>Und</v>
          </cell>
          <cell r="G993">
            <v>1</v>
          </cell>
          <cell r="H993">
            <v>6068599.9996856553</v>
          </cell>
          <cell r="I993">
            <v>6068599.9996856553</v>
          </cell>
          <cell r="J993">
            <v>8374667.9995662039</v>
          </cell>
        </row>
        <row r="994">
          <cell r="D994" t="str">
            <v>SUMINISTRO E INSTALACIÓN DE PLATINA</v>
          </cell>
          <cell r="F994" t="str">
            <v>Und</v>
          </cell>
          <cell r="G994">
            <v>1</v>
          </cell>
          <cell r="H994">
            <v>361570</v>
          </cell>
          <cell r="I994">
            <v>361570</v>
          </cell>
          <cell r="J994">
            <v>498966.6</v>
          </cell>
        </row>
        <row r="995">
          <cell r="D995" t="str">
            <v>SUMINISTRO E INSTALACIÓN DE VARILLA</v>
          </cell>
          <cell r="F995" t="str">
            <v>Und</v>
          </cell>
          <cell r="G995">
            <v>1</v>
          </cell>
          <cell r="H995">
            <v>398933</v>
          </cell>
          <cell r="I995">
            <v>398933</v>
          </cell>
          <cell r="J995">
            <v>550527.53999999992</v>
          </cell>
        </row>
        <row r="996">
          <cell r="D996" t="str">
            <v>SUMINISTRO E INSTALACIÓN DE ARQUETA PARA INSPECCIÓN DE PICAS EN PUESTA A TIERRA SIN FONDO</v>
          </cell>
          <cell r="F996" t="str">
            <v>Und</v>
          </cell>
          <cell r="G996">
            <v>1</v>
          </cell>
          <cell r="H996">
            <v>14275700</v>
          </cell>
          <cell r="I996">
            <v>14275700</v>
          </cell>
          <cell r="J996">
            <v>19700466</v>
          </cell>
        </row>
        <row r="997">
          <cell r="D997" t="str">
            <v>SUMINISTRO E INSTALACIÓN DE SOLDADURA EXOTERMICA</v>
          </cell>
          <cell r="F997" t="str">
            <v>Und</v>
          </cell>
          <cell r="G997">
            <v>2.8000000000000003</v>
          </cell>
          <cell r="H997">
            <v>185231</v>
          </cell>
          <cell r="I997">
            <v>518646.80000000005</v>
          </cell>
          <cell r="J997">
            <v>715732.58400000003</v>
          </cell>
        </row>
        <row r="998">
          <cell r="D998" t="str">
            <v>SUMINISTRO E INSTALACIÓN DE GRAPA DE ALEACIÓN RICA EN COBRE (LATÓN) MODELO KZ</v>
          </cell>
          <cell r="F998" t="str">
            <v>Und</v>
          </cell>
          <cell r="G998">
            <v>1</v>
          </cell>
          <cell r="H998">
            <v>292083</v>
          </cell>
          <cell r="I998">
            <v>292083</v>
          </cell>
          <cell r="J998">
            <v>403074.54</v>
          </cell>
        </row>
        <row r="999">
          <cell r="D999" t="str">
            <v>SUMINISTRO E INSTALACIÓN DE GRAPA DE ALEACIÓN RICA EN COBRE (LATÓN) MODELO KPD</v>
          </cell>
          <cell r="F999" t="str">
            <v>Und</v>
          </cell>
          <cell r="G999">
            <v>0.99393939393939412</v>
          </cell>
          <cell r="H999">
            <v>292083</v>
          </cell>
          <cell r="I999">
            <v>290312.80000000005</v>
          </cell>
          <cell r="J999">
            <v>400631.66400000005</v>
          </cell>
        </row>
        <row r="1000">
          <cell r="D1000" t="str">
            <v xml:space="preserve">INSTALACIÓN DE CABLE DE COBRE TRENZADO DESNUDO DE 50 mm2 </v>
          </cell>
          <cell r="F1000" t="str">
            <v>ML</v>
          </cell>
          <cell r="G1000">
            <v>113.1390243902439</v>
          </cell>
          <cell r="H1000">
            <v>33000.000989065411</v>
          </cell>
          <cell r="I1000">
            <v>3733587.9167799447</v>
          </cell>
          <cell r="J1000">
            <v>5152351.3251563236</v>
          </cell>
        </row>
        <row r="1001">
          <cell r="C1001" t="str">
            <v>10.16.13</v>
          </cell>
          <cell r="D1001" t="str">
            <v xml:space="preserve">         INSTALACION DE GROUT Y MORTERO AUTOCOMPACTANTE DE ALTA RESISTENCIA WP40</v>
          </cell>
          <cell r="E1001" t="str">
            <v>2 días</v>
          </cell>
          <cell r="F1001">
            <v>0</v>
          </cell>
          <cell r="J1001">
            <v>46410609.014634147</v>
          </cell>
        </row>
        <row r="1002">
          <cell r="D1002" t="str">
            <v>GROUT Y  MORTERO AUTOCOMPACTANTE DE ALTA RESISTENCIA C80/95 (EN206-1)</v>
          </cell>
          <cell r="F1002" t="str">
            <v>lt</v>
          </cell>
          <cell r="G1002">
            <v>530.73170731707319</v>
          </cell>
          <cell r="H1002">
            <v>63367</v>
          </cell>
          <cell r="I1002">
            <v>33630876.097560979</v>
          </cell>
          <cell r="J1002">
            <v>46410609.014634147</v>
          </cell>
        </row>
        <row r="1003">
          <cell r="C1003" t="str">
            <v>10.16.14</v>
          </cell>
          <cell r="D1003" t="str">
            <v xml:space="preserve">         TAPADO AREA DE CIMENTACIÓN Y CONFORMACIÓN DE PLATAFORMA WP40</v>
          </cell>
          <cell r="E1003" t="str">
            <v>7 días</v>
          </cell>
          <cell r="F1003">
            <v>0</v>
          </cell>
          <cell r="J1003">
            <v>1587346329.5488234</v>
          </cell>
        </row>
        <row r="1004">
          <cell r="D1004" t="str">
            <v>MATERIAL SELECIONADA PARA  FORMACIÓN Y COMPACTACIÓN DE TERRAPLENES Y RELLENO ESTRUCTURAL  (INCLUYE TRANSPORTE DESDE LAS CANTERAS LICENCIADAS HASTA EL SITIO DE INSTALACIÓN)</v>
          </cell>
          <cell r="F1004" t="str">
            <v>m3</v>
          </cell>
          <cell r="G1004">
            <v>5388.7058823529414</v>
          </cell>
          <cell r="H1004">
            <v>174890</v>
          </cell>
          <cell r="I1004">
            <v>942430771.7647059</v>
          </cell>
          <cell r="J1004">
            <v>1300554465.0352941</v>
          </cell>
        </row>
        <row r="1005">
          <cell r="D1005" t="str">
            <v>PREPARACIÓN DE SUBRASANTE COMPACTACIÓN Y VALORACIÓN DE LA CAPA DE SUBRASANTE DE LOS VIALES. INCLUYENDO LAS PRUEBAS SEGÚN LO PRESCRITO.</v>
          </cell>
          <cell r="F1005" t="str">
            <v>m2</v>
          </cell>
          <cell r="G1005">
            <v>631.61764705882354</v>
          </cell>
          <cell r="H1005">
            <v>11537</v>
          </cell>
          <cell r="I1005">
            <v>7286972.7941176472</v>
          </cell>
          <cell r="J1005">
            <v>10056022.455882352</v>
          </cell>
        </row>
        <row r="1006">
          <cell r="D1006" t="str">
            <v>SUBBASE GRANULAR  (INCLUYE TRANSPORTE DESDE LAS CANTERAS LICENCIADAS HASTA EL SITIO DE INSTALACIÓN)</v>
          </cell>
          <cell r="F1006" t="str">
            <v>m3</v>
          </cell>
          <cell r="G1006">
            <v>880.85294117647061</v>
          </cell>
          <cell r="H1006">
            <v>227658</v>
          </cell>
          <cell r="I1006">
            <v>200533218.88235295</v>
          </cell>
          <cell r="J1006">
            <v>276735842.05764705</v>
          </cell>
        </row>
        <row r="1007">
          <cell r="C1007" t="str">
            <v>10.16.15</v>
          </cell>
          <cell r="D1007" t="str">
            <v xml:space="preserve">         ESTABILIZACIÓN DE TALUDES EN PLATAFORMA Y RECONFORMACION FINAL WP40</v>
          </cell>
          <cell r="E1007" t="str">
            <v>7 días</v>
          </cell>
          <cell r="F1007">
            <v>0</v>
          </cell>
          <cell r="J1007">
            <v>179532477.23999998</v>
          </cell>
        </row>
        <row r="1008">
          <cell r="D1008" t="str">
            <v>BASE GRANULAR   (INCLUYE TRANSPORTE DESDE LAS CANTERAS LICENCIADAS HASTA EL SITIO DE INSTALACIÓN)</v>
          </cell>
          <cell r="F1008" t="str">
            <v>m3</v>
          </cell>
          <cell r="G1008">
            <v>237.64705882352942</v>
          </cell>
          <cell r="H1008">
            <v>265112</v>
          </cell>
          <cell r="I1008">
            <v>63003087.058823533</v>
          </cell>
          <cell r="J1008">
            <v>86944260.141176462</v>
          </cell>
        </row>
        <row r="1009">
          <cell r="D1009" t="str">
            <v xml:space="preserve">ENROCADO PROTECCIÓN TALUD PLATAFORMAS PROTECCIÓN CON ENROCADO DE PIEDRA DEL TALUD DE LAS PLATAFORMAS EN TERRAPLÉN CON 30 CM DE PIEDRA DE 6-10 CM DE DIÁMETRO, PESO ESPECÍFICO DE LAS PIEDRAS DE 2,64  G/CM3  (INCLUYE TRANSPORTE DESDE LAS CANTERAS LICENCIADAS HASTA EL SITIO DE INSTALACIÓN) </v>
          </cell>
          <cell r="F1009" t="str">
            <v>m3</v>
          </cell>
          <cell r="G1009">
            <v>42.352941176470587</v>
          </cell>
          <cell r="H1009">
            <v>276393</v>
          </cell>
          <cell r="I1009">
            <v>11706056.470588235</v>
          </cell>
          <cell r="J1009">
            <v>16154357.929411763</v>
          </cell>
        </row>
        <row r="1010">
          <cell r="D1010" t="str">
            <v xml:space="preserve">ENROCADO PROTECCIÓN TALUD CIMENTACION PROTECCIÓN CON ENROCADO DE PIEDRA DEL TALUD DE LAS CIMENTACIONES EN TERRAPLÉN CON 30 CM DE PIEDRA DE 6-10 CM DE DIÁMETRO, PESO ESPECÍFICO DE LAS PIEDRAS DE 2,64 G/CM3   (INCLUYE TRANSPORTE DESDE LAS CANTERAS LICENCIADAS HASTA EL SITIO DE INSTALACIÓN) </v>
          </cell>
          <cell r="F1010" t="str">
            <v>m3</v>
          </cell>
          <cell r="G1010">
            <v>25.529411764705884</v>
          </cell>
          <cell r="H1010">
            <v>286818</v>
          </cell>
          <cell r="I1010">
            <v>7322294.823529412</v>
          </cell>
          <cell r="J1010">
            <v>10104766.856470589</v>
          </cell>
        </row>
        <row r="1011">
          <cell r="D1011" t="str">
            <v>SUMINISTRO E INSTALACIÓN DE GEOTEXTILES</v>
          </cell>
          <cell r="F1011" t="str">
            <v>m2</v>
          </cell>
          <cell r="G1011">
            <v>887.17647058823525</v>
          </cell>
          <cell r="H1011">
            <v>54177</v>
          </cell>
          <cell r="I1011">
            <v>48064559.647058822</v>
          </cell>
          <cell r="J1011">
            <v>66329092.312941171</v>
          </cell>
        </row>
        <row r="1012">
          <cell r="C1012" t="str">
            <v>10.16.16</v>
          </cell>
          <cell r="D1012" t="str">
            <v xml:space="preserve">         HITO: FINALIZACION DE ACTIVIDADES EN CIMENTACION WP40</v>
          </cell>
          <cell r="E1012" t="str">
            <v>0 días</v>
          </cell>
          <cell r="F1012">
            <v>0</v>
          </cell>
        </row>
        <row r="1013">
          <cell r="C1013" t="str">
            <v>10.17</v>
          </cell>
          <cell r="D1013" t="str">
            <v xml:space="preserve">      CIMENTACION WP39</v>
          </cell>
          <cell r="E1013" t="str">
            <v>60 días</v>
          </cell>
          <cell r="F1013">
            <v>0</v>
          </cell>
        </row>
        <row r="1014">
          <cell r="C1014" t="str">
            <v>10.17.1</v>
          </cell>
          <cell r="D1014" t="str">
            <v xml:space="preserve">         DESBROCE DE AREA DE ACOPIO DE TORRE Y DE PALAS WP39</v>
          </cell>
          <cell r="E1014" t="str">
            <v>8 días</v>
          </cell>
          <cell r="F1014">
            <v>0</v>
          </cell>
          <cell r="J1014">
            <v>83271780.884117648</v>
          </cell>
        </row>
        <row r="1015">
          <cell r="D1015" t="str">
            <v>DESBROCE Y LIMPIEZA</v>
          </cell>
          <cell r="F1015" t="str">
            <v>m2</v>
          </cell>
          <cell r="G1015">
            <v>4799.0294117647063</v>
          </cell>
          <cell r="H1015">
            <v>4140</v>
          </cell>
          <cell r="I1015">
            <v>19867981.764705885</v>
          </cell>
          <cell r="J1015">
            <v>27417814.83529412</v>
          </cell>
        </row>
        <row r="1016">
          <cell r="D1016" t="str">
            <v>SUMINISTRO DE COMISION TOPOGRAFICA
 (incluyede GPS, Estación Total, tránsitos, distanciómetros, niveles de precisión, miras, prismas, jalones, plomadas, cintas métricas, etc., un cadenero primero , un cadenero segundo, ingeniero topógrafo/topógrafo con matricula vigente, insumos para ralizar la actividad, licencias de software utilizado para la ejecución de los trabajos, movilización de personal equipos y entregables en archivos magnéticos)</v>
          </cell>
          <cell r="F1016" t="str">
            <v>Mes</v>
          </cell>
          <cell r="G1016">
            <v>0.2</v>
          </cell>
          <cell r="H1016">
            <v>31500000</v>
          </cell>
          <cell r="I1016">
            <v>6300000</v>
          </cell>
          <cell r="J1016">
            <v>8694000</v>
          </cell>
        </row>
        <row r="1017">
          <cell r="D1017" t="str">
            <v>DESMONTE, DESCAPOTE Y LIMPIEZA INCLUYE  TALA DE ARBOLES CON DAP ≤0.15M, TRANSPORTE Y DISPOSICIÓN FINAL</v>
          </cell>
          <cell r="F1017" t="str">
            <v>m2</v>
          </cell>
          <cell r="G1017">
            <v>4799.0294117647063</v>
          </cell>
          <cell r="H1017">
            <v>7121</v>
          </cell>
          <cell r="I1017">
            <v>34173888.441176474</v>
          </cell>
          <cell r="J1017">
            <v>47159966.048823528</v>
          </cell>
        </row>
        <row r="1018">
          <cell r="C1018" t="str">
            <v>10.17.2</v>
          </cell>
          <cell r="D1018" t="str">
            <v xml:space="preserve">         EXCAVACIÓN DE CIMENTACION WP39</v>
          </cell>
          <cell r="E1018" t="str">
            <v>7 días</v>
          </cell>
          <cell r="F1018">
            <v>0</v>
          </cell>
          <cell r="J1018">
            <v>312374505.66882348</v>
          </cell>
        </row>
        <row r="1019">
          <cell r="D1019" t="str">
            <v>EXCAVACIÓN MECÁNICA EN MATERIAL COMÚN</v>
          </cell>
          <cell r="F1019" t="str">
            <v>m3</v>
          </cell>
          <cell r="G1019">
            <v>4799.0294117647063</v>
          </cell>
          <cell r="H1019">
            <v>35495</v>
          </cell>
          <cell r="I1019">
            <v>170341548.97058824</v>
          </cell>
          <cell r="J1019">
            <v>235071337.57941175</v>
          </cell>
        </row>
        <row r="1020">
          <cell r="D1020" t="str">
            <v>EXCAVACIÓN EN ROCA</v>
          </cell>
          <cell r="F1020" t="str">
            <v>m3</v>
          </cell>
          <cell r="G1020">
            <v>414.35294117647061</v>
          </cell>
          <cell r="H1020">
            <v>135191</v>
          </cell>
          <cell r="I1020">
            <v>56016788.470588237</v>
          </cell>
          <cell r="J1020">
            <v>77303168.089411765</v>
          </cell>
        </row>
        <row r="1021">
          <cell r="C1021" t="str">
            <v>10.17.3</v>
          </cell>
          <cell r="D1021" t="str">
            <v xml:space="preserve">         BANCO DE DUCTO WP39</v>
          </cell>
          <cell r="E1021" t="str">
            <v>3 días</v>
          </cell>
          <cell r="F1021">
            <v>0</v>
          </cell>
          <cell r="J1021">
            <v>9527825.6870364472</v>
          </cell>
        </row>
        <row r="1022">
          <cell r="D1022" t="str">
            <v>INSTALACION DE TUBERIA PVC TIPO TDP Y/O CORRUGADA TIPO PEAD-HDPE  - 50mm</v>
          </cell>
          <cell r="F1022" t="str">
            <v>ML</v>
          </cell>
          <cell r="G1022">
            <v>7.2352941176470589</v>
          </cell>
          <cell r="H1022">
            <v>27751.000385791169</v>
          </cell>
          <cell r="I1022">
            <v>200786.64985013611</v>
          </cell>
          <cell r="J1022">
            <v>277085.57679318782</v>
          </cell>
        </row>
        <row r="1023">
          <cell r="D1023" t="str">
            <v>INSTALACION DE TUBERIA PVC TIPO TDP Y/O CORRUGADA TIPO PEAD-HDPE - 90mm</v>
          </cell>
          <cell r="F1023" t="str">
            <v>ML</v>
          </cell>
          <cell r="G1023">
            <v>34.694117647058818</v>
          </cell>
          <cell r="H1023">
            <v>31239.000009014315</v>
          </cell>
          <cell r="I1023">
            <v>1083809.5414892142</v>
          </cell>
          <cell r="J1023">
            <v>1495657.1672551155</v>
          </cell>
        </row>
        <row r="1024">
          <cell r="D1024" t="str">
            <v>INSTALACION DE TUBERIA PVC TIPO TDP  Y/O CORRUGADA TIPO PEAD-HDPE - 200mm</v>
          </cell>
          <cell r="F1024" t="str">
            <v>ML</v>
          </cell>
          <cell r="G1024">
            <v>70.332352941176467</v>
          </cell>
          <cell r="H1024">
            <v>79900.999838665448</v>
          </cell>
          <cell r="I1024">
            <v>5619625.3210059023</v>
          </cell>
          <cell r="J1024">
            <v>7755082.9429881442</v>
          </cell>
        </row>
        <row r="1025">
          <cell r="C1025" t="str">
            <v>10.17.4</v>
          </cell>
          <cell r="D1025" t="str">
            <v xml:space="preserve">         COMPACTACION DE SELLO DE BASE WP39</v>
          </cell>
          <cell r="E1025" t="str">
            <v>2 días</v>
          </cell>
          <cell r="F1025">
            <v>0</v>
          </cell>
          <cell r="J1025">
            <v>320494616.71764702</v>
          </cell>
        </row>
        <row r="1026">
          <cell r="D1026" t="str">
            <v>RELLENO CON MATERIAL DE EXCAVACIÓN SELECCIONADO</v>
          </cell>
          <cell r="F1026" t="str">
            <v>m3</v>
          </cell>
          <cell r="G1026">
            <v>4530.6764705882351</v>
          </cell>
          <cell r="H1026">
            <v>51260</v>
          </cell>
          <cell r="I1026">
            <v>232242475.88235292</v>
          </cell>
          <cell r="J1026">
            <v>320494616.71764702</v>
          </cell>
        </row>
        <row r="1027">
          <cell r="C1027" t="str">
            <v>10.17.5</v>
          </cell>
          <cell r="D1027" t="str">
            <v xml:space="preserve">         SOLADO WP39</v>
          </cell>
          <cell r="E1027" t="str">
            <v>1 día</v>
          </cell>
          <cell r="F1027">
            <v>0</v>
          </cell>
          <cell r="J1027">
            <v>94303618.549411759</v>
          </cell>
        </row>
        <row r="1028">
          <cell r="D1028" t="str">
            <v>CONCRETO CLASE F (140 kg/cm2 Ó 2000 psi)</v>
          </cell>
          <cell r="F1028" t="str">
            <v>m3</v>
          </cell>
          <cell r="G1028">
            <v>43.941176470588232</v>
          </cell>
          <cell r="H1028">
            <v>1555169</v>
          </cell>
          <cell r="I1028">
            <v>68335955.470588237</v>
          </cell>
          <cell r="J1028">
            <v>94303618.549411759</v>
          </cell>
        </row>
        <row r="1029">
          <cell r="C1029" t="str">
            <v>10.17.6</v>
          </cell>
          <cell r="D1029" t="str">
            <v xml:space="preserve">         INSTALACIÓN DE PERNOS Y SOFT-SPOT WP39</v>
          </cell>
          <cell r="E1029" t="str">
            <v>5 días</v>
          </cell>
          <cell r="F1029">
            <v>0</v>
          </cell>
          <cell r="J1029">
            <v>179436034.15411764</v>
          </cell>
        </row>
        <row r="1030">
          <cell r="D1030" t="str">
            <v>S0FT-SPOT  (EPS) Tipo II (ASM C578)</v>
          </cell>
          <cell r="F1030" t="str">
            <v>m2</v>
          </cell>
          <cell r="G1030">
            <v>62.117647058823529</v>
          </cell>
          <cell r="H1030">
            <v>484846</v>
          </cell>
          <cell r="I1030">
            <v>30117492.705882352</v>
          </cell>
          <cell r="J1030">
            <v>41562139.934117645</v>
          </cell>
        </row>
        <row r="1031">
          <cell r="D1031" t="str">
            <v>MONTAJE Y NIVELACION DE LA JAULA DE ANCLAJES INCLUYE  LA PREPARACIÓN
 DEL ÁREA, LA NIVELACIÓN Y POSICIONAMIENTO DE LOS COMPONENTES (COMO PLANTILLAS Y VARILLAS), EL ENSAMBLAJE DE LA ESTRUCTURA, LA FIJACIÓN FINAL A LA CIMENTACIÓN CON PERNOS DE ANCLAJE, MONTAJE DE BRIDAS, TORQUE Y LIBERACIÓN DE LA CESTA, INCLUYE LA HERRAMIENTA Y EQUIPO DE INSTALACIÓN (peso estimado por jaula 13896  kg)</v>
          </cell>
          <cell r="F1031" t="str">
            <v>Und</v>
          </cell>
          <cell r="G1031">
            <v>1</v>
          </cell>
          <cell r="H1031">
            <v>99908619</v>
          </cell>
          <cell r="I1031">
            <v>99908619</v>
          </cell>
          <cell r="J1031">
            <v>137873894.22</v>
          </cell>
        </row>
        <row r="1032">
          <cell r="C1032" t="str">
            <v>10.17.7</v>
          </cell>
          <cell r="D1032" t="str">
            <v xml:space="preserve">         INSTALACIÓN DE ACERO DE REFUERZO WP39</v>
          </cell>
          <cell r="E1032" t="str">
            <v>14 días</v>
          </cell>
          <cell r="F1032">
            <v>0</v>
          </cell>
          <cell r="J1032">
            <v>1212623361.2117648</v>
          </cell>
        </row>
        <row r="1033">
          <cell r="D1033" t="str">
            <v>ACERO FY:  60000 psi (4.200 kg/cm2)</v>
          </cell>
          <cell r="F1033" t="str">
            <v>kg</v>
          </cell>
          <cell r="G1033">
            <v>68756.852941176476</v>
          </cell>
          <cell r="H1033">
            <v>12780</v>
          </cell>
          <cell r="I1033">
            <v>878712580.58823538</v>
          </cell>
          <cell r="J1033">
            <v>1212623361.2117648</v>
          </cell>
        </row>
        <row r="1034">
          <cell r="C1034" t="str">
            <v>10.17.8</v>
          </cell>
          <cell r="D1034" t="str">
            <v xml:space="preserve">         ENCOFRADO DE ZAPATA Y DE PEDESTAL WP39</v>
          </cell>
          <cell r="E1034" t="str">
            <v>3 días</v>
          </cell>
          <cell r="F1034">
            <v>0</v>
          </cell>
        </row>
        <row r="1035">
          <cell r="C1035" t="str">
            <v>10.17.9</v>
          </cell>
          <cell r="D1035" t="str">
            <v xml:space="preserve">         HITO: ALISTAMIENTO Y MOVILIZACIÓN DE PLANTA DE CONCRETO PARA WP39</v>
          </cell>
          <cell r="E1035" t="str">
            <v>0 días</v>
          </cell>
          <cell r="F1035">
            <v>0</v>
          </cell>
        </row>
        <row r="1036">
          <cell r="C1036" t="str">
            <v>10.17.10</v>
          </cell>
          <cell r="D1036" t="str">
            <v xml:space="preserve">         FUNDIDA WP39</v>
          </cell>
          <cell r="E1036" t="str">
            <v>1 día</v>
          </cell>
          <cell r="F1036">
            <v>0</v>
          </cell>
          <cell r="J1036">
            <v>1230815225.9452939</v>
          </cell>
        </row>
        <row r="1037">
          <cell r="D1037" t="str">
            <v>CONCRETO ESTRUCTURAL  35 MPa(350 kg/cm2 Ó 5000 psi)</v>
          </cell>
          <cell r="F1037" t="str">
            <v>m3</v>
          </cell>
          <cell r="G1037">
            <v>429.02941176470586</v>
          </cell>
          <cell r="H1037">
            <v>1926653</v>
          </cell>
          <cell r="I1037">
            <v>826590803.26470578</v>
          </cell>
          <cell r="J1037">
            <v>1140695308.5052938</v>
          </cell>
        </row>
        <row r="1038">
          <cell r="D1038" t="str">
            <v>CONCRETO ESTRUCTURAL  45 MPa(457 kg/cm2 Ó 6500psi)</v>
          </cell>
          <cell r="F1038" t="str">
            <v>m3</v>
          </cell>
          <cell r="G1038">
            <v>32</v>
          </cell>
          <cell r="H1038">
            <v>2040759</v>
          </cell>
          <cell r="I1038">
            <v>65304288</v>
          </cell>
          <cell r="J1038">
            <v>90119917.439999998</v>
          </cell>
        </row>
        <row r="1039">
          <cell r="C1039" t="str">
            <v>10.17.11</v>
          </cell>
          <cell r="D1039" t="str">
            <v xml:space="preserve">         CURADO DEL CONCRETO WP39</v>
          </cell>
          <cell r="E1039" t="str">
            <v>5 días</v>
          </cell>
          <cell r="F1039">
            <v>0</v>
          </cell>
        </row>
        <row r="1040">
          <cell r="C1040" t="str">
            <v>10.17.12</v>
          </cell>
          <cell r="D1040" t="str">
            <v xml:space="preserve">         INSTALACIONES ELECTRICAS Y SISTEMA PUESTA TIERRA WP39</v>
          </cell>
          <cell r="E1040" t="str">
            <v>2 días</v>
          </cell>
          <cell r="F1040">
            <v>0</v>
          </cell>
          <cell r="J1040">
            <v>52736347.43270281</v>
          </cell>
        </row>
        <row r="1041">
          <cell r="D1041" t="str">
            <v>ARQUETA EN HORMIGON PARA MEDIA TENSION - EMPALMES (500 MT)</v>
          </cell>
          <cell r="F1041" t="str">
            <v>Und</v>
          </cell>
          <cell r="G1041">
            <v>1</v>
          </cell>
          <cell r="H1041">
            <v>12275310.999985719</v>
          </cell>
          <cell r="I1041">
            <v>12275310.999985719</v>
          </cell>
          <cell r="J1041">
            <v>16939929.179980289</v>
          </cell>
        </row>
        <row r="1042">
          <cell r="D1042" t="str">
            <v>ARQUETA EN POLIPROPILENO</v>
          </cell>
          <cell r="F1042" t="str">
            <v>Und</v>
          </cell>
          <cell r="G1042">
            <v>1</v>
          </cell>
          <cell r="H1042">
            <v>6068599.9996856553</v>
          </cell>
          <cell r="I1042">
            <v>6068599.9996856553</v>
          </cell>
          <cell r="J1042">
            <v>8374667.9995662039</v>
          </cell>
        </row>
        <row r="1043">
          <cell r="D1043" t="str">
            <v>SUMINISTRO E INSTALACIÓN DE PLATINA</v>
          </cell>
          <cell r="F1043" t="str">
            <v>Und</v>
          </cell>
          <cell r="G1043">
            <v>1</v>
          </cell>
          <cell r="H1043">
            <v>361570</v>
          </cell>
          <cell r="I1043">
            <v>361570</v>
          </cell>
          <cell r="J1043">
            <v>498966.6</v>
          </cell>
        </row>
        <row r="1044">
          <cell r="D1044" t="str">
            <v>SUMINISTRO E INSTALACIÓN DE VARILLA</v>
          </cell>
          <cell r="F1044" t="str">
            <v>Und</v>
          </cell>
          <cell r="G1044">
            <v>1</v>
          </cell>
          <cell r="H1044">
            <v>398933</v>
          </cell>
          <cell r="I1044">
            <v>398933</v>
          </cell>
          <cell r="J1044">
            <v>550527.53999999992</v>
          </cell>
        </row>
        <row r="1045">
          <cell r="D1045" t="str">
            <v>SUMINISTRO E INSTALACIÓN DE ARQUETA PARA INSPECCIÓN DE PICAS EN PUESTA A TIERRA SIN FONDO</v>
          </cell>
          <cell r="F1045" t="str">
            <v>Und</v>
          </cell>
          <cell r="G1045">
            <v>1</v>
          </cell>
          <cell r="H1045">
            <v>14275700</v>
          </cell>
          <cell r="I1045">
            <v>14275700</v>
          </cell>
          <cell r="J1045">
            <v>19700466</v>
          </cell>
        </row>
        <row r="1046">
          <cell r="D1046" t="str">
            <v>SUMINISTRO E INSTALACIÓN DE SOLDADURA EXOTERMICA</v>
          </cell>
          <cell r="F1046" t="str">
            <v>Und</v>
          </cell>
          <cell r="G1046">
            <v>2.8000000000000003</v>
          </cell>
          <cell r="H1046">
            <v>185231</v>
          </cell>
          <cell r="I1046">
            <v>518646.80000000005</v>
          </cell>
          <cell r="J1046">
            <v>715732.58400000003</v>
          </cell>
        </row>
        <row r="1047">
          <cell r="D1047" t="str">
            <v>SUMINISTRO E INSTALACIÓN DE GRAPA DE ALEACIÓN RICA EN COBRE (LATÓN) MODELO KZ</v>
          </cell>
          <cell r="F1047" t="str">
            <v>Und</v>
          </cell>
          <cell r="G1047">
            <v>1</v>
          </cell>
          <cell r="H1047">
            <v>292083</v>
          </cell>
          <cell r="I1047">
            <v>292083</v>
          </cell>
          <cell r="J1047">
            <v>403074.54</v>
          </cell>
        </row>
        <row r="1048">
          <cell r="D1048" t="str">
            <v>SUMINISTRO E INSTALACIÓN DE GRAPA DE ALEACIÓN RICA EN COBRE (LATÓN) MODELO KPD</v>
          </cell>
          <cell r="F1048" t="str">
            <v>Und</v>
          </cell>
          <cell r="G1048">
            <v>0.99393939393939412</v>
          </cell>
          <cell r="H1048">
            <v>292083</v>
          </cell>
          <cell r="I1048">
            <v>290312.80000000005</v>
          </cell>
          <cell r="J1048">
            <v>400631.66400000005</v>
          </cell>
        </row>
        <row r="1049">
          <cell r="D1049" t="str">
            <v xml:space="preserve">INSTALACIÓN DE CABLE DE COBRE TRENZADO DESNUDO DE 50 mm2 </v>
          </cell>
          <cell r="F1049" t="str">
            <v>ML</v>
          </cell>
          <cell r="G1049">
            <v>113.1390243902439</v>
          </cell>
          <cell r="H1049">
            <v>33000.000989065411</v>
          </cell>
          <cell r="I1049">
            <v>3733587.9167799447</v>
          </cell>
          <cell r="J1049">
            <v>5152351.3251563236</v>
          </cell>
        </row>
        <row r="1050">
          <cell r="C1050" t="str">
            <v>10.17.13</v>
          </cell>
          <cell r="D1050" t="str">
            <v xml:space="preserve">         INSTALACION DE GROUT Y MORTERO AUTOCOMPACTANTE DE ALTA RESISTENCIA WP39</v>
          </cell>
          <cell r="E1050" t="str">
            <v>2 días</v>
          </cell>
          <cell r="F1050">
            <v>0</v>
          </cell>
          <cell r="J1050">
            <v>46410609.014634147</v>
          </cell>
        </row>
        <row r="1051">
          <cell r="D1051" t="str">
            <v>GROUT Y  MORTERO AUTOCOMPACTANTE DE ALTA RESISTENCIA C80/95 (EN206-1)</v>
          </cell>
          <cell r="F1051" t="str">
            <v>lt</v>
          </cell>
          <cell r="G1051">
            <v>530.73170731707319</v>
          </cell>
          <cell r="H1051">
            <v>63367</v>
          </cell>
          <cell r="I1051">
            <v>33630876.097560979</v>
          </cell>
          <cell r="J1051">
            <v>46410609.014634147</v>
          </cell>
        </row>
        <row r="1052">
          <cell r="C1052" t="str">
            <v>10.17.14</v>
          </cell>
          <cell r="D1052" t="str">
            <v xml:space="preserve">         TAPADO AREA DE CIMENTACIÓN Y CONFORMACIÓN DE PLATAFORMA WP39</v>
          </cell>
          <cell r="E1052" t="str">
            <v>7 días</v>
          </cell>
          <cell r="F1052">
            <v>0</v>
          </cell>
          <cell r="J1052">
            <v>1587346329.5488234</v>
          </cell>
        </row>
        <row r="1053">
          <cell r="D1053" t="str">
            <v>MATERIAL SELECIONADA PARA  FORMACIÓN Y COMPACTACIÓN DE TERRAPLENES Y RELLENO ESTRUCTURAL  (INCLUYE TRANSPORTE DESDE LAS CANTERAS LICENCIADAS HASTA EL SITIO DE INSTALACIÓN)</v>
          </cell>
          <cell r="F1053" t="str">
            <v>m3</v>
          </cell>
          <cell r="G1053">
            <v>5388.7058823529414</v>
          </cell>
          <cell r="H1053">
            <v>174890</v>
          </cell>
          <cell r="I1053">
            <v>942430771.7647059</v>
          </cell>
          <cell r="J1053">
            <v>1300554465.0352941</v>
          </cell>
        </row>
        <row r="1054">
          <cell r="D1054" t="str">
            <v>PREPARACIÓN DE SUBRASANTE COMPACTACIÓN Y VALORACIÓN DE LA CAPA DE SUBRASANTE DE LOS VIALES. INCLUYENDO LAS PRUEBAS SEGÚN LO PRESCRITO.</v>
          </cell>
          <cell r="F1054" t="str">
            <v>m2</v>
          </cell>
          <cell r="G1054">
            <v>631.61764705882354</v>
          </cell>
          <cell r="H1054">
            <v>11537</v>
          </cell>
          <cell r="I1054">
            <v>7286972.7941176472</v>
          </cell>
          <cell r="J1054">
            <v>10056022.455882352</v>
          </cell>
        </row>
        <row r="1055">
          <cell r="D1055" t="str">
            <v>SUBBASE GRANULAR  (INCLUYE TRANSPORTE DESDE LAS CANTERAS LICENCIADAS HASTA EL SITIO DE INSTALACIÓN)</v>
          </cell>
          <cell r="F1055" t="str">
            <v>m3</v>
          </cell>
          <cell r="G1055">
            <v>880.85294117647061</v>
          </cell>
          <cell r="H1055">
            <v>227658</v>
          </cell>
          <cell r="I1055">
            <v>200533218.88235295</v>
          </cell>
          <cell r="J1055">
            <v>276735842.05764705</v>
          </cell>
        </row>
        <row r="1056">
          <cell r="C1056" t="str">
            <v>10.17.15</v>
          </cell>
          <cell r="D1056" t="str">
            <v xml:space="preserve">         ESTABILIZACIÓN DE TALUDES EN PLATAFORMA Y RECONFORMACION FINAL WP39</v>
          </cell>
          <cell r="E1056" t="str">
            <v>7 días</v>
          </cell>
          <cell r="F1056">
            <v>0</v>
          </cell>
          <cell r="J1056">
            <v>179532477.23999998</v>
          </cell>
        </row>
        <row r="1057">
          <cell r="D1057" t="str">
            <v>BASE GRANULAR   (INCLUYE TRANSPORTE DESDE LAS CANTERAS LICENCIADAS HASTA EL SITIO DE INSTALACIÓN)</v>
          </cell>
          <cell r="F1057" t="str">
            <v>m3</v>
          </cell>
          <cell r="G1057">
            <v>237.64705882352942</v>
          </cell>
          <cell r="H1057">
            <v>265112</v>
          </cell>
          <cell r="I1057">
            <v>63003087.058823533</v>
          </cell>
          <cell r="J1057">
            <v>86944260.141176462</v>
          </cell>
        </row>
        <row r="1058">
          <cell r="D1058" t="str">
            <v xml:space="preserve">ENROCADO PROTECCIÓN TALUD PLATAFORMAS PROTECCIÓN CON ENROCADO DE PIEDRA DEL TALUD DE LAS PLATAFORMAS EN TERRAPLÉN CON 30 CM DE PIEDRA DE 6-10 CM DE DIÁMETRO, PESO ESPECÍFICO DE LAS PIEDRAS DE 2,64  G/CM3  (INCLUYE TRANSPORTE DESDE LAS CANTERAS LICENCIADAS HASTA EL SITIO DE INSTALACIÓN) </v>
          </cell>
          <cell r="F1058" t="str">
            <v>m3</v>
          </cell>
          <cell r="G1058">
            <v>42.352941176470587</v>
          </cell>
          <cell r="H1058">
            <v>276393</v>
          </cell>
          <cell r="I1058">
            <v>11706056.470588235</v>
          </cell>
          <cell r="J1058">
            <v>16154357.929411763</v>
          </cell>
        </row>
        <row r="1059">
          <cell r="D1059" t="str">
            <v xml:space="preserve">ENROCADO PROTECCIÓN TALUD CIMENTACION PROTECCIÓN CON ENROCADO DE PIEDRA DEL TALUD DE LAS CIMENTACIONES EN TERRAPLÉN CON 30 CM DE PIEDRA DE 6-10 CM DE DIÁMETRO, PESO ESPECÍFICO DE LAS PIEDRAS DE 2,64 G/CM3   (INCLUYE TRANSPORTE DESDE LAS CANTERAS LICENCIADAS HASTA EL SITIO DE INSTALACIÓN) </v>
          </cell>
          <cell r="F1059" t="str">
            <v>m3</v>
          </cell>
          <cell r="G1059">
            <v>25.529411764705884</v>
          </cell>
          <cell r="H1059">
            <v>286818</v>
          </cell>
          <cell r="I1059">
            <v>7322294.823529412</v>
          </cell>
          <cell r="J1059">
            <v>10104766.856470589</v>
          </cell>
        </row>
        <row r="1060">
          <cell r="D1060" t="str">
            <v>SUMINISTRO E INSTALACIÓN DE GEOTEXTILES</v>
          </cell>
          <cell r="F1060" t="str">
            <v>m2</v>
          </cell>
          <cell r="G1060">
            <v>887.17647058823525</v>
          </cell>
          <cell r="H1060">
            <v>54177</v>
          </cell>
          <cell r="I1060">
            <v>48064559.647058822</v>
          </cell>
          <cell r="J1060">
            <v>66329092.312941171</v>
          </cell>
        </row>
        <row r="1061">
          <cell r="C1061" t="str">
            <v>10.17.16</v>
          </cell>
          <cell r="D1061" t="str">
            <v xml:space="preserve">         HITO: FINALIZACION DE ACTIVIDADES EN CIMENTACION WP39</v>
          </cell>
          <cell r="E1061" t="str">
            <v>0 días</v>
          </cell>
          <cell r="F1061">
            <v>0</v>
          </cell>
        </row>
        <row r="1062">
          <cell r="C1062" t="str">
            <v>10.18</v>
          </cell>
          <cell r="D1062" t="str">
            <v xml:space="preserve">      CIMENTACION WP23</v>
          </cell>
          <cell r="E1062" t="str">
            <v>60 días</v>
          </cell>
          <cell r="F1062">
            <v>0</v>
          </cell>
        </row>
        <row r="1063">
          <cell r="C1063" t="str">
            <v>10.18.1</v>
          </cell>
          <cell r="D1063" t="str">
            <v xml:space="preserve">         DESBROCE DE AREA DE ACOPIO DE TORRE Y DE PALAS WP23</v>
          </cell>
          <cell r="E1063" t="str">
            <v>8 días</v>
          </cell>
          <cell r="F1063">
            <v>0</v>
          </cell>
          <cell r="J1063">
            <v>83271780.884117648</v>
          </cell>
        </row>
        <row r="1064">
          <cell r="D1064" t="str">
            <v>DESBROCE Y LIMPIEZA</v>
          </cell>
          <cell r="F1064" t="str">
            <v>m2</v>
          </cell>
          <cell r="G1064">
            <v>4799.0294117647063</v>
          </cell>
          <cell r="H1064">
            <v>4140</v>
          </cell>
          <cell r="I1064">
            <v>19867981.764705885</v>
          </cell>
          <cell r="J1064">
            <v>27417814.83529412</v>
          </cell>
        </row>
        <row r="1065">
          <cell r="D1065" t="str">
            <v>SUMINISTRO DE COMISION TOPOGRAFICA
 (incluyede GPS, Estación Total, tránsitos, distanciómetros, niveles de precisión, miras, prismas, jalones, plomadas, cintas métricas, etc., un cadenero primero , un cadenero segundo, ingeniero topógrafo/topógrafo con matricula vigente, insumos para ralizar la actividad, licencias de software utilizado para la ejecución de los trabajos, movilización de personal equipos y entregables en archivos magnéticos)</v>
          </cell>
          <cell r="F1065" t="str">
            <v>Mes</v>
          </cell>
          <cell r="G1065">
            <v>0.2</v>
          </cell>
          <cell r="H1065">
            <v>31500000</v>
          </cell>
          <cell r="I1065">
            <v>6300000</v>
          </cell>
          <cell r="J1065">
            <v>8694000</v>
          </cell>
        </row>
        <row r="1066">
          <cell r="D1066" t="str">
            <v>DESMONTE, DESCAPOTE Y LIMPIEZA INCLUYE  TALA DE ARBOLES CON DAP ≤0.15M, TRANSPORTE Y DISPOSICIÓN FINAL</v>
          </cell>
          <cell r="F1066" t="str">
            <v>m2</v>
          </cell>
          <cell r="G1066">
            <v>4799.0294117647063</v>
          </cell>
          <cell r="H1066">
            <v>7121</v>
          </cell>
          <cell r="I1066">
            <v>34173888.441176474</v>
          </cell>
          <cell r="J1066">
            <v>47159966.048823528</v>
          </cell>
        </row>
        <row r="1067">
          <cell r="C1067" t="str">
            <v>10.18.2</v>
          </cell>
          <cell r="D1067" t="str">
            <v xml:space="preserve">         EXCAVACIÓN DE CIMENTACION WP23</v>
          </cell>
          <cell r="E1067" t="str">
            <v>7 días</v>
          </cell>
          <cell r="F1067">
            <v>0</v>
          </cell>
          <cell r="J1067">
            <v>312374505.66882348</v>
          </cell>
        </row>
        <row r="1068">
          <cell r="D1068" t="str">
            <v>EXCAVACIÓN MECÁNICA EN MATERIAL COMÚN</v>
          </cell>
          <cell r="F1068" t="str">
            <v>m3</v>
          </cell>
          <cell r="G1068">
            <v>4799.0294117647063</v>
          </cell>
          <cell r="H1068">
            <v>35495</v>
          </cell>
          <cell r="I1068">
            <v>170341548.97058824</v>
          </cell>
          <cell r="J1068">
            <v>235071337.57941175</v>
          </cell>
        </row>
        <row r="1069">
          <cell r="D1069" t="str">
            <v>EXCAVACIÓN EN ROCA</v>
          </cell>
          <cell r="F1069" t="str">
            <v>m3</v>
          </cell>
          <cell r="G1069">
            <v>414.35294117647061</v>
          </cell>
          <cell r="H1069">
            <v>135191</v>
          </cell>
          <cell r="I1069">
            <v>56016788.470588237</v>
          </cell>
          <cell r="J1069">
            <v>77303168.089411765</v>
          </cell>
        </row>
        <row r="1070">
          <cell r="C1070" t="str">
            <v>10.18.3</v>
          </cell>
          <cell r="D1070" t="str">
            <v xml:space="preserve">         BANCO DE DUCTO WP23</v>
          </cell>
          <cell r="E1070" t="str">
            <v>3 días</v>
          </cell>
          <cell r="F1070">
            <v>0</v>
          </cell>
          <cell r="J1070">
            <v>9527825.6870364472</v>
          </cell>
        </row>
        <row r="1071">
          <cell r="D1071" t="str">
            <v>INSTALACION DE TUBERIA PVC TIPO TDP Y/O CORRUGADA TIPO PEAD-HDPE  - 50mm</v>
          </cell>
          <cell r="F1071" t="str">
            <v>ML</v>
          </cell>
          <cell r="G1071">
            <v>7.2352941176470589</v>
          </cell>
          <cell r="H1071">
            <v>27751.000385791169</v>
          </cell>
          <cell r="I1071">
            <v>200786.64985013611</v>
          </cell>
          <cell r="J1071">
            <v>277085.57679318782</v>
          </cell>
        </row>
        <row r="1072">
          <cell r="D1072" t="str">
            <v>INSTALACION DE TUBERIA PVC TIPO TDP Y/O CORRUGADA TIPO PEAD-HDPE - 90mm</v>
          </cell>
          <cell r="F1072" t="str">
            <v>ML</v>
          </cell>
          <cell r="G1072">
            <v>34.694117647058818</v>
          </cell>
          <cell r="H1072">
            <v>31239.000009014315</v>
          </cell>
          <cell r="I1072">
            <v>1083809.5414892142</v>
          </cell>
          <cell r="J1072">
            <v>1495657.1672551155</v>
          </cell>
        </row>
        <row r="1073">
          <cell r="D1073" t="str">
            <v>INSTALACION DE TUBERIA PVC TIPO TDP  Y/O CORRUGADA TIPO PEAD-HDPE - 200mm</v>
          </cell>
          <cell r="F1073" t="str">
            <v>ML</v>
          </cell>
          <cell r="G1073">
            <v>70.332352941176467</v>
          </cell>
          <cell r="H1073">
            <v>79900.999838665448</v>
          </cell>
          <cell r="I1073">
            <v>5619625.3210059023</v>
          </cell>
          <cell r="J1073">
            <v>7755082.9429881442</v>
          </cell>
        </row>
        <row r="1074">
          <cell r="C1074" t="str">
            <v>10.18.4</v>
          </cell>
          <cell r="D1074" t="str">
            <v xml:space="preserve">         COMPACTACION DE SELLO DE BASE WP23</v>
          </cell>
          <cell r="E1074" t="str">
            <v>2 días</v>
          </cell>
          <cell r="F1074">
            <v>0</v>
          </cell>
          <cell r="J1074">
            <v>320494616.71764702</v>
          </cell>
        </row>
        <row r="1075">
          <cell r="D1075" t="str">
            <v>RELLENO CON MATERIAL DE EXCAVACIÓN SELECCIONADO</v>
          </cell>
          <cell r="F1075" t="str">
            <v>m3</v>
          </cell>
          <cell r="G1075">
            <v>4530.6764705882351</v>
          </cell>
          <cell r="H1075">
            <v>51260</v>
          </cell>
          <cell r="I1075">
            <v>232242475.88235292</v>
          </cell>
          <cell r="J1075">
            <v>320494616.71764702</v>
          </cell>
        </row>
        <row r="1076">
          <cell r="C1076" t="str">
            <v>10.18.5</v>
          </cell>
          <cell r="D1076" t="str">
            <v xml:space="preserve">         SOLADO WP23</v>
          </cell>
          <cell r="E1076" t="str">
            <v>1 día</v>
          </cell>
          <cell r="F1076">
            <v>0</v>
          </cell>
          <cell r="J1076">
            <v>94303618.549411759</v>
          </cell>
        </row>
        <row r="1077">
          <cell r="D1077" t="str">
            <v>CONCRETO CLASE F (140 kg/cm2 Ó 2000 psi)</v>
          </cell>
          <cell r="F1077" t="str">
            <v>m3</v>
          </cell>
          <cell r="G1077">
            <v>43.941176470588232</v>
          </cell>
          <cell r="H1077">
            <v>1555169</v>
          </cell>
          <cell r="I1077">
            <v>68335955.470588237</v>
          </cell>
          <cell r="J1077">
            <v>94303618.549411759</v>
          </cell>
        </row>
        <row r="1078">
          <cell r="C1078" t="str">
            <v>10.18.6</v>
          </cell>
          <cell r="D1078" t="str">
            <v xml:space="preserve">         INSTALACIÓN DE PERNOS Y SOFT-SPOT WP23</v>
          </cell>
          <cell r="E1078" t="str">
            <v>5 días</v>
          </cell>
          <cell r="F1078">
            <v>0</v>
          </cell>
          <cell r="J1078">
            <v>179436034.15411764</v>
          </cell>
        </row>
        <row r="1079">
          <cell r="D1079" t="str">
            <v>S0FT-SPOT  (EPS) Tipo II (ASM C578)</v>
          </cell>
          <cell r="F1079" t="str">
            <v>m2</v>
          </cell>
          <cell r="G1079">
            <v>62.117647058823529</v>
          </cell>
          <cell r="H1079">
            <v>484846</v>
          </cell>
          <cell r="I1079">
            <v>30117492.705882352</v>
          </cell>
          <cell r="J1079">
            <v>41562139.934117645</v>
          </cell>
        </row>
        <row r="1080">
          <cell r="D1080" t="str">
            <v>MONTAJE Y NIVELACION DE LA JAULA DE ANCLAJES INCLUYE  LA PREPARACIÓN
 DEL ÁREA, LA NIVELACIÓN Y POSICIONAMIENTO DE LOS COMPONENTES (COMO PLANTILLAS Y VARILLAS), EL ENSAMBLAJE DE LA ESTRUCTURA, LA FIJACIÓN FINAL A LA CIMENTACIÓN CON PERNOS DE ANCLAJE, MONTAJE DE BRIDAS, TORQUE Y LIBERACIÓN DE LA CESTA, INCLUYE LA HERRAMIENTA Y EQUIPO DE INSTALACIÓN (peso estimado por jaula 13896  kg)</v>
          </cell>
          <cell r="F1080" t="str">
            <v>Und</v>
          </cell>
          <cell r="G1080">
            <v>1</v>
          </cell>
          <cell r="H1080">
            <v>99908619</v>
          </cell>
          <cell r="I1080">
            <v>99908619</v>
          </cell>
          <cell r="J1080">
            <v>137873894.22</v>
          </cell>
        </row>
        <row r="1081">
          <cell r="C1081" t="str">
            <v>10.18.7</v>
          </cell>
          <cell r="D1081" t="str">
            <v xml:space="preserve">         INSTALACIÓN DE ACERO DE REFUERZO WP23</v>
          </cell>
          <cell r="E1081" t="str">
            <v>14 días</v>
          </cell>
          <cell r="F1081">
            <v>0</v>
          </cell>
          <cell r="J1081">
            <v>1212623361.2117648</v>
          </cell>
        </row>
        <row r="1082">
          <cell r="D1082" t="str">
            <v>ACERO FY:  60000 psi (4.200 kg/cm2)</v>
          </cell>
          <cell r="F1082" t="str">
            <v>kg</v>
          </cell>
          <cell r="G1082">
            <v>68756.852941176476</v>
          </cell>
          <cell r="H1082">
            <v>12780</v>
          </cell>
          <cell r="I1082">
            <v>878712580.58823538</v>
          </cell>
          <cell r="J1082">
            <v>1212623361.2117648</v>
          </cell>
        </row>
        <row r="1083">
          <cell r="C1083" t="str">
            <v>10.18.8</v>
          </cell>
          <cell r="D1083" t="str">
            <v xml:space="preserve">         ENCOFRADO DE ZAPATA Y DE PEDESTAL WP23</v>
          </cell>
          <cell r="E1083" t="str">
            <v>3 días</v>
          </cell>
          <cell r="F1083">
            <v>0</v>
          </cell>
        </row>
        <row r="1084">
          <cell r="C1084" t="str">
            <v>10.18.9</v>
          </cell>
          <cell r="D1084" t="str">
            <v xml:space="preserve">         HITO: ALISTAMIENTO Y MOVILIZACIÓN DE PLANTA DE CONCRETO PARA WP23</v>
          </cell>
          <cell r="E1084" t="str">
            <v>0 días</v>
          </cell>
          <cell r="F1084">
            <v>0</v>
          </cell>
        </row>
        <row r="1085">
          <cell r="C1085" t="str">
            <v>10.18.10</v>
          </cell>
          <cell r="D1085" t="str">
            <v xml:space="preserve">         FUNDIDA WP23</v>
          </cell>
          <cell r="E1085" t="str">
            <v>1 día</v>
          </cell>
          <cell r="F1085">
            <v>0</v>
          </cell>
          <cell r="J1085">
            <v>1230815225.9452939</v>
          </cell>
        </row>
        <row r="1086">
          <cell r="D1086" t="str">
            <v>CONCRETO ESTRUCTURAL  35 MPa(350 kg/cm2 Ó 5000 psi)</v>
          </cell>
          <cell r="F1086" t="str">
            <v>m3</v>
          </cell>
          <cell r="G1086">
            <v>429.02941176470586</v>
          </cell>
          <cell r="H1086">
            <v>1926653</v>
          </cell>
          <cell r="I1086">
            <v>826590803.26470578</v>
          </cell>
          <cell r="J1086">
            <v>1140695308.5052938</v>
          </cell>
        </row>
        <row r="1087">
          <cell r="D1087" t="str">
            <v>CONCRETO ESTRUCTURAL  45 MPa(457 kg/cm2 Ó 6500psi)</v>
          </cell>
          <cell r="F1087" t="str">
            <v>m3</v>
          </cell>
          <cell r="G1087">
            <v>32</v>
          </cell>
          <cell r="H1087">
            <v>2040759</v>
          </cell>
          <cell r="I1087">
            <v>65304288</v>
          </cell>
          <cell r="J1087">
            <v>90119917.439999998</v>
          </cell>
        </row>
        <row r="1088">
          <cell r="C1088" t="str">
            <v>10.18.11</v>
          </cell>
          <cell r="D1088" t="str">
            <v xml:space="preserve">         CURADO DEL CONCRETO WP23</v>
          </cell>
          <cell r="E1088" t="str">
            <v>5 días</v>
          </cell>
          <cell r="F1088">
            <v>0</v>
          </cell>
        </row>
        <row r="1089">
          <cell r="C1089" t="str">
            <v>10.18.12</v>
          </cell>
          <cell r="D1089" t="str">
            <v xml:space="preserve">         INSTALACIONES ELECTRICAS Y SISTEMA PUESTA TIERRA WP23</v>
          </cell>
          <cell r="E1089" t="str">
            <v>2 días</v>
          </cell>
          <cell r="F1089">
            <v>0</v>
          </cell>
          <cell r="J1089">
            <v>52736347.43270281</v>
          </cell>
        </row>
        <row r="1090">
          <cell r="D1090" t="str">
            <v>ARQUETA EN HORMIGON PARA MEDIA TENSION - EMPALMES (500 MT)</v>
          </cell>
          <cell r="F1090" t="str">
            <v>Und</v>
          </cell>
          <cell r="G1090">
            <v>1</v>
          </cell>
          <cell r="H1090">
            <v>12275310.999985719</v>
          </cell>
          <cell r="I1090">
            <v>12275310.999985719</v>
          </cell>
          <cell r="J1090">
            <v>16939929.179980289</v>
          </cell>
        </row>
        <row r="1091">
          <cell r="D1091" t="str">
            <v>ARQUETA EN POLIPROPILENO</v>
          </cell>
          <cell r="F1091" t="str">
            <v>Und</v>
          </cell>
          <cell r="G1091">
            <v>1</v>
          </cell>
          <cell r="H1091">
            <v>6068599.9996856553</v>
          </cell>
          <cell r="I1091">
            <v>6068599.9996856553</v>
          </cell>
          <cell r="J1091">
            <v>8374667.9995662039</v>
          </cell>
        </row>
        <row r="1092">
          <cell r="D1092" t="str">
            <v>SUMINISTRO E INSTALACIÓN DE PLATINA</v>
          </cell>
          <cell r="F1092" t="str">
            <v>Und</v>
          </cell>
          <cell r="G1092">
            <v>1</v>
          </cell>
          <cell r="H1092">
            <v>361570</v>
          </cell>
          <cell r="I1092">
            <v>361570</v>
          </cell>
          <cell r="J1092">
            <v>498966.6</v>
          </cell>
        </row>
        <row r="1093">
          <cell r="D1093" t="str">
            <v>SUMINISTRO E INSTALACIÓN DE VARILLA</v>
          </cell>
          <cell r="F1093" t="str">
            <v>Und</v>
          </cell>
          <cell r="G1093">
            <v>1</v>
          </cell>
          <cell r="H1093">
            <v>398933</v>
          </cell>
          <cell r="I1093">
            <v>398933</v>
          </cell>
          <cell r="J1093">
            <v>550527.53999999992</v>
          </cell>
        </row>
        <row r="1094">
          <cell r="D1094" t="str">
            <v>SUMINISTRO E INSTALACIÓN DE ARQUETA PARA INSPECCIÓN DE PICAS EN PUESTA A TIERRA SIN FONDO</v>
          </cell>
          <cell r="F1094" t="str">
            <v>Und</v>
          </cell>
          <cell r="G1094">
            <v>1</v>
          </cell>
          <cell r="H1094">
            <v>14275700</v>
          </cell>
          <cell r="I1094">
            <v>14275700</v>
          </cell>
          <cell r="J1094">
            <v>19700466</v>
          </cell>
        </row>
        <row r="1095">
          <cell r="D1095" t="str">
            <v>SUMINISTRO E INSTALACIÓN DE SOLDADURA EXOTERMICA</v>
          </cell>
          <cell r="F1095" t="str">
            <v>Und</v>
          </cell>
          <cell r="G1095">
            <v>2.8000000000000003</v>
          </cell>
          <cell r="H1095">
            <v>185231</v>
          </cell>
          <cell r="I1095">
            <v>518646.80000000005</v>
          </cell>
          <cell r="J1095">
            <v>715732.58400000003</v>
          </cell>
        </row>
        <row r="1096">
          <cell r="D1096" t="str">
            <v>SUMINISTRO E INSTALACIÓN DE GRAPA DE ALEACIÓN RICA EN COBRE (LATÓN) MODELO KZ</v>
          </cell>
          <cell r="F1096" t="str">
            <v>Und</v>
          </cell>
          <cell r="G1096">
            <v>1</v>
          </cell>
          <cell r="H1096">
            <v>292083</v>
          </cell>
          <cell r="I1096">
            <v>292083</v>
          </cell>
          <cell r="J1096">
            <v>403074.54</v>
          </cell>
        </row>
        <row r="1097">
          <cell r="D1097" t="str">
            <v>SUMINISTRO E INSTALACIÓN DE GRAPA DE ALEACIÓN RICA EN COBRE (LATÓN) MODELO KPD</v>
          </cell>
          <cell r="F1097" t="str">
            <v>Und</v>
          </cell>
          <cell r="G1097">
            <v>0.99393939393939412</v>
          </cell>
          <cell r="H1097">
            <v>292083</v>
          </cell>
          <cell r="I1097">
            <v>290312.80000000005</v>
          </cell>
          <cell r="J1097">
            <v>400631.66400000005</v>
          </cell>
        </row>
        <row r="1098">
          <cell r="D1098" t="str">
            <v xml:space="preserve">INSTALACIÓN DE CABLE DE COBRE TRENZADO DESNUDO DE 50 mm2 </v>
          </cell>
          <cell r="F1098" t="str">
            <v>ML</v>
          </cell>
          <cell r="G1098">
            <v>113.1390243902439</v>
          </cell>
          <cell r="H1098">
            <v>33000.000989065411</v>
          </cell>
          <cell r="I1098">
            <v>3733587.9167799447</v>
          </cell>
          <cell r="J1098">
            <v>5152351.3251563236</v>
          </cell>
        </row>
        <row r="1099">
          <cell r="C1099" t="str">
            <v>10.18.13</v>
          </cell>
          <cell r="D1099" t="str">
            <v xml:space="preserve">         INSTALACION DE GROUT Y MORTERO AUTOCOMPACTANTE DE ALTA RESISTENCIA WP23</v>
          </cell>
          <cell r="E1099" t="str">
            <v>2 días</v>
          </cell>
          <cell r="F1099">
            <v>0</v>
          </cell>
          <cell r="J1099">
            <v>46410609.014634147</v>
          </cell>
        </row>
        <row r="1100">
          <cell r="D1100" t="str">
            <v>GROUT Y  MORTERO AUTOCOMPACTANTE DE ALTA RESISTENCIA C80/95 (EN206-1)</v>
          </cell>
          <cell r="F1100" t="str">
            <v>lt</v>
          </cell>
          <cell r="G1100">
            <v>530.73170731707319</v>
          </cell>
          <cell r="H1100">
            <v>63367</v>
          </cell>
          <cell r="I1100">
            <v>33630876.097560979</v>
          </cell>
          <cell r="J1100">
            <v>46410609.014634147</v>
          </cell>
        </row>
        <row r="1101">
          <cell r="C1101" t="str">
            <v>10.18.14</v>
          </cell>
          <cell r="D1101" t="str">
            <v xml:space="preserve">         TAPADO AREA DE CIMENTACIÓN Y CONFORMACIÓN DE PLATAFORMA WP23</v>
          </cell>
          <cell r="E1101" t="str">
            <v>7 días</v>
          </cell>
          <cell r="F1101">
            <v>0</v>
          </cell>
          <cell r="J1101">
            <v>1587346329.5488234</v>
          </cell>
        </row>
        <row r="1102">
          <cell r="D1102" t="str">
            <v>MATERIAL SELECIONADA PARA  FORMACIÓN Y COMPACTACIÓN DE TERRAPLENES Y RELLENO ESTRUCTURAL  (INCLUYE TRANSPORTE DESDE LAS CANTERAS LICENCIADAS HASTA EL SITIO DE INSTALACIÓN)</v>
          </cell>
          <cell r="F1102" t="str">
            <v>m3</v>
          </cell>
          <cell r="G1102">
            <v>5388.7058823529414</v>
          </cell>
          <cell r="H1102">
            <v>174890</v>
          </cell>
          <cell r="I1102">
            <v>942430771.7647059</v>
          </cell>
          <cell r="J1102">
            <v>1300554465.0352941</v>
          </cell>
        </row>
        <row r="1103">
          <cell r="D1103" t="str">
            <v>PREPARACIÓN DE SUBRASANTE COMPACTACIÓN Y VALORACIÓN DE LA CAPA DE SUBRASANTE DE LOS VIALES. INCLUYENDO LAS PRUEBAS SEGÚN LO PRESCRITO.</v>
          </cell>
          <cell r="F1103" t="str">
            <v>m2</v>
          </cell>
          <cell r="G1103">
            <v>631.61764705882354</v>
          </cell>
          <cell r="H1103">
            <v>11537</v>
          </cell>
          <cell r="I1103">
            <v>7286972.7941176472</v>
          </cell>
          <cell r="J1103">
            <v>10056022.455882352</v>
          </cell>
        </row>
        <row r="1104">
          <cell r="D1104" t="str">
            <v>SUBBASE GRANULAR  (INCLUYE TRANSPORTE DESDE LAS CANTERAS LICENCIADAS HASTA EL SITIO DE INSTALACIÓN)</v>
          </cell>
          <cell r="F1104" t="str">
            <v>m3</v>
          </cell>
          <cell r="G1104">
            <v>880.85294117647061</v>
          </cell>
          <cell r="H1104">
            <v>227658</v>
          </cell>
          <cell r="I1104">
            <v>200533218.88235295</v>
          </cell>
          <cell r="J1104">
            <v>276735842.05764705</v>
          </cell>
        </row>
        <row r="1105">
          <cell r="C1105" t="str">
            <v>10.18.15</v>
          </cell>
          <cell r="D1105" t="str">
            <v xml:space="preserve">         ESTABILIZACIÓN DE TALUDES EN PLATAFORMA Y RECONFORMACION FINAL WP23</v>
          </cell>
          <cell r="E1105" t="str">
            <v>7 días</v>
          </cell>
          <cell r="F1105">
            <v>0</v>
          </cell>
          <cell r="J1105">
            <v>179532477.23999998</v>
          </cell>
        </row>
        <row r="1106">
          <cell r="D1106" t="str">
            <v>BASE GRANULAR   (INCLUYE TRANSPORTE DESDE LAS CANTERAS LICENCIADAS HASTA EL SITIO DE INSTALACIÓN)</v>
          </cell>
          <cell r="F1106" t="str">
            <v>m3</v>
          </cell>
          <cell r="G1106">
            <v>237.64705882352942</v>
          </cell>
          <cell r="H1106">
            <v>265112</v>
          </cell>
          <cell r="I1106">
            <v>63003087.058823533</v>
          </cell>
          <cell r="J1106">
            <v>86944260.141176462</v>
          </cell>
        </row>
        <row r="1107">
          <cell r="D1107" t="str">
            <v xml:space="preserve">ENROCADO PROTECCIÓN TALUD PLATAFORMAS PROTECCIÓN CON ENROCADO DE PIEDRA DEL TALUD DE LAS PLATAFORMAS EN TERRAPLÉN CON 30 CM DE PIEDRA DE 6-10 CM DE DIÁMETRO, PESO ESPECÍFICO DE LAS PIEDRAS DE 2,64  G/CM3  (INCLUYE TRANSPORTE DESDE LAS CANTERAS LICENCIADAS HASTA EL SITIO DE INSTALACIÓN) </v>
          </cell>
          <cell r="F1107" t="str">
            <v>m3</v>
          </cell>
          <cell r="G1107">
            <v>42.352941176470587</v>
          </cell>
          <cell r="H1107">
            <v>276393</v>
          </cell>
          <cell r="I1107">
            <v>11706056.470588235</v>
          </cell>
          <cell r="J1107">
            <v>16154357.929411763</v>
          </cell>
        </row>
        <row r="1108">
          <cell r="D1108" t="str">
            <v xml:space="preserve">ENROCADO PROTECCIÓN TALUD CIMENTACION PROTECCIÓN CON ENROCADO DE PIEDRA DEL TALUD DE LAS CIMENTACIONES EN TERRAPLÉN CON 30 CM DE PIEDRA DE 6-10 CM DE DIÁMETRO, PESO ESPECÍFICO DE LAS PIEDRAS DE 2,64 G/CM3   (INCLUYE TRANSPORTE DESDE LAS CANTERAS LICENCIADAS HASTA EL SITIO DE INSTALACIÓN) </v>
          </cell>
          <cell r="F1108" t="str">
            <v>m3</v>
          </cell>
          <cell r="G1108">
            <v>25.529411764705884</v>
          </cell>
          <cell r="H1108">
            <v>286818</v>
          </cell>
          <cell r="I1108">
            <v>7322294.823529412</v>
          </cell>
          <cell r="J1108">
            <v>10104766.856470589</v>
          </cell>
        </row>
        <row r="1109">
          <cell r="D1109" t="str">
            <v>SUMINISTRO E INSTALACIÓN DE GEOTEXTILES</v>
          </cell>
          <cell r="F1109" t="str">
            <v>m2</v>
          </cell>
          <cell r="G1109">
            <v>887.17647058823525</v>
          </cell>
          <cell r="H1109">
            <v>54177</v>
          </cell>
          <cell r="I1109">
            <v>48064559.647058822</v>
          </cell>
          <cell r="J1109">
            <v>66329092.312941171</v>
          </cell>
        </row>
        <row r="1110">
          <cell r="C1110" t="str">
            <v>10.18.16</v>
          </cell>
          <cell r="D1110" t="str">
            <v xml:space="preserve">         HITO: FINALIZACION DE ACTIVIDADES EN CIMENTACION WP23</v>
          </cell>
          <cell r="E1110" t="str">
            <v>0 días</v>
          </cell>
          <cell r="F1110">
            <v>0</v>
          </cell>
        </row>
        <row r="1111">
          <cell r="C1111" t="str">
            <v>10.19</v>
          </cell>
          <cell r="D1111" t="str">
            <v xml:space="preserve">      CIMENTACION WP24</v>
          </cell>
          <cell r="E1111" t="str">
            <v>60 días</v>
          </cell>
          <cell r="F1111">
            <v>0</v>
          </cell>
        </row>
        <row r="1112">
          <cell r="C1112" t="str">
            <v>10.19.1</v>
          </cell>
          <cell r="D1112" t="str">
            <v xml:space="preserve">         DESBROCE DE AREA DE ACOPIO DE TORRE Y DE PALAS WP24</v>
          </cell>
          <cell r="E1112" t="str">
            <v>8 días</v>
          </cell>
          <cell r="F1112">
            <v>0</v>
          </cell>
          <cell r="J1112">
            <v>83271780.884117648</v>
          </cell>
        </row>
        <row r="1113">
          <cell r="D1113" t="str">
            <v>DESBROCE Y LIMPIEZA</v>
          </cell>
          <cell r="F1113" t="str">
            <v>m2</v>
          </cell>
          <cell r="G1113">
            <v>4799.0294117647063</v>
          </cell>
          <cell r="H1113">
            <v>4140</v>
          </cell>
          <cell r="I1113">
            <v>19867981.764705885</v>
          </cell>
          <cell r="J1113">
            <v>27417814.83529412</v>
          </cell>
        </row>
        <row r="1114">
          <cell r="D1114" t="str">
            <v>SUMINISTRO DE COMISION TOPOGRAFICA
 (incluyede GPS, Estación Total, tránsitos, distanciómetros, niveles de precisión, miras, prismas, jalones, plomadas, cintas métricas, etc., un cadenero primero , un cadenero segundo, ingeniero topógrafo/topógrafo con matricula vigente, insumos para ralizar la actividad, licencias de software utilizado para la ejecución de los trabajos, movilización de personal equipos y entregables en archivos magnéticos)</v>
          </cell>
          <cell r="F1114" t="str">
            <v>Mes</v>
          </cell>
          <cell r="G1114">
            <v>0.2</v>
          </cell>
          <cell r="H1114">
            <v>31500000</v>
          </cell>
          <cell r="I1114">
            <v>6300000</v>
          </cell>
          <cell r="J1114">
            <v>8694000</v>
          </cell>
        </row>
        <row r="1115">
          <cell r="D1115" t="str">
            <v>DESMONTE, DESCAPOTE Y LIMPIEZA INCLUYE  TALA DE ARBOLES CON DAP ≤0.15M, TRANSPORTE Y DISPOSICIÓN FINAL</v>
          </cell>
          <cell r="F1115" t="str">
            <v>m2</v>
          </cell>
          <cell r="G1115">
            <v>4799.0294117647063</v>
          </cell>
          <cell r="H1115">
            <v>7121</v>
          </cell>
          <cell r="I1115">
            <v>34173888.441176474</v>
          </cell>
          <cell r="J1115">
            <v>47159966.048823528</v>
          </cell>
        </row>
        <row r="1116">
          <cell r="C1116" t="str">
            <v>10.19.2</v>
          </cell>
          <cell r="D1116" t="str">
            <v xml:space="preserve">         EXCAVACIÓN DE CIMENTACION WP24</v>
          </cell>
          <cell r="E1116" t="str">
            <v>7 días</v>
          </cell>
          <cell r="F1116">
            <v>0</v>
          </cell>
          <cell r="J1116">
            <v>312374505.66882348</v>
          </cell>
        </row>
        <row r="1117">
          <cell r="D1117" t="str">
            <v>EXCAVACIÓN MECÁNICA EN MATERIAL COMÚN</v>
          </cell>
          <cell r="F1117" t="str">
            <v>m3</v>
          </cell>
          <cell r="G1117">
            <v>4799.0294117647063</v>
          </cell>
          <cell r="H1117">
            <v>35495</v>
          </cell>
          <cell r="I1117">
            <v>170341548.97058824</v>
          </cell>
          <cell r="J1117">
            <v>235071337.57941175</v>
          </cell>
        </row>
        <row r="1118">
          <cell r="D1118" t="str">
            <v>EXCAVACIÓN EN ROCA</v>
          </cell>
          <cell r="F1118" t="str">
            <v>m3</v>
          </cell>
          <cell r="G1118">
            <v>414.35294117647061</v>
          </cell>
          <cell r="H1118">
            <v>135191</v>
          </cell>
          <cell r="I1118">
            <v>56016788.470588237</v>
          </cell>
          <cell r="J1118">
            <v>77303168.089411765</v>
          </cell>
        </row>
        <row r="1119">
          <cell r="C1119" t="str">
            <v>10.19.3</v>
          </cell>
          <cell r="D1119" t="str">
            <v xml:space="preserve">         BANCO DE DUCTO WP24</v>
          </cell>
          <cell r="E1119" t="str">
            <v>3 días</v>
          </cell>
          <cell r="F1119">
            <v>0</v>
          </cell>
          <cell r="J1119">
            <v>9527825.6870364472</v>
          </cell>
        </row>
        <row r="1120">
          <cell r="D1120" t="str">
            <v>INSTALACION DE TUBERIA PVC TIPO TDP Y/O CORRUGADA TIPO PEAD-HDPE  - 50mm</v>
          </cell>
          <cell r="F1120" t="str">
            <v>ML</v>
          </cell>
          <cell r="G1120">
            <v>7.2352941176470589</v>
          </cell>
          <cell r="H1120">
            <v>27751.000385791169</v>
          </cell>
          <cell r="I1120">
            <v>200786.64985013611</v>
          </cell>
          <cell r="J1120">
            <v>277085.57679318782</v>
          </cell>
        </row>
        <row r="1121">
          <cell r="D1121" t="str">
            <v>INSTALACION DE TUBERIA PVC TIPO TDP Y/O CORRUGADA TIPO PEAD-HDPE - 90mm</v>
          </cell>
          <cell r="F1121" t="str">
            <v>ML</v>
          </cell>
          <cell r="G1121">
            <v>34.694117647058818</v>
          </cell>
          <cell r="H1121">
            <v>31239.000009014315</v>
          </cell>
          <cell r="I1121">
            <v>1083809.5414892142</v>
          </cell>
          <cell r="J1121">
            <v>1495657.1672551155</v>
          </cell>
        </row>
        <row r="1122">
          <cell r="D1122" t="str">
            <v>INSTALACION DE TUBERIA PVC TIPO TDP  Y/O CORRUGADA TIPO PEAD-HDPE - 200mm</v>
          </cell>
          <cell r="F1122" t="str">
            <v>ML</v>
          </cell>
          <cell r="G1122">
            <v>70.332352941176467</v>
          </cell>
          <cell r="H1122">
            <v>79900.999838665448</v>
          </cell>
          <cell r="I1122">
            <v>5619625.3210059023</v>
          </cell>
          <cell r="J1122">
            <v>7755082.9429881442</v>
          </cell>
        </row>
        <row r="1123">
          <cell r="C1123" t="str">
            <v>10.19.4</v>
          </cell>
          <cell r="D1123" t="str">
            <v xml:space="preserve">         COMPACTACION DE SELLO DE BASE WP24</v>
          </cell>
          <cell r="E1123" t="str">
            <v>2 días</v>
          </cell>
          <cell r="F1123">
            <v>0</v>
          </cell>
          <cell r="J1123">
            <v>320494616.71764702</v>
          </cell>
        </row>
        <row r="1124">
          <cell r="D1124" t="str">
            <v>RELLENO CON MATERIAL DE EXCAVACIÓN SELECCIONADO</v>
          </cell>
          <cell r="F1124" t="str">
            <v>m3</v>
          </cell>
          <cell r="G1124">
            <v>4530.6764705882351</v>
          </cell>
          <cell r="H1124">
            <v>51260</v>
          </cell>
          <cell r="I1124">
            <v>232242475.88235292</v>
          </cell>
          <cell r="J1124">
            <v>320494616.71764702</v>
          </cell>
        </row>
        <row r="1125">
          <cell r="C1125" t="str">
            <v>10.19.5</v>
          </cell>
          <cell r="D1125" t="str">
            <v xml:space="preserve">         SOLADO WP24</v>
          </cell>
          <cell r="E1125" t="str">
            <v>1 día</v>
          </cell>
          <cell r="F1125">
            <v>0</v>
          </cell>
          <cell r="J1125">
            <v>94303618.549411759</v>
          </cell>
        </row>
        <row r="1126">
          <cell r="D1126" t="str">
            <v>CONCRETO CLASE F (140 kg/cm2 Ó 2000 psi)</v>
          </cell>
          <cell r="F1126" t="str">
            <v>m3</v>
          </cell>
          <cell r="G1126">
            <v>43.941176470588232</v>
          </cell>
          <cell r="H1126">
            <v>1555169</v>
          </cell>
          <cell r="I1126">
            <v>68335955.470588237</v>
          </cell>
          <cell r="J1126">
            <v>94303618.549411759</v>
          </cell>
        </row>
        <row r="1127">
          <cell r="C1127" t="str">
            <v>10.19.6</v>
          </cell>
          <cell r="D1127" t="str">
            <v xml:space="preserve">         INSTALACIÓN DE PERNOS Y SOFT-SPOT WP24</v>
          </cell>
          <cell r="E1127" t="str">
            <v>5 días</v>
          </cell>
          <cell r="F1127">
            <v>0</v>
          </cell>
          <cell r="J1127">
            <v>179436034.15411764</v>
          </cell>
        </row>
        <row r="1128">
          <cell r="D1128" t="str">
            <v>S0FT-SPOT  (EPS) Tipo II (ASM C578)</v>
          </cell>
          <cell r="F1128" t="str">
            <v>m2</v>
          </cell>
          <cell r="G1128">
            <v>62.117647058823529</v>
          </cell>
          <cell r="H1128">
            <v>484846</v>
          </cell>
          <cell r="I1128">
            <v>30117492.705882352</v>
          </cell>
          <cell r="J1128">
            <v>41562139.934117645</v>
          </cell>
        </row>
        <row r="1129">
          <cell r="D1129" t="str">
            <v>MONTAJE Y NIVELACION DE LA JAULA DE ANCLAJES INCLUYE  LA PREPARACIÓN
 DEL ÁREA, LA NIVELACIÓN Y POSICIONAMIENTO DE LOS COMPONENTES (COMO PLANTILLAS Y VARILLAS), EL ENSAMBLAJE DE LA ESTRUCTURA, LA FIJACIÓN FINAL A LA CIMENTACIÓN CON PERNOS DE ANCLAJE, MONTAJE DE BRIDAS, TORQUE Y LIBERACIÓN DE LA CESTA, INCLUYE LA HERRAMIENTA Y EQUIPO DE INSTALACIÓN (peso estimado por jaula 13896  kg)</v>
          </cell>
          <cell r="F1129" t="str">
            <v>Und</v>
          </cell>
          <cell r="G1129">
            <v>1</v>
          </cell>
          <cell r="H1129">
            <v>99908619</v>
          </cell>
          <cell r="I1129">
            <v>99908619</v>
          </cell>
          <cell r="J1129">
            <v>137873894.22</v>
          </cell>
        </row>
        <row r="1130">
          <cell r="C1130" t="str">
            <v>10.19.7</v>
          </cell>
          <cell r="D1130" t="str">
            <v xml:space="preserve">         INSTALACIÓN DE ACERO DE REFUERZO WP24</v>
          </cell>
          <cell r="E1130" t="str">
            <v>14 días</v>
          </cell>
          <cell r="F1130">
            <v>0</v>
          </cell>
          <cell r="J1130">
            <v>1212623361.2117648</v>
          </cell>
        </row>
        <row r="1131">
          <cell r="D1131" t="str">
            <v>ACERO FY:  60000 psi (4.200 kg/cm2)</v>
          </cell>
          <cell r="F1131" t="str">
            <v>kg</v>
          </cell>
          <cell r="G1131">
            <v>68756.852941176476</v>
          </cell>
          <cell r="H1131">
            <v>12780</v>
          </cell>
          <cell r="I1131">
            <v>878712580.58823538</v>
          </cell>
          <cell r="J1131">
            <v>1212623361.2117648</v>
          </cell>
        </row>
        <row r="1132">
          <cell r="C1132" t="str">
            <v>10.19.8</v>
          </cell>
          <cell r="D1132" t="str">
            <v xml:space="preserve">         ENCOFRADO DE ZAPATA Y DE PEDESTAL WP24</v>
          </cell>
          <cell r="E1132" t="str">
            <v>3 días</v>
          </cell>
          <cell r="F1132">
            <v>0</v>
          </cell>
        </row>
        <row r="1133">
          <cell r="C1133" t="str">
            <v>10.19.9</v>
          </cell>
          <cell r="D1133" t="str">
            <v xml:space="preserve">         HITO: ALISTAMIENTO Y MOVILIZACIÓN DE PLANTA DE CONCRETO PARA WP24</v>
          </cell>
          <cell r="E1133" t="str">
            <v>0 días</v>
          </cell>
          <cell r="F1133">
            <v>0</v>
          </cell>
        </row>
        <row r="1134">
          <cell r="C1134" t="str">
            <v>10.19.10</v>
          </cell>
          <cell r="D1134" t="str">
            <v xml:space="preserve">         FUNDIDA WP24</v>
          </cell>
          <cell r="E1134" t="str">
            <v>1 día</v>
          </cell>
          <cell r="F1134">
            <v>0</v>
          </cell>
          <cell r="J1134">
            <v>1230815225.9452939</v>
          </cell>
        </row>
        <row r="1135">
          <cell r="D1135" t="str">
            <v>CONCRETO ESTRUCTURAL  35 MPa(350 kg/cm2 Ó 5000 psi)</v>
          </cell>
          <cell r="F1135" t="str">
            <v>m3</v>
          </cell>
          <cell r="G1135">
            <v>429.02941176470586</v>
          </cell>
          <cell r="H1135">
            <v>1926653</v>
          </cell>
          <cell r="I1135">
            <v>826590803.26470578</v>
          </cell>
          <cell r="J1135">
            <v>1140695308.5052938</v>
          </cell>
        </row>
        <row r="1136">
          <cell r="D1136" t="str">
            <v>CONCRETO ESTRUCTURAL  45 MPa(457 kg/cm2 Ó 6500psi)</v>
          </cell>
          <cell r="F1136" t="str">
            <v>m3</v>
          </cell>
          <cell r="G1136">
            <v>32</v>
          </cell>
          <cell r="H1136">
            <v>2040759</v>
          </cell>
          <cell r="I1136">
            <v>65304288</v>
          </cell>
          <cell r="J1136">
            <v>90119917.439999998</v>
          </cell>
        </row>
        <row r="1137">
          <cell r="C1137" t="str">
            <v>10.19.11</v>
          </cell>
          <cell r="D1137" t="str">
            <v xml:space="preserve">         CURADO DEL CONCRETO WP24</v>
          </cell>
          <cell r="E1137" t="str">
            <v>5 días</v>
          </cell>
          <cell r="F1137">
            <v>0</v>
          </cell>
        </row>
        <row r="1138">
          <cell r="C1138" t="str">
            <v>10.19.12</v>
          </cell>
          <cell r="D1138" t="str">
            <v xml:space="preserve">         INSTALACIONES ELECTRICAS Y SISTEMA PUESTA TIERRA WP24</v>
          </cell>
          <cell r="E1138" t="str">
            <v>2 días</v>
          </cell>
          <cell r="F1138">
            <v>0</v>
          </cell>
          <cell r="J1138">
            <v>52736347.43270281</v>
          </cell>
        </row>
        <row r="1139">
          <cell r="D1139" t="str">
            <v>ARQUETA EN HORMIGON PARA MEDIA TENSION - EMPALMES (500 MT)</v>
          </cell>
          <cell r="F1139" t="str">
            <v>Und</v>
          </cell>
          <cell r="G1139">
            <v>1</v>
          </cell>
          <cell r="H1139">
            <v>12275310.999985719</v>
          </cell>
          <cell r="I1139">
            <v>12275310.999985719</v>
          </cell>
          <cell r="J1139">
            <v>16939929.179980289</v>
          </cell>
        </row>
        <row r="1140">
          <cell r="D1140" t="str">
            <v>ARQUETA EN POLIPROPILENO</v>
          </cell>
          <cell r="F1140" t="str">
            <v>Und</v>
          </cell>
          <cell r="G1140">
            <v>1</v>
          </cell>
          <cell r="H1140">
            <v>6068599.9996856553</v>
          </cell>
          <cell r="I1140">
            <v>6068599.9996856553</v>
          </cell>
          <cell r="J1140">
            <v>8374667.9995662039</v>
          </cell>
        </row>
        <row r="1141">
          <cell r="D1141" t="str">
            <v>SUMINISTRO E INSTALACIÓN DE PLATINA</v>
          </cell>
          <cell r="F1141" t="str">
            <v>Und</v>
          </cell>
          <cell r="G1141">
            <v>1</v>
          </cell>
          <cell r="H1141">
            <v>361570</v>
          </cell>
          <cell r="I1141">
            <v>361570</v>
          </cell>
          <cell r="J1141">
            <v>498966.6</v>
          </cell>
        </row>
        <row r="1142">
          <cell r="D1142" t="str">
            <v>SUMINISTRO E INSTALACIÓN DE VARILLA</v>
          </cell>
          <cell r="F1142" t="str">
            <v>Und</v>
          </cell>
          <cell r="G1142">
            <v>1</v>
          </cell>
          <cell r="H1142">
            <v>398933</v>
          </cell>
          <cell r="I1142">
            <v>398933</v>
          </cell>
          <cell r="J1142">
            <v>550527.53999999992</v>
          </cell>
        </row>
        <row r="1143">
          <cell r="D1143" t="str">
            <v>SUMINISTRO E INSTALACIÓN DE ARQUETA PARA INSPECCIÓN DE PICAS EN PUESTA A TIERRA SIN FONDO</v>
          </cell>
          <cell r="F1143" t="str">
            <v>Und</v>
          </cell>
          <cell r="G1143">
            <v>1</v>
          </cell>
          <cell r="H1143">
            <v>14275700</v>
          </cell>
          <cell r="I1143">
            <v>14275700</v>
          </cell>
          <cell r="J1143">
            <v>19700466</v>
          </cell>
        </row>
        <row r="1144">
          <cell r="D1144" t="str">
            <v>SUMINISTRO E INSTALACIÓN DE SOLDADURA EXOTERMICA</v>
          </cell>
          <cell r="F1144" t="str">
            <v>Und</v>
          </cell>
          <cell r="G1144">
            <v>2.8000000000000003</v>
          </cell>
          <cell r="H1144">
            <v>185231</v>
          </cell>
          <cell r="I1144">
            <v>518646.80000000005</v>
          </cell>
          <cell r="J1144">
            <v>715732.58400000003</v>
          </cell>
        </row>
        <row r="1145">
          <cell r="D1145" t="str">
            <v>SUMINISTRO E INSTALACIÓN DE GRAPA DE ALEACIÓN RICA EN COBRE (LATÓN) MODELO KZ</v>
          </cell>
          <cell r="F1145" t="str">
            <v>Und</v>
          </cell>
          <cell r="G1145">
            <v>1</v>
          </cell>
          <cell r="H1145">
            <v>292083</v>
          </cell>
          <cell r="I1145">
            <v>292083</v>
          </cell>
          <cell r="J1145">
            <v>403074.54</v>
          </cell>
        </row>
        <row r="1146">
          <cell r="D1146" t="str">
            <v>SUMINISTRO E INSTALACIÓN DE GRAPA DE ALEACIÓN RICA EN COBRE (LATÓN) MODELO KPD</v>
          </cell>
          <cell r="F1146" t="str">
            <v>Und</v>
          </cell>
          <cell r="G1146">
            <v>0.99393939393939412</v>
          </cell>
          <cell r="H1146">
            <v>292083</v>
          </cell>
          <cell r="I1146">
            <v>290312.80000000005</v>
          </cell>
          <cell r="J1146">
            <v>400631.66400000005</v>
          </cell>
        </row>
        <row r="1147">
          <cell r="D1147" t="str">
            <v xml:space="preserve">INSTALACIÓN DE CABLE DE COBRE TRENZADO DESNUDO DE 50 mm2 </v>
          </cell>
          <cell r="F1147" t="str">
            <v>ML</v>
          </cell>
          <cell r="G1147">
            <v>113.1390243902439</v>
          </cell>
          <cell r="H1147">
            <v>33000.000989065411</v>
          </cell>
          <cell r="I1147">
            <v>3733587.9167799447</v>
          </cell>
          <cell r="J1147">
            <v>5152351.3251563236</v>
          </cell>
        </row>
        <row r="1148">
          <cell r="C1148" t="str">
            <v>10.19.13</v>
          </cell>
          <cell r="D1148" t="str">
            <v xml:space="preserve">         INSTALACION DE GROUT Y MORTERO AUTOCOMPACTANTE DE ALTA RESISTENCIA WP24</v>
          </cell>
          <cell r="E1148" t="str">
            <v>7 días</v>
          </cell>
          <cell r="F1148">
            <v>0</v>
          </cell>
          <cell r="J1148">
            <v>46410609.014634147</v>
          </cell>
        </row>
        <row r="1149">
          <cell r="D1149" t="str">
            <v>GROUT Y  MORTERO AUTOCOMPACTANTE DE ALTA RESISTENCIA C80/95 (EN206-1)</v>
          </cell>
          <cell r="F1149" t="str">
            <v>lt</v>
          </cell>
          <cell r="G1149">
            <v>530.73170731707319</v>
          </cell>
          <cell r="H1149">
            <v>63367</v>
          </cell>
          <cell r="I1149">
            <v>33630876.097560979</v>
          </cell>
          <cell r="J1149">
            <v>46410609.014634147</v>
          </cell>
        </row>
        <row r="1150">
          <cell r="C1150" t="str">
            <v>10.19.14</v>
          </cell>
          <cell r="D1150" t="str">
            <v xml:space="preserve">         TAPADO AREA DE CIMENTACIÓN Y CONFORMACIÓN DE PLATAFORMA WP24</v>
          </cell>
          <cell r="E1150" t="str">
            <v>7 días</v>
          </cell>
          <cell r="F1150">
            <v>0</v>
          </cell>
          <cell r="J1150">
            <v>1587346329.5488234</v>
          </cell>
        </row>
        <row r="1151">
          <cell r="D1151" t="str">
            <v>MATERIAL SELECIONADA PARA  FORMACIÓN Y COMPACTACIÓN DE TERRAPLENES Y RELLENO ESTRUCTURAL  (INCLUYE TRANSPORTE DESDE LAS CANTERAS LICENCIADAS HASTA EL SITIO DE INSTALACIÓN)</v>
          </cell>
          <cell r="F1151" t="str">
            <v>m3</v>
          </cell>
          <cell r="G1151">
            <v>5388.7058823529414</v>
          </cell>
          <cell r="H1151">
            <v>174890</v>
          </cell>
          <cell r="I1151">
            <v>942430771.7647059</v>
          </cell>
          <cell r="J1151">
            <v>1300554465.0352941</v>
          </cell>
        </row>
        <row r="1152">
          <cell r="D1152" t="str">
            <v>PREPARACIÓN DE SUBRASANTE COMPACTACIÓN Y VALORACIÓN DE LA CAPA DE SUBRASANTE DE LOS VIALES. INCLUYENDO LAS PRUEBAS SEGÚN LO PRESCRITO.</v>
          </cell>
          <cell r="F1152" t="str">
            <v>m2</v>
          </cell>
          <cell r="G1152">
            <v>631.61764705882354</v>
          </cell>
          <cell r="H1152">
            <v>11537</v>
          </cell>
          <cell r="I1152">
            <v>7286972.7941176472</v>
          </cell>
          <cell r="J1152">
            <v>10056022.455882352</v>
          </cell>
        </row>
        <row r="1153">
          <cell r="D1153" t="str">
            <v>SUBBASE GRANULAR  (INCLUYE TRANSPORTE DESDE LAS CANTERAS LICENCIADAS HASTA EL SITIO DE INSTALACIÓN)</v>
          </cell>
          <cell r="F1153" t="str">
            <v>m3</v>
          </cell>
          <cell r="G1153">
            <v>880.85294117647061</v>
          </cell>
          <cell r="H1153">
            <v>227658</v>
          </cell>
          <cell r="I1153">
            <v>200533218.88235295</v>
          </cell>
          <cell r="J1153">
            <v>276735842.05764705</v>
          </cell>
        </row>
        <row r="1154">
          <cell r="C1154" t="str">
            <v>10.19.15</v>
          </cell>
          <cell r="D1154" t="str">
            <v xml:space="preserve">         ESTABILIZACIÓN DE TALUDES EN PLATAFORMA Y RECONFORMACION FINAL WP24</v>
          </cell>
          <cell r="E1154" t="str">
            <v>7 días</v>
          </cell>
          <cell r="F1154">
            <v>0</v>
          </cell>
          <cell r="J1154">
            <v>179532477.23999998</v>
          </cell>
        </row>
        <row r="1155">
          <cell r="D1155" t="str">
            <v>BASE GRANULAR   (INCLUYE TRANSPORTE DESDE LAS CANTERAS LICENCIADAS HASTA EL SITIO DE INSTALACIÓN)</v>
          </cell>
          <cell r="F1155" t="str">
            <v>m3</v>
          </cell>
          <cell r="G1155">
            <v>237.64705882352942</v>
          </cell>
          <cell r="H1155">
            <v>265112</v>
          </cell>
          <cell r="I1155">
            <v>63003087.058823533</v>
          </cell>
          <cell r="J1155">
            <v>86944260.141176462</v>
          </cell>
        </row>
        <row r="1156">
          <cell r="D1156" t="str">
            <v xml:space="preserve">ENROCADO PROTECCIÓN TALUD PLATAFORMAS PROTECCIÓN CON ENROCADO DE PIEDRA DEL TALUD DE LAS PLATAFORMAS EN TERRAPLÉN CON 30 CM DE PIEDRA DE 6-10 CM DE DIÁMETRO, PESO ESPECÍFICO DE LAS PIEDRAS DE 2,64  G/CM3  (INCLUYE TRANSPORTE DESDE LAS CANTERAS LICENCIADAS HASTA EL SITIO DE INSTALACIÓN) </v>
          </cell>
          <cell r="F1156" t="str">
            <v>m3</v>
          </cell>
          <cell r="G1156">
            <v>42.352941176470587</v>
          </cell>
          <cell r="H1156">
            <v>276393</v>
          </cell>
          <cell r="I1156">
            <v>11706056.470588235</v>
          </cell>
          <cell r="J1156">
            <v>16154357.929411763</v>
          </cell>
        </row>
        <row r="1157">
          <cell r="D1157" t="str">
            <v xml:space="preserve">ENROCADO PROTECCIÓN TALUD CIMENTACION PROTECCIÓN CON ENROCADO DE PIEDRA DEL TALUD DE LAS CIMENTACIONES EN TERRAPLÉN CON 30 CM DE PIEDRA DE 6-10 CM DE DIÁMETRO, PESO ESPECÍFICO DE LAS PIEDRAS DE 2,64 G/CM3   (INCLUYE TRANSPORTE DESDE LAS CANTERAS LICENCIADAS HASTA EL SITIO DE INSTALACIÓN) </v>
          </cell>
          <cell r="F1157" t="str">
            <v>m3</v>
          </cell>
          <cell r="G1157">
            <v>25.529411764705884</v>
          </cell>
          <cell r="H1157">
            <v>286818</v>
          </cell>
          <cell r="I1157">
            <v>7322294.823529412</v>
          </cell>
          <cell r="J1157">
            <v>10104766.856470589</v>
          </cell>
        </row>
        <row r="1158">
          <cell r="D1158" t="str">
            <v>SUMINISTRO E INSTALACIÓN DE GEOTEXTILES</v>
          </cell>
          <cell r="F1158" t="str">
            <v>m2</v>
          </cell>
          <cell r="G1158">
            <v>887.17647058823525</v>
          </cell>
          <cell r="H1158">
            <v>54177</v>
          </cell>
          <cell r="I1158">
            <v>48064559.647058822</v>
          </cell>
          <cell r="J1158">
            <v>66329092.312941171</v>
          </cell>
        </row>
        <row r="1159">
          <cell r="C1159" t="str">
            <v>10.19.16</v>
          </cell>
          <cell r="D1159" t="str">
            <v xml:space="preserve">         HITO: FINALIZACION DE ACTIVIDADES EN CIMENTACION WP24</v>
          </cell>
          <cell r="E1159" t="str">
            <v>0 días</v>
          </cell>
          <cell r="F1159">
            <v>0</v>
          </cell>
        </row>
        <row r="1160">
          <cell r="C1160" t="str">
            <v>10.20</v>
          </cell>
          <cell r="D1160" t="str">
            <v xml:space="preserve">      CIMENTACION WP25</v>
          </cell>
          <cell r="E1160" t="str">
            <v>60 días</v>
          </cell>
          <cell r="F1160">
            <v>0</v>
          </cell>
        </row>
        <row r="1161">
          <cell r="C1161" t="str">
            <v>10.20.1</v>
          </cell>
          <cell r="D1161" t="str">
            <v xml:space="preserve">         DESBROCE DE AREA DE ACOPIO DE TORRE Y DE PALAS WP25</v>
          </cell>
          <cell r="E1161" t="str">
            <v>8 días</v>
          </cell>
          <cell r="F1161">
            <v>0</v>
          </cell>
          <cell r="J1161">
            <v>83271780.884117648</v>
          </cell>
        </row>
        <row r="1162">
          <cell r="D1162" t="str">
            <v>DESBROCE Y LIMPIEZA</v>
          </cell>
          <cell r="F1162" t="str">
            <v>m2</v>
          </cell>
          <cell r="G1162">
            <v>4799.0294117647063</v>
          </cell>
          <cell r="H1162">
            <v>4140</v>
          </cell>
          <cell r="I1162">
            <v>19867981.764705885</v>
          </cell>
          <cell r="J1162">
            <v>27417814.83529412</v>
          </cell>
        </row>
        <row r="1163">
          <cell r="D1163" t="str">
            <v>SUMINISTRO DE COMISION TOPOGRAFICA
 (incluyede GPS, Estación Total, tránsitos, distanciómetros, niveles de precisión, miras, prismas, jalones, plomadas, cintas métricas, etc., un cadenero primero , un cadenero segundo, ingeniero topógrafo/topógrafo con matricula vigente, insumos para ralizar la actividad, licencias de software utilizado para la ejecución de los trabajos, movilización de personal equipos y entregables en archivos magnéticos)</v>
          </cell>
          <cell r="F1163" t="str">
            <v>Mes</v>
          </cell>
          <cell r="G1163">
            <v>0.2</v>
          </cell>
          <cell r="H1163">
            <v>31500000</v>
          </cell>
          <cell r="I1163">
            <v>6300000</v>
          </cell>
          <cell r="J1163">
            <v>8694000</v>
          </cell>
        </row>
        <row r="1164">
          <cell r="D1164" t="str">
            <v>DESMONTE, DESCAPOTE Y LIMPIEZA INCLUYE  TALA DE ARBOLES CON DAP ≤0.15M, TRANSPORTE Y DISPOSICIÓN FINAL</v>
          </cell>
          <cell r="F1164" t="str">
            <v>m2</v>
          </cell>
          <cell r="G1164">
            <v>4799.0294117647063</v>
          </cell>
          <cell r="H1164">
            <v>7121</v>
          </cell>
          <cell r="I1164">
            <v>34173888.441176474</v>
          </cell>
          <cell r="J1164">
            <v>47159966.048823528</v>
          </cell>
        </row>
        <row r="1165">
          <cell r="C1165" t="str">
            <v>10.20.2</v>
          </cell>
          <cell r="D1165" t="str">
            <v xml:space="preserve">         EXCAVACIÓN DE CIMENTACION WP25</v>
          </cell>
          <cell r="E1165" t="str">
            <v>7 días</v>
          </cell>
          <cell r="F1165">
            <v>0</v>
          </cell>
          <cell r="J1165">
            <v>312374505.66882348</v>
          </cell>
        </row>
        <row r="1166">
          <cell r="D1166" t="str">
            <v>EXCAVACIÓN MECÁNICA EN MATERIAL COMÚN</v>
          </cell>
          <cell r="F1166" t="str">
            <v>m3</v>
          </cell>
          <cell r="G1166">
            <v>4799.0294117647063</v>
          </cell>
          <cell r="H1166">
            <v>35495</v>
          </cell>
          <cell r="I1166">
            <v>170341548.97058824</v>
          </cell>
          <cell r="J1166">
            <v>235071337.57941175</v>
          </cell>
        </row>
        <row r="1167">
          <cell r="D1167" t="str">
            <v>EXCAVACIÓN EN ROCA</v>
          </cell>
          <cell r="F1167" t="str">
            <v>m3</v>
          </cell>
          <cell r="G1167">
            <v>414.35294117647061</v>
          </cell>
          <cell r="H1167">
            <v>135191</v>
          </cell>
          <cell r="I1167">
            <v>56016788.470588237</v>
          </cell>
          <cell r="J1167">
            <v>77303168.089411765</v>
          </cell>
        </row>
        <row r="1168">
          <cell r="C1168" t="str">
            <v>10.20.3</v>
          </cell>
          <cell r="D1168" t="str">
            <v xml:space="preserve">         BANCO DE DUCTO WP25</v>
          </cell>
          <cell r="E1168" t="str">
            <v>3 días</v>
          </cell>
          <cell r="F1168">
            <v>0</v>
          </cell>
          <cell r="J1168">
            <v>9527825.6870364472</v>
          </cell>
        </row>
        <row r="1169">
          <cell r="D1169" t="str">
            <v>INSTALACION DE TUBERIA PVC TIPO TDP Y/O CORRUGADA TIPO PEAD-HDPE  - 50mm</v>
          </cell>
          <cell r="F1169" t="str">
            <v>ML</v>
          </cell>
          <cell r="G1169">
            <v>7.2352941176470589</v>
          </cell>
          <cell r="H1169">
            <v>27751.000385791169</v>
          </cell>
          <cell r="I1169">
            <v>200786.64985013611</v>
          </cell>
          <cell r="J1169">
            <v>277085.57679318782</v>
          </cell>
        </row>
        <row r="1170">
          <cell r="D1170" t="str">
            <v>INSTALACION DE TUBERIA PVC TIPO TDP Y/O CORRUGADA TIPO PEAD-HDPE - 90mm</v>
          </cell>
          <cell r="F1170" t="str">
            <v>ML</v>
          </cell>
          <cell r="G1170">
            <v>34.694117647058818</v>
          </cell>
          <cell r="H1170">
            <v>31239.000009014315</v>
          </cell>
          <cell r="I1170">
            <v>1083809.5414892142</v>
          </cell>
          <cell r="J1170">
            <v>1495657.1672551155</v>
          </cell>
        </row>
        <row r="1171">
          <cell r="D1171" t="str">
            <v>INSTALACION DE TUBERIA PVC TIPO TDP  Y/O CORRUGADA TIPO PEAD-HDPE - 200mm</v>
          </cell>
          <cell r="F1171" t="str">
            <v>ML</v>
          </cell>
          <cell r="G1171">
            <v>70.332352941176467</v>
          </cell>
          <cell r="H1171">
            <v>79900.999838665448</v>
          </cell>
          <cell r="I1171">
            <v>5619625.3210059023</v>
          </cell>
          <cell r="J1171">
            <v>7755082.9429881442</v>
          </cell>
        </row>
        <row r="1172">
          <cell r="C1172" t="str">
            <v>10.20.4</v>
          </cell>
          <cell r="D1172" t="str">
            <v xml:space="preserve">         COMPACTACION DE SELLO DE BASE WP25</v>
          </cell>
          <cell r="E1172" t="str">
            <v>2 días</v>
          </cell>
          <cell r="F1172">
            <v>0</v>
          </cell>
          <cell r="J1172">
            <v>320494616.71764702</v>
          </cell>
        </row>
        <row r="1173">
          <cell r="D1173" t="str">
            <v>RELLENO CON MATERIAL DE EXCAVACIÓN SELECCIONADO</v>
          </cell>
          <cell r="F1173" t="str">
            <v>m3</v>
          </cell>
          <cell r="G1173">
            <v>4530.6764705882351</v>
          </cell>
          <cell r="H1173">
            <v>51260</v>
          </cell>
          <cell r="I1173">
            <v>232242475.88235292</v>
          </cell>
          <cell r="J1173">
            <v>320494616.71764702</v>
          </cell>
        </row>
        <row r="1174">
          <cell r="C1174" t="str">
            <v>10.20.5</v>
          </cell>
          <cell r="D1174" t="str">
            <v xml:space="preserve">         SOLADO WP25</v>
          </cell>
          <cell r="E1174" t="str">
            <v>1 día</v>
          </cell>
          <cell r="F1174">
            <v>0</v>
          </cell>
          <cell r="J1174">
            <v>94303618.549411759</v>
          </cell>
        </row>
        <row r="1175">
          <cell r="D1175" t="str">
            <v>CONCRETO CLASE F (140 kg/cm2 Ó 2000 psi)</v>
          </cell>
          <cell r="F1175" t="str">
            <v>m3</v>
          </cell>
          <cell r="G1175">
            <v>43.941176470588232</v>
          </cell>
          <cell r="H1175">
            <v>1555169</v>
          </cell>
          <cell r="I1175">
            <v>68335955.470588237</v>
          </cell>
          <cell r="J1175">
            <v>94303618.549411759</v>
          </cell>
        </row>
        <row r="1176">
          <cell r="C1176" t="str">
            <v>10.20.6</v>
          </cell>
          <cell r="D1176" t="str">
            <v xml:space="preserve">         INSTALACIÓN DE PERNOS Y SOFT-SPOT WP25</v>
          </cell>
          <cell r="E1176" t="str">
            <v>5 días</v>
          </cell>
          <cell r="F1176">
            <v>0</v>
          </cell>
          <cell r="J1176">
            <v>179436034.15411764</v>
          </cell>
        </row>
        <row r="1177">
          <cell r="D1177" t="str">
            <v>S0FT-SPOT  (EPS) Tipo II (ASM C578)</v>
          </cell>
          <cell r="F1177" t="str">
            <v>m2</v>
          </cell>
          <cell r="G1177">
            <v>62.117647058823529</v>
          </cell>
          <cell r="H1177">
            <v>484846</v>
          </cell>
          <cell r="I1177">
            <v>30117492.705882352</v>
          </cell>
          <cell r="J1177">
            <v>41562139.934117645</v>
          </cell>
        </row>
        <row r="1178">
          <cell r="D1178" t="str">
            <v>MONTAJE Y NIVELACION DE LA JAULA DE ANCLAJES INCLUYE  LA PREPARACIÓN
 DEL ÁREA, LA NIVELACIÓN Y POSICIONAMIENTO DE LOS COMPONENTES (COMO PLANTILLAS Y VARILLAS), EL ENSAMBLAJE DE LA ESTRUCTURA, LA FIJACIÓN FINAL A LA CIMENTACIÓN CON PERNOS DE ANCLAJE, MONTAJE DE BRIDAS, TORQUE Y LIBERACIÓN DE LA CESTA, INCLUYE LA HERRAMIENTA Y EQUIPO DE INSTALACIÓN (peso estimado por jaula 13896  kg)</v>
          </cell>
          <cell r="F1178" t="str">
            <v>Und</v>
          </cell>
          <cell r="G1178">
            <v>1</v>
          </cell>
          <cell r="H1178">
            <v>99908619</v>
          </cell>
          <cell r="I1178">
            <v>99908619</v>
          </cell>
          <cell r="J1178">
            <v>137873894.22</v>
          </cell>
        </row>
        <row r="1179">
          <cell r="C1179" t="str">
            <v>10.20.7</v>
          </cell>
          <cell r="D1179" t="str">
            <v xml:space="preserve">         INSTALACIÓN DE ACERO DE REFUERZO WP25</v>
          </cell>
          <cell r="E1179" t="str">
            <v>14 días</v>
          </cell>
          <cell r="F1179">
            <v>0</v>
          </cell>
          <cell r="J1179">
            <v>1212623361.2117648</v>
          </cell>
        </row>
        <row r="1180">
          <cell r="D1180" t="str">
            <v>ACERO FY:  60000 psi (4.200 kg/cm2)</v>
          </cell>
          <cell r="F1180" t="str">
            <v>kg</v>
          </cell>
          <cell r="G1180">
            <v>68756.852941176476</v>
          </cell>
          <cell r="H1180">
            <v>12780</v>
          </cell>
          <cell r="I1180">
            <v>878712580.58823538</v>
          </cell>
          <cell r="J1180">
            <v>1212623361.2117648</v>
          </cell>
        </row>
        <row r="1181">
          <cell r="C1181" t="str">
            <v>10.20.8</v>
          </cell>
          <cell r="D1181" t="str">
            <v xml:space="preserve">         ENCOFRADO DE ZAPATA Y DE PEDESTAL WP25</v>
          </cell>
          <cell r="E1181" t="str">
            <v>3 días</v>
          </cell>
          <cell r="F1181">
            <v>0</v>
          </cell>
        </row>
        <row r="1182">
          <cell r="C1182" t="str">
            <v>10.20.9</v>
          </cell>
          <cell r="D1182" t="str">
            <v xml:space="preserve">         HITO: ALISTAMIENTO Y MOVILIZACIÓN DE PLANTA DE CONCRETO PARA WP25</v>
          </cell>
          <cell r="E1182" t="str">
            <v>0 días</v>
          </cell>
          <cell r="F1182">
            <v>0</v>
          </cell>
        </row>
        <row r="1183">
          <cell r="C1183" t="str">
            <v>10.20.10</v>
          </cell>
          <cell r="D1183" t="str">
            <v xml:space="preserve">         FUNDIDA WP25</v>
          </cell>
          <cell r="E1183" t="str">
            <v>1 día</v>
          </cell>
          <cell r="F1183">
            <v>0</v>
          </cell>
          <cell r="J1183">
            <v>1230815225.9452939</v>
          </cell>
        </row>
        <row r="1184">
          <cell r="D1184" t="str">
            <v>CONCRETO ESTRUCTURAL  35 MPa(350 kg/cm2 Ó 5000 psi)</v>
          </cell>
          <cell r="F1184" t="str">
            <v>m3</v>
          </cell>
          <cell r="G1184">
            <v>429.02941176470586</v>
          </cell>
          <cell r="H1184">
            <v>1926653</v>
          </cell>
          <cell r="I1184">
            <v>826590803.26470578</v>
          </cell>
          <cell r="J1184">
            <v>1140695308.5052938</v>
          </cell>
        </row>
        <row r="1185">
          <cell r="D1185" t="str">
            <v>CONCRETO ESTRUCTURAL  45 MPa(457 kg/cm2 Ó 6500psi)</v>
          </cell>
          <cell r="F1185" t="str">
            <v>m3</v>
          </cell>
          <cell r="G1185">
            <v>32</v>
          </cell>
          <cell r="H1185">
            <v>2040759</v>
          </cell>
          <cell r="I1185">
            <v>65304288</v>
          </cell>
          <cell r="J1185">
            <v>90119917.439999998</v>
          </cell>
        </row>
        <row r="1186">
          <cell r="C1186" t="str">
            <v>10.20.11</v>
          </cell>
          <cell r="D1186" t="str">
            <v xml:space="preserve">         CURADO DEL CONCRETO WP25</v>
          </cell>
          <cell r="E1186" t="str">
            <v>5 días</v>
          </cell>
          <cell r="F1186">
            <v>0</v>
          </cell>
        </row>
        <row r="1187">
          <cell r="C1187" t="str">
            <v>10.20.12</v>
          </cell>
          <cell r="D1187" t="str">
            <v xml:space="preserve">         INSTALACIONES ELECTRICAS Y SISTEMA PUESTA TIERRA WP25</v>
          </cell>
          <cell r="E1187" t="str">
            <v>2 días</v>
          </cell>
          <cell r="F1187">
            <v>0</v>
          </cell>
          <cell r="J1187">
            <v>52736347.43270281</v>
          </cell>
        </row>
        <row r="1188">
          <cell r="D1188" t="str">
            <v>ARQUETA EN HORMIGON PARA MEDIA TENSION - EMPALMES (500 MT)</v>
          </cell>
          <cell r="F1188" t="str">
            <v>Und</v>
          </cell>
          <cell r="G1188">
            <v>1</v>
          </cell>
          <cell r="H1188">
            <v>12275310.999985719</v>
          </cell>
          <cell r="I1188">
            <v>12275310.999985719</v>
          </cell>
          <cell r="J1188">
            <v>16939929.179980289</v>
          </cell>
        </row>
        <row r="1189">
          <cell r="D1189" t="str">
            <v>ARQUETA EN POLIPROPILENO</v>
          </cell>
          <cell r="F1189" t="str">
            <v>Und</v>
          </cell>
          <cell r="G1189">
            <v>1</v>
          </cell>
          <cell r="H1189">
            <v>6068599.9996856553</v>
          </cell>
          <cell r="I1189">
            <v>6068599.9996856553</v>
          </cell>
          <cell r="J1189">
            <v>8374667.9995662039</v>
          </cell>
        </row>
        <row r="1190">
          <cell r="D1190" t="str">
            <v>SUMINISTRO E INSTALACIÓN DE PLATINA</v>
          </cell>
          <cell r="F1190" t="str">
            <v>Und</v>
          </cell>
          <cell r="G1190">
            <v>1</v>
          </cell>
          <cell r="H1190">
            <v>361570</v>
          </cell>
          <cell r="I1190">
            <v>361570</v>
          </cell>
          <cell r="J1190">
            <v>498966.6</v>
          </cell>
        </row>
        <row r="1191">
          <cell r="D1191" t="str">
            <v>SUMINISTRO E INSTALACIÓN DE VARILLA</v>
          </cell>
          <cell r="F1191" t="str">
            <v>Und</v>
          </cell>
          <cell r="G1191">
            <v>1</v>
          </cell>
          <cell r="H1191">
            <v>398933</v>
          </cell>
          <cell r="I1191">
            <v>398933</v>
          </cell>
          <cell r="J1191">
            <v>550527.53999999992</v>
          </cell>
        </row>
        <row r="1192">
          <cell r="D1192" t="str">
            <v>SUMINISTRO E INSTALACIÓN DE ARQUETA PARA INSPECCIÓN DE PICAS EN PUESTA A TIERRA SIN FONDO</v>
          </cell>
          <cell r="F1192" t="str">
            <v>Und</v>
          </cell>
          <cell r="G1192">
            <v>1</v>
          </cell>
          <cell r="H1192">
            <v>14275700</v>
          </cell>
          <cell r="I1192">
            <v>14275700</v>
          </cell>
          <cell r="J1192">
            <v>19700466</v>
          </cell>
        </row>
        <row r="1193">
          <cell r="D1193" t="str">
            <v>SUMINISTRO E INSTALACIÓN DE SOLDADURA EXOTERMICA</v>
          </cell>
          <cell r="F1193" t="str">
            <v>Und</v>
          </cell>
          <cell r="G1193">
            <v>2.8000000000000003</v>
          </cell>
          <cell r="H1193">
            <v>185231</v>
          </cell>
          <cell r="I1193">
            <v>518646.80000000005</v>
          </cell>
          <cell r="J1193">
            <v>715732.58400000003</v>
          </cell>
        </row>
        <row r="1194">
          <cell r="D1194" t="str">
            <v>SUMINISTRO E INSTALACIÓN DE GRAPA DE ALEACIÓN RICA EN COBRE (LATÓN) MODELO KZ</v>
          </cell>
          <cell r="F1194" t="str">
            <v>Und</v>
          </cell>
          <cell r="G1194">
            <v>1</v>
          </cell>
          <cell r="H1194">
            <v>292083</v>
          </cell>
          <cell r="I1194">
            <v>292083</v>
          </cell>
          <cell r="J1194">
            <v>403074.54</v>
          </cell>
        </row>
        <row r="1195">
          <cell r="D1195" t="str">
            <v>SUMINISTRO E INSTALACIÓN DE GRAPA DE ALEACIÓN RICA EN COBRE (LATÓN) MODELO KPD</v>
          </cell>
          <cell r="F1195" t="str">
            <v>Und</v>
          </cell>
          <cell r="G1195">
            <v>0.99393939393939412</v>
          </cell>
          <cell r="H1195">
            <v>292083</v>
          </cell>
          <cell r="I1195">
            <v>290312.80000000005</v>
          </cell>
          <cell r="J1195">
            <v>400631.66400000005</v>
          </cell>
        </row>
        <row r="1196">
          <cell r="D1196" t="str">
            <v xml:space="preserve">INSTALACIÓN DE CABLE DE COBRE TRENZADO DESNUDO DE 50 mm2 </v>
          </cell>
          <cell r="F1196" t="str">
            <v>ML</v>
          </cell>
          <cell r="G1196">
            <v>113.1390243902439</v>
          </cell>
          <cell r="H1196">
            <v>33000.000989065411</v>
          </cell>
          <cell r="I1196">
            <v>3733587.9167799447</v>
          </cell>
          <cell r="J1196">
            <v>5152351.3251563236</v>
          </cell>
        </row>
        <row r="1197">
          <cell r="C1197" t="str">
            <v>10.20.13</v>
          </cell>
          <cell r="D1197" t="str">
            <v xml:space="preserve">         INSTALACION DE GROUT Y MORTERO AUTOCOMPACTANTE DE ALTA RESISTENCIA WP25</v>
          </cell>
          <cell r="E1197" t="str">
            <v>2 días</v>
          </cell>
          <cell r="F1197">
            <v>0</v>
          </cell>
          <cell r="J1197">
            <v>46410609.014634147</v>
          </cell>
        </row>
        <row r="1198">
          <cell r="D1198" t="str">
            <v>GROUT Y  MORTERO AUTOCOMPACTANTE DE ALTA RESISTENCIA C80/95 (EN206-1)</v>
          </cell>
          <cell r="F1198" t="str">
            <v>lt</v>
          </cell>
          <cell r="G1198">
            <v>530.73170731707319</v>
          </cell>
          <cell r="H1198">
            <v>63367</v>
          </cell>
          <cell r="I1198">
            <v>33630876.097560979</v>
          </cell>
          <cell r="J1198">
            <v>46410609.014634147</v>
          </cell>
        </row>
        <row r="1199">
          <cell r="C1199" t="str">
            <v>10.20.14</v>
          </cell>
          <cell r="D1199" t="str">
            <v xml:space="preserve">         TAPADO AREA DE CIMENTACIÓN Y CONFORMACIÓN DE PLATAFORMA WP25</v>
          </cell>
          <cell r="E1199" t="str">
            <v>7 días</v>
          </cell>
          <cell r="F1199">
            <v>0</v>
          </cell>
          <cell r="J1199">
            <v>1587346329.5488234</v>
          </cell>
        </row>
        <row r="1200">
          <cell r="D1200" t="str">
            <v>MATERIAL SELECIONADA PARA  FORMACIÓN Y COMPACTACIÓN DE TERRAPLENES Y RELLENO ESTRUCTURAL  (INCLUYE TRANSPORTE DESDE LAS CANTERAS LICENCIADAS HASTA EL SITIO DE INSTALACIÓN)</v>
          </cell>
          <cell r="F1200" t="str">
            <v>m3</v>
          </cell>
          <cell r="G1200">
            <v>5388.7058823529414</v>
          </cell>
          <cell r="H1200">
            <v>174890</v>
          </cell>
          <cell r="I1200">
            <v>942430771.7647059</v>
          </cell>
          <cell r="J1200">
            <v>1300554465.0352941</v>
          </cell>
        </row>
        <row r="1201">
          <cell r="D1201" t="str">
            <v>PREPARACIÓN DE SUBRASANTE COMPACTACIÓN Y VALORACIÓN DE LA CAPA DE SUBRASANTE DE LOS VIALES. INCLUYENDO LAS PRUEBAS SEGÚN LO PRESCRITO.</v>
          </cell>
          <cell r="F1201" t="str">
            <v>m2</v>
          </cell>
          <cell r="G1201">
            <v>631.61764705882354</v>
          </cell>
          <cell r="H1201">
            <v>11537</v>
          </cell>
          <cell r="I1201">
            <v>7286972.7941176472</v>
          </cell>
          <cell r="J1201">
            <v>10056022.455882352</v>
          </cell>
        </row>
        <row r="1202">
          <cell r="D1202" t="str">
            <v>SUBBASE GRANULAR  (INCLUYE TRANSPORTE DESDE LAS CANTERAS LICENCIADAS HASTA EL SITIO DE INSTALACIÓN)</v>
          </cell>
          <cell r="F1202" t="str">
            <v>m3</v>
          </cell>
          <cell r="G1202">
            <v>880.85294117647061</v>
          </cell>
          <cell r="H1202">
            <v>227658</v>
          </cell>
          <cell r="I1202">
            <v>200533218.88235295</v>
          </cell>
          <cell r="J1202">
            <v>276735842.05764705</v>
          </cell>
        </row>
        <row r="1203">
          <cell r="C1203" t="str">
            <v>10.20.15</v>
          </cell>
          <cell r="D1203" t="str">
            <v xml:space="preserve">         ESTABILIZACIÓN DE TALUDES EN PLATAFORMA Y RECONFORMACION FINAL WP25</v>
          </cell>
          <cell r="E1203" t="str">
            <v>7 días</v>
          </cell>
          <cell r="F1203">
            <v>0</v>
          </cell>
          <cell r="J1203">
            <v>179532477.23999998</v>
          </cell>
        </row>
        <row r="1204">
          <cell r="D1204" t="str">
            <v>BASE GRANULAR   (INCLUYE TRANSPORTE DESDE LAS CANTERAS LICENCIADAS HASTA EL SITIO DE INSTALACIÓN)</v>
          </cell>
          <cell r="F1204" t="str">
            <v>m3</v>
          </cell>
          <cell r="G1204">
            <v>237.64705882352942</v>
          </cell>
          <cell r="H1204">
            <v>265112</v>
          </cell>
          <cell r="I1204">
            <v>63003087.058823533</v>
          </cell>
          <cell r="J1204">
            <v>86944260.141176462</v>
          </cell>
        </row>
        <row r="1205">
          <cell r="D1205" t="str">
            <v xml:space="preserve">ENROCADO PROTECCIÓN TALUD PLATAFORMAS PROTECCIÓN CON ENROCADO DE PIEDRA DEL TALUD DE LAS PLATAFORMAS EN TERRAPLÉN CON 30 CM DE PIEDRA DE 6-10 CM DE DIÁMETRO, PESO ESPECÍFICO DE LAS PIEDRAS DE 2,64  G/CM3  (INCLUYE TRANSPORTE DESDE LAS CANTERAS LICENCIADAS HASTA EL SITIO DE INSTALACIÓN) </v>
          </cell>
          <cell r="F1205" t="str">
            <v>m3</v>
          </cell>
          <cell r="G1205">
            <v>42.352941176470587</v>
          </cell>
          <cell r="H1205">
            <v>276393</v>
          </cell>
          <cell r="I1205">
            <v>11706056.470588235</v>
          </cell>
          <cell r="J1205">
            <v>16154357.929411763</v>
          </cell>
        </row>
        <row r="1206">
          <cell r="D1206" t="str">
            <v xml:space="preserve">ENROCADO PROTECCIÓN TALUD CIMENTACION PROTECCIÓN CON ENROCADO DE PIEDRA DEL TALUD DE LAS CIMENTACIONES EN TERRAPLÉN CON 30 CM DE PIEDRA DE 6-10 CM DE DIÁMETRO, PESO ESPECÍFICO DE LAS PIEDRAS DE 2,64 G/CM3   (INCLUYE TRANSPORTE DESDE LAS CANTERAS LICENCIADAS HASTA EL SITIO DE INSTALACIÓN) </v>
          </cell>
          <cell r="F1206" t="str">
            <v>m3</v>
          </cell>
          <cell r="G1206">
            <v>25.529411764705884</v>
          </cell>
          <cell r="H1206">
            <v>286818</v>
          </cell>
          <cell r="I1206">
            <v>7322294.823529412</v>
          </cell>
          <cell r="J1206">
            <v>10104766.856470589</v>
          </cell>
        </row>
        <row r="1207">
          <cell r="D1207" t="str">
            <v>SUMINISTRO E INSTALACIÓN DE GEOTEXTILES</v>
          </cell>
          <cell r="F1207" t="str">
            <v>m2</v>
          </cell>
          <cell r="G1207">
            <v>887.17647058823525</v>
          </cell>
          <cell r="H1207">
            <v>54177</v>
          </cell>
          <cell r="I1207">
            <v>48064559.647058822</v>
          </cell>
          <cell r="J1207">
            <v>66329092.312941171</v>
          </cell>
        </row>
        <row r="1208">
          <cell r="C1208" t="str">
            <v>10.20.16</v>
          </cell>
          <cell r="D1208" t="str">
            <v xml:space="preserve">         HITO: FINALIZACION DE ACTIVIDADES EN CIMENTACION WP25</v>
          </cell>
          <cell r="E1208" t="str">
            <v>0 días</v>
          </cell>
          <cell r="F1208">
            <v>0</v>
          </cell>
        </row>
        <row r="1209">
          <cell r="C1209" t="str">
            <v>10.21</v>
          </cell>
          <cell r="D1209" t="str">
            <v xml:space="preserve">      CIMENTACION WP26</v>
          </cell>
          <cell r="E1209" t="str">
            <v>60 días</v>
          </cell>
          <cell r="F1209">
            <v>0</v>
          </cell>
        </row>
        <row r="1210">
          <cell r="C1210" t="str">
            <v>10.21.1</v>
          </cell>
          <cell r="D1210" t="str">
            <v xml:space="preserve">         DESBROCE DE AREA DE ACOPIO DE TORRE Y DE PALAS WP26</v>
          </cell>
          <cell r="E1210" t="str">
            <v>8 días</v>
          </cell>
          <cell r="F1210">
            <v>0</v>
          </cell>
          <cell r="J1210">
            <v>83271780.884117648</v>
          </cell>
        </row>
        <row r="1211">
          <cell r="D1211" t="str">
            <v>DESBROCE Y LIMPIEZA</v>
          </cell>
          <cell r="F1211" t="str">
            <v>m2</v>
          </cell>
          <cell r="G1211">
            <v>4799.0294117647063</v>
          </cell>
          <cell r="H1211">
            <v>4140</v>
          </cell>
          <cell r="I1211">
            <v>19867981.764705885</v>
          </cell>
          <cell r="J1211">
            <v>27417814.83529412</v>
          </cell>
        </row>
        <row r="1212">
          <cell r="D1212" t="str">
            <v>SUMINISTRO DE COMISION TOPOGRAFICA
 (incluyede GPS, Estación Total, tránsitos, distanciómetros, niveles de precisión, miras, prismas, jalones, plomadas, cintas métricas, etc., un cadenero primero , un cadenero segundo, ingeniero topógrafo/topógrafo con matricula vigente, insumos para ralizar la actividad, licencias de software utilizado para la ejecución de los trabajos, movilización de personal equipos y entregables en archivos magnéticos)</v>
          </cell>
          <cell r="F1212" t="str">
            <v>Mes</v>
          </cell>
          <cell r="G1212">
            <v>0.2</v>
          </cell>
          <cell r="H1212">
            <v>31500000</v>
          </cell>
          <cell r="I1212">
            <v>6300000</v>
          </cell>
          <cell r="J1212">
            <v>8694000</v>
          </cell>
        </row>
        <row r="1213">
          <cell r="D1213" t="str">
            <v>DESMONTE, DESCAPOTE Y LIMPIEZA INCLUYE  TALA DE ARBOLES CON DAP ≤0.15M, TRANSPORTE Y DISPOSICIÓN FINAL</v>
          </cell>
          <cell r="F1213" t="str">
            <v>m2</v>
          </cell>
          <cell r="G1213">
            <v>4799.0294117647063</v>
          </cell>
          <cell r="H1213">
            <v>7121</v>
          </cell>
          <cell r="I1213">
            <v>34173888.441176474</v>
          </cell>
          <cell r="J1213">
            <v>47159966.048823528</v>
          </cell>
        </row>
        <row r="1214">
          <cell r="C1214" t="str">
            <v>10.21.2</v>
          </cell>
          <cell r="D1214" t="str">
            <v xml:space="preserve">         EXCAVACIÓN DE CIMENTACION WP26</v>
          </cell>
          <cell r="E1214" t="str">
            <v>7 días</v>
          </cell>
          <cell r="F1214">
            <v>0</v>
          </cell>
          <cell r="J1214">
            <v>312374505.66882348</v>
          </cell>
        </row>
        <row r="1215">
          <cell r="D1215" t="str">
            <v>EXCAVACIÓN MECÁNICA EN MATERIAL COMÚN</v>
          </cell>
          <cell r="F1215" t="str">
            <v>m3</v>
          </cell>
          <cell r="G1215">
            <v>4799.0294117647063</v>
          </cell>
          <cell r="H1215">
            <v>35495</v>
          </cell>
          <cell r="I1215">
            <v>170341548.97058824</v>
          </cell>
          <cell r="J1215">
            <v>235071337.57941175</v>
          </cell>
        </row>
        <row r="1216">
          <cell r="D1216" t="str">
            <v>EXCAVACIÓN EN ROCA</v>
          </cell>
          <cell r="F1216" t="str">
            <v>m3</v>
          </cell>
          <cell r="G1216">
            <v>414.35294117647061</v>
          </cell>
          <cell r="H1216">
            <v>135191</v>
          </cell>
          <cell r="I1216">
            <v>56016788.470588237</v>
          </cell>
          <cell r="J1216">
            <v>77303168.089411765</v>
          </cell>
        </row>
        <row r="1217">
          <cell r="C1217" t="str">
            <v>10.21.3</v>
          </cell>
          <cell r="D1217" t="str">
            <v xml:space="preserve">         BANCO DE DUCTO WP26</v>
          </cell>
          <cell r="E1217" t="str">
            <v>3 días</v>
          </cell>
          <cell r="F1217">
            <v>0</v>
          </cell>
          <cell r="J1217">
            <v>9527825.6870364472</v>
          </cell>
        </row>
        <row r="1218">
          <cell r="D1218" t="str">
            <v>INSTALACION DE TUBERIA PVC TIPO TDP Y/O CORRUGADA TIPO PEAD-HDPE  - 50mm</v>
          </cell>
          <cell r="F1218" t="str">
            <v>ML</v>
          </cell>
          <cell r="G1218">
            <v>7.2352941176470589</v>
          </cell>
          <cell r="H1218">
            <v>27751.000385791169</v>
          </cell>
          <cell r="I1218">
            <v>200786.64985013611</v>
          </cell>
          <cell r="J1218">
            <v>277085.57679318782</v>
          </cell>
        </row>
        <row r="1219">
          <cell r="D1219" t="str">
            <v>INSTALACION DE TUBERIA PVC TIPO TDP Y/O CORRUGADA TIPO PEAD-HDPE - 90mm</v>
          </cell>
          <cell r="F1219" t="str">
            <v>ML</v>
          </cell>
          <cell r="G1219">
            <v>34.694117647058818</v>
          </cell>
          <cell r="H1219">
            <v>31239.000009014315</v>
          </cell>
          <cell r="I1219">
            <v>1083809.5414892142</v>
          </cell>
          <cell r="J1219">
            <v>1495657.1672551155</v>
          </cell>
        </row>
        <row r="1220">
          <cell r="D1220" t="str">
            <v>INSTALACION DE TUBERIA PVC TIPO TDP  Y/O CORRUGADA TIPO PEAD-HDPE - 200mm</v>
          </cell>
          <cell r="F1220" t="str">
            <v>ML</v>
          </cell>
          <cell r="G1220">
            <v>70.332352941176467</v>
          </cell>
          <cell r="H1220">
            <v>79900.999838665448</v>
          </cell>
          <cell r="I1220">
            <v>5619625.3210059023</v>
          </cell>
          <cell r="J1220">
            <v>7755082.9429881442</v>
          </cell>
        </row>
        <row r="1221">
          <cell r="C1221" t="str">
            <v>10.21.4</v>
          </cell>
          <cell r="D1221" t="str">
            <v xml:space="preserve">         COMPACTACION DE SELLO DE BASE WP26</v>
          </cell>
          <cell r="E1221" t="str">
            <v>2 días</v>
          </cell>
          <cell r="F1221">
            <v>0</v>
          </cell>
          <cell r="J1221">
            <v>320494616.71764702</v>
          </cell>
        </row>
        <row r="1222">
          <cell r="D1222" t="str">
            <v>RELLENO CON MATERIAL DE EXCAVACIÓN SELECCIONADO</v>
          </cell>
          <cell r="F1222" t="str">
            <v>m3</v>
          </cell>
          <cell r="G1222">
            <v>4530.6764705882351</v>
          </cell>
          <cell r="H1222">
            <v>51260</v>
          </cell>
          <cell r="I1222">
            <v>232242475.88235292</v>
          </cell>
          <cell r="J1222">
            <v>320494616.71764702</v>
          </cell>
        </row>
        <row r="1223">
          <cell r="C1223" t="str">
            <v>10.21.5</v>
          </cell>
          <cell r="D1223" t="str">
            <v xml:space="preserve">         SOLADO WP26</v>
          </cell>
          <cell r="E1223" t="str">
            <v>1 día</v>
          </cell>
          <cell r="F1223">
            <v>0</v>
          </cell>
          <cell r="J1223">
            <v>94303618.549411759</v>
          </cell>
        </row>
        <row r="1224">
          <cell r="D1224" t="str">
            <v>CONCRETO CLASE F (140 kg/cm2 Ó 2000 psi)</v>
          </cell>
          <cell r="F1224" t="str">
            <v>m3</v>
          </cell>
          <cell r="G1224">
            <v>43.941176470588232</v>
          </cell>
          <cell r="H1224">
            <v>1555169</v>
          </cell>
          <cell r="I1224">
            <v>68335955.470588237</v>
          </cell>
          <cell r="J1224">
            <v>94303618.549411759</v>
          </cell>
        </row>
        <row r="1225">
          <cell r="C1225" t="str">
            <v>10.21.6</v>
          </cell>
          <cell r="D1225" t="str">
            <v xml:space="preserve">         INSTALACIÓN DE PERNOS Y SOFT-SPOT WP26</v>
          </cell>
          <cell r="E1225" t="str">
            <v>5 días</v>
          </cell>
          <cell r="F1225">
            <v>0</v>
          </cell>
          <cell r="J1225">
            <v>179436034.15411764</v>
          </cell>
        </row>
        <row r="1226">
          <cell r="D1226" t="str">
            <v>S0FT-SPOT  (EPS) Tipo II (ASM C578)</v>
          </cell>
          <cell r="F1226" t="str">
            <v>m2</v>
          </cell>
          <cell r="G1226">
            <v>62.117647058823529</v>
          </cell>
          <cell r="H1226">
            <v>484846</v>
          </cell>
          <cell r="I1226">
            <v>30117492.705882352</v>
          </cell>
          <cell r="J1226">
            <v>41562139.934117645</v>
          </cell>
        </row>
        <row r="1227">
          <cell r="D1227" t="str">
            <v>MONTAJE Y NIVELACION DE LA JAULA DE ANCLAJES INCLUYE  LA PREPARACIÓN
 DEL ÁREA, LA NIVELACIÓN Y POSICIONAMIENTO DE LOS COMPONENTES (COMO PLANTILLAS Y VARILLAS), EL ENSAMBLAJE DE LA ESTRUCTURA, LA FIJACIÓN FINAL A LA CIMENTACIÓN CON PERNOS DE ANCLAJE, MONTAJE DE BRIDAS, TORQUE Y LIBERACIÓN DE LA CESTA, INCLUYE LA HERRAMIENTA Y EQUIPO DE INSTALACIÓN (peso estimado por jaula 13896  kg)</v>
          </cell>
          <cell r="F1227" t="str">
            <v>Und</v>
          </cell>
          <cell r="G1227">
            <v>1</v>
          </cell>
          <cell r="H1227">
            <v>99908619</v>
          </cell>
          <cell r="I1227">
            <v>99908619</v>
          </cell>
          <cell r="J1227">
            <v>137873894.22</v>
          </cell>
        </row>
        <row r="1228">
          <cell r="C1228" t="str">
            <v>10.21.7</v>
          </cell>
          <cell r="D1228" t="str">
            <v xml:space="preserve">         INSTALACIÓN DE ACERO DE REFUERZO WP26</v>
          </cell>
          <cell r="E1228" t="str">
            <v>14 días</v>
          </cell>
          <cell r="F1228">
            <v>0</v>
          </cell>
          <cell r="J1228">
            <v>1212623361.2117648</v>
          </cell>
        </row>
        <row r="1229">
          <cell r="D1229" t="str">
            <v>ACERO FY:  60000 psi (4.200 kg/cm2)</v>
          </cell>
          <cell r="F1229" t="str">
            <v>kg</v>
          </cell>
          <cell r="G1229">
            <v>68756.852941176476</v>
          </cell>
          <cell r="H1229">
            <v>12780</v>
          </cell>
          <cell r="I1229">
            <v>878712580.58823538</v>
          </cell>
          <cell r="J1229">
            <v>1212623361.2117648</v>
          </cell>
        </row>
        <row r="1230">
          <cell r="C1230" t="str">
            <v>10.21.8</v>
          </cell>
          <cell r="D1230" t="str">
            <v xml:space="preserve">         ENCOFRADO DE ZAPATA Y DE PEDESTAL WP26</v>
          </cell>
          <cell r="E1230" t="str">
            <v>3 días</v>
          </cell>
          <cell r="F1230">
            <v>0</v>
          </cell>
        </row>
        <row r="1231">
          <cell r="C1231" t="str">
            <v>10.21.9</v>
          </cell>
          <cell r="D1231" t="str">
            <v xml:space="preserve">         HITO: ALISTAMIENTO Y MOVILIZACIÓN DE PLANTA DE CONCRETO PARA WP26</v>
          </cell>
          <cell r="E1231" t="str">
            <v>0 días</v>
          </cell>
          <cell r="F1231">
            <v>0</v>
          </cell>
        </row>
        <row r="1232">
          <cell r="C1232" t="str">
            <v>10.21.10</v>
          </cell>
          <cell r="D1232" t="str">
            <v xml:space="preserve">         FUNDIDA WP26</v>
          </cell>
          <cell r="E1232" t="str">
            <v>1 día</v>
          </cell>
          <cell r="F1232">
            <v>0</v>
          </cell>
          <cell r="J1232">
            <v>1230815225.9452939</v>
          </cell>
        </row>
        <row r="1233">
          <cell r="D1233" t="str">
            <v>CONCRETO ESTRUCTURAL  35 MPa(350 kg/cm2 Ó 5000 psi)</v>
          </cell>
          <cell r="F1233" t="str">
            <v>m3</v>
          </cell>
          <cell r="G1233">
            <v>429.02941176470586</v>
          </cell>
          <cell r="H1233">
            <v>1926653</v>
          </cell>
          <cell r="I1233">
            <v>826590803.26470578</v>
          </cell>
          <cell r="J1233">
            <v>1140695308.5052938</v>
          </cell>
        </row>
        <row r="1234">
          <cell r="D1234" t="str">
            <v>CONCRETO ESTRUCTURAL  45 MPa(457 kg/cm2 Ó 6500psi)</v>
          </cell>
          <cell r="F1234" t="str">
            <v>m3</v>
          </cell>
          <cell r="G1234">
            <v>32</v>
          </cell>
          <cell r="H1234">
            <v>2040759</v>
          </cell>
          <cell r="I1234">
            <v>65304288</v>
          </cell>
          <cell r="J1234">
            <v>90119917.439999998</v>
          </cell>
        </row>
        <row r="1235">
          <cell r="C1235" t="str">
            <v>10.21.11</v>
          </cell>
          <cell r="D1235" t="str">
            <v xml:space="preserve">         CURADO DEL CONCRETO WP26</v>
          </cell>
          <cell r="E1235" t="str">
            <v>5 días</v>
          </cell>
          <cell r="F1235">
            <v>0</v>
          </cell>
        </row>
        <row r="1236">
          <cell r="C1236" t="str">
            <v>10.21.12</v>
          </cell>
          <cell r="D1236" t="str">
            <v xml:space="preserve">         INSTALACIONES ELECTRICAS Y SISTEMA PUESTA TIERRA WP26</v>
          </cell>
          <cell r="E1236" t="str">
            <v>2 días</v>
          </cell>
          <cell r="F1236">
            <v>0</v>
          </cell>
          <cell r="J1236">
            <v>52736347.43270281</v>
          </cell>
        </row>
        <row r="1237">
          <cell r="D1237" t="str">
            <v>ARQUETA EN HORMIGON PARA MEDIA TENSION - EMPALMES (500 MT)</v>
          </cell>
          <cell r="F1237" t="str">
            <v>Und</v>
          </cell>
          <cell r="G1237">
            <v>1</v>
          </cell>
          <cell r="H1237">
            <v>12275310.999985719</v>
          </cell>
          <cell r="I1237">
            <v>12275310.999985719</v>
          </cell>
          <cell r="J1237">
            <v>16939929.179980289</v>
          </cell>
        </row>
        <row r="1238">
          <cell r="D1238" t="str">
            <v>ARQUETA EN POLIPROPILENO</v>
          </cell>
          <cell r="F1238" t="str">
            <v>Und</v>
          </cell>
          <cell r="G1238">
            <v>1</v>
          </cell>
          <cell r="H1238">
            <v>6068599.9996856553</v>
          </cell>
          <cell r="I1238">
            <v>6068599.9996856553</v>
          </cell>
          <cell r="J1238">
            <v>8374667.9995662039</v>
          </cell>
        </row>
        <row r="1239">
          <cell r="D1239" t="str">
            <v>SUMINISTRO E INSTALACIÓN DE PLATINA</v>
          </cell>
          <cell r="F1239" t="str">
            <v>Und</v>
          </cell>
          <cell r="G1239">
            <v>1</v>
          </cell>
          <cell r="H1239">
            <v>361570</v>
          </cell>
          <cell r="I1239">
            <v>361570</v>
          </cell>
          <cell r="J1239">
            <v>498966.6</v>
          </cell>
        </row>
        <row r="1240">
          <cell r="D1240" t="str">
            <v>SUMINISTRO E INSTALACIÓN DE VARILLA</v>
          </cell>
          <cell r="F1240" t="str">
            <v>Und</v>
          </cell>
          <cell r="G1240">
            <v>1</v>
          </cell>
          <cell r="H1240">
            <v>398933</v>
          </cell>
          <cell r="I1240">
            <v>398933</v>
          </cell>
          <cell r="J1240">
            <v>550527.53999999992</v>
          </cell>
        </row>
        <row r="1241">
          <cell r="D1241" t="str">
            <v>SUMINISTRO E INSTALACIÓN DE ARQUETA PARA INSPECCIÓN DE PICAS EN PUESTA A TIERRA SIN FONDO</v>
          </cell>
          <cell r="F1241" t="str">
            <v>Und</v>
          </cell>
          <cell r="G1241">
            <v>1</v>
          </cell>
          <cell r="H1241">
            <v>14275700</v>
          </cell>
          <cell r="I1241">
            <v>14275700</v>
          </cell>
          <cell r="J1241">
            <v>19700466</v>
          </cell>
        </row>
        <row r="1242">
          <cell r="D1242" t="str">
            <v>SUMINISTRO E INSTALACIÓN DE SOLDADURA EXOTERMICA</v>
          </cell>
          <cell r="F1242" t="str">
            <v>Und</v>
          </cell>
          <cell r="G1242">
            <v>2.8000000000000003</v>
          </cell>
          <cell r="H1242">
            <v>185231</v>
          </cell>
          <cell r="I1242">
            <v>518646.80000000005</v>
          </cell>
          <cell r="J1242">
            <v>715732.58400000003</v>
          </cell>
        </row>
        <row r="1243">
          <cell r="D1243" t="str">
            <v>SUMINISTRO E INSTALACIÓN DE GRAPA DE ALEACIÓN RICA EN COBRE (LATÓN) MODELO KZ</v>
          </cell>
          <cell r="F1243" t="str">
            <v>Und</v>
          </cell>
          <cell r="G1243">
            <v>1</v>
          </cell>
          <cell r="H1243">
            <v>292083</v>
          </cell>
          <cell r="I1243">
            <v>292083</v>
          </cell>
          <cell r="J1243">
            <v>403074.54</v>
          </cell>
        </row>
        <row r="1244">
          <cell r="D1244" t="str">
            <v>SUMINISTRO E INSTALACIÓN DE GRAPA DE ALEACIÓN RICA EN COBRE (LATÓN) MODELO KPD</v>
          </cell>
          <cell r="F1244" t="str">
            <v>Und</v>
          </cell>
          <cell r="G1244">
            <v>0.99393939393939412</v>
          </cell>
          <cell r="H1244">
            <v>292083</v>
          </cell>
          <cell r="I1244">
            <v>290312.80000000005</v>
          </cell>
          <cell r="J1244">
            <v>400631.66400000005</v>
          </cell>
        </row>
        <row r="1245">
          <cell r="D1245" t="str">
            <v xml:space="preserve">INSTALACIÓN DE CABLE DE COBRE TRENZADO DESNUDO DE 50 mm2 </v>
          </cell>
          <cell r="F1245" t="str">
            <v>ML</v>
          </cell>
          <cell r="G1245">
            <v>113.1390243902439</v>
          </cell>
          <cell r="H1245">
            <v>33000.000989065411</v>
          </cell>
          <cell r="I1245">
            <v>3733587.9167799447</v>
          </cell>
          <cell r="J1245">
            <v>5152351.3251563236</v>
          </cell>
        </row>
        <row r="1246">
          <cell r="C1246" t="str">
            <v>10.21.13</v>
          </cell>
          <cell r="D1246" t="str">
            <v xml:space="preserve">         INSTALACION DE GROUT Y MORTERO AUTOCOMPACTANTE DE ALTA RESISTENCIA WP26</v>
          </cell>
          <cell r="E1246" t="str">
            <v>2 días</v>
          </cell>
          <cell r="F1246">
            <v>0</v>
          </cell>
          <cell r="J1246">
            <v>46410609.014634147</v>
          </cell>
        </row>
        <row r="1247">
          <cell r="D1247" t="str">
            <v>GROUT Y  MORTERO AUTOCOMPACTANTE DE ALTA RESISTENCIA C80/95 (EN206-1)</v>
          </cell>
          <cell r="F1247" t="str">
            <v>lt</v>
          </cell>
          <cell r="G1247">
            <v>530.73170731707319</v>
          </cell>
          <cell r="H1247">
            <v>63367</v>
          </cell>
          <cell r="I1247">
            <v>33630876.097560979</v>
          </cell>
          <cell r="J1247">
            <v>46410609.014634147</v>
          </cell>
        </row>
        <row r="1248">
          <cell r="C1248" t="str">
            <v>10.21.14</v>
          </cell>
          <cell r="D1248" t="str">
            <v xml:space="preserve">         TAPADO AREA DE CIMENTACIÓN Y CONFORMACIÓN DE PLATAFORMA WP26</v>
          </cell>
          <cell r="E1248" t="str">
            <v>7 días</v>
          </cell>
          <cell r="F1248">
            <v>0</v>
          </cell>
          <cell r="J1248">
            <v>1587346329.5488234</v>
          </cell>
        </row>
        <row r="1249">
          <cell r="D1249" t="str">
            <v>MATERIAL SELECIONADA PARA  FORMACIÓN Y COMPACTACIÓN DE TERRAPLENES Y RELLENO ESTRUCTURAL  (INCLUYE TRANSPORTE DESDE LAS CANTERAS LICENCIADAS HASTA EL SITIO DE INSTALACIÓN)</v>
          </cell>
          <cell r="F1249" t="str">
            <v>m3</v>
          </cell>
          <cell r="G1249">
            <v>5388.7058823529414</v>
          </cell>
          <cell r="H1249">
            <v>174890</v>
          </cell>
          <cell r="I1249">
            <v>942430771.7647059</v>
          </cell>
          <cell r="J1249">
            <v>1300554465.0352941</v>
          </cell>
        </row>
        <row r="1250">
          <cell r="D1250" t="str">
            <v>PREPARACIÓN DE SUBRASANTE COMPACTACIÓN Y VALORACIÓN DE LA CAPA DE SUBRASANTE DE LOS VIALES. INCLUYENDO LAS PRUEBAS SEGÚN LO PRESCRITO.</v>
          </cell>
          <cell r="F1250" t="str">
            <v>m2</v>
          </cell>
          <cell r="G1250">
            <v>631.61764705882354</v>
          </cell>
          <cell r="H1250">
            <v>11537</v>
          </cell>
          <cell r="I1250">
            <v>7286972.7941176472</v>
          </cell>
          <cell r="J1250">
            <v>10056022.455882352</v>
          </cell>
        </row>
        <row r="1251">
          <cell r="D1251" t="str">
            <v>SUBBASE GRANULAR  (INCLUYE TRANSPORTE DESDE LAS CANTERAS LICENCIADAS HASTA EL SITIO DE INSTALACIÓN)</v>
          </cell>
          <cell r="F1251" t="str">
            <v>m3</v>
          </cell>
          <cell r="G1251">
            <v>880.85294117647061</v>
          </cell>
          <cell r="H1251">
            <v>227658</v>
          </cell>
          <cell r="I1251">
            <v>200533218.88235295</v>
          </cell>
          <cell r="J1251">
            <v>276735842.05764705</v>
          </cell>
        </row>
        <row r="1252">
          <cell r="C1252" t="str">
            <v>10.21.15</v>
          </cell>
          <cell r="D1252" t="str">
            <v xml:space="preserve">         ESTABILIZACIÓN DE TALUDES EN PLATAFORMA Y RECONFORMACION FINAL WP26</v>
          </cell>
          <cell r="E1252" t="str">
            <v>7 días</v>
          </cell>
          <cell r="F1252">
            <v>0</v>
          </cell>
          <cell r="J1252">
            <v>179532477.23999998</v>
          </cell>
        </row>
        <row r="1253">
          <cell r="D1253" t="str">
            <v>BASE GRANULAR   (INCLUYE TRANSPORTE DESDE LAS CANTERAS LICENCIADAS HASTA EL SITIO DE INSTALACIÓN)</v>
          </cell>
          <cell r="F1253" t="str">
            <v>m3</v>
          </cell>
          <cell r="G1253">
            <v>237.64705882352942</v>
          </cell>
          <cell r="H1253">
            <v>265112</v>
          </cell>
          <cell r="I1253">
            <v>63003087.058823533</v>
          </cell>
          <cell r="J1253">
            <v>86944260.141176462</v>
          </cell>
        </row>
        <row r="1254">
          <cell r="D1254" t="str">
            <v xml:space="preserve">ENROCADO PROTECCIÓN TALUD PLATAFORMAS PROTECCIÓN CON ENROCADO DE PIEDRA DEL TALUD DE LAS PLATAFORMAS EN TERRAPLÉN CON 30 CM DE PIEDRA DE 6-10 CM DE DIÁMETRO, PESO ESPECÍFICO DE LAS PIEDRAS DE 2,64  G/CM3  (INCLUYE TRANSPORTE DESDE LAS CANTERAS LICENCIADAS HASTA EL SITIO DE INSTALACIÓN) </v>
          </cell>
          <cell r="F1254" t="str">
            <v>m3</v>
          </cell>
          <cell r="G1254">
            <v>42.352941176470587</v>
          </cell>
          <cell r="H1254">
            <v>276393</v>
          </cell>
          <cell r="I1254">
            <v>11706056.470588235</v>
          </cell>
          <cell r="J1254">
            <v>16154357.929411763</v>
          </cell>
        </row>
        <row r="1255">
          <cell r="D1255" t="str">
            <v xml:space="preserve">ENROCADO PROTECCIÓN TALUD CIMENTACION PROTECCIÓN CON ENROCADO DE PIEDRA DEL TALUD DE LAS CIMENTACIONES EN TERRAPLÉN CON 30 CM DE PIEDRA DE 6-10 CM DE DIÁMETRO, PESO ESPECÍFICO DE LAS PIEDRAS DE 2,64 G/CM3   (INCLUYE TRANSPORTE DESDE LAS CANTERAS LICENCIADAS HASTA EL SITIO DE INSTALACIÓN) </v>
          </cell>
          <cell r="F1255" t="str">
            <v>m3</v>
          </cell>
          <cell r="G1255">
            <v>25.529411764705884</v>
          </cell>
          <cell r="H1255">
            <v>286818</v>
          </cell>
          <cell r="I1255">
            <v>7322294.823529412</v>
          </cell>
          <cell r="J1255">
            <v>10104766.856470589</v>
          </cell>
        </row>
        <row r="1256">
          <cell r="D1256" t="str">
            <v>SUMINISTRO E INSTALACIÓN DE GEOTEXTILES</v>
          </cell>
          <cell r="F1256" t="str">
            <v>m2</v>
          </cell>
          <cell r="G1256">
            <v>887.17647058823525</v>
          </cell>
          <cell r="H1256">
            <v>54177</v>
          </cell>
          <cell r="I1256">
            <v>48064559.647058822</v>
          </cell>
          <cell r="J1256">
            <v>66329092.312941171</v>
          </cell>
        </row>
        <row r="1257">
          <cell r="C1257" t="str">
            <v>10.21.16</v>
          </cell>
          <cell r="D1257" t="str">
            <v xml:space="preserve">         HITO: FINALIZACION DE ACTIVIDADES EN CIMENTACION WP26</v>
          </cell>
          <cell r="E1257" t="str">
            <v>0 días</v>
          </cell>
          <cell r="F1257">
            <v>0</v>
          </cell>
        </row>
        <row r="1258">
          <cell r="C1258" t="str">
            <v>10.22</v>
          </cell>
          <cell r="D1258" t="str">
            <v xml:space="preserve">      CIMENTACION WP27</v>
          </cell>
          <cell r="E1258" t="str">
            <v>60 días</v>
          </cell>
          <cell r="F1258">
            <v>0</v>
          </cell>
        </row>
        <row r="1259">
          <cell r="C1259" t="str">
            <v>10.22.1</v>
          </cell>
          <cell r="D1259" t="str">
            <v xml:space="preserve">         DESBROCE DE AREA DE ACOPIO DE TORRE Y DE PALAS WP27</v>
          </cell>
          <cell r="E1259" t="str">
            <v>8 días</v>
          </cell>
          <cell r="F1259">
            <v>0</v>
          </cell>
          <cell r="J1259">
            <v>83271780.884117648</v>
          </cell>
        </row>
        <row r="1260">
          <cell r="D1260" t="str">
            <v>DESBROCE Y LIMPIEZA</v>
          </cell>
          <cell r="F1260" t="str">
            <v>m2</v>
          </cell>
          <cell r="G1260">
            <v>4799.0294117647063</v>
          </cell>
          <cell r="H1260">
            <v>4140</v>
          </cell>
          <cell r="I1260">
            <v>19867981.764705885</v>
          </cell>
          <cell r="J1260">
            <v>27417814.83529412</v>
          </cell>
        </row>
        <row r="1261">
          <cell r="D1261" t="str">
            <v>SUMINISTRO DE COMISION TOPOGRAFICA
 (incluyede GPS, Estación Total, tránsitos, distanciómetros, niveles de precisión, miras, prismas, jalones, plomadas, cintas métricas, etc., un cadenero primero , un cadenero segundo, ingeniero topógrafo/topógrafo con matricula vigente, insumos para ralizar la actividad, licencias de software utilizado para la ejecución de los trabajos, movilización de personal equipos y entregables en archivos magnéticos)</v>
          </cell>
          <cell r="F1261" t="str">
            <v>Mes</v>
          </cell>
          <cell r="G1261">
            <v>0.2</v>
          </cell>
          <cell r="H1261">
            <v>31500000</v>
          </cell>
          <cell r="I1261">
            <v>6300000</v>
          </cell>
          <cell r="J1261">
            <v>8694000</v>
          </cell>
        </row>
        <row r="1262">
          <cell r="D1262" t="str">
            <v>DESMONTE, DESCAPOTE Y LIMPIEZA INCLUYE  TALA DE ARBOLES CON DAP ≤0.15M, TRANSPORTE Y DISPOSICIÓN FINAL</v>
          </cell>
          <cell r="F1262" t="str">
            <v>m2</v>
          </cell>
          <cell r="G1262">
            <v>4799.0294117647063</v>
          </cell>
          <cell r="H1262">
            <v>7121</v>
          </cell>
          <cell r="I1262">
            <v>34173888.441176474</v>
          </cell>
          <cell r="J1262">
            <v>47159966.048823528</v>
          </cell>
        </row>
        <row r="1263">
          <cell r="C1263" t="str">
            <v>10.22.2</v>
          </cell>
          <cell r="D1263" t="str">
            <v xml:space="preserve">         EXCAVACIÓN DE CIMENTACION WP27</v>
          </cell>
          <cell r="E1263" t="str">
            <v>7 días</v>
          </cell>
          <cell r="F1263">
            <v>0</v>
          </cell>
          <cell r="J1263">
            <v>312374505.66882348</v>
          </cell>
        </row>
        <row r="1264">
          <cell r="D1264" t="str">
            <v>EXCAVACIÓN MECÁNICA EN MATERIAL COMÚN</v>
          </cell>
          <cell r="F1264" t="str">
            <v>m3</v>
          </cell>
          <cell r="G1264">
            <v>4799.0294117647063</v>
          </cell>
          <cell r="H1264">
            <v>35495</v>
          </cell>
          <cell r="I1264">
            <v>170341548.97058824</v>
          </cell>
          <cell r="J1264">
            <v>235071337.57941175</v>
          </cell>
        </row>
        <row r="1265">
          <cell r="D1265" t="str">
            <v>EXCAVACIÓN EN ROCA</v>
          </cell>
          <cell r="F1265" t="str">
            <v>m3</v>
          </cell>
          <cell r="G1265">
            <v>414.35294117647061</v>
          </cell>
          <cell r="H1265">
            <v>135191</v>
          </cell>
          <cell r="I1265">
            <v>56016788.470588237</v>
          </cell>
          <cell r="J1265">
            <v>77303168.089411765</v>
          </cell>
        </row>
        <row r="1266">
          <cell r="C1266" t="str">
            <v>10.22.3</v>
          </cell>
          <cell r="D1266" t="str">
            <v xml:space="preserve">         BANCO DE DUCTO WP27</v>
          </cell>
          <cell r="E1266" t="str">
            <v>3 días</v>
          </cell>
          <cell r="F1266">
            <v>0</v>
          </cell>
          <cell r="J1266">
            <v>9527825.6870364472</v>
          </cell>
        </row>
        <row r="1267">
          <cell r="D1267" t="str">
            <v>INSTALACION DE TUBERIA PVC TIPO TDP Y/O CORRUGADA TIPO PEAD-HDPE  - 50mm</v>
          </cell>
          <cell r="F1267" t="str">
            <v>ML</v>
          </cell>
          <cell r="G1267">
            <v>7.2352941176470589</v>
          </cell>
          <cell r="H1267">
            <v>27751.000385791169</v>
          </cell>
          <cell r="I1267">
            <v>200786.64985013611</v>
          </cell>
          <cell r="J1267">
            <v>277085.57679318782</v>
          </cell>
        </row>
        <row r="1268">
          <cell r="D1268" t="str">
            <v>INSTALACION DE TUBERIA PVC TIPO TDP Y/O CORRUGADA TIPO PEAD-HDPE - 90mm</v>
          </cell>
          <cell r="F1268" t="str">
            <v>ML</v>
          </cell>
          <cell r="G1268">
            <v>34.694117647058818</v>
          </cell>
          <cell r="H1268">
            <v>31239.000009014315</v>
          </cell>
          <cell r="I1268">
            <v>1083809.5414892142</v>
          </cell>
          <cell r="J1268">
            <v>1495657.1672551155</v>
          </cell>
        </row>
        <row r="1269">
          <cell r="D1269" t="str">
            <v>INSTALACION DE TUBERIA PVC TIPO TDP  Y/O CORRUGADA TIPO PEAD-HDPE - 200mm</v>
          </cell>
          <cell r="F1269" t="str">
            <v>ML</v>
          </cell>
          <cell r="G1269">
            <v>70.332352941176467</v>
          </cell>
          <cell r="H1269">
            <v>79900.999838665448</v>
          </cell>
          <cell r="I1269">
            <v>5619625.3210059023</v>
          </cell>
          <cell r="J1269">
            <v>7755082.9429881442</v>
          </cell>
        </row>
        <row r="1270">
          <cell r="C1270" t="str">
            <v>10.22.4</v>
          </cell>
          <cell r="D1270" t="str">
            <v xml:space="preserve">         COMPACTACION DE SELLO DE BASE WP27</v>
          </cell>
          <cell r="E1270" t="str">
            <v>2 días</v>
          </cell>
          <cell r="F1270">
            <v>0</v>
          </cell>
          <cell r="J1270">
            <v>320494616.71764702</v>
          </cell>
        </row>
        <row r="1271">
          <cell r="D1271" t="str">
            <v>RELLENO CON MATERIAL DE EXCAVACIÓN SELECCIONADO</v>
          </cell>
          <cell r="F1271" t="str">
            <v>m3</v>
          </cell>
          <cell r="G1271">
            <v>4530.6764705882351</v>
          </cell>
          <cell r="H1271">
            <v>51260</v>
          </cell>
          <cell r="I1271">
            <v>232242475.88235292</v>
          </cell>
          <cell r="J1271">
            <v>320494616.71764702</v>
          </cell>
        </row>
        <row r="1272">
          <cell r="C1272" t="str">
            <v>10.22.5</v>
          </cell>
          <cell r="D1272" t="str">
            <v xml:space="preserve">         SOLADO WP27</v>
          </cell>
          <cell r="E1272" t="str">
            <v>1 día</v>
          </cell>
          <cell r="F1272">
            <v>0</v>
          </cell>
          <cell r="J1272">
            <v>94303618.549411759</v>
          </cell>
        </row>
        <row r="1273">
          <cell r="D1273" t="str">
            <v>CONCRETO CLASE F (140 kg/cm2 Ó 2000 psi)</v>
          </cell>
          <cell r="F1273" t="str">
            <v>m3</v>
          </cell>
          <cell r="G1273">
            <v>43.941176470588232</v>
          </cell>
          <cell r="H1273">
            <v>1555169</v>
          </cell>
          <cell r="I1273">
            <v>68335955.470588237</v>
          </cell>
          <cell r="J1273">
            <v>94303618.549411759</v>
          </cell>
        </row>
        <row r="1274">
          <cell r="C1274" t="str">
            <v>10.22.6</v>
          </cell>
          <cell r="D1274" t="str">
            <v xml:space="preserve">         INSTALACIÓN DE PERNOS Y SOFT-SPOT WP27</v>
          </cell>
          <cell r="E1274" t="str">
            <v>5 días</v>
          </cell>
          <cell r="F1274">
            <v>0</v>
          </cell>
          <cell r="J1274">
            <v>179436034.15411764</v>
          </cell>
        </row>
        <row r="1275">
          <cell r="D1275" t="str">
            <v>S0FT-SPOT  (EPS) Tipo II (ASM C578)</v>
          </cell>
          <cell r="F1275" t="str">
            <v>m2</v>
          </cell>
          <cell r="G1275">
            <v>62.117647058823529</v>
          </cell>
          <cell r="H1275">
            <v>484846</v>
          </cell>
          <cell r="I1275">
            <v>30117492.705882352</v>
          </cell>
          <cell r="J1275">
            <v>41562139.934117645</v>
          </cell>
        </row>
        <row r="1276">
          <cell r="D1276" t="str">
            <v>MONTAJE Y NIVELACION DE LA JAULA DE ANCLAJES INCLUYE  LA PREPARACIÓN
 DEL ÁREA, LA NIVELACIÓN Y POSICIONAMIENTO DE LOS COMPONENTES (COMO PLANTILLAS Y VARILLAS), EL ENSAMBLAJE DE LA ESTRUCTURA, LA FIJACIÓN FINAL A LA CIMENTACIÓN CON PERNOS DE ANCLAJE, MONTAJE DE BRIDAS, TORQUE Y LIBERACIÓN DE LA CESTA, INCLUYE LA HERRAMIENTA Y EQUIPO DE INSTALACIÓN (peso estimado por jaula 13896  kg)</v>
          </cell>
          <cell r="F1276" t="str">
            <v>Und</v>
          </cell>
          <cell r="G1276">
            <v>1</v>
          </cell>
          <cell r="H1276">
            <v>99908619</v>
          </cell>
          <cell r="I1276">
            <v>99908619</v>
          </cell>
          <cell r="J1276">
            <v>137873894.22</v>
          </cell>
        </row>
        <row r="1277">
          <cell r="C1277" t="str">
            <v>10.22.7</v>
          </cell>
          <cell r="D1277" t="str">
            <v xml:space="preserve">         INSTALACIÓN DE ACERO DE REFUERZO WP27</v>
          </cell>
          <cell r="E1277" t="str">
            <v>14 días</v>
          </cell>
          <cell r="F1277">
            <v>0</v>
          </cell>
          <cell r="J1277">
            <v>1212623361.2117648</v>
          </cell>
        </row>
        <row r="1278">
          <cell r="D1278" t="str">
            <v>ACERO FY:  60000 psi (4.200 kg/cm2)</v>
          </cell>
          <cell r="F1278" t="str">
            <v>kg</v>
          </cell>
          <cell r="G1278">
            <v>68756.852941176476</v>
          </cell>
          <cell r="H1278">
            <v>12780</v>
          </cell>
          <cell r="I1278">
            <v>878712580.58823538</v>
          </cell>
          <cell r="J1278">
            <v>1212623361.2117648</v>
          </cell>
        </row>
        <row r="1279">
          <cell r="C1279" t="str">
            <v>10.22.8</v>
          </cell>
          <cell r="D1279" t="str">
            <v xml:space="preserve">         ENCOFRADO DE ZAPATA Y DE PEDESTAL WP27</v>
          </cell>
          <cell r="E1279" t="str">
            <v>3 días</v>
          </cell>
          <cell r="F1279">
            <v>0</v>
          </cell>
        </row>
        <row r="1280">
          <cell r="C1280" t="str">
            <v>10.22.9</v>
          </cell>
          <cell r="D1280" t="str">
            <v xml:space="preserve">         HITO: ALISTAMIENTO Y MOVILIZACIÓN DE PLANTA DE CONCRETO PARA WP27</v>
          </cell>
          <cell r="E1280" t="str">
            <v>0 días</v>
          </cell>
          <cell r="F1280">
            <v>0</v>
          </cell>
        </row>
        <row r="1281">
          <cell r="C1281" t="str">
            <v>10.22.10</v>
          </cell>
          <cell r="D1281" t="str">
            <v xml:space="preserve">         FUNDIDA WP27</v>
          </cell>
          <cell r="E1281" t="str">
            <v>1 día</v>
          </cell>
          <cell r="F1281">
            <v>0</v>
          </cell>
          <cell r="J1281">
            <v>1230815225.9452939</v>
          </cell>
        </row>
        <row r="1282">
          <cell r="D1282" t="str">
            <v>CONCRETO ESTRUCTURAL  35 MPa(350 kg/cm2 Ó 5000 psi)</v>
          </cell>
          <cell r="F1282" t="str">
            <v>m3</v>
          </cell>
          <cell r="G1282">
            <v>429.02941176470586</v>
          </cell>
          <cell r="H1282">
            <v>1926653</v>
          </cell>
          <cell r="I1282">
            <v>826590803.26470578</v>
          </cell>
          <cell r="J1282">
            <v>1140695308.5052938</v>
          </cell>
        </row>
        <row r="1283">
          <cell r="D1283" t="str">
            <v>CONCRETO ESTRUCTURAL  45 MPa(457 kg/cm2 Ó 6500psi)</v>
          </cell>
          <cell r="F1283" t="str">
            <v>m3</v>
          </cell>
          <cell r="G1283">
            <v>32</v>
          </cell>
          <cell r="H1283">
            <v>2040759</v>
          </cell>
          <cell r="I1283">
            <v>65304288</v>
          </cell>
          <cell r="J1283">
            <v>90119917.439999998</v>
          </cell>
        </row>
        <row r="1284">
          <cell r="C1284" t="str">
            <v>10.22.11</v>
          </cell>
          <cell r="D1284" t="str">
            <v xml:space="preserve">         CURADO DEL CONCRETO WP27</v>
          </cell>
          <cell r="E1284" t="str">
            <v>5 días</v>
          </cell>
          <cell r="F1284">
            <v>0</v>
          </cell>
        </row>
        <row r="1285">
          <cell r="C1285" t="str">
            <v>10.22.12</v>
          </cell>
          <cell r="D1285" t="str">
            <v xml:space="preserve">         INSTALACIONES ELECTRICAS Y SISTEMA PUESTA TIERRA WP27</v>
          </cell>
          <cell r="E1285" t="str">
            <v>2 días</v>
          </cell>
          <cell r="F1285">
            <v>0</v>
          </cell>
          <cell r="J1285">
            <v>52736347.43270281</v>
          </cell>
        </row>
        <row r="1286">
          <cell r="D1286" t="str">
            <v>ARQUETA EN HORMIGON PARA MEDIA TENSION - EMPALMES (500 MT)</v>
          </cell>
          <cell r="F1286" t="str">
            <v>Und</v>
          </cell>
          <cell r="G1286">
            <v>1</v>
          </cell>
          <cell r="H1286">
            <v>12275310.999985719</v>
          </cell>
          <cell r="I1286">
            <v>12275310.999985719</v>
          </cell>
          <cell r="J1286">
            <v>16939929.179980289</v>
          </cell>
        </row>
        <row r="1287">
          <cell r="D1287" t="str">
            <v>ARQUETA EN POLIPROPILENO</v>
          </cell>
          <cell r="F1287" t="str">
            <v>Und</v>
          </cell>
          <cell r="G1287">
            <v>1</v>
          </cell>
          <cell r="H1287">
            <v>6068599.9996856553</v>
          </cell>
          <cell r="I1287">
            <v>6068599.9996856553</v>
          </cell>
          <cell r="J1287">
            <v>8374667.9995662039</v>
          </cell>
        </row>
        <row r="1288">
          <cell r="D1288" t="str">
            <v>SUMINISTRO E INSTALACIÓN DE PLATINA</v>
          </cell>
          <cell r="F1288" t="str">
            <v>Und</v>
          </cell>
          <cell r="G1288">
            <v>1</v>
          </cell>
          <cell r="H1288">
            <v>361570</v>
          </cell>
          <cell r="I1288">
            <v>361570</v>
          </cell>
          <cell r="J1288">
            <v>498966.6</v>
          </cell>
        </row>
        <row r="1289">
          <cell r="D1289" t="str">
            <v>SUMINISTRO E INSTALACIÓN DE VARILLA</v>
          </cell>
          <cell r="F1289" t="str">
            <v>Und</v>
          </cell>
          <cell r="G1289">
            <v>1</v>
          </cell>
          <cell r="H1289">
            <v>398933</v>
          </cell>
          <cell r="I1289">
            <v>398933</v>
          </cell>
          <cell r="J1289">
            <v>550527.53999999992</v>
          </cell>
        </row>
        <row r="1290">
          <cell r="D1290" t="str">
            <v>SUMINISTRO E INSTALACIÓN DE ARQUETA PARA INSPECCIÓN DE PICAS EN PUESTA A TIERRA SIN FONDO</v>
          </cell>
          <cell r="F1290" t="str">
            <v>Und</v>
          </cell>
          <cell r="G1290">
            <v>1</v>
          </cell>
          <cell r="H1290">
            <v>14275700</v>
          </cell>
          <cell r="I1290">
            <v>14275700</v>
          </cell>
          <cell r="J1290">
            <v>19700466</v>
          </cell>
        </row>
        <row r="1291">
          <cell r="D1291" t="str">
            <v>SUMINISTRO E INSTALACIÓN DE SOLDADURA EXOTERMICA</v>
          </cell>
          <cell r="F1291" t="str">
            <v>Und</v>
          </cell>
          <cell r="G1291">
            <v>2.8000000000000003</v>
          </cell>
          <cell r="H1291">
            <v>185231</v>
          </cell>
          <cell r="I1291">
            <v>518646.80000000005</v>
          </cell>
          <cell r="J1291">
            <v>715732.58400000003</v>
          </cell>
        </row>
        <row r="1292">
          <cell r="D1292" t="str">
            <v>SUMINISTRO E INSTALACIÓN DE GRAPA DE ALEACIÓN RICA EN COBRE (LATÓN) MODELO KZ</v>
          </cell>
          <cell r="F1292" t="str">
            <v>Und</v>
          </cell>
          <cell r="G1292">
            <v>1</v>
          </cell>
          <cell r="H1292">
            <v>292083</v>
          </cell>
          <cell r="I1292">
            <v>292083</v>
          </cell>
          <cell r="J1292">
            <v>403074.54</v>
          </cell>
        </row>
        <row r="1293">
          <cell r="D1293" t="str">
            <v>SUMINISTRO E INSTALACIÓN DE GRAPA DE ALEACIÓN RICA EN COBRE (LATÓN) MODELO KPD</v>
          </cell>
          <cell r="F1293" t="str">
            <v>Und</v>
          </cell>
          <cell r="G1293">
            <v>0.99393939393939412</v>
          </cell>
          <cell r="H1293">
            <v>292083</v>
          </cell>
          <cell r="I1293">
            <v>290312.80000000005</v>
          </cell>
          <cell r="J1293">
            <v>400631.66400000005</v>
          </cell>
        </row>
        <row r="1294">
          <cell r="D1294" t="str">
            <v xml:space="preserve">INSTALACIÓN DE CABLE DE COBRE TRENZADO DESNUDO DE 50 mm2 </v>
          </cell>
          <cell r="F1294" t="str">
            <v>ML</v>
          </cell>
          <cell r="G1294">
            <v>113.1390243902439</v>
          </cell>
          <cell r="H1294">
            <v>33000.000989065411</v>
          </cell>
          <cell r="I1294">
            <v>3733587.9167799447</v>
          </cell>
          <cell r="J1294">
            <v>5152351.3251563236</v>
          </cell>
        </row>
        <row r="1295">
          <cell r="C1295" t="str">
            <v>10.22.13</v>
          </cell>
          <cell r="D1295" t="str">
            <v xml:space="preserve">         INSTALACION DE GROUT Y MORTERO AUTOCOMPACTANTE DE ALTA RESISTENCIA WP27</v>
          </cell>
          <cell r="E1295" t="str">
            <v>2 días</v>
          </cell>
          <cell r="F1295">
            <v>0</v>
          </cell>
          <cell r="J1295">
            <v>46410609.014634147</v>
          </cell>
        </row>
        <row r="1296">
          <cell r="D1296" t="str">
            <v>GROUT Y  MORTERO AUTOCOMPACTANTE DE ALTA RESISTENCIA C80/95 (EN206-1)</v>
          </cell>
          <cell r="F1296" t="str">
            <v>lt</v>
          </cell>
          <cell r="G1296">
            <v>530.73170731707319</v>
          </cell>
          <cell r="H1296">
            <v>63367</v>
          </cell>
          <cell r="I1296">
            <v>33630876.097560979</v>
          </cell>
          <cell r="J1296">
            <v>46410609.014634147</v>
          </cell>
        </row>
        <row r="1297">
          <cell r="C1297" t="str">
            <v>10.22.14</v>
          </cell>
          <cell r="D1297" t="str">
            <v xml:space="preserve">         TAPADO AREA DE CIMENTACIÓN Y CONFORMACIÓN DE PLATAFORMA WP27</v>
          </cell>
          <cell r="E1297" t="str">
            <v>7 días</v>
          </cell>
          <cell r="F1297">
            <v>0</v>
          </cell>
          <cell r="J1297">
            <v>1587346329.5488234</v>
          </cell>
        </row>
        <row r="1298">
          <cell r="D1298" t="str">
            <v>MATERIAL SELECIONADA PARA  FORMACIÓN Y COMPACTACIÓN DE TERRAPLENES Y RELLENO ESTRUCTURAL  (INCLUYE TRANSPORTE DESDE LAS CANTERAS LICENCIADAS HASTA EL SITIO DE INSTALACIÓN)</v>
          </cell>
          <cell r="F1298" t="str">
            <v>m3</v>
          </cell>
          <cell r="G1298">
            <v>5388.7058823529414</v>
          </cell>
          <cell r="H1298">
            <v>174890</v>
          </cell>
          <cell r="I1298">
            <v>942430771.7647059</v>
          </cell>
          <cell r="J1298">
            <v>1300554465.0352941</v>
          </cell>
        </row>
        <row r="1299">
          <cell r="D1299" t="str">
            <v>PREPARACIÓN DE SUBRASANTE COMPACTACIÓN Y VALORACIÓN DE LA CAPA DE SUBRASANTE DE LOS VIALES. INCLUYENDO LAS PRUEBAS SEGÚN LO PRESCRITO.</v>
          </cell>
          <cell r="F1299" t="str">
            <v>m2</v>
          </cell>
          <cell r="G1299">
            <v>631.61764705882354</v>
          </cell>
          <cell r="H1299">
            <v>11537</v>
          </cell>
          <cell r="I1299">
            <v>7286972.7941176472</v>
          </cell>
          <cell r="J1299">
            <v>10056022.455882352</v>
          </cell>
        </row>
        <row r="1300">
          <cell r="D1300" t="str">
            <v>SUBBASE GRANULAR  (INCLUYE TRANSPORTE DESDE LAS CANTERAS LICENCIADAS HASTA EL SITIO DE INSTALACIÓN)</v>
          </cell>
          <cell r="F1300" t="str">
            <v>m3</v>
          </cell>
          <cell r="G1300">
            <v>880.85294117647061</v>
          </cell>
          <cell r="H1300">
            <v>227658</v>
          </cell>
          <cell r="I1300">
            <v>200533218.88235295</v>
          </cell>
          <cell r="J1300">
            <v>276735842.05764705</v>
          </cell>
        </row>
        <row r="1301">
          <cell r="C1301" t="str">
            <v>10.22.15</v>
          </cell>
          <cell r="D1301" t="str">
            <v xml:space="preserve">         ESTABILIZACIÓN DE TALUDES EN PLATAFORMA Y RECONFORMACION FINAL WP27</v>
          </cell>
          <cell r="E1301" t="str">
            <v>7 días</v>
          </cell>
          <cell r="F1301">
            <v>0</v>
          </cell>
          <cell r="J1301">
            <v>179532477.23999998</v>
          </cell>
        </row>
        <row r="1302">
          <cell r="D1302" t="str">
            <v>BASE GRANULAR   (INCLUYE TRANSPORTE DESDE LAS CANTERAS LICENCIADAS HASTA EL SITIO DE INSTALACIÓN)</v>
          </cell>
          <cell r="F1302" t="str">
            <v>m3</v>
          </cell>
          <cell r="G1302">
            <v>237.64705882352942</v>
          </cell>
          <cell r="H1302">
            <v>265112</v>
          </cell>
          <cell r="I1302">
            <v>63003087.058823533</v>
          </cell>
          <cell r="J1302">
            <v>86944260.141176462</v>
          </cell>
        </row>
        <row r="1303">
          <cell r="D1303" t="str">
            <v xml:space="preserve">ENROCADO PROTECCIÓN TALUD PLATAFORMAS PROTECCIÓN CON ENROCADO DE PIEDRA DEL TALUD DE LAS PLATAFORMAS EN TERRAPLÉN CON 30 CM DE PIEDRA DE 6-10 CM DE DIÁMETRO, PESO ESPECÍFICO DE LAS PIEDRAS DE 2,64  G/CM3  (INCLUYE TRANSPORTE DESDE LAS CANTERAS LICENCIADAS HASTA EL SITIO DE INSTALACIÓN) </v>
          </cell>
          <cell r="F1303" t="str">
            <v>m3</v>
          </cell>
          <cell r="G1303">
            <v>42.352941176470587</v>
          </cell>
          <cell r="H1303">
            <v>276393</v>
          </cell>
          <cell r="I1303">
            <v>11706056.470588235</v>
          </cell>
          <cell r="J1303">
            <v>16154357.929411763</v>
          </cell>
        </row>
        <row r="1304">
          <cell r="D1304" t="str">
            <v xml:space="preserve">ENROCADO PROTECCIÓN TALUD CIMENTACION PROTECCIÓN CON ENROCADO DE PIEDRA DEL TALUD DE LAS CIMENTACIONES EN TERRAPLÉN CON 30 CM DE PIEDRA DE 6-10 CM DE DIÁMETRO, PESO ESPECÍFICO DE LAS PIEDRAS DE 2,64 G/CM3   (INCLUYE TRANSPORTE DESDE LAS CANTERAS LICENCIADAS HASTA EL SITIO DE INSTALACIÓN) </v>
          </cell>
          <cell r="F1304" t="str">
            <v>m3</v>
          </cell>
          <cell r="G1304">
            <v>25.529411764705884</v>
          </cell>
          <cell r="H1304">
            <v>286818</v>
          </cell>
          <cell r="I1304">
            <v>7322294.823529412</v>
          </cell>
          <cell r="J1304">
            <v>10104766.856470589</v>
          </cell>
        </row>
        <row r="1305">
          <cell r="D1305" t="str">
            <v>SUMINISTRO E INSTALACIÓN DE GEOTEXTILES</v>
          </cell>
          <cell r="F1305" t="str">
            <v>m2</v>
          </cell>
          <cell r="G1305">
            <v>887.17647058823525</v>
          </cell>
          <cell r="H1305">
            <v>54177</v>
          </cell>
          <cell r="I1305">
            <v>48064559.647058822</v>
          </cell>
          <cell r="J1305">
            <v>66329092.312941171</v>
          </cell>
        </row>
        <row r="1306">
          <cell r="C1306" t="str">
            <v>10.22.16</v>
          </cell>
          <cell r="D1306" t="str">
            <v xml:space="preserve">         HITO: FINALIZACION DE ACTIVIDADES EN CIMENTACION WP27</v>
          </cell>
          <cell r="E1306" t="str">
            <v>0 días</v>
          </cell>
          <cell r="F1306">
            <v>0</v>
          </cell>
        </row>
        <row r="1307">
          <cell r="C1307" t="str">
            <v>10.23</v>
          </cell>
          <cell r="D1307" t="str">
            <v xml:space="preserve">      CIMENTACION WP28</v>
          </cell>
          <cell r="E1307" t="str">
            <v>60 días</v>
          </cell>
          <cell r="F1307">
            <v>0</v>
          </cell>
        </row>
        <row r="1308">
          <cell r="C1308" t="str">
            <v>10.23.1</v>
          </cell>
          <cell r="D1308" t="str">
            <v xml:space="preserve">         DESBROCE DE AREA DE ACOPIO DE TORRE Y DE PALAS WP28</v>
          </cell>
          <cell r="E1308" t="str">
            <v>8 días</v>
          </cell>
          <cell r="F1308">
            <v>0</v>
          </cell>
          <cell r="J1308">
            <v>83271780.884117648</v>
          </cell>
        </row>
        <row r="1309">
          <cell r="D1309" t="str">
            <v>DESBROCE Y LIMPIEZA</v>
          </cell>
          <cell r="F1309" t="str">
            <v>m2</v>
          </cell>
          <cell r="G1309">
            <v>4799.0294117647063</v>
          </cell>
          <cell r="H1309">
            <v>4140</v>
          </cell>
          <cell r="I1309">
            <v>19867981.764705885</v>
          </cell>
          <cell r="J1309">
            <v>27417814.83529412</v>
          </cell>
        </row>
        <row r="1310">
          <cell r="D1310" t="str">
            <v>SUMINISTRO DE COMISION TOPOGRAFICA
 (incluyede GPS, Estación Total, tránsitos, distanciómetros, niveles de precisión, miras, prismas, jalones, plomadas, cintas métricas, etc., un cadenero primero , un cadenero segundo, ingeniero topógrafo/topógrafo con matricula vigente, insumos para ralizar la actividad, licencias de software utilizado para la ejecución de los trabajos, movilización de personal equipos y entregables en archivos magnéticos)</v>
          </cell>
          <cell r="F1310" t="str">
            <v>Mes</v>
          </cell>
          <cell r="G1310">
            <v>0.2</v>
          </cell>
          <cell r="H1310">
            <v>31500000</v>
          </cell>
          <cell r="I1310">
            <v>6300000</v>
          </cell>
          <cell r="J1310">
            <v>8694000</v>
          </cell>
        </row>
        <row r="1311">
          <cell r="D1311" t="str">
            <v>DESMONTE, DESCAPOTE Y LIMPIEZA INCLUYE  TALA DE ARBOLES CON DAP ≤0.15M, TRANSPORTE Y DISPOSICIÓN FINAL</v>
          </cell>
          <cell r="F1311" t="str">
            <v>m2</v>
          </cell>
          <cell r="G1311">
            <v>4799.0294117647063</v>
          </cell>
          <cell r="H1311">
            <v>7121</v>
          </cell>
          <cell r="I1311">
            <v>34173888.441176474</v>
          </cell>
          <cell r="J1311">
            <v>47159966.048823528</v>
          </cell>
        </row>
        <row r="1312">
          <cell r="C1312" t="str">
            <v>10.23.2</v>
          </cell>
          <cell r="D1312" t="str">
            <v xml:space="preserve">         EXCAVACIÓN DE CIMENTACION WP28</v>
          </cell>
          <cell r="E1312" t="str">
            <v>7 días</v>
          </cell>
          <cell r="F1312">
            <v>0</v>
          </cell>
          <cell r="J1312">
            <v>312374505.66882348</v>
          </cell>
        </row>
        <row r="1313">
          <cell r="D1313" t="str">
            <v>EXCAVACIÓN MECÁNICA EN MATERIAL COMÚN</v>
          </cell>
          <cell r="F1313" t="str">
            <v>m3</v>
          </cell>
          <cell r="G1313">
            <v>4799.0294117647063</v>
          </cell>
          <cell r="H1313">
            <v>35495</v>
          </cell>
          <cell r="I1313">
            <v>170341548.97058824</v>
          </cell>
          <cell r="J1313">
            <v>235071337.57941175</v>
          </cell>
        </row>
        <row r="1314">
          <cell r="D1314" t="str">
            <v>EXCAVACIÓN EN ROCA</v>
          </cell>
          <cell r="F1314" t="str">
            <v>m3</v>
          </cell>
          <cell r="G1314">
            <v>414.35294117647061</v>
          </cell>
          <cell r="H1314">
            <v>135191</v>
          </cell>
          <cell r="I1314">
            <v>56016788.470588237</v>
          </cell>
          <cell r="J1314">
            <v>77303168.089411765</v>
          </cell>
        </row>
        <row r="1315">
          <cell r="C1315" t="str">
            <v>10.23.3</v>
          </cell>
          <cell r="D1315" t="str">
            <v xml:space="preserve">         BANCO DE DUCTO WP28</v>
          </cell>
          <cell r="E1315" t="str">
            <v>3 días</v>
          </cell>
          <cell r="F1315">
            <v>0</v>
          </cell>
          <cell r="J1315">
            <v>9527825.6870364472</v>
          </cell>
        </row>
        <row r="1316">
          <cell r="D1316" t="str">
            <v>INSTALACION DE TUBERIA PVC TIPO TDP Y/O CORRUGADA TIPO PEAD-HDPE  - 50mm</v>
          </cell>
          <cell r="F1316" t="str">
            <v>ML</v>
          </cell>
          <cell r="G1316">
            <v>7.2352941176470589</v>
          </cell>
          <cell r="H1316">
            <v>27751.000385791169</v>
          </cell>
          <cell r="I1316">
            <v>200786.64985013611</v>
          </cell>
          <cell r="J1316">
            <v>277085.57679318782</v>
          </cell>
        </row>
        <row r="1317">
          <cell r="D1317" t="str">
            <v>INSTALACION DE TUBERIA PVC TIPO TDP Y/O CORRUGADA TIPO PEAD-HDPE - 90mm</v>
          </cell>
          <cell r="F1317" t="str">
            <v>ML</v>
          </cell>
          <cell r="G1317">
            <v>34.694117647058818</v>
          </cell>
          <cell r="H1317">
            <v>31239.000009014315</v>
          </cell>
          <cell r="I1317">
            <v>1083809.5414892142</v>
          </cell>
          <cell r="J1317">
            <v>1495657.1672551155</v>
          </cell>
        </row>
        <row r="1318">
          <cell r="D1318" t="str">
            <v>INSTALACION DE TUBERIA PVC TIPO TDP  Y/O CORRUGADA TIPO PEAD-HDPE - 200mm</v>
          </cell>
          <cell r="F1318" t="str">
            <v>ML</v>
          </cell>
          <cell r="G1318">
            <v>70.332352941176467</v>
          </cell>
          <cell r="H1318">
            <v>79900.999838665448</v>
          </cell>
          <cell r="I1318">
            <v>5619625.3210059023</v>
          </cell>
          <cell r="J1318">
            <v>7755082.9429881442</v>
          </cell>
        </row>
        <row r="1319">
          <cell r="C1319" t="str">
            <v>10.23.4</v>
          </cell>
          <cell r="D1319" t="str">
            <v xml:space="preserve">         COMPACTACION DE SELLO DE BASE WP28</v>
          </cell>
          <cell r="E1319" t="str">
            <v>2 días</v>
          </cell>
          <cell r="F1319">
            <v>0</v>
          </cell>
          <cell r="J1319">
            <v>320494616.71764702</v>
          </cell>
        </row>
        <row r="1320">
          <cell r="D1320" t="str">
            <v>RELLENO CON MATERIAL DE EXCAVACIÓN SELECCIONADO</v>
          </cell>
          <cell r="F1320" t="str">
            <v>m3</v>
          </cell>
          <cell r="G1320">
            <v>4530.6764705882351</v>
          </cell>
          <cell r="H1320">
            <v>51260</v>
          </cell>
          <cell r="I1320">
            <v>232242475.88235292</v>
          </cell>
          <cell r="J1320">
            <v>320494616.71764702</v>
          </cell>
        </row>
        <row r="1321">
          <cell r="C1321" t="str">
            <v>10.23.5</v>
          </cell>
          <cell r="D1321" t="str">
            <v xml:space="preserve">         SOLADO WP28</v>
          </cell>
          <cell r="E1321" t="str">
            <v>1 día</v>
          </cell>
          <cell r="F1321">
            <v>0</v>
          </cell>
          <cell r="J1321">
            <v>94303618.549411759</v>
          </cell>
        </row>
        <row r="1322">
          <cell r="D1322" t="str">
            <v>CONCRETO CLASE F (140 kg/cm2 Ó 2000 psi)</v>
          </cell>
          <cell r="F1322" t="str">
            <v>m3</v>
          </cell>
          <cell r="G1322">
            <v>43.941176470588232</v>
          </cell>
          <cell r="H1322">
            <v>1555169</v>
          </cell>
          <cell r="I1322">
            <v>68335955.470588237</v>
          </cell>
          <cell r="J1322">
            <v>94303618.549411759</v>
          </cell>
        </row>
        <row r="1323">
          <cell r="C1323" t="str">
            <v>10.23.6</v>
          </cell>
          <cell r="D1323" t="str">
            <v xml:space="preserve">         INSTALACIÓN DE PERNOS Y SOFT-SPOT WP28</v>
          </cell>
          <cell r="E1323" t="str">
            <v>5 días</v>
          </cell>
          <cell r="F1323">
            <v>0</v>
          </cell>
          <cell r="J1323">
            <v>179436034.15411764</v>
          </cell>
        </row>
        <row r="1324">
          <cell r="D1324" t="str">
            <v>S0FT-SPOT  (EPS) Tipo II (ASM C578)</v>
          </cell>
          <cell r="F1324" t="str">
            <v>m2</v>
          </cell>
          <cell r="G1324">
            <v>62.117647058823529</v>
          </cell>
          <cell r="H1324">
            <v>484846</v>
          </cell>
          <cell r="I1324">
            <v>30117492.705882352</v>
          </cell>
          <cell r="J1324">
            <v>41562139.934117645</v>
          </cell>
        </row>
        <row r="1325">
          <cell r="D1325" t="str">
            <v>MONTAJE Y NIVELACION DE LA JAULA DE ANCLAJES INCLUYE  LA PREPARACIÓN
 DEL ÁREA, LA NIVELACIÓN Y POSICIONAMIENTO DE LOS COMPONENTES (COMO PLANTILLAS Y VARILLAS), EL ENSAMBLAJE DE LA ESTRUCTURA, LA FIJACIÓN FINAL A LA CIMENTACIÓN CON PERNOS DE ANCLAJE, MONTAJE DE BRIDAS, TORQUE Y LIBERACIÓN DE LA CESTA, INCLUYE LA HERRAMIENTA Y EQUIPO DE INSTALACIÓN (peso estimado por jaula 13896  kg)</v>
          </cell>
          <cell r="F1325" t="str">
            <v>Und</v>
          </cell>
          <cell r="G1325">
            <v>1</v>
          </cell>
          <cell r="H1325">
            <v>99908619</v>
          </cell>
          <cell r="I1325">
            <v>99908619</v>
          </cell>
          <cell r="J1325">
            <v>137873894.22</v>
          </cell>
        </row>
        <row r="1326">
          <cell r="C1326" t="str">
            <v>10.23.7</v>
          </cell>
          <cell r="D1326" t="str">
            <v xml:space="preserve">         INSTALACIÓN DE ACERO DE REFUERZO WP28</v>
          </cell>
          <cell r="E1326" t="str">
            <v>14 días</v>
          </cell>
          <cell r="F1326">
            <v>0</v>
          </cell>
          <cell r="J1326">
            <v>1212623361.2117648</v>
          </cell>
        </row>
        <row r="1327">
          <cell r="D1327" t="str">
            <v>ACERO FY:  60000 psi (4.200 kg/cm2)</v>
          </cell>
          <cell r="F1327" t="str">
            <v>kg</v>
          </cell>
          <cell r="G1327">
            <v>68756.852941176476</v>
          </cell>
          <cell r="H1327">
            <v>12780</v>
          </cell>
          <cell r="I1327">
            <v>878712580.58823538</v>
          </cell>
          <cell r="J1327">
            <v>1212623361.2117648</v>
          </cell>
        </row>
        <row r="1328">
          <cell r="C1328" t="str">
            <v>10.23.8</v>
          </cell>
          <cell r="D1328" t="str">
            <v xml:space="preserve">         ENCOFRADO DE ZAPATA Y DE PEDESTAL WP28</v>
          </cell>
          <cell r="E1328" t="str">
            <v>3 días</v>
          </cell>
          <cell r="F1328">
            <v>0</v>
          </cell>
        </row>
        <row r="1329">
          <cell r="C1329" t="str">
            <v>10.23.9</v>
          </cell>
          <cell r="D1329" t="str">
            <v xml:space="preserve">         HITO: ALISTAMIENTO Y MOVILIZACIÓN DE PLANTA DE CONCRETO PARA WP28</v>
          </cell>
          <cell r="E1329" t="str">
            <v>0 días</v>
          </cell>
          <cell r="F1329">
            <v>0</v>
          </cell>
        </row>
        <row r="1330">
          <cell r="C1330" t="str">
            <v>10.23.10</v>
          </cell>
          <cell r="D1330" t="str">
            <v xml:space="preserve">         FUNDIDA WP28</v>
          </cell>
          <cell r="E1330" t="str">
            <v>1 día</v>
          </cell>
          <cell r="F1330">
            <v>0</v>
          </cell>
          <cell r="J1330">
            <v>1230815225.9452939</v>
          </cell>
        </row>
        <row r="1331">
          <cell r="D1331" t="str">
            <v>CONCRETO ESTRUCTURAL  35 MPa(350 kg/cm2 Ó 5000 psi)</v>
          </cell>
          <cell r="F1331" t="str">
            <v>m3</v>
          </cell>
          <cell r="G1331">
            <v>429.02941176470586</v>
          </cell>
          <cell r="H1331">
            <v>1926653</v>
          </cell>
          <cell r="I1331">
            <v>826590803.26470578</v>
          </cell>
          <cell r="J1331">
            <v>1140695308.5052938</v>
          </cell>
        </row>
        <row r="1332">
          <cell r="D1332" t="str">
            <v>CONCRETO ESTRUCTURAL  45 MPa(457 kg/cm2 Ó 6500psi)</v>
          </cell>
          <cell r="F1332" t="str">
            <v>m3</v>
          </cell>
          <cell r="G1332">
            <v>32</v>
          </cell>
          <cell r="H1332">
            <v>2040759</v>
          </cell>
          <cell r="I1332">
            <v>65304288</v>
          </cell>
          <cell r="J1332">
            <v>90119917.439999998</v>
          </cell>
        </row>
        <row r="1333">
          <cell r="C1333" t="str">
            <v>10.23.11</v>
          </cell>
          <cell r="D1333" t="str">
            <v xml:space="preserve">         CURADO DEL CONCRETO WP28</v>
          </cell>
          <cell r="E1333" t="str">
            <v>5 días</v>
          </cell>
          <cell r="F1333">
            <v>0</v>
          </cell>
        </row>
        <row r="1334">
          <cell r="C1334" t="str">
            <v>10.23.12</v>
          </cell>
          <cell r="D1334" t="str">
            <v xml:space="preserve">         INSTALACIONES ELECTRICAS Y SISTEMA PUESTA TIERRA WP28</v>
          </cell>
          <cell r="E1334" t="str">
            <v>2 días</v>
          </cell>
          <cell r="F1334">
            <v>0</v>
          </cell>
          <cell r="J1334">
            <v>52736347.43270281</v>
          </cell>
        </row>
        <row r="1335">
          <cell r="D1335" t="str">
            <v>ARQUETA EN HORMIGON PARA MEDIA TENSION - EMPALMES (500 MT)</v>
          </cell>
          <cell r="F1335" t="str">
            <v>Und</v>
          </cell>
          <cell r="G1335">
            <v>1</v>
          </cell>
          <cell r="H1335">
            <v>12275310.999985719</v>
          </cell>
          <cell r="I1335">
            <v>12275310.999985719</v>
          </cell>
          <cell r="J1335">
            <v>16939929.179980289</v>
          </cell>
        </row>
        <row r="1336">
          <cell r="D1336" t="str">
            <v>ARQUETA EN POLIPROPILENO</v>
          </cell>
          <cell r="F1336" t="str">
            <v>Und</v>
          </cell>
          <cell r="G1336">
            <v>1</v>
          </cell>
          <cell r="H1336">
            <v>6068599.9996856553</v>
          </cell>
          <cell r="I1336">
            <v>6068599.9996856553</v>
          </cell>
          <cell r="J1336">
            <v>8374667.9995662039</v>
          </cell>
        </row>
        <row r="1337">
          <cell r="D1337" t="str">
            <v>SUMINISTRO E INSTALACIÓN DE PLATINA</v>
          </cell>
          <cell r="F1337" t="str">
            <v>Und</v>
          </cell>
          <cell r="G1337">
            <v>1</v>
          </cell>
          <cell r="H1337">
            <v>361570</v>
          </cell>
          <cell r="I1337">
            <v>361570</v>
          </cell>
          <cell r="J1337">
            <v>498966.6</v>
          </cell>
        </row>
        <row r="1338">
          <cell r="D1338" t="str">
            <v>SUMINISTRO E INSTALACIÓN DE VARILLA</v>
          </cell>
          <cell r="F1338" t="str">
            <v>Und</v>
          </cell>
          <cell r="G1338">
            <v>1</v>
          </cell>
          <cell r="H1338">
            <v>398933</v>
          </cell>
          <cell r="I1338">
            <v>398933</v>
          </cell>
          <cell r="J1338">
            <v>550527.53999999992</v>
          </cell>
        </row>
        <row r="1339">
          <cell r="D1339" t="str">
            <v>SUMINISTRO E INSTALACIÓN DE ARQUETA PARA INSPECCIÓN DE PICAS EN PUESTA A TIERRA SIN FONDO</v>
          </cell>
          <cell r="F1339" t="str">
            <v>Und</v>
          </cell>
          <cell r="G1339">
            <v>1</v>
          </cell>
          <cell r="H1339">
            <v>14275700</v>
          </cell>
          <cell r="I1339">
            <v>14275700</v>
          </cell>
          <cell r="J1339">
            <v>19700466</v>
          </cell>
        </row>
        <row r="1340">
          <cell r="D1340" t="str">
            <v>SUMINISTRO E INSTALACIÓN DE SOLDADURA EXOTERMICA</v>
          </cell>
          <cell r="F1340" t="str">
            <v>Und</v>
          </cell>
          <cell r="G1340">
            <v>2.8000000000000003</v>
          </cell>
          <cell r="H1340">
            <v>185231</v>
          </cell>
          <cell r="I1340">
            <v>518646.80000000005</v>
          </cell>
          <cell r="J1340">
            <v>715732.58400000003</v>
          </cell>
        </row>
        <row r="1341">
          <cell r="D1341" t="str">
            <v>SUMINISTRO E INSTALACIÓN DE GRAPA DE ALEACIÓN RICA EN COBRE (LATÓN) MODELO KZ</v>
          </cell>
          <cell r="F1341" t="str">
            <v>Und</v>
          </cell>
          <cell r="G1341">
            <v>1</v>
          </cell>
          <cell r="H1341">
            <v>292083</v>
          </cell>
          <cell r="I1341">
            <v>292083</v>
          </cell>
          <cell r="J1341">
            <v>403074.54</v>
          </cell>
        </row>
        <row r="1342">
          <cell r="D1342" t="str">
            <v>SUMINISTRO E INSTALACIÓN DE GRAPA DE ALEACIÓN RICA EN COBRE (LATÓN) MODELO KPD</v>
          </cell>
          <cell r="F1342" t="str">
            <v>Und</v>
          </cell>
          <cell r="G1342">
            <v>0.99393939393939412</v>
          </cell>
          <cell r="H1342">
            <v>292083</v>
          </cell>
          <cell r="I1342">
            <v>290312.80000000005</v>
          </cell>
          <cell r="J1342">
            <v>400631.66400000005</v>
          </cell>
        </row>
        <row r="1343">
          <cell r="D1343" t="str">
            <v xml:space="preserve">INSTALACIÓN DE CABLE DE COBRE TRENZADO DESNUDO DE 50 mm2 </v>
          </cell>
          <cell r="F1343" t="str">
            <v>ML</v>
          </cell>
          <cell r="G1343">
            <v>113.1390243902439</v>
          </cell>
          <cell r="H1343">
            <v>33000.000989065411</v>
          </cell>
          <cell r="I1343">
            <v>3733587.9167799447</v>
          </cell>
          <cell r="J1343">
            <v>5152351.3251563236</v>
          </cell>
        </row>
        <row r="1344">
          <cell r="C1344" t="str">
            <v>10.23.13</v>
          </cell>
          <cell r="D1344" t="str">
            <v xml:space="preserve">         INSTALACION DE GROUT Y MORTERO AUTOCOMPACTANTE DE ALTA RESISTENCIA WP28</v>
          </cell>
          <cell r="E1344" t="str">
            <v>2 días</v>
          </cell>
          <cell r="F1344">
            <v>0</v>
          </cell>
          <cell r="J1344">
            <v>46410609.014634147</v>
          </cell>
        </row>
        <row r="1345">
          <cell r="D1345" t="str">
            <v>GROUT Y  MORTERO AUTOCOMPACTANTE DE ALTA RESISTENCIA C80/95 (EN206-1)</v>
          </cell>
          <cell r="F1345" t="str">
            <v>lt</v>
          </cell>
          <cell r="G1345">
            <v>530.73170731707319</v>
          </cell>
          <cell r="H1345">
            <v>63367</v>
          </cell>
          <cell r="I1345">
            <v>33630876.097560979</v>
          </cell>
          <cell r="J1345">
            <v>46410609.014634147</v>
          </cell>
        </row>
        <row r="1346">
          <cell r="C1346" t="str">
            <v>10.23.14</v>
          </cell>
          <cell r="D1346" t="str">
            <v xml:space="preserve">         TAPADO AREA DE CIMENTACIÓN Y CONFORMACIÓN DE PLATAFORMA WP28</v>
          </cell>
          <cell r="E1346" t="str">
            <v>7 días</v>
          </cell>
          <cell r="F1346">
            <v>0</v>
          </cell>
          <cell r="J1346">
            <v>1587346329.5488234</v>
          </cell>
        </row>
        <row r="1347">
          <cell r="D1347" t="str">
            <v>MATERIAL SELECIONADA PARA  FORMACIÓN Y COMPACTACIÓN DE TERRAPLENES Y RELLENO ESTRUCTURAL  (INCLUYE TRANSPORTE DESDE LAS CANTERAS LICENCIADAS HASTA EL SITIO DE INSTALACIÓN)</v>
          </cell>
          <cell r="F1347" t="str">
            <v>m3</v>
          </cell>
          <cell r="G1347">
            <v>5388.7058823529414</v>
          </cell>
          <cell r="H1347">
            <v>174890</v>
          </cell>
          <cell r="I1347">
            <v>942430771.7647059</v>
          </cell>
          <cell r="J1347">
            <v>1300554465.0352941</v>
          </cell>
        </row>
        <row r="1348">
          <cell r="D1348" t="str">
            <v>PREPARACIÓN DE SUBRASANTE COMPACTACIÓN Y VALORACIÓN DE LA CAPA DE SUBRASANTE DE LOS VIALES. INCLUYENDO LAS PRUEBAS SEGÚN LO PRESCRITO.</v>
          </cell>
          <cell r="F1348" t="str">
            <v>m2</v>
          </cell>
          <cell r="G1348">
            <v>631.61764705882354</v>
          </cell>
          <cell r="H1348">
            <v>11537</v>
          </cell>
          <cell r="I1348">
            <v>7286972.7941176472</v>
          </cell>
          <cell r="J1348">
            <v>10056022.455882352</v>
          </cell>
        </row>
        <row r="1349">
          <cell r="D1349" t="str">
            <v>SUBBASE GRANULAR  (INCLUYE TRANSPORTE DESDE LAS CANTERAS LICENCIADAS HASTA EL SITIO DE INSTALACIÓN)</v>
          </cell>
          <cell r="F1349" t="str">
            <v>m3</v>
          </cell>
          <cell r="G1349">
            <v>880.85294117647061</v>
          </cell>
          <cell r="H1349">
            <v>227658</v>
          </cell>
          <cell r="I1349">
            <v>200533218.88235295</v>
          </cell>
          <cell r="J1349">
            <v>276735842.05764705</v>
          </cell>
        </row>
        <row r="1350">
          <cell r="C1350" t="str">
            <v>10.23.15</v>
          </cell>
          <cell r="D1350" t="str">
            <v xml:space="preserve">         ESTABILIZACIÓN DE TALUDES EN PLATAFORMA Y RECONFORMACION FINAL WP28</v>
          </cell>
          <cell r="E1350" t="str">
            <v>7 días</v>
          </cell>
          <cell r="F1350">
            <v>0</v>
          </cell>
          <cell r="J1350">
            <v>179532477.23999998</v>
          </cell>
        </row>
        <row r="1351">
          <cell r="D1351" t="str">
            <v>BASE GRANULAR   (INCLUYE TRANSPORTE DESDE LAS CANTERAS LICENCIADAS HASTA EL SITIO DE INSTALACIÓN)</v>
          </cell>
          <cell r="F1351" t="str">
            <v>m3</v>
          </cell>
          <cell r="G1351">
            <v>237.64705882352942</v>
          </cell>
          <cell r="H1351">
            <v>265112</v>
          </cell>
          <cell r="I1351">
            <v>63003087.058823533</v>
          </cell>
          <cell r="J1351">
            <v>86944260.141176462</v>
          </cell>
        </row>
        <row r="1352">
          <cell r="D1352" t="str">
            <v xml:space="preserve">ENROCADO PROTECCIÓN TALUD PLATAFORMAS PROTECCIÓN CON ENROCADO DE PIEDRA DEL TALUD DE LAS PLATAFORMAS EN TERRAPLÉN CON 30 CM DE PIEDRA DE 6-10 CM DE DIÁMETRO, PESO ESPECÍFICO DE LAS PIEDRAS DE 2,64  G/CM3  (INCLUYE TRANSPORTE DESDE LAS CANTERAS LICENCIADAS HASTA EL SITIO DE INSTALACIÓN) </v>
          </cell>
          <cell r="F1352" t="str">
            <v>m3</v>
          </cell>
          <cell r="G1352">
            <v>42.352941176470587</v>
          </cell>
          <cell r="H1352">
            <v>276393</v>
          </cell>
          <cell r="I1352">
            <v>11706056.470588235</v>
          </cell>
          <cell r="J1352">
            <v>16154357.929411763</v>
          </cell>
        </row>
        <row r="1353">
          <cell r="D1353" t="str">
            <v xml:space="preserve">ENROCADO PROTECCIÓN TALUD CIMENTACION PROTECCIÓN CON ENROCADO DE PIEDRA DEL TALUD DE LAS CIMENTACIONES EN TERRAPLÉN CON 30 CM DE PIEDRA DE 6-10 CM DE DIÁMETRO, PESO ESPECÍFICO DE LAS PIEDRAS DE 2,64 G/CM3   (INCLUYE TRANSPORTE DESDE LAS CANTERAS LICENCIADAS HASTA EL SITIO DE INSTALACIÓN) </v>
          </cell>
          <cell r="F1353" t="str">
            <v>m3</v>
          </cell>
          <cell r="G1353">
            <v>25.529411764705884</v>
          </cell>
          <cell r="H1353">
            <v>286818</v>
          </cell>
          <cell r="I1353">
            <v>7322294.823529412</v>
          </cell>
          <cell r="J1353">
            <v>10104766.856470589</v>
          </cell>
        </row>
        <row r="1354">
          <cell r="D1354" t="str">
            <v>SUMINISTRO E INSTALACIÓN DE GEOTEXTILES</v>
          </cell>
          <cell r="F1354" t="str">
            <v>m2</v>
          </cell>
          <cell r="G1354">
            <v>887.17647058823525</v>
          </cell>
          <cell r="H1354">
            <v>54177</v>
          </cell>
          <cell r="I1354">
            <v>48064559.647058822</v>
          </cell>
          <cell r="J1354">
            <v>66329092.312941171</v>
          </cell>
        </row>
        <row r="1355">
          <cell r="C1355" t="str">
            <v>10.23.16</v>
          </cell>
          <cell r="D1355" t="str">
            <v xml:space="preserve">         HITO: FINALIZACION DE ACTIVIDADES EN CIMENTACION WP28</v>
          </cell>
          <cell r="E1355" t="str">
            <v>0 días</v>
          </cell>
          <cell r="F1355">
            <v>0</v>
          </cell>
        </row>
        <row r="1356">
          <cell r="C1356" t="str">
            <v>10.24</v>
          </cell>
          <cell r="D1356" t="str">
            <v xml:space="preserve">      CIMENTACION WP3</v>
          </cell>
          <cell r="E1356" t="str">
            <v>60 días</v>
          </cell>
          <cell r="F1356">
            <v>0</v>
          </cell>
        </row>
        <row r="1357">
          <cell r="C1357" t="str">
            <v>10.24.1</v>
          </cell>
          <cell r="D1357" t="str">
            <v xml:space="preserve">         DESBROCE DE AREA DE ACOPIO DE TORRE Y DE PALAS WP3</v>
          </cell>
          <cell r="E1357" t="str">
            <v>8 días</v>
          </cell>
          <cell r="F1357">
            <v>0</v>
          </cell>
          <cell r="J1357">
            <v>83271780.884117648</v>
          </cell>
        </row>
        <row r="1358">
          <cell r="D1358" t="str">
            <v>DESBROCE Y LIMPIEZA</v>
          </cell>
          <cell r="F1358" t="str">
            <v>m2</v>
          </cell>
          <cell r="G1358">
            <v>4799.0294117647063</v>
          </cell>
          <cell r="H1358">
            <v>4140</v>
          </cell>
          <cell r="I1358">
            <v>19867981.764705885</v>
          </cell>
          <cell r="J1358">
            <v>27417814.83529412</v>
          </cell>
        </row>
        <row r="1359">
          <cell r="D1359" t="str">
            <v>SUMINISTRO DE COMISION TOPOGRAFICA
 (incluyede GPS, Estación Total, tránsitos, distanciómetros, niveles de precisión, miras, prismas, jalones, plomadas, cintas métricas, etc., un cadenero primero , un cadenero segundo, ingeniero topógrafo/topógrafo con matricula vigente, insumos para ralizar la actividad, licencias de software utilizado para la ejecución de los trabajos, movilización de personal equipos y entregables en archivos magnéticos)</v>
          </cell>
          <cell r="F1359" t="str">
            <v>Mes</v>
          </cell>
          <cell r="G1359">
            <v>0.2</v>
          </cell>
          <cell r="H1359">
            <v>31500000</v>
          </cell>
          <cell r="I1359">
            <v>6300000</v>
          </cell>
          <cell r="J1359">
            <v>8694000</v>
          </cell>
        </row>
        <row r="1360">
          <cell r="D1360" t="str">
            <v>DESMONTE, DESCAPOTE Y LIMPIEZA INCLUYE  TALA DE ARBOLES CON DAP ≤0.15M, TRANSPORTE Y DISPOSICIÓN FINAL</v>
          </cell>
          <cell r="F1360" t="str">
            <v>m2</v>
          </cell>
          <cell r="G1360">
            <v>4799.0294117647063</v>
          </cell>
          <cell r="H1360">
            <v>7121</v>
          </cell>
          <cell r="I1360">
            <v>34173888.441176474</v>
          </cell>
          <cell r="J1360">
            <v>47159966.048823528</v>
          </cell>
        </row>
        <row r="1361">
          <cell r="C1361" t="str">
            <v>10.24.2</v>
          </cell>
          <cell r="D1361" t="str">
            <v xml:space="preserve">         EXCAVACIÓN DE CIMENTACION WP3</v>
          </cell>
          <cell r="E1361" t="str">
            <v>7 días</v>
          </cell>
          <cell r="F1361">
            <v>0</v>
          </cell>
          <cell r="J1361">
            <v>312374505.66882348</v>
          </cell>
        </row>
        <row r="1362">
          <cell r="D1362" t="str">
            <v>EXCAVACIÓN MECÁNICA EN MATERIAL COMÚN</v>
          </cell>
          <cell r="F1362" t="str">
            <v>m3</v>
          </cell>
          <cell r="G1362">
            <v>4799.0294117647063</v>
          </cell>
          <cell r="H1362">
            <v>35495</v>
          </cell>
          <cell r="I1362">
            <v>170341548.97058824</v>
          </cell>
          <cell r="J1362">
            <v>235071337.57941175</v>
          </cell>
        </row>
        <row r="1363">
          <cell r="D1363" t="str">
            <v>EXCAVACIÓN EN ROCA</v>
          </cell>
          <cell r="F1363" t="str">
            <v>m3</v>
          </cell>
          <cell r="G1363">
            <v>414.35294117647061</v>
          </cell>
          <cell r="H1363">
            <v>135191</v>
          </cell>
          <cell r="I1363">
            <v>56016788.470588237</v>
          </cell>
          <cell r="J1363">
            <v>77303168.089411765</v>
          </cell>
        </row>
        <row r="1364">
          <cell r="C1364" t="str">
            <v>10.24.3</v>
          </cell>
          <cell r="D1364" t="str">
            <v xml:space="preserve">         BANCO DE DUCTO WP3</v>
          </cell>
          <cell r="E1364" t="str">
            <v>3 días</v>
          </cell>
          <cell r="F1364">
            <v>0</v>
          </cell>
          <cell r="J1364">
            <v>9527825.6870364472</v>
          </cell>
        </row>
        <row r="1365">
          <cell r="D1365" t="str">
            <v>INSTALACION DE TUBERIA PVC TIPO TDP Y/O CORRUGADA TIPO PEAD-HDPE  - 50mm</v>
          </cell>
          <cell r="F1365" t="str">
            <v>ML</v>
          </cell>
          <cell r="G1365">
            <v>7.2352941176470589</v>
          </cell>
          <cell r="H1365">
            <v>27751.000385791169</v>
          </cell>
          <cell r="I1365">
            <v>200786.64985013611</v>
          </cell>
          <cell r="J1365">
            <v>277085.57679318782</v>
          </cell>
        </row>
        <row r="1366">
          <cell r="D1366" t="str">
            <v>INSTALACION DE TUBERIA PVC TIPO TDP Y/O CORRUGADA TIPO PEAD-HDPE - 90mm</v>
          </cell>
          <cell r="F1366" t="str">
            <v>ML</v>
          </cell>
          <cell r="G1366">
            <v>34.694117647058818</v>
          </cell>
          <cell r="H1366">
            <v>31239.000009014315</v>
          </cell>
          <cell r="I1366">
            <v>1083809.5414892142</v>
          </cell>
          <cell r="J1366">
            <v>1495657.1672551155</v>
          </cell>
        </row>
        <row r="1367">
          <cell r="D1367" t="str">
            <v>INSTALACION DE TUBERIA PVC TIPO TDP  Y/O CORRUGADA TIPO PEAD-HDPE - 200mm</v>
          </cell>
          <cell r="F1367" t="str">
            <v>ML</v>
          </cell>
          <cell r="G1367">
            <v>70.332352941176467</v>
          </cell>
          <cell r="H1367">
            <v>79900.999838665448</v>
          </cell>
          <cell r="I1367">
            <v>5619625.3210059023</v>
          </cell>
          <cell r="J1367">
            <v>7755082.9429881442</v>
          </cell>
        </row>
        <row r="1368">
          <cell r="C1368" t="str">
            <v>10.24.4</v>
          </cell>
          <cell r="D1368" t="str">
            <v xml:space="preserve">         COMPACTACION DE SELLO DE BASE WP3</v>
          </cell>
          <cell r="E1368" t="str">
            <v>2 días</v>
          </cell>
          <cell r="F1368">
            <v>0</v>
          </cell>
          <cell r="J1368">
            <v>320494616.71764702</v>
          </cell>
        </row>
        <row r="1369">
          <cell r="D1369" t="str">
            <v>RELLENO CON MATERIAL DE EXCAVACIÓN SELECCIONADO</v>
          </cell>
          <cell r="F1369" t="str">
            <v>m3</v>
          </cell>
          <cell r="G1369">
            <v>4530.6764705882351</v>
          </cell>
          <cell r="H1369">
            <v>51260</v>
          </cell>
          <cell r="I1369">
            <v>232242475.88235292</v>
          </cell>
          <cell r="J1369">
            <v>320494616.71764702</v>
          </cell>
        </row>
        <row r="1370">
          <cell r="C1370" t="str">
            <v>10.24.5</v>
          </cell>
          <cell r="D1370" t="str">
            <v xml:space="preserve">         SOLADO WP3</v>
          </cell>
          <cell r="E1370" t="str">
            <v>1 día</v>
          </cell>
          <cell r="F1370">
            <v>0</v>
          </cell>
          <cell r="J1370">
            <v>94303618.549411759</v>
          </cell>
        </row>
        <row r="1371">
          <cell r="D1371" t="str">
            <v>CONCRETO CLASE F (140 kg/cm2 Ó 2000 psi)</v>
          </cell>
          <cell r="F1371" t="str">
            <v>m3</v>
          </cell>
          <cell r="G1371">
            <v>43.941176470588232</v>
          </cell>
          <cell r="H1371">
            <v>1555169</v>
          </cell>
          <cell r="I1371">
            <v>68335955.470588237</v>
          </cell>
          <cell r="J1371">
            <v>94303618.549411759</v>
          </cell>
        </row>
        <row r="1372">
          <cell r="C1372" t="str">
            <v>10.24.6</v>
          </cell>
          <cell r="D1372" t="str">
            <v xml:space="preserve">         INSTALACIÓN DE PERNOS Y SOFT-SPOT WP3</v>
          </cell>
          <cell r="E1372" t="str">
            <v>5 días</v>
          </cell>
          <cell r="F1372">
            <v>0</v>
          </cell>
          <cell r="J1372">
            <v>179436034.15411764</v>
          </cell>
        </row>
        <row r="1373">
          <cell r="D1373" t="str">
            <v>S0FT-SPOT  (EPS) Tipo II (ASM C578)</v>
          </cell>
          <cell r="F1373" t="str">
            <v>m2</v>
          </cell>
          <cell r="G1373">
            <v>62.117647058823529</v>
          </cell>
          <cell r="H1373">
            <v>484846</v>
          </cell>
          <cell r="I1373">
            <v>30117492.705882352</v>
          </cell>
          <cell r="J1373">
            <v>41562139.934117645</v>
          </cell>
        </row>
        <row r="1374">
          <cell r="D1374" t="str">
            <v>MONTAJE Y NIVELACION DE LA JAULA DE ANCLAJES INCLUYE  LA PREPARACIÓN
 DEL ÁREA, LA NIVELACIÓN Y POSICIONAMIENTO DE LOS COMPONENTES (COMO PLANTILLAS Y VARILLAS), EL ENSAMBLAJE DE LA ESTRUCTURA, LA FIJACIÓN FINAL A LA CIMENTACIÓN CON PERNOS DE ANCLAJE, MONTAJE DE BRIDAS, TORQUE Y LIBERACIÓN DE LA CESTA, INCLUYE LA HERRAMIENTA Y EQUIPO DE INSTALACIÓN (peso estimado por jaula 13896  kg)</v>
          </cell>
          <cell r="F1374" t="str">
            <v>Und</v>
          </cell>
          <cell r="G1374">
            <v>1</v>
          </cell>
          <cell r="H1374">
            <v>99908619</v>
          </cell>
          <cell r="I1374">
            <v>99908619</v>
          </cell>
          <cell r="J1374">
            <v>137873894.22</v>
          </cell>
        </row>
        <row r="1375">
          <cell r="C1375" t="str">
            <v>10.24.7</v>
          </cell>
          <cell r="D1375" t="str">
            <v xml:space="preserve">         INSTALACIÓN DE ACERO DE REFUERZO WP3</v>
          </cell>
          <cell r="E1375" t="str">
            <v>14 días</v>
          </cell>
          <cell r="F1375">
            <v>0</v>
          </cell>
          <cell r="J1375">
            <v>1212623361.2117648</v>
          </cell>
        </row>
        <row r="1376">
          <cell r="D1376" t="str">
            <v>ACERO FY:  60000 psi (4.200 kg/cm2)</v>
          </cell>
          <cell r="F1376" t="str">
            <v>kg</v>
          </cell>
          <cell r="G1376">
            <v>68756.852941176476</v>
          </cell>
          <cell r="H1376">
            <v>12780</v>
          </cell>
          <cell r="I1376">
            <v>878712580.58823538</v>
          </cell>
          <cell r="J1376">
            <v>1212623361.2117648</v>
          </cell>
        </row>
        <row r="1377">
          <cell r="C1377" t="str">
            <v>10.24.8</v>
          </cell>
          <cell r="D1377" t="str">
            <v xml:space="preserve">         ENCOFRADO DE ZAPATA Y DE PEDESTAL WP3</v>
          </cell>
          <cell r="E1377" t="str">
            <v>3 días</v>
          </cell>
          <cell r="F1377">
            <v>0</v>
          </cell>
        </row>
        <row r="1378">
          <cell r="C1378" t="str">
            <v>10.24.9</v>
          </cell>
          <cell r="D1378" t="str">
            <v xml:space="preserve">         HITO: ALISTAMIENTO Y MOVILIZACIÓN DE PLANTA DE CONCRETO PARA WP3</v>
          </cell>
          <cell r="E1378" t="str">
            <v>0 días</v>
          </cell>
          <cell r="F1378">
            <v>0</v>
          </cell>
        </row>
        <row r="1379">
          <cell r="C1379" t="str">
            <v>10.24.10</v>
          </cell>
          <cell r="D1379" t="str">
            <v xml:space="preserve">         FUNDIDA WP3</v>
          </cell>
          <cell r="E1379" t="str">
            <v>1 día</v>
          </cell>
          <cell r="F1379">
            <v>0</v>
          </cell>
          <cell r="J1379">
            <v>1230815225.9452939</v>
          </cell>
        </row>
        <row r="1380">
          <cell r="D1380" t="str">
            <v>CONCRETO ESTRUCTURAL  35 MPa(350 kg/cm2 Ó 5000 psi)</v>
          </cell>
          <cell r="F1380" t="str">
            <v>m3</v>
          </cell>
          <cell r="G1380">
            <v>429.02941176470586</v>
          </cell>
          <cell r="H1380">
            <v>1926653</v>
          </cell>
          <cell r="I1380">
            <v>826590803.26470578</v>
          </cell>
          <cell r="J1380">
            <v>1140695308.5052938</v>
          </cell>
        </row>
        <row r="1381">
          <cell r="D1381" t="str">
            <v>CONCRETO ESTRUCTURAL  45 MPa(457 kg/cm2 Ó 6500psi)</v>
          </cell>
          <cell r="F1381" t="str">
            <v>m3</v>
          </cell>
          <cell r="G1381">
            <v>32</v>
          </cell>
          <cell r="H1381">
            <v>2040759</v>
          </cell>
          <cell r="I1381">
            <v>65304288</v>
          </cell>
          <cell r="J1381">
            <v>90119917.439999998</v>
          </cell>
        </row>
        <row r="1382">
          <cell r="C1382" t="str">
            <v>10.24.11</v>
          </cell>
          <cell r="D1382" t="str">
            <v xml:space="preserve">         CURADO DEL CONCRETO WP3</v>
          </cell>
          <cell r="E1382" t="str">
            <v>5 días</v>
          </cell>
          <cell r="F1382">
            <v>0</v>
          </cell>
        </row>
        <row r="1383">
          <cell r="C1383" t="str">
            <v>10.24.12</v>
          </cell>
          <cell r="D1383" t="str">
            <v xml:space="preserve">         INSTALACIONES ELECTRICAS Y SISTEMA PUESTA TIERRA WP3</v>
          </cell>
          <cell r="E1383" t="str">
            <v>2 días</v>
          </cell>
          <cell r="F1383">
            <v>0</v>
          </cell>
          <cell r="J1383">
            <v>52736347.43270281</v>
          </cell>
        </row>
        <row r="1384">
          <cell r="D1384" t="str">
            <v>ARQUETA EN HORMIGON PARA MEDIA TENSION - EMPALMES (500 MT)</v>
          </cell>
          <cell r="F1384" t="str">
            <v>Und</v>
          </cell>
          <cell r="G1384">
            <v>1</v>
          </cell>
          <cell r="H1384">
            <v>12275310.999985719</v>
          </cell>
          <cell r="I1384">
            <v>12275310.999985719</v>
          </cell>
          <cell r="J1384">
            <v>16939929.179980289</v>
          </cell>
        </row>
        <row r="1385">
          <cell r="D1385" t="str">
            <v>ARQUETA EN POLIPROPILENO</v>
          </cell>
          <cell r="F1385" t="str">
            <v>Und</v>
          </cell>
          <cell r="G1385">
            <v>1</v>
          </cell>
          <cell r="H1385">
            <v>6068599.9996856553</v>
          </cell>
          <cell r="I1385">
            <v>6068599.9996856553</v>
          </cell>
          <cell r="J1385">
            <v>8374667.9995662039</v>
          </cell>
        </row>
        <row r="1386">
          <cell r="D1386" t="str">
            <v>SUMINISTRO E INSTALACIÓN DE PLATINA</v>
          </cell>
          <cell r="F1386" t="str">
            <v>Und</v>
          </cell>
          <cell r="G1386">
            <v>1</v>
          </cell>
          <cell r="H1386">
            <v>361570</v>
          </cell>
          <cell r="I1386">
            <v>361570</v>
          </cell>
          <cell r="J1386">
            <v>498966.6</v>
          </cell>
        </row>
        <row r="1387">
          <cell r="D1387" t="str">
            <v>SUMINISTRO E INSTALACIÓN DE VARILLA</v>
          </cell>
          <cell r="F1387" t="str">
            <v>Und</v>
          </cell>
          <cell r="G1387">
            <v>1</v>
          </cell>
          <cell r="H1387">
            <v>398933</v>
          </cell>
          <cell r="I1387">
            <v>398933</v>
          </cell>
          <cell r="J1387">
            <v>550527.53999999992</v>
          </cell>
        </row>
        <row r="1388">
          <cell r="D1388" t="str">
            <v>SUMINISTRO E INSTALACIÓN DE ARQUETA PARA INSPECCIÓN DE PICAS EN PUESTA A TIERRA SIN FONDO</v>
          </cell>
          <cell r="F1388" t="str">
            <v>Und</v>
          </cell>
          <cell r="G1388">
            <v>1</v>
          </cell>
          <cell r="H1388">
            <v>14275700</v>
          </cell>
          <cell r="I1388">
            <v>14275700</v>
          </cell>
          <cell r="J1388">
            <v>19700466</v>
          </cell>
        </row>
        <row r="1389">
          <cell r="D1389" t="str">
            <v>SUMINISTRO E INSTALACIÓN DE SOLDADURA EXOTERMICA</v>
          </cell>
          <cell r="F1389" t="str">
            <v>Und</v>
          </cell>
          <cell r="G1389">
            <v>2.8000000000000003</v>
          </cell>
          <cell r="H1389">
            <v>185231</v>
          </cell>
          <cell r="I1389">
            <v>518646.80000000005</v>
          </cell>
          <cell r="J1389">
            <v>715732.58400000003</v>
          </cell>
        </row>
        <row r="1390">
          <cell r="D1390" t="str">
            <v>SUMINISTRO E INSTALACIÓN DE GRAPA DE ALEACIÓN RICA EN COBRE (LATÓN) MODELO KZ</v>
          </cell>
          <cell r="F1390" t="str">
            <v>Und</v>
          </cell>
          <cell r="G1390">
            <v>1</v>
          </cell>
          <cell r="H1390">
            <v>292083</v>
          </cell>
          <cell r="I1390">
            <v>292083</v>
          </cell>
          <cell r="J1390">
            <v>403074.54</v>
          </cell>
        </row>
        <row r="1391">
          <cell r="D1391" t="str">
            <v>SUMINISTRO E INSTALACIÓN DE GRAPA DE ALEACIÓN RICA EN COBRE (LATÓN) MODELO KPD</v>
          </cell>
          <cell r="F1391" t="str">
            <v>Und</v>
          </cell>
          <cell r="G1391">
            <v>0.99393939393939412</v>
          </cell>
          <cell r="H1391">
            <v>292083</v>
          </cell>
          <cell r="I1391">
            <v>290312.80000000005</v>
          </cell>
          <cell r="J1391">
            <v>400631.66400000005</v>
          </cell>
        </row>
        <row r="1392">
          <cell r="D1392" t="str">
            <v xml:space="preserve">INSTALACIÓN DE CABLE DE COBRE TRENZADO DESNUDO DE 50 mm2 </v>
          </cell>
          <cell r="F1392" t="str">
            <v>ML</v>
          </cell>
          <cell r="G1392">
            <v>113.1390243902439</v>
          </cell>
          <cell r="H1392">
            <v>33000.000989065411</v>
          </cell>
          <cell r="I1392">
            <v>3733587.9167799447</v>
          </cell>
          <cell r="J1392">
            <v>5152351.3251563236</v>
          </cell>
        </row>
        <row r="1393">
          <cell r="C1393" t="str">
            <v>10.24.13</v>
          </cell>
          <cell r="D1393" t="str">
            <v xml:space="preserve">         INSTALACION DE GROUT Y MORTERO AUTOCOMPACTANTE DE ALTA RESISTENCIA WP3</v>
          </cell>
          <cell r="E1393" t="str">
            <v>2 días</v>
          </cell>
          <cell r="F1393">
            <v>0</v>
          </cell>
          <cell r="J1393">
            <v>46410609.014634147</v>
          </cell>
        </row>
        <row r="1394">
          <cell r="D1394" t="str">
            <v>GROUT Y  MORTERO AUTOCOMPACTANTE DE ALTA RESISTENCIA C80/95 (EN206-1)</v>
          </cell>
          <cell r="F1394" t="str">
            <v>lt</v>
          </cell>
          <cell r="G1394">
            <v>530.73170731707319</v>
          </cell>
          <cell r="H1394">
            <v>63367</v>
          </cell>
          <cell r="I1394">
            <v>33630876.097560979</v>
          </cell>
          <cell r="J1394">
            <v>46410609.014634147</v>
          </cell>
        </row>
        <row r="1395">
          <cell r="C1395" t="str">
            <v>10.24.14</v>
          </cell>
          <cell r="D1395" t="str">
            <v xml:space="preserve">         TAPADO AREA DE CIMENTACIÓN Y CONFORMACIÓN DE PLATAFORMA WP3</v>
          </cell>
          <cell r="E1395" t="str">
            <v>7 días</v>
          </cell>
          <cell r="F1395">
            <v>0</v>
          </cell>
          <cell r="J1395">
            <v>1587346329.5488234</v>
          </cell>
        </row>
        <row r="1396">
          <cell r="D1396" t="str">
            <v>MATERIAL SELECIONADA PARA  FORMACIÓN Y COMPACTACIÓN DE TERRAPLENES Y RELLENO ESTRUCTURAL  (INCLUYE TRANSPORTE DESDE LAS CANTERAS LICENCIADAS HASTA EL SITIO DE INSTALACIÓN)</v>
          </cell>
          <cell r="F1396" t="str">
            <v>m3</v>
          </cell>
          <cell r="G1396">
            <v>5388.7058823529414</v>
          </cell>
          <cell r="H1396">
            <v>174890</v>
          </cell>
          <cell r="I1396">
            <v>942430771.7647059</v>
          </cell>
          <cell r="J1396">
            <v>1300554465.0352941</v>
          </cell>
        </row>
        <row r="1397">
          <cell r="D1397" t="str">
            <v>PREPARACIÓN DE SUBRASANTE COMPACTACIÓN Y VALORACIÓN DE LA CAPA DE SUBRASANTE DE LOS VIALES. INCLUYENDO LAS PRUEBAS SEGÚN LO PRESCRITO.</v>
          </cell>
          <cell r="F1397" t="str">
            <v>m2</v>
          </cell>
          <cell r="G1397">
            <v>631.61764705882354</v>
          </cell>
          <cell r="H1397">
            <v>11537</v>
          </cell>
          <cell r="I1397">
            <v>7286972.7941176472</v>
          </cell>
          <cell r="J1397">
            <v>10056022.455882352</v>
          </cell>
        </row>
        <row r="1398">
          <cell r="D1398" t="str">
            <v>SUBBASE GRANULAR  (INCLUYE TRANSPORTE DESDE LAS CANTERAS LICENCIADAS HASTA EL SITIO DE INSTALACIÓN)</v>
          </cell>
          <cell r="F1398" t="str">
            <v>m3</v>
          </cell>
          <cell r="G1398">
            <v>880.85294117647061</v>
          </cell>
          <cell r="H1398">
            <v>227658</v>
          </cell>
          <cell r="I1398">
            <v>200533218.88235295</v>
          </cell>
          <cell r="J1398">
            <v>276735842.05764705</v>
          </cell>
        </row>
        <row r="1399">
          <cell r="C1399" t="str">
            <v>10.24.15</v>
          </cell>
          <cell r="D1399" t="str">
            <v xml:space="preserve">         ESTABILIZACIÓN DE TALUDES EN PLATAFORMA Y RECONFORMACION FINAL WP3</v>
          </cell>
          <cell r="E1399" t="str">
            <v>7 días</v>
          </cell>
          <cell r="F1399">
            <v>0</v>
          </cell>
          <cell r="J1399">
            <v>179532477.23999998</v>
          </cell>
        </row>
        <row r="1400">
          <cell r="D1400" t="str">
            <v>BASE GRANULAR   (INCLUYE TRANSPORTE DESDE LAS CANTERAS LICENCIADAS HASTA EL SITIO DE INSTALACIÓN)</v>
          </cell>
          <cell r="F1400" t="str">
            <v>m3</v>
          </cell>
          <cell r="G1400">
            <v>237.64705882352942</v>
          </cell>
          <cell r="H1400">
            <v>265112</v>
          </cell>
          <cell r="I1400">
            <v>63003087.058823533</v>
          </cell>
          <cell r="J1400">
            <v>86944260.141176462</v>
          </cell>
        </row>
        <row r="1401">
          <cell r="D1401" t="str">
            <v xml:space="preserve">ENROCADO PROTECCIÓN TALUD PLATAFORMAS PROTECCIÓN CON ENROCADO DE PIEDRA DEL TALUD DE LAS PLATAFORMAS EN TERRAPLÉN CON 30 CM DE PIEDRA DE 6-10 CM DE DIÁMETRO, PESO ESPECÍFICO DE LAS PIEDRAS DE 2,64  G/CM3  (INCLUYE TRANSPORTE DESDE LAS CANTERAS LICENCIADAS HASTA EL SITIO DE INSTALACIÓN) </v>
          </cell>
          <cell r="F1401" t="str">
            <v>m3</v>
          </cell>
          <cell r="G1401">
            <v>42.352941176470587</v>
          </cell>
          <cell r="H1401">
            <v>276393</v>
          </cell>
          <cell r="I1401">
            <v>11706056.470588235</v>
          </cell>
          <cell r="J1401">
            <v>16154357.929411763</v>
          </cell>
        </row>
        <row r="1402">
          <cell r="D1402" t="str">
            <v xml:space="preserve">ENROCADO PROTECCIÓN TALUD CIMENTACION PROTECCIÓN CON ENROCADO DE PIEDRA DEL TALUD DE LAS CIMENTACIONES EN TERRAPLÉN CON 30 CM DE PIEDRA DE 6-10 CM DE DIÁMETRO, PESO ESPECÍFICO DE LAS PIEDRAS DE 2,64 G/CM3   (INCLUYE TRANSPORTE DESDE LAS CANTERAS LICENCIADAS HASTA EL SITIO DE INSTALACIÓN) </v>
          </cell>
          <cell r="F1402" t="str">
            <v>m3</v>
          </cell>
          <cell r="G1402">
            <v>25.529411764705884</v>
          </cell>
          <cell r="H1402">
            <v>286818</v>
          </cell>
          <cell r="I1402">
            <v>7322294.823529412</v>
          </cell>
          <cell r="J1402">
            <v>10104766.856470589</v>
          </cell>
        </row>
        <row r="1403">
          <cell r="D1403" t="str">
            <v>SUMINISTRO E INSTALACIÓN DE GEOTEXTILES</v>
          </cell>
          <cell r="F1403" t="str">
            <v>m2</v>
          </cell>
          <cell r="G1403">
            <v>887.17647058823525</v>
          </cell>
          <cell r="H1403">
            <v>54177</v>
          </cell>
          <cell r="I1403">
            <v>48064559.647058822</v>
          </cell>
          <cell r="J1403">
            <v>66329092.312941171</v>
          </cell>
        </row>
        <row r="1404">
          <cell r="C1404" t="str">
            <v>10.24.16</v>
          </cell>
          <cell r="D1404" t="str">
            <v xml:space="preserve">         HITO: FINALIZACION DE ACTIVIDADES EN CIMENTACION WP3</v>
          </cell>
          <cell r="E1404" t="str">
            <v>0 días</v>
          </cell>
          <cell r="F1404">
            <v>0</v>
          </cell>
        </row>
        <row r="1405">
          <cell r="C1405" t="str">
            <v>10.25</v>
          </cell>
          <cell r="D1405" t="str">
            <v xml:space="preserve">      CIMENTACION WP4</v>
          </cell>
          <cell r="E1405" t="str">
            <v>60 días</v>
          </cell>
          <cell r="F1405">
            <v>0</v>
          </cell>
        </row>
        <row r="1406">
          <cell r="C1406" t="str">
            <v>10.25.1</v>
          </cell>
          <cell r="D1406" t="str">
            <v xml:space="preserve">         DESBROCE DE AREA DE ACOPIO DE TORRE Y DE PALAS WP4</v>
          </cell>
          <cell r="E1406" t="str">
            <v>8 días</v>
          </cell>
          <cell r="F1406">
            <v>0</v>
          </cell>
          <cell r="J1406">
            <v>83271780.884117648</v>
          </cell>
        </row>
        <row r="1407">
          <cell r="D1407" t="str">
            <v>DESBROCE Y LIMPIEZA</v>
          </cell>
          <cell r="F1407" t="str">
            <v>m2</v>
          </cell>
          <cell r="G1407">
            <v>4799.0294117647063</v>
          </cell>
          <cell r="H1407">
            <v>4140</v>
          </cell>
          <cell r="I1407">
            <v>19867981.764705885</v>
          </cell>
          <cell r="J1407">
            <v>27417814.83529412</v>
          </cell>
        </row>
        <row r="1408">
          <cell r="D1408" t="str">
            <v>SUMINISTRO DE COMISION TOPOGRAFICA
 (incluyede GPS, Estación Total, tránsitos, distanciómetros, niveles de precisión, miras, prismas, jalones, plomadas, cintas métricas, etc., un cadenero primero , un cadenero segundo, ingeniero topógrafo/topógrafo con matricula vigente, insumos para ralizar la actividad, licencias de software utilizado para la ejecución de los trabajos, movilización de personal equipos y entregables en archivos magnéticos)</v>
          </cell>
          <cell r="F1408" t="str">
            <v>Mes</v>
          </cell>
          <cell r="G1408">
            <v>0.2</v>
          </cell>
          <cell r="H1408">
            <v>31500000</v>
          </cell>
          <cell r="I1408">
            <v>6300000</v>
          </cell>
          <cell r="J1408">
            <v>8694000</v>
          </cell>
        </row>
        <row r="1409">
          <cell r="D1409" t="str">
            <v>DESMONTE, DESCAPOTE Y LIMPIEZA INCLUYE  TALA DE ARBOLES CON DAP ≤0.15M, TRANSPORTE Y DISPOSICIÓN FINAL</v>
          </cell>
          <cell r="F1409" t="str">
            <v>m2</v>
          </cell>
          <cell r="G1409">
            <v>4799.0294117647063</v>
          </cell>
          <cell r="H1409">
            <v>7121</v>
          </cell>
          <cell r="I1409">
            <v>34173888.441176474</v>
          </cell>
          <cell r="J1409">
            <v>47159966.048823528</v>
          </cell>
        </row>
        <row r="1410">
          <cell r="C1410" t="str">
            <v>10.25.2</v>
          </cell>
          <cell r="D1410" t="str">
            <v xml:space="preserve">         EXCAVACIÓN DE CIMENTACION WP4</v>
          </cell>
          <cell r="E1410" t="str">
            <v>7 días</v>
          </cell>
          <cell r="F1410">
            <v>0</v>
          </cell>
          <cell r="J1410">
            <v>312374505.66882348</v>
          </cell>
        </row>
        <row r="1411">
          <cell r="D1411" t="str">
            <v>EXCAVACIÓN MECÁNICA EN MATERIAL COMÚN</v>
          </cell>
          <cell r="F1411" t="str">
            <v>m3</v>
          </cell>
          <cell r="G1411">
            <v>4799.0294117647063</v>
          </cell>
          <cell r="H1411">
            <v>35495</v>
          </cell>
          <cell r="I1411">
            <v>170341548.97058824</v>
          </cell>
          <cell r="J1411">
            <v>235071337.57941175</v>
          </cell>
        </row>
        <row r="1412">
          <cell r="D1412" t="str">
            <v>EXCAVACIÓN EN ROCA</v>
          </cell>
          <cell r="F1412" t="str">
            <v>m3</v>
          </cell>
          <cell r="G1412">
            <v>414.35294117647061</v>
          </cell>
          <cell r="H1412">
            <v>135191</v>
          </cell>
          <cell r="I1412">
            <v>56016788.470588237</v>
          </cell>
          <cell r="J1412">
            <v>77303168.089411765</v>
          </cell>
        </row>
        <row r="1413">
          <cell r="C1413" t="str">
            <v>10.25.3</v>
          </cell>
          <cell r="D1413" t="str">
            <v xml:space="preserve">         BANCO DE DUCTO WP4</v>
          </cell>
          <cell r="E1413" t="str">
            <v>3 días</v>
          </cell>
          <cell r="F1413">
            <v>0</v>
          </cell>
          <cell r="J1413">
            <v>9527825.6870364472</v>
          </cell>
        </row>
        <row r="1414">
          <cell r="D1414" t="str">
            <v>INSTALACION DE TUBERIA PVC TIPO TDP Y/O CORRUGADA TIPO PEAD-HDPE  - 50mm</v>
          </cell>
          <cell r="F1414" t="str">
            <v>ML</v>
          </cell>
          <cell r="G1414">
            <v>7.2352941176470589</v>
          </cell>
          <cell r="H1414">
            <v>27751.000385791169</v>
          </cell>
          <cell r="I1414">
            <v>200786.64985013611</v>
          </cell>
          <cell r="J1414">
            <v>277085.57679318782</v>
          </cell>
        </row>
        <row r="1415">
          <cell r="D1415" t="str">
            <v>INSTALACION DE TUBERIA PVC TIPO TDP Y/O CORRUGADA TIPO PEAD-HDPE - 90mm</v>
          </cell>
          <cell r="F1415" t="str">
            <v>ML</v>
          </cell>
          <cell r="G1415">
            <v>34.694117647058818</v>
          </cell>
          <cell r="H1415">
            <v>31239.000009014315</v>
          </cell>
          <cell r="I1415">
            <v>1083809.5414892142</v>
          </cell>
          <cell r="J1415">
            <v>1495657.1672551155</v>
          </cell>
        </row>
        <row r="1416">
          <cell r="D1416" t="str">
            <v>INSTALACION DE TUBERIA PVC TIPO TDP  Y/O CORRUGADA TIPO PEAD-HDPE - 200mm</v>
          </cell>
          <cell r="F1416" t="str">
            <v>ML</v>
          </cell>
          <cell r="G1416">
            <v>70.332352941176467</v>
          </cell>
          <cell r="H1416">
            <v>79900.999838665448</v>
          </cell>
          <cell r="I1416">
            <v>5619625.3210059023</v>
          </cell>
          <cell r="J1416">
            <v>7755082.9429881442</v>
          </cell>
        </row>
        <row r="1417">
          <cell r="C1417" t="str">
            <v>10.25.4</v>
          </cell>
          <cell r="D1417" t="str">
            <v xml:space="preserve">         COMPACTACION DE SELLO DE BASE WP4</v>
          </cell>
          <cell r="E1417" t="str">
            <v>2 días</v>
          </cell>
          <cell r="F1417">
            <v>0</v>
          </cell>
          <cell r="J1417">
            <v>320494616.71764702</v>
          </cell>
        </row>
        <row r="1418">
          <cell r="D1418" t="str">
            <v>RELLENO CON MATERIAL DE EXCAVACIÓN SELECCIONADO</v>
          </cell>
          <cell r="F1418" t="str">
            <v>m3</v>
          </cell>
          <cell r="G1418">
            <v>4530.6764705882351</v>
          </cell>
          <cell r="H1418">
            <v>51260</v>
          </cell>
          <cell r="I1418">
            <v>232242475.88235292</v>
          </cell>
          <cell r="J1418">
            <v>320494616.71764702</v>
          </cell>
        </row>
        <row r="1419">
          <cell r="C1419" t="str">
            <v>10.25.5</v>
          </cell>
          <cell r="D1419" t="str">
            <v xml:space="preserve">         SOLADO WP4</v>
          </cell>
          <cell r="E1419" t="str">
            <v>1 día</v>
          </cell>
          <cell r="F1419">
            <v>0</v>
          </cell>
          <cell r="J1419">
            <v>94303618.549411759</v>
          </cell>
        </row>
        <row r="1420">
          <cell r="D1420" t="str">
            <v>CONCRETO CLASE F (140 kg/cm2 Ó 2000 psi)</v>
          </cell>
          <cell r="F1420" t="str">
            <v>m3</v>
          </cell>
          <cell r="G1420">
            <v>43.941176470588232</v>
          </cell>
          <cell r="H1420">
            <v>1555169</v>
          </cell>
          <cell r="I1420">
            <v>68335955.470588237</v>
          </cell>
          <cell r="J1420">
            <v>94303618.549411759</v>
          </cell>
        </row>
        <row r="1421">
          <cell r="C1421" t="str">
            <v>10.25.6</v>
          </cell>
          <cell r="D1421" t="str">
            <v xml:space="preserve">         INSTALACIÓN DE PERNOS Y SOFT-SPOT WP4</v>
          </cell>
          <cell r="E1421" t="str">
            <v>5 días</v>
          </cell>
          <cell r="F1421">
            <v>0</v>
          </cell>
          <cell r="J1421">
            <v>179436034.15411764</v>
          </cell>
        </row>
        <row r="1422">
          <cell r="D1422" t="str">
            <v>S0FT-SPOT  (EPS) Tipo II (ASM C578)</v>
          </cell>
          <cell r="F1422" t="str">
            <v>m2</v>
          </cell>
          <cell r="G1422">
            <v>62.117647058823529</v>
          </cell>
          <cell r="H1422">
            <v>484846</v>
          </cell>
          <cell r="I1422">
            <v>30117492.705882352</v>
          </cell>
          <cell r="J1422">
            <v>41562139.934117645</v>
          </cell>
        </row>
        <row r="1423">
          <cell r="D1423" t="str">
            <v>MONTAJE Y NIVELACION DE LA JAULA DE ANCLAJES INCLUYE  LA PREPARACIÓN
 DEL ÁREA, LA NIVELACIÓN Y POSICIONAMIENTO DE LOS COMPONENTES (COMO PLANTILLAS Y VARILLAS), EL ENSAMBLAJE DE LA ESTRUCTURA, LA FIJACIÓN FINAL A LA CIMENTACIÓN CON PERNOS DE ANCLAJE, MONTAJE DE BRIDAS, TORQUE Y LIBERACIÓN DE LA CESTA, INCLUYE LA HERRAMIENTA Y EQUIPO DE INSTALACIÓN (peso estimado por jaula 13896  kg)</v>
          </cell>
          <cell r="F1423" t="str">
            <v>Und</v>
          </cell>
          <cell r="G1423">
            <v>1</v>
          </cell>
          <cell r="H1423">
            <v>99908619</v>
          </cell>
          <cell r="I1423">
            <v>99908619</v>
          </cell>
          <cell r="J1423">
            <v>137873894.22</v>
          </cell>
        </row>
        <row r="1424">
          <cell r="C1424" t="str">
            <v>10.25.7</v>
          </cell>
          <cell r="D1424" t="str">
            <v xml:space="preserve">         INSTALACIÓN DE ACERO DE REFUERZO WP4</v>
          </cell>
          <cell r="E1424" t="str">
            <v>14 días</v>
          </cell>
          <cell r="F1424">
            <v>0</v>
          </cell>
          <cell r="J1424">
            <v>1212623361.2117648</v>
          </cell>
        </row>
        <row r="1425">
          <cell r="D1425" t="str">
            <v>ACERO FY:  60000 psi (4.200 kg/cm2)</v>
          </cell>
          <cell r="F1425" t="str">
            <v>kg</v>
          </cell>
          <cell r="G1425">
            <v>68756.852941176476</v>
          </cell>
          <cell r="H1425">
            <v>12780</v>
          </cell>
          <cell r="I1425">
            <v>878712580.58823538</v>
          </cell>
          <cell r="J1425">
            <v>1212623361.2117648</v>
          </cell>
        </row>
        <row r="1426">
          <cell r="C1426" t="str">
            <v>10.25.8</v>
          </cell>
          <cell r="D1426" t="str">
            <v xml:space="preserve">         ENCOFRADO DE ZAPATA Y DE PEDESTAL WP4</v>
          </cell>
          <cell r="E1426" t="str">
            <v>3 días</v>
          </cell>
          <cell r="F1426">
            <v>0</v>
          </cell>
        </row>
        <row r="1427">
          <cell r="C1427" t="str">
            <v>10.25.9</v>
          </cell>
          <cell r="D1427" t="str">
            <v xml:space="preserve">         HITO: ALISTAMIENTO Y MOVILIZACIÓN DE PLANTA DE CONCRETO PARA WP4</v>
          </cell>
          <cell r="E1427" t="str">
            <v>0 días</v>
          </cell>
          <cell r="F1427">
            <v>0</v>
          </cell>
        </row>
        <row r="1428">
          <cell r="C1428" t="str">
            <v>10.25.10</v>
          </cell>
          <cell r="D1428" t="str">
            <v xml:space="preserve">         FUNDIDA WP4</v>
          </cell>
          <cell r="E1428" t="str">
            <v>1 día</v>
          </cell>
          <cell r="F1428">
            <v>0</v>
          </cell>
          <cell r="J1428">
            <v>1230815225.9452939</v>
          </cell>
        </row>
        <row r="1429">
          <cell r="D1429" t="str">
            <v>CONCRETO ESTRUCTURAL  35 MPa(350 kg/cm2 Ó 5000 psi)</v>
          </cell>
          <cell r="F1429" t="str">
            <v>m3</v>
          </cell>
          <cell r="G1429">
            <v>429.02941176470586</v>
          </cell>
          <cell r="H1429">
            <v>1926653</v>
          </cell>
          <cell r="I1429">
            <v>826590803.26470578</v>
          </cell>
          <cell r="J1429">
            <v>1140695308.5052938</v>
          </cell>
        </row>
        <row r="1430">
          <cell r="D1430" t="str">
            <v>CONCRETO ESTRUCTURAL  45 MPa(457 kg/cm2 Ó 6500psi)</v>
          </cell>
          <cell r="F1430" t="str">
            <v>m3</v>
          </cell>
          <cell r="G1430">
            <v>32</v>
          </cell>
          <cell r="H1430">
            <v>2040759</v>
          </cell>
          <cell r="I1430">
            <v>65304288</v>
          </cell>
          <cell r="J1430">
            <v>90119917.439999998</v>
          </cell>
        </row>
        <row r="1431">
          <cell r="C1431" t="str">
            <v>10.25.11</v>
          </cell>
          <cell r="D1431" t="str">
            <v xml:space="preserve">         CURADO DEL CONCRETO WP4</v>
          </cell>
          <cell r="E1431" t="str">
            <v>5 días</v>
          </cell>
          <cell r="F1431">
            <v>0</v>
          </cell>
        </row>
        <row r="1432">
          <cell r="C1432" t="str">
            <v>10.25.12</v>
          </cell>
          <cell r="D1432" t="str">
            <v xml:space="preserve">         INSTALACIONES ELECTRICAS Y SISTEMA PUESTA TIERRA WP4</v>
          </cell>
          <cell r="E1432" t="str">
            <v>2 días</v>
          </cell>
          <cell r="F1432">
            <v>0</v>
          </cell>
          <cell r="J1432">
            <v>52736347.43270281</v>
          </cell>
        </row>
        <row r="1433">
          <cell r="D1433" t="str">
            <v>ARQUETA EN HORMIGON PARA MEDIA TENSION - EMPALMES (500 MT)</v>
          </cell>
          <cell r="F1433" t="str">
            <v>Und</v>
          </cell>
          <cell r="G1433">
            <v>1</v>
          </cell>
          <cell r="H1433">
            <v>12275310.999985719</v>
          </cell>
          <cell r="I1433">
            <v>12275310.999985719</v>
          </cell>
          <cell r="J1433">
            <v>16939929.179980289</v>
          </cell>
        </row>
        <row r="1434">
          <cell r="D1434" t="str">
            <v>ARQUETA EN POLIPROPILENO</v>
          </cell>
          <cell r="F1434" t="str">
            <v>Und</v>
          </cell>
          <cell r="G1434">
            <v>1</v>
          </cell>
          <cell r="H1434">
            <v>6068599.9996856553</v>
          </cell>
          <cell r="I1434">
            <v>6068599.9996856553</v>
          </cell>
          <cell r="J1434">
            <v>8374667.9995662039</v>
          </cell>
        </row>
        <row r="1435">
          <cell r="D1435" t="str">
            <v>SUMINISTRO E INSTALACIÓN DE PLATINA</v>
          </cell>
          <cell r="F1435" t="str">
            <v>Und</v>
          </cell>
          <cell r="G1435">
            <v>1</v>
          </cell>
          <cell r="H1435">
            <v>361570</v>
          </cell>
          <cell r="I1435">
            <v>361570</v>
          </cell>
          <cell r="J1435">
            <v>498966.6</v>
          </cell>
        </row>
        <row r="1436">
          <cell r="D1436" t="str">
            <v>SUMINISTRO E INSTALACIÓN DE VARILLA</v>
          </cell>
          <cell r="F1436" t="str">
            <v>Und</v>
          </cell>
          <cell r="G1436">
            <v>1</v>
          </cell>
          <cell r="H1436">
            <v>398933</v>
          </cell>
          <cell r="I1436">
            <v>398933</v>
          </cell>
          <cell r="J1436">
            <v>550527.53999999992</v>
          </cell>
        </row>
        <row r="1437">
          <cell r="D1437" t="str">
            <v>SUMINISTRO E INSTALACIÓN DE ARQUETA PARA INSPECCIÓN DE PICAS EN PUESTA A TIERRA SIN FONDO</v>
          </cell>
          <cell r="F1437" t="str">
            <v>Und</v>
          </cell>
          <cell r="G1437">
            <v>1</v>
          </cell>
          <cell r="H1437">
            <v>14275700</v>
          </cell>
          <cell r="I1437">
            <v>14275700</v>
          </cell>
          <cell r="J1437">
            <v>19700466</v>
          </cell>
        </row>
        <row r="1438">
          <cell r="D1438" t="str">
            <v>SUMINISTRO E INSTALACIÓN DE SOLDADURA EXOTERMICA</v>
          </cell>
          <cell r="F1438" t="str">
            <v>Und</v>
          </cell>
          <cell r="G1438">
            <v>2.8000000000000003</v>
          </cell>
          <cell r="H1438">
            <v>185231</v>
          </cell>
          <cell r="I1438">
            <v>518646.80000000005</v>
          </cell>
          <cell r="J1438">
            <v>715732.58400000003</v>
          </cell>
        </row>
        <row r="1439">
          <cell r="D1439" t="str">
            <v>SUMINISTRO E INSTALACIÓN DE GRAPA DE ALEACIÓN RICA EN COBRE (LATÓN) MODELO KZ</v>
          </cell>
          <cell r="F1439" t="str">
            <v>Und</v>
          </cell>
          <cell r="G1439">
            <v>1</v>
          </cell>
          <cell r="H1439">
            <v>292083</v>
          </cell>
          <cell r="I1439">
            <v>292083</v>
          </cell>
          <cell r="J1439">
            <v>403074.54</v>
          </cell>
        </row>
        <row r="1440">
          <cell r="D1440" t="str">
            <v>SUMINISTRO E INSTALACIÓN DE GRAPA DE ALEACIÓN RICA EN COBRE (LATÓN) MODELO KPD</v>
          </cell>
          <cell r="F1440" t="str">
            <v>Und</v>
          </cell>
          <cell r="G1440">
            <v>0.99393939393939412</v>
          </cell>
          <cell r="H1440">
            <v>292083</v>
          </cell>
          <cell r="I1440">
            <v>290312.80000000005</v>
          </cell>
          <cell r="J1440">
            <v>400631.66400000005</v>
          </cell>
        </row>
        <row r="1441">
          <cell r="D1441" t="str">
            <v xml:space="preserve">INSTALACIÓN DE CABLE DE COBRE TRENZADO DESNUDO DE 50 mm2 </v>
          </cell>
          <cell r="F1441" t="str">
            <v>ML</v>
          </cell>
          <cell r="G1441">
            <v>113.1390243902439</v>
          </cell>
          <cell r="H1441">
            <v>33000.000989065411</v>
          </cell>
          <cell r="I1441">
            <v>3733587.9167799447</v>
          </cell>
          <cell r="J1441">
            <v>5152351.3251563236</v>
          </cell>
        </row>
        <row r="1442">
          <cell r="C1442" t="str">
            <v>10.25.13</v>
          </cell>
          <cell r="D1442" t="str">
            <v xml:space="preserve">         INSTALACION DE GROUT Y MORTERO AUTOCOMPACTANTE DE ALTA RESISTENCIA WP4</v>
          </cell>
          <cell r="E1442" t="str">
            <v>2 días</v>
          </cell>
          <cell r="F1442">
            <v>0</v>
          </cell>
          <cell r="J1442">
            <v>46410609.014634147</v>
          </cell>
        </row>
        <row r="1443">
          <cell r="D1443" t="str">
            <v>GROUT Y  MORTERO AUTOCOMPACTANTE DE ALTA RESISTENCIA C80/95 (EN206-1)</v>
          </cell>
          <cell r="F1443" t="str">
            <v>lt</v>
          </cell>
          <cell r="G1443">
            <v>530.73170731707319</v>
          </cell>
          <cell r="H1443">
            <v>63367</v>
          </cell>
          <cell r="I1443">
            <v>33630876.097560979</v>
          </cell>
          <cell r="J1443">
            <v>46410609.014634147</v>
          </cell>
        </row>
        <row r="1444">
          <cell r="C1444" t="str">
            <v>10.25.14</v>
          </cell>
          <cell r="D1444" t="str">
            <v xml:space="preserve">         TAPADO AREA DE CIMENTACIÓN Y CONFORMACIÓN DE PLATAFORMA WP4</v>
          </cell>
          <cell r="E1444" t="str">
            <v>7 días</v>
          </cell>
          <cell r="F1444">
            <v>0</v>
          </cell>
          <cell r="J1444">
            <v>1587346329.5488234</v>
          </cell>
        </row>
        <row r="1445">
          <cell r="D1445" t="str">
            <v>MATERIAL SELECIONADA PARA  FORMACIÓN Y COMPACTACIÓN DE TERRAPLENES Y RELLENO ESTRUCTURAL  (INCLUYE TRANSPORTE DESDE LAS CANTERAS LICENCIADAS HASTA EL SITIO DE INSTALACIÓN)</v>
          </cell>
          <cell r="F1445" t="str">
            <v>m3</v>
          </cell>
          <cell r="G1445">
            <v>5388.7058823529414</v>
          </cell>
          <cell r="H1445">
            <v>174890</v>
          </cell>
          <cell r="I1445">
            <v>942430771.7647059</v>
          </cell>
          <cell r="J1445">
            <v>1300554465.0352941</v>
          </cell>
        </row>
        <row r="1446">
          <cell r="D1446" t="str">
            <v>PREPARACIÓN DE SUBRASANTE COMPACTACIÓN Y VALORACIÓN DE LA CAPA DE SUBRASANTE DE LOS VIALES. INCLUYENDO LAS PRUEBAS SEGÚN LO PRESCRITO.</v>
          </cell>
          <cell r="F1446" t="str">
            <v>m2</v>
          </cell>
          <cell r="G1446">
            <v>631.61764705882354</v>
          </cell>
          <cell r="H1446">
            <v>11537</v>
          </cell>
          <cell r="I1446">
            <v>7286972.7941176472</v>
          </cell>
          <cell r="J1446">
            <v>10056022.455882352</v>
          </cell>
        </row>
        <row r="1447">
          <cell r="D1447" t="str">
            <v>SUBBASE GRANULAR  (INCLUYE TRANSPORTE DESDE LAS CANTERAS LICENCIADAS HASTA EL SITIO DE INSTALACIÓN)</v>
          </cell>
          <cell r="F1447" t="str">
            <v>m3</v>
          </cell>
          <cell r="G1447">
            <v>880.85294117647061</v>
          </cell>
          <cell r="H1447">
            <v>227658</v>
          </cell>
          <cell r="I1447">
            <v>200533218.88235295</v>
          </cell>
          <cell r="J1447">
            <v>276735842.05764705</v>
          </cell>
        </row>
        <row r="1448">
          <cell r="C1448" t="str">
            <v>10.25.15</v>
          </cell>
          <cell r="D1448" t="str">
            <v xml:space="preserve">         ESTABILIZACIÓN DE TALUDES EN PLATAFORMA Y RECONFORMACION FINAL WP4</v>
          </cell>
          <cell r="E1448" t="str">
            <v>7 días</v>
          </cell>
          <cell r="F1448">
            <v>0</v>
          </cell>
          <cell r="J1448">
            <v>179532477.23999998</v>
          </cell>
        </row>
        <row r="1449">
          <cell r="D1449" t="str">
            <v>BASE GRANULAR   (INCLUYE TRANSPORTE DESDE LAS CANTERAS LICENCIADAS HASTA EL SITIO DE INSTALACIÓN)</v>
          </cell>
          <cell r="F1449" t="str">
            <v>m3</v>
          </cell>
          <cell r="G1449">
            <v>237.64705882352942</v>
          </cell>
          <cell r="H1449">
            <v>265112</v>
          </cell>
          <cell r="I1449">
            <v>63003087.058823533</v>
          </cell>
          <cell r="J1449">
            <v>86944260.141176462</v>
          </cell>
        </row>
        <row r="1450">
          <cell r="D1450" t="str">
            <v xml:space="preserve">ENROCADO PROTECCIÓN TALUD PLATAFORMAS PROTECCIÓN CON ENROCADO DE PIEDRA DEL TALUD DE LAS PLATAFORMAS EN TERRAPLÉN CON 30 CM DE PIEDRA DE 6-10 CM DE DIÁMETRO, PESO ESPECÍFICO DE LAS PIEDRAS DE 2,64  G/CM3  (INCLUYE TRANSPORTE DESDE LAS CANTERAS LICENCIADAS HASTA EL SITIO DE INSTALACIÓN) </v>
          </cell>
          <cell r="F1450" t="str">
            <v>m3</v>
          </cell>
          <cell r="G1450">
            <v>42.352941176470587</v>
          </cell>
          <cell r="H1450">
            <v>276393</v>
          </cell>
          <cell r="I1450">
            <v>11706056.470588235</v>
          </cell>
          <cell r="J1450">
            <v>16154357.929411763</v>
          </cell>
        </row>
        <row r="1451">
          <cell r="D1451" t="str">
            <v xml:space="preserve">ENROCADO PROTECCIÓN TALUD CIMENTACION PROTECCIÓN CON ENROCADO DE PIEDRA DEL TALUD DE LAS CIMENTACIONES EN TERRAPLÉN CON 30 CM DE PIEDRA DE 6-10 CM DE DIÁMETRO, PESO ESPECÍFICO DE LAS PIEDRAS DE 2,64 G/CM3   (INCLUYE TRANSPORTE DESDE LAS CANTERAS LICENCIADAS HASTA EL SITIO DE INSTALACIÓN) </v>
          </cell>
          <cell r="F1451" t="str">
            <v>m3</v>
          </cell>
          <cell r="G1451">
            <v>25.529411764705884</v>
          </cell>
          <cell r="H1451">
            <v>286818</v>
          </cell>
          <cell r="I1451">
            <v>7322294.823529412</v>
          </cell>
          <cell r="J1451">
            <v>10104766.856470589</v>
          </cell>
        </row>
        <row r="1452">
          <cell r="D1452" t="str">
            <v>SUMINISTRO E INSTALACIÓN DE GEOTEXTILES</v>
          </cell>
          <cell r="F1452" t="str">
            <v>m2</v>
          </cell>
          <cell r="G1452">
            <v>887.17647058823525</v>
          </cell>
          <cell r="H1452">
            <v>54177</v>
          </cell>
          <cell r="I1452">
            <v>48064559.647058822</v>
          </cell>
          <cell r="J1452">
            <v>66329092.312941171</v>
          </cell>
        </row>
        <row r="1453">
          <cell r="C1453" t="str">
            <v>10.25.16</v>
          </cell>
          <cell r="D1453" t="str">
            <v xml:space="preserve">         HITO: FINALIZACION DE ACTIVIDADES EN CIMENTACION WP4</v>
          </cell>
          <cell r="E1453" t="str">
            <v>0 días</v>
          </cell>
          <cell r="F1453">
            <v>0</v>
          </cell>
        </row>
        <row r="1454">
          <cell r="C1454" t="str">
            <v>10.26</v>
          </cell>
          <cell r="D1454" t="str">
            <v xml:space="preserve">      CIMENTACION WP2</v>
          </cell>
          <cell r="E1454" t="str">
            <v>60 días</v>
          </cell>
          <cell r="F1454">
            <v>0</v>
          </cell>
        </row>
        <row r="1455">
          <cell r="C1455" t="str">
            <v>10.26.1</v>
          </cell>
          <cell r="D1455" t="str">
            <v xml:space="preserve">         DESBROCE DE AREA DE ACOPIO DE TORRE Y DE PALAS WP2</v>
          </cell>
          <cell r="E1455" t="str">
            <v>8 días</v>
          </cell>
          <cell r="F1455">
            <v>0</v>
          </cell>
          <cell r="J1455">
            <v>83271780.884117648</v>
          </cell>
        </row>
        <row r="1456">
          <cell r="D1456" t="str">
            <v>DESBROCE Y LIMPIEZA</v>
          </cell>
          <cell r="F1456" t="str">
            <v>m2</v>
          </cell>
          <cell r="G1456">
            <v>4799.0294117647063</v>
          </cell>
          <cell r="H1456">
            <v>4140</v>
          </cell>
          <cell r="I1456">
            <v>19867981.764705885</v>
          </cell>
          <cell r="J1456">
            <v>27417814.83529412</v>
          </cell>
        </row>
        <row r="1457">
          <cell r="D1457" t="str">
            <v>SUMINISTRO DE COMISION TOPOGRAFICA
 (incluyede GPS, Estación Total, tránsitos, distanciómetros, niveles de precisión, miras, prismas, jalones, plomadas, cintas métricas, etc., un cadenero primero , un cadenero segundo, ingeniero topógrafo/topógrafo con matricula vigente, insumos para ralizar la actividad, licencias de software utilizado para la ejecución de los trabajos, movilización de personal equipos y entregables en archivos magnéticos)</v>
          </cell>
          <cell r="F1457" t="str">
            <v>Mes</v>
          </cell>
          <cell r="G1457">
            <v>0.2</v>
          </cell>
          <cell r="H1457">
            <v>31500000</v>
          </cell>
          <cell r="I1457">
            <v>6300000</v>
          </cell>
          <cell r="J1457">
            <v>8694000</v>
          </cell>
        </row>
        <row r="1458">
          <cell r="D1458" t="str">
            <v>DESMONTE, DESCAPOTE Y LIMPIEZA INCLUYE  TALA DE ARBOLES CON DAP ≤0.15M, TRANSPORTE Y DISPOSICIÓN FINAL</v>
          </cell>
          <cell r="F1458" t="str">
            <v>m2</v>
          </cell>
          <cell r="G1458">
            <v>4799.0294117647063</v>
          </cell>
          <cell r="H1458">
            <v>7121</v>
          </cell>
          <cell r="I1458">
            <v>34173888.441176474</v>
          </cell>
          <cell r="J1458">
            <v>47159966.048823528</v>
          </cell>
        </row>
        <row r="1459">
          <cell r="C1459" t="str">
            <v>10.26.2</v>
          </cell>
          <cell r="D1459" t="str">
            <v xml:space="preserve">         EXCAVACIÓN DE CIMENTACION WP2</v>
          </cell>
          <cell r="E1459" t="str">
            <v>7 días</v>
          </cell>
          <cell r="F1459">
            <v>0</v>
          </cell>
          <cell r="J1459">
            <v>312374505.66882348</v>
          </cell>
        </row>
        <row r="1460">
          <cell r="D1460" t="str">
            <v>EXCAVACIÓN MECÁNICA EN MATERIAL COMÚN</v>
          </cell>
          <cell r="F1460" t="str">
            <v>m3</v>
          </cell>
          <cell r="G1460">
            <v>4799.0294117647063</v>
          </cell>
          <cell r="H1460">
            <v>35495</v>
          </cell>
          <cell r="I1460">
            <v>170341548.97058824</v>
          </cell>
          <cell r="J1460">
            <v>235071337.57941175</v>
          </cell>
        </row>
        <row r="1461">
          <cell r="D1461" t="str">
            <v>EXCAVACIÓN EN ROCA</v>
          </cell>
          <cell r="F1461" t="str">
            <v>m3</v>
          </cell>
          <cell r="G1461">
            <v>414.35294117647061</v>
          </cell>
          <cell r="H1461">
            <v>135191</v>
          </cell>
          <cell r="I1461">
            <v>56016788.470588237</v>
          </cell>
          <cell r="J1461">
            <v>77303168.089411765</v>
          </cell>
        </row>
        <row r="1462">
          <cell r="C1462" t="str">
            <v>10.26.3</v>
          </cell>
          <cell r="D1462" t="str">
            <v xml:space="preserve">         BANCO DE DUCTO WP2</v>
          </cell>
          <cell r="E1462" t="str">
            <v>3 días</v>
          </cell>
          <cell r="F1462">
            <v>0</v>
          </cell>
          <cell r="J1462">
            <v>9527825.6870364472</v>
          </cell>
        </row>
        <row r="1463">
          <cell r="D1463" t="str">
            <v>INSTALACION DE TUBERIA PVC TIPO TDP Y/O CORRUGADA TIPO PEAD-HDPE  - 50mm</v>
          </cell>
          <cell r="F1463" t="str">
            <v>ML</v>
          </cell>
          <cell r="G1463">
            <v>7.2352941176470589</v>
          </cell>
          <cell r="H1463">
            <v>27751.000385791169</v>
          </cell>
          <cell r="I1463">
            <v>200786.64985013611</v>
          </cell>
          <cell r="J1463">
            <v>277085.57679318782</v>
          </cell>
        </row>
        <row r="1464">
          <cell r="D1464" t="str">
            <v>INSTALACION DE TUBERIA PVC TIPO TDP Y/O CORRUGADA TIPO PEAD-HDPE - 90mm</v>
          </cell>
          <cell r="F1464" t="str">
            <v>ML</v>
          </cell>
          <cell r="G1464">
            <v>34.694117647058818</v>
          </cell>
          <cell r="H1464">
            <v>31239.000009014315</v>
          </cell>
          <cell r="I1464">
            <v>1083809.5414892142</v>
          </cell>
          <cell r="J1464">
            <v>1495657.1672551155</v>
          </cell>
        </row>
        <row r="1465">
          <cell r="D1465" t="str">
            <v>INSTALACION DE TUBERIA PVC TIPO TDP  Y/O CORRUGADA TIPO PEAD-HDPE - 200mm</v>
          </cell>
          <cell r="F1465" t="str">
            <v>ML</v>
          </cell>
          <cell r="G1465">
            <v>70.332352941176467</v>
          </cell>
          <cell r="H1465">
            <v>79900.999838665448</v>
          </cell>
          <cell r="I1465">
            <v>5619625.3210059023</v>
          </cell>
          <cell r="J1465">
            <v>7755082.9429881442</v>
          </cell>
        </row>
        <row r="1466">
          <cell r="C1466" t="str">
            <v>10.26.4</v>
          </cell>
          <cell r="D1466" t="str">
            <v xml:space="preserve">         COMPACTACION DE SELLO DE BASE WP2</v>
          </cell>
          <cell r="E1466" t="str">
            <v>2 días</v>
          </cell>
          <cell r="F1466">
            <v>0</v>
          </cell>
          <cell r="J1466">
            <v>320494616.71764702</v>
          </cell>
        </row>
        <row r="1467">
          <cell r="D1467" t="str">
            <v>RELLENO CON MATERIAL DE EXCAVACIÓN SELECCIONADO</v>
          </cell>
          <cell r="F1467" t="str">
            <v>m3</v>
          </cell>
          <cell r="G1467">
            <v>4530.6764705882351</v>
          </cell>
          <cell r="H1467">
            <v>51260</v>
          </cell>
          <cell r="I1467">
            <v>232242475.88235292</v>
          </cell>
          <cell r="J1467">
            <v>320494616.71764702</v>
          </cell>
        </row>
        <row r="1468">
          <cell r="C1468" t="str">
            <v>10.26.5</v>
          </cell>
          <cell r="D1468" t="str">
            <v xml:space="preserve">         SOLADO WP2</v>
          </cell>
          <cell r="E1468" t="str">
            <v>1 día</v>
          </cell>
          <cell r="F1468">
            <v>0</v>
          </cell>
          <cell r="J1468">
            <v>94303618.549411759</v>
          </cell>
        </row>
        <row r="1469">
          <cell r="D1469" t="str">
            <v>CONCRETO CLASE F (140 kg/cm2 Ó 2000 psi)</v>
          </cell>
          <cell r="F1469" t="str">
            <v>m3</v>
          </cell>
          <cell r="G1469">
            <v>43.941176470588232</v>
          </cell>
          <cell r="H1469">
            <v>1555169</v>
          </cell>
          <cell r="I1469">
            <v>68335955.470588237</v>
          </cell>
          <cell r="J1469">
            <v>94303618.549411759</v>
          </cell>
        </row>
        <row r="1470">
          <cell r="C1470" t="str">
            <v>10.26.6</v>
          </cell>
          <cell r="D1470" t="str">
            <v xml:space="preserve">         INSTALACIÓN DE PERNOS Y SOFT-SPOT WP2</v>
          </cell>
          <cell r="E1470" t="str">
            <v>5 días</v>
          </cell>
          <cell r="F1470">
            <v>0</v>
          </cell>
          <cell r="J1470">
            <v>179436034.15411764</v>
          </cell>
        </row>
        <row r="1471">
          <cell r="D1471" t="str">
            <v>S0FT-SPOT  (EPS) Tipo II (ASM C578)</v>
          </cell>
          <cell r="F1471" t="str">
            <v>m2</v>
          </cell>
          <cell r="G1471">
            <v>62.117647058823529</v>
          </cell>
          <cell r="H1471">
            <v>484846</v>
          </cell>
          <cell r="I1471">
            <v>30117492.705882352</v>
          </cell>
          <cell r="J1471">
            <v>41562139.934117645</v>
          </cell>
        </row>
        <row r="1472">
          <cell r="D1472" t="str">
            <v>MONTAJE Y NIVELACION DE LA JAULA DE ANCLAJES INCLUYE  LA PREPARACIÓN
 DEL ÁREA, LA NIVELACIÓN Y POSICIONAMIENTO DE LOS COMPONENTES (COMO PLANTILLAS Y VARILLAS), EL ENSAMBLAJE DE LA ESTRUCTURA, LA FIJACIÓN FINAL A LA CIMENTACIÓN CON PERNOS DE ANCLAJE, MONTAJE DE BRIDAS, TORQUE Y LIBERACIÓN DE LA CESTA, INCLUYE LA HERRAMIENTA Y EQUIPO DE INSTALACIÓN (peso estimado por jaula 13896  kg)</v>
          </cell>
          <cell r="F1472" t="str">
            <v>Und</v>
          </cell>
          <cell r="G1472">
            <v>1</v>
          </cell>
          <cell r="H1472">
            <v>99908619</v>
          </cell>
          <cell r="I1472">
            <v>99908619</v>
          </cell>
          <cell r="J1472">
            <v>137873894.22</v>
          </cell>
        </row>
        <row r="1473">
          <cell r="C1473" t="str">
            <v>10.26.7</v>
          </cell>
          <cell r="D1473" t="str">
            <v xml:space="preserve">         INSTALACIÓN DE ACERO DE REFUERZO WP2</v>
          </cell>
          <cell r="E1473" t="str">
            <v>14 días</v>
          </cell>
          <cell r="F1473">
            <v>0</v>
          </cell>
          <cell r="J1473">
            <v>1212623361.2117648</v>
          </cell>
        </row>
        <row r="1474">
          <cell r="D1474" t="str">
            <v>ACERO FY:  60000 psi (4.200 kg/cm2)</v>
          </cell>
          <cell r="F1474" t="str">
            <v>kg</v>
          </cell>
          <cell r="G1474">
            <v>68756.852941176476</v>
          </cell>
          <cell r="H1474">
            <v>12780</v>
          </cell>
          <cell r="I1474">
            <v>878712580.58823538</v>
          </cell>
          <cell r="J1474">
            <v>1212623361.2117648</v>
          </cell>
        </row>
        <row r="1475">
          <cell r="C1475" t="str">
            <v>10.26.8</v>
          </cell>
          <cell r="D1475" t="str">
            <v xml:space="preserve">         ENCOFRADO DE ZAPATA Y DE PEDESTAL WP2</v>
          </cell>
          <cell r="E1475" t="str">
            <v>3 días</v>
          </cell>
          <cell r="F1475">
            <v>0</v>
          </cell>
        </row>
        <row r="1476">
          <cell r="C1476" t="str">
            <v>10.26.9</v>
          </cell>
          <cell r="D1476" t="str">
            <v xml:space="preserve">         HITO: ALISTAMIENTO Y MOVILIZACIÓN DE PLANTA DE CONCRETO PARA WP2</v>
          </cell>
          <cell r="E1476" t="str">
            <v>0 días</v>
          </cell>
          <cell r="F1476">
            <v>0</v>
          </cell>
        </row>
        <row r="1477">
          <cell r="C1477" t="str">
            <v>10.26.10</v>
          </cell>
          <cell r="D1477" t="str">
            <v xml:space="preserve">         FUNDIDA WP2</v>
          </cell>
          <cell r="E1477" t="str">
            <v>1 día</v>
          </cell>
          <cell r="F1477">
            <v>0</v>
          </cell>
          <cell r="J1477">
            <v>1230815225.9452939</v>
          </cell>
        </row>
        <row r="1478">
          <cell r="D1478" t="str">
            <v>CONCRETO ESTRUCTURAL  35 MPa(350 kg/cm2 Ó 5000 psi)</v>
          </cell>
          <cell r="F1478" t="str">
            <v>m3</v>
          </cell>
          <cell r="G1478">
            <v>429.02941176470586</v>
          </cell>
          <cell r="H1478">
            <v>1926653</v>
          </cell>
          <cell r="I1478">
            <v>826590803.26470578</v>
          </cell>
          <cell r="J1478">
            <v>1140695308.5052938</v>
          </cell>
        </row>
        <row r="1479">
          <cell r="D1479" t="str">
            <v>CONCRETO ESTRUCTURAL  45 MPa(457 kg/cm2 Ó 6500psi)</v>
          </cell>
          <cell r="F1479" t="str">
            <v>m3</v>
          </cell>
          <cell r="G1479">
            <v>32</v>
          </cell>
          <cell r="H1479">
            <v>2040759</v>
          </cell>
          <cell r="I1479">
            <v>65304288</v>
          </cell>
          <cell r="J1479">
            <v>90119917.439999998</v>
          </cell>
        </row>
        <row r="1480">
          <cell r="C1480" t="str">
            <v>10.26.11</v>
          </cell>
          <cell r="D1480" t="str">
            <v xml:space="preserve">         CURADO DEL CONCRETO WP2</v>
          </cell>
          <cell r="E1480" t="str">
            <v>5 días</v>
          </cell>
          <cell r="F1480">
            <v>0</v>
          </cell>
        </row>
        <row r="1481">
          <cell r="C1481" t="str">
            <v>10.26.12</v>
          </cell>
          <cell r="D1481" t="str">
            <v xml:space="preserve">         INSTALACIONES ELECTRICAS Y SISTEMA PUESTA TIERRA WP2</v>
          </cell>
          <cell r="E1481" t="str">
            <v>2 días</v>
          </cell>
          <cell r="F1481">
            <v>0</v>
          </cell>
          <cell r="J1481">
            <v>52736347.43270281</v>
          </cell>
        </row>
        <row r="1482">
          <cell r="D1482" t="str">
            <v>ARQUETA EN HORMIGON PARA MEDIA TENSION - EMPALMES (500 MT)</v>
          </cell>
          <cell r="F1482" t="str">
            <v>Und</v>
          </cell>
          <cell r="G1482">
            <v>1</v>
          </cell>
          <cell r="H1482">
            <v>12275310.999985719</v>
          </cell>
          <cell r="I1482">
            <v>12275310.999985719</v>
          </cell>
          <cell r="J1482">
            <v>16939929.179980289</v>
          </cell>
        </row>
        <row r="1483">
          <cell r="D1483" t="str">
            <v>ARQUETA EN POLIPROPILENO</v>
          </cell>
          <cell r="F1483" t="str">
            <v>Und</v>
          </cell>
          <cell r="G1483">
            <v>1</v>
          </cell>
          <cell r="H1483">
            <v>6068599.9996856553</v>
          </cell>
          <cell r="I1483">
            <v>6068599.9996856553</v>
          </cell>
          <cell r="J1483">
            <v>8374667.9995662039</v>
          </cell>
        </row>
        <row r="1484">
          <cell r="D1484" t="str">
            <v>SUMINISTRO E INSTALACIÓN DE PLATINA</v>
          </cell>
          <cell r="F1484" t="str">
            <v>Und</v>
          </cell>
          <cell r="G1484">
            <v>1</v>
          </cell>
          <cell r="H1484">
            <v>361570</v>
          </cell>
          <cell r="I1484">
            <v>361570</v>
          </cell>
          <cell r="J1484">
            <v>498966.6</v>
          </cell>
        </row>
        <row r="1485">
          <cell r="D1485" t="str">
            <v>SUMINISTRO E INSTALACIÓN DE VARILLA</v>
          </cell>
          <cell r="F1485" t="str">
            <v>Und</v>
          </cell>
          <cell r="G1485">
            <v>1</v>
          </cell>
          <cell r="H1485">
            <v>398933</v>
          </cell>
          <cell r="I1485">
            <v>398933</v>
          </cell>
          <cell r="J1485">
            <v>550527.53999999992</v>
          </cell>
        </row>
        <row r="1486">
          <cell r="D1486" t="str">
            <v>SUMINISTRO E INSTALACIÓN DE ARQUETA PARA INSPECCIÓN DE PICAS EN PUESTA A TIERRA SIN FONDO</v>
          </cell>
          <cell r="F1486" t="str">
            <v>Und</v>
          </cell>
          <cell r="G1486">
            <v>1</v>
          </cell>
          <cell r="H1486">
            <v>14275700</v>
          </cell>
          <cell r="I1486">
            <v>14275700</v>
          </cell>
          <cell r="J1486">
            <v>19700466</v>
          </cell>
        </row>
        <row r="1487">
          <cell r="D1487" t="str">
            <v>SUMINISTRO E INSTALACIÓN DE SOLDADURA EXOTERMICA</v>
          </cell>
          <cell r="F1487" t="str">
            <v>Und</v>
          </cell>
          <cell r="G1487">
            <v>2.8000000000000003</v>
          </cell>
          <cell r="H1487">
            <v>185231</v>
          </cell>
          <cell r="I1487">
            <v>518646.80000000005</v>
          </cell>
          <cell r="J1487">
            <v>715732.58400000003</v>
          </cell>
        </row>
        <row r="1488">
          <cell r="D1488" t="str">
            <v>SUMINISTRO E INSTALACIÓN DE GRAPA DE ALEACIÓN RICA EN COBRE (LATÓN) MODELO KZ</v>
          </cell>
          <cell r="F1488" t="str">
            <v>Und</v>
          </cell>
          <cell r="G1488">
            <v>1</v>
          </cell>
          <cell r="H1488">
            <v>292083</v>
          </cell>
          <cell r="I1488">
            <v>292083</v>
          </cell>
          <cell r="J1488">
            <v>403074.54</v>
          </cell>
        </row>
        <row r="1489">
          <cell r="D1489" t="str">
            <v>SUMINISTRO E INSTALACIÓN DE GRAPA DE ALEACIÓN RICA EN COBRE (LATÓN) MODELO KPD</v>
          </cell>
          <cell r="F1489" t="str">
            <v>Und</v>
          </cell>
          <cell r="G1489">
            <v>0.99393939393939412</v>
          </cell>
          <cell r="H1489">
            <v>292083</v>
          </cell>
          <cell r="I1489">
            <v>290312.80000000005</v>
          </cell>
          <cell r="J1489">
            <v>400631.66400000005</v>
          </cell>
        </row>
        <row r="1490">
          <cell r="D1490" t="str">
            <v xml:space="preserve">INSTALACIÓN DE CABLE DE COBRE TRENZADO DESNUDO DE 50 mm2 </v>
          </cell>
          <cell r="F1490" t="str">
            <v>ML</v>
          </cell>
          <cell r="G1490">
            <v>113.1390243902439</v>
          </cell>
          <cell r="H1490">
            <v>33000.000989065411</v>
          </cell>
          <cell r="I1490">
            <v>3733587.9167799447</v>
          </cell>
          <cell r="J1490">
            <v>5152351.3251563236</v>
          </cell>
        </row>
        <row r="1491">
          <cell r="C1491" t="str">
            <v>10.26.13</v>
          </cell>
          <cell r="D1491" t="str">
            <v xml:space="preserve">         INSTALACION DE GROUT Y MORTERO AUTOCOMPACTANTE DE ALTA RESISTENCIA WP2</v>
          </cell>
          <cell r="E1491" t="str">
            <v>2 días</v>
          </cell>
          <cell r="F1491">
            <v>0</v>
          </cell>
          <cell r="J1491">
            <v>46410609.014634147</v>
          </cell>
        </row>
        <row r="1492">
          <cell r="D1492" t="str">
            <v>GROUT Y  MORTERO AUTOCOMPACTANTE DE ALTA RESISTENCIA C80/95 (EN206-1)</v>
          </cell>
          <cell r="F1492" t="str">
            <v>lt</v>
          </cell>
          <cell r="G1492">
            <v>530.73170731707319</v>
          </cell>
          <cell r="H1492">
            <v>63367</v>
          </cell>
          <cell r="I1492">
            <v>33630876.097560979</v>
          </cell>
          <cell r="J1492">
            <v>46410609.014634147</v>
          </cell>
        </row>
        <row r="1493">
          <cell r="C1493" t="str">
            <v>10.26.14</v>
          </cell>
          <cell r="D1493" t="str">
            <v xml:space="preserve">         TAPADO AREA DE CIMENTACIÓN Y CONFORMACIÓN DE PLATAFORMA WP2</v>
          </cell>
          <cell r="E1493" t="str">
            <v>7 días</v>
          </cell>
          <cell r="F1493">
            <v>0</v>
          </cell>
          <cell r="J1493">
            <v>1587346329.5488234</v>
          </cell>
        </row>
        <row r="1494">
          <cell r="D1494" t="str">
            <v>MATERIAL SELECIONADA PARA  FORMACIÓN Y COMPACTACIÓN DE TERRAPLENES Y RELLENO ESTRUCTURAL  (INCLUYE TRANSPORTE DESDE LAS CANTERAS LICENCIADAS HASTA EL SITIO DE INSTALACIÓN)</v>
          </cell>
          <cell r="F1494" t="str">
            <v>m3</v>
          </cell>
          <cell r="G1494">
            <v>5388.7058823529414</v>
          </cell>
          <cell r="H1494">
            <v>174890</v>
          </cell>
          <cell r="I1494">
            <v>942430771.7647059</v>
          </cell>
          <cell r="J1494">
            <v>1300554465.0352941</v>
          </cell>
        </row>
        <row r="1495">
          <cell r="D1495" t="str">
            <v>PREPARACIÓN DE SUBRASANTE COMPACTACIÓN Y VALORACIÓN DE LA CAPA DE SUBRASANTE DE LOS VIALES. INCLUYENDO LAS PRUEBAS SEGÚN LO PRESCRITO.</v>
          </cell>
          <cell r="F1495" t="str">
            <v>m2</v>
          </cell>
          <cell r="G1495">
            <v>631.61764705882354</v>
          </cell>
          <cell r="H1495">
            <v>11537</v>
          </cell>
          <cell r="I1495">
            <v>7286972.7941176472</v>
          </cell>
          <cell r="J1495">
            <v>10056022.455882352</v>
          </cell>
        </row>
        <row r="1496">
          <cell r="D1496" t="str">
            <v>SUBBASE GRANULAR  (INCLUYE TRANSPORTE DESDE LAS CANTERAS LICENCIADAS HASTA EL SITIO DE INSTALACIÓN)</v>
          </cell>
          <cell r="F1496" t="str">
            <v>m3</v>
          </cell>
          <cell r="G1496">
            <v>880.85294117647061</v>
          </cell>
          <cell r="H1496">
            <v>227658</v>
          </cell>
          <cell r="I1496">
            <v>200533218.88235295</v>
          </cell>
          <cell r="J1496">
            <v>276735842.05764705</v>
          </cell>
        </row>
        <row r="1497">
          <cell r="C1497" t="str">
            <v>10.26.15</v>
          </cell>
          <cell r="D1497" t="str">
            <v xml:space="preserve">         ESTABILIZACIÓN DE TALUDES EN PLATAFORMA Y RECONFORMACION FINAL WP2</v>
          </cell>
          <cell r="E1497" t="str">
            <v>7 días</v>
          </cell>
          <cell r="F1497">
            <v>0</v>
          </cell>
          <cell r="J1497">
            <v>179532477.23999998</v>
          </cell>
        </row>
        <row r="1498">
          <cell r="D1498" t="str">
            <v>BASE GRANULAR   (INCLUYE TRANSPORTE DESDE LAS CANTERAS LICENCIADAS HASTA EL SITIO DE INSTALACIÓN)</v>
          </cell>
          <cell r="F1498" t="str">
            <v>m3</v>
          </cell>
          <cell r="G1498">
            <v>237.64705882352942</v>
          </cell>
          <cell r="H1498">
            <v>265112</v>
          </cell>
          <cell r="I1498">
            <v>63003087.058823533</v>
          </cell>
          <cell r="J1498">
            <v>86944260.141176462</v>
          </cell>
        </row>
        <row r="1499">
          <cell r="D1499" t="str">
            <v xml:space="preserve">ENROCADO PROTECCIÓN TALUD PLATAFORMAS PROTECCIÓN CON ENROCADO DE PIEDRA DEL TALUD DE LAS PLATAFORMAS EN TERRAPLÉN CON 30 CM DE PIEDRA DE 6-10 CM DE DIÁMETRO, PESO ESPECÍFICO DE LAS PIEDRAS DE 2,64  G/CM3  (INCLUYE TRANSPORTE DESDE LAS CANTERAS LICENCIADAS HASTA EL SITIO DE INSTALACIÓN) </v>
          </cell>
          <cell r="F1499" t="str">
            <v>m3</v>
          </cell>
          <cell r="G1499">
            <v>42.352941176470587</v>
          </cell>
          <cell r="H1499">
            <v>276393</v>
          </cell>
          <cell r="I1499">
            <v>11706056.470588235</v>
          </cell>
          <cell r="J1499">
            <v>16154357.929411763</v>
          </cell>
        </row>
        <row r="1500">
          <cell r="D1500" t="str">
            <v xml:space="preserve">ENROCADO PROTECCIÓN TALUD CIMENTACION PROTECCIÓN CON ENROCADO DE PIEDRA DEL TALUD DE LAS CIMENTACIONES EN TERRAPLÉN CON 30 CM DE PIEDRA DE 6-10 CM DE DIÁMETRO, PESO ESPECÍFICO DE LAS PIEDRAS DE 2,64 G/CM3   (INCLUYE TRANSPORTE DESDE LAS CANTERAS LICENCIADAS HASTA EL SITIO DE INSTALACIÓN) </v>
          </cell>
          <cell r="F1500" t="str">
            <v>m3</v>
          </cell>
          <cell r="G1500">
            <v>25.529411764705884</v>
          </cell>
          <cell r="H1500">
            <v>286818</v>
          </cell>
          <cell r="I1500">
            <v>7322294.823529412</v>
          </cell>
          <cell r="J1500">
            <v>10104766.856470589</v>
          </cell>
        </row>
        <row r="1501">
          <cell r="D1501" t="str">
            <v>SUMINISTRO E INSTALACIÓN DE GEOTEXTILES</v>
          </cell>
          <cell r="F1501" t="str">
            <v>m2</v>
          </cell>
          <cell r="G1501">
            <v>887.17647058823525</v>
          </cell>
          <cell r="H1501">
            <v>54177</v>
          </cell>
          <cell r="I1501">
            <v>48064559.647058822</v>
          </cell>
          <cell r="J1501">
            <v>66329092.312941171</v>
          </cell>
        </row>
        <row r="1502">
          <cell r="C1502" t="str">
            <v>10.26.16</v>
          </cell>
          <cell r="D1502" t="str">
            <v xml:space="preserve">         HITO: FINALIZACION DE ACTIVIDADES EN CIMENTACION WP2</v>
          </cell>
          <cell r="E1502" t="str">
            <v>0 días</v>
          </cell>
          <cell r="F1502">
            <v>0</v>
          </cell>
        </row>
        <row r="1503">
          <cell r="C1503" t="str">
            <v>10.27</v>
          </cell>
          <cell r="D1503" t="str">
            <v xml:space="preserve">      CIMENTACION WP43</v>
          </cell>
          <cell r="E1503" t="str">
            <v>60 días</v>
          </cell>
          <cell r="F1503">
            <v>0</v>
          </cell>
        </row>
        <row r="1504">
          <cell r="C1504" t="str">
            <v>10.27.1</v>
          </cell>
          <cell r="D1504" t="str">
            <v xml:space="preserve">         DESBROCE DE AREA DE ACOPIO DE TORRE Y DE PALAS WP43</v>
          </cell>
          <cell r="E1504" t="str">
            <v>8 días</v>
          </cell>
          <cell r="F1504">
            <v>0</v>
          </cell>
          <cell r="J1504">
            <v>83271780.884117648</v>
          </cell>
        </row>
        <row r="1505">
          <cell r="D1505" t="str">
            <v>DESBROCE Y LIMPIEZA</v>
          </cell>
          <cell r="F1505" t="str">
            <v>m2</v>
          </cell>
          <cell r="G1505">
            <v>4799.0294117647063</v>
          </cell>
          <cell r="H1505">
            <v>4140</v>
          </cell>
          <cell r="I1505">
            <v>19867981.764705885</v>
          </cell>
          <cell r="J1505">
            <v>27417814.83529412</v>
          </cell>
        </row>
        <row r="1506">
          <cell r="D1506" t="str">
            <v>SUMINISTRO DE COMISION TOPOGRAFICA
 (incluyede GPS, Estación Total, tránsitos, distanciómetros, niveles de precisión, miras, prismas, jalones, plomadas, cintas métricas, etc., un cadenero primero , un cadenero segundo, ingeniero topógrafo/topógrafo con matricula vigente, insumos para ralizar la actividad, licencias de software utilizado para la ejecución de los trabajos, movilización de personal equipos y entregables en archivos magnéticos)</v>
          </cell>
          <cell r="F1506" t="str">
            <v>Mes</v>
          </cell>
          <cell r="G1506">
            <v>0.2</v>
          </cell>
          <cell r="H1506">
            <v>31500000</v>
          </cell>
          <cell r="I1506">
            <v>6300000</v>
          </cell>
          <cell r="J1506">
            <v>8694000</v>
          </cell>
        </row>
        <row r="1507">
          <cell r="D1507" t="str">
            <v>DESMONTE, DESCAPOTE Y LIMPIEZA INCLUYE  TALA DE ARBOLES CON DAP ≤0.15M, TRANSPORTE Y DISPOSICIÓN FINAL</v>
          </cell>
          <cell r="F1507" t="str">
            <v>m2</v>
          </cell>
          <cell r="G1507">
            <v>4799.0294117647063</v>
          </cell>
          <cell r="H1507">
            <v>7121</v>
          </cell>
          <cell r="I1507">
            <v>34173888.441176474</v>
          </cell>
          <cell r="J1507">
            <v>47159966.048823528</v>
          </cell>
        </row>
        <row r="1508">
          <cell r="C1508" t="str">
            <v>10.27.2</v>
          </cell>
          <cell r="D1508" t="str">
            <v xml:space="preserve">         EXCAVACIÓN DE CIMENTACION WP43</v>
          </cell>
          <cell r="E1508" t="str">
            <v>7 días</v>
          </cell>
          <cell r="F1508">
            <v>0</v>
          </cell>
          <cell r="J1508">
            <v>312374505.66882348</v>
          </cell>
        </row>
        <row r="1509">
          <cell r="D1509" t="str">
            <v>EXCAVACIÓN MECÁNICA EN MATERIAL COMÚN</v>
          </cell>
          <cell r="F1509" t="str">
            <v>m3</v>
          </cell>
          <cell r="G1509">
            <v>4799.0294117647063</v>
          </cell>
          <cell r="H1509">
            <v>35495</v>
          </cell>
          <cell r="I1509">
            <v>170341548.97058824</v>
          </cell>
          <cell r="J1509">
            <v>235071337.57941175</v>
          </cell>
        </row>
        <row r="1510">
          <cell r="D1510" t="str">
            <v>EXCAVACIÓN EN ROCA</v>
          </cell>
          <cell r="F1510" t="str">
            <v>m3</v>
          </cell>
          <cell r="G1510">
            <v>414.35294117647061</v>
          </cell>
          <cell r="H1510">
            <v>135191</v>
          </cell>
          <cell r="I1510">
            <v>56016788.470588237</v>
          </cell>
          <cell r="J1510">
            <v>77303168.089411765</v>
          </cell>
        </row>
        <row r="1511">
          <cell r="C1511" t="str">
            <v>10.27.3</v>
          </cell>
          <cell r="D1511" t="str">
            <v xml:space="preserve">         BANCO DE DUCTO WP43</v>
          </cell>
          <cell r="E1511" t="str">
            <v>3 días</v>
          </cell>
          <cell r="F1511">
            <v>0</v>
          </cell>
          <cell r="J1511">
            <v>9527825.6870364472</v>
          </cell>
        </row>
        <row r="1512">
          <cell r="D1512" t="str">
            <v>INSTALACION DE TUBERIA PVC TIPO TDP Y/O CORRUGADA TIPO PEAD-HDPE  - 50mm</v>
          </cell>
          <cell r="F1512" t="str">
            <v>ML</v>
          </cell>
          <cell r="G1512">
            <v>7.2352941176470589</v>
          </cell>
          <cell r="H1512">
            <v>27751.000385791169</v>
          </cell>
          <cell r="I1512">
            <v>200786.64985013611</v>
          </cell>
          <cell r="J1512">
            <v>277085.57679318782</v>
          </cell>
        </row>
        <row r="1513">
          <cell r="D1513" t="str">
            <v>INSTALACION DE TUBERIA PVC TIPO TDP Y/O CORRUGADA TIPO PEAD-HDPE - 90mm</v>
          </cell>
          <cell r="F1513" t="str">
            <v>ML</v>
          </cell>
          <cell r="G1513">
            <v>34.694117647058818</v>
          </cell>
          <cell r="H1513">
            <v>31239.000009014315</v>
          </cell>
          <cell r="I1513">
            <v>1083809.5414892142</v>
          </cell>
          <cell r="J1513">
            <v>1495657.1672551155</v>
          </cell>
        </row>
        <row r="1514">
          <cell r="D1514" t="str">
            <v>INSTALACION DE TUBERIA PVC TIPO TDP  Y/O CORRUGADA TIPO PEAD-HDPE - 200mm</v>
          </cell>
          <cell r="F1514" t="str">
            <v>ML</v>
          </cell>
          <cell r="G1514">
            <v>70.332352941176467</v>
          </cell>
          <cell r="H1514">
            <v>79900.999838665448</v>
          </cell>
          <cell r="I1514">
            <v>5619625.3210059023</v>
          </cell>
          <cell r="J1514">
            <v>7755082.9429881442</v>
          </cell>
        </row>
        <row r="1515">
          <cell r="C1515" t="str">
            <v>10.27.4</v>
          </cell>
          <cell r="D1515" t="str">
            <v xml:space="preserve">         COMPACTACION DE SELLO DE BASE WP43</v>
          </cell>
          <cell r="E1515" t="str">
            <v>2 días</v>
          </cell>
          <cell r="F1515">
            <v>0</v>
          </cell>
          <cell r="J1515">
            <v>320494616.71764702</v>
          </cell>
        </row>
        <row r="1516">
          <cell r="D1516" t="str">
            <v>RELLENO CON MATERIAL DE EXCAVACIÓN SELECCIONADO</v>
          </cell>
          <cell r="F1516" t="str">
            <v>m3</v>
          </cell>
          <cell r="G1516">
            <v>4530.6764705882351</v>
          </cell>
          <cell r="H1516">
            <v>51260</v>
          </cell>
          <cell r="I1516">
            <v>232242475.88235292</v>
          </cell>
          <cell r="J1516">
            <v>320494616.71764702</v>
          </cell>
        </row>
        <row r="1517">
          <cell r="C1517" t="str">
            <v>10.27.5</v>
          </cell>
          <cell r="D1517" t="str">
            <v xml:space="preserve">         SOLADO WP43</v>
          </cell>
          <cell r="E1517" t="str">
            <v>1 día</v>
          </cell>
          <cell r="F1517">
            <v>0</v>
          </cell>
          <cell r="J1517">
            <v>94303618.549411759</v>
          </cell>
        </row>
        <row r="1518">
          <cell r="D1518" t="str">
            <v>CONCRETO CLASE F (140 kg/cm2 Ó 2000 psi)</v>
          </cell>
          <cell r="F1518" t="str">
            <v>m3</v>
          </cell>
          <cell r="G1518">
            <v>43.941176470588232</v>
          </cell>
          <cell r="H1518">
            <v>1555169</v>
          </cell>
          <cell r="I1518">
            <v>68335955.470588237</v>
          </cell>
          <cell r="J1518">
            <v>94303618.549411759</v>
          </cell>
        </row>
        <row r="1519">
          <cell r="C1519" t="str">
            <v>10.27.6</v>
          </cell>
          <cell r="D1519" t="str">
            <v xml:space="preserve">         INSTALACIÓN DE PERNOS Y SOFT-SPOT WP43</v>
          </cell>
          <cell r="E1519" t="str">
            <v>5 días</v>
          </cell>
          <cell r="F1519">
            <v>0</v>
          </cell>
          <cell r="J1519">
            <v>179436034.15411764</v>
          </cell>
        </row>
        <row r="1520">
          <cell r="D1520" t="str">
            <v>S0FT-SPOT  (EPS) Tipo II (ASM C578)</v>
          </cell>
          <cell r="F1520" t="str">
            <v>m2</v>
          </cell>
          <cell r="G1520">
            <v>62.117647058823529</v>
          </cell>
          <cell r="H1520">
            <v>484846</v>
          </cell>
          <cell r="I1520">
            <v>30117492.705882352</v>
          </cell>
          <cell r="J1520">
            <v>41562139.934117645</v>
          </cell>
        </row>
        <row r="1521">
          <cell r="D1521" t="str">
            <v>MONTAJE Y NIVELACION DE LA JAULA DE ANCLAJES INCLUYE  LA PREPARACIÓN
 DEL ÁREA, LA NIVELACIÓN Y POSICIONAMIENTO DE LOS COMPONENTES (COMO PLANTILLAS Y VARILLAS), EL ENSAMBLAJE DE LA ESTRUCTURA, LA FIJACIÓN FINAL A LA CIMENTACIÓN CON PERNOS DE ANCLAJE, MONTAJE DE BRIDAS, TORQUE Y LIBERACIÓN DE LA CESTA, INCLUYE LA HERRAMIENTA Y EQUIPO DE INSTALACIÓN (peso estimado por jaula 13896  kg)</v>
          </cell>
          <cell r="F1521" t="str">
            <v>Und</v>
          </cell>
          <cell r="G1521">
            <v>1</v>
          </cell>
          <cell r="H1521">
            <v>99908619</v>
          </cell>
          <cell r="I1521">
            <v>99908619</v>
          </cell>
          <cell r="J1521">
            <v>137873894.22</v>
          </cell>
        </row>
        <row r="1522">
          <cell r="C1522" t="str">
            <v>10.27.7</v>
          </cell>
          <cell r="D1522" t="str">
            <v xml:space="preserve">         INSTALACIÓN DE ACERO DE REFUERZO WP43</v>
          </cell>
          <cell r="E1522" t="str">
            <v>14 días</v>
          </cell>
          <cell r="F1522">
            <v>0</v>
          </cell>
          <cell r="J1522">
            <v>1212623361.2117648</v>
          </cell>
        </row>
        <row r="1523">
          <cell r="D1523" t="str">
            <v>ACERO FY:  60000 psi (4.200 kg/cm2)</v>
          </cell>
          <cell r="F1523" t="str">
            <v>kg</v>
          </cell>
          <cell r="G1523">
            <v>68756.852941176476</v>
          </cell>
          <cell r="H1523">
            <v>12780</v>
          </cell>
          <cell r="I1523">
            <v>878712580.58823538</v>
          </cell>
          <cell r="J1523">
            <v>1212623361.2117648</v>
          </cell>
        </row>
        <row r="1524">
          <cell r="C1524" t="str">
            <v>10.27.8</v>
          </cell>
          <cell r="D1524" t="str">
            <v xml:space="preserve">         ENCOFRADO DE ZAPATA Y DE PEDESTAL WP43</v>
          </cell>
          <cell r="E1524" t="str">
            <v>3 días</v>
          </cell>
          <cell r="F1524">
            <v>0</v>
          </cell>
        </row>
        <row r="1525">
          <cell r="C1525" t="str">
            <v>10.27.9</v>
          </cell>
          <cell r="D1525" t="str">
            <v xml:space="preserve">         HITO: ALISTAMIENTO Y MOVILIZACIÓN DE PLANTA DE CONCRETO PARA WP43</v>
          </cell>
          <cell r="E1525" t="str">
            <v>0 días</v>
          </cell>
          <cell r="F1525">
            <v>0</v>
          </cell>
        </row>
        <row r="1526">
          <cell r="C1526" t="str">
            <v>10.27.10</v>
          </cell>
          <cell r="D1526" t="str">
            <v xml:space="preserve">         FUNDIDA WP43</v>
          </cell>
          <cell r="E1526" t="str">
            <v>1 día</v>
          </cell>
          <cell r="F1526">
            <v>0</v>
          </cell>
          <cell r="J1526">
            <v>1230815225.9452939</v>
          </cell>
        </row>
        <row r="1527">
          <cell r="D1527" t="str">
            <v>CONCRETO ESTRUCTURAL  35 MPa(350 kg/cm2 Ó 5000 psi)</v>
          </cell>
          <cell r="F1527" t="str">
            <v>m3</v>
          </cell>
          <cell r="G1527">
            <v>429.02941176470586</v>
          </cell>
          <cell r="H1527">
            <v>1926653</v>
          </cell>
          <cell r="I1527">
            <v>826590803.26470578</v>
          </cell>
          <cell r="J1527">
            <v>1140695308.5052938</v>
          </cell>
        </row>
        <row r="1528">
          <cell r="D1528" t="str">
            <v>CONCRETO ESTRUCTURAL  45 MPa(457 kg/cm2 Ó 6500psi)</v>
          </cell>
          <cell r="F1528" t="str">
            <v>m3</v>
          </cell>
          <cell r="G1528">
            <v>32</v>
          </cell>
          <cell r="H1528">
            <v>2040759</v>
          </cell>
          <cell r="I1528">
            <v>65304288</v>
          </cell>
          <cell r="J1528">
            <v>90119917.439999998</v>
          </cell>
        </row>
        <row r="1529">
          <cell r="C1529" t="str">
            <v>10.27.11</v>
          </cell>
          <cell r="D1529" t="str">
            <v xml:space="preserve">         CURADO DEL CONCRETO WP43</v>
          </cell>
          <cell r="E1529" t="str">
            <v>5 días</v>
          </cell>
          <cell r="F1529">
            <v>0</v>
          </cell>
        </row>
        <row r="1530">
          <cell r="C1530" t="str">
            <v>10.27.12</v>
          </cell>
          <cell r="D1530" t="str">
            <v xml:space="preserve">         INSTALACIONES ELECTRICAS Y SISTEMA PUESTA TIERRA WP43</v>
          </cell>
          <cell r="E1530" t="str">
            <v>2 días</v>
          </cell>
          <cell r="F1530">
            <v>0</v>
          </cell>
          <cell r="J1530">
            <v>52736347.43270281</v>
          </cell>
        </row>
        <row r="1531">
          <cell r="D1531" t="str">
            <v>ARQUETA EN HORMIGON PARA MEDIA TENSION - EMPALMES (500 MT)</v>
          </cell>
          <cell r="F1531" t="str">
            <v>Und</v>
          </cell>
          <cell r="G1531">
            <v>1</v>
          </cell>
          <cell r="H1531">
            <v>12275310.999985719</v>
          </cell>
          <cell r="I1531">
            <v>12275310.999985719</v>
          </cell>
          <cell r="J1531">
            <v>16939929.179980289</v>
          </cell>
        </row>
        <row r="1532">
          <cell r="D1532" t="str">
            <v>ARQUETA EN POLIPROPILENO</v>
          </cell>
          <cell r="F1532" t="str">
            <v>Und</v>
          </cell>
          <cell r="G1532">
            <v>1</v>
          </cell>
          <cell r="H1532">
            <v>6068599.9996856553</v>
          </cell>
          <cell r="I1532">
            <v>6068599.9996856553</v>
          </cell>
          <cell r="J1532">
            <v>8374667.9995662039</v>
          </cell>
        </row>
        <row r="1533">
          <cell r="D1533" t="str">
            <v>SUMINISTRO E INSTALACIÓN DE PLATINA</v>
          </cell>
          <cell r="F1533" t="str">
            <v>Und</v>
          </cell>
          <cell r="G1533">
            <v>1</v>
          </cell>
          <cell r="H1533">
            <v>361570</v>
          </cell>
          <cell r="I1533">
            <v>361570</v>
          </cell>
          <cell r="J1533">
            <v>498966.6</v>
          </cell>
        </row>
        <row r="1534">
          <cell r="D1534" t="str">
            <v>SUMINISTRO E INSTALACIÓN DE VARILLA</v>
          </cell>
          <cell r="F1534" t="str">
            <v>Und</v>
          </cell>
          <cell r="G1534">
            <v>1</v>
          </cell>
          <cell r="H1534">
            <v>398933</v>
          </cell>
          <cell r="I1534">
            <v>398933</v>
          </cell>
          <cell r="J1534">
            <v>550527.53999999992</v>
          </cell>
        </row>
        <row r="1535">
          <cell r="D1535" t="str">
            <v>SUMINISTRO E INSTALACIÓN DE ARQUETA PARA INSPECCIÓN DE PICAS EN PUESTA A TIERRA SIN FONDO</v>
          </cell>
          <cell r="F1535" t="str">
            <v>Und</v>
          </cell>
          <cell r="G1535">
            <v>1</v>
          </cell>
          <cell r="H1535">
            <v>14275700</v>
          </cell>
          <cell r="I1535">
            <v>14275700</v>
          </cell>
          <cell r="J1535">
            <v>19700466</v>
          </cell>
        </row>
        <row r="1536">
          <cell r="D1536" t="str">
            <v>SUMINISTRO E INSTALACIÓN DE SOLDADURA EXOTERMICA</v>
          </cell>
          <cell r="F1536" t="str">
            <v>Und</v>
          </cell>
          <cell r="G1536">
            <v>2.8000000000000003</v>
          </cell>
          <cell r="H1536">
            <v>185231</v>
          </cell>
          <cell r="I1536">
            <v>518646.80000000005</v>
          </cell>
          <cell r="J1536">
            <v>715732.58400000003</v>
          </cell>
        </row>
        <row r="1537">
          <cell r="D1537" t="str">
            <v>SUMINISTRO E INSTALACIÓN DE GRAPA DE ALEACIÓN RICA EN COBRE (LATÓN) MODELO KZ</v>
          </cell>
          <cell r="F1537" t="str">
            <v>Und</v>
          </cell>
          <cell r="G1537">
            <v>1</v>
          </cell>
          <cell r="H1537">
            <v>292083</v>
          </cell>
          <cell r="I1537">
            <v>292083</v>
          </cell>
          <cell r="J1537">
            <v>403074.54</v>
          </cell>
        </row>
        <row r="1538">
          <cell r="D1538" t="str">
            <v>SUMINISTRO E INSTALACIÓN DE GRAPA DE ALEACIÓN RICA EN COBRE (LATÓN) MODELO KPD</v>
          </cell>
          <cell r="F1538" t="str">
            <v>Und</v>
          </cell>
          <cell r="G1538">
            <v>0.99393939393939412</v>
          </cell>
          <cell r="H1538">
            <v>292083</v>
          </cell>
          <cell r="I1538">
            <v>290312.80000000005</v>
          </cell>
          <cell r="J1538">
            <v>400631.66400000005</v>
          </cell>
        </row>
        <row r="1539">
          <cell r="D1539" t="str">
            <v xml:space="preserve">INSTALACIÓN DE CABLE DE COBRE TRENZADO DESNUDO DE 50 mm2 </v>
          </cell>
          <cell r="F1539" t="str">
            <v>ML</v>
          </cell>
          <cell r="G1539">
            <v>113.1390243902439</v>
          </cell>
          <cell r="H1539">
            <v>33000.000989065411</v>
          </cell>
          <cell r="I1539">
            <v>3733587.9167799447</v>
          </cell>
          <cell r="J1539">
            <v>5152351.3251563236</v>
          </cell>
        </row>
        <row r="1540">
          <cell r="C1540" t="str">
            <v>10.27.13</v>
          </cell>
          <cell r="D1540" t="str">
            <v xml:space="preserve">         INSTALACION DE GROUT Y MORTERO AUTOCOMPACTANTE DE ALTA RESISTENCIA WP43</v>
          </cell>
          <cell r="E1540" t="str">
            <v>2 días</v>
          </cell>
          <cell r="F1540">
            <v>0</v>
          </cell>
          <cell r="J1540">
            <v>46410609.014634147</v>
          </cell>
        </row>
        <row r="1541">
          <cell r="D1541" t="str">
            <v>GROUT Y  MORTERO AUTOCOMPACTANTE DE ALTA RESISTENCIA C80/95 (EN206-1)</v>
          </cell>
          <cell r="F1541" t="str">
            <v>lt</v>
          </cell>
          <cell r="G1541">
            <v>530.73170731707319</v>
          </cell>
          <cell r="H1541">
            <v>63367</v>
          </cell>
          <cell r="I1541">
            <v>33630876.097560979</v>
          </cell>
          <cell r="J1541">
            <v>46410609.014634147</v>
          </cell>
        </row>
        <row r="1542">
          <cell r="C1542" t="str">
            <v>10.27.14</v>
          </cell>
          <cell r="D1542" t="str">
            <v xml:space="preserve">         TAPADO AREA DE CIMENTACIÓN Y CONFORMACIÓN DE PLATAFORMA WP43</v>
          </cell>
          <cell r="E1542" t="str">
            <v>7 días</v>
          </cell>
          <cell r="F1542">
            <v>0</v>
          </cell>
          <cell r="J1542">
            <v>1587346329.5488234</v>
          </cell>
        </row>
        <row r="1543">
          <cell r="D1543" t="str">
            <v>MATERIAL SELECIONADA PARA  FORMACIÓN Y COMPACTACIÓN DE TERRAPLENES Y RELLENO ESTRUCTURAL  (INCLUYE TRANSPORTE DESDE LAS CANTERAS LICENCIADAS HASTA EL SITIO DE INSTALACIÓN)</v>
          </cell>
          <cell r="F1543" t="str">
            <v>m3</v>
          </cell>
          <cell r="G1543">
            <v>5388.7058823529414</v>
          </cell>
          <cell r="H1543">
            <v>174890</v>
          </cell>
          <cell r="I1543">
            <v>942430771.7647059</v>
          </cell>
          <cell r="J1543">
            <v>1300554465.0352941</v>
          </cell>
        </row>
        <row r="1544">
          <cell r="D1544" t="str">
            <v>PREPARACIÓN DE SUBRASANTE COMPACTACIÓN Y VALORACIÓN DE LA CAPA DE SUBRASANTE DE LOS VIALES. INCLUYENDO LAS PRUEBAS SEGÚN LO PRESCRITO.</v>
          </cell>
          <cell r="F1544" t="str">
            <v>m2</v>
          </cell>
          <cell r="G1544">
            <v>631.61764705882354</v>
          </cell>
          <cell r="H1544">
            <v>11537</v>
          </cell>
          <cell r="I1544">
            <v>7286972.7941176472</v>
          </cell>
          <cell r="J1544">
            <v>10056022.455882352</v>
          </cell>
        </row>
        <row r="1545">
          <cell r="D1545" t="str">
            <v>SUBBASE GRANULAR  (INCLUYE TRANSPORTE DESDE LAS CANTERAS LICENCIADAS HASTA EL SITIO DE INSTALACIÓN)</v>
          </cell>
          <cell r="F1545" t="str">
            <v>m3</v>
          </cell>
          <cell r="G1545">
            <v>880.85294117647061</v>
          </cell>
          <cell r="H1545">
            <v>227658</v>
          </cell>
          <cell r="I1545">
            <v>200533218.88235295</v>
          </cell>
          <cell r="J1545">
            <v>276735842.05764705</v>
          </cell>
        </row>
        <row r="1546">
          <cell r="C1546" t="str">
            <v>10.27.15</v>
          </cell>
          <cell r="D1546" t="str">
            <v xml:space="preserve">         ESTABILIZACIÓN DE TALUDES EN PLATAFORMA Y RECONFORMACION FINAL WP43</v>
          </cell>
          <cell r="E1546" t="str">
            <v>7 días</v>
          </cell>
          <cell r="F1546">
            <v>0</v>
          </cell>
          <cell r="J1546">
            <v>179532477.23999998</v>
          </cell>
        </row>
        <row r="1547">
          <cell r="D1547" t="str">
            <v>BASE GRANULAR   (INCLUYE TRANSPORTE DESDE LAS CANTERAS LICENCIADAS HASTA EL SITIO DE INSTALACIÓN)</v>
          </cell>
          <cell r="F1547" t="str">
            <v>m3</v>
          </cell>
          <cell r="G1547">
            <v>237.64705882352942</v>
          </cell>
          <cell r="H1547">
            <v>265112</v>
          </cell>
          <cell r="I1547">
            <v>63003087.058823533</v>
          </cell>
          <cell r="J1547">
            <v>86944260.141176462</v>
          </cell>
        </row>
        <row r="1548">
          <cell r="D1548" t="str">
            <v xml:space="preserve">ENROCADO PROTECCIÓN TALUD PLATAFORMAS PROTECCIÓN CON ENROCADO DE PIEDRA DEL TALUD DE LAS PLATAFORMAS EN TERRAPLÉN CON 30 CM DE PIEDRA DE 6-10 CM DE DIÁMETRO, PESO ESPECÍFICO DE LAS PIEDRAS DE 2,64  G/CM3  (INCLUYE TRANSPORTE DESDE LAS CANTERAS LICENCIADAS HASTA EL SITIO DE INSTALACIÓN) </v>
          </cell>
          <cell r="F1548" t="str">
            <v>m3</v>
          </cell>
          <cell r="G1548">
            <v>42.352941176470587</v>
          </cell>
          <cell r="H1548">
            <v>276393</v>
          </cell>
          <cell r="I1548">
            <v>11706056.470588235</v>
          </cell>
          <cell r="J1548">
            <v>16154357.929411763</v>
          </cell>
        </row>
        <row r="1549">
          <cell r="D1549" t="str">
            <v xml:space="preserve">ENROCADO PROTECCIÓN TALUD CIMENTACION PROTECCIÓN CON ENROCADO DE PIEDRA DEL TALUD DE LAS CIMENTACIONES EN TERRAPLÉN CON 30 CM DE PIEDRA DE 6-10 CM DE DIÁMETRO, PESO ESPECÍFICO DE LAS PIEDRAS DE 2,64 G/CM3   (INCLUYE TRANSPORTE DESDE LAS CANTERAS LICENCIADAS HASTA EL SITIO DE INSTALACIÓN) </v>
          </cell>
          <cell r="F1549" t="str">
            <v>m3</v>
          </cell>
          <cell r="G1549">
            <v>25.529411764705884</v>
          </cell>
          <cell r="H1549">
            <v>286818</v>
          </cell>
          <cell r="I1549">
            <v>7322294.823529412</v>
          </cell>
          <cell r="J1549">
            <v>10104766.856470589</v>
          </cell>
        </row>
        <row r="1550">
          <cell r="D1550" t="str">
            <v>SUMINISTRO E INSTALACIÓN DE GEOTEXTILES</v>
          </cell>
          <cell r="F1550" t="str">
            <v>m2</v>
          </cell>
          <cell r="G1550">
            <v>887.17647058823525</v>
          </cell>
          <cell r="H1550">
            <v>54177</v>
          </cell>
          <cell r="I1550">
            <v>48064559.647058822</v>
          </cell>
          <cell r="J1550">
            <v>66329092.312941171</v>
          </cell>
        </row>
        <row r="1551">
          <cell r="C1551" t="str">
            <v>10.27.16</v>
          </cell>
          <cell r="D1551" t="str">
            <v xml:space="preserve">         HITO: FINALIZACION DE ACTIVIDADES EN CIMENTACION WP43</v>
          </cell>
          <cell r="E1551" t="str">
            <v>0 días</v>
          </cell>
          <cell r="F1551">
            <v>0</v>
          </cell>
        </row>
        <row r="1552">
          <cell r="C1552" t="str">
            <v>10.28</v>
          </cell>
          <cell r="D1552" t="str">
            <v xml:space="preserve">      CIMENTACION WP29</v>
          </cell>
          <cell r="E1552" t="str">
            <v>60 días</v>
          </cell>
          <cell r="F1552">
            <v>0</v>
          </cell>
        </row>
        <row r="1553">
          <cell r="C1553" t="str">
            <v>10.28.1</v>
          </cell>
          <cell r="D1553" t="str">
            <v xml:space="preserve">         DESBROCE DE AREA DE ACOPIO DE TORRE Y DE PALAS WP29</v>
          </cell>
          <cell r="E1553" t="str">
            <v>8 días</v>
          </cell>
          <cell r="F1553">
            <v>0</v>
          </cell>
          <cell r="J1553">
            <v>83271780.884117648</v>
          </cell>
        </row>
        <row r="1554">
          <cell r="D1554" t="str">
            <v>DESBROCE Y LIMPIEZA</v>
          </cell>
          <cell r="F1554" t="str">
            <v>m2</v>
          </cell>
          <cell r="G1554">
            <v>4799.0294117647063</v>
          </cell>
          <cell r="H1554">
            <v>4140</v>
          </cell>
          <cell r="I1554">
            <v>19867981.764705885</v>
          </cell>
          <cell r="J1554">
            <v>27417814.83529412</v>
          </cell>
        </row>
        <row r="1555">
          <cell r="D1555" t="str">
            <v>SUMINISTRO DE COMISION TOPOGRAFICA
 (incluyede GPS, Estación Total, tránsitos, distanciómetros, niveles de precisión, miras, prismas, jalones, plomadas, cintas métricas, etc., un cadenero primero , un cadenero segundo, ingeniero topógrafo/topógrafo con matricula vigente, insumos para ralizar la actividad, licencias de software utilizado para la ejecución de los trabajos, movilización de personal equipos y entregables en archivos magnéticos)</v>
          </cell>
          <cell r="F1555" t="str">
            <v>Mes</v>
          </cell>
          <cell r="G1555">
            <v>0.2</v>
          </cell>
          <cell r="H1555">
            <v>31500000</v>
          </cell>
          <cell r="I1555">
            <v>6300000</v>
          </cell>
          <cell r="J1555">
            <v>8694000</v>
          </cell>
        </row>
        <row r="1556">
          <cell r="D1556" t="str">
            <v>DESMONTE, DESCAPOTE Y LIMPIEZA INCLUYE  TALA DE ARBOLES CON DAP ≤0.15M, TRANSPORTE Y DISPOSICIÓN FINAL</v>
          </cell>
          <cell r="F1556" t="str">
            <v>m2</v>
          </cell>
          <cell r="G1556">
            <v>4799.0294117647063</v>
          </cell>
          <cell r="H1556">
            <v>7121</v>
          </cell>
          <cell r="I1556">
            <v>34173888.441176474</v>
          </cell>
          <cell r="J1556">
            <v>47159966.048823528</v>
          </cell>
        </row>
        <row r="1557">
          <cell r="C1557" t="str">
            <v>10.28.2</v>
          </cell>
          <cell r="D1557" t="str">
            <v xml:space="preserve">         EXCAVACIÓN DE CIMENTACION WP29</v>
          </cell>
          <cell r="E1557" t="str">
            <v>7 días</v>
          </cell>
          <cell r="F1557">
            <v>0</v>
          </cell>
          <cell r="J1557">
            <v>312374505.66882348</v>
          </cell>
        </row>
        <row r="1558">
          <cell r="D1558" t="str">
            <v>EXCAVACIÓN MECÁNICA EN MATERIAL COMÚN</v>
          </cell>
          <cell r="F1558" t="str">
            <v>m3</v>
          </cell>
          <cell r="G1558">
            <v>4799.0294117647063</v>
          </cell>
          <cell r="H1558">
            <v>35495</v>
          </cell>
          <cell r="I1558">
            <v>170341548.97058824</v>
          </cell>
          <cell r="J1558">
            <v>235071337.57941175</v>
          </cell>
        </row>
        <row r="1559">
          <cell r="D1559" t="str">
            <v>EXCAVACIÓN EN ROCA</v>
          </cell>
          <cell r="F1559" t="str">
            <v>m3</v>
          </cell>
          <cell r="G1559">
            <v>414.35294117647061</v>
          </cell>
          <cell r="H1559">
            <v>135191</v>
          </cell>
          <cell r="I1559">
            <v>56016788.470588237</v>
          </cell>
          <cell r="J1559">
            <v>77303168.089411765</v>
          </cell>
        </row>
        <row r="1560">
          <cell r="C1560" t="str">
            <v>10.28.3</v>
          </cell>
          <cell r="D1560" t="str">
            <v xml:space="preserve">         BANCO DE DUCTO WP29</v>
          </cell>
          <cell r="E1560" t="str">
            <v>3 días</v>
          </cell>
          <cell r="F1560">
            <v>0</v>
          </cell>
          <cell r="J1560">
            <v>9527825.6870364472</v>
          </cell>
        </row>
        <row r="1561">
          <cell r="D1561" t="str">
            <v>INSTALACION DE TUBERIA PVC TIPO TDP Y/O CORRUGADA TIPO PEAD-HDPE  - 50mm</v>
          </cell>
          <cell r="F1561" t="str">
            <v>ML</v>
          </cell>
          <cell r="G1561">
            <v>7.2352941176470589</v>
          </cell>
          <cell r="H1561">
            <v>27751.000385791169</v>
          </cell>
          <cell r="I1561">
            <v>200786.64985013611</v>
          </cell>
          <cell r="J1561">
            <v>277085.57679318782</v>
          </cell>
        </row>
        <row r="1562">
          <cell r="D1562" t="str">
            <v>INSTALACION DE TUBERIA PVC TIPO TDP Y/O CORRUGADA TIPO PEAD-HDPE - 90mm</v>
          </cell>
          <cell r="F1562" t="str">
            <v>ML</v>
          </cell>
          <cell r="G1562">
            <v>34.694117647058818</v>
          </cell>
          <cell r="H1562">
            <v>31239.000009014315</v>
          </cell>
          <cell r="I1562">
            <v>1083809.5414892142</v>
          </cell>
          <cell r="J1562">
            <v>1495657.1672551155</v>
          </cell>
        </row>
        <row r="1563">
          <cell r="D1563" t="str">
            <v>INSTALACION DE TUBERIA PVC TIPO TDP  Y/O CORRUGADA TIPO PEAD-HDPE - 200mm</v>
          </cell>
          <cell r="F1563" t="str">
            <v>ML</v>
          </cell>
          <cell r="G1563">
            <v>70.332352941176467</v>
          </cell>
          <cell r="H1563">
            <v>79900.999838665448</v>
          </cell>
          <cell r="I1563">
            <v>5619625.3210059023</v>
          </cell>
          <cell r="J1563">
            <v>7755082.9429881442</v>
          </cell>
        </row>
        <row r="1564">
          <cell r="C1564" t="str">
            <v>10.28.4</v>
          </cell>
          <cell r="D1564" t="str">
            <v xml:space="preserve">         COMPACTACION DE SELLO DE BASE WP29</v>
          </cell>
          <cell r="E1564" t="str">
            <v>2 días</v>
          </cell>
          <cell r="F1564">
            <v>0</v>
          </cell>
          <cell r="J1564">
            <v>320494616.71764702</v>
          </cell>
        </row>
        <row r="1565">
          <cell r="D1565" t="str">
            <v>RELLENO CON MATERIAL DE EXCAVACIÓN SELECCIONADO</v>
          </cell>
          <cell r="F1565" t="str">
            <v>m3</v>
          </cell>
          <cell r="G1565">
            <v>4530.6764705882351</v>
          </cell>
          <cell r="H1565">
            <v>51260</v>
          </cell>
          <cell r="I1565">
            <v>232242475.88235292</v>
          </cell>
          <cell r="J1565">
            <v>320494616.71764702</v>
          </cell>
        </row>
        <row r="1566">
          <cell r="C1566" t="str">
            <v>10.28.5</v>
          </cell>
          <cell r="D1566" t="str">
            <v xml:space="preserve">         SOLADO WP29</v>
          </cell>
          <cell r="E1566" t="str">
            <v>1 día</v>
          </cell>
          <cell r="F1566">
            <v>0</v>
          </cell>
          <cell r="J1566">
            <v>94303618.549411759</v>
          </cell>
        </row>
        <row r="1567">
          <cell r="D1567" t="str">
            <v>CONCRETO CLASE F (140 kg/cm2 Ó 2000 psi)</v>
          </cell>
          <cell r="F1567" t="str">
            <v>m3</v>
          </cell>
          <cell r="G1567">
            <v>43.941176470588232</v>
          </cell>
          <cell r="H1567">
            <v>1555169</v>
          </cell>
          <cell r="I1567">
            <v>68335955.470588237</v>
          </cell>
          <cell r="J1567">
            <v>94303618.549411759</v>
          </cell>
        </row>
        <row r="1568">
          <cell r="C1568" t="str">
            <v>10.28.6</v>
          </cell>
          <cell r="D1568" t="str">
            <v xml:space="preserve">         INSTALACIÓN DE PERNOS Y SOFT-SPOT WP29</v>
          </cell>
          <cell r="E1568" t="str">
            <v>5 días</v>
          </cell>
          <cell r="F1568">
            <v>0</v>
          </cell>
          <cell r="J1568">
            <v>179436034.15411764</v>
          </cell>
        </row>
        <row r="1569">
          <cell r="D1569" t="str">
            <v>S0FT-SPOT  (EPS) Tipo II (ASM C578)</v>
          </cell>
          <cell r="F1569" t="str">
            <v>m2</v>
          </cell>
          <cell r="G1569">
            <v>62.117647058823529</v>
          </cell>
          <cell r="H1569">
            <v>484846</v>
          </cell>
          <cell r="I1569">
            <v>30117492.705882352</v>
          </cell>
          <cell r="J1569">
            <v>41562139.934117645</v>
          </cell>
        </row>
        <row r="1570">
          <cell r="D1570" t="str">
            <v>MONTAJE Y NIVELACION DE LA JAULA DE ANCLAJES INCLUYE  LA PREPARACIÓN
 DEL ÁREA, LA NIVELACIÓN Y POSICIONAMIENTO DE LOS COMPONENTES (COMO PLANTILLAS Y VARILLAS), EL ENSAMBLAJE DE LA ESTRUCTURA, LA FIJACIÓN FINAL A LA CIMENTACIÓN CON PERNOS DE ANCLAJE, MONTAJE DE BRIDAS, TORQUE Y LIBERACIÓN DE LA CESTA, INCLUYE LA HERRAMIENTA Y EQUIPO DE INSTALACIÓN (peso estimado por jaula 13896  kg)</v>
          </cell>
          <cell r="F1570" t="str">
            <v>Und</v>
          </cell>
          <cell r="G1570">
            <v>1</v>
          </cell>
          <cell r="H1570">
            <v>99908619</v>
          </cell>
          <cell r="I1570">
            <v>99908619</v>
          </cell>
          <cell r="J1570">
            <v>137873894.22</v>
          </cell>
        </row>
        <row r="1571">
          <cell r="C1571" t="str">
            <v>10.28.7</v>
          </cell>
          <cell r="D1571" t="str">
            <v xml:space="preserve">         INSTALACIÓN DE ACERO DE REFUERZO WP29</v>
          </cell>
          <cell r="E1571" t="str">
            <v>14 días</v>
          </cell>
          <cell r="F1571">
            <v>0</v>
          </cell>
          <cell r="J1571">
            <v>1212623361.2117648</v>
          </cell>
        </row>
        <row r="1572">
          <cell r="D1572" t="str">
            <v>ACERO FY:  60000 psi (4.200 kg/cm2)</v>
          </cell>
          <cell r="F1572" t="str">
            <v>kg</v>
          </cell>
          <cell r="G1572">
            <v>68756.852941176476</v>
          </cell>
          <cell r="H1572">
            <v>12780</v>
          </cell>
          <cell r="I1572">
            <v>878712580.58823538</v>
          </cell>
          <cell r="J1572">
            <v>1212623361.2117648</v>
          </cell>
        </row>
        <row r="1573">
          <cell r="C1573" t="str">
            <v>10.28.8</v>
          </cell>
          <cell r="D1573" t="str">
            <v xml:space="preserve">         ENCOFRADO DE ZAPATA Y DE PEDESTAL WP29</v>
          </cell>
          <cell r="E1573" t="str">
            <v>3 días</v>
          </cell>
          <cell r="F1573">
            <v>0</v>
          </cell>
        </row>
        <row r="1574">
          <cell r="C1574" t="str">
            <v>10.28.9</v>
          </cell>
          <cell r="D1574" t="str">
            <v xml:space="preserve">         HITO: ALISTAMIENTO Y MOVILIZACIÓN DE PLANTA DE CONCRETO PARA WP29</v>
          </cell>
          <cell r="E1574" t="str">
            <v>0 días</v>
          </cell>
          <cell r="F1574">
            <v>0</v>
          </cell>
        </row>
        <row r="1575">
          <cell r="C1575" t="str">
            <v>10.28.10</v>
          </cell>
          <cell r="D1575" t="str">
            <v xml:space="preserve">         FUNDIDA WP29</v>
          </cell>
          <cell r="E1575" t="str">
            <v>1 día</v>
          </cell>
          <cell r="F1575">
            <v>0</v>
          </cell>
          <cell r="J1575">
            <v>1230815225.9452939</v>
          </cell>
        </row>
        <row r="1576">
          <cell r="D1576" t="str">
            <v>CONCRETO ESTRUCTURAL  35 MPa(350 kg/cm2 Ó 5000 psi)</v>
          </cell>
          <cell r="F1576" t="str">
            <v>m3</v>
          </cell>
          <cell r="G1576">
            <v>429.02941176470586</v>
          </cell>
          <cell r="H1576">
            <v>1926653</v>
          </cell>
          <cell r="I1576">
            <v>826590803.26470578</v>
          </cell>
          <cell r="J1576">
            <v>1140695308.5052938</v>
          </cell>
        </row>
        <row r="1577">
          <cell r="D1577" t="str">
            <v>CONCRETO ESTRUCTURAL  45 MPa(457 kg/cm2 Ó 6500psi)</v>
          </cell>
          <cell r="F1577" t="str">
            <v>m3</v>
          </cell>
          <cell r="G1577">
            <v>32</v>
          </cell>
          <cell r="H1577">
            <v>2040759</v>
          </cell>
          <cell r="I1577">
            <v>65304288</v>
          </cell>
          <cell r="J1577">
            <v>90119917.439999998</v>
          </cell>
        </row>
        <row r="1578">
          <cell r="C1578" t="str">
            <v>10.28.11</v>
          </cell>
          <cell r="D1578" t="str">
            <v xml:space="preserve">         CURADO DEL CONCRETO WP29</v>
          </cell>
          <cell r="E1578" t="str">
            <v>5 días</v>
          </cell>
          <cell r="F1578">
            <v>0</v>
          </cell>
        </row>
        <row r="1579">
          <cell r="C1579" t="str">
            <v>10.28.12</v>
          </cell>
          <cell r="D1579" t="str">
            <v xml:space="preserve">         INSTALACIONES ELECTRICAS Y SISTEMA PUESTA TIERRA WP29</v>
          </cell>
          <cell r="E1579" t="str">
            <v>2 días</v>
          </cell>
          <cell r="F1579">
            <v>0</v>
          </cell>
          <cell r="J1579">
            <v>52736347.43270281</v>
          </cell>
        </row>
        <row r="1580">
          <cell r="D1580" t="str">
            <v>ARQUETA EN HORMIGON PARA MEDIA TENSION - EMPALMES (500 MT)</v>
          </cell>
          <cell r="F1580" t="str">
            <v>Und</v>
          </cell>
          <cell r="G1580">
            <v>1</v>
          </cell>
          <cell r="H1580">
            <v>12275310.999985719</v>
          </cell>
          <cell r="I1580">
            <v>12275310.999985719</v>
          </cell>
          <cell r="J1580">
            <v>16939929.179980289</v>
          </cell>
        </row>
        <row r="1581">
          <cell r="D1581" t="str">
            <v>ARQUETA EN POLIPROPILENO</v>
          </cell>
          <cell r="F1581" t="str">
            <v>Und</v>
          </cell>
          <cell r="G1581">
            <v>1</v>
          </cell>
          <cell r="H1581">
            <v>6068599.9996856553</v>
          </cell>
          <cell r="I1581">
            <v>6068599.9996856553</v>
          </cell>
          <cell r="J1581">
            <v>8374667.9995662039</v>
          </cell>
        </row>
        <row r="1582">
          <cell r="D1582" t="str">
            <v>SUMINISTRO E INSTALACIÓN DE PLATINA</v>
          </cell>
          <cell r="F1582" t="str">
            <v>Und</v>
          </cell>
          <cell r="G1582">
            <v>1</v>
          </cell>
          <cell r="H1582">
            <v>361570</v>
          </cell>
          <cell r="I1582">
            <v>361570</v>
          </cell>
          <cell r="J1582">
            <v>498966.6</v>
          </cell>
        </row>
        <row r="1583">
          <cell r="D1583" t="str">
            <v>SUMINISTRO E INSTALACIÓN DE VARILLA</v>
          </cell>
          <cell r="F1583" t="str">
            <v>Und</v>
          </cell>
          <cell r="G1583">
            <v>1</v>
          </cell>
          <cell r="H1583">
            <v>398933</v>
          </cell>
          <cell r="I1583">
            <v>398933</v>
          </cell>
          <cell r="J1583">
            <v>550527.53999999992</v>
          </cell>
        </row>
        <row r="1584">
          <cell r="D1584" t="str">
            <v>SUMINISTRO E INSTALACIÓN DE ARQUETA PARA INSPECCIÓN DE PICAS EN PUESTA A TIERRA SIN FONDO</v>
          </cell>
          <cell r="F1584" t="str">
            <v>Und</v>
          </cell>
          <cell r="G1584">
            <v>1</v>
          </cell>
          <cell r="H1584">
            <v>14275700</v>
          </cell>
          <cell r="I1584">
            <v>14275700</v>
          </cell>
          <cell r="J1584">
            <v>19700466</v>
          </cell>
        </row>
        <row r="1585">
          <cell r="D1585" t="str">
            <v>SUMINISTRO E INSTALACIÓN DE SOLDADURA EXOTERMICA</v>
          </cell>
          <cell r="F1585" t="str">
            <v>Und</v>
          </cell>
          <cell r="G1585">
            <v>2.8000000000000003</v>
          </cell>
          <cell r="H1585">
            <v>185231</v>
          </cell>
          <cell r="I1585">
            <v>518646.80000000005</v>
          </cell>
          <cell r="J1585">
            <v>715732.58400000003</v>
          </cell>
        </row>
        <row r="1586">
          <cell r="D1586" t="str">
            <v>SUMINISTRO E INSTALACIÓN DE GRAPA DE ALEACIÓN RICA EN COBRE (LATÓN) MODELO KZ</v>
          </cell>
          <cell r="F1586" t="str">
            <v>Und</v>
          </cell>
          <cell r="G1586">
            <v>1</v>
          </cell>
          <cell r="H1586">
            <v>292083</v>
          </cell>
          <cell r="I1586">
            <v>292083</v>
          </cell>
          <cell r="J1586">
            <v>403074.54</v>
          </cell>
        </row>
        <row r="1587">
          <cell r="D1587" t="str">
            <v>SUMINISTRO E INSTALACIÓN DE GRAPA DE ALEACIÓN RICA EN COBRE (LATÓN) MODELO KPD</v>
          </cell>
          <cell r="F1587" t="str">
            <v>Und</v>
          </cell>
          <cell r="G1587">
            <v>0.99393939393939412</v>
          </cell>
          <cell r="H1587">
            <v>292083</v>
          </cell>
          <cell r="I1587">
            <v>290312.80000000005</v>
          </cell>
          <cell r="J1587">
            <v>400631.66400000005</v>
          </cell>
        </row>
        <row r="1588">
          <cell r="D1588" t="str">
            <v xml:space="preserve">INSTALACIÓN DE CABLE DE COBRE TRENZADO DESNUDO DE 50 mm2 </v>
          </cell>
          <cell r="F1588" t="str">
            <v>ML</v>
          </cell>
          <cell r="G1588">
            <v>113.1390243902439</v>
          </cell>
          <cell r="H1588">
            <v>33000.000989065411</v>
          </cell>
          <cell r="I1588">
            <v>3733587.9167799447</v>
          </cell>
          <cell r="J1588">
            <v>5152351.3251563236</v>
          </cell>
        </row>
        <row r="1589">
          <cell r="C1589" t="str">
            <v>10.28.13</v>
          </cell>
          <cell r="D1589" t="str">
            <v xml:space="preserve">         INSTALACION DE GROUT Y MORTERO AUTOCOMPACTANTE DE ALTA RESISTENCIA WP29</v>
          </cell>
          <cell r="E1589" t="str">
            <v>2 días</v>
          </cell>
          <cell r="F1589">
            <v>0</v>
          </cell>
          <cell r="J1589">
            <v>46410609.014634147</v>
          </cell>
        </row>
        <row r="1590">
          <cell r="D1590" t="str">
            <v>GROUT Y  MORTERO AUTOCOMPACTANTE DE ALTA RESISTENCIA C80/95 (EN206-1)</v>
          </cell>
          <cell r="F1590" t="str">
            <v>lt</v>
          </cell>
          <cell r="G1590">
            <v>530.73170731707319</v>
          </cell>
          <cell r="H1590">
            <v>63367</v>
          </cell>
          <cell r="I1590">
            <v>33630876.097560979</v>
          </cell>
          <cell r="J1590">
            <v>46410609.014634147</v>
          </cell>
        </row>
        <row r="1591">
          <cell r="C1591" t="str">
            <v>10.28.14</v>
          </cell>
          <cell r="D1591" t="str">
            <v xml:space="preserve">         TAPADO AREA DE CIMENTACIÓN Y CONFORMACIÓN DE PLATAFORMA WP29</v>
          </cell>
          <cell r="E1591" t="str">
            <v>7 días</v>
          </cell>
          <cell r="F1591">
            <v>0</v>
          </cell>
          <cell r="J1591">
            <v>1587346329.5488234</v>
          </cell>
        </row>
        <row r="1592">
          <cell r="D1592" t="str">
            <v>MATERIAL SELECIONADA PARA  FORMACIÓN Y COMPACTACIÓN DE TERRAPLENES Y RELLENO ESTRUCTURAL  (INCLUYE TRANSPORTE DESDE LAS CANTERAS LICENCIADAS HASTA EL SITIO DE INSTALACIÓN)</v>
          </cell>
          <cell r="F1592" t="str">
            <v>m3</v>
          </cell>
          <cell r="G1592">
            <v>5388.7058823529414</v>
          </cell>
          <cell r="H1592">
            <v>174890</v>
          </cell>
          <cell r="I1592">
            <v>942430771.7647059</v>
          </cell>
          <cell r="J1592">
            <v>1300554465.0352941</v>
          </cell>
        </row>
        <row r="1593">
          <cell r="D1593" t="str">
            <v>PREPARACIÓN DE SUBRASANTE COMPACTACIÓN Y VALORACIÓN DE LA CAPA DE SUBRASANTE DE LOS VIALES. INCLUYENDO LAS PRUEBAS SEGÚN LO PRESCRITO.</v>
          </cell>
          <cell r="F1593" t="str">
            <v>m2</v>
          </cell>
          <cell r="G1593">
            <v>631.61764705882354</v>
          </cell>
          <cell r="H1593">
            <v>11537</v>
          </cell>
          <cell r="I1593">
            <v>7286972.7941176472</v>
          </cell>
          <cell r="J1593">
            <v>10056022.455882352</v>
          </cell>
        </row>
        <row r="1594">
          <cell r="D1594" t="str">
            <v>SUBBASE GRANULAR  (INCLUYE TRANSPORTE DESDE LAS CANTERAS LICENCIADAS HASTA EL SITIO DE INSTALACIÓN)</v>
          </cell>
          <cell r="F1594" t="str">
            <v>m3</v>
          </cell>
          <cell r="G1594">
            <v>880.85294117647061</v>
          </cell>
          <cell r="H1594">
            <v>227658</v>
          </cell>
          <cell r="I1594">
            <v>200533218.88235295</v>
          </cell>
          <cell r="J1594">
            <v>276735842.05764705</v>
          </cell>
        </row>
        <row r="1595">
          <cell r="C1595" t="str">
            <v>10.28.15</v>
          </cell>
          <cell r="D1595" t="str">
            <v xml:space="preserve">         ESTABILIZACIÓN DE TALUDES EN PLATAFORMA Y RECONFORMACION FINAL WP29</v>
          </cell>
          <cell r="E1595" t="str">
            <v>7 días</v>
          </cell>
          <cell r="F1595">
            <v>0</v>
          </cell>
          <cell r="J1595">
            <v>179532477.23999998</v>
          </cell>
        </row>
        <row r="1596">
          <cell r="D1596" t="str">
            <v>BASE GRANULAR   (INCLUYE TRANSPORTE DESDE LAS CANTERAS LICENCIADAS HASTA EL SITIO DE INSTALACIÓN)</v>
          </cell>
          <cell r="F1596" t="str">
            <v>m3</v>
          </cell>
          <cell r="G1596">
            <v>237.64705882352942</v>
          </cell>
          <cell r="H1596">
            <v>265112</v>
          </cell>
          <cell r="I1596">
            <v>63003087.058823533</v>
          </cell>
          <cell r="J1596">
            <v>86944260.141176462</v>
          </cell>
        </row>
        <row r="1597">
          <cell r="D1597" t="str">
            <v xml:space="preserve">ENROCADO PROTECCIÓN TALUD PLATAFORMAS PROTECCIÓN CON ENROCADO DE PIEDRA DEL TALUD DE LAS PLATAFORMAS EN TERRAPLÉN CON 30 CM DE PIEDRA DE 6-10 CM DE DIÁMETRO, PESO ESPECÍFICO DE LAS PIEDRAS DE 2,64  G/CM3  (INCLUYE TRANSPORTE DESDE LAS CANTERAS LICENCIADAS HASTA EL SITIO DE INSTALACIÓN) </v>
          </cell>
          <cell r="F1597" t="str">
            <v>m3</v>
          </cell>
          <cell r="G1597">
            <v>42.352941176470587</v>
          </cell>
          <cell r="H1597">
            <v>276393</v>
          </cell>
          <cell r="I1597">
            <v>11706056.470588235</v>
          </cell>
          <cell r="J1597">
            <v>16154357.929411763</v>
          </cell>
        </row>
        <row r="1598">
          <cell r="D1598" t="str">
            <v xml:space="preserve">ENROCADO PROTECCIÓN TALUD CIMENTACION PROTECCIÓN CON ENROCADO DE PIEDRA DEL TALUD DE LAS CIMENTACIONES EN TERRAPLÉN CON 30 CM DE PIEDRA DE 6-10 CM DE DIÁMETRO, PESO ESPECÍFICO DE LAS PIEDRAS DE 2,64 G/CM3   (INCLUYE TRANSPORTE DESDE LAS CANTERAS LICENCIADAS HASTA EL SITIO DE INSTALACIÓN) </v>
          </cell>
          <cell r="F1598" t="str">
            <v>m3</v>
          </cell>
          <cell r="G1598">
            <v>25.529411764705884</v>
          </cell>
          <cell r="H1598">
            <v>286818</v>
          </cell>
          <cell r="I1598">
            <v>7322294.823529412</v>
          </cell>
          <cell r="J1598">
            <v>10104766.856470589</v>
          </cell>
        </row>
        <row r="1599">
          <cell r="D1599" t="str">
            <v>SUMINISTRO E INSTALACIÓN DE GEOTEXTILES</v>
          </cell>
          <cell r="F1599" t="str">
            <v>m2</v>
          </cell>
          <cell r="G1599">
            <v>887.17647058823525</v>
          </cell>
          <cell r="H1599">
            <v>54177</v>
          </cell>
          <cell r="I1599">
            <v>48064559.647058822</v>
          </cell>
          <cell r="J1599">
            <v>66329092.312941171</v>
          </cell>
        </row>
        <row r="1600">
          <cell r="C1600" t="str">
            <v>10.28.16</v>
          </cell>
          <cell r="D1600" t="str">
            <v xml:space="preserve">         HITO: FINALIZACION DE ACTIVIDADES EN CIMENTACION WP29</v>
          </cell>
          <cell r="E1600" t="str">
            <v>0 días</v>
          </cell>
          <cell r="F1600">
            <v>0</v>
          </cell>
        </row>
        <row r="1601">
          <cell r="C1601" t="str">
            <v>10.29</v>
          </cell>
          <cell r="D1601" t="str">
            <v xml:space="preserve">      CIMENTACION WP30</v>
          </cell>
          <cell r="E1601" t="str">
            <v>60 días</v>
          </cell>
          <cell r="F1601">
            <v>0</v>
          </cell>
        </row>
        <row r="1602">
          <cell r="C1602" t="str">
            <v>10.29.1</v>
          </cell>
          <cell r="D1602" t="str">
            <v xml:space="preserve">         DESBROCE DE AREA DE ACOPIO DE TORRE Y DE PALAS WP30</v>
          </cell>
          <cell r="E1602" t="str">
            <v>8 días</v>
          </cell>
          <cell r="F1602">
            <v>0</v>
          </cell>
          <cell r="J1602">
            <v>83271780.884117648</v>
          </cell>
        </row>
        <row r="1603">
          <cell r="D1603" t="str">
            <v>DESBROCE Y LIMPIEZA</v>
          </cell>
          <cell r="F1603" t="str">
            <v>m2</v>
          </cell>
          <cell r="G1603">
            <v>4799.0294117647063</v>
          </cell>
          <cell r="H1603">
            <v>4140</v>
          </cell>
          <cell r="I1603">
            <v>19867981.764705885</v>
          </cell>
          <cell r="J1603">
            <v>27417814.83529412</v>
          </cell>
        </row>
        <row r="1604">
          <cell r="D1604" t="str">
            <v>SUMINISTRO DE COMISION TOPOGRAFICA
 (incluyede GPS, Estación Total, tránsitos, distanciómetros, niveles de precisión, miras, prismas, jalones, plomadas, cintas métricas, etc., un cadenero primero , un cadenero segundo, ingeniero topógrafo/topógrafo con matricula vigente, insumos para ralizar la actividad, licencias de software utilizado para la ejecución de los trabajos, movilización de personal equipos y entregables en archivos magnéticos)</v>
          </cell>
          <cell r="F1604" t="str">
            <v>Mes</v>
          </cell>
          <cell r="G1604">
            <v>0.2</v>
          </cell>
          <cell r="H1604">
            <v>31500000</v>
          </cell>
          <cell r="I1604">
            <v>6300000</v>
          </cell>
          <cell r="J1604">
            <v>8694000</v>
          </cell>
        </row>
        <row r="1605">
          <cell r="D1605" t="str">
            <v>DESMONTE, DESCAPOTE Y LIMPIEZA INCLUYE  TALA DE ARBOLES CON DAP ≤0.15M, TRANSPORTE Y DISPOSICIÓN FINAL</v>
          </cell>
          <cell r="F1605" t="str">
            <v>m2</v>
          </cell>
          <cell r="G1605">
            <v>4799.0294117647063</v>
          </cell>
          <cell r="H1605">
            <v>7121</v>
          </cell>
          <cell r="I1605">
            <v>34173888.441176474</v>
          </cell>
          <cell r="J1605">
            <v>47159966.048823528</v>
          </cell>
        </row>
        <row r="1606">
          <cell r="C1606" t="str">
            <v>10.29.2</v>
          </cell>
          <cell r="D1606" t="str">
            <v xml:space="preserve">         EXCAVACIÓN DE CIMENTACION WP30</v>
          </cell>
          <cell r="E1606" t="str">
            <v>7 días</v>
          </cell>
          <cell r="F1606">
            <v>0</v>
          </cell>
          <cell r="J1606">
            <v>312374505.66882348</v>
          </cell>
        </row>
        <row r="1607">
          <cell r="D1607" t="str">
            <v>EXCAVACIÓN MECÁNICA EN MATERIAL COMÚN</v>
          </cell>
          <cell r="F1607" t="str">
            <v>m3</v>
          </cell>
          <cell r="G1607">
            <v>4799.0294117647063</v>
          </cell>
          <cell r="H1607">
            <v>35495</v>
          </cell>
          <cell r="I1607">
            <v>170341548.97058824</v>
          </cell>
          <cell r="J1607">
            <v>235071337.57941175</v>
          </cell>
        </row>
        <row r="1608">
          <cell r="D1608" t="str">
            <v>EXCAVACIÓN EN ROCA</v>
          </cell>
          <cell r="F1608" t="str">
            <v>m3</v>
          </cell>
          <cell r="G1608">
            <v>414.35294117647061</v>
          </cell>
          <cell r="H1608">
            <v>135191</v>
          </cell>
          <cell r="I1608">
            <v>56016788.470588237</v>
          </cell>
          <cell r="J1608">
            <v>77303168.089411765</v>
          </cell>
        </row>
        <row r="1609">
          <cell r="C1609" t="str">
            <v>10.29.3</v>
          </cell>
          <cell r="D1609" t="str">
            <v xml:space="preserve">         BANCO DE DUCTO WP30</v>
          </cell>
          <cell r="E1609" t="str">
            <v>3 días</v>
          </cell>
          <cell r="F1609">
            <v>0</v>
          </cell>
          <cell r="J1609">
            <v>9527825.6870364472</v>
          </cell>
        </row>
        <row r="1610">
          <cell r="D1610" t="str">
            <v>INSTALACION DE TUBERIA PVC TIPO TDP Y/O CORRUGADA TIPO PEAD-HDPE  - 50mm</v>
          </cell>
          <cell r="F1610" t="str">
            <v>ML</v>
          </cell>
          <cell r="G1610">
            <v>7.2352941176470589</v>
          </cell>
          <cell r="H1610">
            <v>27751.000385791169</v>
          </cell>
          <cell r="I1610">
            <v>200786.64985013611</v>
          </cell>
          <cell r="J1610">
            <v>277085.57679318782</v>
          </cell>
        </row>
        <row r="1611">
          <cell r="D1611" t="str">
            <v>INSTALACION DE TUBERIA PVC TIPO TDP Y/O CORRUGADA TIPO PEAD-HDPE - 90mm</v>
          </cell>
          <cell r="F1611" t="str">
            <v>ML</v>
          </cell>
          <cell r="G1611">
            <v>34.694117647058818</v>
          </cell>
          <cell r="H1611">
            <v>31239.000009014315</v>
          </cell>
          <cell r="I1611">
            <v>1083809.5414892142</v>
          </cell>
          <cell r="J1611">
            <v>1495657.1672551155</v>
          </cell>
        </row>
        <row r="1612">
          <cell r="D1612" t="str">
            <v>INSTALACION DE TUBERIA PVC TIPO TDP  Y/O CORRUGADA TIPO PEAD-HDPE - 200mm</v>
          </cell>
          <cell r="F1612" t="str">
            <v>ML</v>
          </cell>
          <cell r="G1612">
            <v>70.332352941176467</v>
          </cell>
          <cell r="H1612">
            <v>79900.999838665448</v>
          </cell>
          <cell r="I1612">
            <v>5619625.3210059023</v>
          </cell>
          <cell r="J1612">
            <v>7755082.9429881442</v>
          </cell>
        </row>
        <row r="1613">
          <cell r="C1613" t="str">
            <v>10.29.4</v>
          </cell>
          <cell r="D1613" t="str">
            <v xml:space="preserve">         COMPACTACION DE SELLO DE BASE WP30</v>
          </cell>
          <cell r="E1613" t="str">
            <v>2 días</v>
          </cell>
          <cell r="F1613">
            <v>0</v>
          </cell>
          <cell r="J1613">
            <v>320494616.71764702</v>
          </cell>
        </row>
        <row r="1614">
          <cell r="D1614" t="str">
            <v>RELLENO CON MATERIAL DE EXCAVACIÓN SELECCIONADO</v>
          </cell>
          <cell r="F1614" t="str">
            <v>m3</v>
          </cell>
          <cell r="G1614">
            <v>4530.6764705882351</v>
          </cell>
          <cell r="H1614">
            <v>51260</v>
          </cell>
          <cell r="I1614">
            <v>232242475.88235292</v>
          </cell>
          <cell r="J1614">
            <v>320494616.71764702</v>
          </cell>
        </row>
        <row r="1615">
          <cell r="C1615" t="str">
            <v>10.29.5</v>
          </cell>
          <cell r="D1615" t="str">
            <v xml:space="preserve">         SOLADO WP30</v>
          </cell>
          <cell r="E1615" t="str">
            <v>1 día</v>
          </cell>
          <cell r="F1615">
            <v>0</v>
          </cell>
          <cell r="J1615">
            <v>94303618.549411759</v>
          </cell>
        </row>
        <row r="1616">
          <cell r="D1616" t="str">
            <v>CONCRETO CLASE F (140 kg/cm2 Ó 2000 psi)</v>
          </cell>
          <cell r="F1616" t="str">
            <v>m3</v>
          </cell>
          <cell r="G1616">
            <v>43.941176470588232</v>
          </cell>
          <cell r="H1616">
            <v>1555169</v>
          </cell>
          <cell r="I1616">
            <v>68335955.470588237</v>
          </cell>
          <cell r="J1616">
            <v>94303618.549411759</v>
          </cell>
        </row>
        <row r="1617">
          <cell r="C1617" t="str">
            <v>10.29.6</v>
          </cell>
          <cell r="D1617" t="str">
            <v xml:space="preserve">         INSTALACIÓN DE PERNOS Y SOFT-SPOT WP30</v>
          </cell>
          <cell r="E1617" t="str">
            <v>5 días</v>
          </cell>
          <cell r="F1617">
            <v>0</v>
          </cell>
          <cell r="J1617">
            <v>179436034.15411764</v>
          </cell>
        </row>
        <row r="1618">
          <cell r="D1618" t="str">
            <v>S0FT-SPOT  (EPS) Tipo II (ASM C578)</v>
          </cell>
          <cell r="F1618" t="str">
            <v>m2</v>
          </cell>
          <cell r="G1618">
            <v>62.117647058823529</v>
          </cell>
          <cell r="H1618">
            <v>484846</v>
          </cell>
          <cell r="I1618">
            <v>30117492.705882352</v>
          </cell>
          <cell r="J1618">
            <v>41562139.934117645</v>
          </cell>
        </row>
        <row r="1619">
          <cell r="D1619" t="str">
            <v>MONTAJE Y NIVELACION DE LA JAULA DE ANCLAJES INCLUYE  LA PREPARACIÓN
 DEL ÁREA, LA NIVELACIÓN Y POSICIONAMIENTO DE LOS COMPONENTES (COMO PLANTILLAS Y VARILLAS), EL ENSAMBLAJE DE LA ESTRUCTURA, LA FIJACIÓN FINAL A LA CIMENTACIÓN CON PERNOS DE ANCLAJE, MONTAJE DE BRIDAS, TORQUE Y LIBERACIÓN DE LA CESTA, INCLUYE LA HERRAMIENTA Y EQUIPO DE INSTALACIÓN (peso estimado por jaula 13896  kg)</v>
          </cell>
          <cell r="F1619" t="str">
            <v>Und</v>
          </cell>
          <cell r="G1619">
            <v>1</v>
          </cell>
          <cell r="H1619">
            <v>99908619</v>
          </cell>
          <cell r="I1619">
            <v>99908619</v>
          </cell>
          <cell r="J1619">
            <v>137873894.22</v>
          </cell>
        </row>
        <row r="1620">
          <cell r="C1620" t="str">
            <v>10.29.7</v>
          </cell>
          <cell r="D1620" t="str">
            <v xml:space="preserve">         INSTALACIÓN DE ACERO DE REFUERZO WP30</v>
          </cell>
          <cell r="E1620" t="str">
            <v>14 días</v>
          </cell>
          <cell r="F1620">
            <v>0</v>
          </cell>
          <cell r="J1620">
            <v>1212623361.2117648</v>
          </cell>
        </row>
        <row r="1621">
          <cell r="D1621" t="str">
            <v>ACERO FY:  60000 psi (4.200 kg/cm2)</v>
          </cell>
          <cell r="F1621" t="str">
            <v>kg</v>
          </cell>
          <cell r="G1621">
            <v>68756.852941176476</v>
          </cell>
          <cell r="H1621">
            <v>12780</v>
          </cell>
          <cell r="I1621">
            <v>878712580.58823538</v>
          </cell>
          <cell r="J1621">
            <v>1212623361.2117648</v>
          </cell>
        </row>
        <row r="1622">
          <cell r="C1622" t="str">
            <v>10.29.8</v>
          </cell>
          <cell r="D1622" t="str">
            <v xml:space="preserve">         ENCOFRADO DE ZAPATA Y DE PEDESTAL WP30</v>
          </cell>
          <cell r="E1622" t="str">
            <v>3 días</v>
          </cell>
          <cell r="F1622">
            <v>0</v>
          </cell>
        </row>
        <row r="1623">
          <cell r="C1623" t="str">
            <v>10.29.9</v>
          </cell>
          <cell r="D1623" t="str">
            <v xml:space="preserve">         HITO: ALISTAMIENTO Y MOVILIZACIÓN DE PLANTA DE CONCRETO PARA WP30</v>
          </cell>
          <cell r="E1623" t="str">
            <v>0 días</v>
          </cell>
          <cell r="F1623">
            <v>0</v>
          </cell>
        </row>
        <row r="1624">
          <cell r="C1624" t="str">
            <v>10.29.10</v>
          </cell>
          <cell r="D1624" t="str">
            <v xml:space="preserve">         FUNDIDA WP30</v>
          </cell>
          <cell r="E1624" t="str">
            <v>1 día</v>
          </cell>
          <cell r="F1624">
            <v>0</v>
          </cell>
          <cell r="J1624">
            <v>1230815225.9452939</v>
          </cell>
        </row>
        <row r="1625">
          <cell r="D1625" t="str">
            <v>CONCRETO ESTRUCTURAL  35 MPa(350 kg/cm2 Ó 5000 psi)</v>
          </cell>
          <cell r="F1625" t="str">
            <v>m3</v>
          </cell>
          <cell r="G1625">
            <v>429.02941176470586</v>
          </cell>
          <cell r="H1625">
            <v>1926653</v>
          </cell>
          <cell r="I1625">
            <v>826590803.26470578</v>
          </cell>
          <cell r="J1625">
            <v>1140695308.5052938</v>
          </cell>
        </row>
        <row r="1626">
          <cell r="D1626" t="str">
            <v>CONCRETO ESTRUCTURAL  45 MPa(457 kg/cm2 Ó 6500psi)</v>
          </cell>
          <cell r="F1626" t="str">
            <v>m3</v>
          </cell>
          <cell r="G1626">
            <v>32</v>
          </cell>
          <cell r="H1626">
            <v>2040759</v>
          </cell>
          <cell r="I1626">
            <v>65304288</v>
          </cell>
          <cell r="J1626">
            <v>90119917.439999998</v>
          </cell>
        </row>
        <row r="1627">
          <cell r="C1627" t="str">
            <v>10.29.11</v>
          </cell>
          <cell r="D1627" t="str">
            <v xml:space="preserve">         CURADO DEL CONCRETO WP30</v>
          </cell>
          <cell r="E1627" t="str">
            <v>5 días</v>
          </cell>
          <cell r="F1627">
            <v>0</v>
          </cell>
        </row>
        <row r="1628">
          <cell r="C1628" t="str">
            <v>10.29.12</v>
          </cell>
          <cell r="D1628" t="str">
            <v xml:space="preserve">         INSTALACIONES ELECTRICAS Y SISTEMA PUESTA TIERRA WP30</v>
          </cell>
          <cell r="E1628" t="str">
            <v>2 días</v>
          </cell>
          <cell r="F1628">
            <v>0</v>
          </cell>
          <cell r="J1628">
            <v>52736347.43270281</v>
          </cell>
        </row>
        <row r="1629">
          <cell r="D1629" t="str">
            <v>ARQUETA EN HORMIGON PARA MEDIA TENSION - EMPALMES (500 MT)</v>
          </cell>
          <cell r="F1629" t="str">
            <v>Und</v>
          </cell>
          <cell r="G1629">
            <v>1</v>
          </cell>
          <cell r="H1629">
            <v>12275310.999985719</v>
          </cell>
          <cell r="I1629">
            <v>12275310.999985719</v>
          </cell>
          <cell r="J1629">
            <v>16939929.179980289</v>
          </cell>
        </row>
        <row r="1630">
          <cell r="D1630" t="str">
            <v>ARQUETA EN POLIPROPILENO</v>
          </cell>
          <cell r="F1630" t="str">
            <v>Und</v>
          </cell>
          <cell r="G1630">
            <v>1</v>
          </cell>
          <cell r="H1630">
            <v>6068599.9996856553</v>
          </cell>
          <cell r="I1630">
            <v>6068599.9996856553</v>
          </cell>
          <cell r="J1630">
            <v>8374667.9995662039</v>
          </cell>
        </row>
        <row r="1631">
          <cell r="D1631" t="str">
            <v>SUMINISTRO E INSTALACIÓN DE PLATINA</v>
          </cell>
          <cell r="F1631" t="str">
            <v>Und</v>
          </cell>
          <cell r="G1631">
            <v>1</v>
          </cell>
          <cell r="H1631">
            <v>361570</v>
          </cell>
          <cell r="I1631">
            <v>361570</v>
          </cell>
          <cell r="J1631">
            <v>498966.6</v>
          </cell>
        </row>
        <row r="1632">
          <cell r="D1632" t="str">
            <v>SUMINISTRO E INSTALACIÓN DE VARILLA</v>
          </cell>
          <cell r="F1632" t="str">
            <v>Und</v>
          </cell>
          <cell r="G1632">
            <v>1</v>
          </cell>
          <cell r="H1632">
            <v>398933</v>
          </cell>
          <cell r="I1632">
            <v>398933</v>
          </cell>
          <cell r="J1632">
            <v>550527.53999999992</v>
          </cell>
        </row>
        <row r="1633">
          <cell r="D1633" t="str">
            <v>SUMINISTRO E INSTALACIÓN DE ARQUETA PARA INSPECCIÓN DE PICAS EN PUESTA A TIERRA SIN FONDO</v>
          </cell>
          <cell r="F1633" t="str">
            <v>Und</v>
          </cell>
          <cell r="G1633">
            <v>1</v>
          </cell>
          <cell r="H1633">
            <v>14275700</v>
          </cell>
          <cell r="I1633">
            <v>14275700</v>
          </cell>
          <cell r="J1633">
            <v>19700466</v>
          </cell>
        </row>
        <row r="1634">
          <cell r="D1634" t="str">
            <v>SUMINISTRO E INSTALACIÓN DE SOLDADURA EXOTERMICA</v>
          </cell>
          <cell r="F1634" t="str">
            <v>Und</v>
          </cell>
          <cell r="G1634">
            <v>2.8000000000000003</v>
          </cell>
          <cell r="H1634">
            <v>185231</v>
          </cell>
          <cell r="I1634">
            <v>518646.80000000005</v>
          </cell>
          <cell r="J1634">
            <v>715732.58400000003</v>
          </cell>
        </row>
        <row r="1635">
          <cell r="D1635" t="str">
            <v>SUMINISTRO E INSTALACIÓN DE GRAPA DE ALEACIÓN RICA EN COBRE (LATÓN) MODELO KZ</v>
          </cell>
          <cell r="F1635" t="str">
            <v>Und</v>
          </cell>
          <cell r="G1635">
            <v>1</v>
          </cell>
          <cell r="H1635">
            <v>292083</v>
          </cell>
          <cell r="I1635">
            <v>292083</v>
          </cell>
          <cell r="J1635">
            <v>403074.54</v>
          </cell>
        </row>
        <row r="1636">
          <cell r="D1636" t="str">
            <v>SUMINISTRO E INSTALACIÓN DE GRAPA DE ALEACIÓN RICA EN COBRE (LATÓN) MODELO KPD</v>
          </cell>
          <cell r="F1636" t="str">
            <v>Und</v>
          </cell>
          <cell r="G1636">
            <v>0.99393939393939412</v>
          </cell>
          <cell r="H1636">
            <v>292083</v>
          </cell>
          <cell r="I1636">
            <v>290312.80000000005</v>
          </cell>
          <cell r="J1636">
            <v>400631.66400000005</v>
          </cell>
        </row>
        <row r="1637">
          <cell r="D1637" t="str">
            <v xml:space="preserve">INSTALACIÓN DE CABLE DE COBRE TRENZADO DESNUDO DE 50 mm2 </v>
          </cell>
          <cell r="F1637" t="str">
            <v>ML</v>
          </cell>
          <cell r="G1637">
            <v>113.1390243902439</v>
          </cell>
          <cell r="H1637">
            <v>33000.000989065411</v>
          </cell>
          <cell r="I1637">
            <v>3733587.9167799447</v>
          </cell>
          <cell r="J1637">
            <v>5152351.3251563236</v>
          </cell>
        </row>
        <row r="1638">
          <cell r="C1638" t="str">
            <v>10.29.13</v>
          </cell>
          <cell r="D1638" t="str">
            <v xml:space="preserve">         INSTALACION DE GROUT Y MORTERO AUTOCOMPACTANTE DE ALTA RESISTENCIA WP30</v>
          </cell>
          <cell r="E1638" t="str">
            <v>2 días</v>
          </cell>
          <cell r="F1638">
            <v>0</v>
          </cell>
          <cell r="J1638">
            <v>46410609.014634147</v>
          </cell>
        </row>
        <row r="1639">
          <cell r="D1639" t="str">
            <v>GROUT Y  MORTERO AUTOCOMPACTANTE DE ALTA RESISTENCIA C80/95 (EN206-1)</v>
          </cell>
          <cell r="F1639" t="str">
            <v>lt</v>
          </cell>
          <cell r="G1639">
            <v>530.73170731707319</v>
          </cell>
          <cell r="H1639">
            <v>63367</v>
          </cell>
          <cell r="I1639">
            <v>33630876.097560979</v>
          </cell>
          <cell r="J1639">
            <v>46410609.014634147</v>
          </cell>
        </row>
        <row r="1640">
          <cell r="C1640" t="str">
            <v>10.29.14</v>
          </cell>
          <cell r="D1640" t="str">
            <v xml:space="preserve">         TAPADO AREA DE CIMENTACIÓN Y CONFORMACIÓN DE PLATAFORMA WP30</v>
          </cell>
          <cell r="E1640" t="str">
            <v>7 días</v>
          </cell>
          <cell r="F1640">
            <v>0</v>
          </cell>
          <cell r="J1640">
            <v>1587346329.5488234</v>
          </cell>
        </row>
        <row r="1641">
          <cell r="D1641" t="str">
            <v>MATERIAL SELECIONADA PARA  FORMACIÓN Y COMPACTACIÓN DE TERRAPLENES Y RELLENO ESTRUCTURAL  (INCLUYE TRANSPORTE DESDE LAS CANTERAS LICENCIADAS HASTA EL SITIO DE INSTALACIÓN)</v>
          </cell>
          <cell r="F1641" t="str">
            <v>m3</v>
          </cell>
          <cell r="G1641">
            <v>5388.7058823529414</v>
          </cell>
          <cell r="H1641">
            <v>174890</v>
          </cell>
          <cell r="I1641">
            <v>942430771.7647059</v>
          </cell>
          <cell r="J1641">
            <v>1300554465.0352941</v>
          </cell>
        </row>
        <row r="1642">
          <cell r="D1642" t="str">
            <v>PREPARACIÓN DE SUBRASANTE COMPACTACIÓN Y VALORACIÓN DE LA CAPA DE SUBRASANTE DE LOS VIALES. INCLUYENDO LAS PRUEBAS SEGÚN LO PRESCRITO.</v>
          </cell>
          <cell r="F1642" t="str">
            <v>m2</v>
          </cell>
          <cell r="G1642">
            <v>631.61764705882354</v>
          </cell>
          <cell r="H1642">
            <v>11537</v>
          </cell>
          <cell r="I1642">
            <v>7286972.7941176472</v>
          </cell>
          <cell r="J1642">
            <v>10056022.455882352</v>
          </cell>
        </row>
        <row r="1643">
          <cell r="D1643" t="str">
            <v>SUBBASE GRANULAR  (INCLUYE TRANSPORTE DESDE LAS CANTERAS LICENCIADAS HASTA EL SITIO DE INSTALACIÓN)</v>
          </cell>
          <cell r="F1643" t="str">
            <v>m3</v>
          </cell>
          <cell r="G1643">
            <v>880.85294117647061</v>
          </cell>
          <cell r="H1643">
            <v>227658</v>
          </cell>
          <cell r="I1643">
            <v>200533218.88235295</v>
          </cell>
          <cell r="J1643">
            <v>276735842.05764705</v>
          </cell>
        </row>
        <row r="1644">
          <cell r="C1644" t="str">
            <v>10.29.15</v>
          </cell>
          <cell r="D1644" t="str">
            <v xml:space="preserve">         ESTABILIZACIÓN DE TALUDES EN PLATAFORMA Y RECONFORMACION FINAL WP30</v>
          </cell>
          <cell r="E1644" t="str">
            <v>7 días</v>
          </cell>
          <cell r="F1644">
            <v>0</v>
          </cell>
          <cell r="J1644">
            <v>179532477.23999998</v>
          </cell>
        </row>
        <row r="1645">
          <cell r="D1645" t="str">
            <v>BASE GRANULAR   (INCLUYE TRANSPORTE DESDE LAS CANTERAS LICENCIADAS HASTA EL SITIO DE INSTALACIÓN)</v>
          </cell>
          <cell r="F1645" t="str">
            <v>m3</v>
          </cell>
          <cell r="G1645">
            <v>237.64705882352942</v>
          </cell>
          <cell r="H1645">
            <v>265112</v>
          </cell>
          <cell r="I1645">
            <v>63003087.058823533</v>
          </cell>
          <cell r="J1645">
            <v>86944260.141176462</v>
          </cell>
        </row>
        <row r="1646">
          <cell r="D1646" t="str">
            <v xml:space="preserve">ENROCADO PROTECCIÓN TALUD PLATAFORMAS PROTECCIÓN CON ENROCADO DE PIEDRA DEL TALUD DE LAS PLATAFORMAS EN TERRAPLÉN CON 30 CM DE PIEDRA DE 6-10 CM DE DIÁMETRO, PESO ESPECÍFICO DE LAS PIEDRAS DE 2,64  G/CM3  (INCLUYE TRANSPORTE DESDE LAS CANTERAS LICENCIADAS HASTA EL SITIO DE INSTALACIÓN) </v>
          </cell>
          <cell r="F1646" t="str">
            <v>m3</v>
          </cell>
          <cell r="G1646">
            <v>42.352941176470587</v>
          </cell>
          <cell r="H1646">
            <v>276393</v>
          </cell>
          <cell r="I1646">
            <v>11706056.470588235</v>
          </cell>
          <cell r="J1646">
            <v>16154357.929411763</v>
          </cell>
        </row>
        <row r="1647">
          <cell r="D1647" t="str">
            <v xml:space="preserve">ENROCADO PROTECCIÓN TALUD CIMENTACION PROTECCIÓN CON ENROCADO DE PIEDRA DEL TALUD DE LAS CIMENTACIONES EN TERRAPLÉN CON 30 CM DE PIEDRA DE 6-10 CM DE DIÁMETRO, PESO ESPECÍFICO DE LAS PIEDRAS DE 2,64 G/CM3   (INCLUYE TRANSPORTE DESDE LAS CANTERAS LICENCIADAS HASTA EL SITIO DE INSTALACIÓN) </v>
          </cell>
          <cell r="F1647" t="str">
            <v>m3</v>
          </cell>
          <cell r="G1647">
            <v>25.529411764705884</v>
          </cell>
          <cell r="H1647">
            <v>286818</v>
          </cell>
          <cell r="I1647">
            <v>7322294.823529412</v>
          </cell>
          <cell r="J1647">
            <v>10104766.856470589</v>
          </cell>
        </row>
        <row r="1648">
          <cell r="D1648" t="str">
            <v>SUMINISTRO E INSTALACIÓN DE GEOTEXTILES</v>
          </cell>
          <cell r="F1648" t="str">
            <v>m2</v>
          </cell>
          <cell r="G1648">
            <v>887.17647058823525</v>
          </cell>
          <cell r="H1648">
            <v>54177</v>
          </cell>
          <cell r="I1648">
            <v>48064559.647058822</v>
          </cell>
          <cell r="J1648">
            <v>66329092.312941171</v>
          </cell>
        </row>
        <row r="1649">
          <cell r="C1649" t="str">
            <v>10.29.16</v>
          </cell>
          <cell r="D1649" t="str">
            <v xml:space="preserve">         HITO: FINALIZACION DE ACTIVIDADES EN CIMENTACION WP30</v>
          </cell>
          <cell r="E1649" t="str">
            <v>0 días</v>
          </cell>
          <cell r="F1649">
            <v>0</v>
          </cell>
        </row>
        <row r="1650">
          <cell r="C1650" t="str">
            <v>10.30</v>
          </cell>
          <cell r="D1650" t="str">
            <v xml:space="preserve">      CIMENTACION WP31</v>
          </cell>
          <cell r="E1650" t="str">
            <v>60 días</v>
          </cell>
          <cell r="F1650">
            <v>0</v>
          </cell>
        </row>
        <row r="1651">
          <cell r="C1651" t="str">
            <v>10.30.1</v>
          </cell>
          <cell r="D1651" t="str">
            <v xml:space="preserve">         DESBROCE DE AREA DE ACOPIO DE TORRE Y DE PALAS WP31</v>
          </cell>
          <cell r="E1651" t="str">
            <v>8 días</v>
          </cell>
          <cell r="F1651">
            <v>0</v>
          </cell>
          <cell r="J1651">
            <v>83271780.884117648</v>
          </cell>
        </row>
        <row r="1652">
          <cell r="D1652" t="str">
            <v>DESBROCE Y LIMPIEZA</v>
          </cell>
          <cell r="F1652" t="str">
            <v>m2</v>
          </cell>
          <cell r="G1652">
            <v>4799.0294117647063</v>
          </cell>
          <cell r="H1652">
            <v>4140</v>
          </cell>
          <cell r="I1652">
            <v>19867981.764705885</v>
          </cell>
          <cell r="J1652">
            <v>27417814.83529412</v>
          </cell>
        </row>
        <row r="1653">
          <cell r="D1653" t="str">
            <v>SUMINISTRO DE COMISION TOPOGRAFICA
 (incluyede GPS, Estación Total, tránsitos, distanciómetros, niveles de precisión, miras, prismas, jalones, plomadas, cintas métricas, etc., un cadenero primero , un cadenero segundo, ingeniero topógrafo/topógrafo con matricula vigente, insumos para ralizar la actividad, licencias de software utilizado para la ejecución de los trabajos, movilización de personal equipos y entregables en archivos magnéticos)</v>
          </cell>
          <cell r="F1653" t="str">
            <v>Mes</v>
          </cell>
          <cell r="G1653">
            <v>0.2</v>
          </cell>
          <cell r="H1653">
            <v>31500000</v>
          </cell>
          <cell r="I1653">
            <v>6300000</v>
          </cell>
          <cell r="J1653">
            <v>8694000</v>
          </cell>
        </row>
        <row r="1654">
          <cell r="D1654" t="str">
            <v>DESMONTE, DESCAPOTE Y LIMPIEZA INCLUYE  TALA DE ARBOLES CON DAP ≤0.15M, TRANSPORTE Y DISPOSICIÓN FINAL</v>
          </cell>
          <cell r="F1654" t="str">
            <v>m2</v>
          </cell>
          <cell r="G1654">
            <v>4799.0294117647063</v>
          </cell>
          <cell r="H1654">
            <v>7121</v>
          </cell>
          <cell r="I1654">
            <v>34173888.441176474</v>
          </cell>
          <cell r="J1654">
            <v>47159966.048823528</v>
          </cell>
        </row>
        <row r="1655">
          <cell r="C1655" t="str">
            <v>10.30.2</v>
          </cell>
          <cell r="D1655" t="str">
            <v xml:space="preserve">         EXCAVACIÓN DE CIMENTACION WP31</v>
          </cell>
          <cell r="E1655" t="str">
            <v>7 días</v>
          </cell>
          <cell r="F1655">
            <v>0</v>
          </cell>
          <cell r="J1655">
            <v>312374505.66882348</v>
          </cell>
        </row>
        <row r="1656">
          <cell r="D1656" t="str">
            <v>EXCAVACIÓN MECÁNICA EN MATERIAL COMÚN</v>
          </cell>
          <cell r="F1656" t="str">
            <v>m3</v>
          </cell>
          <cell r="G1656">
            <v>4799.0294117647063</v>
          </cell>
          <cell r="H1656">
            <v>35495</v>
          </cell>
          <cell r="I1656">
            <v>170341548.97058824</v>
          </cell>
          <cell r="J1656">
            <v>235071337.57941175</v>
          </cell>
        </row>
        <row r="1657">
          <cell r="D1657" t="str">
            <v>EXCAVACIÓN EN ROCA</v>
          </cell>
          <cell r="F1657" t="str">
            <v>m3</v>
          </cell>
          <cell r="G1657">
            <v>414.35294117647061</v>
          </cell>
          <cell r="H1657">
            <v>135191</v>
          </cell>
          <cell r="I1657">
            <v>56016788.470588237</v>
          </cell>
          <cell r="J1657">
            <v>77303168.089411765</v>
          </cell>
        </row>
        <row r="1658">
          <cell r="C1658" t="str">
            <v>10.30.3</v>
          </cell>
          <cell r="D1658" t="str">
            <v xml:space="preserve">         BANCO DE DUCTO WP31</v>
          </cell>
          <cell r="E1658" t="str">
            <v>3 días</v>
          </cell>
          <cell r="F1658">
            <v>0</v>
          </cell>
          <cell r="J1658">
            <v>9527825.6870364472</v>
          </cell>
        </row>
        <row r="1659">
          <cell r="D1659" t="str">
            <v>INSTALACION DE TUBERIA PVC TIPO TDP Y/O CORRUGADA TIPO PEAD-HDPE  - 50mm</v>
          </cell>
          <cell r="F1659" t="str">
            <v>ML</v>
          </cell>
          <cell r="G1659">
            <v>7.2352941176470589</v>
          </cell>
          <cell r="H1659">
            <v>27751.000385791169</v>
          </cell>
          <cell r="I1659">
            <v>200786.64985013611</v>
          </cell>
          <cell r="J1659">
            <v>277085.57679318782</v>
          </cell>
        </row>
        <row r="1660">
          <cell r="D1660" t="str">
            <v>INSTALACION DE TUBERIA PVC TIPO TDP Y/O CORRUGADA TIPO PEAD-HDPE - 90mm</v>
          </cell>
          <cell r="F1660" t="str">
            <v>ML</v>
          </cell>
          <cell r="G1660">
            <v>34.694117647058818</v>
          </cell>
          <cell r="H1660">
            <v>31239.000009014315</v>
          </cell>
          <cell r="I1660">
            <v>1083809.5414892142</v>
          </cell>
          <cell r="J1660">
            <v>1495657.1672551155</v>
          </cell>
        </row>
        <row r="1661">
          <cell r="D1661" t="str">
            <v>INSTALACION DE TUBERIA PVC TIPO TDP  Y/O CORRUGADA TIPO PEAD-HDPE - 200mm</v>
          </cell>
          <cell r="F1661" t="str">
            <v>ML</v>
          </cell>
          <cell r="G1661">
            <v>70.332352941176467</v>
          </cell>
          <cell r="H1661">
            <v>79900.999838665448</v>
          </cell>
          <cell r="I1661">
            <v>5619625.3210059023</v>
          </cell>
          <cell r="J1661">
            <v>7755082.9429881442</v>
          </cell>
        </row>
        <row r="1662">
          <cell r="C1662" t="str">
            <v>10.30.4</v>
          </cell>
          <cell r="D1662" t="str">
            <v xml:space="preserve">         COMPACTACION DE SELLO DE BASE WP31</v>
          </cell>
          <cell r="E1662" t="str">
            <v>2 días</v>
          </cell>
          <cell r="F1662">
            <v>0</v>
          </cell>
          <cell r="J1662">
            <v>320494616.71764702</v>
          </cell>
        </row>
        <row r="1663">
          <cell r="D1663" t="str">
            <v>RELLENO CON MATERIAL DE EXCAVACIÓN SELECCIONADO</v>
          </cell>
          <cell r="F1663" t="str">
            <v>m3</v>
          </cell>
          <cell r="G1663">
            <v>4530.6764705882351</v>
          </cell>
          <cell r="H1663">
            <v>51260</v>
          </cell>
          <cell r="I1663">
            <v>232242475.88235292</v>
          </cell>
          <cell r="J1663">
            <v>320494616.71764702</v>
          </cell>
        </row>
        <row r="1664">
          <cell r="C1664" t="str">
            <v>10.30.5</v>
          </cell>
          <cell r="D1664" t="str">
            <v xml:space="preserve">         SOLADO WP31</v>
          </cell>
          <cell r="E1664" t="str">
            <v>1 día</v>
          </cell>
          <cell r="F1664">
            <v>0</v>
          </cell>
          <cell r="J1664">
            <v>94303618.549411759</v>
          </cell>
        </row>
        <row r="1665">
          <cell r="D1665" t="str">
            <v>CONCRETO CLASE F (140 kg/cm2 Ó 2000 psi)</v>
          </cell>
          <cell r="F1665" t="str">
            <v>m3</v>
          </cell>
          <cell r="G1665">
            <v>43.941176470588232</v>
          </cell>
          <cell r="H1665">
            <v>1555169</v>
          </cell>
          <cell r="I1665">
            <v>68335955.470588237</v>
          </cell>
          <cell r="J1665">
            <v>94303618.549411759</v>
          </cell>
        </row>
        <row r="1666">
          <cell r="C1666" t="str">
            <v>10.30.6</v>
          </cell>
          <cell r="D1666" t="str">
            <v xml:space="preserve">         INSTALACIÓN DE PERNOS Y SOFT-SPOT WP31</v>
          </cell>
          <cell r="E1666" t="str">
            <v>5 días</v>
          </cell>
          <cell r="F1666">
            <v>0</v>
          </cell>
          <cell r="J1666">
            <v>179436034.15411764</v>
          </cell>
        </row>
        <row r="1667">
          <cell r="D1667" t="str">
            <v>S0FT-SPOT  (EPS) Tipo II (ASM C578)</v>
          </cell>
          <cell r="F1667" t="str">
            <v>m2</v>
          </cell>
          <cell r="G1667">
            <v>62.117647058823529</v>
          </cell>
          <cell r="H1667">
            <v>484846</v>
          </cell>
          <cell r="I1667">
            <v>30117492.705882352</v>
          </cell>
          <cell r="J1667">
            <v>41562139.934117645</v>
          </cell>
        </row>
        <row r="1668">
          <cell r="D1668" t="str">
            <v>MONTAJE Y NIVELACION DE LA JAULA DE ANCLAJES INCLUYE  LA PREPARACIÓN
 DEL ÁREA, LA NIVELACIÓN Y POSICIONAMIENTO DE LOS COMPONENTES (COMO PLANTILLAS Y VARILLAS), EL ENSAMBLAJE DE LA ESTRUCTURA, LA FIJACIÓN FINAL A LA CIMENTACIÓN CON PERNOS DE ANCLAJE, MONTAJE DE BRIDAS, TORQUE Y LIBERACIÓN DE LA CESTA, INCLUYE LA HERRAMIENTA Y EQUIPO DE INSTALACIÓN (peso estimado por jaula 13896  kg)</v>
          </cell>
          <cell r="F1668" t="str">
            <v>Und</v>
          </cell>
          <cell r="G1668">
            <v>1</v>
          </cell>
          <cell r="H1668">
            <v>99908619</v>
          </cell>
          <cell r="I1668">
            <v>99908619</v>
          </cell>
          <cell r="J1668">
            <v>137873894.22</v>
          </cell>
        </row>
        <row r="1669">
          <cell r="C1669" t="str">
            <v>10.30.7</v>
          </cell>
          <cell r="D1669" t="str">
            <v xml:space="preserve">         INSTALACIÓN DE ACERO DE REFUERZO WP31</v>
          </cell>
          <cell r="E1669" t="str">
            <v>14 días</v>
          </cell>
          <cell r="F1669">
            <v>0</v>
          </cell>
          <cell r="J1669">
            <v>1212623361.2117648</v>
          </cell>
        </row>
        <row r="1670">
          <cell r="D1670" t="str">
            <v>ACERO FY:  60000 psi (4.200 kg/cm2)</v>
          </cell>
          <cell r="F1670" t="str">
            <v>kg</v>
          </cell>
          <cell r="G1670">
            <v>68756.852941176476</v>
          </cell>
          <cell r="H1670">
            <v>12780</v>
          </cell>
          <cell r="I1670">
            <v>878712580.58823538</v>
          </cell>
          <cell r="J1670">
            <v>1212623361.2117648</v>
          </cell>
        </row>
        <row r="1671">
          <cell r="C1671" t="str">
            <v>10.30.8</v>
          </cell>
          <cell r="D1671" t="str">
            <v xml:space="preserve">         ENCOFRADO DE ZAPATA Y DE PEDESTAL WP31</v>
          </cell>
          <cell r="E1671" t="str">
            <v>3 días</v>
          </cell>
          <cell r="F1671">
            <v>0</v>
          </cell>
        </row>
        <row r="1672">
          <cell r="C1672" t="str">
            <v>10.30.9</v>
          </cell>
          <cell r="D1672" t="str">
            <v xml:space="preserve">         HITO: ALISTAMIENTO Y MOVILIZACIÓN DE PLANTA DE CONCRETO PARA WP31</v>
          </cell>
          <cell r="E1672" t="str">
            <v>0 días</v>
          </cell>
          <cell r="F1672">
            <v>0</v>
          </cell>
        </row>
        <row r="1673">
          <cell r="C1673" t="str">
            <v>10.30.10</v>
          </cell>
          <cell r="D1673" t="str">
            <v xml:space="preserve">         FUNDIDA WP31</v>
          </cell>
          <cell r="E1673" t="str">
            <v>1 día</v>
          </cell>
          <cell r="F1673">
            <v>0</v>
          </cell>
          <cell r="J1673">
            <v>1230815225.9452939</v>
          </cell>
        </row>
        <row r="1674">
          <cell r="D1674" t="str">
            <v>CONCRETO ESTRUCTURAL  35 MPa(350 kg/cm2 Ó 5000 psi)</v>
          </cell>
          <cell r="F1674" t="str">
            <v>m3</v>
          </cell>
          <cell r="G1674">
            <v>429.02941176470586</v>
          </cell>
          <cell r="H1674">
            <v>1926653</v>
          </cell>
          <cell r="I1674">
            <v>826590803.26470578</v>
          </cell>
          <cell r="J1674">
            <v>1140695308.5052938</v>
          </cell>
        </row>
        <row r="1675">
          <cell r="D1675" t="str">
            <v>CONCRETO ESTRUCTURAL  45 MPa(457 kg/cm2 Ó 6500psi)</v>
          </cell>
          <cell r="F1675" t="str">
            <v>m3</v>
          </cell>
          <cell r="G1675">
            <v>32</v>
          </cell>
          <cell r="H1675">
            <v>2040759</v>
          </cell>
          <cell r="I1675">
            <v>65304288</v>
          </cell>
          <cell r="J1675">
            <v>90119917.439999998</v>
          </cell>
        </row>
        <row r="1676">
          <cell r="C1676" t="str">
            <v>10.30.11</v>
          </cell>
          <cell r="D1676" t="str">
            <v xml:space="preserve">         CURADO DEL CONCRETO WP31</v>
          </cell>
          <cell r="E1676" t="str">
            <v>5 días</v>
          </cell>
          <cell r="F1676">
            <v>0</v>
          </cell>
        </row>
        <row r="1677">
          <cell r="C1677" t="str">
            <v>10.30.12</v>
          </cell>
          <cell r="D1677" t="str">
            <v xml:space="preserve">         INSTALACIONES ELECTRICAS Y SISTEMA PUESTA TIERRA WP31</v>
          </cell>
          <cell r="E1677" t="str">
            <v>2 días</v>
          </cell>
          <cell r="F1677">
            <v>0</v>
          </cell>
          <cell r="J1677">
            <v>52736347.43270281</v>
          </cell>
        </row>
        <row r="1678">
          <cell r="D1678" t="str">
            <v>ARQUETA EN HORMIGON PARA MEDIA TENSION - EMPALMES (500 MT)</v>
          </cell>
          <cell r="F1678" t="str">
            <v>Und</v>
          </cell>
          <cell r="G1678">
            <v>1</v>
          </cell>
          <cell r="H1678">
            <v>12275310.999985719</v>
          </cell>
          <cell r="I1678">
            <v>12275310.999985719</v>
          </cell>
          <cell r="J1678">
            <v>16939929.179980289</v>
          </cell>
        </row>
        <row r="1679">
          <cell r="D1679" t="str">
            <v>ARQUETA EN POLIPROPILENO</v>
          </cell>
          <cell r="F1679" t="str">
            <v>Und</v>
          </cell>
          <cell r="G1679">
            <v>1</v>
          </cell>
          <cell r="H1679">
            <v>6068599.9996856553</v>
          </cell>
          <cell r="I1679">
            <v>6068599.9996856553</v>
          </cell>
          <cell r="J1679">
            <v>8374667.9995662039</v>
          </cell>
        </row>
        <row r="1680">
          <cell r="D1680" t="str">
            <v>SUMINISTRO E INSTALACIÓN DE PLATINA</v>
          </cell>
          <cell r="F1680" t="str">
            <v>Und</v>
          </cell>
          <cell r="G1680">
            <v>1</v>
          </cell>
          <cell r="H1680">
            <v>361570</v>
          </cell>
          <cell r="I1680">
            <v>361570</v>
          </cell>
          <cell r="J1680">
            <v>498966.6</v>
          </cell>
        </row>
        <row r="1681">
          <cell r="D1681" t="str">
            <v>SUMINISTRO E INSTALACIÓN DE VARILLA</v>
          </cell>
          <cell r="F1681" t="str">
            <v>Und</v>
          </cell>
          <cell r="G1681">
            <v>1</v>
          </cell>
          <cell r="H1681">
            <v>398933</v>
          </cell>
          <cell r="I1681">
            <v>398933</v>
          </cell>
          <cell r="J1681">
            <v>550527.53999999992</v>
          </cell>
        </row>
        <row r="1682">
          <cell r="D1682" t="str">
            <v>SUMINISTRO E INSTALACIÓN DE ARQUETA PARA INSPECCIÓN DE PICAS EN PUESTA A TIERRA SIN FONDO</v>
          </cell>
          <cell r="F1682" t="str">
            <v>Und</v>
          </cell>
          <cell r="G1682">
            <v>1</v>
          </cell>
          <cell r="H1682">
            <v>14275700</v>
          </cell>
          <cell r="I1682">
            <v>14275700</v>
          </cell>
          <cell r="J1682">
            <v>19700466</v>
          </cell>
        </row>
        <row r="1683">
          <cell r="D1683" t="str">
            <v>SUMINISTRO E INSTALACIÓN DE SOLDADURA EXOTERMICA</v>
          </cell>
          <cell r="F1683" t="str">
            <v>Und</v>
          </cell>
          <cell r="G1683">
            <v>2.8000000000000003</v>
          </cell>
          <cell r="H1683">
            <v>185231</v>
          </cell>
          <cell r="I1683">
            <v>518646.80000000005</v>
          </cell>
          <cell r="J1683">
            <v>715732.58400000003</v>
          </cell>
        </row>
        <row r="1684">
          <cell r="D1684" t="str">
            <v>SUMINISTRO E INSTALACIÓN DE GRAPA DE ALEACIÓN RICA EN COBRE (LATÓN) MODELO KZ</v>
          </cell>
          <cell r="F1684" t="str">
            <v>Und</v>
          </cell>
          <cell r="G1684">
            <v>1</v>
          </cell>
          <cell r="H1684">
            <v>292083</v>
          </cell>
          <cell r="I1684">
            <v>292083</v>
          </cell>
          <cell r="J1684">
            <v>403074.54</v>
          </cell>
        </row>
        <row r="1685">
          <cell r="D1685" t="str">
            <v>SUMINISTRO E INSTALACIÓN DE GRAPA DE ALEACIÓN RICA EN COBRE (LATÓN) MODELO KPD</v>
          </cell>
          <cell r="F1685" t="str">
            <v>Und</v>
          </cell>
          <cell r="G1685">
            <v>0.99393939393939412</v>
          </cell>
          <cell r="H1685">
            <v>292083</v>
          </cell>
          <cell r="I1685">
            <v>290312.80000000005</v>
          </cell>
          <cell r="J1685">
            <v>400631.66400000005</v>
          </cell>
        </row>
        <row r="1686">
          <cell r="D1686" t="str">
            <v xml:space="preserve">INSTALACIÓN DE CABLE DE COBRE TRENZADO DESNUDO DE 50 mm2 </v>
          </cell>
          <cell r="F1686" t="str">
            <v>ML</v>
          </cell>
          <cell r="G1686">
            <v>113.1390243902439</v>
          </cell>
          <cell r="H1686">
            <v>33000.000989065411</v>
          </cell>
          <cell r="I1686">
            <v>3733587.9167799447</v>
          </cell>
          <cell r="J1686">
            <v>5152351.3251563236</v>
          </cell>
        </row>
        <row r="1687">
          <cell r="C1687" t="str">
            <v>10.30.13</v>
          </cell>
          <cell r="D1687" t="str">
            <v xml:space="preserve">         INSTALACION DE GROUT Y MORTERO AUTOCOMPACTANTE DE ALTA RESISTENCIA WP31</v>
          </cell>
          <cell r="E1687" t="str">
            <v>2 días</v>
          </cell>
          <cell r="F1687">
            <v>0</v>
          </cell>
          <cell r="J1687">
            <v>46410609.014634147</v>
          </cell>
        </row>
        <row r="1688">
          <cell r="D1688" t="str">
            <v>GROUT Y  MORTERO AUTOCOMPACTANTE DE ALTA RESISTENCIA C80/95 (EN206-1)</v>
          </cell>
          <cell r="F1688" t="str">
            <v>lt</v>
          </cell>
          <cell r="G1688">
            <v>530.73170731707319</v>
          </cell>
          <cell r="H1688">
            <v>63367</v>
          </cell>
          <cell r="I1688">
            <v>33630876.097560979</v>
          </cell>
          <cell r="J1688">
            <v>46410609.014634147</v>
          </cell>
        </row>
        <row r="1689">
          <cell r="C1689" t="str">
            <v>10.30.14</v>
          </cell>
          <cell r="D1689" t="str">
            <v xml:space="preserve">         TAPADO AREA DE CIMENTACIÓN Y CONFORMACIÓN DE PLATAFORMA WP31</v>
          </cell>
          <cell r="E1689" t="str">
            <v>7 días</v>
          </cell>
          <cell r="F1689">
            <v>0</v>
          </cell>
          <cell r="J1689">
            <v>1587346329.5488234</v>
          </cell>
        </row>
        <row r="1690">
          <cell r="D1690" t="str">
            <v>MATERIAL SELECIONADA PARA  FORMACIÓN Y COMPACTACIÓN DE TERRAPLENES Y RELLENO ESTRUCTURAL  (INCLUYE TRANSPORTE DESDE LAS CANTERAS LICENCIADAS HASTA EL SITIO DE INSTALACIÓN)</v>
          </cell>
          <cell r="F1690" t="str">
            <v>m3</v>
          </cell>
          <cell r="G1690">
            <v>5388.7058823529414</v>
          </cell>
          <cell r="H1690">
            <v>174890</v>
          </cell>
          <cell r="I1690">
            <v>942430771.7647059</v>
          </cell>
          <cell r="J1690">
            <v>1300554465.0352941</v>
          </cell>
        </row>
        <row r="1691">
          <cell r="D1691" t="str">
            <v>PREPARACIÓN DE SUBRASANTE COMPACTACIÓN Y VALORACIÓN DE LA CAPA DE SUBRASANTE DE LOS VIALES. INCLUYENDO LAS PRUEBAS SEGÚN LO PRESCRITO.</v>
          </cell>
          <cell r="F1691" t="str">
            <v>m2</v>
          </cell>
          <cell r="G1691">
            <v>631.61764705882354</v>
          </cell>
          <cell r="H1691">
            <v>11537</v>
          </cell>
          <cell r="I1691">
            <v>7286972.7941176472</v>
          </cell>
          <cell r="J1691">
            <v>10056022.455882352</v>
          </cell>
        </row>
        <row r="1692">
          <cell r="D1692" t="str">
            <v>SUBBASE GRANULAR  (INCLUYE TRANSPORTE DESDE LAS CANTERAS LICENCIADAS HASTA EL SITIO DE INSTALACIÓN)</v>
          </cell>
          <cell r="F1692" t="str">
            <v>m3</v>
          </cell>
          <cell r="G1692">
            <v>880.85294117647061</v>
          </cell>
          <cell r="H1692">
            <v>227658</v>
          </cell>
          <cell r="I1692">
            <v>200533218.88235295</v>
          </cell>
          <cell r="J1692">
            <v>276735842.05764705</v>
          </cell>
        </row>
        <row r="1693">
          <cell r="C1693" t="str">
            <v>10.30.15</v>
          </cell>
          <cell r="D1693" t="str">
            <v xml:space="preserve">         ESTABILIZACIÓN DE TALUDES EN PLATAFORMA Y RECONFORMACION FINAL WP31</v>
          </cell>
          <cell r="E1693" t="str">
            <v>7 días</v>
          </cell>
          <cell r="F1693">
            <v>0</v>
          </cell>
          <cell r="J1693">
            <v>179532477.23999998</v>
          </cell>
        </row>
        <row r="1694">
          <cell r="D1694" t="str">
            <v>BASE GRANULAR   (INCLUYE TRANSPORTE DESDE LAS CANTERAS LICENCIADAS HASTA EL SITIO DE INSTALACIÓN)</v>
          </cell>
          <cell r="F1694" t="str">
            <v>m3</v>
          </cell>
          <cell r="G1694">
            <v>237.64705882352942</v>
          </cell>
          <cell r="H1694">
            <v>265112</v>
          </cell>
          <cell r="I1694">
            <v>63003087.058823533</v>
          </cell>
          <cell r="J1694">
            <v>86944260.141176462</v>
          </cell>
        </row>
        <row r="1695">
          <cell r="D1695" t="str">
            <v xml:space="preserve">ENROCADO PROTECCIÓN TALUD PLATAFORMAS PROTECCIÓN CON ENROCADO DE PIEDRA DEL TALUD DE LAS PLATAFORMAS EN TERRAPLÉN CON 30 CM DE PIEDRA DE 6-10 CM DE DIÁMETRO, PESO ESPECÍFICO DE LAS PIEDRAS DE 2,64  G/CM3  (INCLUYE TRANSPORTE DESDE LAS CANTERAS LICENCIADAS HASTA EL SITIO DE INSTALACIÓN) </v>
          </cell>
          <cell r="F1695" t="str">
            <v>m3</v>
          </cell>
          <cell r="G1695">
            <v>42.352941176470587</v>
          </cell>
          <cell r="H1695">
            <v>276393</v>
          </cell>
          <cell r="I1695">
            <v>11706056.470588235</v>
          </cell>
          <cell r="J1695">
            <v>16154357.929411763</v>
          </cell>
        </row>
        <row r="1696">
          <cell r="D1696" t="str">
            <v xml:space="preserve">ENROCADO PROTECCIÓN TALUD CIMENTACION PROTECCIÓN CON ENROCADO DE PIEDRA DEL TALUD DE LAS CIMENTACIONES EN TERRAPLÉN CON 30 CM DE PIEDRA DE 6-10 CM DE DIÁMETRO, PESO ESPECÍFICO DE LAS PIEDRAS DE 2,64 G/CM3   (INCLUYE TRANSPORTE DESDE LAS CANTERAS LICENCIADAS HASTA EL SITIO DE INSTALACIÓN) </v>
          </cell>
          <cell r="F1696" t="str">
            <v>m3</v>
          </cell>
          <cell r="G1696">
            <v>25.529411764705884</v>
          </cell>
          <cell r="H1696">
            <v>286818</v>
          </cell>
          <cell r="I1696">
            <v>7322294.823529412</v>
          </cell>
          <cell r="J1696">
            <v>10104766.856470589</v>
          </cell>
        </row>
        <row r="1697">
          <cell r="D1697" t="str">
            <v>SUMINISTRO E INSTALACIÓN DE GEOTEXTILES</v>
          </cell>
          <cell r="F1697" t="str">
            <v>m2</v>
          </cell>
          <cell r="G1697">
            <v>887.17647058823525</v>
          </cell>
          <cell r="H1697">
            <v>54177</v>
          </cell>
          <cell r="I1697">
            <v>48064559.647058822</v>
          </cell>
          <cell r="J1697">
            <v>66329092.312941171</v>
          </cell>
        </row>
        <row r="1698">
          <cell r="C1698" t="str">
            <v>10.30.16</v>
          </cell>
          <cell r="D1698" t="str">
            <v xml:space="preserve">         HITO: FINALIZACION DE ACTIVIDADES EN CIMENTACION WP31</v>
          </cell>
          <cell r="E1698" t="str">
            <v>0 días</v>
          </cell>
          <cell r="F1698">
            <v>0</v>
          </cell>
        </row>
        <row r="1699">
          <cell r="C1699" t="str">
            <v>10.31</v>
          </cell>
          <cell r="D1699" t="str">
            <v xml:space="preserve">      CIMENTACION WP35</v>
          </cell>
          <cell r="E1699" t="str">
            <v>60 días</v>
          </cell>
          <cell r="F1699">
            <v>0</v>
          </cell>
        </row>
        <row r="1700">
          <cell r="C1700" t="str">
            <v>10.31.1</v>
          </cell>
          <cell r="D1700" t="str">
            <v xml:space="preserve">         DESBROCE DE AREA DE ACOPIO DE TORRE Y DE PALAS WP35</v>
          </cell>
          <cell r="E1700" t="str">
            <v>8 días</v>
          </cell>
          <cell r="F1700">
            <v>0</v>
          </cell>
          <cell r="J1700">
            <v>83271780.884117648</v>
          </cell>
        </row>
        <row r="1701">
          <cell r="D1701" t="str">
            <v>DESBROCE Y LIMPIEZA</v>
          </cell>
          <cell r="F1701" t="str">
            <v>m2</v>
          </cell>
          <cell r="G1701">
            <v>4799.0294117647063</v>
          </cell>
          <cell r="H1701">
            <v>4140</v>
          </cell>
          <cell r="I1701">
            <v>19867981.764705885</v>
          </cell>
          <cell r="J1701">
            <v>27417814.83529412</v>
          </cell>
        </row>
        <row r="1702">
          <cell r="D1702" t="str">
            <v>SUMINISTRO DE COMISION TOPOGRAFICA
 (incluyede GPS, Estación Total, tránsitos, distanciómetros, niveles de precisión, miras, prismas, jalones, plomadas, cintas métricas, etc., un cadenero primero , un cadenero segundo, ingeniero topógrafo/topógrafo con matricula vigente, insumos para ralizar la actividad, licencias de software utilizado para la ejecución de los trabajos, movilización de personal equipos y entregables en archivos magnéticos)</v>
          </cell>
          <cell r="F1702" t="str">
            <v>Mes</v>
          </cell>
          <cell r="G1702">
            <v>0.2</v>
          </cell>
          <cell r="H1702">
            <v>31500000</v>
          </cell>
          <cell r="I1702">
            <v>6300000</v>
          </cell>
          <cell r="J1702">
            <v>8694000</v>
          </cell>
        </row>
        <row r="1703">
          <cell r="D1703" t="str">
            <v>DESMONTE, DESCAPOTE Y LIMPIEZA INCLUYE  TALA DE ARBOLES CON DAP ≤0.15M, TRANSPORTE Y DISPOSICIÓN FINAL</v>
          </cell>
          <cell r="F1703" t="str">
            <v>m2</v>
          </cell>
          <cell r="G1703">
            <v>4799.0294117647063</v>
          </cell>
          <cell r="H1703">
            <v>7121</v>
          </cell>
          <cell r="I1703">
            <v>34173888.441176474</v>
          </cell>
          <cell r="J1703">
            <v>47159966.048823528</v>
          </cell>
        </row>
        <row r="1704">
          <cell r="C1704" t="str">
            <v>10.31.2</v>
          </cell>
          <cell r="D1704" t="str">
            <v xml:space="preserve">         EXCAVACIÓN DE CIMENTACION WP35</v>
          </cell>
          <cell r="E1704" t="str">
            <v>7 días</v>
          </cell>
          <cell r="F1704">
            <v>0</v>
          </cell>
          <cell r="J1704">
            <v>312374505.66882348</v>
          </cell>
        </row>
        <row r="1705">
          <cell r="D1705" t="str">
            <v>EXCAVACIÓN MECÁNICA EN MATERIAL COMÚN</v>
          </cell>
          <cell r="F1705" t="str">
            <v>m3</v>
          </cell>
          <cell r="G1705">
            <v>4799.0294117647063</v>
          </cell>
          <cell r="H1705">
            <v>35495</v>
          </cell>
          <cell r="I1705">
            <v>170341548.97058824</v>
          </cell>
          <cell r="J1705">
            <v>235071337.57941175</v>
          </cell>
        </row>
        <row r="1706">
          <cell r="D1706" t="str">
            <v>EXCAVACIÓN EN ROCA</v>
          </cell>
          <cell r="F1706" t="str">
            <v>m3</v>
          </cell>
          <cell r="G1706">
            <v>414.35294117647061</v>
          </cell>
          <cell r="H1706">
            <v>135191</v>
          </cell>
          <cell r="I1706">
            <v>56016788.470588237</v>
          </cell>
          <cell r="J1706">
            <v>77303168.089411765</v>
          </cell>
        </row>
        <row r="1707">
          <cell r="C1707" t="str">
            <v>10.31.3</v>
          </cell>
          <cell r="D1707" t="str">
            <v xml:space="preserve">         BANCO DE DUCTO WP35</v>
          </cell>
          <cell r="E1707" t="str">
            <v>3 días</v>
          </cell>
          <cell r="F1707">
            <v>0</v>
          </cell>
          <cell r="J1707">
            <v>9527825.6870364472</v>
          </cell>
        </row>
        <row r="1708">
          <cell r="D1708" t="str">
            <v>INSTALACION DE TUBERIA PVC TIPO TDP Y/O CORRUGADA TIPO PEAD-HDPE  - 50mm</v>
          </cell>
          <cell r="F1708" t="str">
            <v>ML</v>
          </cell>
          <cell r="G1708">
            <v>7.2352941176470589</v>
          </cell>
          <cell r="H1708">
            <v>27751.000385791169</v>
          </cell>
          <cell r="I1708">
            <v>200786.64985013611</v>
          </cell>
          <cell r="J1708">
            <v>277085.57679318782</v>
          </cell>
        </row>
        <row r="1709">
          <cell r="D1709" t="str">
            <v>INSTALACION DE TUBERIA PVC TIPO TDP Y/O CORRUGADA TIPO PEAD-HDPE - 90mm</v>
          </cell>
          <cell r="F1709" t="str">
            <v>ML</v>
          </cell>
          <cell r="G1709">
            <v>34.694117647058818</v>
          </cell>
          <cell r="H1709">
            <v>31239.000009014315</v>
          </cell>
          <cell r="I1709">
            <v>1083809.5414892142</v>
          </cell>
          <cell r="J1709">
            <v>1495657.1672551155</v>
          </cell>
        </row>
        <row r="1710">
          <cell r="D1710" t="str">
            <v>INSTALACION DE TUBERIA PVC TIPO TDP  Y/O CORRUGADA TIPO PEAD-HDPE - 200mm</v>
          </cell>
          <cell r="F1710" t="str">
            <v>ML</v>
          </cell>
          <cell r="G1710">
            <v>70.332352941176467</v>
          </cell>
          <cell r="H1710">
            <v>79900.999838665448</v>
          </cell>
          <cell r="I1710">
            <v>5619625.3210059023</v>
          </cell>
          <cell r="J1710">
            <v>7755082.9429881442</v>
          </cell>
        </row>
        <row r="1711">
          <cell r="C1711" t="str">
            <v>10.31.4</v>
          </cell>
          <cell r="D1711" t="str">
            <v xml:space="preserve">         COMPACTACION DE SELLO DE BASE WP35</v>
          </cell>
          <cell r="E1711" t="str">
            <v>2 días</v>
          </cell>
          <cell r="F1711">
            <v>0</v>
          </cell>
          <cell r="J1711">
            <v>320494616.71764702</v>
          </cell>
        </row>
        <row r="1712">
          <cell r="D1712" t="str">
            <v>RELLENO CON MATERIAL DE EXCAVACIÓN SELECCIONADO</v>
          </cell>
          <cell r="F1712" t="str">
            <v>m3</v>
          </cell>
          <cell r="G1712">
            <v>4530.6764705882351</v>
          </cell>
          <cell r="H1712">
            <v>51260</v>
          </cell>
          <cell r="I1712">
            <v>232242475.88235292</v>
          </cell>
          <cell r="J1712">
            <v>320494616.71764702</v>
          </cell>
        </row>
        <row r="1713">
          <cell r="C1713" t="str">
            <v>10.31.5</v>
          </cell>
          <cell r="D1713" t="str">
            <v xml:space="preserve">         SOLADO WP35</v>
          </cell>
          <cell r="E1713" t="str">
            <v>1 día</v>
          </cell>
          <cell r="F1713">
            <v>0</v>
          </cell>
          <cell r="J1713">
            <v>94303618.549411759</v>
          </cell>
        </row>
        <row r="1714">
          <cell r="D1714" t="str">
            <v>CONCRETO CLASE F (140 kg/cm2 Ó 2000 psi)</v>
          </cell>
          <cell r="F1714" t="str">
            <v>m3</v>
          </cell>
          <cell r="G1714">
            <v>43.941176470588232</v>
          </cell>
          <cell r="H1714">
            <v>1555169</v>
          </cell>
          <cell r="I1714">
            <v>68335955.470588237</v>
          </cell>
          <cell r="J1714">
            <v>94303618.549411759</v>
          </cell>
        </row>
        <row r="1715">
          <cell r="C1715" t="str">
            <v>10.31.6</v>
          </cell>
          <cell r="D1715" t="str">
            <v xml:space="preserve">         INSTALACIÓN DE PERNOS Y SOFT-SPOT WP35</v>
          </cell>
          <cell r="E1715" t="str">
            <v>5 días</v>
          </cell>
          <cell r="F1715">
            <v>0</v>
          </cell>
          <cell r="J1715">
            <v>179436034.15411764</v>
          </cell>
        </row>
        <row r="1716">
          <cell r="D1716" t="str">
            <v>S0FT-SPOT  (EPS) Tipo II (ASM C578)</v>
          </cell>
          <cell r="F1716" t="str">
            <v>m2</v>
          </cell>
          <cell r="G1716">
            <v>62.117647058823529</v>
          </cell>
          <cell r="H1716">
            <v>484846</v>
          </cell>
          <cell r="I1716">
            <v>30117492.705882352</v>
          </cell>
          <cell r="J1716">
            <v>41562139.934117645</v>
          </cell>
        </row>
        <row r="1717">
          <cell r="D1717" t="str">
            <v>MONTAJE Y NIVELACION DE LA JAULA DE ANCLAJES INCLUYE  LA PREPARACIÓN
 DEL ÁREA, LA NIVELACIÓN Y POSICIONAMIENTO DE LOS COMPONENTES (COMO PLANTILLAS Y VARILLAS), EL ENSAMBLAJE DE LA ESTRUCTURA, LA FIJACIÓN FINAL A LA CIMENTACIÓN CON PERNOS DE ANCLAJE, MONTAJE DE BRIDAS, TORQUE Y LIBERACIÓN DE LA CESTA, INCLUYE LA HERRAMIENTA Y EQUIPO DE INSTALACIÓN (peso estimado por jaula 13896  kg)</v>
          </cell>
          <cell r="F1717" t="str">
            <v>Und</v>
          </cell>
          <cell r="G1717">
            <v>1</v>
          </cell>
          <cell r="H1717">
            <v>99908619</v>
          </cell>
          <cell r="I1717">
            <v>99908619</v>
          </cell>
          <cell r="J1717">
            <v>137873894.22</v>
          </cell>
        </row>
        <row r="1718">
          <cell r="C1718" t="str">
            <v>10.31.7</v>
          </cell>
          <cell r="D1718" t="str">
            <v xml:space="preserve">         INSTALACIÓN DE ACERO DE REFUERZO WP35</v>
          </cell>
          <cell r="E1718" t="str">
            <v>14 días</v>
          </cell>
          <cell r="F1718">
            <v>0</v>
          </cell>
          <cell r="J1718">
            <v>1212623361.2117648</v>
          </cell>
        </row>
        <row r="1719">
          <cell r="D1719" t="str">
            <v>ACERO FY:  60000 psi (4.200 kg/cm2)</v>
          </cell>
          <cell r="F1719" t="str">
            <v>kg</v>
          </cell>
          <cell r="G1719">
            <v>68756.852941176476</v>
          </cell>
          <cell r="H1719">
            <v>12780</v>
          </cell>
          <cell r="I1719">
            <v>878712580.58823538</v>
          </cell>
          <cell r="J1719">
            <v>1212623361.2117648</v>
          </cell>
        </row>
        <row r="1720">
          <cell r="C1720" t="str">
            <v>10.31.8</v>
          </cell>
          <cell r="D1720" t="str">
            <v xml:space="preserve">         ENCOFRADO DE ZAPATA Y DE PEDESTAL WP35</v>
          </cell>
          <cell r="E1720" t="str">
            <v>3 días</v>
          </cell>
          <cell r="F1720">
            <v>0</v>
          </cell>
        </row>
        <row r="1721">
          <cell r="C1721" t="str">
            <v>10.31.9</v>
          </cell>
          <cell r="D1721" t="str">
            <v xml:space="preserve">         HITO: ALISTAMIENTO Y MOVILIZACIÓN DE PLANTA DE CONCRETO PARA WP35</v>
          </cell>
          <cell r="E1721" t="str">
            <v>0 días</v>
          </cell>
          <cell r="F1721">
            <v>0</v>
          </cell>
        </row>
        <row r="1722">
          <cell r="C1722" t="str">
            <v>10.31.10</v>
          </cell>
          <cell r="D1722" t="str">
            <v xml:space="preserve">         FUNDIDA WP35</v>
          </cell>
          <cell r="E1722" t="str">
            <v>1 día</v>
          </cell>
          <cell r="F1722">
            <v>0</v>
          </cell>
          <cell r="J1722">
            <v>1230815225.9452939</v>
          </cell>
        </row>
        <row r="1723">
          <cell r="D1723" t="str">
            <v>CONCRETO ESTRUCTURAL  35 MPa(350 kg/cm2 Ó 5000 psi)</v>
          </cell>
          <cell r="F1723" t="str">
            <v>m3</v>
          </cell>
          <cell r="G1723">
            <v>429.02941176470586</v>
          </cell>
          <cell r="H1723">
            <v>1926653</v>
          </cell>
          <cell r="I1723">
            <v>826590803.26470578</v>
          </cell>
          <cell r="J1723">
            <v>1140695308.5052938</v>
          </cell>
        </row>
        <row r="1724">
          <cell r="D1724" t="str">
            <v>CONCRETO ESTRUCTURAL  45 MPa(457 kg/cm2 Ó 6500psi)</v>
          </cell>
          <cell r="F1724" t="str">
            <v>m3</v>
          </cell>
          <cell r="G1724">
            <v>32</v>
          </cell>
          <cell r="H1724">
            <v>2040759</v>
          </cell>
          <cell r="I1724">
            <v>65304288</v>
          </cell>
          <cell r="J1724">
            <v>90119917.439999998</v>
          </cell>
        </row>
        <row r="1725">
          <cell r="C1725" t="str">
            <v>10.31.11</v>
          </cell>
          <cell r="D1725" t="str">
            <v xml:space="preserve">         CURADO DEL CONCRETO WP35</v>
          </cell>
          <cell r="E1725" t="str">
            <v>5 días</v>
          </cell>
          <cell r="F1725">
            <v>0</v>
          </cell>
        </row>
        <row r="1726">
          <cell r="C1726" t="str">
            <v>10.31.12</v>
          </cell>
          <cell r="D1726" t="str">
            <v xml:space="preserve">         INSTALACIONES ELECTRICAS Y SISTEMA PUESTA TIERRA WP35</v>
          </cell>
          <cell r="E1726" t="str">
            <v>2 días</v>
          </cell>
          <cell r="F1726">
            <v>0</v>
          </cell>
          <cell r="J1726">
            <v>52736347.43270281</v>
          </cell>
        </row>
        <row r="1727">
          <cell r="D1727" t="str">
            <v>ARQUETA EN HORMIGON PARA MEDIA TENSION - EMPALMES (500 MT)</v>
          </cell>
          <cell r="F1727" t="str">
            <v>Und</v>
          </cell>
          <cell r="G1727">
            <v>1</v>
          </cell>
          <cell r="H1727">
            <v>12275310.999985719</v>
          </cell>
          <cell r="I1727">
            <v>12275310.999985719</v>
          </cell>
          <cell r="J1727">
            <v>16939929.179980289</v>
          </cell>
        </row>
        <row r="1728">
          <cell r="D1728" t="str">
            <v>ARQUETA EN POLIPROPILENO</v>
          </cell>
          <cell r="F1728" t="str">
            <v>Und</v>
          </cell>
          <cell r="G1728">
            <v>1</v>
          </cell>
          <cell r="H1728">
            <v>6068599.9996856553</v>
          </cell>
          <cell r="I1728">
            <v>6068599.9996856553</v>
          </cell>
          <cell r="J1728">
            <v>8374667.9995662039</v>
          </cell>
        </row>
        <row r="1729">
          <cell r="D1729" t="str">
            <v>SUMINISTRO E INSTALACIÓN DE PLATINA</v>
          </cell>
          <cell r="F1729" t="str">
            <v>Und</v>
          </cell>
          <cell r="G1729">
            <v>1</v>
          </cell>
          <cell r="H1729">
            <v>361570</v>
          </cell>
          <cell r="I1729">
            <v>361570</v>
          </cell>
          <cell r="J1729">
            <v>498966.6</v>
          </cell>
        </row>
        <row r="1730">
          <cell r="D1730" t="str">
            <v>SUMINISTRO E INSTALACIÓN DE VARILLA</v>
          </cell>
          <cell r="F1730" t="str">
            <v>Und</v>
          </cell>
          <cell r="G1730">
            <v>1</v>
          </cell>
          <cell r="H1730">
            <v>398933</v>
          </cell>
          <cell r="I1730">
            <v>398933</v>
          </cell>
          <cell r="J1730">
            <v>550527.53999999992</v>
          </cell>
        </row>
        <row r="1731">
          <cell r="D1731" t="str">
            <v>SUMINISTRO E INSTALACIÓN DE ARQUETA PARA INSPECCIÓN DE PICAS EN PUESTA A TIERRA SIN FONDO</v>
          </cell>
          <cell r="F1731" t="str">
            <v>Und</v>
          </cell>
          <cell r="G1731">
            <v>1</v>
          </cell>
          <cell r="H1731">
            <v>14275700</v>
          </cell>
          <cell r="I1731">
            <v>14275700</v>
          </cell>
          <cell r="J1731">
            <v>19700466</v>
          </cell>
        </row>
        <row r="1732">
          <cell r="D1732" t="str">
            <v>SUMINISTRO E INSTALACIÓN DE SOLDADURA EXOTERMICA</v>
          </cell>
          <cell r="F1732" t="str">
            <v>Und</v>
          </cell>
          <cell r="G1732">
            <v>2.8000000000000003</v>
          </cell>
          <cell r="H1732">
            <v>185231</v>
          </cell>
          <cell r="I1732">
            <v>518646.80000000005</v>
          </cell>
          <cell r="J1732">
            <v>715732.58400000003</v>
          </cell>
        </row>
        <row r="1733">
          <cell r="D1733" t="str">
            <v>SUMINISTRO E INSTALACIÓN DE GRAPA DE ALEACIÓN RICA EN COBRE (LATÓN) MODELO KZ</v>
          </cell>
          <cell r="F1733" t="str">
            <v>Und</v>
          </cell>
          <cell r="G1733">
            <v>1</v>
          </cell>
          <cell r="H1733">
            <v>292083</v>
          </cell>
          <cell r="I1733">
            <v>292083</v>
          </cell>
          <cell r="J1733">
            <v>403074.54</v>
          </cell>
        </row>
        <row r="1734">
          <cell r="D1734" t="str">
            <v>SUMINISTRO E INSTALACIÓN DE GRAPA DE ALEACIÓN RICA EN COBRE (LATÓN) MODELO KPD</v>
          </cell>
          <cell r="F1734" t="str">
            <v>Und</v>
          </cell>
          <cell r="G1734">
            <v>0.99393939393939412</v>
          </cell>
          <cell r="H1734">
            <v>292083</v>
          </cell>
          <cell r="I1734">
            <v>290312.80000000005</v>
          </cell>
          <cell r="J1734">
            <v>400631.66400000005</v>
          </cell>
        </row>
        <row r="1735">
          <cell r="D1735" t="str">
            <v xml:space="preserve">INSTALACIÓN DE CABLE DE COBRE TRENZADO DESNUDO DE 50 mm2 </v>
          </cell>
          <cell r="F1735" t="str">
            <v>ML</v>
          </cell>
          <cell r="G1735">
            <v>113.1390243902439</v>
          </cell>
          <cell r="H1735">
            <v>33000.000989065411</v>
          </cell>
          <cell r="I1735">
            <v>3733587.9167799447</v>
          </cell>
          <cell r="J1735">
            <v>5152351.3251563236</v>
          </cell>
        </row>
        <row r="1736">
          <cell r="C1736" t="str">
            <v>10.31.13</v>
          </cell>
          <cell r="D1736" t="str">
            <v xml:space="preserve">         INSTALACION DE GROUT Y MORTERO AUTOCOMPACTANTE DE ALTA RESISTENCIA WP35</v>
          </cell>
          <cell r="E1736" t="str">
            <v>2 días</v>
          </cell>
          <cell r="F1736">
            <v>0</v>
          </cell>
          <cell r="J1736">
            <v>46410609.014634147</v>
          </cell>
        </row>
        <row r="1737">
          <cell r="D1737" t="str">
            <v>GROUT Y  MORTERO AUTOCOMPACTANTE DE ALTA RESISTENCIA C80/95 (EN206-1)</v>
          </cell>
          <cell r="F1737" t="str">
            <v>lt</v>
          </cell>
          <cell r="G1737">
            <v>530.73170731707319</v>
          </cell>
          <cell r="H1737">
            <v>63367</v>
          </cell>
          <cell r="I1737">
            <v>33630876.097560979</v>
          </cell>
          <cell r="J1737">
            <v>46410609.014634147</v>
          </cell>
        </row>
        <row r="1738">
          <cell r="C1738" t="str">
            <v>10.31.14</v>
          </cell>
          <cell r="D1738" t="str">
            <v xml:space="preserve">         TAPADO AREA DE CIMENTACIÓN Y CONFORMACIÓN DE PLATAFORMA WP35</v>
          </cell>
          <cell r="E1738" t="str">
            <v>7 días</v>
          </cell>
          <cell r="F1738">
            <v>0</v>
          </cell>
          <cell r="J1738">
            <v>1587346329.5488234</v>
          </cell>
        </row>
        <row r="1739">
          <cell r="D1739" t="str">
            <v>MATERIAL SELECIONADA PARA  FORMACIÓN Y COMPACTACIÓN DE TERRAPLENES Y RELLENO ESTRUCTURAL  (INCLUYE TRANSPORTE DESDE LAS CANTERAS LICENCIADAS HASTA EL SITIO DE INSTALACIÓN)</v>
          </cell>
          <cell r="F1739" t="str">
            <v>m3</v>
          </cell>
          <cell r="G1739">
            <v>5388.7058823529414</v>
          </cell>
          <cell r="H1739">
            <v>174890</v>
          </cell>
          <cell r="I1739">
            <v>942430771.7647059</v>
          </cell>
          <cell r="J1739">
            <v>1300554465.0352941</v>
          </cell>
        </row>
        <row r="1740">
          <cell r="D1740" t="str">
            <v>PREPARACIÓN DE SUBRASANTE COMPACTACIÓN Y VALORACIÓN DE LA CAPA DE SUBRASANTE DE LOS VIALES. INCLUYENDO LAS PRUEBAS SEGÚN LO PRESCRITO.</v>
          </cell>
          <cell r="F1740" t="str">
            <v>m2</v>
          </cell>
          <cell r="G1740">
            <v>631.61764705882354</v>
          </cell>
          <cell r="H1740">
            <v>11537</v>
          </cell>
          <cell r="I1740">
            <v>7286972.7941176472</v>
          </cell>
          <cell r="J1740">
            <v>10056022.455882352</v>
          </cell>
        </row>
        <row r="1741">
          <cell r="D1741" t="str">
            <v>SUBBASE GRANULAR  (INCLUYE TRANSPORTE DESDE LAS CANTERAS LICENCIADAS HASTA EL SITIO DE INSTALACIÓN)</v>
          </cell>
          <cell r="F1741" t="str">
            <v>m3</v>
          </cell>
          <cell r="G1741">
            <v>880.85294117647061</v>
          </cell>
          <cell r="H1741">
            <v>227658</v>
          </cell>
          <cell r="I1741">
            <v>200533218.88235295</v>
          </cell>
          <cell r="J1741">
            <v>276735842.05764705</v>
          </cell>
        </row>
        <row r="1742">
          <cell r="C1742" t="str">
            <v>10.31.15</v>
          </cell>
          <cell r="D1742" t="str">
            <v xml:space="preserve">         ESTABILIZACIÓN DE TALUDES EN PLATAFORMA Y RECONFORMACION FINAL WP35</v>
          </cell>
          <cell r="E1742" t="str">
            <v>7 días</v>
          </cell>
          <cell r="F1742">
            <v>0</v>
          </cell>
          <cell r="J1742">
            <v>179532477.23999998</v>
          </cell>
        </row>
        <row r="1743">
          <cell r="D1743" t="str">
            <v>BASE GRANULAR   (INCLUYE TRANSPORTE DESDE LAS CANTERAS LICENCIADAS HASTA EL SITIO DE INSTALACIÓN)</v>
          </cell>
          <cell r="F1743" t="str">
            <v>m3</v>
          </cell>
          <cell r="G1743">
            <v>237.64705882352942</v>
          </cell>
          <cell r="H1743">
            <v>265112</v>
          </cell>
          <cell r="I1743">
            <v>63003087.058823533</v>
          </cell>
          <cell r="J1743">
            <v>86944260.141176462</v>
          </cell>
        </row>
        <row r="1744">
          <cell r="D1744" t="str">
            <v xml:space="preserve">ENROCADO PROTECCIÓN TALUD PLATAFORMAS PROTECCIÓN CON ENROCADO DE PIEDRA DEL TALUD DE LAS PLATAFORMAS EN TERRAPLÉN CON 30 CM DE PIEDRA DE 6-10 CM DE DIÁMETRO, PESO ESPECÍFICO DE LAS PIEDRAS DE 2,64  G/CM3  (INCLUYE TRANSPORTE DESDE LAS CANTERAS LICENCIADAS HASTA EL SITIO DE INSTALACIÓN) </v>
          </cell>
          <cell r="F1744" t="str">
            <v>m3</v>
          </cell>
          <cell r="G1744">
            <v>42.352941176470587</v>
          </cell>
          <cell r="H1744">
            <v>276393</v>
          </cell>
          <cell r="I1744">
            <v>11706056.470588235</v>
          </cell>
          <cell r="J1744">
            <v>16154357.929411763</v>
          </cell>
        </row>
        <row r="1745">
          <cell r="D1745" t="str">
            <v xml:space="preserve">ENROCADO PROTECCIÓN TALUD CIMENTACION PROTECCIÓN CON ENROCADO DE PIEDRA DEL TALUD DE LAS CIMENTACIONES EN TERRAPLÉN CON 30 CM DE PIEDRA DE 6-10 CM DE DIÁMETRO, PESO ESPECÍFICO DE LAS PIEDRAS DE 2,64 G/CM3   (INCLUYE TRANSPORTE DESDE LAS CANTERAS LICENCIADAS HASTA EL SITIO DE INSTALACIÓN) </v>
          </cell>
          <cell r="F1745" t="str">
            <v>m3</v>
          </cell>
          <cell r="G1745">
            <v>25.529411764705884</v>
          </cell>
          <cell r="H1745">
            <v>286818</v>
          </cell>
          <cell r="I1745">
            <v>7322294.823529412</v>
          </cell>
          <cell r="J1745">
            <v>10104766.856470589</v>
          </cell>
        </row>
        <row r="1746">
          <cell r="D1746" t="str">
            <v>SUMINISTRO E INSTALACIÓN DE GEOTEXTILES</v>
          </cell>
          <cell r="F1746" t="str">
            <v>m2</v>
          </cell>
          <cell r="G1746">
            <v>887.17647058823525</v>
          </cell>
          <cell r="H1746">
            <v>54177</v>
          </cell>
          <cell r="I1746">
            <v>48064559.647058822</v>
          </cell>
          <cell r="J1746">
            <v>66329092.312941171</v>
          </cell>
        </row>
        <row r="1747">
          <cell r="C1747" t="str">
            <v>10.31.16</v>
          </cell>
          <cell r="D1747" t="str">
            <v xml:space="preserve">         HITO: FINALIZACION DE ACTIVIDADES EN CIMENTACION WP35</v>
          </cell>
          <cell r="E1747" t="str">
            <v>0 días</v>
          </cell>
          <cell r="F1747">
            <v>0</v>
          </cell>
        </row>
        <row r="1748">
          <cell r="C1748" t="str">
            <v>10.32</v>
          </cell>
          <cell r="D1748" t="str">
            <v xml:space="preserve">      CIMENTACION WP34</v>
          </cell>
          <cell r="E1748" t="str">
            <v>60 días</v>
          </cell>
          <cell r="F1748">
            <v>0</v>
          </cell>
        </row>
        <row r="1749">
          <cell r="C1749" t="str">
            <v>10.32.1</v>
          </cell>
          <cell r="D1749" t="str">
            <v xml:space="preserve">         DESBROCE DE AREA DE ACOPIO DE TORRE Y DE PALAS WP34</v>
          </cell>
          <cell r="E1749" t="str">
            <v>8 días</v>
          </cell>
          <cell r="F1749">
            <v>0</v>
          </cell>
          <cell r="J1749">
            <v>83271780.884117648</v>
          </cell>
        </row>
        <row r="1750">
          <cell r="D1750" t="str">
            <v>DESBROCE Y LIMPIEZA</v>
          </cell>
          <cell r="F1750" t="str">
            <v>m2</v>
          </cell>
          <cell r="G1750">
            <v>4799.0294117647063</v>
          </cell>
          <cell r="H1750">
            <v>4140</v>
          </cell>
          <cell r="I1750">
            <v>19867981.764705885</v>
          </cell>
          <cell r="J1750">
            <v>27417814.83529412</v>
          </cell>
        </row>
        <row r="1751">
          <cell r="D1751" t="str">
            <v>SUMINISTRO DE COMISION TOPOGRAFICA
 (incluyede GPS, Estación Total, tránsitos, distanciómetros, niveles de precisión, miras, prismas, jalones, plomadas, cintas métricas, etc., un cadenero primero , un cadenero segundo, ingeniero topógrafo/topógrafo con matricula vigente, insumos para ralizar la actividad, licencias de software utilizado para la ejecución de los trabajos, movilización de personal equipos y entregables en archivos magnéticos)</v>
          </cell>
          <cell r="F1751" t="str">
            <v>Mes</v>
          </cell>
          <cell r="G1751">
            <v>0.2</v>
          </cell>
          <cell r="H1751">
            <v>31500000</v>
          </cell>
          <cell r="I1751">
            <v>6300000</v>
          </cell>
          <cell r="J1751">
            <v>8694000</v>
          </cell>
        </row>
        <row r="1752">
          <cell r="D1752" t="str">
            <v>DESMONTE, DESCAPOTE Y LIMPIEZA INCLUYE  TALA DE ARBOLES CON DAP ≤0.15M, TRANSPORTE Y DISPOSICIÓN FINAL</v>
          </cell>
          <cell r="F1752" t="str">
            <v>m2</v>
          </cell>
          <cell r="G1752">
            <v>4799.0294117647063</v>
          </cell>
          <cell r="H1752">
            <v>7121</v>
          </cell>
          <cell r="I1752">
            <v>34173888.441176474</v>
          </cell>
          <cell r="J1752">
            <v>47159966.048823528</v>
          </cell>
        </row>
        <row r="1753">
          <cell r="C1753" t="str">
            <v>10.32.2</v>
          </cell>
          <cell r="D1753" t="str">
            <v xml:space="preserve">         EXCAVACIÓN DE CIMENTACION WP34</v>
          </cell>
          <cell r="E1753" t="str">
            <v>7 días</v>
          </cell>
          <cell r="F1753">
            <v>0</v>
          </cell>
          <cell r="J1753">
            <v>312374505.66882348</v>
          </cell>
        </row>
        <row r="1754">
          <cell r="D1754" t="str">
            <v>EXCAVACIÓN MECÁNICA EN MATERIAL COMÚN</v>
          </cell>
          <cell r="F1754" t="str">
            <v>m3</v>
          </cell>
          <cell r="G1754">
            <v>4799.0294117647063</v>
          </cell>
          <cell r="H1754">
            <v>35495</v>
          </cell>
          <cell r="I1754">
            <v>170341548.97058824</v>
          </cell>
          <cell r="J1754">
            <v>235071337.57941175</v>
          </cell>
        </row>
        <row r="1755">
          <cell r="D1755" t="str">
            <v>EXCAVACIÓN EN ROCA</v>
          </cell>
          <cell r="F1755" t="str">
            <v>m3</v>
          </cell>
          <cell r="G1755">
            <v>414.35294117647061</v>
          </cell>
          <cell r="H1755">
            <v>135191</v>
          </cell>
          <cell r="I1755">
            <v>56016788.470588237</v>
          </cell>
          <cell r="J1755">
            <v>77303168.089411765</v>
          </cell>
        </row>
        <row r="1756">
          <cell r="C1756" t="str">
            <v>10.32.3</v>
          </cell>
          <cell r="D1756" t="str">
            <v xml:space="preserve">         BANCO DE DUCTO WP34</v>
          </cell>
          <cell r="E1756" t="str">
            <v>3 días</v>
          </cell>
          <cell r="F1756">
            <v>0</v>
          </cell>
          <cell r="J1756">
            <v>9527825.6870364472</v>
          </cell>
        </row>
        <row r="1757">
          <cell r="D1757" t="str">
            <v>INSTALACION DE TUBERIA PVC TIPO TDP Y/O CORRUGADA TIPO PEAD-HDPE  - 50mm</v>
          </cell>
          <cell r="F1757" t="str">
            <v>ML</v>
          </cell>
          <cell r="G1757">
            <v>7.2352941176470589</v>
          </cell>
          <cell r="H1757">
            <v>27751.000385791169</v>
          </cell>
          <cell r="I1757">
            <v>200786.64985013611</v>
          </cell>
          <cell r="J1757">
            <v>277085.57679318782</v>
          </cell>
        </row>
        <row r="1758">
          <cell r="D1758" t="str">
            <v>INSTALACION DE TUBERIA PVC TIPO TDP Y/O CORRUGADA TIPO PEAD-HDPE - 90mm</v>
          </cell>
          <cell r="F1758" t="str">
            <v>ML</v>
          </cell>
          <cell r="G1758">
            <v>34.694117647058818</v>
          </cell>
          <cell r="H1758">
            <v>31239.000009014315</v>
          </cell>
          <cell r="I1758">
            <v>1083809.5414892142</v>
          </cell>
          <cell r="J1758">
            <v>1495657.1672551155</v>
          </cell>
        </row>
        <row r="1759">
          <cell r="D1759" t="str">
            <v>INSTALACION DE TUBERIA PVC TIPO TDP  Y/O CORRUGADA TIPO PEAD-HDPE - 200mm</v>
          </cell>
          <cell r="F1759" t="str">
            <v>ML</v>
          </cell>
          <cell r="G1759">
            <v>70.332352941176467</v>
          </cell>
          <cell r="H1759">
            <v>79900.999838665448</v>
          </cell>
          <cell r="I1759">
            <v>5619625.3210059023</v>
          </cell>
          <cell r="J1759">
            <v>7755082.9429881442</v>
          </cell>
        </row>
        <row r="1760">
          <cell r="C1760" t="str">
            <v>10.32.4</v>
          </cell>
          <cell r="D1760" t="str">
            <v xml:space="preserve">         COMPACTACION DE SELLO DE BASE WP34</v>
          </cell>
          <cell r="E1760" t="str">
            <v>2 días</v>
          </cell>
          <cell r="F1760">
            <v>0</v>
          </cell>
          <cell r="J1760">
            <v>320494616.71764702</v>
          </cell>
        </row>
        <row r="1761">
          <cell r="D1761" t="str">
            <v>RELLENO CON MATERIAL DE EXCAVACIÓN SELECCIONADO</v>
          </cell>
          <cell r="F1761" t="str">
            <v>m3</v>
          </cell>
          <cell r="G1761">
            <v>4530.6764705882351</v>
          </cell>
          <cell r="H1761">
            <v>51260</v>
          </cell>
          <cell r="I1761">
            <v>232242475.88235292</v>
          </cell>
          <cell r="J1761">
            <v>320494616.71764702</v>
          </cell>
        </row>
        <row r="1762">
          <cell r="C1762" t="str">
            <v>10.32.5</v>
          </cell>
          <cell r="D1762" t="str">
            <v xml:space="preserve">         SOLADO WP34</v>
          </cell>
          <cell r="E1762" t="str">
            <v>1 día</v>
          </cell>
          <cell r="F1762">
            <v>0</v>
          </cell>
          <cell r="J1762">
            <v>94303618.549411759</v>
          </cell>
        </row>
        <row r="1763">
          <cell r="D1763" t="str">
            <v>CONCRETO CLASE F (140 kg/cm2 Ó 2000 psi)</v>
          </cell>
          <cell r="F1763" t="str">
            <v>m3</v>
          </cell>
          <cell r="G1763">
            <v>43.941176470588232</v>
          </cell>
          <cell r="H1763">
            <v>1555169</v>
          </cell>
          <cell r="I1763">
            <v>68335955.470588237</v>
          </cell>
          <cell r="J1763">
            <v>94303618.549411759</v>
          </cell>
        </row>
        <row r="1764">
          <cell r="C1764" t="str">
            <v>10.32.6</v>
          </cell>
          <cell r="D1764" t="str">
            <v xml:space="preserve">         INSTALACIÓN DE PERNOS Y SOFT-SPOT WP34</v>
          </cell>
          <cell r="E1764" t="str">
            <v>5 días</v>
          </cell>
          <cell r="F1764">
            <v>0</v>
          </cell>
          <cell r="J1764">
            <v>179436034.15411764</v>
          </cell>
        </row>
        <row r="1765">
          <cell r="D1765" t="str">
            <v>S0FT-SPOT  (EPS) Tipo II (ASM C578)</v>
          </cell>
          <cell r="F1765" t="str">
            <v>m2</v>
          </cell>
          <cell r="G1765">
            <v>62.117647058823529</v>
          </cell>
          <cell r="H1765">
            <v>484846</v>
          </cell>
          <cell r="I1765">
            <v>30117492.705882352</v>
          </cell>
          <cell r="J1765">
            <v>41562139.934117645</v>
          </cell>
        </row>
        <row r="1766">
          <cell r="D1766" t="str">
            <v>MONTAJE Y NIVELACION DE LA JAULA DE ANCLAJES INCLUYE  LA PREPARACIÓN
 DEL ÁREA, LA NIVELACIÓN Y POSICIONAMIENTO DE LOS COMPONENTES (COMO PLANTILLAS Y VARILLAS), EL ENSAMBLAJE DE LA ESTRUCTURA, LA FIJACIÓN FINAL A LA CIMENTACIÓN CON PERNOS DE ANCLAJE, MONTAJE DE BRIDAS, TORQUE Y LIBERACIÓN DE LA CESTA, INCLUYE LA HERRAMIENTA Y EQUIPO DE INSTALACIÓN (peso estimado por jaula 13896  kg)</v>
          </cell>
          <cell r="F1766" t="str">
            <v>Und</v>
          </cell>
          <cell r="G1766">
            <v>1</v>
          </cell>
          <cell r="H1766">
            <v>99908619</v>
          </cell>
          <cell r="I1766">
            <v>99908619</v>
          </cell>
          <cell r="J1766">
            <v>137873894.22</v>
          </cell>
        </row>
        <row r="1767">
          <cell r="C1767" t="str">
            <v>10.32.7</v>
          </cell>
          <cell r="D1767" t="str">
            <v xml:space="preserve">         INSTALACIÓN DE ACERO DE REFUERZO WP34</v>
          </cell>
          <cell r="E1767" t="str">
            <v>14 días</v>
          </cell>
          <cell r="F1767">
            <v>0</v>
          </cell>
          <cell r="J1767">
            <v>1212623361.2117648</v>
          </cell>
        </row>
        <row r="1768">
          <cell r="D1768" t="str">
            <v>ACERO FY:  60000 psi (4.200 kg/cm2)</v>
          </cell>
          <cell r="F1768" t="str">
            <v>kg</v>
          </cell>
          <cell r="G1768">
            <v>68756.852941176476</v>
          </cell>
          <cell r="H1768">
            <v>12780</v>
          </cell>
          <cell r="I1768">
            <v>878712580.58823538</v>
          </cell>
          <cell r="J1768">
            <v>1212623361.2117648</v>
          </cell>
        </row>
        <row r="1769">
          <cell r="C1769" t="str">
            <v>10.32.8</v>
          </cell>
          <cell r="D1769" t="str">
            <v xml:space="preserve">         ENCOFRADO DE ZAPATA Y DE PEDESTAL WP34</v>
          </cell>
          <cell r="E1769" t="str">
            <v>3 días</v>
          </cell>
          <cell r="F1769">
            <v>0</v>
          </cell>
        </row>
        <row r="1770">
          <cell r="C1770" t="str">
            <v>10.32.9</v>
          </cell>
          <cell r="D1770" t="str">
            <v xml:space="preserve">         HITO: ALISTAMIENTO Y MOVILIZACIÓN DE PLANTA DE CONCRETO PARA WP34</v>
          </cell>
          <cell r="E1770" t="str">
            <v>0 días</v>
          </cell>
          <cell r="F1770">
            <v>0</v>
          </cell>
        </row>
        <row r="1771">
          <cell r="C1771" t="str">
            <v>10.32.10</v>
          </cell>
          <cell r="D1771" t="str">
            <v xml:space="preserve">         FUNDIDA WP34</v>
          </cell>
          <cell r="E1771" t="str">
            <v>1 día</v>
          </cell>
          <cell r="F1771">
            <v>0</v>
          </cell>
          <cell r="J1771">
            <v>1230815225.9452939</v>
          </cell>
        </row>
        <row r="1772">
          <cell r="D1772" t="str">
            <v>CONCRETO ESTRUCTURAL  35 MPa(350 kg/cm2 Ó 5000 psi)</v>
          </cell>
          <cell r="F1772" t="str">
            <v>m3</v>
          </cell>
          <cell r="G1772">
            <v>429.02941176470586</v>
          </cell>
          <cell r="H1772">
            <v>1926653</v>
          </cell>
          <cell r="I1772">
            <v>826590803.26470578</v>
          </cell>
          <cell r="J1772">
            <v>1140695308.5052938</v>
          </cell>
        </row>
        <row r="1773">
          <cell r="D1773" t="str">
            <v>CONCRETO ESTRUCTURAL  45 MPa(457 kg/cm2 Ó 6500psi)</v>
          </cell>
          <cell r="F1773" t="str">
            <v>m3</v>
          </cell>
          <cell r="G1773">
            <v>32</v>
          </cell>
          <cell r="H1773">
            <v>2040759</v>
          </cell>
          <cell r="I1773">
            <v>65304288</v>
          </cell>
          <cell r="J1773">
            <v>90119917.439999998</v>
          </cell>
        </row>
        <row r="1774">
          <cell r="C1774" t="str">
            <v>10.32.11</v>
          </cell>
          <cell r="D1774" t="str">
            <v xml:space="preserve">         CURADO DEL CONCRETO WP34</v>
          </cell>
          <cell r="E1774" t="str">
            <v>5 días</v>
          </cell>
          <cell r="F1774">
            <v>0</v>
          </cell>
        </row>
        <row r="1775">
          <cell r="C1775" t="str">
            <v>10.32.12</v>
          </cell>
          <cell r="D1775" t="str">
            <v xml:space="preserve">         INSTALACIONES ELECTRICAS Y SISTEMA PUESTA TIERRA WP34</v>
          </cell>
          <cell r="E1775" t="str">
            <v>2 días</v>
          </cell>
          <cell r="F1775">
            <v>0</v>
          </cell>
          <cell r="J1775">
            <v>52736347.43270281</v>
          </cell>
        </row>
        <row r="1776">
          <cell r="D1776" t="str">
            <v>ARQUETA EN HORMIGON PARA MEDIA TENSION - EMPALMES (500 MT)</v>
          </cell>
          <cell r="F1776" t="str">
            <v>Und</v>
          </cell>
          <cell r="G1776">
            <v>1</v>
          </cell>
          <cell r="H1776">
            <v>12275310.999985719</v>
          </cell>
          <cell r="I1776">
            <v>12275310.999985719</v>
          </cell>
          <cell r="J1776">
            <v>16939929.179980289</v>
          </cell>
        </row>
        <row r="1777">
          <cell r="D1777" t="str">
            <v>ARQUETA EN POLIPROPILENO</v>
          </cell>
          <cell r="F1777" t="str">
            <v>Und</v>
          </cell>
          <cell r="G1777">
            <v>1</v>
          </cell>
          <cell r="H1777">
            <v>6068599.9996856553</v>
          </cell>
          <cell r="I1777">
            <v>6068599.9996856553</v>
          </cell>
          <cell r="J1777">
            <v>8374667.9995662039</v>
          </cell>
        </row>
        <row r="1778">
          <cell r="D1778" t="str">
            <v>SUMINISTRO E INSTALACIÓN DE PLATINA</v>
          </cell>
          <cell r="F1778" t="str">
            <v>Und</v>
          </cell>
          <cell r="G1778">
            <v>1</v>
          </cell>
          <cell r="H1778">
            <v>361570</v>
          </cell>
          <cell r="I1778">
            <v>361570</v>
          </cell>
          <cell r="J1778">
            <v>498966.6</v>
          </cell>
        </row>
        <row r="1779">
          <cell r="D1779" t="str">
            <v>SUMINISTRO E INSTALACIÓN DE VARILLA</v>
          </cell>
          <cell r="F1779" t="str">
            <v>Und</v>
          </cell>
          <cell r="G1779">
            <v>1</v>
          </cell>
          <cell r="H1779">
            <v>398933</v>
          </cell>
          <cell r="I1779">
            <v>398933</v>
          </cell>
          <cell r="J1779">
            <v>550527.53999999992</v>
          </cell>
        </row>
        <row r="1780">
          <cell r="D1780" t="str">
            <v>SUMINISTRO E INSTALACIÓN DE ARQUETA PARA INSPECCIÓN DE PICAS EN PUESTA A TIERRA SIN FONDO</v>
          </cell>
          <cell r="F1780" t="str">
            <v>Und</v>
          </cell>
          <cell r="G1780">
            <v>1</v>
          </cell>
          <cell r="H1780">
            <v>14275700</v>
          </cell>
          <cell r="I1780">
            <v>14275700</v>
          </cell>
          <cell r="J1780">
            <v>19700466</v>
          </cell>
        </row>
        <row r="1781">
          <cell r="D1781" t="str">
            <v>SUMINISTRO E INSTALACIÓN DE SOLDADURA EXOTERMICA</v>
          </cell>
          <cell r="F1781" t="str">
            <v>Und</v>
          </cell>
          <cell r="G1781">
            <v>2.8000000000000003</v>
          </cell>
          <cell r="H1781">
            <v>185231</v>
          </cell>
          <cell r="I1781">
            <v>518646.80000000005</v>
          </cell>
          <cell r="J1781">
            <v>715732.58400000003</v>
          </cell>
        </row>
        <row r="1782">
          <cell r="D1782" t="str">
            <v>SUMINISTRO E INSTALACIÓN DE GRAPA DE ALEACIÓN RICA EN COBRE (LATÓN) MODELO KZ</v>
          </cell>
          <cell r="F1782" t="str">
            <v>Und</v>
          </cell>
          <cell r="G1782">
            <v>1</v>
          </cell>
          <cell r="H1782">
            <v>292083</v>
          </cell>
          <cell r="I1782">
            <v>292083</v>
          </cell>
          <cell r="J1782">
            <v>403074.54</v>
          </cell>
        </row>
        <row r="1783">
          <cell r="D1783" t="str">
            <v>SUMINISTRO E INSTALACIÓN DE GRAPA DE ALEACIÓN RICA EN COBRE (LATÓN) MODELO KPD</v>
          </cell>
          <cell r="F1783" t="str">
            <v>Und</v>
          </cell>
          <cell r="G1783">
            <v>0.99393939393939412</v>
          </cell>
          <cell r="H1783">
            <v>292083</v>
          </cell>
          <cell r="I1783">
            <v>290312.80000000005</v>
          </cell>
          <cell r="J1783">
            <v>400631.66400000005</v>
          </cell>
        </row>
        <row r="1784">
          <cell r="D1784" t="str">
            <v xml:space="preserve">INSTALACIÓN DE CABLE DE COBRE TRENZADO DESNUDO DE 50 mm2 </v>
          </cell>
          <cell r="F1784" t="str">
            <v>ML</v>
          </cell>
          <cell r="G1784">
            <v>113.1390243902439</v>
          </cell>
          <cell r="H1784">
            <v>33000.000989065411</v>
          </cell>
          <cell r="I1784">
            <v>3733587.9167799447</v>
          </cell>
          <cell r="J1784">
            <v>5152351.3251563236</v>
          </cell>
        </row>
        <row r="1785">
          <cell r="C1785" t="str">
            <v>10.32.13</v>
          </cell>
          <cell r="D1785" t="str">
            <v xml:space="preserve">         INSTALACION DE GROUT Y MORTERO AUTOCOMPACTANTE DE ALTA RESISTENCIA WP34</v>
          </cell>
          <cell r="E1785" t="str">
            <v>2 días</v>
          </cell>
          <cell r="F1785">
            <v>0</v>
          </cell>
          <cell r="J1785">
            <v>46410609.014634147</v>
          </cell>
        </row>
        <row r="1786">
          <cell r="D1786" t="str">
            <v>GROUT Y  MORTERO AUTOCOMPACTANTE DE ALTA RESISTENCIA C80/95 (EN206-1)</v>
          </cell>
          <cell r="F1786" t="str">
            <v>lt</v>
          </cell>
          <cell r="G1786">
            <v>530.73170731707319</v>
          </cell>
          <cell r="H1786">
            <v>63367</v>
          </cell>
          <cell r="I1786">
            <v>33630876.097560979</v>
          </cell>
          <cell r="J1786">
            <v>46410609.014634147</v>
          </cell>
        </row>
        <row r="1787">
          <cell r="C1787" t="str">
            <v>10.32.14</v>
          </cell>
          <cell r="D1787" t="str">
            <v xml:space="preserve">         TAPADO AREA DE CIMENTACIÓN Y CONFORMACIÓN DE PLATAFORMA WP34</v>
          </cell>
          <cell r="E1787" t="str">
            <v>7 días</v>
          </cell>
          <cell r="F1787">
            <v>0</v>
          </cell>
          <cell r="J1787">
            <v>1587346329.5488234</v>
          </cell>
        </row>
        <row r="1788">
          <cell r="D1788" t="str">
            <v>MATERIAL SELECIONADA PARA  FORMACIÓN Y COMPACTACIÓN DE TERRAPLENES Y RELLENO ESTRUCTURAL  (INCLUYE TRANSPORTE DESDE LAS CANTERAS LICENCIADAS HASTA EL SITIO DE INSTALACIÓN)</v>
          </cell>
          <cell r="F1788" t="str">
            <v>m3</v>
          </cell>
          <cell r="G1788">
            <v>5388.7058823529414</v>
          </cell>
          <cell r="H1788">
            <v>174890</v>
          </cell>
          <cell r="I1788">
            <v>942430771.7647059</v>
          </cell>
          <cell r="J1788">
            <v>1300554465.0352941</v>
          </cell>
        </row>
        <row r="1789">
          <cell r="D1789" t="str">
            <v>PREPARACIÓN DE SUBRASANTE COMPACTACIÓN Y VALORACIÓN DE LA CAPA DE SUBRASANTE DE LOS VIALES. INCLUYENDO LAS PRUEBAS SEGÚN LO PRESCRITO.</v>
          </cell>
          <cell r="F1789" t="str">
            <v>m2</v>
          </cell>
          <cell r="G1789">
            <v>631.61764705882354</v>
          </cell>
          <cell r="H1789">
            <v>11537</v>
          </cell>
          <cell r="I1789">
            <v>7286972.7941176472</v>
          </cell>
          <cell r="J1789">
            <v>10056022.455882352</v>
          </cell>
        </row>
        <row r="1790">
          <cell r="D1790" t="str">
            <v>SUBBASE GRANULAR  (INCLUYE TRANSPORTE DESDE LAS CANTERAS LICENCIADAS HASTA EL SITIO DE INSTALACIÓN)</v>
          </cell>
          <cell r="F1790" t="str">
            <v>m3</v>
          </cell>
          <cell r="G1790">
            <v>880.85294117647061</v>
          </cell>
          <cell r="H1790">
            <v>227658</v>
          </cell>
          <cell r="I1790">
            <v>200533218.88235295</v>
          </cell>
          <cell r="J1790">
            <v>276735842.05764705</v>
          </cell>
        </row>
        <row r="1791">
          <cell r="C1791" t="str">
            <v>10.32.15</v>
          </cell>
          <cell r="D1791" t="str">
            <v xml:space="preserve">         ESTABILIZACIÓN DE TALUDES EN PLATAFORMA Y RECONFORMACION FINAL WP34</v>
          </cell>
          <cell r="E1791" t="str">
            <v>7 días</v>
          </cell>
          <cell r="F1791">
            <v>0</v>
          </cell>
          <cell r="J1791">
            <v>179532477.23999998</v>
          </cell>
        </row>
        <row r="1792">
          <cell r="D1792" t="str">
            <v>BASE GRANULAR   (INCLUYE TRANSPORTE DESDE LAS CANTERAS LICENCIADAS HASTA EL SITIO DE INSTALACIÓN)</v>
          </cell>
          <cell r="F1792" t="str">
            <v>m3</v>
          </cell>
          <cell r="G1792">
            <v>237.64705882352942</v>
          </cell>
          <cell r="H1792">
            <v>265112</v>
          </cell>
          <cell r="I1792">
            <v>63003087.058823533</v>
          </cell>
          <cell r="J1792">
            <v>86944260.141176462</v>
          </cell>
        </row>
        <row r="1793">
          <cell r="D1793" t="str">
            <v xml:space="preserve">ENROCADO PROTECCIÓN TALUD PLATAFORMAS PROTECCIÓN CON ENROCADO DE PIEDRA DEL TALUD DE LAS PLATAFORMAS EN TERRAPLÉN CON 30 CM DE PIEDRA DE 6-10 CM DE DIÁMETRO, PESO ESPECÍFICO DE LAS PIEDRAS DE 2,64  G/CM3  (INCLUYE TRANSPORTE DESDE LAS CANTERAS LICENCIADAS HASTA EL SITIO DE INSTALACIÓN) </v>
          </cell>
          <cell r="F1793" t="str">
            <v>m3</v>
          </cell>
          <cell r="G1793">
            <v>42.352941176470587</v>
          </cell>
          <cell r="H1793">
            <v>276393</v>
          </cell>
          <cell r="I1793">
            <v>11706056.470588235</v>
          </cell>
          <cell r="J1793">
            <v>16154357.929411763</v>
          </cell>
        </row>
        <row r="1794">
          <cell r="D1794" t="str">
            <v xml:space="preserve">ENROCADO PROTECCIÓN TALUD CIMENTACION PROTECCIÓN CON ENROCADO DE PIEDRA DEL TALUD DE LAS CIMENTACIONES EN TERRAPLÉN CON 30 CM DE PIEDRA DE 6-10 CM DE DIÁMETRO, PESO ESPECÍFICO DE LAS PIEDRAS DE 2,64 G/CM3   (INCLUYE TRANSPORTE DESDE LAS CANTERAS LICENCIADAS HASTA EL SITIO DE INSTALACIÓN) </v>
          </cell>
          <cell r="F1794" t="str">
            <v>m3</v>
          </cell>
          <cell r="G1794">
            <v>25.529411764705884</v>
          </cell>
          <cell r="H1794">
            <v>286818</v>
          </cell>
          <cell r="I1794">
            <v>7322294.823529412</v>
          </cell>
          <cell r="J1794">
            <v>10104766.856470589</v>
          </cell>
        </row>
        <row r="1795">
          <cell r="D1795" t="str">
            <v>SUMINISTRO E INSTALACIÓN DE GEOTEXTILES</v>
          </cell>
          <cell r="F1795" t="str">
            <v>m2</v>
          </cell>
          <cell r="G1795">
            <v>887.17647058823525</v>
          </cell>
          <cell r="H1795">
            <v>54177</v>
          </cell>
          <cell r="I1795">
            <v>48064559.647058822</v>
          </cell>
          <cell r="J1795">
            <v>66329092.312941171</v>
          </cell>
        </row>
        <row r="1796">
          <cell r="C1796" t="str">
            <v>10.32.16</v>
          </cell>
          <cell r="D1796" t="str">
            <v xml:space="preserve">         HITO: FINALIZACION DE ACTIVIDADES EN CIMENTACION WP34</v>
          </cell>
          <cell r="E1796" t="str">
            <v>0 días</v>
          </cell>
          <cell r="F1796">
            <v>0</v>
          </cell>
        </row>
        <row r="1797">
          <cell r="C1797" t="str">
            <v>10.33</v>
          </cell>
          <cell r="D1797" t="str">
            <v xml:space="preserve">      CIMENTACION WP33</v>
          </cell>
          <cell r="E1797" t="str">
            <v>60 días</v>
          </cell>
          <cell r="F1797">
            <v>0</v>
          </cell>
        </row>
        <row r="1798">
          <cell r="C1798" t="str">
            <v>10.33.1</v>
          </cell>
          <cell r="D1798" t="str">
            <v xml:space="preserve">         DESBROCE DE AREA DE ACOPIO DE TORRE Y DE PALAS WP33</v>
          </cell>
          <cell r="E1798" t="str">
            <v>8 días</v>
          </cell>
          <cell r="F1798">
            <v>0</v>
          </cell>
          <cell r="J1798">
            <v>83271780.884117648</v>
          </cell>
        </row>
        <row r="1799">
          <cell r="D1799" t="str">
            <v>DESBROCE Y LIMPIEZA</v>
          </cell>
          <cell r="F1799" t="str">
            <v>m2</v>
          </cell>
          <cell r="G1799">
            <v>4799.0294117647063</v>
          </cell>
          <cell r="H1799">
            <v>4140</v>
          </cell>
          <cell r="I1799">
            <v>19867981.764705885</v>
          </cell>
          <cell r="J1799">
            <v>27417814.83529412</v>
          </cell>
        </row>
        <row r="1800">
          <cell r="D1800" t="str">
            <v>SUMINISTRO DE COMISION TOPOGRAFICA
 (incluyede GPS, Estación Total, tránsitos, distanciómetros, niveles de precisión, miras, prismas, jalones, plomadas, cintas métricas, etc., un cadenero primero , un cadenero segundo, ingeniero topógrafo/topógrafo con matricula vigente, insumos para ralizar la actividad, licencias de software utilizado para la ejecución de los trabajos, movilización de personal equipos y entregables en archivos magnéticos)</v>
          </cell>
          <cell r="F1800" t="str">
            <v>Mes</v>
          </cell>
          <cell r="G1800">
            <v>0.2</v>
          </cell>
          <cell r="H1800">
            <v>31500000</v>
          </cell>
          <cell r="I1800">
            <v>6300000</v>
          </cell>
          <cell r="J1800">
            <v>8694000</v>
          </cell>
        </row>
        <row r="1801">
          <cell r="D1801" t="str">
            <v>DESMONTE, DESCAPOTE Y LIMPIEZA INCLUYE  TALA DE ARBOLES CON DAP ≤0.15M, TRANSPORTE Y DISPOSICIÓN FINAL</v>
          </cell>
          <cell r="F1801" t="str">
            <v>m2</v>
          </cell>
          <cell r="G1801">
            <v>4799.0294117647063</v>
          </cell>
          <cell r="H1801">
            <v>7121</v>
          </cell>
          <cell r="I1801">
            <v>34173888.441176474</v>
          </cell>
          <cell r="J1801">
            <v>47159966.048823528</v>
          </cell>
        </row>
        <row r="1802">
          <cell r="C1802" t="str">
            <v>10.33.2</v>
          </cell>
          <cell r="D1802" t="str">
            <v xml:space="preserve">         EXCAVACIÓN DE CIMENTACION WP33</v>
          </cell>
          <cell r="E1802" t="str">
            <v>7 días</v>
          </cell>
          <cell r="F1802">
            <v>0</v>
          </cell>
          <cell r="J1802">
            <v>312374505.66882348</v>
          </cell>
        </row>
        <row r="1803">
          <cell r="D1803" t="str">
            <v>EXCAVACIÓN MECÁNICA EN MATERIAL COMÚN</v>
          </cell>
          <cell r="F1803" t="str">
            <v>m3</v>
          </cell>
          <cell r="G1803">
            <v>4799.0294117647063</v>
          </cell>
          <cell r="H1803">
            <v>35495</v>
          </cell>
          <cell r="I1803">
            <v>170341548.97058824</v>
          </cell>
          <cell r="J1803">
            <v>235071337.57941175</v>
          </cell>
        </row>
        <row r="1804">
          <cell r="D1804" t="str">
            <v>EXCAVACIÓN EN ROCA</v>
          </cell>
          <cell r="F1804" t="str">
            <v>m3</v>
          </cell>
          <cell r="G1804">
            <v>414.35294117647061</v>
          </cell>
          <cell r="H1804">
            <v>135191</v>
          </cell>
          <cell r="I1804">
            <v>56016788.470588237</v>
          </cell>
          <cell r="J1804">
            <v>77303168.089411765</v>
          </cell>
        </row>
        <row r="1805">
          <cell r="C1805" t="str">
            <v>10.33.3</v>
          </cell>
          <cell r="D1805" t="str">
            <v xml:space="preserve">         BANCO DE DUCTO WP33</v>
          </cell>
          <cell r="E1805" t="str">
            <v>3 días</v>
          </cell>
          <cell r="F1805">
            <v>0</v>
          </cell>
          <cell r="J1805">
            <v>9527825.6870364472</v>
          </cell>
        </row>
        <row r="1806">
          <cell r="D1806" t="str">
            <v>INSTALACION DE TUBERIA PVC TIPO TDP Y/O CORRUGADA TIPO PEAD-HDPE  - 50mm</v>
          </cell>
          <cell r="F1806" t="str">
            <v>ML</v>
          </cell>
          <cell r="G1806">
            <v>7.2352941176470589</v>
          </cell>
          <cell r="H1806">
            <v>27751.000385791169</v>
          </cell>
          <cell r="I1806">
            <v>200786.64985013611</v>
          </cell>
          <cell r="J1806">
            <v>277085.57679318782</v>
          </cell>
        </row>
        <row r="1807">
          <cell r="D1807" t="str">
            <v>INSTALACION DE TUBERIA PVC TIPO TDP Y/O CORRUGADA TIPO PEAD-HDPE - 90mm</v>
          </cell>
          <cell r="F1807" t="str">
            <v>ML</v>
          </cell>
          <cell r="G1807">
            <v>34.694117647058818</v>
          </cell>
          <cell r="H1807">
            <v>31239.000009014315</v>
          </cell>
          <cell r="I1807">
            <v>1083809.5414892142</v>
          </cell>
          <cell r="J1807">
            <v>1495657.1672551155</v>
          </cell>
        </row>
        <row r="1808">
          <cell r="D1808" t="str">
            <v>INSTALACION DE TUBERIA PVC TIPO TDP  Y/O CORRUGADA TIPO PEAD-HDPE - 200mm</v>
          </cell>
          <cell r="F1808" t="str">
            <v>ML</v>
          </cell>
          <cell r="G1808">
            <v>70.332352941176467</v>
          </cell>
          <cell r="H1808">
            <v>79900.999838665448</v>
          </cell>
          <cell r="I1808">
            <v>5619625.3210059023</v>
          </cell>
          <cell r="J1808">
            <v>7755082.9429881442</v>
          </cell>
        </row>
        <row r="1809">
          <cell r="C1809" t="str">
            <v>10.33.4</v>
          </cell>
          <cell r="D1809" t="str">
            <v xml:space="preserve">         COMPACTACION DE SELLO DE BASE WP33</v>
          </cell>
          <cell r="E1809" t="str">
            <v>2 días</v>
          </cell>
          <cell r="F1809">
            <v>0</v>
          </cell>
          <cell r="J1809">
            <v>320494616.71764702</v>
          </cell>
        </row>
        <row r="1810">
          <cell r="D1810" t="str">
            <v>RELLENO CON MATERIAL DE EXCAVACIÓN SELECCIONADO</v>
          </cell>
          <cell r="F1810" t="str">
            <v>m3</v>
          </cell>
          <cell r="G1810">
            <v>4530.6764705882351</v>
          </cell>
          <cell r="H1810">
            <v>51260</v>
          </cell>
          <cell r="I1810">
            <v>232242475.88235292</v>
          </cell>
          <cell r="J1810">
            <v>320494616.71764702</v>
          </cell>
        </row>
        <row r="1811">
          <cell r="C1811" t="str">
            <v>10.33.5</v>
          </cell>
          <cell r="D1811" t="str">
            <v xml:space="preserve">         SOLADO WP33</v>
          </cell>
          <cell r="E1811" t="str">
            <v>1 día</v>
          </cell>
          <cell r="F1811">
            <v>0</v>
          </cell>
          <cell r="J1811">
            <v>94303618.549411759</v>
          </cell>
        </row>
        <row r="1812">
          <cell r="D1812" t="str">
            <v>CONCRETO CLASE F (140 kg/cm2 Ó 2000 psi)</v>
          </cell>
          <cell r="F1812" t="str">
            <v>m3</v>
          </cell>
          <cell r="G1812">
            <v>43.941176470588232</v>
          </cell>
          <cell r="H1812">
            <v>1555169</v>
          </cell>
          <cell r="I1812">
            <v>68335955.470588237</v>
          </cell>
          <cell r="J1812">
            <v>94303618.549411759</v>
          </cell>
        </row>
        <row r="1813">
          <cell r="C1813" t="str">
            <v>10.33.6</v>
          </cell>
          <cell r="D1813" t="str">
            <v xml:space="preserve">         INSTALACIÓN DE PERNOS Y SOFT-SPOT WP33</v>
          </cell>
          <cell r="E1813" t="str">
            <v>5 días</v>
          </cell>
          <cell r="F1813">
            <v>0</v>
          </cell>
          <cell r="J1813">
            <v>179436034.15411764</v>
          </cell>
        </row>
        <row r="1814">
          <cell r="D1814" t="str">
            <v>S0FT-SPOT  (EPS) Tipo II (ASM C578)</v>
          </cell>
          <cell r="F1814" t="str">
            <v>m2</v>
          </cell>
          <cell r="G1814">
            <v>62.117647058823529</v>
          </cell>
          <cell r="H1814">
            <v>484846</v>
          </cell>
          <cell r="I1814">
            <v>30117492.705882352</v>
          </cell>
          <cell r="J1814">
            <v>41562139.934117645</v>
          </cell>
        </row>
        <row r="1815">
          <cell r="D1815" t="str">
            <v>MONTAJE Y NIVELACION DE LA JAULA DE ANCLAJES INCLUYE  LA PREPARACIÓN
 DEL ÁREA, LA NIVELACIÓN Y POSICIONAMIENTO DE LOS COMPONENTES (COMO PLANTILLAS Y VARILLAS), EL ENSAMBLAJE DE LA ESTRUCTURA, LA FIJACIÓN FINAL A LA CIMENTACIÓN CON PERNOS DE ANCLAJE, MONTAJE DE BRIDAS, TORQUE Y LIBERACIÓN DE LA CESTA, INCLUYE LA HERRAMIENTA Y EQUIPO DE INSTALACIÓN (peso estimado por jaula 13896  kg)</v>
          </cell>
          <cell r="F1815" t="str">
            <v>Und</v>
          </cell>
          <cell r="G1815">
            <v>1</v>
          </cell>
          <cell r="H1815">
            <v>99908619</v>
          </cell>
          <cell r="I1815">
            <v>99908619</v>
          </cell>
          <cell r="J1815">
            <v>137873894.22</v>
          </cell>
        </row>
        <row r="1816">
          <cell r="C1816" t="str">
            <v>10.33.7</v>
          </cell>
          <cell r="D1816" t="str">
            <v xml:space="preserve">         INSTALACIÓN DE ACERO DE REFUERZO WP33</v>
          </cell>
          <cell r="E1816" t="str">
            <v>14 días</v>
          </cell>
          <cell r="F1816">
            <v>0</v>
          </cell>
          <cell r="J1816">
            <v>1212623361.2117648</v>
          </cell>
        </row>
        <row r="1817">
          <cell r="D1817" t="str">
            <v>ACERO FY:  60000 psi (4.200 kg/cm2)</v>
          </cell>
          <cell r="F1817" t="str">
            <v>kg</v>
          </cell>
          <cell r="G1817">
            <v>68756.852941176476</v>
          </cell>
          <cell r="H1817">
            <v>12780</v>
          </cell>
          <cell r="I1817">
            <v>878712580.58823538</v>
          </cell>
          <cell r="J1817">
            <v>1212623361.2117648</v>
          </cell>
        </row>
        <row r="1818">
          <cell r="C1818" t="str">
            <v>10.33.8</v>
          </cell>
          <cell r="D1818" t="str">
            <v xml:space="preserve">         ENCOFRADO DE ZAPATA Y DE PEDESTAL WP33</v>
          </cell>
          <cell r="E1818" t="str">
            <v>3 días</v>
          </cell>
          <cell r="F1818">
            <v>0</v>
          </cell>
        </row>
        <row r="1819">
          <cell r="C1819" t="str">
            <v>10.33.9</v>
          </cell>
          <cell r="D1819" t="str">
            <v xml:space="preserve">         HITO: ALISTAMIENTO Y MOVILIZACIÓN DE PLANTA DE CONCRETO PARA WP33</v>
          </cell>
          <cell r="E1819" t="str">
            <v>0 días</v>
          </cell>
          <cell r="F1819">
            <v>0</v>
          </cell>
        </row>
        <row r="1820">
          <cell r="C1820" t="str">
            <v>10.33.10</v>
          </cell>
          <cell r="D1820" t="str">
            <v xml:space="preserve">         FUNDIDA WP33</v>
          </cell>
          <cell r="E1820" t="str">
            <v>1 día</v>
          </cell>
          <cell r="F1820">
            <v>0</v>
          </cell>
          <cell r="J1820">
            <v>1230815225.9452939</v>
          </cell>
        </row>
        <row r="1821">
          <cell r="D1821" t="str">
            <v>CONCRETO ESTRUCTURAL  35 MPa(350 kg/cm2 Ó 5000 psi)</v>
          </cell>
          <cell r="F1821" t="str">
            <v>m3</v>
          </cell>
          <cell r="G1821">
            <v>429.02941176470586</v>
          </cell>
          <cell r="H1821">
            <v>1926653</v>
          </cell>
          <cell r="I1821">
            <v>826590803.26470578</v>
          </cell>
          <cell r="J1821">
            <v>1140695308.5052938</v>
          </cell>
        </row>
        <row r="1822">
          <cell r="D1822" t="str">
            <v>CONCRETO ESTRUCTURAL  45 MPa(457 kg/cm2 Ó 6500psi)</v>
          </cell>
          <cell r="F1822" t="str">
            <v>m3</v>
          </cell>
          <cell r="G1822">
            <v>32</v>
          </cell>
          <cell r="H1822">
            <v>2040759</v>
          </cell>
          <cell r="I1822">
            <v>65304288</v>
          </cell>
          <cell r="J1822">
            <v>90119917.439999998</v>
          </cell>
        </row>
        <row r="1823">
          <cell r="C1823" t="str">
            <v>10.33.11</v>
          </cell>
          <cell r="D1823" t="str">
            <v xml:space="preserve">         CURADO DEL CONCRETO WP33</v>
          </cell>
          <cell r="E1823" t="str">
            <v>5 días</v>
          </cell>
          <cell r="F1823">
            <v>0</v>
          </cell>
        </row>
        <row r="1824">
          <cell r="C1824" t="str">
            <v>10.33.12</v>
          </cell>
          <cell r="D1824" t="str">
            <v xml:space="preserve">         INSTALACIONES ELECTRICAS Y SISTEMA PUESTA TIERRA WP33</v>
          </cell>
          <cell r="E1824" t="str">
            <v>2 días</v>
          </cell>
          <cell r="F1824">
            <v>0</v>
          </cell>
          <cell r="J1824">
            <v>52736347.43270281</v>
          </cell>
        </row>
        <row r="1825">
          <cell r="D1825" t="str">
            <v>ARQUETA EN HORMIGON PARA MEDIA TENSION - EMPALMES (500 MT)</v>
          </cell>
          <cell r="F1825" t="str">
            <v>Und</v>
          </cell>
          <cell r="G1825">
            <v>1</v>
          </cell>
          <cell r="H1825">
            <v>12275310.999985719</v>
          </cell>
          <cell r="I1825">
            <v>12275310.999985719</v>
          </cell>
          <cell r="J1825">
            <v>16939929.179980289</v>
          </cell>
        </row>
        <row r="1826">
          <cell r="D1826" t="str">
            <v>ARQUETA EN POLIPROPILENO</v>
          </cell>
          <cell r="F1826" t="str">
            <v>Und</v>
          </cell>
          <cell r="G1826">
            <v>1</v>
          </cell>
          <cell r="H1826">
            <v>6068599.9996856553</v>
          </cell>
          <cell r="I1826">
            <v>6068599.9996856553</v>
          </cell>
          <cell r="J1826">
            <v>8374667.9995662039</v>
          </cell>
        </row>
        <row r="1827">
          <cell r="D1827" t="str">
            <v>SUMINISTRO E INSTALACIÓN DE PLATINA</v>
          </cell>
          <cell r="F1827" t="str">
            <v>Und</v>
          </cell>
          <cell r="G1827">
            <v>1</v>
          </cell>
          <cell r="H1827">
            <v>361570</v>
          </cell>
          <cell r="I1827">
            <v>361570</v>
          </cell>
          <cell r="J1827">
            <v>498966.6</v>
          </cell>
        </row>
        <row r="1828">
          <cell r="D1828" t="str">
            <v>SUMINISTRO E INSTALACIÓN DE VARILLA</v>
          </cell>
          <cell r="F1828" t="str">
            <v>Und</v>
          </cell>
          <cell r="G1828">
            <v>1</v>
          </cell>
          <cell r="H1828">
            <v>398933</v>
          </cell>
          <cell r="I1828">
            <v>398933</v>
          </cell>
          <cell r="J1828">
            <v>550527.53999999992</v>
          </cell>
        </row>
        <row r="1829">
          <cell r="D1829" t="str">
            <v>SUMINISTRO E INSTALACIÓN DE ARQUETA PARA INSPECCIÓN DE PICAS EN PUESTA A TIERRA SIN FONDO</v>
          </cell>
          <cell r="F1829" t="str">
            <v>Und</v>
          </cell>
          <cell r="G1829">
            <v>1</v>
          </cell>
          <cell r="H1829">
            <v>14275700</v>
          </cell>
          <cell r="I1829">
            <v>14275700</v>
          </cell>
          <cell r="J1829">
            <v>19700466</v>
          </cell>
        </row>
        <row r="1830">
          <cell r="D1830" t="str">
            <v>SUMINISTRO E INSTALACIÓN DE SOLDADURA EXOTERMICA</v>
          </cell>
          <cell r="F1830" t="str">
            <v>Und</v>
          </cell>
          <cell r="G1830">
            <v>2.8000000000000003</v>
          </cell>
          <cell r="H1830">
            <v>185231</v>
          </cell>
          <cell r="I1830">
            <v>518646.80000000005</v>
          </cell>
          <cell r="J1830">
            <v>715732.58400000003</v>
          </cell>
        </row>
        <row r="1831">
          <cell r="D1831" t="str">
            <v>SUMINISTRO E INSTALACIÓN DE GRAPA DE ALEACIÓN RICA EN COBRE (LATÓN) MODELO KZ</v>
          </cell>
          <cell r="F1831" t="str">
            <v>Und</v>
          </cell>
          <cell r="G1831">
            <v>1</v>
          </cell>
          <cell r="H1831">
            <v>292083</v>
          </cell>
          <cell r="I1831">
            <v>292083</v>
          </cell>
          <cell r="J1831">
            <v>403074.54</v>
          </cell>
        </row>
        <row r="1832">
          <cell r="D1832" t="str">
            <v>SUMINISTRO E INSTALACIÓN DE GRAPA DE ALEACIÓN RICA EN COBRE (LATÓN) MODELO KPD</v>
          </cell>
          <cell r="F1832" t="str">
            <v>Und</v>
          </cell>
          <cell r="G1832">
            <v>0.99393939393939412</v>
          </cell>
          <cell r="H1832">
            <v>292083</v>
          </cell>
          <cell r="I1832">
            <v>290312.80000000005</v>
          </cell>
          <cell r="J1832">
            <v>400631.66400000005</v>
          </cell>
        </row>
        <row r="1833">
          <cell r="D1833" t="str">
            <v xml:space="preserve">INSTALACIÓN DE CABLE DE COBRE TRENZADO DESNUDO DE 50 mm2 </v>
          </cell>
          <cell r="F1833" t="str">
            <v>ML</v>
          </cell>
          <cell r="G1833">
            <v>113.1390243902439</v>
          </cell>
          <cell r="H1833">
            <v>33000.000989065411</v>
          </cell>
          <cell r="I1833">
            <v>3733587.9167799447</v>
          </cell>
          <cell r="J1833">
            <v>5152351.3251563236</v>
          </cell>
        </row>
        <row r="1834">
          <cell r="C1834" t="str">
            <v>10.33.13</v>
          </cell>
          <cell r="D1834" t="str">
            <v xml:space="preserve">         INSTALACION DE GROUT Y MORTERO AUTOCOMPACTANTE DE ALTA RESISTENCIA WP33</v>
          </cell>
          <cell r="E1834" t="str">
            <v>2 días</v>
          </cell>
          <cell r="F1834">
            <v>0</v>
          </cell>
          <cell r="J1834">
            <v>46410609.014634147</v>
          </cell>
        </row>
        <row r="1835">
          <cell r="D1835" t="str">
            <v>GROUT Y  MORTERO AUTOCOMPACTANTE DE ALTA RESISTENCIA C80/95 (EN206-1)</v>
          </cell>
          <cell r="F1835" t="str">
            <v>lt</v>
          </cell>
          <cell r="G1835">
            <v>530.73170731707319</v>
          </cell>
          <cell r="H1835">
            <v>63367</v>
          </cell>
          <cell r="I1835">
            <v>33630876.097560979</v>
          </cell>
          <cell r="J1835">
            <v>46410609.014634147</v>
          </cell>
        </row>
        <row r="1836">
          <cell r="C1836" t="str">
            <v>10.33.14</v>
          </cell>
          <cell r="D1836" t="str">
            <v xml:space="preserve">         TAPADO AREA DE CIMENTACIÓN Y CONFORMACIÓN DE PLATAFORMA WP33</v>
          </cell>
          <cell r="E1836" t="str">
            <v>7 días</v>
          </cell>
          <cell r="F1836">
            <v>0</v>
          </cell>
          <cell r="J1836">
            <v>1587346329.5488234</v>
          </cell>
        </row>
        <row r="1837">
          <cell r="D1837" t="str">
            <v>MATERIAL SELECIONADA PARA  FORMACIÓN Y COMPACTACIÓN DE TERRAPLENES Y RELLENO ESTRUCTURAL  (INCLUYE TRANSPORTE DESDE LAS CANTERAS LICENCIADAS HASTA EL SITIO DE INSTALACIÓN)</v>
          </cell>
          <cell r="F1837" t="str">
            <v>m3</v>
          </cell>
          <cell r="G1837">
            <v>5388.7058823529414</v>
          </cell>
          <cell r="H1837">
            <v>174890</v>
          </cell>
          <cell r="I1837">
            <v>942430771.7647059</v>
          </cell>
          <cell r="J1837">
            <v>1300554465.0352941</v>
          </cell>
        </row>
        <row r="1838">
          <cell r="D1838" t="str">
            <v>PREPARACIÓN DE SUBRASANTE COMPACTACIÓN Y VALORACIÓN DE LA CAPA DE SUBRASANTE DE LOS VIALES. INCLUYENDO LAS PRUEBAS SEGÚN LO PRESCRITO.</v>
          </cell>
          <cell r="F1838" t="str">
            <v>m2</v>
          </cell>
          <cell r="G1838">
            <v>631.61764705882354</v>
          </cell>
          <cell r="H1838">
            <v>11537</v>
          </cell>
          <cell r="I1838">
            <v>7286972.7941176472</v>
          </cell>
          <cell r="J1838">
            <v>10056022.455882352</v>
          </cell>
        </row>
        <row r="1839">
          <cell r="D1839" t="str">
            <v>SUBBASE GRANULAR  (INCLUYE TRANSPORTE DESDE LAS CANTERAS LICENCIADAS HASTA EL SITIO DE INSTALACIÓN)</v>
          </cell>
          <cell r="F1839" t="str">
            <v>m3</v>
          </cell>
          <cell r="G1839">
            <v>880.85294117647061</v>
          </cell>
          <cell r="H1839">
            <v>227658</v>
          </cell>
          <cell r="I1839">
            <v>200533218.88235295</v>
          </cell>
          <cell r="J1839">
            <v>276735842.05764705</v>
          </cell>
        </row>
        <row r="1840">
          <cell r="C1840" t="str">
            <v>10.33.15</v>
          </cell>
          <cell r="D1840" t="str">
            <v xml:space="preserve">         ESTABILIZACIÓN DE TALUDES EN PLATAFORMA Y RECONFORMACION FINAL WP33</v>
          </cell>
          <cell r="E1840" t="str">
            <v>7 días</v>
          </cell>
          <cell r="F1840">
            <v>0</v>
          </cell>
          <cell r="J1840">
            <v>179532477.23999998</v>
          </cell>
        </row>
        <row r="1841">
          <cell r="D1841" t="str">
            <v>BASE GRANULAR   (INCLUYE TRANSPORTE DESDE LAS CANTERAS LICENCIADAS HASTA EL SITIO DE INSTALACIÓN)</v>
          </cell>
          <cell r="F1841" t="str">
            <v>m3</v>
          </cell>
          <cell r="G1841">
            <v>237.64705882352942</v>
          </cell>
          <cell r="H1841">
            <v>265112</v>
          </cell>
          <cell r="I1841">
            <v>63003087.058823533</v>
          </cell>
          <cell r="J1841">
            <v>86944260.141176462</v>
          </cell>
        </row>
        <row r="1842">
          <cell r="D1842" t="str">
            <v xml:space="preserve">ENROCADO PROTECCIÓN TALUD PLATAFORMAS PROTECCIÓN CON ENROCADO DE PIEDRA DEL TALUD DE LAS PLATAFORMAS EN TERRAPLÉN CON 30 CM DE PIEDRA DE 6-10 CM DE DIÁMETRO, PESO ESPECÍFICO DE LAS PIEDRAS DE 2,64  G/CM3  (INCLUYE TRANSPORTE DESDE LAS CANTERAS LICENCIADAS HASTA EL SITIO DE INSTALACIÓN) </v>
          </cell>
          <cell r="F1842" t="str">
            <v>m3</v>
          </cell>
          <cell r="G1842">
            <v>42.352941176470587</v>
          </cell>
          <cell r="H1842">
            <v>276393</v>
          </cell>
          <cell r="I1842">
            <v>11706056.470588235</v>
          </cell>
          <cell r="J1842">
            <v>16154357.929411763</v>
          </cell>
        </row>
        <row r="1843">
          <cell r="D1843" t="str">
            <v xml:space="preserve">ENROCADO PROTECCIÓN TALUD CIMENTACION PROTECCIÓN CON ENROCADO DE PIEDRA DEL TALUD DE LAS CIMENTACIONES EN TERRAPLÉN CON 30 CM DE PIEDRA DE 6-10 CM DE DIÁMETRO, PESO ESPECÍFICO DE LAS PIEDRAS DE 2,64 G/CM3   (INCLUYE TRANSPORTE DESDE LAS CANTERAS LICENCIADAS HASTA EL SITIO DE INSTALACIÓN) </v>
          </cell>
          <cell r="F1843" t="str">
            <v>m3</v>
          </cell>
          <cell r="G1843">
            <v>25.529411764705884</v>
          </cell>
          <cell r="H1843">
            <v>286818</v>
          </cell>
          <cell r="I1843">
            <v>7322294.823529412</v>
          </cell>
          <cell r="J1843">
            <v>10104766.856470589</v>
          </cell>
        </row>
        <row r="1844">
          <cell r="D1844" t="str">
            <v>SUMINISTRO E INSTALACIÓN DE GEOTEXTILES</v>
          </cell>
          <cell r="F1844" t="str">
            <v>m2</v>
          </cell>
          <cell r="G1844">
            <v>887.17647058823525</v>
          </cell>
          <cell r="H1844">
            <v>54177</v>
          </cell>
          <cell r="I1844">
            <v>48064559.647058822</v>
          </cell>
          <cell r="J1844">
            <v>66329092.312941171</v>
          </cell>
        </row>
        <row r="1845">
          <cell r="C1845" t="str">
            <v>10.33.16</v>
          </cell>
          <cell r="D1845" t="str">
            <v xml:space="preserve">         HITO: FINALIZACION DE ACTIVIDADES EN CIMENTACION WP33</v>
          </cell>
          <cell r="E1845" t="str">
            <v>0 días</v>
          </cell>
          <cell r="F1845">
            <v>0</v>
          </cell>
        </row>
        <row r="1846">
          <cell r="C1846" t="str">
            <v>10.34</v>
          </cell>
          <cell r="D1846" t="str">
            <v xml:space="preserve">      CIMENTACION WP32</v>
          </cell>
          <cell r="E1846" t="str">
            <v>60 días</v>
          </cell>
          <cell r="F1846">
            <v>0</v>
          </cell>
        </row>
        <row r="1847">
          <cell r="C1847" t="str">
            <v>10.34.1</v>
          </cell>
          <cell r="D1847" t="str">
            <v xml:space="preserve">         DESBROCE DE AREA DE ACOPIO DE TORRE Y DE PALAS WP32</v>
          </cell>
          <cell r="E1847" t="str">
            <v>8 días</v>
          </cell>
          <cell r="F1847">
            <v>0</v>
          </cell>
          <cell r="J1847">
            <v>83271780.884117648</v>
          </cell>
        </row>
        <row r="1848">
          <cell r="D1848" t="str">
            <v>DESBROCE Y LIMPIEZA</v>
          </cell>
          <cell r="F1848" t="str">
            <v>m2</v>
          </cell>
          <cell r="G1848">
            <v>4799.0294117647063</v>
          </cell>
          <cell r="H1848">
            <v>4140</v>
          </cell>
          <cell r="I1848">
            <v>19867981.764705885</v>
          </cell>
          <cell r="J1848">
            <v>27417814.83529412</v>
          </cell>
        </row>
        <row r="1849">
          <cell r="D1849" t="str">
            <v>SUMINISTRO DE COMISION TOPOGRAFICA
 (incluyede GPS, Estación Total, tránsitos, distanciómetros, niveles de precisión, miras, prismas, jalones, plomadas, cintas métricas, etc., un cadenero primero , un cadenero segundo, ingeniero topógrafo/topógrafo con matricula vigente, insumos para ralizar la actividad, licencias de software utilizado para la ejecución de los trabajos, movilización de personal equipos y entregables en archivos magnéticos)</v>
          </cell>
          <cell r="F1849" t="str">
            <v>Mes</v>
          </cell>
          <cell r="G1849">
            <v>0.2</v>
          </cell>
          <cell r="H1849">
            <v>31500000</v>
          </cell>
          <cell r="I1849">
            <v>6300000</v>
          </cell>
          <cell r="J1849">
            <v>8694000</v>
          </cell>
        </row>
        <row r="1850">
          <cell r="D1850" t="str">
            <v>DESMONTE, DESCAPOTE Y LIMPIEZA INCLUYE  TALA DE ARBOLES CON DAP ≤0.15M, TRANSPORTE Y DISPOSICIÓN FINAL</v>
          </cell>
          <cell r="F1850" t="str">
            <v>m2</v>
          </cell>
          <cell r="G1850">
            <v>4799.0294117647063</v>
          </cell>
          <cell r="H1850">
            <v>7121</v>
          </cell>
          <cell r="I1850">
            <v>34173888.441176474</v>
          </cell>
          <cell r="J1850">
            <v>47159966.048823528</v>
          </cell>
        </row>
        <row r="1851">
          <cell r="C1851" t="str">
            <v>10.34.2</v>
          </cell>
          <cell r="D1851" t="str">
            <v xml:space="preserve">         EXCAVACIÓN DE CIMENTACION WP32</v>
          </cell>
          <cell r="E1851" t="str">
            <v>7 días</v>
          </cell>
          <cell r="F1851">
            <v>0</v>
          </cell>
          <cell r="J1851">
            <v>312374505.66882348</v>
          </cell>
        </row>
        <row r="1852">
          <cell r="D1852" t="str">
            <v>EXCAVACIÓN MECÁNICA EN MATERIAL COMÚN</v>
          </cell>
          <cell r="F1852" t="str">
            <v>m3</v>
          </cell>
          <cell r="G1852">
            <v>4799.0294117647063</v>
          </cell>
          <cell r="H1852">
            <v>35495</v>
          </cell>
          <cell r="I1852">
            <v>170341548.97058824</v>
          </cell>
          <cell r="J1852">
            <v>235071337.57941175</v>
          </cell>
        </row>
        <row r="1853">
          <cell r="D1853" t="str">
            <v>EXCAVACIÓN EN ROCA</v>
          </cell>
          <cell r="F1853" t="str">
            <v>m3</v>
          </cell>
          <cell r="G1853">
            <v>414.35294117647061</v>
          </cell>
          <cell r="H1853">
            <v>135191</v>
          </cell>
          <cell r="I1853">
            <v>56016788.470588237</v>
          </cell>
          <cell r="J1853">
            <v>77303168.089411765</v>
          </cell>
        </row>
        <row r="1854">
          <cell r="C1854" t="str">
            <v>10.34.3</v>
          </cell>
          <cell r="D1854" t="str">
            <v xml:space="preserve">         BANCO DE DUCTO WP32</v>
          </cell>
          <cell r="E1854" t="str">
            <v>3 días</v>
          </cell>
          <cell r="F1854">
            <v>0</v>
          </cell>
          <cell r="J1854">
            <v>9527825.6870364472</v>
          </cell>
        </row>
        <row r="1855">
          <cell r="D1855" t="str">
            <v>INSTALACION DE TUBERIA PVC TIPO TDP Y/O CORRUGADA TIPO PEAD-HDPE  - 50mm</v>
          </cell>
          <cell r="F1855" t="str">
            <v>ML</v>
          </cell>
          <cell r="G1855">
            <v>7.2352941176470589</v>
          </cell>
          <cell r="H1855">
            <v>27751.000385791169</v>
          </cell>
          <cell r="I1855">
            <v>200786.64985013611</v>
          </cell>
          <cell r="J1855">
            <v>277085.57679318782</v>
          </cell>
        </row>
        <row r="1856">
          <cell r="D1856" t="str">
            <v>INSTALACION DE TUBERIA PVC TIPO TDP Y/O CORRUGADA TIPO PEAD-HDPE - 90mm</v>
          </cell>
          <cell r="F1856" t="str">
            <v>ML</v>
          </cell>
          <cell r="G1856">
            <v>34.694117647058818</v>
          </cell>
          <cell r="H1856">
            <v>31239.000009014315</v>
          </cell>
          <cell r="I1856">
            <v>1083809.5414892142</v>
          </cell>
          <cell r="J1856">
            <v>1495657.1672551155</v>
          </cell>
        </row>
        <row r="1857">
          <cell r="D1857" t="str">
            <v>INSTALACION DE TUBERIA PVC TIPO TDP  Y/O CORRUGADA TIPO PEAD-HDPE - 200mm</v>
          </cell>
          <cell r="F1857" t="str">
            <v>ML</v>
          </cell>
          <cell r="G1857">
            <v>70.332352941176467</v>
          </cell>
          <cell r="H1857">
            <v>79900.999838665448</v>
          </cell>
          <cell r="I1857">
            <v>5619625.3210059023</v>
          </cell>
          <cell r="J1857">
            <v>7755082.9429881442</v>
          </cell>
        </row>
        <row r="1858">
          <cell r="C1858" t="str">
            <v>10.34.4</v>
          </cell>
          <cell r="D1858" t="str">
            <v xml:space="preserve">         COMPACTACION DE SELLO DE BASE WP32</v>
          </cell>
          <cell r="E1858" t="str">
            <v>2 días</v>
          </cell>
          <cell r="F1858">
            <v>0</v>
          </cell>
          <cell r="J1858">
            <v>320494616.71764702</v>
          </cell>
        </row>
        <row r="1859">
          <cell r="D1859" t="str">
            <v>RELLENO CON MATERIAL DE EXCAVACIÓN SELECCIONADO</v>
          </cell>
          <cell r="F1859" t="str">
            <v>m3</v>
          </cell>
          <cell r="G1859">
            <v>4530.6764705882351</v>
          </cell>
          <cell r="H1859">
            <v>51260</v>
          </cell>
          <cell r="I1859">
            <v>232242475.88235292</v>
          </cell>
          <cell r="J1859">
            <v>320494616.71764702</v>
          </cell>
        </row>
        <row r="1860">
          <cell r="C1860" t="str">
            <v>10.34.5</v>
          </cell>
          <cell r="D1860" t="str">
            <v xml:space="preserve">         SOLADO WP32</v>
          </cell>
          <cell r="E1860" t="str">
            <v>1 día</v>
          </cell>
          <cell r="F1860">
            <v>0</v>
          </cell>
          <cell r="J1860">
            <v>94303618.549411759</v>
          </cell>
        </row>
        <row r="1861">
          <cell r="D1861" t="str">
            <v>CONCRETO CLASE F (140 kg/cm2 Ó 2000 psi)</v>
          </cell>
          <cell r="F1861" t="str">
            <v>m3</v>
          </cell>
          <cell r="G1861">
            <v>43.941176470588232</v>
          </cell>
          <cell r="H1861">
            <v>1555169</v>
          </cell>
          <cell r="I1861">
            <v>68335955.470588237</v>
          </cell>
          <cell r="J1861">
            <v>94303618.549411759</v>
          </cell>
        </row>
        <row r="1862">
          <cell r="C1862" t="str">
            <v>10.34.6</v>
          </cell>
          <cell r="D1862" t="str">
            <v xml:space="preserve">         INSTALACIÓN DE PERNOS Y SOFT-SPOT WP32</v>
          </cell>
          <cell r="E1862" t="str">
            <v>5 días</v>
          </cell>
          <cell r="F1862">
            <v>0</v>
          </cell>
          <cell r="J1862">
            <v>179436034.15411764</v>
          </cell>
        </row>
        <row r="1863">
          <cell r="D1863" t="str">
            <v>S0FT-SPOT  (EPS) Tipo II (ASM C578)</v>
          </cell>
          <cell r="F1863" t="str">
            <v>m2</v>
          </cell>
          <cell r="G1863">
            <v>62.117647058823529</v>
          </cell>
          <cell r="H1863">
            <v>484846</v>
          </cell>
          <cell r="I1863">
            <v>30117492.705882352</v>
          </cell>
          <cell r="J1863">
            <v>41562139.934117645</v>
          </cell>
        </row>
        <row r="1864">
          <cell r="D1864" t="str">
            <v>MONTAJE Y NIVELACION DE LA JAULA DE ANCLAJES INCLUYE  LA PREPARACIÓN
 DEL ÁREA, LA NIVELACIÓN Y POSICIONAMIENTO DE LOS COMPONENTES (COMO PLANTILLAS Y VARILLAS), EL ENSAMBLAJE DE LA ESTRUCTURA, LA FIJACIÓN FINAL A LA CIMENTACIÓN CON PERNOS DE ANCLAJE, MONTAJE DE BRIDAS, TORQUE Y LIBERACIÓN DE LA CESTA, INCLUYE LA HERRAMIENTA Y EQUIPO DE INSTALACIÓN (peso estimado por jaula 13896  kg)</v>
          </cell>
          <cell r="F1864" t="str">
            <v>Und</v>
          </cell>
          <cell r="G1864">
            <v>1</v>
          </cell>
          <cell r="H1864">
            <v>99908619</v>
          </cell>
          <cell r="I1864">
            <v>99908619</v>
          </cell>
          <cell r="J1864">
            <v>137873894.22</v>
          </cell>
        </row>
        <row r="1865">
          <cell r="C1865" t="str">
            <v>10.34.7</v>
          </cell>
          <cell r="D1865" t="str">
            <v xml:space="preserve">         INSTALACIÓN DE ACERO DE REFUERZO WP32</v>
          </cell>
          <cell r="E1865" t="str">
            <v>14 días</v>
          </cell>
          <cell r="F1865">
            <v>0</v>
          </cell>
          <cell r="J1865">
            <v>1212623361.2117648</v>
          </cell>
        </row>
        <row r="1866">
          <cell r="D1866" t="str">
            <v>ACERO FY:  60000 psi (4.200 kg/cm2)</v>
          </cell>
          <cell r="F1866" t="str">
            <v>kg</v>
          </cell>
          <cell r="G1866">
            <v>68756.852941176476</v>
          </cell>
          <cell r="H1866">
            <v>12780</v>
          </cell>
          <cell r="I1866">
            <v>878712580.58823538</v>
          </cell>
          <cell r="J1866">
            <v>1212623361.2117648</v>
          </cell>
        </row>
        <row r="1867">
          <cell r="C1867" t="str">
            <v>10.34.8</v>
          </cell>
          <cell r="D1867" t="str">
            <v xml:space="preserve">         ENCOFRADO DE ZAPATA Y DE PEDESTAL WP32</v>
          </cell>
          <cell r="E1867" t="str">
            <v>3 días</v>
          </cell>
          <cell r="F1867">
            <v>0</v>
          </cell>
        </row>
        <row r="1868">
          <cell r="C1868" t="str">
            <v>10.34.9</v>
          </cell>
          <cell r="D1868" t="str">
            <v xml:space="preserve">         HITO: ALISTAMIENTO Y MOVILIZACIÓN DE PLANTA DE CONCRETO PARA WP32</v>
          </cell>
          <cell r="E1868" t="str">
            <v>0 días</v>
          </cell>
          <cell r="F1868">
            <v>0</v>
          </cell>
        </row>
        <row r="1869">
          <cell r="C1869" t="str">
            <v>10.34.10</v>
          </cell>
          <cell r="D1869" t="str">
            <v xml:space="preserve">         FUNDIDA WP32</v>
          </cell>
          <cell r="E1869" t="str">
            <v>1 día</v>
          </cell>
          <cell r="F1869">
            <v>0</v>
          </cell>
          <cell r="J1869">
            <v>1230815225.9452939</v>
          </cell>
        </row>
        <row r="1870">
          <cell r="D1870" t="str">
            <v>CONCRETO ESTRUCTURAL  35 MPa(350 kg/cm2 Ó 5000 psi)</v>
          </cell>
          <cell r="F1870" t="str">
            <v>m3</v>
          </cell>
          <cell r="G1870">
            <v>429.02941176470586</v>
          </cell>
          <cell r="H1870">
            <v>1926653</v>
          </cell>
          <cell r="I1870">
            <v>826590803.26470578</v>
          </cell>
          <cell r="J1870">
            <v>1140695308.5052938</v>
          </cell>
        </row>
        <row r="1871">
          <cell r="D1871" t="str">
            <v>CONCRETO ESTRUCTURAL  45 MPa(457 kg/cm2 Ó 6500psi)</v>
          </cell>
          <cell r="F1871" t="str">
            <v>m3</v>
          </cell>
          <cell r="G1871">
            <v>32</v>
          </cell>
          <cell r="H1871">
            <v>2040759</v>
          </cell>
          <cell r="I1871">
            <v>65304288</v>
          </cell>
          <cell r="J1871">
            <v>90119917.439999998</v>
          </cell>
        </row>
        <row r="1872">
          <cell r="C1872" t="str">
            <v>10.34.11</v>
          </cell>
          <cell r="D1872" t="str">
            <v xml:space="preserve">         CURADO DEL CONCRETO WP32</v>
          </cell>
          <cell r="E1872" t="str">
            <v>5 días</v>
          </cell>
          <cell r="F1872">
            <v>0</v>
          </cell>
        </row>
        <row r="1873">
          <cell r="C1873" t="str">
            <v>10.34.12</v>
          </cell>
          <cell r="D1873" t="str">
            <v xml:space="preserve">         INSTALACIONES ELECTRICAS Y SISTEMA PUESTA TIERRA WP32</v>
          </cell>
          <cell r="E1873" t="str">
            <v>2 días</v>
          </cell>
          <cell r="F1873">
            <v>0</v>
          </cell>
          <cell r="J1873">
            <v>72439256.308702826</v>
          </cell>
        </row>
        <row r="1874">
          <cell r="D1874" t="str">
            <v>ARQUETA EN HORMIGON PARA MEDIA TENSION - EMPALMES (500 MT)</v>
          </cell>
          <cell r="F1874" t="str">
            <v>Und</v>
          </cell>
          <cell r="G1874">
            <v>1</v>
          </cell>
          <cell r="H1874">
            <v>12275310.999985719</v>
          </cell>
          <cell r="I1874">
            <v>12275310.999985719</v>
          </cell>
          <cell r="J1874">
            <v>16939929.179980289</v>
          </cell>
        </row>
        <row r="1875">
          <cell r="D1875" t="str">
            <v>ARQUETA EN POLIPROPILENO</v>
          </cell>
          <cell r="F1875" t="str">
            <v>Und</v>
          </cell>
          <cell r="G1875">
            <v>1</v>
          </cell>
          <cell r="H1875">
            <v>6068599.9996856553</v>
          </cell>
          <cell r="I1875">
            <v>6068599.9996856553</v>
          </cell>
          <cell r="J1875">
            <v>8374667.9995662039</v>
          </cell>
        </row>
        <row r="1876">
          <cell r="D1876" t="str">
            <v>SUMINISTRO E INSTALACIÓN DE PLATINA</v>
          </cell>
          <cell r="F1876" t="str">
            <v>Und</v>
          </cell>
          <cell r="G1876">
            <v>1</v>
          </cell>
          <cell r="H1876">
            <v>361570</v>
          </cell>
          <cell r="I1876">
            <v>361570</v>
          </cell>
          <cell r="J1876">
            <v>498966.6</v>
          </cell>
        </row>
        <row r="1877">
          <cell r="D1877" t="str">
            <v>SUMINISTRO E INSTALACIÓN DE VARILLA</v>
          </cell>
          <cell r="F1877" t="str">
            <v>Und</v>
          </cell>
          <cell r="G1877">
            <v>1</v>
          </cell>
          <cell r="H1877">
            <v>398933</v>
          </cell>
          <cell r="I1877">
            <v>398933</v>
          </cell>
          <cell r="J1877">
            <v>550527.53999999992</v>
          </cell>
        </row>
        <row r="1878">
          <cell r="D1878" t="str">
            <v>SUMINISTRO E INSTALACIÓN DE ARQUETA PARA INSPECCIÓN DE PICAS EN PUESTA A TIERRA SIN FONDO</v>
          </cell>
          <cell r="F1878" t="str">
            <v>Und</v>
          </cell>
          <cell r="G1878">
            <v>2</v>
          </cell>
          <cell r="H1878">
            <v>14275700</v>
          </cell>
          <cell r="I1878">
            <v>28551400</v>
          </cell>
          <cell r="J1878">
            <v>39400932</v>
          </cell>
        </row>
        <row r="1879">
          <cell r="D1879" t="str">
            <v>SUMINISTRO E INSTALACIÓN DE SOLDADURA EXOTERMICA</v>
          </cell>
          <cell r="F1879" t="str">
            <v>Und</v>
          </cell>
          <cell r="G1879">
            <v>2.8000000000000003</v>
          </cell>
          <cell r="H1879">
            <v>185231</v>
          </cell>
          <cell r="I1879">
            <v>518646.80000000005</v>
          </cell>
          <cell r="J1879">
            <v>715732.58400000003</v>
          </cell>
        </row>
        <row r="1880">
          <cell r="D1880" t="str">
            <v>SUMINISTRO E INSTALACIÓN DE GRAPA DE ALEACIÓN RICA EN COBRE (LATÓN) MODELO KZ</v>
          </cell>
          <cell r="F1880" t="str">
            <v>Und</v>
          </cell>
          <cell r="G1880">
            <v>2</v>
          </cell>
          <cell r="H1880">
            <v>292083</v>
          </cell>
          <cell r="I1880">
            <v>584166</v>
          </cell>
          <cell r="J1880">
            <v>806149.08</v>
          </cell>
        </row>
        <row r="1881">
          <cell r="D1881" t="str">
            <v xml:space="preserve">INSTALACIÓN DE CABLE DE COBRE TRENZADO DESNUDO DE 50 mm2 </v>
          </cell>
          <cell r="F1881" t="str">
            <v>ML</v>
          </cell>
          <cell r="G1881">
            <v>113.1390243902439</v>
          </cell>
          <cell r="H1881">
            <v>33000.000989065411</v>
          </cell>
          <cell r="I1881">
            <v>3733587.9167799447</v>
          </cell>
          <cell r="J1881">
            <v>5152351.3251563236</v>
          </cell>
        </row>
        <row r="1882">
          <cell r="C1882" t="str">
            <v>10.34.13</v>
          </cell>
          <cell r="D1882" t="str">
            <v xml:space="preserve">         INSTALACION DE GROUT Y MORTERO AUTOCOMPACTANTE DE ALTA RESISTENCIA WP32</v>
          </cell>
          <cell r="E1882" t="str">
            <v>2 días</v>
          </cell>
          <cell r="F1882">
            <v>0</v>
          </cell>
          <cell r="J1882">
            <v>46410609.014634147</v>
          </cell>
        </row>
        <row r="1883">
          <cell r="D1883" t="str">
            <v>GROUT Y  MORTERO AUTOCOMPACTANTE DE ALTA RESISTENCIA C80/95 (EN206-1)</v>
          </cell>
          <cell r="F1883" t="str">
            <v>lt</v>
          </cell>
          <cell r="G1883">
            <v>530.73170731707319</v>
          </cell>
          <cell r="H1883">
            <v>63367</v>
          </cell>
          <cell r="I1883">
            <v>33630876.097560979</v>
          </cell>
          <cell r="J1883">
            <v>46410609.014634147</v>
          </cell>
        </row>
        <row r="1884">
          <cell r="C1884" t="str">
            <v>10.34.14</v>
          </cell>
          <cell r="D1884" t="str">
            <v xml:space="preserve">         TAPADO AREA DE CIMENTACIÓN Y CONFORMACIÓN DE PLATAFORMA WP32</v>
          </cell>
          <cell r="E1884" t="str">
            <v>7 días</v>
          </cell>
          <cell r="F1884">
            <v>0</v>
          </cell>
          <cell r="J1884">
            <v>1587346329.5488234</v>
          </cell>
        </row>
        <row r="1885">
          <cell r="D1885" t="str">
            <v>MATERIAL SELECIONADA PARA  FORMACIÓN Y COMPACTACIÓN DE TERRAPLENES Y RELLENO ESTRUCTURAL  (INCLUYE TRANSPORTE DESDE LAS CANTERAS LICENCIADAS HASTA EL SITIO DE INSTALACIÓN)</v>
          </cell>
          <cell r="F1885" t="str">
            <v>m3</v>
          </cell>
          <cell r="G1885">
            <v>5388.7058823529414</v>
          </cell>
          <cell r="H1885">
            <v>174890</v>
          </cell>
          <cell r="I1885">
            <v>942430771.7647059</v>
          </cell>
          <cell r="J1885">
            <v>1300554465.0352941</v>
          </cell>
        </row>
        <row r="1886">
          <cell r="D1886" t="str">
            <v>PREPARACIÓN DE SUBRASANTE COMPACTACIÓN Y VALORACIÓN DE LA CAPA DE SUBRASANTE DE LOS VIALES. INCLUYENDO LAS PRUEBAS SEGÚN LO PRESCRITO.</v>
          </cell>
          <cell r="F1886" t="str">
            <v>m2</v>
          </cell>
          <cell r="G1886">
            <v>631.61764705882354</v>
          </cell>
          <cell r="H1886">
            <v>11537</v>
          </cell>
          <cell r="I1886">
            <v>7286972.7941176472</v>
          </cell>
          <cell r="J1886">
            <v>10056022.455882352</v>
          </cell>
        </row>
        <row r="1887">
          <cell r="D1887" t="str">
            <v>SUBBASE GRANULAR  (INCLUYE TRANSPORTE DESDE LAS CANTERAS LICENCIADAS HASTA EL SITIO DE INSTALACIÓN)</v>
          </cell>
          <cell r="F1887" t="str">
            <v>m3</v>
          </cell>
          <cell r="G1887">
            <v>880.85294117647061</v>
          </cell>
          <cell r="H1887">
            <v>227658</v>
          </cell>
          <cell r="I1887">
            <v>200533218.88235295</v>
          </cell>
          <cell r="J1887">
            <v>276735842.05764705</v>
          </cell>
        </row>
        <row r="1888">
          <cell r="C1888" t="str">
            <v>10.34.15</v>
          </cell>
          <cell r="D1888" t="str">
            <v xml:space="preserve">         ESTABILIZACIÓN DE TALUDES EN PLATAFORMA Y RECONFORMACION FINAL WP32</v>
          </cell>
          <cell r="E1888" t="str">
            <v>7 días</v>
          </cell>
          <cell r="F1888">
            <v>0</v>
          </cell>
          <cell r="J1888">
            <v>179532477.23999998</v>
          </cell>
        </row>
        <row r="1889">
          <cell r="D1889" t="str">
            <v>BASE GRANULAR   (INCLUYE TRANSPORTE DESDE LAS CANTERAS LICENCIADAS HASTA EL SITIO DE INSTALACIÓN)</v>
          </cell>
          <cell r="F1889" t="str">
            <v>m3</v>
          </cell>
          <cell r="G1889">
            <v>237.64705882352942</v>
          </cell>
          <cell r="H1889">
            <v>265112</v>
          </cell>
          <cell r="I1889">
            <v>63003087.058823533</v>
          </cell>
          <cell r="J1889">
            <v>86944260.141176462</v>
          </cell>
        </row>
        <row r="1890">
          <cell r="D1890" t="str">
            <v xml:space="preserve">ENROCADO PROTECCIÓN TALUD PLATAFORMAS PROTECCIÓN CON ENROCADO DE PIEDRA DEL TALUD DE LAS PLATAFORMAS EN TERRAPLÉN CON 30 CM DE PIEDRA DE 6-10 CM DE DIÁMETRO, PESO ESPECÍFICO DE LAS PIEDRAS DE 2,64  G/CM3  (INCLUYE TRANSPORTE DESDE LAS CANTERAS LICENCIADAS HASTA EL SITIO DE INSTALACIÓN) </v>
          </cell>
          <cell r="F1890" t="str">
            <v>m3</v>
          </cell>
          <cell r="G1890">
            <v>42.352941176470587</v>
          </cell>
          <cell r="H1890">
            <v>276393</v>
          </cell>
          <cell r="I1890">
            <v>11706056.470588235</v>
          </cell>
          <cell r="J1890">
            <v>16154357.929411763</v>
          </cell>
        </row>
        <row r="1891">
          <cell r="D1891" t="str">
            <v xml:space="preserve">ENROCADO PROTECCIÓN TALUD CIMENTACION PROTECCIÓN CON ENROCADO DE PIEDRA DEL TALUD DE LAS CIMENTACIONES EN TERRAPLÉN CON 30 CM DE PIEDRA DE 6-10 CM DE DIÁMETRO, PESO ESPECÍFICO DE LAS PIEDRAS DE 2,64 G/CM3   (INCLUYE TRANSPORTE DESDE LAS CANTERAS LICENCIADAS HASTA EL SITIO DE INSTALACIÓN) </v>
          </cell>
          <cell r="F1891" t="str">
            <v>m3</v>
          </cell>
          <cell r="G1891">
            <v>25.529411764705884</v>
          </cell>
          <cell r="H1891">
            <v>286818</v>
          </cell>
          <cell r="I1891">
            <v>7322294.823529412</v>
          </cell>
          <cell r="J1891">
            <v>10104766.856470589</v>
          </cell>
        </row>
        <row r="1892">
          <cell r="D1892" t="str">
            <v>SUMINISTRO E INSTALACIÓN DE GEOTEXTILES</v>
          </cell>
          <cell r="F1892" t="str">
            <v>m2</v>
          </cell>
          <cell r="G1892">
            <v>887.17647058823525</v>
          </cell>
          <cell r="H1892">
            <v>54177</v>
          </cell>
          <cell r="I1892">
            <v>48064559.647058822</v>
          </cell>
          <cell r="J1892">
            <v>66329092.312941171</v>
          </cell>
        </row>
        <row r="1893">
          <cell r="C1893" t="str">
            <v>10.34.16</v>
          </cell>
          <cell r="D1893" t="str">
            <v xml:space="preserve">         HITO: FINALIZACION DE ACTIVIDADES EN CIMENTACION WP32</v>
          </cell>
          <cell r="E1893" t="str">
            <v>0 días</v>
          </cell>
          <cell r="F1893">
            <v>0</v>
          </cell>
        </row>
        <row r="1894">
          <cell r="C1894" t="str">
            <v>10.35</v>
          </cell>
          <cell r="D1894" t="str">
            <v xml:space="preserve">      HITO 4: FIN DE CIMENTACIONES NUEVAS</v>
          </cell>
          <cell r="E1894" t="str">
            <v>0 días</v>
          </cell>
          <cell r="F1894">
            <v>0</v>
          </cell>
        </row>
        <row r="1895">
          <cell r="C1895">
            <v>11</v>
          </cell>
          <cell r="D1895" t="str">
            <v xml:space="preserve">   EJECUCIÓN DE ACTIVIDADES CONFORMACIÓN DE ZODMES</v>
          </cell>
          <cell r="E1895" t="str">
            <v>312 días</v>
          </cell>
          <cell r="F1895">
            <v>0</v>
          </cell>
        </row>
        <row r="1896">
          <cell r="C1896" t="str">
            <v>11.1</v>
          </cell>
          <cell r="D1896" t="str">
            <v xml:space="preserve">      CONFORMACIÓN DE ZODMES 1,3,4,6,8</v>
          </cell>
          <cell r="E1896" t="str">
            <v>90 días</v>
          </cell>
          <cell r="F1896">
            <v>0</v>
          </cell>
          <cell r="J1896">
            <v>216499657.14285713</v>
          </cell>
        </row>
        <row r="1897">
          <cell r="D1897" t="str">
            <v>CONFORMACIÓN DE ZODME CON RETROEXCAVADORA O BULLDOZER INCLUYE LA MAQUINARIA REQUERIDA PARA LA CONFORMACION Y COMPACTACION.</v>
          </cell>
          <cell r="F1897" t="str">
            <v>m3</v>
          </cell>
          <cell r="G1897">
            <v>5318.0952380952385</v>
          </cell>
          <cell r="H1897">
            <v>29500</v>
          </cell>
          <cell r="I1897">
            <v>156883809.52380952</v>
          </cell>
          <cell r="J1897">
            <v>216499657.14285713</v>
          </cell>
        </row>
        <row r="1898">
          <cell r="C1898" t="str">
            <v>11.2</v>
          </cell>
          <cell r="D1898" t="str">
            <v xml:space="preserve">      CONFORMACIÓN DE ZODMES 2,5,7</v>
          </cell>
          <cell r="E1898" t="str">
            <v>90 días</v>
          </cell>
          <cell r="F1898">
            <v>0</v>
          </cell>
          <cell r="J1898">
            <v>129899794.28571428</v>
          </cell>
        </row>
        <row r="1899">
          <cell r="D1899" t="str">
            <v>CONFORMACIÓN DE ZODME CON RETROEXCAVADORA O BULLDOZER INCLUYE LA MAQUINARIA REQUERIDA PARA LA CONFORMACION Y COMPACTACION.</v>
          </cell>
          <cell r="F1899" t="str">
            <v>m3</v>
          </cell>
          <cell r="G1899">
            <v>3190.8571428571431</v>
          </cell>
          <cell r="H1899">
            <v>29500</v>
          </cell>
          <cell r="I1899">
            <v>94130285.714285716</v>
          </cell>
          <cell r="J1899">
            <v>129899794.28571428</v>
          </cell>
        </row>
        <row r="1900">
          <cell r="C1900" t="str">
            <v>11.3</v>
          </cell>
          <cell r="D1900" t="str">
            <v xml:space="preserve">      CONFORMACIÓN DE ZODMES 9,10,11,12,14</v>
          </cell>
          <cell r="E1900" t="str">
            <v>160 días</v>
          </cell>
          <cell r="F1900">
            <v>0</v>
          </cell>
          <cell r="J1900">
            <v>216499657.14285713</v>
          </cell>
        </row>
        <row r="1901">
          <cell r="D1901" t="str">
            <v>CONFORMACIÓN DE ZODME CON RETROEXCAVADORA O BULLDOZER INCLUYE LA MAQUINARIA REQUERIDA PARA LA CONFORMACION Y COMPACTACION.</v>
          </cell>
          <cell r="F1901" t="str">
            <v>m3</v>
          </cell>
          <cell r="G1901">
            <v>5318.0952380952385</v>
          </cell>
          <cell r="H1901">
            <v>29500</v>
          </cell>
          <cell r="I1901">
            <v>156883809.52380952</v>
          </cell>
          <cell r="J1901">
            <v>216499657.14285713</v>
          </cell>
        </row>
        <row r="1902">
          <cell r="C1902" t="str">
            <v>11.4</v>
          </cell>
          <cell r="D1902" t="str">
            <v xml:space="preserve">      CONFORMACIÓN DE ZODMES 13,15,16,18</v>
          </cell>
          <cell r="E1902" t="str">
            <v>140 días</v>
          </cell>
          <cell r="F1902">
            <v>0</v>
          </cell>
          <cell r="J1902">
            <v>173199725.7142857</v>
          </cell>
        </row>
        <row r="1903">
          <cell r="D1903" t="str">
            <v>CONFORMACIÓN DE ZODME CON RETROEXCAVADORA O BULLDOZER INCLUYE LA MAQUINARIA REQUERIDA PARA LA CONFORMACION Y COMPACTACION.</v>
          </cell>
          <cell r="F1903" t="str">
            <v>m3</v>
          </cell>
          <cell r="G1903">
            <v>4254.4761904761908</v>
          </cell>
          <cell r="H1903">
            <v>29500</v>
          </cell>
          <cell r="I1903">
            <v>125507047.61904763</v>
          </cell>
          <cell r="J1903">
            <v>173199725.7142857</v>
          </cell>
        </row>
        <row r="1904">
          <cell r="C1904" t="str">
            <v>11.5</v>
          </cell>
          <cell r="D1904" t="str">
            <v xml:space="preserve">      CONFORMACIÓN DE ZODMES 17,19,20,21</v>
          </cell>
          <cell r="E1904" t="str">
            <v>90 días</v>
          </cell>
          <cell r="F1904">
            <v>0</v>
          </cell>
          <cell r="J1904">
            <v>173199725.7142857</v>
          </cell>
        </row>
        <row r="1905">
          <cell r="D1905" t="str">
            <v>CONFORMACIÓN DE ZODME CON RETROEXCAVADORA O BULLDOZER INCLUYE LA MAQUINARIA REQUERIDA PARA LA CONFORMACION Y COMPACTACION.</v>
          </cell>
          <cell r="F1905" t="str">
            <v>m3</v>
          </cell>
          <cell r="G1905">
            <v>4254.4761904761908</v>
          </cell>
          <cell r="H1905">
            <v>29500</v>
          </cell>
          <cell r="I1905">
            <v>125507047.61904763</v>
          </cell>
          <cell r="J1905">
            <v>173199725.7142857</v>
          </cell>
        </row>
        <row r="1906">
          <cell r="C1906">
            <v>12</v>
          </cell>
          <cell r="D1906" t="str">
            <v>EJECUCIÓN DE ACTIVIDADES POR LLAMADO DE MAQUINARIA, EQUIPOS Y PERSONAL</v>
          </cell>
          <cell r="E1906" t="str">
            <v>240 días</v>
          </cell>
          <cell r="F1906">
            <v>0</v>
          </cell>
        </row>
        <row r="1907">
          <cell r="C1907" t="str">
            <v>12.1</v>
          </cell>
          <cell r="D1907" t="str">
            <v>EQUIPOS Y/O HERRAMIENTAS POR LLLAMADO</v>
          </cell>
          <cell r="E1907" t="str">
            <v>240 días</v>
          </cell>
          <cell r="F1907">
            <v>0</v>
          </cell>
          <cell r="J1907">
            <v>3265847514.5999994</v>
          </cell>
        </row>
        <row r="1908">
          <cell r="D1908" t="str">
            <v>BULDOZER POTENCIA MINIMA 120HP</v>
          </cell>
          <cell r="F1908" t="str">
            <v>Día</v>
          </cell>
          <cell r="G1908">
            <v>100</v>
          </cell>
          <cell r="H1908">
            <v>2706667</v>
          </cell>
          <cell r="I1908">
            <v>270666700</v>
          </cell>
          <cell r="J1908">
            <v>373520046</v>
          </cell>
        </row>
        <row r="1909">
          <cell r="D1909" t="str">
            <v>MOTO NIVELADORA POTENCIA MINIMA 120HP</v>
          </cell>
          <cell r="F1909" t="str">
            <v>Día</v>
          </cell>
          <cell r="G1909">
            <v>100</v>
          </cell>
          <cell r="H1909">
            <v>2786667</v>
          </cell>
          <cell r="I1909">
            <v>278666700</v>
          </cell>
          <cell r="J1909">
            <v>384560046</v>
          </cell>
        </row>
        <row r="1910">
          <cell r="D1910" t="str">
            <v>RETROEXCAVADORA POTENCIA MINIMA 130HP</v>
          </cell>
          <cell r="F1910" t="str">
            <v>Día</v>
          </cell>
          <cell r="G1910">
            <v>100</v>
          </cell>
          <cell r="H1910">
            <v>2786667</v>
          </cell>
          <cell r="I1910">
            <v>278666700</v>
          </cell>
          <cell r="J1910">
            <v>384560046</v>
          </cell>
        </row>
        <row r="1911">
          <cell r="D1911" t="str">
            <v>VIBROCOMPACTADOR PESO MINIMO 10Ton</v>
          </cell>
          <cell r="F1911" t="str">
            <v>Día</v>
          </cell>
          <cell r="G1911">
            <v>100</v>
          </cell>
          <cell r="H1911">
            <v>1842667</v>
          </cell>
          <cell r="I1911">
            <v>184266700</v>
          </cell>
          <cell r="J1911">
            <v>254288045.99999997</v>
          </cell>
        </row>
        <row r="1912">
          <cell r="D1912" t="str">
            <v>VIBROCOMPACTADOR PATA DE CABRA</v>
          </cell>
          <cell r="F1912" t="str">
            <v>Día</v>
          </cell>
          <cell r="G1912">
            <v>100</v>
          </cell>
          <cell r="H1912">
            <v>1842667</v>
          </cell>
          <cell r="I1912">
            <v>184266700</v>
          </cell>
          <cell r="J1912">
            <v>254288045.99999997</v>
          </cell>
        </row>
        <row r="1913">
          <cell r="D1913" t="str">
            <v>MONTACARGAS DIESEL O GAS CAPACIDAD MINIMA 1000 KG. ALTURA MINIMA DE ELEVACIÓN 2.5 M</v>
          </cell>
          <cell r="F1913" t="str">
            <v>Día</v>
          </cell>
          <cell r="G1913">
            <v>120</v>
          </cell>
          <cell r="H1913">
            <v>2444444</v>
          </cell>
          <cell r="I1913">
            <v>293333280</v>
          </cell>
          <cell r="J1913">
            <v>404799926.39999998</v>
          </cell>
        </row>
        <row r="1914">
          <cell r="D1914" t="str">
            <v>CARROTANQUE SENCILLO IRRIGADOR DE AGUA</v>
          </cell>
          <cell r="F1914" t="str">
            <v>Día</v>
          </cell>
          <cell r="G1914">
            <v>100</v>
          </cell>
          <cell r="H1914">
            <v>1564444</v>
          </cell>
          <cell r="I1914">
            <v>156444400</v>
          </cell>
          <cell r="J1914">
            <v>215893271.99999997</v>
          </cell>
        </row>
        <row r="1915">
          <cell r="D1915" t="str">
            <v>CARROTANQUE DOBLETROQUE IRRIGADOR DE AGUA</v>
          </cell>
          <cell r="F1915" t="str">
            <v>Día</v>
          </cell>
          <cell r="G1915">
            <v>30</v>
          </cell>
          <cell r="H1915">
            <v>1604444</v>
          </cell>
          <cell r="I1915">
            <v>48133320</v>
          </cell>
          <cell r="J1915">
            <v>66423981.599999994</v>
          </cell>
        </row>
        <row r="1916">
          <cell r="D1916" t="str">
            <v>RETROEXCAVADORA POTENCIA MINIMA 75HP</v>
          </cell>
          <cell r="F1916" t="str">
            <v>Día</v>
          </cell>
          <cell r="G1916">
            <v>100</v>
          </cell>
          <cell r="H1916">
            <v>1826667</v>
          </cell>
          <cell r="I1916">
            <v>182666700</v>
          </cell>
          <cell r="J1916">
            <v>252080045.99999997</v>
          </cell>
        </row>
        <row r="1917">
          <cell r="D1917" t="str">
            <v>VOLQUETA TIPO SENCILLA CON CAPACIDAD MÍNIMA DE 6 m3</v>
          </cell>
          <cell r="F1917" t="str">
            <v>Día</v>
          </cell>
          <cell r="G1917">
            <v>100</v>
          </cell>
          <cell r="H1917">
            <v>1324444</v>
          </cell>
          <cell r="I1917">
            <v>132444400</v>
          </cell>
          <cell r="J1917">
            <v>182773272</v>
          </cell>
        </row>
        <row r="1918">
          <cell r="D1918" t="str">
            <v>VOLQUETA TIPO DT CON CAPACIDAD MÍNIMA DE 15 m3</v>
          </cell>
          <cell r="F1918" t="str">
            <v>Día</v>
          </cell>
          <cell r="G1918">
            <v>100</v>
          </cell>
          <cell r="H1918">
            <v>2170344</v>
          </cell>
          <cell r="I1918">
            <v>217034400</v>
          </cell>
          <cell r="J1918">
            <v>299507472</v>
          </cell>
        </row>
        <row r="1919">
          <cell r="D1919" t="str">
            <v>MOTOBOMBA 4"</v>
          </cell>
          <cell r="F1919" t="str">
            <v>Día</v>
          </cell>
          <cell r="G1919">
            <v>30</v>
          </cell>
          <cell r="H1919">
            <v>363180</v>
          </cell>
          <cell r="I1919">
            <v>10895400</v>
          </cell>
          <cell r="J1919">
            <v>15035651.999999998</v>
          </cell>
        </row>
        <row r="1920">
          <cell r="D1920" t="str">
            <v>MOTOBOMBA 6"</v>
          </cell>
          <cell r="F1920" t="str">
            <v>Día</v>
          </cell>
          <cell r="G1920">
            <v>30</v>
          </cell>
          <cell r="H1920">
            <v>728033</v>
          </cell>
          <cell r="I1920">
            <v>21840990</v>
          </cell>
          <cell r="J1920">
            <v>30140566.199999999</v>
          </cell>
        </row>
        <row r="1921">
          <cell r="D1921" t="str">
            <v>CAMA BAJA</v>
          </cell>
          <cell r="F1921" t="str">
            <v>Hora</v>
          </cell>
          <cell r="G1921">
            <v>300</v>
          </cell>
          <cell r="H1921">
            <v>305209</v>
          </cell>
          <cell r="I1921">
            <v>91562700</v>
          </cell>
          <cell r="J1921">
            <v>126356525.99999999</v>
          </cell>
        </row>
        <row r="1922">
          <cell r="D1922" t="str">
            <v xml:space="preserve">ALQUILER DE ANDAMIOS CERTIFICADOS </v>
          </cell>
          <cell r="F1922" t="str">
            <v>m3-día</v>
          </cell>
          <cell r="G1922">
            <v>120</v>
          </cell>
          <cell r="H1922">
            <v>15267</v>
          </cell>
          <cell r="I1922">
            <v>1832040</v>
          </cell>
          <cell r="J1922">
            <v>2528215.1999999997</v>
          </cell>
        </row>
        <row r="1923">
          <cell r="D1923" t="str">
            <v>TRANSPORTE ARMADO Y DESARMADO DE ANDAMIOS CERTIFICADOS</v>
          </cell>
          <cell r="F1923" t="str">
            <v>m3</v>
          </cell>
          <cell r="G1923">
            <v>120</v>
          </cell>
          <cell r="H1923">
            <v>115292</v>
          </cell>
          <cell r="I1923">
            <v>13835040</v>
          </cell>
          <cell r="J1923">
            <v>19092355.199999999</v>
          </cell>
        </row>
        <row r="1924">
          <cell r="C1924" t="str">
            <v>12.2</v>
          </cell>
          <cell r="D1924" t="str">
            <v xml:space="preserve">   ACTIVIDADES Y SUMINISTRO DE PERSONAL POR LLAMADO</v>
          </cell>
          <cell r="E1924" t="str">
            <v>240 días</v>
          </cell>
          <cell r="F1924">
            <v>0</v>
          </cell>
          <cell r="J1924">
            <v>8463483937.5</v>
          </cell>
        </row>
        <row r="1925">
          <cell r="D1925" t="str">
            <v>SUPERVISOR CIVIL</v>
          </cell>
          <cell r="F1925" t="str">
            <v>Día</v>
          </cell>
          <cell r="G1925">
            <v>90</v>
          </cell>
          <cell r="H1925">
            <v>726100</v>
          </cell>
          <cell r="I1925">
            <v>65349000</v>
          </cell>
          <cell r="J1925">
            <v>90181620</v>
          </cell>
        </row>
        <row r="1926">
          <cell r="D1926" t="str">
            <v xml:space="preserve">OFICIAL DE CONSTRUCCIÓN </v>
          </cell>
          <cell r="F1926" t="str">
            <v>Día</v>
          </cell>
          <cell r="G1926">
            <v>90</v>
          </cell>
          <cell r="H1926">
            <v>544999</v>
          </cell>
          <cell r="I1926">
            <v>49049910</v>
          </cell>
          <cell r="J1926">
            <v>67688875.799999997</v>
          </cell>
        </row>
        <row r="1927">
          <cell r="D1927" t="str">
            <v>AYUDANTE DE CONSTRUCCIÓN (OBRERO RASO)</v>
          </cell>
          <cell r="F1927" t="str">
            <v>Día</v>
          </cell>
          <cell r="G1927">
            <v>90</v>
          </cell>
          <cell r="H1927">
            <v>478876</v>
          </cell>
          <cell r="I1927">
            <v>43098840</v>
          </cell>
          <cell r="J1927">
            <v>59476399.199999996</v>
          </cell>
        </row>
        <row r="1928">
          <cell r="D1928" t="str">
            <v>SUMINISTRO DE COMISION TOPOGRAFICA
 (incluyede GPS, Estación Total, tránsitos, distanciómetros, niveles de precisión, miras, prismas, jalones, plomadas, cintas métricas, etc., un cadenero primero , un cadenero segundo, ingeniero topógrafo/topógrafo con matricula vigente, insumos para ralizar la actividad, licencias de software utilizado para la ejecución de los trabajos, movilización de personal equipos y entregables en archivos magnéticos)</v>
          </cell>
          <cell r="F1928" t="str">
            <v>Mes</v>
          </cell>
          <cell r="G1928">
            <v>45</v>
          </cell>
          <cell r="H1928">
            <v>31500000</v>
          </cell>
          <cell r="I1928">
            <v>1417500000</v>
          </cell>
          <cell r="J1928">
            <v>1956149999.9999998</v>
          </cell>
        </row>
        <row r="1929">
          <cell r="D1929" t="str">
            <v>Guía de Acceso a Territorio Indígena</v>
          </cell>
          <cell r="F1929" t="str">
            <v>Mes</v>
          </cell>
          <cell r="G1929">
            <v>75</v>
          </cell>
          <cell r="H1929">
            <v>9469033</v>
          </cell>
          <cell r="I1929">
            <v>710177475</v>
          </cell>
          <cell r="J1929">
            <v>980044915.49999988</v>
          </cell>
        </row>
        <row r="1930">
          <cell r="D1930" t="str">
            <v>Paletero para contol y apoyo transito en vías</v>
          </cell>
          <cell r="F1930" t="str">
            <v>Mes</v>
          </cell>
          <cell r="G1930">
            <v>75</v>
          </cell>
          <cell r="H1930">
            <v>6694942</v>
          </cell>
          <cell r="I1930">
            <v>502120650</v>
          </cell>
          <cell r="J1930">
            <v>692926497</v>
          </cell>
        </row>
        <row r="1931">
          <cell r="D1931" t="str">
            <v>PROSPECCIÓN, PERFORACIÓN, COMPLETAMIENTO Y PUESTA EN FUNCIONAMIENTO POZO AGUA HASTA 40 m</v>
          </cell>
          <cell r="F1931" t="str">
            <v>Und</v>
          </cell>
          <cell r="G1931">
            <v>5</v>
          </cell>
          <cell r="H1931">
            <v>267653080</v>
          </cell>
          <cell r="I1931">
            <v>1338265400</v>
          </cell>
          <cell r="J1931">
            <v>1846806251.9999998</v>
          </cell>
        </row>
        <row r="1932">
          <cell r="D1932" t="str">
            <v>PROSPECCIÓN, PERFORACIÓN, COMPLETAMIENTO Y PUESTA EN FUNCIONAMIENTO POZO AGUA HASTA 110 m </v>
          </cell>
          <cell r="F1932" t="str">
            <v>Und</v>
          </cell>
          <cell r="G1932">
            <v>5</v>
          </cell>
          <cell r="H1932">
            <v>401479620</v>
          </cell>
          <cell r="I1932">
            <v>2007398100</v>
          </cell>
          <cell r="J1932">
            <v>2770209378</v>
          </cell>
        </row>
        <row r="1933">
          <cell r="C1933">
            <v>13</v>
          </cell>
          <cell r="D1933" t="str">
            <v>HITO 5: FIN DE ACTIVIDADES DE OBA</v>
          </cell>
          <cell r="E1933" t="str">
            <v>0 días</v>
          </cell>
          <cell r="F1933">
            <v>0</v>
          </cell>
        </row>
        <row r="1934">
          <cell r="C1934">
            <v>14</v>
          </cell>
          <cell r="D1934" t="str">
            <v>ACTIVIDADES FINALES</v>
          </cell>
          <cell r="E1934" t="str">
            <v>12 días</v>
          </cell>
        </row>
        <row r="1935">
          <cell r="C1935" t="str">
            <v>14.1</v>
          </cell>
          <cell r="D1935" t="str">
            <v xml:space="preserve">   DESMOVILIZACION</v>
          </cell>
          <cell r="E1935" t="str">
            <v>12 días</v>
          </cell>
        </row>
        <row r="1936">
          <cell r="C1936" t="str">
            <v>14.2</v>
          </cell>
          <cell r="D1936" t="str">
            <v xml:space="preserve">   CIERRES ADMINISTRATIVOS Y GESTIÓN DE ENTORNO FINAL</v>
          </cell>
          <cell r="E1936" t="str">
            <v>12 días</v>
          </cell>
        </row>
        <row r="1937">
          <cell r="C1937" t="str">
            <v>14.3</v>
          </cell>
          <cell r="D1937" t="str">
            <v xml:space="preserve">   CONFORMACIÓN Y ENTREGA DE DOSSIER</v>
          </cell>
          <cell r="E1937" t="str">
            <v>12 días</v>
          </cell>
        </row>
        <row r="1938">
          <cell r="C1938">
            <v>15</v>
          </cell>
          <cell r="D1938" t="str">
            <v xml:space="preserve">HITO 6: ACTA DE TERMINACIÓN DE LA ODS </v>
          </cell>
          <cell r="E1938" t="str">
            <v>0 días</v>
          </cell>
        </row>
      </sheetData>
      <sheetData sheetId="8"/>
      <sheetData sheetId="9"/>
    </sheetDataSet>
  </externalBook>
</externalLink>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330BDC72-3AE3-41F3-9D52-0EEBC681F847}">
  <we:reference id="wa200009404" version="1.0.0.8" store="es-ES" storeType="OMEX"/>
  <we:alternateReferences>
    <we:reference id="wa200009404" version="1.0.0.8" store="WA200009404" storeType="OMEX"/>
  </we:alternateReferences>
  <we:properties>
    <we:property name="claude.fileId" value="&quot;6b6bbac8-4df9-4515-a244-0f144e9cfc8a&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088CAE-B13C-4DE7-B9BF-9C2851295420}">
  <sheetPr>
    <tabColor theme="7" tint="0.79998168889431442"/>
  </sheetPr>
  <dimension ref="A1:BO703"/>
  <sheetViews>
    <sheetView tabSelected="1" zoomScale="113" zoomScaleNormal="60" workbookViewId="0">
      <pane xSplit="8" ySplit="8" topLeftCell="O45" activePane="bottomRight" state="frozen"/>
      <selection pane="topRight" activeCell="J1" sqref="J1"/>
      <selection pane="bottomLeft" activeCell="A8" sqref="A8"/>
      <selection pane="bottomRight" activeCell="O54" sqref="O54:Q54"/>
    </sheetView>
  </sheetViews>
  <sheetFormatPr baseColWidth="10" defaultColWidth="11.42578125" defaultRowHeight="14.25" x14ac:dyDescent="0.2"/>
  <cols>
    <col min="1" max="1" width="9" style="4" bestFit="1" customWidth="1"/>
    <col min="2" max="2" width="59.5703125" style="4" customWidth="1"/>
    <col min="3" max="3" width="10.28515625" style="4" bestFit="1" customWidth="1"/>
    <col min="4" max="4" width="16.85546875" style="4" bestFit="1" customWidth="1"/>
    <col min="5" max="5" width="13.28515625" style="4" customWidth="1"/>
    <col min="6" max="6" width="13.140625" style="4" bestFit="1" customWidth="1"/>
    <col min="7" max="7" width="24.5703125" style="4" bestFit="1" customWidth="1"/>
    <col min="8" max="8" width="10.7109375" style="4" bestFit="1" customWidth="1"/>
    <col min="9" max="9" width="15.5703125" style="4" bestFit="1" customWidth="1"/>
    <col min="10" max="10" width="16.7109375" style="4" bestFit="1" customWidth="1"/>
    <col min="11" max="11" width="17.85546875" style="4" bestFit="1" customWidth="1"/>
    <col min="12" max="20" width="19.5703125" style="4" bestFit="1" customWidth="1"/>
    <col min="21" max="39" width="20.7109375" style="4" bestFit="1" customWidth="1"/>
    <col min="40" max="66" width="21.85546875" style="4" bestFit="1" customWidth="1"/>
    <col min="67" max="67" width="6.42578125" style="4" bestFit="1" customWidth="1"/>
    <col min="68" max="16384" width="11.42578125" style="4"/>
  </cols>
  <sheetData>
    <row r="1" spans="1:67" s="2" customFormat="1" ht="18.7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row>
    <row r="2" spans="1:67" ht="15" x14ac:dyDescent="0.25">
      <c r="A2" s="3"/>
      <c r="B2" s="3"/>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row>
    <row r="3" spans="1:67" ht="15" x14ac:dyDescent="0.2">
      <c r="A3" s="5" t="s">
        <v>0</v>
      </c>
      <c r="B3" s="6"/>
      <c r="C3" s="6"/>
      <c r="D3" s="6"/>
      <c r="E3" s="7"/>
      <c r="F3" s="8"/>
      <c r="G3" s="9" t="s">
        <v>1</v>
      </c>
      <c r="H3" s="10">
        <v>0</v>
      </c>
      <c r="I3" s="10">
        <v>1</v>
      </c>
      <c r="J3" s="10">
        <v>2</v>
      </c>
      <c r="K3" s="10">
        <v>3</v>
      </c>
      <c r="L3" s="10">
        <v>4</v>
      </c>
      <c r="M3" s="10">
        <v>5</v>
      </c>
      <c r="N3" s="10">
        <v>6</v>
      </c>
      <c r="O3" s="10">
        <v>7</v>
      </c>
      <c r="P3" s="10">
        <v>8</v>
      </c>
      <c r="Q3" s="10">
        <v>9</v>
      </c>
      <c r="R3" s="10">
        <v>10</v>
      </c>
      <c r="S3" s="10">
        <v>11</v>
      </c>
      <c r="T3" s="10">
        <v>12</v>
      </c>
      <c r="U3" s="10">
        <v>13</v>
      </c>
      <c r="V3" s="10">
        <v>14</v>
      </c>
      <c r="W3" s="10">
        <v>15</v>
      </c>
      <c r="X3" s="10">
        <v>16</v>
      </c>
      <c r="Y3" s="10">
        <v>17</v>
      </c>
      <c r="Z3" s="10">
        <v>18</v>
      </c>
      <c r="AA3" s="10">
        <v>19</v>
      </c>
      <c r="AB3" s="10">
        <v>20</v>
      </c>
      <c r="AC3" s="10">
        <v>21</v>
      </c>
      <c r="AD3" s="10">
        <v>22</v>
      </c>
      <c r="AE3" s="10">
        <v>23</v>
      </c>
      <c r="AF3" s="10">
        <v>24</v>
      </c>
      <c r="AG3" s="10">
        <v>25</v>
      </c>
      <c r="AH3" s="10">
        <v>26</v>
      </c>
      <c r="AI3" s="10">
        <v>27</v>
      </c>
      <c r="AJ3" s="10">
        <v>28</v>
      </c>
      <c r="AK3" s="10">
        <v>29</v>
      </c>
      <c r="AL3" s="10">
        <v>30</v>
      </c>
      <c r="AM3" s="10">
        <v>31</v>
      </c>
      <c r="AN3" s="10">
        <v>32</v>
      </c>
      <c r="AO3" s="10">
        <v>33</v>
      </c>
      <c r="AP3" s="10">
        <v>34</v>
      </c>
      <c r="AQ3" s="10">
        <v>35</v>
      </c>
      <c r="AR3" s="10">
        <v>36</v>
      </c>
      <c r="AS3" s="10">
        <v>37</v>
      </c>
      <c r="AT3" s="10">
        <v>38</v>
      </c>
      <c r="AU3" s="10">
        <v>39</v>
      </c>
      <c r="AV3" s="10">
        <v>40</v>
      </c>
      <c r="AW3" s="10">
        <v>41</v>
      </c>
      <c r="AX3" s="10">
        <v>42</v>
      </c>
      <c r="AY3" s="10">
        <v>43</v>
      </c>
      <c r="AZ3" s="10">
        <v>44</v>
      </c>
      <c r="BA3" s="10">
        <v>45</v>
      </c>
      <c r="BB3" s="10">
        <v>46</v>
      </c>
      <c r="BC3" s="10">
        <v>47</v>
      </c>
      <c r="BD3" s="10">
        <v>48</v>
      </c>
      <c r="BE3" s="10">
        <v>49</v>
      </c>
      <c r="BF3" s="10">
        <v>50</v>
      </c>
      <c r="BG3" s="10">
        <v>51</v>
      </c>
      <c r="BH3" s="10">
        <v>52</v>
      </c>
      <c r="BI3" s="10">
        <v>53</v>
      </c>
      <c r="BJ3" s="10">
        <v>54</v>
      </c>
      <c r="BK3" s="10">
        <v>55</v>
      </c>
      <c r="BL3" s="10">
        <v>56</v>
      </c>
      <c r="BM3" s="10">
        <v>57</v>
      </c>
      <c r="BN3" s="10">
        <v>58</v>
      </c>
    </row>
    <row r="4" spans="1:67" ht="26.25" customHeight="1" x14ac:dyDescent="0.2">
      <c r="A4" s="6"/>
      <c r="B4" s="6"/>
      <c r="C4" s="6"/>
      <c r="D4" s="6"/>
      <c r="E4" s="7"/>
      <c r="F4" s="8"/>
      <c r="G4" s="9"/>
      <c r="H4" s="11">
        <f>F8</f>
        <v>46218</v>
      </c>
      <c r="I4" s="11">
        <f>H4+2</f>
        <v>46220</v>
      </c>
      <c r="J4" s="11">
        <f t="shared" ref="J4:BN4" si="0">I4+7</f>
        <v>46227</v>
      </c>
      <c r="K4" s="11">
        <f t="shared" si="0"/>
        <v>46234</v>
      </c>
      <c r="L4" s="11">
        <f t="shared" si="0"/>
        <v>46241</v>
      </c>
      <c r="M4" s="11">
        <f t="shared" si="0"/>
        <v>46248</v>
      </c>
      <c r="N4" s="11">
        <f t="shared" si="0"/>
        <v>46255</v>
      </c>
      <c r="O4" s="11">
        <f t="shared" si="0"/>
        <v>46262</v>
      </c>
      <c r="P4" s="11">
        <f t="shared" si="0"/>
        <v>46269</v>
      </c>
      <c r="Q4" s="11">
        <f t="shared" si="0"/>
        <v>46276</v>
      </c>
      <c r="R4" s="11">
        <f t="shared" si="0"/>
        <v>46283</v>
      </c>
      <c r="S4" s="11">
        <f t="shared" si="0"/>
        <v>46290</v>
      </c>
      <c r="T4" s="11">
        <f t="shared" si="0"/>
        <v>46297</v>
      </c>
      <c r="U4" s="11">
        <f t="shared" si="0"/>
        <v>46304</v>
      </c>
      <c r="V4" s="11">
        <f t="shared" si="0"/>
        <v>46311</v>
      </c>
      <c r="W4" s="11">
        <f t="shared" si="0"/>
        <v>46318</v>
      </c>
      <c r="X4" s="11">
        <f t="shared" si="0"/>
        <v>46325</v>
      </c>
      <c r="Y4" s="11">
        <f t="shared" si="0"/>
        <v>46332</v>
      </c>
      <c r="Z4" s="11">
        <f t="shared" si="0"/>
        <v>46339</v>
      </c>
      <c r="AA4" s="11">
        <f t="shared" si="0"/>
        <v>46346</v>
      </c>
      <c r="AB4" s="11">
        <f t="shared" si="0"/>
        <v>46353</v>
      </c>
      <c r="AC4" s="11">
        <f t="shared" si="0"/>
        <v>46360</v>
      </c>
      <c r="AD4" s="11">
        <f t="shared" si="0"/>
        <v>46367</v>
      </c>
      <c r="AE4" s="11">
        <f t="shared" si="0"/>
        <v>46374</v>
      </c>
      <c r="AF4" s="11">
        <f t="shared" si="0"/>
        <v>46381</v>
      </c>
      <c r="AG4" s="11">
        <f t="shared" si="0"/>
        <v>46388</v>
      </c>
      <c r="AH4" s="11">
        <f t="shared" si="0"/>
        <v>46395</v>
      </c>
      <c r="AI4" s="11">
        <f t="shared" si="0"/>
        <v>46402</v>
      </c>
      <c r="AJ4" s="11">
        <f t="shared" si="0"/>
        <v>46409</v>
      </c>
      <c r="AK4" s="11">
        <f t="shared" si="0"/>
        <v>46416</v>
      </c>
      <c r="AL4" s="11">
        <f t="shared" si="0"/>
        <v>46423</v>
      </c>
      <c r="AM4" s="11">
        <f t="shared" si="0"/>
        <v>46430</v>
      </c>
      <c r="AN4" s="11">
        <f t="shared" si="0"/>
        <v>46437</v>
      </c>
      <c r="AO4" s="11">
        <f t="shared" si="0"/>
        <v>46444</v>
      </c>
      <c r="AP4" s="11">
        <f t="shared" si="0"/>
        <v>46451</v>
      </c>
      <c r="AQ4" s="11">
        <f t="shared" si="0"/>
        <v>46458</v>
      </c>
      <c r="AR4" s="11">
        <f t="shared" si="0"/>
        <v>46465</v>
      </c>
      <c r="AS4" s="11">
        <f t="shared" si="0"/>
        <v>46472</v>
      </c>
      <c r="AT4" s="11">
        <f t="shared" si="0"/>
        <v>46479</v>
      </c>
      <c r="AU4" s="11">
        <f t="shared" si="0"/>
        <v>46486</v>
      </c>
      <c r="AV4" s="11">
        <f t="shared" si="0"/>
        <v>46493</v>
      </c>
      <c r="AW4" s="11">
        <f t="shared" si="0"/>
        <v>46500</v>
      </c>
      <c r="AX4" s="11">
        <f t="shared" si="0"/>
        <v>46507</v>
      </c>
      <c r="AY4" s="11">
        <f t="shared" si="0"/>
        <v>46514</v>
      </c>
      <c r="AZ4" s="11">
        <f t="shared" si="0"/>
        <v>46521</v>
      </c>
      <c r="BA4" s="11">
        <f t="shared" si="0"/>
        <v>46528</v>
      </c>
      <c r="BB4" s="11">
        <f t="shared" si="0"/>
        <v>46535</v>
      </c>
      <c r="BC4" s="11">
        <f t="shared" si="0"/>
        <v>46542</v>
      </c>
      <c r="BD4" s="11">
        <f t="shared" si="0"/>
        <v>46549</v>
      </c>
      <c r="BE4" s="11">
        <f t="shared" si="0"/>
        <v>46556</v>
      </c>
      <c r="BF4" s="11">
        <f t="shared" si="0"/>
        <v>46563</v>
      </c>
      <c r="BG4" s="11">
        <f t="shared" si="0"/>
        <v>46570</v>
      </c>
      <c r="BH4" s="11">
        <f t="shared" si="0"/>
        <v>46577</v>
      </c>
      <c r="BI4" s="11">
        <f t="shared" si="0"/>
        <v>46584</v>
      </c>
      <c r="BJ4" s="11">
        <f t="shared" si="0"/>
        <v>46591</v>
      </c>
      <c r="BK4" s="11">
        <f t="shared" si="0"/>
        <v>46598</v>
      </c>
      <c r="BL4" s="11">
        <f t="shared" si="0"/>
        <v>46605</v>
      </c>
      <c r="BM4" s="11">
        <f t="shared" si="0"/>
        <v>46612</v>
      </c>
      <c r="BN4" s="11">
        <f t="shared" si="0"/>
        <v>46619</v>
      </c>
    </row>
    <row r="5" spans="1:67" ht="22.5" customHeight="1" x14ac:dyDescent="0.2">
      <c r="A5" s="6"/>
      <c r="B5" s="6"/>
      <c r="C5" s="6"/>
      <c r="D5" s="6"/>
      <c r="E5" s="7"/>
      <c r="F5" s="8"/>
      <c r="G5" s="12" t="s">
        <v>2</v>
      </c>
      <c r="H5" s="13">
        <f>H7*$D$8</f>
        <v>0</v>
      </c>
      <c r="I5" s="13">
        <f>I7*$D$8</f>
        <v>2871440.7201419882</v>
      </c>
      <c r="J5" s="13">
        <f>J7*$D$8</f>
        <v>25521456.40531997</v>
      </c>
      <c r="K5" s="13">
        <f>K7*$D$8</f>
        <v>647576871.1622299</v>
      </c>
      <c r="L5" s="13">
        <f t="shared" ref="L5:BN5" si="1">L7*$D$8</f>
        <v>1320406031.8687818</v>
      </c>
      <c r="M5" s="13">
        <f t="shared" si="1"/>
        <v>1504396203.8907323</v>
      </c>
      <c r="N5" s="13">
        <f t="shared" si="1"/>
        <v>1828387809.2844715</v>
      </c>
      <c r="O5" s="13">
        <f t="shared" si="1"/>
        <v>2292562292.8020039</v>
      </c>
      <c r="P5" s="13">
        <f t="shared" si="1"/>
        <v>3191579739.8569989</v>
      </c>
      <c r="Q5" s="13">
        <f t="shared" si="1"/>
        <v>4496428617.6072092</v>
      </c>
      <c r="R5" s="13">
        <f t="shared" si="1"/>
        <v>5946498426.2613869</v>
      </c>
      <c r="S5" s="13">
        <f t="shared" si="1"/>
        <v>7616963044.9619589</v>
      </c>
      <c r="T5" s="13">
        <f t="shared" si="1"/>
        <v>9980140040.6517391</v>
      </c>
      <c r="U5" s="13">
        <f t="shared" si="1"/>
        <v>13071531441.533112</v>
      </c>
      <c r="V5" s="13">
        <f t="shared" si="1"/>
        <v>17366812106.242176</v>
      </c>
      <c r="W5" s="13">
        <f t="shared" si="1"/>
        <v>22540293905.69046</v>
      </c>
      <c r="X5" s="13">
        <f t="shared" si="1"/>
        <v>26609259492.336308</v>
      </c>
      <c r="Y5" s="13">
        <f t="shared" si="1"/>
        <v>32247235880.453197</v>
      </c>
      <c r="Z5" s="13">
        <f t="shared" si="1"/>
        <v>38642475433.021873</v>
      </c>
      <c r="AA5" s="13">
        <f t="shared" si="1"/>
        <v>43241398661.881554</v>
      </c>
      <c r="AB5" s="13">
        <f t="shared" si="1"/>
        <v>48942365895.364128</v>
      </c>
      <c r="AC5" s="13">
        <f t="shared" si="1"/>
        <v>53683803669.919998</v>
      </c>
      <c r="AD5" s="13">
        <f t="shared" si="1"/>
        <v>58093373052.054153</v>
      </c>
      <c r="AE5" s="13">
        <f t="shared" si="1"/>
        <v>63575001574.543526</v>
      </c>
      <c r="AF5" s="13">
        <f t="shared" si="1"/>
        <v>67243334475.185547</v>
      </c>
      <c r="AG5" s="13">
        <f t="shared" si="1"/>
        <v>72093809596.87619</v>
      </c>
      <c r="AH5" s="13">
        <f t="shared" si="1"/>
        <v>76799095980.633286</v>
      </c>
      <c r="AI5" s="13">
        <f t="shared" si="1"/>
        <v>80946189223.866745</v>
      </c>
      <c r="AJ5" s="13">
        <f t="shared" si="1"/>
        <v>85677773150.995453</v>
      </c>
      <c r="AK5" s="13">
        <f t="shared" si="1"/>
        <v>89606930105.525513</v>
      </c>
      <c r="AL5" s="13">
        <f t="shared" si="1"/>
        <v>94790096998.924469</v>
      </c>
      <c r="AM5" s="13">
        <f t="shared" si="1"/>
        <v>99678186326.596451</v>
      </c>
      <c r="AN5" s="13">
        <f t="shared" si="1"/>
        <v>104742604710.18613</v>
      </c>
      <c r="AO5" s="13">
        <f t="shared" si="1"/>
        <v>109602843451.86722</v>
      </c>
      <c r="AP5" s="13">
        <f t="shared" si="1"/>
        <v>114510344736.23528</v>
      </c>
      <c r="AQ5" s="13">
        <f t="shared" si="1"/>
        <v>119128420620.30252</v>
      </c>
      <c r="AR5" s="13">
        <f t="shared" si="1"/>
        <v>123768381547.2402</v>
      </c>
      <c r="AS5" s="13">
        <f t="shared" si="1"/>
        <v>126997774038.84293</v>
      </c>
      <c r="AT5" s="13">
        <f t="shared" si="1"/>
        <v>131347474971.09241</v>
      </c>
      <c r="AU5" s="13">
        <f t="shared" si="1"/>
        <v>135936039575.29529</v>
      </c>
      <c r="AV5" s="13">
        <f t="shared" si="1"/>
        <v>140337901804.96628</v>
      </c>
      <c r="AW5" s="13">
        <f t="shared" si="1"/>
        <v>144573689088.45425</v>
      </c>
      <c r="AX5" s="13">
        <f t="shared" si="1"/>
        <v>149748853901.75345</v>
      </c>
      <c r="AY5" s="13">
        <f t="shared" si="1"/>
        <v>154712530853.30905</v>
      </c>
      <c r="AZ5" s="13">
        <f t="shared" si="1"/>
        <v>159107078947.67319</v>
      </c>
      <c r="BA5" s="13">
        <f t="shared" si="1"/>
        <v>163847726489.4111</v>
      </c>
      <c r="BB5" s="13">
        <f t="shared" si="1"/>
        <v>168674505213.99374</v>
      </c>
      <c r="BC5" s="13">
        <f t="shared" si="1"/>
        <v>173445217269.69119</v>
      </c>
      <c r="BD5" s="13">
        <f t="shared" si="1"/>
        <v>176495151176.6066</v>
      </c>
      <c r="BE5" s="13">
        <f t="shared" si="1"/>
        <v>180918152806.27899</v>
      </c>
      <c r="BF5" s="13">
        <f t="shared" si="1"/>
        <v>185937691322.24002</v>
      </c>
      <c r="BG5" s="13">
        <f t="shared" si="1"/>
        <v>190316292239.23178</v>
      </c>
      <c r="BH5" s="13">
        <f t="shared" si="1"/>
        <v>194258994331.37961</v>
      </c>
      <c r="BI5" s="13">
        <f t="shared" si="1"/>
        <v>197637334378.89471</v>
      </c>
      <c r="BJ5" s="13">
        <f t="shared" si="1"/>
        <v>199963549874.66528</v>
      </c>
      <c r="BK5" s="13">
        <f t="shared" si="1"/>
        <v>202436222881.19403</v>
      </c>
      <c r="BL5" s="13">
        <f t="shared" si="1"/>
        <v>204633584165.77081</v>
      </c>
      <c r="BM5" s="13">
        <f t="shared" si="1"/>
        <v>205858744606.80936</v>
      </c>
      <c r="BN5" s="13">
        <f t="shared" si="1"/>
        <v>207066175785.70203</v>
      </c>
    </row>
    <row r="6" spans="1:67" ht="15" x14ac:dyDescent="0.2">
      <c r="A6" s="14"/>
      <c r="B6" s="14"/>
      <c r="C6" s="14"/>
      <c r="D6" s="14"/>
      <c r="E6" s="15"/>
      <c r="F6" s="16"/>
      <c r="G6" s="12" t="s">
        <v>3</v>
      </c>
      <c r="H6" s="11">
        <f>H4</f>
        <v>46218</v>
      </c>
      <c r="I6" s="11">
        <f>I4</f>
        <v>46220</v>
      </c>
      <c r="J6" s="11">
        <f>J4</f>
        <v>46227</v>
      </c>
      <c r="K6" s="11">
        <f>K4</f>
        <v>46234</v>
      </c>
      <c r="L6" s="11">
        <f t="shared" ref="L6:BN6" si="2">L4</f>
        <v>46241</v>
      </c>
      <c r="M6" s="11">
        <f t="shared" si="2"/>
        <v>46248</v>
      </c>
      <c r="N6" s="11">
        <f t="shared" si="2"/>
        <v>46255</v>
      </c>
      <c r="O6" s="11">
        <f t="shared" si="2"/>
        <v>46262</v>
      </c>
      <c r="P6" s="11">
        <f t="shared" si="2"/>
        <v>46269</v>
      </c>
      <c r="Q6" s="11">
        <f t="shared" si="2"/>
        <v>46276</v>
      </c>
      <c r="R6" s="11">
        <f t="shared" si="2"/>
        <v>46283</v>
      </c>
      <c r="S6" s="11">
        <f t="shared" si="2"/>
        <v>46290</v>
      </c>
      <c r="T6" s="11">
        <f t="shared" si="2"/>
        <v>46297</v>
      </c>
      <c r="U6" s="11">
        <f t="shared" si="2"/>
        <v>46304</v>
      </c>
      <c r="V6" s="11">
        <f t="shared" si="2"/>
        <v>46311</v>
      </c>
      <c r="W6" s="11">
        <f t="shared" si="2"/>
        <v>46318</v>
      </c>
      <c r="X6" s="11">
        <f t="shared" si="2"/>
        <v>46325</v>
      </c>
      <c r="Y6" s="11">
        <f t="shared" si="2"/>
        <v>46332</v>
      </c>
      <c r="Z6" s="11">
        <f t="shared" si="2"/>
        <v>46339</v>
      </c>
      <c r="AA6" s="11">
        <f t="shared" si="2"/>
        <v>46346</v>
      </c>
      <c r="AB6" s="11">
        <f t="shared" si="2"/>
        <v>46353</v>
      </c>
      <c r="AC6" s="11">
        <f t="shared" si="2"/>
        <v>46360</v>
      </c>
      <c r="AD6" s="11">
        <f t="shared" si="2"/>
        <v>46367</v>
      </c>
      <c r="AE6" s="11">
        <f t="shared" si="2"/>
        <v>46374</v>
      </c>
      <c r="AF6" s="11">
        <f t="shared" si="2"/>
        <v>46381</v>
      </c>
      <c r="AG6" s="11">
        <f t="shared" si="2"/>
        <v>46388</v>
      </c>
      <c r="AH6" s="11">
        <f t="shared" si="2"/>
        <v>46395</v>
      </c>
      <c r="AI6" s="11">
        <f t="shared" si="2"/>
        <v>46402</v>
      </c>
      <c r="AJ6" s="11">
        <f t="shared" si="2"/>
        <v>46409</v>
      </c>
      <c r="AK6" s="11">
        <f t="shared" si="2"/>
        <v>46416</v>
      </c>
      <c r="AL6" s="11">
        <f t="shared" si="2"/>
        <v>46423</v>
      </c>
      <c r="AM6" s="11">
        <f t="shared" si="2"/>
        <v>46430</v>
      </c>
      <c r="AN6" s="11">
        <f t="shared" si="2"/>
        <v>46437</v>
      </c>
      <c r="AO6" s="11">
        <f t="shared" si="2"/>
        <v>46444</v>
      </c>
      <c r="AP6" s="11">
        <f t="shared" si="2"/>
        <v>46451</v>
      </c>
      <c r="AQ6" s="11">
        <f t="shared" si="2"/>
        <v>46458</v>
      </c>
      <c r="AR6" s="11">
        <f t="shared" si="2"/>
        <v>46465</v>
      </c>
      <c r="AS6" s="11">
        <f t="shared" si="2"/>
        <v>46472</v>
      </c>
      <c r="AT6" s="11">
        <f t="shared" si="2"/>
        <v>46479</v>
      </c>
      <c r="AU6" s="11">
        <f t="shared" si="2"/>
        <v>46486</v>
      </c>
      <c r="AV6" s="11">
        <f t="shared" si="2"/>
        <v>46493</v>
      </c>
      <c r="AW6" s="11">
        <f t="shared" si="2"/>
        <v>46500</v>
      </c>
      <c r="AX6" s="11">
        <f t="shared" si="2"/>
        <v>46507</v>
      </c>
      <c r="AY6" s="11">
        <f t="shared" si="2"/>
        <v>46514</v>
      </c>
      <c r="AZ6" s="11">
        <f t="shared" si="2"/>
        <v>46521</v>
      </c>
      <c r="BA6" s="11">
        <f t="shared" si="2"/>
        <v>46528</v>
      </c>
      <c r="BB6" s="11">
        <f t="shared" si="2"/>
        <v>46535</v>
      </c>
      <c r="BC6" s="11">
        <f t="shared" si="2"/>
        <v>46542</v>
      </c>
      <c r="BD6" s="11">
        <f t="shared" si="2"/>
        <v>46549</v>
      </c>
      <c r="BE6" s="11">
        <f t="shared" si="2"/>
        <v>46556</v>
      </c>
      <c r="BF6" s="11">
        <f t="shared" si="2"/>
        <v>46563</v>
      </c>
      <c r="BG6" s="11">
        <f t="shared" si="2"/>
        <v>46570</v>
      </c>
      <c r="BH6" s="11">
        <f t="shared" si="2"/>
        <v>46577</v>
      </c>
      <c r="BI6" s="11">
        <f t="shared" si="2"/>
        <v>46584</v>
      </c>
      <c r="BJ6" s="11">
        <f t="shared" si="2"/>
        <v>46591</v>
      </c>
      <c r="BK6" s="11">
        <f t="shared" si="2"/>
        <v>46598</v>
      </c>
      <c r="BL6" s="11">
        <f t="shared" si="2"/>
        <v>46605</v>
      </c>
      <c r="BM6" s="11">
        <f t="shared" si="2"/>
        <v>46612</v>
      </c>
      <c r="BN6" s="11">
        <f t="shared" si="2"/>
        <v>46619</v>
      </c>
    </row>
    <row r="7" spans="1:67" ht="24.75" customHeight="1" x14ac:dyDescent="0.2">
      <c r="A7" s="17" t="s">
        <v>4</v>
      </c>
      <c r="B7" s="17" t="s">
        <v>5</v>
      </c>
      <c r="C7" s="17" t="s">
        <v>6</v>
      </c>
      <c r="D7" s="17" t="s">
        <v>7</v>
      </c>
      <c r="E7" s="18" t="s">
        <v>8</v>
      </c>
      <c r="F7" s="19" t="s">
        <v>9</v>
      </c>
      <c r="G7" s="19" t="s">
        <v>10</v>
      </c>
      <c r="H7" s="20">
        <f>$E34*H34+$E39*H39+$E44*H44+$E109*H109+$E689*H689+$E695*H695+$E699*H699</f>
        <v>0</v>
      </c>
      <c r="I7" s="20">
        <f t="shared" ref="I7:BN7" si="3">$E34*I34+$E39*I39+$E44*I44+$E109*I109+$E689*I689+$E695*I695+$E699*I699</f>
        <v>1.3775459265662055E-5</v>
      </c>
      <c r="J7" s="20">
        <f t="shared" si="3"/>
        <v>1.2243671988271818E-4</v>
      </c>
      <c r="K7" s="20">
        <f t="shared" si="3"/>
        <v>3.1066874365559146E-3</v>
      </c>
      <c r="L7" s="20">
        <f t="shared" si="3"/>
        <v>6.3345202909999305E-3</v>
      </c>
      <c r="M7" s="20">
        <f t="shared" si="3"/>
        <v>7.2171953544939117E-3</v>
      </c>
      <c r="N7" s="20">
        <f t="shared" si="3"/>
        <v>8.7715137603070099E-3</v>
      </c>
      <c r="O7" s="20">
        <f t="shared" si="3"/>
        <v>1.0998345972096257E-2</v>
      </c>
      <c r="P7" s="20">
        <f t="shared" si="3"/>
        <v>1.5311295264120362E-2</v>
      </c>
      <c r="Q7" s="20">
        <f t="shared" si="3"/>
        <v>2.1571181612184701E-2</v>
      </c>
      <c r="R7" s="20">
        <f t="shared" si="3"/>
        <v>2.8527751337397156E-2</v>
      </c>
      <c r="S7" s="20">
        <f t="shared" si="3"/>
        <v>3.6541643857700187E-2</v>
      </c>
      <c r="T7" s="20">
        <f t="shared" si="3"/>
        <v>4.7878757040403973E-2</v>
      </c>
      <c r="U7" s="20">
        <f t="shared" si="3"/>
        <v>6.2709408433741301E-2</v>
      </c>
      <c r="V7" s="20">
        <f t="shared" si="3"/>
        <v>8.3315602187363252E-2</v>
      </c>
      <c r="W7" s="20">
        <f t="shared" si="3"/>
        <v>0.10813488098703836</v>
      </c>
      <c r="X7" s="20">
        <f t="shared" si="3"/>
        <v>0.12765535003208586</v>
      </c>
      <c r="Y7" s="20">
        <f t="shared" si="3"/>
        <v>0.15470299671706714</v>
      </c>
      <c r="Z7" s="20">
        <f t="shared" si="3"/>
        <v>0.18538354022701789</v>
      </c>
      <c r="AA7" s="20">
        <f t="shared" si="3"/>
        <v>0.20744642982828082</v>
      </c>
      <c r="AB7" s="20">
        <f t="shared" si="3"/>
        <v>0.23479626900442441</v>
      </c>
      <c r="AC7" s="20">
        <f t="shared" si="3"/>
        <v>0.25754285836143398</v>
      </c>
      <c r="AD7" s="20">
        <f t="shared" si="3"/>
        <v>0.27869734118833212</v>
      </c>
      <c r="AE7" s="20">
        <f t="shared" si="3"/>
        <v>0.30499492410249712</v>
      </c>
      <c r="AF7" s="20">
        <f t="shared" si="3"/>
        <v>0.32259339656658592</v>
      </c>
      <c r="AG7" s="20">
        <f t="shared" si="3"/>
        <v>0.34586308205556671</v>
      </c>
      <c r="AH7" s="20">
        <f t="shared" si="3"/>
        <v>0.36843623861006286</v>
      </c>
      <c r="AI7" s="20">
        <f t="shared" si="3"/>
        <v>0.38833151753479722</v>
      </c>
      <c r="AJ7" s="20">
        <f t="shared" si="3"/>
        <v>0.41103083401137058</v>
      </c>
      <c r="AK7" s="20">
        <f t="shared" si="3"/>
        <v>0.42988058465948609</v>
      </c>
      <c r="AL7" s="20">
        <f t="shared" si="3"/>
        <v>0.45474632676110771</v>
      </c>
      <c r="AM7" s="20">
        <f t="shared" si="3"/>
        <v>0.47819646276702643</v>
      </c>
      <c r="AN7" s="20">
        <f t="shared" si="3"/>
        <v>0.50249252037254788</v>
      </c>
      <c r="AO7" s="20">
        <f t="shared" si="3"/>
        <v>0.52580904588455979</v>
      </c>
      <c r="AP7" s="20">
        <f t="shared" si="3"/>
        <v>0.54935230887612641</v>
      </c>
      <c r="AQ7" s="20">
        <f t="shared" si="3"/>
        <v>0.57150708148921348</v>
      </c>
      <c r="AR7" s="20">
        <f t="shared" si="3"/>
        <v>0.59376684547979064</v>
      </c>
      <c r="AS7" s="20">
        <f t="shared" si="3"/>
        <v>0.60925954376495961</v>
      </c>
      <c r="AT7" s="20">
        <f t="shared" si="3"/>
        <v>0.63012681349116595</v>
      </c>
      <c r="AU7" s="20">
        <f t="shared" si="3"/>
        <v>0.65214000859203147</v>
      </c>
      <c r="AV7" s="20">
        <f t="shared" si="3"/>
        <v>0.67325751710005688</v>
      </c>
      <c r="AW7" s="20">
        <f t="shared" si="3"/>
        <v>0.69357829710864183</v>
      </c>
      <c r="AX7" s="20">
        <f t="shared" si="3"/>
        <v>0.71840565000456558</v>
      </c>
      <c r="AY7" s="20">
        <f t="shared" si="3"/>
        <v>0.74221841032882496</v>
      </c>
      <c r="AZ7" s="20">
        <f t="shared" si="3"/>
        <v>0.7633008299797911</v>
      </c>
      <c r="BA7" s="20">
        <f t="shared" si="3"/>
        <v>0.78604362827125029</v>
      </c>
      <c r="BB7" s="20">
        <f t="shared" si="3"/>
        <v>0.80919963258589434</v>
      </c>
      <c r="BC7" s="20">
        <f t="shared" si="3"/>
        <v>0.83208666247666419</v>
      </c>
      <c r="BD7" s="20">
        <f t="shared" si="3"/>
        <v>0.84671842555049737</v>
      </c>
      <c r="BE7" s="20">
        <f t="shared" si="3"/>
        <v>0.86793734828643188</v>
      </c>
      <c r="BF7" s="20">
        <f t="shared" si="3"/>
        <v>0.89201809906565177</v>
      </c>
      <c r="BG7" s="20">
        <f t="shared" si="3"/>
        <v>0.91302401367482677</v>
      </c>
      <c r="BH7" s="20">
        <f t="shared" si="3"/>
        <v>0.93193874581122182</v>
      </c>
      <c r="BI7" s="20">
        <f t="shared" si="3"/>
        <v>0.94814600559675477</v>
      </c>
      <c r="BJ7" s="20">
        <f t="shared" si="3"/>
        <v>0.95930579955675499</v>
      </c>
      <c r="BK7" s="20">
        <f t="shared" si="3"/>
        <v>0.97116820926621072</v>
      </c>
      <c r="BL7" s="20">
        <f t="shared" si="3"/>
        <v>0.98170983760466157</v>
      </c>
      <c r="BM7" s="20">
        <f t="shared" si="3"/>
        <v>0.98758742638127839</v>
      </c>
      <c r="BN7" s="20">
        <f t="shared" si="3"/>
        <v>0.99337996073668156</v>
      </c>
    </row>
    <row r="8" spans="1:67" s="27" customFormat="1" ht="18.75" customHeight="1" x14ac:dyDescent="0.25">
      <c r="A8" s="21">
        <v>0</v>
      </c>
      <c r="B8" s="21" t="s">
        <v>11</v>
      </c>
      <c r="C8" s="22" t="s">
        <v>12</v>
      </c>
      <c r="D8" s="23">
        <f>+D34+D39+D44+D109+D689+D695+D699</f>
        <v>208446097133.00803</v>
      </c>
      <c r="E8" s="24">
        <f>+E10+E14++E29+E30+E34+E39+E44+E109+E689+E695+E699</f>
        <v>1</v>
      </c>
      <c r="F8" s="25">
        <v>46218</v>
      </c>
      <c r="G8" s="25">
        <v>46637</v>
      </c>
      <c r="H8" s="26">
        <f t="shared" ref="H8:BN8" si="4">H7*$D$8</f>
        <v>0</v>
      </c>
      <c r="I8" s="26">
        <f t="shared" si="4"/>
        <v>2871440.7201419882</v>
      </c>
      <c r="J8" s="26">
        <f t="shared" si="4"/>
        <v>25521456.40531997</v>
      </c>
      <c r="K8" s="26">
        <f t="shared" si="4"/>
        <v>647576871.1622299</v>
      </c>
      <c r="L8" s="26">
        <f t="shared" si="4"/>
        <v>1320406031.8687818</v>
      </c>
      <c r="M8" s="26">
        <f t="shared" si="4"/>
        <v>1504396203.8907323</v>
      </c>
      <c r="N8" s="26">
        <f t="shared" si="4"/>
        <v>1828387809.2844715</v>
      </c>
      <c r="O8" s="26">
        <f t="shared" si="4"/>
        <v>2292562292.8020039</v>
      </c>
      <c r="P8" s="26">
        <f t="shared" si="4"/>
        <v>3191579739.8569989</v>
      </c>
      <c r="Q8" s="26">
        <f t="shared" si="4"/>
        <v>4496428617.6072092</v>
      </c>
      <c r="R8" s="26">
        <f t="shared" si="4"/>
        <v>5946498426.2613869</v>
      </c>
      <c r="S8" s="26">
        <f t="shared" si="4"/>
        <v>7616963044.9619589</v>
      </c>
      <c r="T8" s="26">
        <f t="shared" si="4"/>
        <v>9980140040.6517391</v>
      </c>
      <c r="U8" s="26">
        <f t="shared" si="4"/>
        <v>13071531441.533112</v>
      </c>
      <c r="V8" s="26">
        <f t="shared" si="4"/>
        <v>17366812106.242176</v>
      </c>
      <c r="W8" s="26">
        <f t="shared" si="4"/>
        <v>22540293905.69046</v>
      </c>
      <c r="X8" s="26">
        <f t="shared" si="4"/>
        <v>26609259492.336308</v>
      </c>
      <c r="Y8" s="26">
        <f t="shared" si="4"/>
        <v>32247235880.453197</v>
      </c>
      <c r="Z8" s="26">
        <f t="shared" si="4"/>
        <v>38642475433.021873</v>
      </c>
      <c r="AA8" s="26">
        <f t="shared" si="4"/>
        <v>43241398661.881554</v>
      </c>
      <c r="AB8" s="26">
        <f t="shared" si="4"/>
        <v>48942365895.364128</v>
      </c>
      <c r="AC8" s="26">
        <f t="shared" si="4"/>
        <v>53683803669.919998</v>
      </c>
      <c r="AD8" s="26">
        <f t="shared" si="4"/>
        <v>58093373052.054153</v>
      </c>
      <c r="AE8" s="26">
        <f t="shared" si="4"/>
        <v>63575001574.543526</v>
      </c>
      <c r="AF8" s="26">
        <f t="shared" si="4"/>
        <v>67243334475.185547</v>
      </c>
      <c r="AG8" s="26">
        <f t="shared" si="4"/>
        <v>72093809596.87619</v>
      </c>
      <c r="AH8" s="26">
        <f t="shared" si="4"/>
        <v>76799095980.633286</v>
      </c>
      <c r="AI8" s="26">
        <f t="shared" si="4"/>
        <v>80946189223.866745</v>
      </c>
      <c r="AJ8" s="26">
        <f t="shared" si="4"/>
        <v>85677773150.995453</v>
      </c>
      <c r="AK8" s="26">
        <f t="shared" si="4"/>
        <v>89606930105.525513</v>
      </c>
      <c r="AL8" s="26">
        <f t="shared" si="4"/>
        <v>94790096998.924469</v>
      </c>
      <c r="AM8" s="26">
        <f t="shared" si="4"/>
        <v>99678186326.596451</v>
      </c>
      <c r="AN8" s="26">
        <f t="shared" si="4"/>
        <v>104742604710.18613</v>
      </c>
      <c r="AO8" s="26">
        <f t="shared" si="4"/>
        <v>109602843451.86722</v>
      </c>
      <c r="AP8" s="26">
        <f t="shared" si="4"/>
        <v>114510344736.23528</v>
      </c>
      <c r="AQ8" s="26">
        <f t="shared" si="4"/>
        <v>119128420620.30252</v>
      </c>
      <c r="AR8" s="26">
        <f t="shared" si="4"/>
        <v>123768381547.2402</v>
      </c>
      <c r="AS8" s="26">
        <f t="shared" si="4"/>
        <v>126997774038.84293</v>
      </c>
      <c r="AT8" s="26">
        <f t="shared" si="4"/>
        <v>131347474971.09241</v>
      </c>
      <c r="AU8" s="26">
        <f t="shared" si="4"/>
        <v>135936039575.29529</v>
      </c>
      <c r="AV8" s="26">
        <f t="shared" si="4"/>
        <v>140337901804.96628</v>
      </c>
      <c r="AW8" s="26">
        <f t="shared" si="4"/>
        <v>144573689088.45425</v>
      </c>
      <c r="AX8" s="26">
        <f t="shared" si="4"/>
        <v>149748853901.75345</v>
      </c>
      <c r="AY8" s="26">
        <f t="shared" si="4"/>
        <v>154712530853.30905</v>
      </c>
      <c r="AZ8" s="26">
        <f t="shared" si="4"/>
        <v>159107078947.67319</v>
      </c>
      <c r="BA8" s="26">
        <f t="shared" si="4"/>
        <v>163847726489.4111</v>
      </c>
      <c r="BB8" s="26">
        <f t="shared" si="4"/>
        <v>168674505213.99374</v>
      </c>
      <c r="BC8" s="26">
        <f t="shared" si="4"/>
        <v>173445217269.69119</v>
      </c>
      <c r="BD8" s="26">
        <f t="shared" si="4"/>
        <v>176495151176.6066</v>
      </c>
      <c r="BE8" s="26">
        <f t="shared" si="4"/>
        <v>180918152806.27899</v>
      </c>
      <c r="BF8" s="26">
        <f t="shared" si="4"/>
        <v>185937691322.24002</v>
      </c>
      <c r="BG8" s="26">
        <f t="shared" si="4"/>
        <v>190316292239.23178</v>
      </c>
      <c r="BH8" s="26">
        <f t="shared" si="4"/>
        <v>194258994331.37961</v>
      </c>
      <c r="BI8" s="26">
        <f t="shared" si="4"/>
        <v>197637334378.89471</v>
      </c>
      <c r="BJ8" s="26">
        <f t="shared" si="4"/>
        <v>199963549874.66528</v>
      </c>
      <c r="BK8" s="26">
        <f t="shared" si="4"/>
        <v>202436222881.19403</v>
      </c>
      <c r="BL8" s="26">
        <f t="shared" si="4"/>
        <v>204633584165.77081</v>
      </c>
      <c r="BM8" s="26">
        <f t="shared" si="4"/>
        <v>205858744606.80936</v>
      </c>
      <c r="BN8" s="26">
        <f t="shared" si="4"/>
        <v>207066175785.70203</v>
      </c>
    </row>
    <row r="9" spans="1:67" s="27" customFormat="1" ht="18.75" hidden="1" customHeight="1" x14ac:dyDescent="0.25">
      <c r="A9" s="28">
        <v>1</v>
      </c>
      <c r="B9" s="28" t="s">
        <v>13</v>
      </c>
      <c r="C9" s="28" t="s">
        <v>14</v>
      </c>
      <c r="D9" s="29">
        <f>VLOOKUP(A9,'[1]Cuadro Control'!C5:J1939,8,FALSE)</f>
        <v>0</v>
      </c>
      <c r="E9" s="30">
        <f>IFERROR(D9/$D$8,0)</f>
        <v>0</v>
      </c>
      <c r="F9" s="31">
        <v>46218</v>
      </c>
      <c r="G9" s="31">
        <v>46218</v>
      </c>
      <c r="H9" s="30">
        <f t="shared" ref="H9:BN13" si="5">IF($F9=0,0,IF(H$6&lt;$F9,0,IF(H$6&gt;$G9,1,(H$6-$F9+1)/($G9-$F9+1))))</f>
        <v>1</v>
      </c>
      <c r="I9" s="30">
        <f t="shared" si="5"/>
        <v>1</v>
      </c>
      <c r="J9" s="30">
        <f t="shared" si="5"/>
        <v>1</v>
      </c>
      <c r="K9" s="30">
        <f t="shared" si="5"/>
        <v>1</v>
      </c>
      <c r="L9" s="30">
        <f t="shared" si="5"/>
        <v>1</v>
      </c>
      <c r="M9" s="30">
        <f t="shared" si="5"/>
        <v>1</v>
      </c>
      <c r="N9" s="30">
        <f t="shared" si="5"/>
        <v>1</v>
      </c>
      <c r="O9" s="30">
        <f t="shared" si="5"/>
        <v>1</v>
      </c>
      <c r="P9" s="30">
        <f t="shared" si="5"/>
        <v>1</v>
      </c>
      <c r="Q9" s="30">
        <f t="shared" si="5"/>
        <v>1</v>
      </c>
      <c r="R9" s="30">
        <f t="shared" si="5"/>
        <v>1</v>
      </c>
      <c r="S9" s="30">
        <f t="shared" si="5"/>
        <v>1</v>
      </c>
      <c r="T9" s="30">
        <f t="shared" si="5"/>
        <v>1</v>
      </c>
      <c r="U9" s="30">
        <f t="shared" si="5"/>
        <v>1</v>
      </c>
      <c r="V9" s="30">
        <f t="shared" si="5"/>
        <v>1</v>
      </c>
      <c r="W9" s="30">
        <f t="shared" si="5"/>
        <v>1</v>
      </c>
      <c r="X9" s="30">
        <f t="shared" si="5"/>
        <v>1</v>
      </c>
      <c r="Y9" s="30">
        <f t="shared" si="5"/>
        <v>1</v>
      </c>
      <c r="Z9" s="30">
        <f t="shared" si="5"/>
        <v>1</v>
      </c>
      <c r="AA9" s="30">
        <f t="shared" si="5"/>
        <v>1</v>
      </c>
      <c r="AB9" s="30">
        <f t="shared" si="5"/>
        <v>1</v>
      </c>
      <c r="AC9" s="30">
        <f t="shared" si="5"/>
        <v>1</v>
      </c>
      <c r="AD9" s="30">
        <f t="shared" si="5"/>
        <v>1</v>
      </c>
      <c r="AE9" s="30">
        <f t="shared" si="5"/>
        <v>1</v>
      </c>
      <c r="AF9" s="30">
        <f t="shared" si="5"/>
        <v>1</v>
      </c>
      <c r="AG9" s="30">
        <f t="shared" si="5"/>
        <v>1</v>
      </c>
      <c r="AH9" s="30">
        <f t="shared" si="5"/>
        <v>1</v>
      </c>
      <c r="AI9" s="30">
        <f t="shared" si="5"/>
        <v>1</v>
      </c>
      <c r="AJ9" s="30">
        <f t="shared" si="5"/>
        <v>1</v>
      </c>
      <c r="AK9" s="30">
        <f t="shared" si="5"/>
        <v>1</v>
      </c>
      <c r="AL9" s="30">
        <f t="shared" si="5"/>
        <v>1</v>
      </c>
      <c r="AM9" s="30">
        <f t="shared" si="5"/>
        <v>1</v>
      </c>
      <c r="AN9" s="30">
        <f t="shared" si="5"/>
        <v>1</v>
      </c>
      <c r="AO9" s="30">
        <f t="shared" si="5"/>
        <v>1</v>
      </c>
      <c r="AP9" s="30">
        <f t="shared" si="5"/>
        <v>1</v>
      </c>
      <c r="AQ9" s="30">
        <f t="shared" si="5"/>
        <v>1</v>
      </c>
      <c r="AR9" s="30">
        <f t="shared" si="5"/>
        <v>1</v>
      </c>
      <c r="AS9" s="30">
        <f t="shared" si="5"/>
        <v>1</v>
      </c>
      <c r="AT9" s="30">
        <f t="shared" si="5"/>
        <v>1</v>
      </c>
      <c r="AU9" s="30">
        <f t="shared" si="5"/>
        <v>1</v>
      </c>
      <c r="AV9" s="30">
        <f t="shared" si="5"/>
        <v>1</v>
      </c>
      <c r="AW9" s="30">
        <f t="shared" si="5"/>
        <v>1</v>
      </c>
      <c r="AX9" s="30">
        <f t="shared" si="5"/>
        <v>1</v>
      </c>
      <c r="AY9" s="30">
        <f t="shared" si="5"/>
        <v>1</v>
      </c>
      <c r="AZ9" s="30">
        <f t="shared" si="5"/>
        <v>1</v>
      </c>
      <c r="BA9" s="30">
        <f t="shared" si="5"/>
        <v>1</v>
      </c>
      <c r="BB9" s="30">
        <f t="shared" si="5"/>
        <v>1</v>
      </c>
      <c r="BC9" s="30">
        <f t="shared" si="5"/>
        <v>1</v>
      </c>
      <c r="BD9" s="30">
        <f t="shared" si="5"/>
        <v>1</v>
      </c>
      <c r="BE9" s="30">
        <f t="shared" si="5"/>
        <v>1</v>
      </c>
      <c r="BF9" s="30">
        <f t="shared" si="5"/>
        <v>1</v>
      </c>
      <c r="BG9" s="30">
        <f t="shared" si="5"/>
        <v>1</v>
      </c>
      <c r="BH9" s="30">
        <f t="shared" si="5"/>
        <v>1</v>
      </c>
      <c r="BI9" s="30">
        <f t="shared" si="5"/>
        <v>1</v>
      </c>
      <c r="BJ9" s="30">
        <f t="shared" si="5"/>
        <v>1</v>
      </c>
      <c r="BK9" s="30">
        <f t="shared" si="5"/>
        <v>1</v>
      </c>
      <c r="BL9" s="30">
        <f t="shared" si="5"/>
        <v>1</v>
      </c>
      <c r="BM9" s="30">
        <f t="shared" si="5"/>
        <v>1</v>
      </c>
      <c r="BN9" s="30">
        <f t="shared" si="5"/>
        <v>1</v>
      </c>
      <c r="BO9" s="32">
        <f>+AVERAGE(H9:BN9)</f>
        <v>1</v>
      </c>
    </row>
    <row r="10" spans="1:67" s="27" customFormat="1" ht="18.75" hidden="1" customHeight="1" x14ac:dyDescent="0.25">
      <c r="A10" s="21">
        <v>2</v>
      </c>
      <c r="B10" s="21" t="s">
        <v>15</v>
      </c>
      <c r="C10" s="21" t="s">
        <v>16</v>
      </c>
      <c r="D10" s="33">
        <f>VLOOKUP(A10,'[1]Cuadro Control'!C6:J1940,8,FALSE)</f>
        <v>0</v>
      </c>
      <c r="E10" s="24">
        <f t="shared" ref="E10:E44" si="6">IFERROR(D10/$D$8,0)</f>
        <v>0</v>
      </c>
      <c r="F10" s="25">
        <v>46218</v>
      </c>
      <c r="G10" s="25">
        <v>46268</v>
      </c>
      <c r="H10" s="24">
        <f t="shared" si="5"/>
        <v>1.9607843137254902E-2</v>
      </c>
      <c r="I10" s="24">
        <f t="shared" si="5"/>
        <v>5.8823529411764705E-2</v>
      </c>
      <c r="J10" s="24">
        <f t="shared" si="5"/>
        <v>0.19607843137254902</v>
      </c>
      <c r="K10" s="24">
        <f t="shared" si="5"/>
        <v>0.33333333333333331</v>
      </c>
      <c r="L10" s="24">
        <f t="shared" si="5"/>
        <v>0.47058823529411764</v>
      </c>
      <c r="M10" s="24">
        <f t="shared" si="5"/>
        <v>0.60784313725490191</v>
      </c>
      <c r="N10" s="24">
        <f t="shared" si="5"/>
        <v>0.74509803921568629</v>
      </c>
      <c r="O10" s="24">
        <f t="shared" si="5"/>
        <v>0.88235294117647056</v>
      </c>
      <c r="P10" s="24">
        <f t="shared" si="5"/>
        <v>1</v>
      </c>
      <c r="Q10" s="24">
        <f t="shared" si="5"/>
        <v>1</v>
      </c>
      <c r="R10" s="24">
        <f t="shared" si="5"/>
        <v>1</v>
      </c>
      <c r="S10" s="24">
        <f t="shared" si="5"/>
        <v>1</v>
      </c>
      <c r="T10" s="24">
        <f t="shared" si="5"/>
        <v>1</v>
      </c>
      <c r="U10" s="24">
        <f t="shared" si="5"/>
        <v>1</v>
      </c>
      <c r="V10" s="24">
        <f t="shared" si="5"/>
        <v>1</v>
      </c>
      <c r="W10" s="24">
        <f t="shared" si="5"/>
        <v>1</v>
      </c>
      <c r="X10" s="24">
        <f t="shared" si="5"/>
        <v>1</v>
      </c>
      <c r="Y10" s="24">
        <f t="shared" si="5"/>
        <v>1</v>
      </c>
      <c r="Z10" s="24">
        <f t="shared" si="5"/>
        <v>1</v>
      </c>
      <c r="AA10" s="24">
        <f t="shared" si="5"/>
        <v>1</v>
      </c>
      <c r="AB10" s="24">
        <f t="shared" si="5"/>
        <v>1</v>
      </c>
      <c r="AC10" s="24">
        <f t="shared" si="5"/>
        <v>1</v>
      </c>
      <c r="AD10" s="24">
        <f t="shared" si="5"/>
        <v>1</v>
      </c>
      <c r="AE10" s="24">
        <f t="shared" si="5"/>
        <v>1</v>
      </c>
      <c r="AF10" s="24">
        <f t="shared" si="5"/>
        <v>1</v>
      </c>
      <c r="AG10" s="24">
        <f t="shared" si="5"/>
        <v>1</v>
      </c>
      <c r="AH10" s="24">
        <f t="shared" si="5"/>
        <v>1</v>
      </c>
      <c r="AI10" s="24">
        <f t="shared" si="5"/>
        <v>1</v>
      </c>
      <c r="AJ10" s="24">
        <f t="shared" si="5"/>
        <v>1</v>
      </c>
      <c r="AK10" s="24">
        <f t="shared" si="5"/>
        <v>1</v>
      </c>
      <c r="AL10" s="24">
        <f t="shared" si="5"/>
        <v>1</v>
      </c>
      <c r="AM10" s="24">
        <f t="shared" si="5"/>
        <v>1</v>
      </c>
      <c r="AN10" s="24">
        <f t="shared" si="5"/>
        <v>1</v>
      </c>
      <c r="AO10" s="24">
        <f t="shared" si="5"/>
        <v>1</v>
      </c>
      <c r="AP10" s="24">
        <f t="shared" si="5"/>
        <v>1</v>
      </c>
      <c r="AQ10" s="24">
        <f t="shared" si="5"/>
        <v>1</v>
      </c>
      <c r="AR10" s="24">
        <f t="shared" si="5"/>
        <v>1</v>
      </c>
      <c r="AS10" s="24">
        <f t="shared" si="5"/>
        <v>1</v>
      </c>
      <c r="AT10" s="24">
        <f t="shared" si="5"/>
        <v>1</v>
      </c>
      <c r="AU10" s="24">
        <f t="shared" si="5"/>
        <v>1</v>
      </c>
      <c r="AV10" s="24">
        <f t="shared" si="5"/>
        <v>1</v>
      </c>
      <c r="AW10" s="24">
        <f t="shared" si="5"/>
        <v>1</v>
      </c>
      <c r="AX10" s="24">
        <f t="shared" si="5"/>
        <v>1</v>
      </c>
      <c r="AY10" s="24">
        <f t="shared" si="5"/>
        <v>1</v>
      </c>
      <c r="AZ10" s="24">
        <f t="shared" si="5"/>
        <v>1</v>
      </c>
      <c r="BA10" s="24">
        <f t="shared" si="5"/>
        <v>1</v>
      </c>
      <c r="BB10" s="24">
        <f t="shared" si="5"/>
        <v>1</v>
      </c>
      <c r="BC10" s="24">
        <f t="shared" si="5"/>
        <v>1</v>
      </c>
      <c r="BD10" s="24">
        <f t="shared" si="5"/>
        <v>1</v>
      </c>
      <c r="BE10" s="24">
        <f t="shared" si="5"/>
        <v>1</v>
      </c>
      <c r="BF10" s="24">
        <f t="shared" si="5"/>
        <v>1</v>
      </c>
      <c r="BG10" s="24">
        <f t="shared" si="5"/>
        <v>1</v>
      </c>
      <c r="BH10" s="24">
        <f t="shared" si="5"/>
        <v>1</v>
      </c>
      <c r="BI10" s="24">
        <f t="shared" si="5"/>
        <v>1</v>
      </c>
      <c r="BJ10" s="24">
        <f t="shared" si="5"/>
        <v>1</v>
      </c>
      <c r="BK10" s="24">
        <f t="shared" si="5"/>
        <v>1</v>
      </c>
      <c r="BL10" s="24">
        <f t="shared" si="5"/>
        <v>1</v>
      </c>
      <c r="BM10" s="24">
        <f t="shared" si="5"/>
        <v>1</v>
      </c>
      <c r="BN10" s="24">
        <f t="shared" si="5"/>
        <v>1</v>
      </c>
      <c r="BO10" s="32">
        <f t="shared" ref="BO10:BO73" si="7">+AVERAGE(H10:BN10)</f>
        <v>0.92057161847789959</v>
      </c>
    </row>
    <row r="11" spans="1:67" s="27" customFormat="1" ht="18.75" hidden="1" customHeight="1" x14ac:dyDescent="0.25">
      <c r="A11" s="34" t="s">
        <v>17</v>
      </c>
      <c r="B11" s="34" t="s">
        <v>18</v>
      </c>
      <c r="C11" s="34" t="s">
        <v>14</v>
      </c>
      <c r="D11" s="35">
        <f>VLOOKUP(A11,'[1]Cuadro Control'!C7:J1941,8,FALSE)</f>
        <v>0</v>
      </c>
      <c r="E11" s="36">
        <f t="shared" si="6"/>
        <v>0</v>
      </c>
      <c r="F11" s="37">
        <v>46218</v>
      </c>
      <c r="G11" s="37">
        <v>46218</v>
      </c>
      <c r="H11" s="36">
        <f t="shared" si="5"/>
        <v>1</v>
      </c>
      <c r="I11" s="36">
        <f t="shared" si="5"/>
        <v>1</v>
      </c>
      <c r="J11" s="36">
        <f t="shared" si="5"/>
        <v>1</v>
      </c>
      <c r="K11" s="36">
        <f t="shared" si="5"/>
        <v>1</v>
      </c>
      <c r="L11" s="36">
        <f t="shared" si="5"/>
        <v>1</v>
      </c>
      <c r="M11" s="36">
        <f t="shared" si="5"/>
        <v>1</v>
      </c>
      <c r="N11" s="36">
        <f t="shared" si="5"/>
        <v>1</v>
      </c>
      <c r="O11" s="36">
        <f t="shared" si="5"/>
        <v>1</v>
      </c>
      <c r="P11" s="36">
        <f t="shared" si="5"/>
        <v>1</v>
      </c>
      <c r="Q11" s="36">
        <f t="shared" si="5"/>
        <v>1</v>
      </c>
      <c r="R11" s="36">
        <f t="shared" si="5"/>
        <v>1</v>
      </c>
      <c r="S11" s="36">
        <f t="shared" si="5"/>
        <v>1</v>
      </c>
      <c r="T11" s="36">
        <f t="shared" si="5"/>
        <v>1</v>
      </c>
      <c r="U11" s="36">
        <f t="shared" si="5"/>
        <v>1</v>
      </c>
      <c r="V11" s="36">
        <f t="shared" si="5"/>
        <v>1</v>
      </c>
      <c r="W11" s="36">
        <f t="shared" si="5"/>
        <v>1</v>
      </c>
      <c r="X11" s="36">
        <f t="shared" si="5"/>
        <v>1</v>
      </c>
      <c r="Y11" s="36">
        <f t="shared" si="5"/>
        <v>1</v>
      </c>
      <c r="Z11" s="36">
        <f t="shared" si="5"/>
        <v>1</v>
      </c>
      <c r="AA11" s="36">
        <f t="shared" si="5"/>
        <v>1</v>
      </c>
      <c r="AB11" s="36">
        <f t="shared" si="5"/>
        <v>1</v>
      </c>
      <c r="AC11" s="36">
        <f t="shared" si="5"/>
        <v>1</v>
      </c>
      <c r="AD11" s="36">
        <f t="shared" si="5"/>
        <v>1</v>
      </c>
      <c r="AE11" s="36">
        <f t="shared" si="5"/>
        <v>1</v>
      </c>
      <c r="AF11" s="36">
        <f t="shared" si="5"/>
        <v>1</v>
      </c>
      <c r="AG11" s="36">
        <f t="shared" si="5"/>
        <v>1</v>
      </c>
      <c r="AH11" s="36">
        <f t="shared" si="5"/>
        <v>1</v>
      </c>
      <c r="AI11" s="36">
        <f t="shared" si="5"/>
        <v>1</v>
      </c>
      <c r="AJ11" s="36">
        <f t="shared" si="5"/>
        <v>1</v>
      </c>
      <c r="AK11" s="36">
        <f t="shared" si="5"/>
        <v>1</v>
      </c>
      <c r="AL11" s="36">
        <f t="shared" si="5"/>
        <v>1</v>
      </c>
      <c r="AM11" s="36">
        <f t="shared" si="5"/>
        <v>1</v>
      </c>
      <c r="AN11" s="36">
        <f t="shared" si="5"/>
        <v>1</v>
      </c>
      <c r="AO11" s="36">
        <f t="shared" si="5"/>
        <v>1</v>
      </c>
      <c r="AP11" s="36">
        <f t="shared" si="5"/>
        <v>1</v>
      </c>
      <c r="AQ11" s="36">
        <f t="shared" si="5"/>
        <v>1</v>
      </c>
      <c r="AR11" s="36">
        <f t="shared" si="5"/>
        <v>1</v>
      </c>
      <c r="AS11" s="36">
        <f t="shared" si="5"/>
        <v>1</v>
      </c>
      <c r="AT11" s="36">
        <f t="shared" si="5"/>
        <v>1</v>
      </c>
      <c r="AU11" s="36">
        <f t="shared" si="5"/>
        <v>1</v>
      </c>
      <c r="AV11" s="36">
        <f t="shared" si="5"/>
        <v>1</v>
      </c>
      <c r="AW11" s="36">
        <f t="shared" si="5"/>
        <v>1</v>
      </c>
      <c r="AX11" s="36">
        <f t="shared" si="5"/>
        <v>1</v>
      </c>
      <c r="AY11" s="36">
        <f t="shared" si="5"/>
        <v>1</v>
      </c>
      <c r="AZ11" s="36">
        <f t="shared" si="5"/>
        <v>1</v>
      </c>
      <c r="BA11" s="36">
        <f t="shared" si="5"/>
        <v>1</v>
      </c>
      <c r="BB11" s="36">
        <f t="shared" si="5"/>
        <v>1</v>
      </c>
      <c r="BC11" s="36">
        <f t="shared" si="5"/>
        <v>1</v>
      </c>
      <c r="BD11" s="36">
        <f t="shared" si="5"/>
        <v>1</v>
      </c>
      <c r="BE11" s="36">
        <f t="shared" si="5"/>
        <v>1</v>
      </c>
      <c r="BF11" s="36">
        <f t="shared" si="5"/>
        <v>1</v>
      </c>
      <c r="BG11" s="36">
        <f t="shared" si="5"/>
        <v>1</v>
      </c>
      <c r="BH11" s="36">
        <f t="shared" si="5"/>
        <v>1</v>
      </c>
      <c r="BI11" s="36">
        <f t="shared" si="5"/>
        <v>1</v>
      </c>
      <c r="BJ11" s="36">
        <f t="shared" si="5"/>
        <v>1</v>
      </c>
      <c r="BK11" s="36">
        <f t="shared" si="5"/>
        <v>1</v>
      </c>
      <c r="BL11" s="36">
        <f t="shared" si="5"/>
        <v>1</v>
      </c>
      <c r="BM11" s="36">
        <f t="shared" si="5"/>
        <v>1</v>
      </c>
      <c r="BN11" s="36">
        <f t="shared" si="5"/>
        <v>1</v>
      </c>
      <c r="BO11" s="32">
        <f t="shared" si="7"/>
        <v>1</v>
      </c>
    </row>
    <row r="12" spans="1:67" s="27" customFormat="1" ht="18.75" hidden="1" customHeight="1" x14ac:dyDescent="0.25">
      <c r="A12" s="34" t="s">
        <v>19</v>
      </c>
      <c r="B12" s="34" t="s">
        <v>20</v>
      </c>
      <c r="C12" s="34" t="s">
        <v>14</v>
      </c>
      <c r="D12" s="35">
        <f>VLOOKUP(A12,'[1]Cuadro Control'!C8:J1942,8,FALSE)</f>
        <v>0</v>
      </c>
      <c r="E12" s="36">
        <f t="shared" si="6"/>
        <v>0</v>
      </c>
      <c r="F12" s="37">
        <v>46218</v>
      </c>
      <c r="G12" s="37">
        <v>46218</v>
      </c>
      <c r="H12" s="36">
        <f t="shared" si="5"/>
        <v>1</v>
      </c>
      <c r="I12" s="36">
        <f t="shared" si="5"/>
        <v>1</v>
      </c>
      <c r="J12" s="36">
        <f t="shared" si="5"/>
        <v>1</v>
      </c>
      <c r="K12" s="36">
        <f t="shared" si="5"/>
        <v>1</v>
      </c>
      <c r="L12" s="36">
        <f t="shared" si="5"/>
        <v>1</v>
      </c>
      <c r="M12" s="36">
        <f t="shared" si="5"/>
        <v>1</v>
      </c>
      <c r="N12" s="36">
        <f t="shared" si="5"/>
        <v>1</v>
      </c>
      <c r="O12" s="36">
        <f t="shared" si="5"/>
        <v>1</v>
      </c>
      <c r="P12" s="36">
        <f t="shared" si="5"/>
        <v>1</v>
      </c>
      <c r="Q12" s="36">
        <f t="shared" si="5"/>
        <v>1</v>
      </c>
      <c r="R12" s="36">
        <f t="shared" si="5"/>
        <v>1</v>
      </c>
      <c r="S12" s="36">
        <f t="shared" si="5"/>
        <v>1</v>
      </c>
      <c r="T12" s="36">
        <f t="shared" si="5"/>
        <v>1</v>
      </c>
      <c r="U12" s="36">
        <f t="shared" si="5"/>
        <v>1</v>
      </c>
      <c r="V12" s="36">
        <f t="shared" si="5"/>
        <v>1</v>
      </c>
      <c r="W12" s="36">
        <f t="shared" si="5"/>
        <v>1</v>
      </c>
      <c r="X12" s="36">
        <f t="shared" si="5"/>
        <v>1</v>
      </c>
      <c r="Y12" s="36">
        <f t="shared" si="5"/>
        <v>1</v>
      </c>
      <c r="Z12" s="36">
        <f t="shared" si="5"/>
        <v>1</v>
      </c>
      <c r="AA12" s="36">
        <f t="shared" si="5"/>
        <v>1</v>
      </c>
      <c r="AB12" s="36">
        <f t="shared" si="5"/>
        <v>1</v>
      </c>
      <c r="AC12" s="36">
        <f t="shared" si="5"/>
        <v>1</v>
      </c>
      <c r="AD12" s="36">
        <f t="shared" si="5"/>
        <v>1</v>
      </c>
      <c r="AE12" s="36">
        <f t="shared" si="5"/>
        <v>1</v>
      </c>
      <c r="AF12" s="36">
        <f t="shared" si="5"/>
        <v>1</v>
      </c>
      <c r="AG12" s="36">
        <f t="shared" si="5"/>
        <v>1</v>
      </c>
      <c r="AH12" s="36">
        <f t="shared" si="5"/>
        <v>1</v>
      </c>
      <c r="AI12" s="36">
        <f t="shared" si="5"/>
        <v>1</v>
      </c>
      <c r="AJ12" s="36">
        <f t="shared" si="5"/>
        <v>1</v>
      </c>
      <c r="AK12" s="36">
        <f t="shared" si="5"/>
        <v>1</v>
      </c>
      <c r="AL12" s="36">
        <f t="shared" si="5"/>
        <v>1</v>
      </c>
      <c r="AM12" s="36">
        <f t="shared" si="5"/>
        <v>1</v>
      </c>
      <c r="AN12" s="36">
        <f t="shared" si="5"/>
        <v>1</v>
      </c>
      <c r="AO12" s="36">
        <f t="shared" si="5"/>
        <v>1</v>
      </c>
      <c r="AP12" s="36">
        <f t="shared" si="5"/>
        <v>1</v>
      </c>
      <c r="AQ12" s="36">
        <f t="shared" si="5"/>
        <v>1</v>
      </c>
      <c r="AR12" s="36">
        <f t="shared" si="5"/>
        <v>1</v>
      </c>
      <c r="AS12" s="36">
        <f t="shared" si="5"/>
        <v>1</v>
      </c>
      <c r="AT12" s="36">
        <f t="shared" si="5"/>
        <v>1</v>
      </c>
      <c r="AU12" s="36">
        <f t="shared" si="5"/>
        <v>1</v>
      </c>
      <c r="AV12" s="36">
        <f t="shared" si="5"/>
        <v>1</v>
      </c>
      <c r="AW12" s="36">
        <f t="shared" si="5"/>
        <v>1</v>
      </c>
      <c r="AX12" s="36">
        <f t="shared" si="5"/>
        <v>1</v>
      </c>
      <c r="AY12" s="36">
        <f t="shared" si="5"/>
        <v>1</v>
      </c>
      <c r="AZ12" s="36">
        <f t="shared" si="5"/>
        <v>1</v>
      </c>
      <c r="BA12" s="36">
        <f t="shared" si="5"/>
        <v>1</v>
      </c>
      <c r="BB12" s="36">
        <f t="shared" si="5"/>
        <v>1</v>
      </c>
      <c r="BC12" s="36">
        <f t="shared" si="5"/>
        <v>1</v>
      </c>
      <c r="BD12" s="36">
        <f t="shared" si="5"/>
        <v>1</v>
      </c>
      <c r="BE12" s="36">
        <f t="shared" si="5"/>
        <v>1</v>
      </c>
      <c r="BF12" s="36">
        <f t="shared" si="5"/>
        <v>1</v>
      </c>
      <c r="BG12" s="36">
        <f t="shared" si="5"/>
        <v>1</v>
      </c>
      <c r="BH12" s="36">
        <f t="shared" si="5"/>
        <v>1</v>
      </c>
      <c r="BI12" s="36">
        <f t="shared" si="5"/>
        <v>1</v>
      </c>
      <c r="BJ12" s="36">
        <f t="shared" si="5"/>
        <v>1</v>
      </c>
      <c r="BK12" s="36">
        <f t="shared" si="5"/>
        <v>1</v>
      </c>
      <c r="BL12" s="36">
        <f t="shared" si="5"/>
        <v>1</v>
      </c>
      <c r="BM12" s="36">
        <f t="shared" si="5"/>
        <v>1</v>
      </c>
      <c r="BN12" s="36">
        <f t="shared" si="5"/>
        <v>1</v>
      </c>
      <c r="BO12" s="32">
        <f t="shared" si="7"/>
        <v>1</v>
      </c>
    </row>
    <row r="13" spans="1:67" s="27" customFormat="1" ht="18.75" hidden="1" customHeight="1" x14ac:dyDescent="0.25">
      <c r="A13" s="38" t="s">
        <v>21</v>
      </c>
      <c r="B13" s="38" t="s">
        <v>22</v>
      </c>
      <c r="C13" s="38" t="s">
        <v>16</v>
      </c>
      <c r="D13" s="39">
        <f>VLOOKUP(A13,'[1]Cuadro Control'!C9:J1943,8,FALSE)</f>
        <v>0</v>
      </c>
      <c r="E13" s="40">
        <f t="shared" si="6"/>
        <v>0</v>
      </c>
      <c r="F13" s="41">
        <v>46218</v>
      </c>
      <c r="G13" s="41">
        <v>46268</v>
      </c>
      <c r="H13" s="40">
        <f t="shared" si="5"/>
        <v>1.9607843137254902E-2</v>
      </c>
      <c r="I13" s="40">
        <f t="shared" si="5"/>
        <v>5.8823529411764705E-2</v>
      </c>
      <c r="J13" s="40">
        <f t="shared" si="5"/>
        <v>0.19607843137254902</v>
      </c>
      <c r="K13" s="40">
        <f t="shared" si="5"/>
        <v>0.33333333333333331</v>
      </c>
      <c r="L13" s="40">
        <f t="shared" si="5"/>
        <v>0.47058823529411764</v>
      </c>
      <c r="M13" s="40">
        <f t="shared" si="5"/>
        <v>0.60784313725490191</v>
      </c>
      <c r="N13" s="40">
        <f t="shared" si="5"/>
        <v>0.74509803921568629</v>
      </c>
      <c r="O13" s="40">
        <f t="shared" si="5"/>
        <v>0.88235294117647056</v>
      </c>
      <c r="P13" s="40">
        <f t="shared" si="5"/>
        <v>1</v>
      </c>
      <c r="Q13" s="40">
        <f t="shared" si="5"/>
        <v>1</v>
      </c>
      <c r="R13" s="40">
        <f t="shared" si="5"/>
        <v>1</v>
      </c>
      <c r="S13" s="40">
        <f t="shared" si="5"/>
        <v>1</v>
      </c>
      <c r="T13" s="40">
        <f t="shared" si="5"/>
        <v>1</v>
      </c>
      <c r="U13" s="40">
        <f t="shared" si="5"/>
        <v>1</v>
      </c>
      <c r="V13" s="40">
        <f t="shared" si="5"/>
        <v>1</v>
      </c>
      <c r="W13" s="40">
        <f t="shared" si="5"/>
        <v>1</v>
      </c>
      <c r="X13" s="40">
        <f t="shared" si="5"/>
        <v>1</v>
      </c>
      <c r="Y13" s="40">
        <f t="shared" si="5"/>
        <v>1</v>
      </c>
      <c r="Z13" s="40">
        <f t="shared" si="5"/>
        <v>1</v>
      </c>
      <c r="AA13" s="40">
        <f t="shared" ref="AA13:BF26" si="8">IF($F13=0,0,IF(AA$6&lt;$F13,0,IF(AA$6&gt;$G13,1,(AA$6-$F13+1)/($G13-$F13+1))))</f>
        <v>1</v>
      </c>
      <c r="AB13" s="40">
        <f t="shared" si="8"/>
        <v>1</v>
      </c>
      <c r="AC13" s="40">
        <f t="shared" si="8"/>
        <v>1</v>
      </c>
      <c r="AD13" s="40">
        <f t="shared" si="8"/>
        <v>1</v>
      </c>
      <c r="AE13" s="40">
        <f t="shared" si="8"/>
        <v>1</v>
      </c>
      <c r="AF13" s="40">
        <f t="shared" si="8"/>
        <v>1</v>
      </c>
      <c r="AG13" s="40">
        <f t="shared" si="8"/>
        <v>1</v>
      </c>
      <c r="AH13" s="40">
        <f t="shared" si="8"/>
        <v>1</v>
      </c>
      <c r="AI13" s="40">
        <f t="shared" si="8"/>
        <v>1</v>
      </c>
      <c r="AJ13" s="40">
        <f t="shared" si="8"/>
        <v>1</v>
      </c>
      <c r="AK13" s="40">
        <f t="shared" si="8"/>
        <v>1</v>
      </c>
      <c r="AL13" s="40">
        <f t="shared" si="8"/>
        <v>1</v>
      </c>
      <c r="AM13" s="40">
        <f t="shared" si="8"/>
        <v>1</v>
      </c>
      <c r="AN13" s="40">
        <f t="shared" si="8"/>
        <v>1</v>
      </c>
      <c r="AO13" s="40">
        <f t="shared" si="8"/>
        <v>1</v>
      </c>
      <c r="AP13" s="40">
        <f t="shared" si="8"/>
        <v>1</v>
      </c>
      <c r="AQ13" s="40">
        <f t="shared" si="8"/>
        <v>1</v>
      </c>
      <c r="AR13" s="40">
        <f t="shared" si="8"/>
        <v>1</v>
      </c>
      <c r="AS13" s="40">
        <f t="shared" si="8"/>
        <v>1</v>
      </c>
      <c r="AT13" s="40">
        <f t="shared" si="8"/>
        <v>1</v>
      </c>
      <c r="AU13" s="40">
        <f t="shared" si="8"/>
        <v>1</v>
      </c>
      <c r="AV13" s="40">
        <f t="shared" si="8"/>
        <v>1</v>
      </c>
      <c r="AW13" s="40">
        <f t="shared" si="8"/>
        <v>1</v>
      </c>
      <c r="AX13" s="40">
        <f t="shared" si="8"/>
        <v>1</v>
      </c>
      <c r="AY13" s="40">
        <f t="shared" si="8"/>
        <v>1</v>
      </c>
      <c r="AZ13" s="40">
        <f t="shared" si="8"/>
        <v>1</v>
      </c>
      <c r="BA13" s="40">
        <f t="shared" si="8"/>
        <v>1</v>
      </c>
      <c r="BB13" s="40">
        <f t="shared" si="8"/>
        <v>1</v>
      </c>
      <c r="BC13" s="40">
        <f t="shared" si="8"/>
        <v>1</v>
      </c>
      <c r="BD13" s="40">
        <f t="shared" si="8"/>
        <v>1</v>
      </c>
      <c r="BE13" s="40">
        <f t="shared" si="8"/>
        <v>1</v>
      </c>
      <c r="BF13" s="40">
        <f t="shared" si="8"/>
        <v>1</v>
      </c>
      <c r="BG13" s="40">
        <f t="shared" ref="BG13:BN25" si="9">IF($F13=0,0,IF(BG$6&lt;$F13,0,IF(BG$6&gt;$G13,1,(BG$6-$F13+1)/($G13-$F13+1))))</f>
        <v>1</v>
      </c>
      <c r="BH13" s="40">
        <f t="shared" si="9"/>
        <v>1</v>
      </c>
      <c r="BI13" s="40">
        <f t="shared" si="9"/>
        <v>1</v>
      </c>
      <c r="BJ13" s="40">
        <f t="shared" si="9"/>
        <v>1</v>
      </c>
      <c r="BK13" s="40">
        <f t="shared" si="9"/>
        <v>1</v>
      </c>
      <c r="BL13" s="40">
        <f t="shared" si="9"/>
        <v>1</v>
      </c>
      <c r="BM13" s="40">
        <f t="shared" si="9"/>
        <v>1</v>
      </c>
      <c r="BN13" s="40">
        <f t="shared" si="9"/>
        <v>1</v>
      </c>
      <c r="BO13" s="32">
        <f t="shared" si="7"/>
        <v>0.92057161847789959</v>
      </c>
    </row>
    <row r="14" spans="1:67" s="27" customFormat="1" ht="18.75" hidden="1" customHeight="1" x14ac:dyDescent="0.25">
      <c r="A14" s="42">
        <v>3</v>
      </c>
      <c r="B14" s="42" t="s">
        <v>23</v>
      </c>
      <c r="C14" s="42" t="s">
        <v>24</v>
      </c>
      <c r="D14" s="43">
        <f>VLOOKUP(A14,'[1]Cuadro Control'!C10:J1944,8,FALSE)</f>
        <v>0</v>
      </c>
      <c r="E14" s="44">
        <f t="shared" si="6"/>
        <v>0</v>
      </c>
      <c r="F14" s="45">
        <v>46218</v>
      </c>
      <c r="G14" s="45">
        <v>46255</v>
      </c>
      <c r="H14" s="44">
        <f t="shared" ref="H14:W29" si="10">IF($F14=0,0,IF(H$6&lt;$F14,0,IF(H$6&gt;$G14,1,(H$6-$F14+1)/($G14-$F14+1))))</f>
        <v>2.6315789473684209E-2</v>
      </c>
      <c r="I14" s="44">
        <f t="shared" si="10"/>
        <v>7.8947368421052627E-2</v>
      </c>
      <c r="J14" s="44">
        <f t="shared" si="10"/>
        <v>0.26315789473684209</v>
      </c>
      <c r="K14" s="44">
        <f t="shared" si="10"/>
        <v>0.44736842105263158</v>
      </c>
      <c r="L14" s="44">
        <f t="shared" si="10"/>
        <v>0.63157894736842102</v>
      </c>
      <c r="M14" s="44">
        <f t="shared" si="10"/>
        <v>0.81578947368421051</v>
      </c>
      <c r="N14" s="44">
        <f t="shared" si="10"/>
        <v>1</v>
      </c>
      <c r="O14" s="44">
        <f t="shared" si="10"/>
        <v>1</v>
      </c>
      <c r="P14" s="44">
        <f t="shared" si="10"/>
        <v>1</v>
      </c>
      <c r="Q14" s="44">
        <f t="shared" si="10"/>
        <v>1</v>
      </c>
      <c r="R14" s="44">
        <f t="shared" si="10"/>
        <v>1</v>
      </c>
      <c r="S14" s="44">
        <f t="shared" si="10"/>
        <v>1</v>
      </c>
      <c r="T14" s="44">
        <f t="shared" si="10"/>
        <v>1</v>
      </c>
      <c r="U14" s="44">
        <f t="shared" si="10"/>
        <v>1</v>
      </c>
      <c r="V14" s="44">
        <f t="shared" si="10"/>
        <v>1</v>
      </c>
      <c r="W14" s="44">
        <f t="shared" si="10"/>
        <v>1</v>
      </c>
      <c r="X14" s="44">
        <f t="shared" ref="X14:BC28" si="11">IF($F14=0,0,IF(X$6&lt;$F14,0,IF(X$6&gt;$G14,1,(X$6-$F14+1)/($G14-$F14+1))))</f>
        <v>1</v>
      </c>
      <c r="Y14" s="44">
        <f t="shared" si="11"/>
        <v>1</v>
      </c>
      <c r="Z14" s="44">
        <f t="shared" si="11"/>
        <v>1</v>
      </c>
      <c r="AA14" s="44">
        <f t="shared" si="11"/>
        <v>1</v>
      </c>
      <c r="AB14" s="44">
        <f t="shared" si="11"/>
        <v>1</v>
      </c>
      <c r="AC14" s="44">
        <f t="shared" si="11"/>
        <v>1</v>
      </c>
      <c r="AD14" s="44">
        <f t="shared" si="11"/>
        <v>1</v>
      </c>
      <c r="AE14" s="44">
        <f t="shared" si="11"/>
        <v>1</v>
      </c>
      <c r="AF14" s="44">
        <f t="shared" si="11"/>
        <v>1</v>
      </c>
      <c r="AG14" s="44">
        <f t="shared" si="11"/>
        <v>1</v>
      </c>
      <c r="AH14" s="44">
        <f t="shared" si="11"/>
        <v>1</v>
      </c>
      <c r="AI14" s="44">
        <f t="shared" si="11"/>
        <v>1</v>
      </c>
      <c r="AJ14" s="44">
        <f t="shared" si="11"/>
        <v>1</v>
      </c>
      <c r="AK14" s="44">
        <f t="shared" si="11"/>
        <v>1</v>
      </c>
      <c r="AL14" s="44">
        <f t="shared" si="11"/>
        <v>1</v>
      </c>
      <c r="AM14" s="44">
        <f t="shared" si="11"/>
        <v>1</v>
      </c>
      <c r="AN14" s="44">
        <f t="shared" si="11"/>
        <v>1</v>
      </c>
      <c r="AO14" s="44">
        <f t="shared" si="8"/>
        <v>1</v>
      </c>
      <c r="AP14" s="44">
        <f t="shared" si="8"/>
        <v>1</v>
      </c>
      <c r="AQ14" s="44">
        <f t="shared" si="8"/>
        <v>1</v>
      </c>
      <c r="AR14" s="44">
        <f t="shared" si="8"/>
        <v>1</v>
      </c>
      <c r="AS14" s="44">
        <f t="shared" si="8"/>
        <v>1</v>
      </c>
      <c r="AT14" s="44">
        <f t="shared" si="8"/>
        <v>1</v>
      </c>
      <c r="AU14" s="44">
        <f t="shared" si="8"/>
        <v>1</v>
      </c>
      <c r="AV14" s="44">
        <f t="shared" si="8"/>
        <v>1</v>
      </c>
      <c r="AW14" s="44">
        <f t="shared" si="8"/>
        <v>1</v>
      </c>
      <c r="AX14" s="44">
        <f t="shared" si="8"/>
        <v>1</v>
      </c>
      <c r="AY14" s="44">
        <f t="shared" si="8"/>
        <v>1</v>
      </c>
      <c r="AZ14" s="44">
        <f t="shared" si="8"/>
        <v>1</v>
      </c>
      <c r="BA14" s="44">
        <f t="shared" si="8"/>
        <v>1</v>
      </c>
      <c r="BB14" s="44">
        <f t="shared" si="8"/>
        <v>1</v>
      </c>
      <c r="BC14" s="44">
        <f t="shared" si="8"/>
        <v>1</v>
      </c>
      <c r="BD14" s="44">
        <f t="shared" si="8"/>
        <v>1</v>
      </c>
      <c r="BE14" s="44">
        <f t="shared" si="8"/>
        <v>1</v>
      </c>
      <c r="BF14" s="44">
        <f t="shared" si="8"/>
        <v>1</v>
      </c>
      <c r="BG14" s="44">
        <f t="shared" si="9"/>
        <v>1</v>
      </c>
      <c r="BH14" s="44">
        <f t="shared" si="9"/>
        <v>1</v>
      </c>
      <c r="BI14" s="44">
        <f t="shared" si="9"/>
        <v>1</v>
      </c>
      <c r="BJ14" s="44">
        <f t="shared" si="9"/>
        <v>1</v>
      </c>
      <c r="BK14" s="44">
        <f t="shared" si="9"/>
        <v>1</v>
      </c>
      <c r="BL14" s="44">
        <f t="shared" si="9"/>
        <v>1</v>
      </c>
      <c r="BM14" s="44">
        <f t="shared" si="9"/>
        <v>1</v>
      </c>
      <c r="BN14" s="44">
        <f t="shared" si="9"/>
        <v>1</v>
      </c>
      <c r="BO14" s="32">
        <f t="shared" si="7"/>
        <v>0.93666369313113296</v>
      </c>
    </row>
    <row r="15" spans="1:67" s="27" customFormat="1" ht="18.75" hidden="1" customHeight="1" x14ac:dyDescent="0.25">
      <c r="A15" s="46" t="s">
        <v>25</v>
      </c>
      <c r="B15" s="46" t="s">
        <v>26</v>
      </c>
      <c r="C15" s="46" t="s">
        <v>14</v>
      </c>
      <c r="D15" s="47">
        <f>VLOOKUP(A15,'[1]Cuadro Control'!C11:J1945,8,FALSE)</f>
        <v>0</v>
      </c>
      <c r="E15" s="48">
        <f t="shared" si="6"/>
        <v>0</v>
      </c>
      <c r="F15" s="49">
        <v>46218</v>
      </c>
      <c r="G15" s="49">
        <v>46218</v>
      </c>
      <c r="H15" s="48">
        <f t="shared" si="10"/>
        <v>1</v>
      </c>
      <c r="I15" s="48">
        <f t="shared" si="10"/>
        <v>1</v>
      </c>
      <c r="J15" s="48">
        <f t="shared" si="10"/>
        <v>1</v>
      </c>
      <c r="K15" s="48">
        <f t="shared" si="10"/>
        <v>1</v>
      </c>
      <c r="L15" s="48">
        <f t="shared" si="10"/>
        <v>1</v>
      </c>
      <c r="M15" s="48">
        <f t="shared" si="10"/>
        <v>1</v>
      </c>
      <c r="N15" s="48">
        <f t="shared" si="10"/>
        <v>1</v>
      </c>
      <c r="O15" s="48">
        <f t="shared" si="10"/>
        <v>1</v>
      </c>
      <c r="P15" s="48">
        <f t="shared" si="10"/>
        <v>1</v>
      </c>
      <c r="Q15" s="48">
        <f t="shared" si="10"/>
        <v>1</v>
      </c>
      <c r="R15" s="48">
        <f t="shared" si="10"/>
        <v>1</v>
      </c>
      <c r="S15" s="48">
        <f t="shared" si="10"/>
        <v>1</v>
      </c>
      <c r="T15" s="48">
        <f t="shared" si="10"/>
        <v>1</v>
      </c>
      <c r="U15" s="48">
        <f t="shared" si="10"/>
        <v>1</v>
      </c>
      <c r="V15" s="48">
        <f t="shared" si="10"/>
        <v>1</v>
      </c>
      <c r="W15" s="48">
        <f t="shared" si="10"/>
        <v>1</v>
      </c>
      <c r="X15" s="48">
        <f t="shared" si="11"/>
        <v>1</v>
      </c>
      <c r="Y15" s="48">
        <f t="shared" si="11"/>
        <v>1</v>
      </c>
      <c r="Z15" s="48">
        <f t="shared" si="11"/>
        <v>1</v>
      </c>
      <c r="AA15" s="48">
        <f t="shared" si="11"/>
        <v>1</v>
      </c>
      <c r="AB15" s="48">
        <f t="shared" si="11"/>
        <v>1</v>
      </c>
      <c r="AC15" s="48">
        <f t="shared" si="11"/>
        <v>1</v>
      </c>
      <c r="AD15" s="48">
        <f t="shared" si="11"/>
        <v>1</v>
      </c>
      <c r="AE15" s="48">
        <f t="shared" si="11"/>
        <v>1</v>
      </c>
      <c r="AF15" s="48">
        <f t="shared" si="11"/>
        <v>1</v>
      </c>
      <c r="AG15" s="48">
        <f t="shared" si="11"/>
        <v>1</v>
      </c>
      <c r="AH15" s="48">
        <f t="shared" si="11"/>
        <v>1</v>
      </c>
      <c r="AI15" s="48">
        <f t="shared" si="11"/>
        <v>1</v>
      </c>
      <c r="AJ15" s="48">
        <f t="shared" si="11"/>
        <v>1</v>
      </c>
      <c r="AK15" s="48">
        <f t="shared" si="11"/>
        <v>1</v>
      </c>
      <c r="AL15" s="48">
        <f t="shared" si="11"/>
        <v>1</v>
      </c>
      <c r="AM15" s="48">
        <f t="shared" si="11"/>
        <v>1</v>
      </c>
      <c r="AN15" s="48">
        <f t="shared" si="11"/>
        <v>1</v>
      </c>
      <c r="AO15" s="48">
        <f t="shared" si="8"/>
        <v>1</v>
      </c>
      <c r="AP15" s="48">
        <f t="shared" si="8"/>
        <v>1</v>
      </c>
      <c r="AQ15" s="48">
        <f t="shared" si="8"/>
        <v>1</v>
      </c>
      <c r="AR15" s="48">
        <f t="shared" si="8"/>
        <v>1</v>
      </c>
      <c r="AS15" s="48">
        <f t="shared" si="8"/>
        <v>1</v>
      </c>
      <c r="AT15" s="48">
        <f t="shared" si="8"/>
        <v>1</v>
      </c>
      <c r="AU15" s="48">
        <f t="shared" si="8"/>
        <v>1</v>
      </c>
      <c r="AV15" s="48">
        <f t="shared" si="8"/>
        <v>1</v>
      </c>
      <c r="AW15" s="48">
        <f t="shared" si="8"/>
        <v>1</v>
      </c>
      <c r="AX15" s="48">
        <f t="shared" si="8"/>
        <v>1</v>
      </c>
      <c r="AY15" s="48">
        <f t="shared" si="8"/>
        <v>1</v>
      </c>
      <c r="AZ15" s="48">
        <f t="shared" si="8"/>
        <v>1</v>
      </c>
      <c r="BA15" s="48">
        <f t="shared" si="8"/>
        <v>1</v>
      </c>
      <c r="BB15" s="48">
        <f t="shared" si="8"/>
        <v>1</v>
      </c>
      <c r="BC15" s="48">
        <f t="shared" si="8"/>
        <v>1</v>
      </c>
      <c r="BD15" s="48">
        <f t="shared" si="8"/>
        <v>1</v>
      </c>
      <c r="BE15" s="48">
        <f t="shared" si="8"/>
        <v>1</v>
      </c>
      <c r="BF15" s="48">
        <f t="shared" si="8"/>
        <v>1</v>
      </c>
      <c r="BG15" s="48">
        <f t="shared" si="9"/>
        <v>1</v>
      </c>
      <c r="BH15" s="48">
        <f t="shared" si="9"/>
        <v>1</v>
      </c>
      <c r="BI15" s="48">
        <f t="shared" si="9"/>
        <v>1</v>
      </c>
      <c r="BJ15" s="48">
        <f t="shared" si="9"/>
        <v>1</v>
      </c>
      <c r="BK15" s="48">
        <f t="shared" si="9"/>
        <v>1</v>
      </c>
      <c r="BL15" s="48">
        <f t="shared" si="9"/>
        <v>1</v>
      </c>
      <c r="BM15" s="48">
        <f t="shared" si="9"/>
        <v>1</v>
      </c>
      <c r="BN15" s="48">
        <f t="shared" si="9"/>
        <v>1</v>
      </c>
      <c r="BO15" s="32">
        <f t="shared" si="7"/>
        <v>1</v>
      </c>
    </row>
    <row r="16" spans="1:67" s="27" customFormat="1" ht="18.75" hidden="1" customHeight="1" x14ac:dyDescent="0.25">
      <c r="A16" s="46" t="s">
        <v>27</v>
      </c>
      <c r="B16" s="46" t="s">
        <v>28</v>
      </c>
      <c r="C16" s="46" t="s">
        <v>14</v>
      </c>
      <c r="D16" s="47">
        <f>VLOOKUP(A16,'[1]Cuadro Control'!C12:J1946,8,FALSE)</f>
        <v>0</v>
      </c>
      <c r="E16" s="48">
        <f t="shared" si="6"/>
        <v>0</v>
      </c>
      <c r="F16" s="49">
        <v>46218</v>
      </c>
      <c r="G16" s="49">
        <v>46218</v>
      </c>
      <c r="H16" s="48">
        <f t="shared" si="10"/>
        <v>1</v>
      </c>
      <c r="I16" s="48">
        <f t="shared" si="10"/>
        <v>1</v>
      </c>
      <c r="J16" s="48">
        <f t="shared" si="10"/>
        <v>1</v>
      </c>
      <c r="K16" s="48">
        <f t="shared" si="10"/>
        <v>1</v>
      </c>
      <c r="L16" s="48">
        <f t="shared" si="10"/>
        <v>1</v>
      </c>
      <c r="M16" s="48">
        <f t="shared" si="10"/>
        <v>1</v>
      </c>
      <c r="N16" s="48">
        <f t="shared" si="10"/>
        <v>1</v>
      </c>
      <c r="O16" s="48">
        <f t="shared" si="10"/>
        <v>1</v>
      </c>
      <c r="P16" s="48">
        <f t="shared" si="10"/>
        <v>1</v>
      </c>
      <c r="Q16" s="48">
        <f t="shared" si="10"/>
        <v>1</v>
      </c>
      <c r="R16" s="48">
        <f t="shared" si="10"/>
        <v>1</v>
      </c>
      <c r="S16" s="48">
        <f t="shared" si="10"/>
        <v>1</v>
      </c>
      <c r="T16" s="48">
        <f t="shared" si="10"/>
        <v>1</v>
      </c>
      <c r="U16" s="48">
        <f t="shared" si="10"/>
        <v>1</v>
      </c>
      <c r="V16" s="48">
        <f t="shared" si="10"/>
        <v>1</v>
      </c>
      <c r="W16" s="48">
        <f t="shared" si="10"/>
        <v>1</v>
      </c>
      <c r="X16" s="48">
        <f t="shared" si="11"/>
        <v>1</v>
      </c>
      <c r="Y16" s="48">
        <f t="shared" si="11"/>
        <v>1</v>
      </c>
      <c r="Z16" s="48">
        <f t="shared" si="11"/>
        <v>1</v>
      </c>
      <c r="AA16" s="48">
        <f t="shared" si="11"/>
        <v>1</v>
      </c>
      <c r="AB16" s="48">
        <f t="shared" si="11"/>
        <v>1</v>
      </c>
      <c r="AC16" s="48">
        <f t="shared" si="11"/>
        <v>1</v>
      </c>
      <c r="AD16" s="48">
        <f t="shared" si="11"/>
        <v>1</v>
      </c>
      <c r="AE16" s="48">
        <f t="shared" si="11"/>
        <v>1</v>
      </c>
      <c r="AF16" s="48">
        <f t="shared" si="11"/>
        <v>1</v>
      </c>
      <c r="AG16" s="48">
        <f t="shared" si="11"/>
        <v>1</v>
      </c>
      <c r="AH16" s="48">
        <f t="shared" si="11"/>
        <v>1</v>
      </c>
      <c r="AI16" s="48">
        <f t="shared" si="11"/>
        <v>1</v>
      </c>
      <c r="AJ16" s="48">
        <f t="shared" si="11"/>
        <v>1</v>
      </c>
      <c r="AK16" s="48">
        <f t="shared" si="11"/>
        <v>1</v>
      </c>
      <c r="AL16" s="48">
        <f t="shared" si="11"/>
        <v>1</v>
      </c>
      <c r="AM16" s="48">
        <f t="shared" si="11"/>
        <v>1</v>
      </c>
      <c r="AN16" s="48">
        <f t="shared" si="11"/>
        <v>1</v>
      </c>
      <c r="AO16" s="48">
        <f t="shared" si="8"/>
        <v>1</v>
      </c>
      <c r="AP16" s="48">
        <f t="shared" si="8"/>
        <v>1</v>
      </c>
      <c r="AQ16" s="48">
        <f t="shared" si="8"/>
        <v>1</v>
      </c>
      <c r="AR16" s="48">
        <f t="shared" si="8"/>
        <v>1</v>
      </c>
      <c r="AS16" s="48">
        <f t="shared" si="8"/>
        <v>1</v>
      </c>
      <c r="AT16" s="48">
        <f t="shared" si="8"/>
        <v>1</v>
      </c>
      <c r="AU16" s="48">
        <f t="shared" si="8"/>
        <v>1</v>
      </c>
      <c r="AV16" s="48">
        <f t="shared" si="8"/>
        <v>1</v>
      </c>
      <c r="AW16" s="48">
        <f t="shared" si="8"/>
        <v>1</v>
      </c>
      <c r="AX16" s="48">
        <f t="shared" si="8"/>
        <v>1</v>
      </c>
      <c r="AY16" s="48">
        <f t="shared" si="8"/>
        <v>1</v>
      </c>
      <c r="AZ16" s="48">
        <f t="shared" si="8"/>
        <v>1</v>
      </c>
      <c r="BA16" s="48">
        <f t="shared" si="8"/>
        <v>1</v>
      </c>
      <c r="BB16" s="48">
        <f t="shared" si="8"/>
        <v>1</v>
      </c>
      <c r="BC16" s="48">
        <f t="shared" si="8"/>
        <v>1</v>
      </c>
      <c r="BD16" s="48">
        <f t="shared" si="8"/>
        <v>1</v>
      </c>
      <c r="BE16" s="48">
        <f t="shared" si="8"/>
        <v>1</v>
      </c>
      <c r="BF16" s="48">
        <f t="shared" si="8"/>
        <v>1</v>
      </c>
      <c r="BG16" s="48">
        <f t="shared" si="9"/>
        <v>1</v>
      </c>
      <c r="BH16" s="48">
        <f t="shared" si="9"/>
        <v>1</v>
      </c>
      <c r="BI16" s="48">
        <f t="shared" si="9"/>
        <v>1</v>
      </c>
      <c r="BJ16" s="48">
        <f t="shared" si="9"/>
        <v>1</v>
      </c>
      <c r="BK16" s="48">
        <f t="shared" si="9"/>
        <v>1</v>
      </c>
      <c r="BL16" s="48">
        <f t="shared" si="9"/>
        <v>1</v>
      </c>
      <c r="BM16" s="48">
        <f t="shared" si="9"/>
        <v>1</v>
      </c>
      <c r="BN16" s="48">
        <f t="shared" si="9"/>
        <v>1</v>
      </c>
      <c r="BO16" s="32">
        <f t="shared" si="7"/>
        <v>1</v>
      </c>
    </row>
    <row r="17" spans="1:67" s="27" customFormat="1" ht="18.75" hidden="1" customHeight="1" x14ac:dyDescent="0.25">
      <c r="A17" s="46" t="s">
        <v>29</v>
      </c>
      <c r="B17" s="46" t="s">
        <v>30</v>
      </c>
      <c r="C17" s="46" t="s">
        <v>14</v>
      </c>
      <c r="D17" s="47">
        <f>VLOOKUP(A17,'[1]Cuadro Control'!C13:J1947,8,FALSE)</f>
        <v>0</v>
      </c>
      <c r="E17" s="48">
        <f t="shared" si="6"/>
        <v>0</v>
      </c>
      <c r="F17" s="49">
        <v>46218</v>
      </c>
      <c r="G17" s="49">
        <v>46218</v>
      </c>
      <c r="H17" s="48">
        <f t="shared" si="10"/>
        <v>1</v>
      </c>
      <c r="I17" s="48">
        <f t="shared" si="10"/>
        <v>1</v>
      </c>
      <c r="J17" s="48">
        <f t="shared" si="10"/>
        <v>1</v>
      </c>
      <c r="K17" s="48">
        <f t="shared" si="10"/>
        <v>1</v>
      </c>
      <c r="L17" s="48">
        <f t="shared" si="10"/>
        <v>1</v>
      </c>
      <c r="M17" s="48">
        <f t="shared" si="10"/>
        <v>1</v>
      </c>
      <c r="N17" s="48">
        <f t="shared" si="10"/>
        <v>1</v>
      </c>
      <c r="O17" s="48">
        <f t="shared" si="10"/>
        <v>1</v>
      </c>
      <c r="P17" s="48">
        <f t="shared" si="10"/>
        <v>1</v>
      </c>
      <c r="Q17" s="48">
        <f t="shared" si="10"/>
        <v>1</v>
      </c>
      <c r="R17" s="48">
        <f t="shared" si="10"/>
        <v>1</v>
      </c>
      <c r="S17" s="48">
        <f t="shared" si="10"/>
        <v>1</v>
      </c>
      <c r="T17" s="48">
        <f t="shared" si="10"/>
        <v>1</v>
      </c>
      <c r="U17" s="48">
        <f t="shared" si="10"/>
        <v>1</v>
      </c>
      <c r="V17" s="48">
        <f t="shared" si="10"/>
        <v>1</v>
      </c>
      <c r="W17" s="48">
        <f t="shared" si="10"/>
        <v>1</v>
      </c>
      <c r="X17" s="48">
        <f t="shared" si="11"/>
        <v>1</v>
      </c>
      <c r="Y17" s="48">
        <f t="shared" si="11"/>
        <v>1</v>
      </c>
      <c r="Z17" s="48">
        <f t="shared" si="11"/>
        <v>1</v>
      </c>
      <c r="AA17" s="48">
        <f t="shared" si="11"/>
        <v>1</v>
      </c>
      <c r="AB17" s="48">
        <f t="shared" si="11"/>
        <v>1</v>
      </c>
      <c r="AC17" s="48">
        <f t="shared" si="11"/>
        <v>1</v>
      </c>
      <c r="AD17" s="48">
        <f t="shared" si="11"/>
        <v>1</v>
      </c>
      <c r="AE17" s="48">
        <f t="shared" si="11"/>
        <v>1</v>
      </c>
      <c r="AF17" s="48">
        <f t="shared" si="11"/>
        <v>1</v>
      </c>
      <c r="AG17" s="48">
        <f t="shared" si="11"/>
        <v>1</v>
      </c>
      <c r="AH17" s="48">
        <f t="shared" si="11"/>
        <v>1</v>
      </c>
      <c r="AI17" s="48">
        <f t="shared" si="11"/>
        <v>1</v>
      </c>
      <c r="AJ17" s="48">
        <f t="shared" si="11"/>
        <v>1</v>
      </c>
      <c r="AK17" s="48">
        <f t="shared" si="11"/>
        <v>1</v>
      </c>
      <c r="AL17" s="48">
        <f t="shared" si="11"/>
        <v>1</v>
      </c>
      <c r="AM17" s="48">
        <f t="shared" si="11"/>
        <v>1</v>
      </c>
      <c r="AN17" s="48">
        <f t="shared" si="11"/>
        <v>1</v>
      </c>
      <c r="AO17" s="48">
        <f t="shared" si="8"/>
        <v>1</v>
      </c>
      <c r="AP17" s="48">
        <f t="shared" si="8"/>
        <v>1</v>
      </c>
      <c r="AQ17" s="48">
        <f t="shared" si="8"/>
        <v>1</v>
      </c>
      <c r="AR17" s="48">
        <f t="shared" si="8"/>
        <v>1</v>
      </c>
      <c r="AS17" s="48">
        <f t="shared" si="8"/>
        <v>1</v>
      </c>
      <c r="AT17" s="48">
        <f t="shared" si="8"/>
        <v>1</v>
      </c>
      <c r="AU17" s="48">
        <f t="shared" si="8"/>
        <v>1</v>
      </c>
      <c r="AV17" s="48">
        <f t="shared" si="8"/>
        <v>1</v>
      </c>
      <c r="AW17" s="48">
        <f t="shared" si="8"/>
        <v>1</v>
      </c>
      <c r="AX17" s="48">
        <f t="shared" si="8"/>
        <v>1</v>
      </c>
      <c r="AY17" s="48">
        <f t="shared" si="8"/>
        <v>1</v>
      </c>
      <c r="AZ17" s="48">
        <f t="shared" si="8"/>
        <v>1</v>
      </c>
      <c r="BA17" s="48">
        <f t="shared" si="8"/>
        <v>1</v>
      </c>
      <c r="BB17" s="48">
        <f t="shared" si="8"/>
        <v>1</v>
      </c>
      <c r="BC17" s="48">
        <f t="shared" si="8"/>
        <v>1</v>
      </c>
      <c r="BD17" s="48">
        <f t="shared" si="8"/>
        <v>1</v>
      </c>
      <c r="BE17" s="48">
        <f t="shared" si="8"/>
        <v>1</v>
      </c>
      <c r="BF17" s="48">
        <f t="shared" si="8"/>
        <v>1</v>
      </c>
      <c r="BG17" s="48">
        <f t="shared" si="9"/>
        <v>1</v>
      </c>
      <c r="BH17" s="48">
        <f t="shared" si="9"/>
        <v>1</v>
      </c>
      <c r="BI17" s="48">
        <f t="shared" si="9"/>
        <v>1</v>
      </c>
      <c r="BJ17" s="48">
        <f t="shared" si="9"/>
        <v>1</v>
      </c>
      <c r="BK17" s="48">
        <f t="shared" si="9"/>
        <v>1</v>
      </c>
      <c r="BL17" s="48">
        <f t="shared" si="9"/>
        <v>1</v>
      </c>
      <c r="BM17" s="48">
        <f t="shared" si="9"/>
        <v>1</v>
      </c>
      <c r="BN17" s="48">
        <f t="shared" si="9"/>
        <v>1</v>
      </c>
      <c r="BO17" s="32">
        <f t="shared" si="7"/>
        <v>1</v>
      </c>
    </row>
    <row r="18" spans="1:67" s="27" customFormat="1" ht="18.75" hidden="1" customHeight="1" x14ac:dyDescent="0.25">
      <c r="A18" s="46" t="s">
        <v>31</v>
      </c>
      <c r="B18" s="46" t="s">
        <v>32</v>
      </c>
      <c r="C18" s="46" t="s">
        <v>14</v>
      </c>
      <c r="D18" s="47">
        <f>VLOOKUP(A18,'[1]Cuadro Control'!C14:J1948,8,FALSE)</f>
        <v>0</v>
      </c>
      <c r="E18" s="48">
        <f t="shared" si="6"/>
        <v>0</v>
      </c>
      <c r="F18" s="49">
        <v>46218</v>
      </c>
      <c r="G18" s="49">
        <v>46218</v>
      </c>
      <c r="H18" s="48">
        <f t="shared" si="10"/>
        <v>1</v>
      </c>
      <c r="I18" s="48">
        <f t="shared" si="10"/>
        <v>1</v>
      </c>
      <c r="J18" s="48">
        <f t="shared" si="10"/>
        <v>1</v>
      </c>
      <c r="K18" s="48">
        <f t="shared" si="10"/>
        <v>1</v>
      </c>
      <c r="L18" s="48">
        <f t="shared" si="10"/>
        <v>1</v>
      </c>
      <c r="M18" s="48">
        <f t="shared" si="10"/>
        <v>1</v>
      </c>
      <c r="N18" s="48">
        <f t="shared" si="10"/>
        <v>1</v>
      </c>
      <c r="O18" s="48">
        <f t="shared" si="10"/>
        <v>1</v>
      </c>
      <c r="P18" s="48">
        <f t="shared" si="10"/>
        <v>1</v>
      </c>
      <c r="Q18" s="48">
        <f t="shared" si="10"/>
        <v>1</v>
      </c>
      <c r="R18" s="48">
        <f t="shared" si="10"/>
        <v>1</v>
      </c>
      <c r="S18" s="48">
        <f t="shared" si="10"/>
        <v>1</v>
      </c>
      <c r="T18" s="48">
        <f t="shared" si="10"/>
        <v>1</v>
      </c>
      <c r="U18" s="48">
        <f t="shared" si="10"/>
        <v>1</v>
      </c>
      <c r="V18" s="48">
        <f t="shared" si="10"/>
        <v>1</v>
      </c>
      <c r="W18" s="48">
        <f t="shared" si="10"/>
        <v>1</v>
      </c>
      <c r="X18" s="48">
        <f t="shared" si="11"/>
        <v>1</v>
      </c>
      <c r="Y18" s="48">
        <f t="shared" si="11"/>
        <v>1</v>
      </c>
      <c r="Z18" s="48">
        <f t="shared" si="11"/>
        <v>1</v>
      </c>
      <c r="AA18" s="48">
        <f t="shared" si="11"/>
        <v>1</v>
      </c>
      <c r="AB18" s="48">
        <f t="shared" si="11"/>
        <v>1</v>
      </c>
      <c r="AC18" s="48">
        <f t="shared" si="11"/>
        <v>1</v>
      </c>
      <c r="AD18" s="48">
        <f t="shared" si="11"/>
        <v>1</v>
      </c>
      <c r="AE18" s="48">
        <f t="shared" si="11"/>
        <v>1</v>
      </c>
      <c r="AF18" s="48">
        <f t="shared" si="11"/>
        <v>1</v>
      </c>
      <c r="AG18" s="48">
        <f t="shared" si="11"/>
        <v>1</v>
      </c>
      <c r="AH18" s="48">
        <f t="shared" si="11"/>
        <v>1</v>
      </c>
      <c r="AI18" s="48">
        <f t="shared" si="11"/>
        <v>1</v>
      </c>
      <c r="AJ18" s="48">
        <f t="shared" si="11"/>
        <v>1</v>
      </c>
      <c r="AK18" s="48">
        <f t="shared" si="11"/>
        <v>1</v>
      </c>
      <c r="AL18" s="48">
        <f t="shared" si="11"/>
        <v>1</v>
      </c>
      <c r="AM18" s="48">
        <f t="shared" si="11"/>
        <v>1</v>
      </c>
      <c r="AN18" s="48">
        <f t="shared" si="11"/>
        <v>1</v>
      </c>
      <c r="AO18" s="48">
        <f t="shared" si="8"/>
        <v>1</v>
      </c>
      <c r="AP18" s="48">
        <f t="shared" si="8"/>
        <v>1</v>
      </c>
      <c r="AQ18" s="48">
        <f t="shared" si="8"/>
        <v>1</v>
      </c>
      <c r="AR18" s="48">
        <f t="shared" si="8"/>
        <v>1</v>
      </c>
      <c r="AS18" s="48">
        <f t="shared" si="8"/>
        <v>1</v>
      </c>
      <c r="AT18" s="48">
        <f t="shared" si="8"/>
        <v>1</v>
      </c>
      <c r="AU18" s="48">
        <f t="shared" si="8"/>
        <v>1</v>
      </c>
      <c r="AV18" s="48">
        <f t="shared" si="8"/>
        <v>1</v>
      </c>
      <c r="AW18" s="48">
        <f t="shared" si="8"/>
        <v>1</v>
      </c>
      <c r="AX18" s="48">
        <f t="shared" si="8"/>
        <v>1</v>
      </c>
      <c r="AY18" s="48">
        <f t="shared" si="8"/>
        <v>1</v>
      </c>
      <c r="AZ18" s="48">
        <f t="shared" si="8"/>
        <v>1</v>
      </c>
      <c r="BA18" s="48">
        <f t="shared" si="8"/>
        <v>1</v>
      </c>
      <c r="BB18" s="48">
        <f t="shared" si="8"/>
        <v>1</v>
      </c>
      <c r="BC18" s="48">
        <f t="shared" si="8"/>
        <v>1</v>
      </c>
      <c r="BD18" s="48">
        <f t="shared" si="8"/>
        <v>1</v>
      </c>
      <c r="BE18" s="48">
        <f t="shared" si="8"/>
        <v>1</v>
      </c>
      <c r="BF18" s="48">
        <f t="shared" si="8"/>
        <v>1</v>
      </c>
      <c r="BG18" s="48">
        <f t="shared" si="9"/>
        <v>1</v>
      </c>
      <c r="BH18" s="48">
        <f t="shared" si="9"/>
        <v>1</v>
      </c>
      <c r="BI18" s="48">
        <f t="shared" si="9"/>
        <v>1</v>
      </c>
      <c r="BJ18" s="48">
        <f t="shared" si="9"/>
        <v>1</v>
      </c>
      <c r="BK18" s="48">
        <f t="shared" si="9"/>
        <v>1</v>
      </c>
      <c r="BL18" s="48">
        <f t="shared" si="9"/>
        <v>1</v>
      </c>
      <c r="BM18" s="48">
        <f t="shared" si="9"/>
        <v>1</v>
      </c>
      <c r="BN18" s="48">
        <f t="shared" si="9"/>
        <v>1</v>
      </c>
      <c r="BO18" s="32">
        <f t="shared" si="7"/>
        <v>1</v>
      </c>
    </row>
    <row r="19" spans="1:67" s="27" customFormat="1" ht="18.75" hidden="1" customHeight="1" x14ac:dyDescent="0.25">
      <c r="A19" s="46" t="s">
        <v>33</v>
      </c>
      <c r="B19" s="46" t="s">
        <v>34</v>
      </c>
      <c r="C19" s="46" t="s">
        <v>14</v>
      </c>
      <c r="D19" s="47">
        <f>VLOOKUP(A19,'[1]Cuadro Control'!C15:J1949,8,FALSE)</f>
        <v>0</v>
      </c>
      <c r="E19" s="48">
        <f t="shared" si="6"/>
        <v>0</v>
      </c>
      <c r="F19" s="49">
        <v>46218</v>
      </c>
      <c r="G19" s="49">
        <v>46218</v>
      </c>
      <c r="H19" s="48">
        <f t="shared" si="10"/>
        <v>1</v>
      </c>
      <c r="I19" s="48">
        <f t="shared" si="10"/>
        <v>1</v>
      </c>
      <c r="J19" s="48">
        <f t="shared" si="10"/>
        <v>1</v>
      </c>
      <c r="K19" s="48">
        <f t="shared" si="10"/>
        <v>1</v>
      </c>
      <c r="L19" s="48">
        <f t="shared" si="10"/>
        <v>1</v>
      </c>
      <c r="M19" s="48">
        <f t="shared" si="10"/>
        <v>1</v>
      </c>
      <c r="N19" s="48">
        <f t="shared" si="10"/>
        <v>1</v>
      </c>
      <c r="O19" s="48">
        <f t="shared" si="10"/>
        <v>1</v>
      </c>
      <c r="P19" s="48">
        <f t="shared" si="10"/>
        <v>1</v>
      </c>
      <c r="Q19" s="48">
        <f t="shared" si="10"/>
        <v>1</v>
      </c>
      <c r="R19" s="48">
        <f t="shared" si="10"/>
        <v>1</v>
      </c>
      <c r="S19" s="48">
        <f t="shared" si="10"/>
        <v>1</v>
      </c>
      <c r="T19" s="48">
        <f t="shared" si="10"/>
        <v>1</v>
      </c>
      <c r="U19" s="48">
        <f t="shared" si="10"/>
        <v>1</v>
      </c>
      <c r="V19" s="48">
        <f t="shared" si="10"/>
        <v>1</v>
      </c>
      <c r="W19" s="48">
        <f t="shared" si="10"/>
        <v>1</v>
      </c>
      <c r="X19" s="48">
        <f t="shared" si="11"/>
        <v>1</v>
      </c>
      <c r="Y19" s="48">
        <f t="shared" si="11"/>
        <v>1</v>
      </c>
      <c r="Z19" s="48">
        <f t="shared" si="11"/>
        <v>1</v>
      </c>
      <c r="AA19" s="48">
        <f t="shared" si="11"/>
        <v>1</v>
      </c>
      <c r="AB19" s="48">
        <f t="shared" si="11"/>
        <v>1</v>
      </c>
      <c r="AC19" s="48">
        <f t="shared" si="11"/>
        <v>1</v>
      </c>
      <c r="AD19" s="48">
        <f t="shared" si="11"/>
        <v>1</v>
      </c>
      <c r="AE19" s="48">
        <f t="shared" si="11"/>
        <v>1</v>
      </c>
      <c r="AF19" s="48">
        <f t="shared" si="11"/>
        <v>1</v>
      </c>
      <c r="AG19" s="48">
        <f t="shared" si="11"/>
        <v>1</v>
      </c>
      <c r="AH19" s="48">
        <f t="shared" si="11"/>
        <v>1</v>
      </c>
      <c r="AI19" s="48">
        <f t="shared" si="11"/>
        <v>1</v>
      </c>
      <c r="AJ19" s="48">
        <f t="shared" si="11"/>
        <v>1</v>
      </c>
      <c r="AK19" s="48">
        <f t="shared" si="11"/>
        <v>1</v>
      </c>
      <c r="AL19" s="48">
        <f t="shared" si="11"/>
        <v>1</v>
      </c>
      <c r="AM19" s="48">
        <f t="shared" si="11"/>
        <v>1</v>
      </c>
      <c r="AN19" s="48">
        <f t="shared" si="11"/>
        <v>1</v>
      </c>
      <c r="AO19" s="48">
        <f t="shared" si="8"/>
        <v>1</v>
      </c>
      <c r="AP19" s="48">
        <f t="shared" si="8"/>
        <v>1</v>
      </c>
      <c r="AQ19" s="48">
        <f t="shared" si="8"/>
        <v>1</v>
      </c>
      <c r="AR19" s="48">
        <f t="shared" si="8"/>
        <v>1</v>
      </c>
      <c r="AS19" s="48">
        <f t="shared" si="8"/>
        <v>1</v>
      </c>
      <c r="AT19" s="48">
        <f t="shared" si="8"/>
        <v>1</v>
      </c>
      <c r="AU19" s="48">
        <f t="shared" si="8"/>
        <v>1</v>
      </c>
      <c r="AV19" s="48">
        <f t="shared" si="8"/>
        <v>1</v>
      </c>
      <c r="AW19" s="48">
        <f t="shared" si="8"/>
        <v>1</v>
      </c>
      <c r="AX19" s="48">
        <f t="shared" si="8"/>
        <v>1</v>
      </c>
      <c r="AY19" s="48">
        <f t="shared" si="8"/>
        <v>1</v>
      </c>
      <c r="AZ19" s="48">
        <f t="shared" si="8"/>
        <v>1</v>
      </c>
      <c r="BA19" s="48">
        <f t="shared" si="8"/>
        <v>1</v>
      </c>
      <c r="BB19" s="48">
        <f t="shared" si="8"/>
        <v>1</v>
      </c>
      <c r="BC19" s="48">
        <f t="shared" si="8"/>
        <v>1</v>
      </c>
      <c r="BD19" s="48">
        <f t="shared" si="8"/>
        <v>1</v>
      </c>
      <c r="BE19" s="48">
        <f t="shared" si="8"/>
        <v>1</v>
      </c>
      <c r="BF19" s="48">
        <f t="shared" si="8"/>
        <v>1</v>
      </c>
      <c r="BG19" s="48">
        <f t="shared" si="9"/>
        <v>1</v>
      </c>
      <c r="BH19" s="48">
        <f t="shared" si="9"/>
        <v>1</v>
      </c>
      <c r="BI19" s="48">
        <f t="shared" si="9"/>
        <v>1</v>
      </c>
      <c r="BJ19" s="48">
        <f t="shared" si="9"/>
        <v>1</v>
      </c>
      <c r="BK19" s="48">
        <f t="shared" si="9"/>
        <v>1</v>
      </c>
      <c r="BL19" s="48">
        <f t="shared" si="9"/>
        <v>1</v>
      </c>
      <c r="BM19" s="48">
        <f t="shared" si="9"/>
        <v>1</v>
      </c>
      <c r="BN19" s="48">
        <f t="shared" si="9"/>
        <v>1</v>
      </c>
      <c r="BO19" s="32">
        <f t="shared" si="7"/>
        <v>1</v>
      </c>
    </row>
    <row r="20" spans="1:67" s="27" customFormat="1" ht="18.75" hidden="1" customHeight="1" x14ac:dyDescent="0.25">
      <c r="A20" s="46" t="s">
        <v>35</v>
      </c>
      <c r="B20" s="46" t="s">
        <v>36</v>
      </c>
      <c r="C20" s="46" t="s">
        <v>14</v>
      </c>
      <c r="D20" s="47">
        <f>VLOOKUP(A20,'[1]Cuadro Control'!C16:J1950,8,FALSE)</f>
        <v>0</v>
      </c>
      <c r="E20" s="48">
        <f t="shared" si="6"/>
        <v>0</v>
      </c>
      <c r="F20" s="49">
        <v>46218</v>
      </c>
      <c r="G20" s="49">
        <v>46218</v>
      </c>
      <c r="H20" s="48">
        <f t="shared" si="10"/>
        <v>1</v>
      </c>
      <c r="I20" s="48">
        <f t="shared" si="10"/>
        <v>1</v>
      </c>
      <c r="J20" s="48">
        <f t="shared" si="10"/>
        <v>1</v>
      </c>
      <c r="K20" s="48">
        <f t="shared" si="10"/>
        <v>1</v>
      </c>
      <c r="L20" s="48">
        <f t="shared" si="10"/>
        <v>1</v>
      </c>
      <c r="M20" s="48">
        <f t="shared" si="10"/>
        <v>1</v>
      </c>
      <c r="N20" s="48">
        <f t="shared" si="10"/>
        <v>1</v>
      </c>
      <c r="O20" s="48">
        <f t="shared" si="10"/>
        <v>1</v>
      </c>
      <c r="P20" s="48">
        <f t="shared" si="10"/>
        <v>1</v>
      </c>
      <c r="Q20" s="48">
        <f t="shared" si="10"/>
        <v>1</v>
      </c>
      <c r="R20" s="48">
        <f t="shared" si="10"/>
        <v>1</v>
      </c>
      <c r="S20" s="48">
        <f t="shared" si="10"/>
        <v>1</v>
      </c>
      <c r="T20" s="48">
        <f t="shared" si="10"/>
        <v>1</v>
      </c>
      <c r="U20" s="48">
        <f t="shared" si="10"/>
        <v>1</v>
      </c>
      <c r="V20" s="48">
        <f t="shared" si="10"/>
        <v>1</v>
      </c>
      <c r="W20" s="48">
        <f t="shared" si="10"/>
        <v>1</v>
      </c>
      <c r="X20" s="48">
        <f t="shared" si="11"/>
        <v>1</v>
      </c>
      <c r="Y20" s="48">
        <f t="shared" si="11"/>
        <v>1</v>
      </c>
      <c r="Z20" s="48">
        <f t="shared" si="11"/>
        <v>1</v>
      </c>
      <c r="AA20" s="48">
        <f t="shared" si="11"/>
        <v>1</v>
      </c>
      <c r="AB20" s="48">
        <f t="shared" si="11"/>
        <v>1</v>
      </c>
      <c r="AC20" s="48">
        <f t="shared" si="11"/>
        <v>1</v>
      </c>
      <c r="AD20" s="48">
        <f t="shared" si="11"/>
        <v>1</v>
      </c>
      <c r="AE20" s="48">
        <f t="shared" si="11"/>
        <v>1</v>
      </c>
      <c r="AF20" s="48">
        <f t="shared" si="11"/>
        <v>1</v>
      </c>
      <c r="AG20" s="48">
        <f t="shared" si="11"/>
        <v>1</v>
      </c>
      <c r="AH20" s="48">
        <f t="shared" si="11"/>
        <v>1</v>
      </c>
      <c r="AI20" s="48">
        <f t="shared" si="11"/>
        <v>1</v>
      </c>
      <c r="AJ20" s="48">
        <f t="shared" si="11"/>
        <v>1</v>
      </c>
      <c r="AK20" s="48">
        <f t="shared" si="11"/>
        <v>1</v>
      </c>
      <c r="AL20" s="48">
        <f t="shared" si="11"/>
        <v>1</v>
      </c>
      <c r="AM20" s="48">
        <f t="shared" si="11"/>
        <v>1</v>
      </c>
      <c r="AN20" s="48">
        <f t="shared" si="11"/>
        <v>1</v>
      </c>
      <c r="AO20" s="48">
        <f t="shared" si="8"/>
        <v>1</v>
      </c>
      <c r="AP20" s="48">
        <f t="shared" si="8"/>
        <v>1</v>
      </c>
      <c r="AQ20" s="48">
        <f t="shared" si="8"/>
        <v>1</v>
      </c>
      <c r="AR20" s="48">
        <f t="shared" si="8"/>
        <v>1</v>
      </c>
      <c r="AS20" s="48">
        <f t="shared" si="8"/>
        <v>1</v>
      </c>
      <c r="AT20" s="48">
        <f t="shared" si="8"/>
        <v>1</v>
      </c>
      <c r="AU20" s="48">
        <f t="shared" si="8"/>
        <v>1</v>
      </c>
      <c r="AV20" s="48">
        <f t="shared" si="8"/>
        <v>1</v>
      </c>
      <c r="AW20" s="48">
        <f t="shared" si="8"/>
        <v>1</v>
      </c>
      <c r="AX20" s="48">
        <f t="shared" si="8"/>
        <v>1</v>
      </c>
      <c r="AY20" s="48">
        <f t="shared" si="8"/>
        <v>1</v>
      </c>
      <c r="AZ20" s="48">
        <f t="shared" si="8"/>
        <v>1</v>
      </c>
      <c r="BA20" s="48">
        <f t="shared" si="8"/>
        <v>1</v>
      </c>
      <c r="BB20" s="48">
        <f t="shared" si="8"/>
        <v>1</v>
      </c>
      <c r="BC20" s="48">
        <f t="shared" si="8"/>
        <v>1</v>
      </c>
      <c r="BD20" s="48">
        <f t="shared" si="8"/>
        <v>1</v>
      </c>
      <c r="BE20" s="48">
        <f t="shared" si="8"/>
        <v>1</v>
      </c>
      <c r="BF20" s="48">
        <f t="shared" si="8"/>
        <v>1</v>
      </c>
      <c r="BG20" s="48">
        <f t="shared" si="9"/>
        <v>1</v>
      </c>
      <c r="BH20" s="48">
        <f t="shared" si="9"/>
        <v>1</v>
      </c>
      <c r="BI20" s="48">
        <f t="shared" si="9"/>
        <v>1</v>
      </c>
      <c r="BJ20" s="48">
        <f t="shared" si="9"/>
        <v>1</v>
      </c>
      <c r="BK20" s="48">
        <f t="shared" si="9"/>
        <v>1</v>
      </c>
      <c r="BL20" s="48">
        <f t="shared" si="9"/>
        <v>1</v>
      </c>
      <c r="BM20" s="48">
        <f t="shared" si="9"/>
        <v>1</v>
      </c>
      <c r="BN20" s="48">
        <f t="shared" si="9"/>
        <v>1</v>
      </c>
      <c r="BO20" s="32">
        <f t="shared" si="7"/>
        <v>1</v>
      </c>
    </row>
    <row r="21" spans="1:67" s="27" customFormat="1" ht="18.75" hidden="1" customHeight="1" x14ac:dyDescent="0.25">
      <c r="A21" s="46" t="s">
        <v>37</v>
      </c>
      <c r="B21" s="46" t="s">
        <v>38</v>
      </c>
      <c r="C21" s="46" t="s">
        <v>14</v>
      </c>
      <c r="D21" s="47">
        <f>VLOOKUP(A21,'[1]Cuadro Control'!C17:J1951,8,FALSE)</f>
        <v>0</v>
      </c>
      <c r="E21" s="48">
        <f t="shared" si="6"/>
        <v>0</v>
      </c>
      <c r="F21" s="49">
        <v>46218</v>
      </c>
      <c r="G21" s="49">
        <v>46218</v>
      </c>
      <c r="H21" s="48">
        <f t="shared" si="10"/>
        <v>1</v>
      </c>
      <c r="I21" s="48">
        <f t="shared" si="10"/>
        <v>1</v>
      </c>
      <c r="J21" s="48">
        <f t="shared" si="10"/>
        <v>1</v>
      </c>
      <c r="K21" s="48">
        <f t="shared" si="10"/>
        <v>1</v>
      </c>
      <c r="L21" s="48">
        <f t="shared" si="10"/>
        <v>1</v>
      </c>
      <c r="M21" s="48">
        <f t="shared" si="10"/>
        <v>1</v>
      </c>
      <c r="N21" s="48">
        <f t="shared" si="10"/>
        <v>1</v>
      </c>
      <c r="O21" s="48">
        <f t="shared" si="10"/>
        <v>1</v>
      </c>
      <c r="P21" s="48">
        <f t="shared" si="10"/>
        <v>1</v>
      </c>
      <c r="Q21" s="48">
        <f t="shared" si="10"/>
        <v>1</v>
      </c>
      <c r="R21" s="48">
        <f t="shared" si="10"/>
        <v>1</v>
      </c>
      <c r="S21" s="48">
        <f t="shared" si="10"/>
        <v>1</v>
      </c>
      <c r="T21" s="48">
        <f t="shared" si="10"/>
        <v>1</v>
      </c>
      <c r="U21" s="48">
        <f t="shared" si="10"/>
        <v>1</v>
      </c>
      <c r="V21" s="48">
        <f t="shared" si="10"/>
        <v>1</v>
      </c>
      <c r="W21" s="48">
        <f t="shared" si="10"/>
        <v>1</v>
      </c>
      <c r="X21" s="48">
        <f t="shared" si="11"/>
        <v>1</v>
      </c>
      <c r="Y21" s="48">
        <f t="shared" si="11"/>
        <v>1</v>
      </c>
      <c r="Z21" s="48">
        <f t="shared" si="11"/>
        <v>1</v>
      </c>
      <c r="AA21" s="48">
        <f t="shared" si="11"/>
        <v>1</v>
      </c>
      <c r="AB21" s="48">
        <f t="shared" si="11"/>
        <v>1</v>
      </c>
      <c r="AC21" s="48">
        <f t="shared" si="11"/>
        <v>1</v>
      </c>
      <c r="AD21" s="48">
        <f t="shared" si="11"/>
        <v>1</v>
      </c>
      <c r="AE21" s="48">
        <f t="shared" si="11"/>
        <v>1</v>
      </c>
      <c r="AF21" s="48">
        <f t="shared" si="11"/>
        <v>1</v>
      </c>
      <c r="AG21" s="48">
        <f t="shared" si="11"/>
        <v>1</v>
      </c>
      <c r="AH21" s="48">
        <f t="shared" si="11"/>
        <v>1</v>
      </c>
      <c r="AI21" s="48">
        <f t="shared" si="11"/>
        <v>1</v>
      </c>
      <c r="AJ21" s="48">
        <f t="shared" si="11"/>
        <v>1</v>
      </c>
      <c r="AK21" s="48">
        <f t="shared" si="11"/>
        <v>1</v>
      </c>
      <c r="AL21" s="48">
        <f t="shared" si="11"/>
        <v>1</v>
      </c>
      <c r="AM21" s="48">
        <f t="shared" si="11"/>
        <v>1</v>
      </c>
      <c r="AN21" s="48">
        <f t="shared" si="11"/>
        <v>1</v>
      </c>
      <c r="AO21" s="48">
        <f t="shared" si="8"/>
        <v>1</v>
      </c>
      <c r="AP21" s="48">
        <f t="shared" si="8"/>
        <v>1</v>
      </c>
      <c r="AQ21" s="48">
        <f t="shared" si="8"/>
        <v>1</v>
      </c>
      <c r="AR21" s="48">
        <f t="shared" si="8"/>
        <v>1</v>
      </c>
      <c r="AS21" s="48">
        <f t="shared" si="8"/>
        <v>1</v>
      </c>
      <c r="AT21" s="48">
        <f t="shared" si="8"/>
        <v>1</v>
      </c>
      <c r="AU21" s="48">
        <f t="shared" si="8"/>
        <v>1</v>
      </c>
      <c r="AV21" s="48">
        <f t="shared" si="8"/>
        <v>1</v>
      </c>
      <c r="AW21" s="48">
        <f t="shared" si="8"/>
        <v>1</v>
      </c>
      <c r="AX21" s="48">
        <f t="shared" si="8"/>
        <v>1</v>
      </c>
      <c r="AY21" s="48">
        <f t="shared" si="8"/>
        <v>1</v>
      </c>
      <c r="AZ21" s="48">
        <f t="shared" si="8"/>
        <v>1</v>
      </c>
      <c r="BA21" s="48">
        <f t="shared" si="8"/>
        <v>1</v>
      </c>
      <c r="BB21" s="48">
        <f t="shared" si="8"/>
        <v>1</v>
      </c>
      <c r="BC21" s="48">
        <f t="shared" si="8"/>
        <v>1</v>
      </c>
      <c r="BD21" s="48">
        <f t="shared" si="8"/>
        <v>1</v>
      </c>
      <c r="BE21" s="48">
        <f t="shared" si="8"/>
        <v>1</v>
      </c>
      <c r="BF21" s="48">
        <f t="shared" si="8"/>
        <v>1</v>
      </c>
      <c r="BG21" s="48">
        <f t="shared" si="9"/>
        <v>1</v>
      </c>
      <c r="BH21" s="48">
        <f t="shared" si="9"/>
        <v>1</v>
      </c>
      <c r="BI21" s="48">
        <f t="shared" si="9"/>
        <v>1</v>
      </c>
      <c r="BJ21" s="48">
        <f t="shared" si="9"/>
        <v>1</v>
      </c>
      <c r="BK21" s="48">
        <f t="shared" si="9"/>
        <v>1</v>
      </c>
      <c r="BL21" s="48">
        <f t="shared" si="9"/>
        <v>1</v>
      </c>
      <c r="BM21" s="48">
        <f t="shared" si="9"/>
        <v>1</v>
      </c>
      <c r="BN21" s="48">
        <f t="shared" si="9"/>
        <v>1</v>
      </c>
      <c r="BO21" s="32">
        <f t="shared" si="7"/>
        <v>1</v>
      </c>
    </row>
    <row r="22" spans="1:67" s="27" customFormat="1" ht="18.75" hidden="1" customHeight="1" x14ac:dyDescent="0.25">
      <c r="A22" s="46" t="s">
        <v>39</v>
      </c>
      <c r="B22" s="46" t="s">
        <v>40</v>
      </c>
      <c r="C22" s="46" t="s">
        <v>14</v>
      </c>
      <c r="D22" s="47">
        <f>VLOOKUP(A22,'[1]Cuadro Control'!C18:J1952,8,FALSE)</f>
        <v>0</v>
      </c>
      <c r="E22" s="48">
        <f t="shared" si="6"/>
        <v>0</v>
      </c>
      <c r="F22" s="49">
        <v>46218</v>
      </c>
      <c r="G22" s="49">
        <v>46218</v>
      </c>
      <c r="H22" s="48">
        <f t="shared" si="10"/>
        <v>1</v>
      </c>
      <c r="I22" s="48">
        <f t="shared" si="10"/>
        <v>1</v>
      </c>
      <c r="J22" s="48">
        <f t="shared" si="10"/>
        <v>1</v>
      </c>
      <c r="K22" s="48">
        <f t="shared" si="10"/>
        <v>1</v>
      </c>
      <c r="L22" s="48">
        <f t="shared" si="10"/>
        <v>1</v>
      </c>
      <c r="M22" s="48">
        <f t="shared" si="10"/>
        <v>1</v>
      </c>
      <c r="N22" s="48">
        <f t="shared" si="10"/>
        <v>1</v>
      </c>
      <c r="O22" s="48">
        <f t="shared" si="10"/>
        <v>1</v>
      </c>
      <c r="P22" s="48">
        <f t="shared" si="10"/>
        <v>1</v>
      </c>
      <c r="Q22" s="48">
        <f t="shared" si="10"/>
        <v>1</v>
      </c>
      <c r="R22" s="48">
        <f t="shared" si="10"/>
        <v>1</v>
      </c>
      <c r="S22" s="48">
        <f t="shared" si="10"/>
        <v>1</v>
      </c>
      <c r="T22" s="48">
        <f t="shared" si="10"/>
        <v>1</v>
      </c>
      <c r="U22" s="48">
        <f t="shared" si="10"/>
        <v>1</v>
      </c>
      <c r="V22" s="48">
        <f t="shared" si="10"/>
        <v>1</v>
      </c>
      <c r="W22" s="48">
        <f t="shared" si="10"/>
        <v>1</v>
      </c>
      <c r="X22" s="48">
        <f t="shared" si="11"/>
        <v>1</v>
      </c>
      <c r="Y22" s="48">
        <f t="shared" si="11"/>
        <v>1</v>
      </c>
      <c r="Z22" s="48">
        <f t="shared" si="11"/>
        <v>1</v>
      </c>
      <c r="AA22" s="48">
        <f t="shared" si="11"/>
        <v>1</v>
      </c>
      <c r="AB22" s="48">
        <f t="shared" si="11"/>
        <v>1</v>
      </c>
      <c r="AC22" s="48">
        <f t="shared" si="11"/>
        <v>1</v>
      </c>
      <c r="AD22" s="48">
        <f t="shared" si="11"/>
        <v>1</v>
      </c>
      <c r="AE22" s="48">
        <f t="shared" si="11"/>
        <v>1</v>
      </c>
      <c r="AF22" s="48">
        <f t="shared" si="11"/>
        <v>1</v>
      </c>
      <c r="AG22" s="48">
        <f t="shared" si="11"/>
        <v>1</v>
      </c>
      <c r="AH22" s="48">
        <f t="shared" si="11"/>
        <v>1</v>
      </c>
      <c r="AI22" s="48">
        <f t="shared" si="11"/>
        <v>1</v>
      </c>
      <c r="AJ22" s="48">
        <f t="shared" si="11"/>
        <v>1</v>
      </c>
      <c r="AK22" s="48">
        <f t="shared" si="11"/>
        <v>1</v>
      </c>
      <c r="AL22" s="48">
        <f t="shared" si="11"/>
        <v>1</v>
      </c>
      <c r="AM22" s="48">
        <f t="shared" si="11"/>
        <v>1</v>
      </c>
      <c r="AN22" s="48">
        <f t="shared" si="11"/>
        <v>1</v>
      </c>
      <c r="AO22" s="48">
        <f t="shared" si="8"/>
        <v>1</v>
      </c>
      <c r="AP22" s="48">
        <f t="shared" si="8"/>
        <v>1</v>
      </c>
      <c r="AQ22" s="48">
        <f t="shared" si="8"/>
        <v>1</v>
      </c>
      <c r="AR22" s="48">
        <f t="shared" si="8"/>
        <v>1</v>
      </c>
      <c r="AS22" s="48">
        <f t="shared" si="8"/>
        <v>1</v>
      </c>
      <c r="AT22" s="48">
        <f t="shared" si="8"/>
        <v>1</v>
      </c>
      <c r="AU22" s="48">
        <f t="shared" si="8"/>
        <v>1</v>
      </c>
      <c r="AV22" s="48">
        <f t="shared" si="8"/>
        <v>1</v>
      </c>
      <c r="AW22" s="48">
        <f t="shared" si="8"/>
        <v>1</v>
      </c>
      <c r="AX22" s="48">
        <f t="shared" si="8"/>
        <v>1</v>
      </c>
      <c r="AY22" s="48">
        <f t="shared" si="8"/>
        <v>1</v>
      </c>
      <c r="AZ22" s="48">
        <f t="shared" si="8"/>
        <v>1</v>
      </c>
      <c r="BA22" s="48">
        <f t="shared" si="8"/>
        <v>1</v>
      </c>
      <c r="BB22" s="48">
        <f t="shared" si="8"/>
        <v>1</v>
      </c>
      <c r="BC22" s="48">
        <f t="shared" si="8"/>
        <v>1</v>
      </c>
      <c r="BD22" s="48">
        <f t="shared" si="8"/>
        <v>1</v>
      </c>
      <c r="BE22" s="48">
        <f t="shared" si="8"/>
        <v>1</v>
      </c>
      <c r="BF22" s="48">
        <f t="shared" si="8"/>
        <v>1</v>
      </c>
      <c r="BG22" s="48">
        <f t="shared" si="9"/>
        <v>1</v>
      </c>
      <c r="BH22" s="48">
        <f t="shared" si="9"/>
        <v>1</v>
      </c>
      <c r="BI22" s="48">
        <f t="shared" si="9"/>
        <v>1</v>
      </c>
      <c r="BJ22" s="48">
        <f t="shared" si="9"/>
        <v>1</v>
      </c>
      <c r="BK22" s="48">
        <f t="shared" si="9"/>
        <v>1</v>
      </c>
      <c r="BL22" s="48">
        <f t="shared" si="9"/>
        <v>1</v>
      </c>
      <c r="BM22" s="48">
        <f t="shared" si="9"/>
        <v>1</v>
      </c>
      <c r="BN22" s="48">
        <f t="shared" si="9"/>
        <v>1</v>
      </c>
      <c r="BO22" s="32">
        <f t="shared" si="7"/>
        <v>1</v>
      </c>
    </row>
    <row r="23" spans="1:67" s="27" customFormat="1" ht="18.75" hidden="1" customHeight="1" x14ac:dyDescent="0.25">
      <c r="A23" s="46" t="s">
        <v>41</v>
      </c>
      <c r="B23" s="46" t="s">
        <v>42</v>
      </c>
      <c r="C23" s="46" t="s">
        <v>14</v>
      </c>
      <c r="D23" s="47">
        <f>VLOOKUP(A23,'[1]Cuadro Control'!C19:J1953,8,FALSE)</f>
        <v>0</v>
      </c>
      <c r="E23" s="48">
        <f t="shared" si="6"/>
        <v>0</v>
      </c>
      <c r="F23" s="49">
        <v>46218</v>
      </c>
      <c r="G23" s="49">
        <v>46218</v>
      </c>
      <c r="H23" s="48">
        <f t="shared" si="10"/>
        <v>1</v>
      </c>
      <c r="I23" s="48">
        <f t="shared" si="10"/>
        <v>1</v>
      </c>
      <c r="J23" s="48">
        <f t="shared" si="10"/>
        <v>1</v>
      </c>
      <c r="K23" s="48">
        <f t="shared" si="10"/>
        <v>1</v>
      </c>
      <c r="L23" s="48">
        <f t="shared" si="10"/>
        <v>1</v>
      </c>
      <c r="M23" s="48">
        <f t="shared" si="10"/>
        <v>1</v>
      </c>
      <c r="N23" s="48">
        <f t="shared" si="10"/>
        <v>1</v>
      </c>
      <c r="O23" s="48">
        <f t="shared" si="10"/>
        <v>1</v>
      </c>
      <c r="P23" s="48">
        <f t="shared" si="10"/>
        <v>1</v>
      </c>
      <c r="Q23" s="48">
        <f t="shared" si="10"/>
        <v>1</v>
      </c>
      <c r="R23" s="48">
        <f t="shared" si="10"/>
        <v>1</v>
      </c>
      <c r="S23" s="48">
        <f t="shared" si="10"/>
        <v>1</v>
      </c>
      <c r="T23" s="48">
        <f t="shared" si="10"/>
        <v>1</v>
      </c>
      <c r="U23" s="48">
        <f t="shared" si="10"/>
        <v>1</v>
      </c>
      <c r="V23" s="48">
        <f t="shared" si="10"/>
        <v>1</v>
      </c>
      <c r="W23" s="48">
        <f t="shared" si="10"/>
        <v>1</v>
      </c>
      <c r="X23" s="48">
        <f t="shared" si="11"/>
        <v>1</v>
      </c>
      <c r="Y23" s="48">
        <f t="shared" si="11"/>
        <v>1</v>
      </c>
      <c r="Z23" s="48">
        <f t="shared" si="11"/>
        <v>1</v>
      </c>
      <c r="AA23" s="48">
        <f t="shared" si="11"/>
        <v>1</v>
      </c>
      <c r="AB23" s="48">
        <f t="shared" si="11"/>
        <v>1</v>
      </c>
      <c r="AC23" s="48">
        <f t="shared" si="11"/>
        <v>1</v>
      </c>
      <c r="AD23" s="48">
        <f t="shared" si="11"/>
        <v>1</v>
      </c>
      <c r="AE23" s="48">
        <f t="shared" si="11"/>
        <v>1</v>
      </c>
      <c r="AF23" s="48">
        <f t="shared" si="11"/>
        <v>1</v>
      </c>
      <c r="AG23" s="48">
        <f t="shared" si="11"/>
        <v>1</v>
      </c>
      <c r="AH23" s="48">
        <f t="shared" si="11"/>
        <v>1</v>
      </c>
      <c r="AI23" s="48">
        <f t="shared" si="11"/>
        <v>1</v>
      </c>
      <c r="AJ23" s="48">
        <f t="shared" si="11"/>
        <v>1</v>
      </c>
      <c r="AK23" s="48">
        <f t="shared" si="11"/>
        <v>1</v>
      </c>
      <c r="AL23" s="48">
        <f t="shared" si="11"/>
        <v>1</v>
      </c>
      <c r="AM23" s="48">
        <f t="shared" si="11"/>
        <v>1</v>
      </c>
      <c r="AN23" s="48">
        <f t="shared" si="11"/>
        <v>1</v>
      </c>
      <c r="AO23" s="48">
        <f t="shared" si="8"/>
        <v>1</v>
      </c>
      <c r="AP23" s="48">
        <f t="shared" si="8"/>
        <v>1</v>
      </c>
      <c r="AQ23" s="48">
        <f t="shared" si="8"/>
        <v>1</v>
      </c>
      <c r="AR23" s="48">
        <f t="shared" si="8"/>
        <v>1</v>
      </c>
      <c r="AS23" s="48">
        <f t="shared" si="8"/>
        <v>1</v>
      </c>
      <c r="AT23" s="48">
        <f t="shared" si="8"/>
        <v>1</v>
      </c>
      <c r="AU23" s="48">
        <f t="shared" si="8"/>
        <v>1</v>
      </c>
      <c r="AV23" s="48">
        <f t="shared" si="8"/>
        <v>1</v>
      </c>
      <c r="AW23" s="48">
        <f t="shared" si="8"/>
        <v>1</v>
      </c>
      <c r="AX23" s="48">
        <f t="shared" si="8"/>
        <v>1</v>
      </c>
      <c r="AY23" s="48">
        <f t="shared" si="8"/>
        <v>1</v>
      </c>
      <c r="AZ23" s="48">
        <f t="shared" si="8"/>
        <v>1</v>
      </c>
      <c r="BA23" s="48">
        <f t="shared" si="8"/>
        <v>1</v>
      </c>
      <c r="BB23" s="48">
        <f t="shared" si="8"/>
        <v>1</v>
      </c>
      <c r="BC23" s="48">
        <f t="shared" si="8"/>
        <v>1</v>
      </c>
      <c r="BD23" s="48">
        <f t="shared" si="8"/>
        <v>1</v>
      </c>
      <c r="BE23" s="48">
        <f t="shared" si="8"/>
        <v>1</v>
      </c>
      <c r="BF23" s="48">
        <f t="shared" si="8"/>
        <v>1</v>
      </c>
      <c r="BG23" s="48">
        <f t="shared" si="9"/>
        <v>1</v>
      </c>
      <c r="BH23" s="48">
        <f t="shared" si="9"/>
        <v>1</v>
      </c>
      <c r="BI23" s="48">
        <f t="shared" si="9"/>
        <v>1</v>
      </c>
      <c r="BJ23" s="48">
        <f t="shared" si="9"/>
        <v>1</v>
      </c>
      <c r="BK23" s="48">
        <f t="shared" si="9"/>
        <v>1</v>
      </c>
      <c r="BL23" s="48">
        <f t="shared" si="9"/>
        <v>1</v>
      </c>
      <c r="BM23" s="48">
        <f t="shared" si="9"/>
        <v>1</v>
      </c>
      <c r="BN23" s="48">
        <f t="shared" si="9"/>
        <v>1</v>
      </c>
      <c r="BO23" s="32">
        <f t="shared" si="7"/>
        <v>1</v>
      </c>
    </row>
    <row r="24" spans="1:67" s="27" customFormat="1" ht="18.75" hidden="1" customHeight="1" x14ac:dyDescent="0.25">
      <c r="A24" s="46" t="s">
        <v>43</v>
      </c>
      <c r="B24" s="46" t="s">
        <v>44</v>
      </c>
      <c r="C24" s="46" t="s">
        <v>14</v>
      </c>
      <c r="D24" s="47">
        <f>VLOOKUP(A24,'[1]Cuadro Control'!C20:J1954,8,FALSE)</f>
        <v>0</v>
      </c>
      <c r="E24" s="48">
        <f t="shared" si="6"/>
        <v>0</v>
      </c>
      <c r="F24" s="49">
        <v>46218</v>
      </c>
      <c r="G24" s="49">
        <v>46218</v>
      </c>
      <c r="H24" s="48">
        <f t="shared" si="10"/>
        <v>1</v>
      </c>
      <c r="I24" s="48">
        <f t="shared" si="10"/>
        <v>1</v>
      </c>
      <c r="J24" s="48">
        <f t="shared" si="10"/>
        <v>1</v>
      </c>
      <c r="K24" s="48">
        <f t="shared" si="10"/>
        <v>1</v>
      </c>
      <c r="L24" s="48">
        <f t="shared" si="10"/>
        <v>1</v>
      </c>
      <c r="M24" s="48">
        <f t="shared" si="10"/>
        <v>1</v>
      </c>
      <c r="N24" s="48">
        <f t="shared" si="10"/>
        <v>1</v>
      </c>
      <c r="O24" s="48">
        <f t="shared" si="10"/>
        <v>1</v>
      </c>
      <c r="P24" s="48">
        <f t="shared" si="10"/>
        <v>1</v>
      </c>
      <c r="Q24" s="48">
        <f t="shared" si="10"/>
        <v>1</v>
      </c>
      <c r="R24" s="48">
        <f t="shared" si="10"/>
        <v>1</v>
      </c>
      <c r="S24" s="48">
        <f t="shared" si="10"/>
        <v>1</v>
      </c>
      <c r="T24" s="48">
        <f t="shared" si="10"/>
        <v>1</v>
      </c>
      <c r="U24" s="48">
        <f t="shared" si="10"/>
        <v>1</v>
      </c>
      <c r="V24" s="48">
        <f t="shared" si="10"/>
        <v>1</v>
      </c>
      <c r="W24" s="48">
        <f t="shared" si="10"/>
        <v>1</v>
      </c>
      <c r="X24" s="48">
        <f t="shared" si="11"/>
        <v>1</v>
      </c>
      <c r="Y24" s="48">
        <f t="shared" si="11"/>
        <v>1</v>
      </c>
      <c r="Z24" s="48">
        <f t="shared" si="11"/>
        <v>1</v>
      </c>
      <c r="AA24" s="48">
        <f t="shared" si="11"/>
        <v>1</v>
      </c>
      <c r="AB24" s="48">
        <f t="shared" si="11"/>
        <v>1</v>
      </c>
      <c r="AC24" s="48">
        <f t="shared" si="11"/>
        <v>1</v>
      </c>
      <c r="AD24" s="48">
        <f t="shared" si="11"/>
        <v>1</v>
      </c>
      <c r="AE24" s="48">
        <f t="shared" si="11"/>
        <v>1</v>
      </c>
      <c r="AF24" s="48">
        <f t="shared" si="11"/>
        <v>1</v>
      </c>
      <c r="AG24" s="48">
        <f t="shared" si="11"/>
        <v>1</v>
      </c>
      <c r="AH24" s="48">
        <f t="shared" si="11"/>
        <v>1</v>
      </c>
      <c r="AI24" s="48">
        <f t="shared" si="11"/>
        <v>1</v>
      </c>
      <c r="AJ24" s="48">
        <f t="shared" si="11"/>
        <v>1</v>
      </c>
      <c r="AK24" s="48">
        <f t="shared" si="11"/>
        <v>1</v>
      </c>
      <c r="AL24" s="48">
        <f t="shared" si="11"/>
        <v>1</v>
      </c>
      <c r="AM24" s="48">
        <f t="shared" si="11"/>
        <v>1</v>
      </c>
      <c r="AN24" s="48">
        <f t="shared" si="11"/>
        <v>1</v>
      </c>
      <c r="AO24" s="48">
        <f t="shared" si="8"/>
        <v>1</v>
      </c>
      <c r="AP24" s="48">
        <f t="shared" si="8"/>
        <v>1</v>
      </c>
      <c r="AQ24" s="48">
        <f t="shared" si="8"/>
        <v>1</v>
      </c>
      <c r="AR24" s="48">
        <f t="shared" si="8"/>
        <v>1</v>
      </c>
      <c r="AS24" s="48">
        <f t="shared" si="8"/>
        <v>1</v>
      </c>
      <c r="AT24" s="48">
        <f t="shared" si="8"/>
        <v>1</v>
      </c>
      <c r="AU24" s="48">
        <f t="shared" si="8"/>
        <v>1</v>
      </c>
      <c r="AV24" s="48">
        <f t="shared" si="8"/>
        <v>1</v>
      </c>
      <c r="AW24" s="48">
        <f t="shared" si="8"/>
        <v>1</v>
      </c>
      <c r="AX24" s="48">
        <f t="shared" si="8"/>
        <v>1</v>
      </c>
      <c r="AY24" s="48">
        <f t="shared" si="8"/>
        <v>1</v>
      </c>
      <c r="AZ24" s="48">
        <f t="shared" si="8"/>
        <v>1</v>
      </c>
      <c r="BA24" s="48">
        <f t="shared" si="8"/>
        <v>1</v>
      </c>
      <c r="BB24" s="48">
        <f t="shared" si="8"/>
        <v>1</v>
      </c>
      <c r="BC24" s="48">
        <f t="shared" si="8"/>
        <v>1</v>
      </c>
      <c r="BD24" s="48">
        <f t="shared" si="8"/>
        <v>1</v>
      </c>
      <c r="BE24" s="48">
        <f t="shared" si="8"/>
        <v>1</v>
      </c>
      <c r="BF24" s="48">
        <f t="shared" si="8"/>
        <v>1</v>
      </c>
      <c r="BG24" s="48">
        <f t="shared" si="9"/>
        <v>1</v>
      </c>
      <c r="BH24" s="48">
        <f t="shared" si="9"/>
        <v>1</v>
      </c>
      <c r="BI24" s="48">
        <f t="shared" si="9"/>
        <v>1</v>
      </c>
      <c r="BJ24" s="48">
        <f t="shared" si="9"/>
        <v>1</v>
      </c>
      <c r="BK24" s="48">
        <f t="shared" si="9"/>
        <v>1</v>
      </c>
      <c r="BL24" s="48">
        <f t="shared" si="9"/>
        <v>1</v>
      </c>
      <c r="BM24" s="48">
        <f t="shared" si="9"/>
        <v>1</v>
      </c>
      <c r="BN24" s="48">
        <f t="shared" si="9"/>
        <v>1</v>
      </c>
      <c r="BO24" s="32">
        <f t="shared" si="7"/>
        <v>1</v>
      </c>
    </row>
    <row r="25" spans="1:67" s="27" customFormat="1" ht="18.75" hidden="1" customHeight="1" x14ac:dyDescent="0.25">
      <c r="A25" s="46" t="s">
        <v>45</v>
      </c>
      <c r="B25" s="46" t="s">
        <v>46</v>
      </c>
      <c r="C25" s="46" t="s">
        <v>14</v>
      </c>
      <c r="D25" s="47">
        <f>VLOOKUP(A25,'[1]Cuadro Control'!C21:J1955,8,FALSE)</f>
        <v>0</v>
      </c>
      <c r="E25" s="48">
        <f t="shared" si="6"/>
        <v>0</v>
      </c>
      <c r="F25" s="49">
        <v>46218</v>
      </c>
      <c r="G25" s="49">
        <v>46218</v>
      </c>
      <c r="H25" s="48">
        <f t="shared" si="10"/>
        <v>1</v>
      </c>
      <c r="I25" s="48">
        <f t="shared" si="10"/>
        <v>1</v>
      </c>
      <c r="J25" s="48">
        <f t="shared" si="10"/>
        <v>1</v>
      </c>
      <c r="K25" s="48">
        <f t="shared" si="10"/>
        <v>1</v>
      </c>
      <c r="L25" s="48">
        <f t="shared" si="10"/>
        <v>1</v>
      </c>
      <c r="M25" s="48">
        <f t="shared" si="10"/>
        <v>1</v>
      </c>
      <c r="N25" s="48">
        <f t="shared" si="10"/>
        <v>1</v>
      </c>
      <c r="O25" s="48">
        <f t="shared" si="10"/>
        <v>1</v>
      </c>
      <c r="P25" s="48">
        <f t="shared" si="10"/>
        <v>1</v>
      </c>
      <c r="Q25" s="48">
        <f t="shared" si="10"/>
        <v>1</v>
      </c>
      <c r="R25" s="48">
        <f t="shared" si="10"/>
        <v>1</v>
      </c>
      <c r="S25" s="48">
        <f t="shared" si="10"/>
        <v>1</v>
      </c>
      <c r="T25" s="48">
        <f t="shared" si="10"/>
        <v>1</v>
      </c>
      <c r="U25" s="48">
        <f t="shared" si="10"/>
        <v>1</v>
      </c>
      <c r="V25" s="48">
        <f t="shared" si="10"/>
        <v>1</v>
      </c>
      <c r="W25" s="48">
        <f t="shared" si="10"/>
        <v>1</v>
      </c>
      <c r="X25" s="48">
        <f t="shared" si="11"/>
        <v>1</v>
      </c>
      <c r="Y25" s="48">
        <f t="shared" si="11"/>
        <v>1</v>
      </c>
      <c r="Z25" s="48">
        <f t="shared" si="11"/>
        <v>1</v>
      </c>
      <c r="AA25" s="48">
        <f t="shared" si="11"/>
        <v>1</v>
      </c>
      <c r="AB25" s="48">
        <f t="shared" si="11"/>
        <v>1</v>
      </c>
      <c r="AC25" s="48">
        <f t="shared" si="11"/>
        <v>1</v>
      </c>
      <c r="AD25" s="48">
        <f t="shared" si="11"/>
        <v>1</v>
      </c>
      <c r="AE25" s="48">
        <f t="shared" si="11"/>
        <v>1</v>
      </c>
      <c r="AF25" s="48">
        <f t="shared" si="11"/>
        <v>1</v>
      </c>
      <c r="AG25" s="48">
        <f t="shared" si="11"/>
        <v>1</v>
      </c>
      <c r="AH25" s="48">
        <f t="shared" si="11"/>
        <v>1</v>
      </c>
      <c r="AI25" s="48">
        <f t="shared" si="11"/>
        <v>1</v>
      </c>
      <c r="AJ25" s="48">
        <f t="shared" si="11"/>
        <v>1</v>
      </c>
      <c r="AK25" s="48">
        <f t="shared" si="11"/>
        <v>1</v>
      </c>
      <c r="AL25" s="48">
        <f t="shared" si="11"/>
        <v>1</v>
      </c>
      <c r="AM25" s="48">
        <f t="shared" si="11"/>
        <v>1</v>
      </c>
      <c r="AN25" s="48">
        <f t="shared" si="11"/>
        <v>1</v>
      </c>
      <c r="AO25" s="48">
        <f t="shared" si="8"/>
        <v>1</v>
      </c>
      <c r="AP25" s="48">
        <f t="shared" si="8"/>
        <v>1</v>
      </c>
      <c r="AQ25" s="48">
        <f t="shared" si="8"/>
        <v>1</v>
      </c>
      <c r="AR25" s="48">
        <f t="shared" si="8"/>
        <v>1</v>
      </c>
      <c r="AS25" s="48">
        <f t="shared" si="8"/>
        <v>1</v>
      </c>
      <c r="AT25" s="48">
        <f t="shared" si="8"/>
        <v>1</v>
      </c>
      <c r="AU25" s="48">
        <f t="shared" si="8"/>
        <v>1</v>
      </c>
      <c r="AV25" s="48">
        <f t="shared" si="8"/>
        <v>1</v>
      </c>
      <c r="AW25" s="48">
        <f t="shared" si="8"/>
        <v>1</v>
      </c>
      <c r="AX25" s="48">
        <f t="shared" si="8"/>
        <v>1</v>
      </c>
      <c r="AY25" s="48">
        <f t="shared" si="8"/>
        <v>1</v>
      </c>
      <c r="AZ25" s="48">
        <f t="shared" si="8"/>
        <v>1</v>
      </c>
      <c r="BA25" s="48">
        <f t="shared" si="8"/>
        <v>1</v>
      </c>
      <c r="BB25" s="48">
        <f t="shared" si="8"/>
        <v>1</v>
      </c>
      <c r="BC25" s="48">
        <f t="shared" si="8"/>
        <v>1</v>
      </c>
      <c r="BD25" s="48">
        <f t="shared" si="8"/>
        <v>1</v>
      </c>
      <c r="BE25" s="48">
        <f t="shared" si="8"/>
        <v>1</v>
      </c>
      <c r="BF25" s="48">
        <f t="shared" si="8"/>
        <v>1</v>
      </c>
      <c r="BG25" s="48">
        <f t="shared" si="9"/>
        <v>1</v>
      </c>
      <c r="BH25" s="48">
        <f t="shared" si="9"/>
        <v>1</v>
      </c>
      <c r="BI25" s="48">
        <f t="shared" si="9"/>
        <v>1</v>
      </c>
      <c r="BJ25" s="48">
        <f t="shared" si="9"/>
        <v>1</v>
      </c>
      <c r="BK25" s="48">
        <f t="shared" si="9"/>
        <v>1</v>
      </c>
      <c r="BL25" s="48">
        <f t="shared" si="9"/>
        <v>1</v>
      </c>
      <c r="BM25" s="48">
        <f t="shared" si="9"/>
        <v>1</v>
      </c>
      <c r="BN25" s="48">
        <f t="shared" si="9"/>
        <v>1</v>
      </c>
      <c r="BO25" s="32">
        <f t="shared" si="7"/>
        <v>1</v>
      </c>
    </row>
    <row r="26" spans="1:67" s="27" customFormat="1" ht="18.75" hidden="1" customHeight="1" x14ac:dyDescent="0.25">
      <c r="A26" s="46" t="s">
        <v>47</v>
      </c>
      <c r="B26" s="46" t="s">
        <v>48</v>
      </c>
      <c r="C26" s="46" t="s">
        <v>14</v>
      </c>
      <c r="D26" s="47">
        <f>VLOOKUP(A26,'[1]Cuadro Control'!C22:J1956,8,FALSE)</f>
        <v>0</v>
      </c>
      <c r="E26" s="48">
        <f t="shared" si="6"/>
        <v>0</v>
      </c>
      <c r="F26" s="49">
        <v>46218</v>
      </c>
      <c r="G26" s="49">
        <v>46218</v>
      </c>
      <c r="H26" s="48">
        <f t="shared" si="10"/>
        <v>1</v>
      </c>
      <c r="I26" s="48">
        <f t="shared" si="10"/>
        <v>1</v>
      </c>
      <c r="J26" s="48">
        <f t="shared" si="10"/>
        <v>1</v>
      </c>
      <c r="K26" s="48">
        <f t="shared" si="10"/>
        <v>1</v>
      </c>
      <c r="L26" s="48">
        <f t="shared" si="10"/>
        <v>1</v>
      </c>
      <c r="M26" s="48">
        <f t="shared" si="10"/>
        <v>1</v>
      </c>
      <c r="N26" s="48">
        <f t="shared" si="10"/>
        <v>1</v>
      </c>
      <c r="O26" s="48">
        <f t="shared" si="10"/>
        <v>1</v>
      </c>
      <c r="P26" s="48">
        <f t="shared" si="10"/>
        <v>1</v>
      </c>
      <c r="Q26" s="48">
        <f t="shared" si="10"/>
        <v>1</v>
      </c>
      <c r="R26" s="48">
        <f t="shared" si="10"/>
        <v>1</v>
      </c>
      <c r="S26" s="48">
        <f t="shared" si="10"/>
        <v>1</v>
      </c>
      <c r="T26" s="48">
        <f t="shared" si="10"/>
        <v>1</v>
      </c>
      <c r="U26" s="48">
        <f t="shared" si="10"/>
        <v>1</v>
      </c>
      <c r="V26" s="48">
        <f t="shared" si="10"/>
        <v>1</v>
      </c>
      <c r="W26" s="48">
        <f t="shared" si="10"/>
        <v>1</v>
      </c>
      <c r="X26" s="48">
        <f t="shared" si="11"/>
        <v>1</v>
      </c>
      <c r="Y26" s="48">
        <f t="shared" si="11"/>
        <v>1</v>
      </c>
      <c r="Z26" s="48">
        <f t="shared" si="11"/>
        <v>1</v>
      </c>
      <c r="AA26" s="48">
        <f t="shared" si="11"/>
        <v>1</v>
      </c>
      <c r="AB26" s="48">
        <f t="shared" si="11"/>
        <v>1</v>
      </c>
      <c r="AC26" s="48">
        <f t="shared" si="11"/>
        <v>1</v>
      </c>
      <c r="AD26" s="48">
        <f t="shared" si="11"/>
        <v>1</v>
      </c>
      <c r="AE26" s="48">
        <f t="shared" si="11"/>
        <v>1</v>
      </c>
      <c r="AF26" s="48">
        <f t="shared" si="11"/>
        <v>1</v>
      </c>
      <c r="AG26" s="48">
        <f t="shared" si="11"/>
        <v>1</v>
      </c>
      <c r="AH26" s="48">
        <f t="shared" si="11"/>
        <v>1</v>
      </c>
      <c r="AI26" s="48">
        <f t="shared" si="11"/>
        <v>1</v>
      </c>
      <c r="AJ26" s="48">
        <f t="shared" si="11"/>
        <v>1</v>
      </c>
      <c r="AK26" s="48">
        <f t="shared" si="11"/>
        <v>1</v>
      </c>
      <c r="AL26" s="48">
        <f t="shared" si="11"/>
        <v>1</v>
      </c>
      <c r="AM26" s="48">
        <f t="shared" si="11"/>
        <v>1</v>
      </c>
      <c r="AN26" s="48">
        <f t="shared" si="11"/>
        <v>1</v>
      </c>
      <c r="AO26" s="48">
        <f t="shared" si="8"/>
        <v>1</v>
      </c>
      <c r="AP26" s="48">
        <f t="shared" si="8"/>
        <v>1</v>
      </c>
      <c r="AQ26" s="48">
        <f t="shared" si="8"/>
        <v>1</v>
      </c>
      <c r="AR26" s="48">
        <f t="shared" si="8"/>
        <v>1</v>
      </c>
      <c r="AS26" s="48">
        <f t="shared" si="8"/>
        <v>1</v>
      </c>
      <c r="AT26" s="48">
        <f t="shared" si="8"/>
        <v>1</v>
      </c>
      <c r="AU26" s="48">
        <f t="shared" si="8"/>
        <v>1</v>
      </c>
      <c r="AV26" s="48">
        <f t="shared" ref="AV26:BN33" si="12">IF($F26=0,0,IF(AV$6&lt;$F26,0,IF(AV$6&gt;$G26,1,(AV$6-$F26+1)/($G26-$F26+1))))</f>
        <v>1</v>
      </c>
      <c r="AW26" s="48">
        <f t="shared" si="12"/>
        <v>1</v>
      </c>
      <c r="AX26" s="48">
        <f t="shared" si="12"/>
        <v>1</v>
      </c>
      <c r="AY26" s="48">
        <f t="shared" si="12"/>
        <v>1</v>
      </c>
      <c r="AZ26" s="48">
        <f t="shared" si="12"/>
        <v>1</v>
      </c>
      <c r="BA26" s="48">
        <f t="shared" si="12"/>
        <v>1</v>
      </c>
      <c r="BB26" s="48">
        <f t="shared" si="12"/>
        <v>1</v>
      </c>
      <c r="BC26" s="48">
        <f t="shared" si="12"/>
        <v>1</v>
      </c>
      <c r="BD26" s="48">
        <f t="shared" si="12"/>
        <v>1</v>
      </c>
      <c r="BE26" s="48">
        <f t="shared" si="12"/>
        <v>1</v>
      </c>
      <c r="BF26" s="48">
        <f t="shared" si="12"/>
        <v>1</v>
      </c>
      <c r="BG26" s="48">
        <f t="shared" si="12"/>
        <v>1</v>
      </c>
      <c r="BH26" s="48">
        <f t="shared" si="12"/>
        <v>1</v>
      </c>
      <c r="BI26" s="48">
        <f t="shared" si="12"/>
        <v>1</v>
      </c>
      <c r="BJ26" s="48">
        <f t="shared" si="12"/>
        <v>1</v>
      </c>
      <c r="BK26" s="48">
        <f t="shared" si="12"/>
        <v>1</v>
      </c>
      <c r="BL26" s="48">
        <f t="shared" si="12"/>
        <v>1</v>
      </c>
      <c r="BM26" s="48">
        <f t="shared" si="12"/>
        <v>1</v>
      </c>
      <c r="BN26" s="48">
        <f t="shared" si="12"/>
        <v>1</v>
      </c>
      <c r="BO26" s="32">
        <f t="shared" si="7"/>
        <v>1</v>
      </c>
    </row>
    <row r="27" spans="1:67" s="27" customFormat="1" ht="18.75" hidden="1" customHeight="1" x14ac:dyDescent="0.25">
      <c r="A27" s="46" t="s">
        <v>49</v>
      </c>
      <c r="B27" s="46" t="s">
        <v>50</v>
      </c>
      <c r="C27" s="46" t="s">
        <v>14</v>
      </c>
      <c r="D27" s="47">
        <f>VLOOKUP(A27,'[1]Cuadro Control'!C23:J1957,8,FALSE)</f>
        <v>0</v>
      </c>
      <c r="E27" s="48">
        <f t="shared" si="6"/>
        <v>0</v>
      </c>
      <c r="F27" s="49">
        <v>46255</v>
      </c>
      <c r="G27" s="49">
        <v>46255</v>
      </c>
      <c r="H27" s="48">
        <f t="shared" si="10"/>
        <v>0</v>
      </c>
      <c r="I27" s="48">
        <f t="shared" si="10"/>
        <v>0</v>
      </c>
      <c r="J27" s="48">
        <f t="shared" si="10"/>
        <v>0</v>
      </c>
      <c r="K27" s="48">
        <f t="shared" si="10"/>
        <v>0</v>
      </c>
      <c r="L27" s="48">
        <f t="shared" si="10"/>
        <v>0</v>
      </c>
      <c r="M27" s="48">
        <f t="shared" si="10"/>
        <v>0</v>
      </c>
      <c r="N27" s="48">
        <f t="shared" si="10"/>
        <v>1</v>
      </c>
      <c r="O27" s="48">
        <f t="shared" si="10"/>
        <v>1</v>
      </c>
      <c r="P27" s="48">
        <f t="shared" si="10"/>
        <v>1</v>
      </c>
      <c r="Q27" s="48">
        <f t="shared" si="10"/>
        <v>1</v>
      </c>
      <c r="R27" s="48">
        <f t="shared" si="10"/>
        <v>1</v>
      </c>
      <c r="S27" s="48">
        <f t="shared" si="10"/>
        <v>1</v>
      </c>
      <c r="T27" s="48">
        <f t="shared" si="10"/>
        <v>1</v>
      </c>
      <c r="U27" s="48">
        <f t="shared" si="10"/>
        <v>1</v>
      </c>
      <c r="V27" s="48">
        <f t="shared" si="10"/>
        <v>1</v>
      </c>
      <c r="W27" s="48">
        <f t="shared" si="10"/>
        <v>1</v>
      </c>
      <c r="X27" s="48">
        <f t="shared" si="11"/>
        <v>1</v>
      </c>
      <c r="Y27" s="48">
        <f t="shared" si="11"/>
        <v>1</v>
      </c>
      <c r="Z27" s="48">
        <f t="shared" si="11"/>
        <v>1</v>
      </c>
      <c r="AA27" s="48">
        <f t="shared" si="11"/>
        <v>1</v>
      </c>
      <c r="AB27" s="48">
        <f t="shared" si="11"/>
        <v>1</v>
      </c>
      <c r="AC27" s="48">
        <f t="shared" si="11"/>
        <v>1</v>
      </c>
      <c r="AD27" s="48">
        <f t="shared" si="11"/>
        <v>1</v>
      </c>
      <c r="AE27" s="48">
        <f t="shared" si="11"/>
        <v>1</v>
      </c>
      <c r="AF27" s="48">
        <f t="shared" si="11"/>
        <v>1</v>
      </c>
      <c r="AG27" s="48">
        <f t="shared" si="11"/>
        <v>1</v>
      </c>
      <c r="AH27" s="48">
        <f t="shared" si="11"/>
        <v>1</v>
      </c>
      <c r="AI27" s="48">
        <f t="shared" si="11"/>
        <v>1</v>
      </c>
      <c r="AJ27" s="48">
        <f t="shared" si="11"/>
        <v>1</v>
      </c>
      <c r="AK27" s="48">
        <f t="shared" si="11"/>
        <v>1</v>
      </c>
      <c r="AL27" s="48">
        <f t="shared" si="11"/>
        <v>1</v>
      </c>
      <c r="AM27" s="48">
        <f t="shared" si="11"/>
        <v>1</v>
      </c>
      <c r="AN27" s="48">
        <f t="shared" si="11"/>
        <v>1</v>
      </c>
      <c r="AO27" s="48">
        <f t="shared" si="11"/>
        <v>1</v>
      </c>
      <c r="AP27" s="48">
        <f t="shared" si="11"/>
        <v>1</v>
      </c>
      <c r="AQ27" s="48">
        <f t="shared" si="11"/>
        <v>1</v>
      </c>
      <c r="AR27" s="48">
        <f t="shared" si="11"/>
        <v>1</v>
      </c>
      <c r="AS27" s="48">
        <f t="shared" si="11"/>
        <v>1</v>
      </c>
      <c r="AT27" s="48">
        <f t="shared" si="11"/>
        <v>1</v>
      </c>
      <c r="AU27" s="48">
        <f t="shared" si="11"/>
        <v>1</v>
      </c>
      <c r="AV27" s="48">
        <f t="shared" si="11"/>
        <v>1</v>
      </c>
      <c r="AW27" s="48">
        <f t="shared" si="11"/>
        <v>1</v>
      </c>
      <c r="AX27" s="48">
        <f t="shared" si="11"/>
        <v>1</v>
      </c>
      <c r="AY27" s="48">
        <f t="shared" si="11"/>
        <v>1</v>
      </c>
      <c r="AZ27" s="48">
        <f t="shared" si="11"/>
        <v>1</v>
      </c>
      <c r="BA27" s="48">
        <f t="shared" si="11"/>
        <v>1</v>
      </c>
      <c r="BB27" s="48">
        <f t="shared" si="11"/>
        <v>1</v>
      </c>
      <c r="BC27" s="48">
        <f t="shared" si="11"/>
        <v>1</v>
      </c>
      <c r="BD27" s="48">
        <f t="shared" si="12"/>
        <v>1</v>
      </c>
      <c r="BE27" s="48">
        <f t="shared" si="12"/>
        <v>1</v>
      </c>
      <c r="BF27" s="48">
        <f t="shared" si="12"/>
        <v>1</v>
      </c>
      <c r="BG27" s="48">
        <f t="shared" si="12"/>
        <v>1</v>
      </c>
      <c r="BH27" s="48">
        <f t="shared" si="12"/>
        <v>1</v>
      </c>
      <c r="BI27" s="48">
        <f t="shared" si="12"/>
        <v>1</v>
      </c>
      <c r="BJ27" s="48">
        <f t="shared" si="12"/>
        <v>1</v>
      </c>
      <c r="BK27" s="48">
        <f t="shared" si="12"/>
        <v>1</v>
      </c>
      <c r="BL27" s="48">
        <f t="shared" si="12"/>
        <v>1</v>
      </c>
      <c r="BM27" s="48">
        <f t="shared" si="12"/>
        <v>1</v>
      </c>
      <c r="BN27" s="48">
        <f t="shared" si="12"/>
        <v>1</v>
      </c>
      <c r="BO27" s="32">
        <f t="shared" si="7"/>
        <v>0.89830508474576276</v>
      </c>
    </row>
    <row r="28" spans="1:67" s="27" customFormat="1" ht="18.75" hidden="1" customHeight="1" x14ac:dyDescent="0.25">
      <c r="A28" s="46" t="s">
        <v>51</v>
      </c>
      <c r="B28" s="46" t="s">
        <v>52</v>
      </c>
      <c r="C28" s="46" t="s">
        <v>14</v>
      </c>
      <c r="D28" s="47">
        <f>VLOOKUP(A28,'[1]Cuadro Control'!C24:J1958,8,FALSE)</f>
        <v>0</v>
      </c>
      <c r="E28" s="48">
        <f t="shared" si="6"/>
        <v>0</v>
      </c>
      <c r="F28" s="49">
        <v>46252</v>
      </c>
      <c r="G28" s="49">
        <v>46252</v>
      </c>
      <c r="H28" s="48">
        <f t="shared" si="10"/>
        <v>0</v>
      </c>
      <c r="I28" s="48">
        <f t="shared" si="10"/>
        <v>0</v>
      </c>
      <c r="J28" s="48">
        <f t="shared" si="10"/>
        <v>0</v>
      </c>
      <c r="K28" s="48">
        <f t="shared" si="10"/>
        <v>0</v>
      </c>
      <c r="L28" s="48">
        <f t="shared" si="10"/>
        <v>0</v>
      </c>
      <c r="M28" s="48">
        <f t="shared" si="10"/>
        <v>0</v>
      </c>
      <c r="N28" s="48">
        <f t="shared" si="10"/>
        <v>1</v>
      </c>
      <c r="O28" s="48">
        <f t="shared" si="10"/>
        <v>1</v>
      </c>
      <c r="P28" s="48">
        <f t="shared" si="10"/>
        <v>1</v>
      </c>
      <c r="Q28" s="48">
        <f t="shared" si="10"/>
        <v>1</v>
      </c>
      <c r="R28" s="48">
        <f t="shared" si="10"/>
        <v>1</v>
      </c>
      <c r="S28" s="48">
        <f t="shared" si="10"/>
        <v>1</v>
      </c>
      <c r="T28" s="48">
        <f t="shared" si="10"/>
        <v>1</v>
      </c>
      <c r="U28" s="48">
        <f t="shared" si="10"/>
        <v>1</v>
      </c>
      <c r="V28" s="48">
        <f t="shared" si="10"/>
        <v>1</v>
      </c>
      <c r="W28" s="48">
        <f t="shared" si="10"/>
        <v>1</v>
      </c>
      <c r="X28" s="48">
        <f t="shared" si="11"/>
        <v>1</v>
      </c>
      <c r="Y28" s="48">
        <f t="shared" si="11"/>
        <v>1</v>
      </c>
      <c r="Z28" s="48">
        <f t="shared" ref="Z28:BE33" si="13">IF($F28=0,0,IF(Z$6&lt;$F28,0,IF(Z$6&gt;$G28,1,(Z$6-$F28+1)/($G28-$F28+1))))</f>
        <v>1</v>
      </c>
      <c r="AA28" s="48">
        <f t="shared" si="13"/>
        <v>1</v>
      </c>
      <c r="AB28" s="48">
        <f t="shared" si="13"/>
        <v>1</v>
      </c>
      <c r="AC28" s="48">
        <f t="shared" si="13"/>
        <v>1</v>
      </c>
      <c r="AD28" s="48">
        <f t="shared" si="13"/>
        <v>1</v>
      </c>
      <c r="AE28" s="48">
        <f t="shared" si="13"/>
        <v>1</v>
      </c>
      <c r="AF28" s="48">
        <f t="shared" si="13"/>
        <v>1</v>
      </c>
      <c r="AG28" s="48">
        <f t="shared" si="13"/>
        <v>1</v>
      </c>
      <c r="AH28" s="48">
        <f t="shared" si="13"/>
        <v>1</v>
      </c>
      <c r="AI28" s="48">
        <f t="shared" si="13"/>
        <v>1</v>
      </c>
      <c r="AJ28" s="48">
        <f t="shared" si="13"/>
        <v>1</v>
      </c>
      <c r="AK28" s="48">
        <f t="shared" si="13"/>
        <v>1</v>
      </c>
      <c r="AL28" s="48">
        <f t="shared" si="13"/>
        <v>1</v>
      </c>
      <c r="AM28" s="48">
        <f t="shared" si="13"/>
        <v>1</v>
      </c>
      <c r="AN28" s="48">
        <f t="shared" si="13"/>
        <v>1</v>
      </c>
      <c r="AO28" s="48">
        <f t="shared" si="13"/>
        <v>1</v>
      </c>
      <c r="AP28" s="48">
        <f t="shared" si="13"/>
        <v>1</v>
      </c>
      <c r="AQ28" s="48">
        <f t="shared" si="13"/>
        <v>1</v>
      </c>
      <c r="AR28" s="48">
        <f t="shared" si="13"/>
        <v>1</v>
      </c>
      <c r="AS28" s="48">
        <f t="shared" si="13"/>
        <v>1</v>
      </c>
      <c r="AT28" s="48">
        <f t="shared" si="13"/>
        <v>1</v>
      </c>
      <c r="AU28" s="48">
        <f t="shared" si="13"/>
        <v>1</v>
      </c>
      <c r="AV28" s="48">
        <f t="shared" si="13"/>
        <v>1</v>
      </c>
      <c r="AW28" s="48">
        <f t="shared" si="13"/>
        <v>1</v>
      </c>
      <c r="AX28" s="48">
        <f t="shared" si="13"/>
        <v>1</v>
      </c>
      <c r="AY28" s="48">
        <f t="shared" si="13"/>
        <v>1</v>
      </c>
      <c r="AZ28" s="48">
        <f t="shared" si="13"/>
        <v>1</v>
      </c>
      <c r="BA28" s="48">
        <f t="shared" si="13"/>
        <v>1</v>
      </c>
      <c r="BB28" s="48">
        <f t="shared" si="13"/>
        <v>1</v>
      </c>
      <c r="BC28" s="48">
        <f t="shared" si="13"/>
        <v>1</v>
      </c>
      <c r="BD28" s="48">
        <f t="shared" si="13"/>
        <v>1</v>
      </c>
      <c r="BE28" s="48">
        <f t="shared" si="13"/>
        <v>1</v>
      </c>
      <c r="BF28" s="48">
        <f t="shared" si="12"/>
        <v>1</v>
      </c>
      <c r="BG28" s="48">
        <f t="shared" si="12"/>
        <v>1</v>
      </c>
      <c r="BH28" s="48">
        <f t="shared" si="12"/>
        <v>1</v>
      </c>
      <c r="BI28" s="48">
        <f t="shared" si="12"/>
        <v>1</v>
      </c>
      <c r="BJ28" s="48">
        <f t="shared" si="12"/>
        <v>1</v>
      </c>
      <c r="BK28" s="48">
        <f t="shared" si="12"/>
        <v>1</v>
      </c>
      <c r="BL28" s="48">
        <f t="shared" si="12"/>
        <v>1</v>
      </c>
      <c r="BM28" s="48">
        <f t="shared" si="12"/>
        <v>1</v>
      </c>
      <c r="BN28" s="48">
        <f t="shared" si="12"/>
        <v>1</v>
      </c>
      <c r="BO28" s="32">
        <f t="shared" si="7"/>
        <v>0.89830508474576276</v>
      </c>
    </row>
    <row r="29" spans="1:67" s="27" customFormat="1" ht="18.75" hidden="1" customHeight="1" x14ac:dyDescent="0.25">
      <c r="A29" s="42">
        <v>4</v>
      </c>
      <c r="B29" s="42" t="s">
        <v>53</v>
      </c>
      <c r="C29" s="42" t="s">
        <v>54</v>
      </c>
      <c r="D29" s="43">
        <f>VLOOKUP(A29,'[1]Cuadro Control'!C25:J1959,8,FALSE)</f>
        <v>0</v>
      </c>
      <c r="E29" s="44">
        <f t="shared" si="6"/>
        <v>0</v>
      </c>
      <c r="F29" s="45">
        <v>46218</v>
      </c>
      <c r="G29" s="45">
        <v>46239</v>
      </c>
      <c r="H29" s="44">
        <f t="shared" si="10"/>
        <v>4.5454545454545456E-2</v>
      </c>
      <c r="I29" s="44">
        <f t="shared" si="10"/>
        <v>0.13636363636363635</v>
      </c>
      <c r="J29" s="44">
        <f t="shared" si="10"/>
        <v>0.45454545454545453</v>
      </c>
      <c r="K29" s="44">
        <f t="shared" si="10"/>
        <v>0.77272727272727271</v>
      </c>
      <c r="L29" s="44">
        <f t="shared" si="10"/>
        <v>1</v>
      </c>
      <c r="M29" s="44">
        <f t="shared" si="10"/>
        <v>1</v>
      </c>
      <c r="N29" s="44">
        <f t="shared" si="10"/>
        <v>1</v>
      </c>
      <c r="O29" s="44">
        <f t="shared" si="10"/>
        <v>1</v>
      </c>
      <c r="P29" s="44">
        <f t="shared" si="10"/>
        <v>1</v>
      </c>
      <c r="Q29" s="44">
        <f t="shared" si="10"/>
        <v>1</v>
      </c>
      <c r="R29" s="44">
        <f t="shared" si="10"/>
        <v>1</v>
      </c>
      <c r="S29" s="44">
        <f t="shared" si="10"/>
        <v>1</v>
      </c>
      <c r="T29" s="44">
        <f t="shared" si="10"/>
        <v>1</v>
      </c>
      <c r="U29" s="44">
        <f t="shared" si="10"/>
        <v>1</v>
      </c>
      <c r="V29" s="44">
        <f t="shared" si="10"/>
        <v>1</v>
      </c>
      <c r="W29" s="44">
        <f t="shared" ref="W29:BB33" si="14">IF($F29=0,0,IF(W$6&lt;$F29,0,IF(W$6&gt;$G29,1,(W$6-$F29+1)/($G29-$F29+1))))</f>
        <v>1</v>
      </c>
      <c r="X29" s="44">
        <f t="shared" si="14"/>
        <v>1</v>
      </c>
      <c r="Y29" s="44">
        <f t="shared" si="14"/>
        <v>1</v>
      </c>
      <c r="Z29" s="44">
        <f t="shared" si="14"/>
        <v>1</v>
      </c>
      <c r="AA29" s="44">
        <f t="shared" si="14"/>
        <v>1</v>
      </c>
      <c r="AB29" s="44">
        <f t="shared" si="14"/>
        <v>1</v>
      </c>
      <c r="AC29" s="44">
        <f t="shared" si="14"/>
        <v>1</v>
      </c>
      <c r="AD29" s="44">
        <f t="shared" si="14"/>
        <v>1</v>
      </c>
      <c r="AE29" s="44">
        <f t="shared" si="14"/>
        <v>1</v>
      </c>
      <c r="AF29" s="44">
        <f t="shared" si="14"/>
        <v>1</v>
      </c>
      <c r="AG29" s="44">
        <f t="shared" si="14"/>
        <v>1</v>
      </c>
      <c r="AH29" s="44">
        <f t="shared" si="14"/>
        <v>1</v>
      </c>
      <c r="AI29" s="44">
        <f t="shared" si="14"/>
        <v>1</v>
      </c>
      <c r="AJ29" s="44">
        <f t="shared" si="14"/>
        <v>1</v>
      </c>
      <c r="AK29" s="44">
        <f t="shared" si="14"/>
        <v>1</v>
      </c>
      <c r="AL29" s="44">
        <f t="shared" si="14"/>
        <v>1</v>
      </c>
      <c r="AM29" s="44">
        <f t="shared" si="14"/>
        <v>1</v>
      </c>
      <c r="AN29" s="44">
        <f t="shared" si="14"/>
        <v>1</v>
      </c>
      <c r="AO29" s="44">
        <f t="shared" si="13"/>
        <v>1</v>
      </c>
      <c r="AP29" s="44">
        <f t="shared" si="13"/>
        <v>1</v>
      </c>
      <c r="AQ29" s="44">
        <f t="shared" si="13"/>
        <v>1</v>
      </c>
      <c r="AR29" s="44">
        <f t="shared" si="13"/>
        <v>1</v>
      </c>
      <c r="AS29" s="44">
        <f t="shared" si="13"/>
        <v>1</v>
      </c>
      <c r="AT29" s="44">
        <f t="shared" si="13"/>
        <v>1</v>
      </c>
      <c r="AU29" s="44">
        <f t="shared" si="13"/>
        <v>1</v>
      </c>
      <c r="AV29" s="44">
        <f t="shared" si="13"/>
        <v>1</v>
      </c>
      <c r="AW29" s="44">
        <f t="shared" si="13"/>
        <v>1</v>
      </c>
      <c r="AX29" s="44">
        <f t="shared" si="13"/>
        <v>1</v>
      </c>
      <c r="AY29" s="44">
        <f t="shared" si="13"/>
        <v>1</v>
      </c>
      <c r="AZ29" s="44">
        <f t="shared" si="13"/>
        <v>1</v>
      </c>
      <c r="BA29" s="44">
        <f t="shared" si="13"/>
        <v>1</v>
      </c>
      <c r="BB29" s="44">
        <f t="shared" si="13"/>
        <v>1</v>
      </c>
      <c r="BC29" s="44">
        <f t="shared" si="13"/>
        <v>1</v>
      </c>
      <c r="BD29" s="44">
        <f t="shared" si="13"/>
        <v>1</v>
      </c>
      <c r="BE29" s="44">
        <f t="shared" si="13"/>
        <v>1</v>
      </c>
      <c r="BF29" s="44">
        <f t="shared" si="12"/>
        <v>1</v>
      </c>
      <c r="BG29" s="44">
        <f t="shared" si="12"/>
        <v>1</v>
      </c>
      <c r="BH29" s="44">
        <f t="shared" si="12"/>
        <v>1</v>
      </c>
      <c r="BI29" s="44">
        <f t="shared" si="12"/>
        <v>1</v>
      </c>
      <c r="BJ29" s="44">
        <f t="shared" si="12"/>
        <v>1</v>
      </c>
      <c r="BK29" s="44">
        <f t="shared" si="12"/>
        <v>1</v>
      </c>
      <c r="BL29" s="44">
        <f t="shared" si="12"/>
        <v>1</v>
      </c>
      <c r="BM29" s="44">
        <f t="shared" si="12"/>
        <v>1</v>
      </c>
      <c r="BN29" s="44">
        <f t="shared" si="12"/>
        <v>1</v>
      </c>
      <c r="BO29" s="32">
        <f t="shared" si="7"/>
        <v>0.95608628659476114</v>
      </c>
    </row>
    <row r="30" spans="1:67" s="27" customFormat="1" ht="18.75" hidden="1" customHeight="1" x14ac:dyDescent="0.25">
      <c r="A30" s="21">
        <v>5</v>
      </c>
      <c r="B30" s="21" t="s">
        <v>55</v>
      </c>
      <c r="C30" s="21" t="s">
        <v>16</v>
      </c>
      <c r="D30" s="33">
        <f>VLOOKUP(A30,'[1]Cuadro Control'!C26:J1960,8,FALSE)</f>
        <v>0</v>
      </c>
      <c r="E30" s="24">
        <f t="shared" si="6"/>
        <v>0</v>
      </c>
      <c r="F30" s="25">
        <v>46268</v>
      </c>
      <c r="G30" s="25">
        <v>46283</v>
      </c>
      <c r="H30" s="24">
        <f t="shared" ref="H30:W33" si="15">IF($F30=0,0,IF(H$6&lt;$F30,0,IF(H$6&gt;$G30,1,(H$6-$F30+1)/($G30-$F30+1))))</f>
        <v>0</v>
      </c>
      <c r="I30" s="24">
        <f t="shared" si="15"/>
        <v>0</v>
      </c>
      <c r="J30" s="24">
        <f t="shared" si="15"/>
        <v>0</v>
      </c>
      <c r="K30" s="24">
        <f t="shared" si="15"/>
        <v>0</v>
      </c>
      <c r="L30" s="24">
        <f t="shared" si="15"/>
        <v>0</v>
      </c>
      <c r="M30" s="24">
        <f t="shared" si="15"/>
        <v>0</v>
      </c>
      <c r="N30" s="24">
        <f t="shared" si="15"/>
        <v>0</v>
      </c>
      <c r="O30" s="24">
        <f t="shared" si="15"/>
        <v>0</v>
      </c>
      <c r="P30" s="24">
        <f t="shared" si="15"/>
        <v>0.125</v>
      </c>
      <c r="Q30" s="24">
        <f t="shared" si="15"/>
        <v>0.5625</v>
      </c>
      <c r="R30" s="24">
        <f t="shared" si="15"/>
        <v>1</v>
      </c>
      <c r="S30" s="24">
        <f t="shared" si="15"/>
        <v>1</v>
      </c>
      <c r="T30" s="24">
        <f t="shared" si="15"/>
        <v>1</v>
      </c>
      <c r="U30" s="24">
        <f t="shared" si="15"/>
        <v>1</v>
      </c>
      <c r="V30" s="24">
        <f t="shared" si="15"/>
        <v>1</v>
      </c>
      <c r="W30" s="24">
        <f t="shared" si="15"/>
        <v>1</v>
      </c>
      <c r="X30" s="24">
        <f t="shared" si="14"/>
        <v>1</v>
      </c>
      <c r="Y30" s="24">
        <f t="shared" si="14"/>
        <v>1</v>
      </c>
      <c r="Z30" s="24">
        <f t="shared" si="14"/>
        <v>1</v>
      </c>
      <c r="AA30" s="24">
        <f t="shared" si="14"/>
        <v>1</v>
      </c>
      <c r="AB30" s="24">
        <f t="shared" si="14"/>
        <v>1</v>
      </c>
      <c r="AC30" s="24">
        <f t="shared" si="14"/>
        <v>1</v>
      </c>
      <c r="AD30" s="24">
        <f t="shared" si="14"/>
        <v>1</v>
      </c>
      <c r="AE30" s="24">
        <f t="shared" si="14"/>
        <v>1</v>
      </c>
      <c r="AF30" s="24">
        <f t="shared" si="14"/>
        <v>1</v>
      </c>
      <c r="AG30" s="24">
        <f t="shared" si="14"/>
        <v>1</v>
      </c>
      <c r="AH30" s="24">
        <f t="shared" si="14"/>
        <v>1</v>
      </c>
      <c r="AI30" s="24">
        <f t="shared" si="14"/>
        <v>1</v>
      </c>
      <c r="AJ30" s="24">
        <f t="shared" si="14"/>
        <v>1</v>
      </c>
      <c r="AK30" s="24">
        <f t="shared" si="14"/>
        <v>1</v>
      </c>
      <c r="AL30" s="24">
        <f t="shared" si="14"/>
        <v>1</v>
      </c>
      <c r="AM30" s="24">
        <f t="shared" si="14"/>
        <v>1</v>
      </c>
      <c r="AN30" s="24">
        <f t="shared" si="14"/>
        <v>1</v>
      </c>
      <c r="AO30" s="24">
        <f t="shared" si="13"/>
        <v>1</v>
      </c>
      <c r="AP30" s="24">
        <f t="shared" si="13"/>
        <v>1</v>
      </c>
      <c r="AQ30" s="24">
        <f t="shared" si="13"/>
        <v>1</v>
      </c>
      <c r="AR30" s="24">
        <f t="shared" si="13"/>
        <v>1</v>
      </c>
      <c r="AS30" s="24">
        <f t="shared" si="13"/>
        <v>1</v>
      </c>
      <c r="AT30" s="24">
        <f t="shared" si="13"/>
        <v>1</v>
      </c>
      <c r="AU30" s="24">
        <f t="shared" si="13"/>
        <v>1</v>
      </c>
      <c r="AV30" s="24">
        <f t="shared" si="13"/>
        <v>1</v>
      </c>
      <c r="AW30" s="24">
        <f t="shared" si="13"/>
        <v>1</v>
      </c>
      <c r="AX30" s="24">
        <f t="shared" si="13"/>
        <v>1</v>
      </c>
      <c r="AY30" s="24">
        <f t="shared" si="13"/>
        <v>1</v>
      </c>
      <c r="AZ30" s="24">
        <f t="shared" si="13"/>
        <v>1</v>
      </c>
      <c r="BA30" s="24">
        <f t="shared" si="13"/>
        <v>1</v>
      </c>
      <c r="BB30" s="24">
        <f t="shared" si="13"/>
        <v>1</v>
      </c>
      <c r="BC30" s="24">
        <f t="shared" si="13"/>
        <v>1</v>
      </c>
      <c r="BD30" s="24">
        <f t="shared" si="13"/>
        <v>1</v>
      </c>
      <c r="BE30" s="24">
        <f t="shared" si="13"/>
        <v>1</v>
      </c>
      <c r="BF30" s="24">
        <f t="shared" si="12"/>
        <v>1</v>
      </c>
      <c r="BG30" s="24">
        <f t="shared" si="12"/>
        <v>1</v>
      </c>
      <c r="BH30" s="24">
        <f t="shared" si="12"/>
        <v>1</v>
      </c>
      <c r="BI30" s="24">
        <f t="shared" si="12"/>
        <v>1</v>
      </c>
      <c r="BJ30" s="24">
        <f t="shared" si="12"/>
        <v>1</v>
      </c>
      <c r="BK30" s="24">
        <f t="shared" si="12"/>
        <v>1</v>
      </c>
      <c r="BL30" s="24">
        <f t="shared" si="12"/>
        <v>1</v>
      </c>
      <c r="BM30" s="24">
        <f t="shared" si="12"/>
        <v>1</v>
      </c>
      <c r="BN30" s="24">
        <f t="shared" si="12"/>
        <v>1</v>
      </c>
      <c r="BO30" s="32">
        <f t="shared" si="7"/>
        <v>0.84216101694915257</v>
      </c>
    </row>
    <row r="31" spans="1:67" s="27" customFormat="1" ht="18.75" hidden="1" customHeight="1" x14ac:dyDescent="0.25">
      <c r="A31" s="46" t="s">
        <v>56</v>
      </c>
      <c r="B31" s="46" t="s">
        <v>57</v>
      </c>
      <c r="C31" s="46" t="s">
        <v>58</v>
      </c>
      <c r="D31" s="47">
        <f>VLOOKUP(A31,'[1]Cuadro Control'!C27:J1961,8,FALSE)</f>
        <v>0</v>
      </c>
      <c r="E31" s="48">
        <f>IFERROR(D31/$D$30,0)</f>
        <v>0</v>
      </c>
      <c r="F31" s="49">
        <v>46268</v>
      </c>
      <c r="G31" s="49">
        <v>46283</v>
      </c>
      <c r="H31" s="48">
        <f t="shared" si="15"/>
        <v>0</v>
      </c>
      <c r="I31" s="48">
        <f t="shared" si="15"/>
        <v>0</v>
      </c>
      <c r="J31" s="48">
        <f t="shared" si="15"/>
        <v>0</v>
      </c>
      <c r="K31" s="48">
        <f t="shared" si="15"/>
        <v>0</v>
      </c>
      <c r="L31" s="48">
        <f t="shared" si="15"/>
        <v>0</v>
      </c>
      <c r="M31" s="48">
        <f t="shared" si="15"/>
        <v>0</v>
      </c>
      <c r="N31" s="48">
        <f t="shared" si="15"/>
        <v>0</v>
      </c>
      <c r="O31" s="48">
        <f t="shared" si="15"/>
        <v>0</v>
      </c>
      <c r="P31" s="48">
        <f t="shared" si="15"/>
        <v>0.125</v>
      </c>
      <c r="Q31" s="48">
        <f t="shared" si="15"/>
        <v>0.5625</v>
      </c>
      <c r="R31" s="48">
        <f t="shared" si="15"/>
        <v>1</v>
      </c>
      <c r="S31" s="48">
        <f t="shared" si="15"/>
        <v>1</v>
      </c>
      <c r="T31" s="48">
        <f t="shared" si="15"/>
        <v>1</v>
      </c>
      <c r="U31" s="48">
        <f t="shared" si="15"/>
        <v>1</v>
      </c>
      <c r="V31" s="48">
        <f t="shared" si="15"/>
        <v>1</v>
      </c>
      <c r="W31" s="48">
        <f t="shared" si="15"/>
        <v>1</v>
      </c>
      <c r="X31" s="48">
        <f t="shared" si="14"/>
        <v>1</v>
      </c>
      <c r="Y31" s="48">
        <f t="shared" si="14"/>
        <v>1</v>
      </c>
      <c r="Z31" s="48">
        <f t="shared" si="14"/>
        <v>1</v>
      </c>
      <c r="AA31" s="48">
        <f t="shared" si="14"/>
        <v>1</v>
      </c>
      <c r="AB31" s="48">
        <f t="shared" si="14"/>
        <v>1</v>
      </c>
      <c r="AC31" s="48">
        <f t="shared" si="14"/>
        <v>1</v>
      </c>
      <c r="AD31" s="48">
        <f t="shared" si="14"/>
        <v>1</v>
      </c>
      <c r="AE31" s="48">
        <f t="shared" si="14"/>
        <v>1</v>
      </c>
      <c r="AF31" s="48">
        <f t="shared" si="14"/>
        <v>1</v>
      </c>
      <c r="AG31" s="48">
        <f t="shared" si="14"/>
        <v>1</v>
      </c>
      <c r="AH31" s="48">
        <f t="shared" si="14"/>
        <v>1</v>
      </c>
      <c r="AI31" s="48">
        <f t="shared" si="14"/>
        <v>1</v>
      </c>
      <c r="AJ31" s="48">
        <f t="shared" si="14"/>
        <v>1</v>
      </c>
      <c r="AK31" s="48">
        <f t="shared" si="14"/>
        <v>1</v>
      </c>
      <c r="AL31" s="48">
        <f t="shared" si="14"/>
        <v>1</v>
      </c>
      <c r="AM31" s="48">
        <f t="shared" si="14"/>
        <v>1</v>
      </c>
      <c r="AN31" s="48">
        <f t="shared" si="14"/>
        <v>1</v>
      </c>
      <c r="AO31" s="48">
        <f t="shared" si="14"/>
        <v>1</v>
      </c>
      <c r="AP31" s="48">
        <f t="shared" si="14"/>
        <v>1</v>
      </c>
      <c r="AQ31" s="48">
        <f t="shared" si="14"/>
        <v>1</v>
      </c>
      <c r="AR31" s="48">
        <f t="shared" si="14"/>
        <v>1</v>
      </c>
      <c r="AS31" s="48">
        <f t="shared" si="14"/>
        <v>1</v>
      </c>
      <c r="AT31" s="48">
        <f t="shared" si="14"/>
        <v>1</v>
      </c>
      <c r="AU31" s="48">
        <f t="shared" si="14"/>
        <v>1</v>
      </c>
      <c r="AV31" s="48">
        <f t="shared" si="14"/>
        <v>1</v>
      </c>
      <c r="AW31" s="48">
        <f t="shared" si="14"/>
        <v>1</v>
      </c>
      <c r="AX31" s="48">
        <f t="shared" si="14"/>
        <v>1</v>
      </c>
      <c r="AY31" s="48">
        <f t="shared" si="14"/>
        <v>1</v>
      </c>
      <c r="AZ31" s="48">
        <f t="shared" si="14"/>
        <v>1</v>
      </c>
      <c r="BA31" s="48">
        <f t="shared" si="14"/>
        <v>1</v>
      </c>
      <c r="BB31" s="48">
        <f t="shared" si="14"/>
        <v>1</v>
      </c>
      <c r="BC31" s="48">
        <f t="shared" si="13"/>
        <v>1</v>
      </c>
      <c r="BD31" s="48">
        <f t="shared" si="13"/>
        <v>1</v>
      </c>
      <c r="BE31" s="48">
        <f t="shared" si="13"/>
        <v>1</v>
      </c>
      <c r="BF31" s="48">
        <f t="shared" si="12"/>
        <v>1</v>
      </c>
      <c r="BG31" s="48">
        <f t="shared" si="12"/>
        <v>1</v>
      </c>
      <c r="BH31" s="48">
        <f t="shared" si="12"/>
        <v>1</v>
      </c>
      <c r="BI31" s="48">
        <f t="shared" si="12"/>
        <v>1</v>
      </c>
      <c r="BJ31" s="48">
        <f t="shared" si="12"/>
        <v>1</v>
      </c>
      <c r="BK31" s="48">
        <f t="shared" si="12"/>
        <v>1</v>
      </c>
      <c r="BL31" s="48">
        <f t="shared" si="12"/>
        <v>1</v>
      </c>
      <c r="BM31" s="48">
        <f t="shared" si="12"/>
        <v>1</v>
      </c>
      <c r="BN31" s="48">
        <f t="shared" si="12"/>
        <v>1</v>
      </c>
      <c r="BO31" s="32">
        <f t="shared" si="7"/>
        <v>0.84216101694915257</v>
      </c>
    </row>
    <row r="32" spans="1:67" s="27" customFormat="1" ht="18.75" hidden="1" customHeight="1" x14ac:dyDescent="0.25">
      <c r="A32" s="46" t="s">
        <v>59</v>
      </c>
      <c r="B32" s="46" t="s">
        <v>60</v>
      </c>
      <c r="C32" s="46" t="s">
        <v>61</v>
      </c>
      <c r="D32" s="47">
        <f>VLOOKUP(A32,'[1]Cuadro Control'!C28:J1962,8,FALSE)</f>
        <v>0</v>
      </c>
      <c r="E32" s="48">
        <f>IFERROR(D32/$D$30,0)</f>
        <v>0</v>
      </c>
      <c r="F32" s="49">
        <v>46268</v>
      </c>
      <c r="G32" s="49">
        <v>46283</v>
      </c>
      <c r="H32" s="48">
        <f t="shared" si="15"/>
        <v>0</v>
      </c>
      <c r="I32" s="48">
        <f t="shared" si="15"/>
        <v>0</v>
      </c>
      <c r="J32" s="48">
        <f t="shared" si="15"/>
        <v>0</v>
      </c>
      <c r="K32" s="48">
        <f t="shared" si="15"/>
        <v>0</v>
      </c>
      <c r="L32" s="48">
        <f t="shared" si="15"/>
        <v>0</v>
      </c>
      <c r="M32" s="48">
        <f t="shared" si="15"/>
        <v>0</v>
      </c>
      <c r="N32" s="48">
        <f t="shared" si="15"/>
        <v>0</v>
      </c>
      <c r="O32" s="48">
        <f t="shared" si="15"/>
        <v>0</v>
      </c>
      <c r="P32" s="48">
        <f t="shared" si="15"/>
        <v>0.125</v>
      </c>
      <c r="Q32" s="48">
        <f t="shared" si="15"/>
        <v>0.5625</v>
      </c>
      <c r="R32" s="48">
        <f t="shared" si="15"/>
        <v>1</v>
      </c>
      <c r="S32" s="48">
        <f t="shared" si="15"/>
        <v>1</v>
      </c>
      <c r="T32" s="48">
        <f t="shared" si="15"/>
        <v>1</v>
      </c>
      <c r="U32" s="48">
        <f t="shared" si="15"/>
        <v>1</v>
      </c>
      <c r="V32" s="48">
        <f t="shared" si="15"/>
        <v>1</v>
      </c>
      <c r="W32" s="48">
        <f t="shared" si="15"/>
        <v>1</v>
      </c>
      <c r="X32" s="48">
        <f t="shared" si="14"/>
        <v>1</v>
      </c>
      <c r="Y32" s="48">
        <f t="shared" si="14"/>
        <v>1</v>
      </c>
      <c r="Z32" s="48">
        <f t="shared" si="14"/>
        <v>1</v>
      </c>
      <c r="AA32" s="48">
        <f t="shared" si="14"/>
        <v>1</v>
      </c>
      <c r="AB32" s="48">
        <f t="shared" si="14"/>
        <v>1</v>
      </c>
      <c r="AC32" s="48">
        <f t="shared" si="14"/>
        <v>1</v>
      </c>
      <c r="AD32" s="48">
        <f t="shared" si="14"/>
        <v>1</v>
      </c>
      <c r="AE32" s="48">
        <f t="shared" si="14"/>
        <v>1</v>
      </c>
      <c r="AF32" s="48">
        <f t="shared" si="14"/>
        <v>1</v>
      </c>
      <c r="AG32" s="48">
        <f t="shared" si="14"/>
        <v>1</v>
      </c>
      <c r="AH32" s="48">
        <f t="shared" si="14"/>
        <v>1</v>
      </c>
      <c r="AI32" s="48">
        <f t="shared" si="14"/>
        <v>1</v>
      </c>
      <c r="AJ32" s="48">
        <f t="shared" si="14"/>
        <v>1</v>
      </c>
      <c r="AK32" s="48">
        <f t="shared" si="14"/>
        <v>1</v>
      </c>
      <c r="AL32" s="48">
        <f t="shared" si="14"/>
        <v>1</v>
      </c>
      <c r="AM32" s="48">
        <f t="shared" si="14"/>
        <v>1</v>
      </c>
      <c r="AN32" s="48">
        <f t="shared" si="14"/>
        <v>1</v>
      </c>
      <c r="AO32" s="48">
        <f t="shared" si="14"/>
        <v>1</v>
      </c>
      <c r="AP32" s="48">
        <f t="shared" si="14"/>
        <v>1</v>
      </c>
      <c r="AQ32" s="48">
        <f t="shared" si="14"/>
        <v>1</v>
      </c>
      <c r="AR32" s="48">
        <f t="shared" si="14"/>
        <v>1</v>
      </c>
      <c r="AS32" s="48">
        <f t="shared" si="14"/>
        <v>1</v>
      </c>
      <c r="AT32" s="48">
        <f t="shared" si="14"/>
        <v>1</v>
      </c>
      <c r="AU32" s="48">
        <f t="shared" si="14"/>
        <v>1</v>
      </c>
      <c r="AV32" s="48">
        <f t="shared" si="14"/>
        <v>1</v>
      </c>
      <c r="AW32" s="48">
        <f t="shared" si="14"/>
        <v>1</v>
      </c>
      <c r="AX32" s="48">
        <f t="shared" si="14"/>
        <v>1</v>
      </c>
      <c r="AY32" s="48">
        <f t="shared" si="14"/>
        <v>1</v>
      </c>
      <c r="AZ32" s="48">
        <f t="shared" si="14"/>
        <v>1</v>
      </c>
      <c r="BA32" s="48">
        <f t="shared" si="14"/>
        <v>1</v>
      </c>
      <c r="BB32" s="48">
        <f t="shared" si="14"/>
        <v>1</v>
      </c>
      <c r="BC32" s="48">
        <f t="shared" si="13"/>
        <v>1</v>
      </c>
      <c r="BD32" s="48">
        <f t="shared" si="13"/>
        <v>1</v>
      </c>
      <c r="BE32" s="48">
        <f t="shared" si="13"/>
        <v>1</v>
      </c>
      <c r="BF32" s="48">
        <f t="shared" si="12"/>
        <v>1</v>
      </c>
      <c r="BG32" s="48">
        <f t="shared" si="12"/>
        <v>1</v>
      </c>
      <c r="BH32" s="48">
        <f t="shared" si="12"/>
        <v>1</v>
      </c>
      <c r="BI32" s="48">
        <f t="shared" si="12"/>
        <v>1</v>
      </c>
      <c r="BJ32" s="48">
        <f t="shared" si="12"/>
        <v>1</v>
      </c>
      <c r="BK32" s="48">
        <f t="shared" si="12"/>
        <v>1</v>
      </c>
      <c r="BL32" s="48">
        <f t="shared" si="12"/>
        <v>1</v>
      </c>
      <c r="BM32" s="48">
        <f t="shared" si="12"/>
        <v>1</v>
      </c>
      <c r="BN32" s="48">
        <f t="shared" si="12"/>
        <v>1</v>
      </c>
      <c r="BO32" s="32">
        <f t="shared" si="7"/>
        <v>0.84216101694915257</v>
      </c>
    </row>
    <row r="33" spans="1:67" s="27" customFormat="1" ht="18.75" hidden="1" customHeight="1" x14ac:dyDescent="0.25">
      <c r="A33" s="28">
        <v>6</v>
      </c>
      <c r="B33" s="28" t="s">
        <v>62</v>
      </c>
      <c r="C33" s="28" t="s">
        <v>14</v>
      </c>
      <c r="D33" s="29">
        <f>VLOOKUP(A33,'[1]Cuadro Control'!C29:J1963,8,FALSE)</f>
        <v>0</v>
      </c>
      <c r="E33" s="30">
        <f t="shared" si="6"/>
        <v>0</v>
      </c>
      <c r="F33" s="31">
        <v>46239</v>
      </c>
      <c r="G33" s="31">
        <v>46239</v>
      </c>
      <c r="H33" s="30">
        <f t="shared" si="15"/>
        <v>0</v>
      </c>
      <c r="I33" s="30">
        <f t="shared" si="15"/>
        <v>0</v>
      </c>
      <c r="J33" s="30">
        <f t="shared" si="15"/>
        <v>0</v>
      </c>
      <c r="K33" s="30">
        <f t="shared" si="15"/>
        <v>0</v>
      </c>
      <c r="L33" s="30">
        <f t="shared" si="15"/>
        <v>1</v>
      </c>
      <c r="M33" s="30">
        <f t="shared" si="15"/>
        <v>1</v>
      </c>
      <c r="N33" s="30">
        <f t="shared" si="15"/>
        <v>1</v>
      </c>
      <c r="O33" s="30">
        <f t="shared" si="15"/>
        <v>1</v>
      </c>
      <c r="P33" s="30">
        <f t="shared" si="15"/>
        <v>1</v>
      </c>
      <c r="Q33" s="30">
        <f t="shared" si="15"/>
        <v>1</v>
      </c>
      <c r="R33" s="30">
        <f t="shared" si="15"/>
        <v>1</v>
      </c>
      <c r="S33" s="30">
        <f t="shared" si="15"/>
        <v>1</v>
      </c>
      <c r="T33" s="30">
        <f t="shared" si="15"/>
        <v>1</v>
      </c>
      <c r="U33" s="30">
        <f t="shared" si="15"/>
        <v>1</v>
      </c>
      <c r="V33" s="30">
        <f t="shared" si="15"/>
        <v>1</v>
      </c>
      <c r="W33" s="30">
        <f t="shared" si="15"/>
        <v>1</v>
      </c>
      <c r="X33" s="30">
        <f t="shared" si="14"/>
        <v>1</v>
      </c>
      <c r="Y33" s="30">
        <f t="shared" si="14"/>
        <v>1</v>
      </c>
      <c r="Z33" s="30">
        <f t="shared" si="14"/>
        <v>1</v>
      </c>
      <c r="AA33" s="30">
        <f t="shared" si="14"/>
        <v>1</v>
      </c>
      <c r="AB33" s="30">
        <f t="shared" si="14"/>
        <v>1</v>
      </c>
      <c r="AC33" s="30">
        <f t="shared" si="14"/>
        <v>1</v>
      </c>
      <c r="AD33" s="30">
        <f t="shared" si="14"/>
        <v>1</v>
      </c>
      <c r="AE33" s="30">
        <f t="shared" si="14"/>
        <v>1</v>
      </c>
      <c r="AF33" s="30">
        <f t="shared" si="14"/>
        <v>1</v>
      </c>
      <c r="AG33" s="30">
        <f t="shared" si="14"/>
        <v>1</v>
      </c>
      <c r="AH33" s="30">
        <f t="shared" si="14"/>
        <v>1</v>
      </c>
      <c r="AI33" s="30">
        <f t="shared" si="14"/>
        <v>1</v>
      </c>
      <c r="AJ33" s="30">
        <f t="shared" si="14"/>
        <v>1</v>
      </c>
      <c r="AK33" s="30">
        <f t="shared" si="14"/>
        <v>1</v>
      </c>
      <c r="AL33" s="30">
        <f t="shared" si="14"/>
        <v>1</v>
      </c>
      <c r="AM33" s="30">
        <f t="shared" si="14"/>
        <v>1</v>
      </c>
      <c r="AN33" s="30">
        <f t="shared" si="14"/>
        <v>1</v>
      </c>
      <c r="AO33" s="30">
        <f t="shared" si="14"/>
        <v>1</v>
      </c>
      <c r="AP33" s="30">
        <f t="shared" si="14"/>
        <v>1</v>
      </c>
      <c r="AQ33" s="30">
        <f t="shared" si="14"/>
        <v>1</v>
      </c>
      <c r="AR33" s="30">
        <f t="shared" si="14"/>
        <v>1</v>
      </c>
      <c r="AS33" s="30">
        <f t="shared" si="14"/>
        <v>1</v>
      </c>
      <c r="AT33" s="30">
        <f t="shared" si="14"/>
        <v>1</v>
      </c>
      <c r="AU33" s="30">
        <f t="shared" si="14"/>
        <v>1</v>
      </c>
      <c r="AV33" s="30">
        <f t="shared" si="14"/>
        <v>1</v>
      </c>
      <c r="AW33" s="30">
        <f t="shared" si="14"/>
        <v>1</v>
      </c>
      <c r="AX33" s="30">
        <f t="shared" si="14"/>
        <v>1</v>
      </c>
      <c r="AY33" s="30">
        <f t="shared" si="14"/>
        <v>1</v>
      </c>
      <c r="AZ33" s="30">
        <f t="shared" si="14"/>
        <v>1</v>
      </c>
      <c r="BA33" s="30">
        <f t="shared" si="14"/>
        <v>1</v>
      </c>
      <c r="BB33" s="30">
        <f t="shared" si="14"/>
        <v>1</v>
      </c>
      <c r="BC33" s="30">
        <f t="shared" si="13"/>
        <v>1</v>
      </c>
      <c r="BD33" s="30">
        <f t="shared" si="13"/>
        <v>1</v>
      </c>
      <c r="BE33" s="30">
        <f t="shared" si="13"/>
        <v>1</v>
      </c>
      <c r="BF33" s="30">
        <f t="shared" si="12"/>
        <v>1</v>
      </c>
      <c r="BG33" s="30">
        <f t="shared" si="12"/>
        <v>1</v>
      </c>
      <c r="BH33" s="30">
        <f t="shared" si="12"/>
        <v>1</v>
      </c>
      <c r="BI33" s="30">
        <f t="shared" si="12"/>
        <v>1</v>
      </c>
      <c r="BJ33" s="30">
        <f t="shared" si="12"/>
        <v>1</v>
      </c>
      <c r="BK33" s="30">
        <f t="shared" si="12"/>
        <v>1</v>
      </c>
      <c r="BL33" s="30">
        <f t="shared" si="12"/>
        <v>1</v>
      </c>
      <c r="BM33" s="30">
        <f t="shared" si="12"/>
        <v>1</v>
      </c>
      <c r="BN33" s="30">
        <f t="shared" si="12"/>
        <v>1</v>
      </c>
      <c r="BO33" s="32">
        <f t="shared" si="7"/>
        <v>0.93220338983050843</v>
      </c>
    </row>
    <row r="34" spans="1:67" s="27" customFormat="1" ht="18.75" hidden="1" customHeight="1" x14ac:dyDescent="0.25">
      <c r="A34" s="21">
        <v>7</v>
      </c>
      <c r="B34" s="21" t="s">
        <v>63</v>
      </c>
      <c r="C34" s="21" t="s">
        <v>64</v>
      </c>
      <c r="D34" s="33">
        <f>SUM(D35:D38)</f>
        <v>461790779.99999994</v>
      </c>
      <c r="E34" s="24">
        <f t="shared" si="6"/>
        <v>2.2153966246023517E-3</v>
      </c>
      <c r="F34" s="25">
        <v>46268</v>
      </c>
      <c r="G34" s="25">
        <v>46302</v>
      </c>
      <c r="H34" s="24">
        <f>SUMPRODUCT($E35:$E38,H35:H38)</f>
        <v>0</v>
      </c>
      <c r="I34" s="24">
        <f t="shared" ref="I34:BN34" si="16">SUMPRODUCT($E35:$E38,I35:I38)</f>
        <v>0</v>
      </c>
      <c r="J34" s="24">
        <f t="shared" si="16"/>
        <v>0</v>
      </c>
      <c r="K34" s="24">
        <f t="shared" si="16"/>
        <v>0</v>
      </c>
      <c r="L34" s="24">
        <f t="shared" si="16"/>
        <v>0</v>
      </c>
      <c r="M34" s="24">
        <f t="shared" si="16"/>
        <v>0</v>
      </c>
      <c r="N34" s="24">
        <f t="shared" si="16"/>
        <v>0</v>
      </c>
      <c r="O34" s="24">
        <f t="shared" si="16"/>
        <v>0</v>
      </c>
      <c r="P34" s="24">
        <f t="shared" si="16"/>
        <v>0</v>
      </c>
      <c r="Q34" s="24">
        <f t="shared" si="16"/>
        <v>0</v>
      </c>
      <c r="R34" s="24">
        <f t="shared" si="16"/>
        <v>0</v>
      </c>
      <c r="S34" s="24">
        <f t="shared" si="16"/>
        <v>0</v>
      </c>
      <c r="T34" s="24">
        <f t="shared" si="16"/>
        <v>0.44444444444444442</v>
      </c>
      <c r="U34" s="24">
        <f t="shared" si="16"/>
        <v>1</v>
      </c>
      <c r="V34" s="24">
        <f t="shared" si="16"/>
        <v>1</v>
      </c>
      <c r="W34" s="24">
        <f t="shared" si="16"/>
        <v>1</v>
      </c>
      <c r="X34" s="24">
        <f t="shared" si="16"/>
        <v>1</v>
      </c>
      <c r="Y34" s="24">
        <f t="shared" si="16"/>
        <v>1</v>
      </c>
      <c r="Z34" s="24">
        <f t="shared" si="16"/>
        <v>1</v>
      </c>
      <c r="AA34" s="24">
        <f t="shared" si="16"/>
        <v>1</v>
      </c>
      <c r="AB34" s="24">
        <f t="shared" si="16"/>
        <v>1</v>
      </c>
      <c r="AC34" s="24">
        <f t="shared" si="16"/>
        <v>1</v>
      </c>
      <c r="AD34" s="24">
        <f t="shared" si="16"/>
        <v>1</v>
      </c>
      <c r="AE34" s="24">
        <f t="shared" si="16"/>
        <v>1</v>
      </c>
      <c r="AF34" s="24">
        <f t="shared" si="16"/>
        <v>1</v>
      </c>
      <c r="AG34" s="24">
        <f t="shared" si="16"/>
        <v>1</v>
      </c>
      <c r="AH34" s="24">
        <f t="shared" si="16"/>
        <v>1</v>
      </c>
      <c r="AI34" s="24">
        <f t="shared" si="16"/>
        <v>1</v>
      </c>
      <c r="AJ34" s="24">
        <f t="shared" si="16"/>
        <v>1</v>
      </c>
      <c r="AK34" s="24">
        <f t="shared" si="16"/>
        <v>1</v>
      </c>
      <c r="AL34" s="24">
        <f t="shared" si="16"/>
        <v>1</v>
      </c>
      <c r="AM34" s="24">
        <f t="shared" si="16"/>
        <v>1</v>
      </c>
      <c r="AN34" s="24">
        <f t="shared" si="16"/>
        <v>1</v>
      </c>
      <c r="AO34" s="24">
        <f t="shared" si="16"/>
        <v>1</v>
      </c>
      <c r="AP34" s="24">
        <f t="shared" si="16"/>
        <v>1</v>
      </c>
      <c r="AQ34" s="24">
        <f t="shared" si="16"/>
        <v>1</v>
      </c>
      <c r="AR34" s="24">
        <f t="shared" si="16"/>
        <v>1</v>
      </c>
      <c r="AS34" s="24">
        <f t="shared" si="16"/>
        <v>1</v>
      </c>
      <c r="AT34" s="24">
        <f t="shared" si="16"/>
        <v>1</v>
      </c>
      <c r="AU34" s="24">
        <f t="shared" si="16"/>
        <v>1</v>
      </c>
      <c r="AV34" s="24">
        <f t="shared" si="16"/>
        <v>1</v>
      </c>
      <c r="AW34" s="24">
        <f t="shared" si="16"/>
        <v>1</v>
      </c>
      <c r="AX34" s="24">
        <f t="shared" si="16"/>
        <v>1</v>
      </c>
      <c r="AY34" s="24">
        <f t="shared" si="16"/>
        <v>1</v>
      </c>
      <c r="AZ34" s="24">
        <f t="shared" si="16"/>
        <v>1</v>
      </c>
      <c r="BA34" s="24">
        <f t="shared" si="16"/>
        <v>1</v>
      </c>
      <c r="BB34" s="24">
        <f t="shared" si="16"/>
        <v>1</v>
      </c>
      <c r="BC34" s="24">
        <f t="shared" si="16"/>
        <v>1</v>
      </c>
      <c r="BD34" s="24">
        <f t="shared" si="16"/>
        <v>1</v>
      </c>
      <c r="BE34" s="24">
        <f t="shared" si="16"/>
        <v>1</v>
      </c>
      <c r="BF34" s="24">
        <f t="shared" si="16"/>
        <v>1</v>
      </c>
      <c r="BG34" s="24">
        <f t="shared" si="16"/>
        <v>1</v>
      </c>
      <c r="BH34" s="24">
        <f t="shared" si="16"/>
        <v>1</v>
      </c>
      <c r="BI34" s="24">
        <f t="shared" si="16"/>
        <v>1</v>
      </c>
      <c r="BJ34" s="24">
        <f t="shared" si="16"/>
        <v>1</v>
      </c>
      <c r="BK34" s="24">
        <f t="shared" si="16"/>
        <v>1</v>
      </c>
      <c r="BL34" s="24">
        <f t="shared" si="16"/>
        <v>1</v>
      </c>
      <c r="BM34" s="24">
        <f t="shared" si="16"/>
        <v>1</v>
      </c>
      <c r="BN34" s="24">
        <f t="shared" si="16"/>
        <v>1</v>
      </c>
      <c r="BO34" s="32">
        <f t="shared" si="7"/>
        <v>0.7871939736346516</v>
      </c>
    </row>
    <row r="35" spans="1:67" s="27" customFormat="1" ht="18.75" hidden="1" customHeight="1" x14ac:dyDescent="0.25">
      <c r="A35" s="50" t="s">
        <v>65</v>
      </c>
      <c r="B35" s="50" t="s">
        <v>66</v>
      </c>
      <c r="C35" s="50" t="s">
        <v>58</v>
      </c>
      <c r="D35" s="51">
        <f>VLOOKUP(A35,'[1]Cuadro Control'!C31:J1965,8,FALSE)</f>
        <v>0</v>
      </c>
      <c r="E35" s="52">
        <f>IFERROR(D35/$D$34,0)</f>
        <v>0</v>
      </c>
      <c r="F35" s="53">
        <v>46268</v>
      </c>
      <c r="G35" s="53">
        <v>46283</v>
      </c>
      <c r="H35" s="52">
        <f t="shared" ref="H35:BN38" si="17">IF($F35=0,0,IF(H$6&lt;$F35,0,IF(H$6&gt;$G35,1,(H$6-$F35+1)/($G35-$F35+1))))</f>
        <v>0</v>
      </c>
      <c r="I35" s="52">
        <f t="shared" si="17"/>
        <v>0</v>
      </c>
      <c r="J35" s="52">
        <f t="shared" si="17"/>
        <v>0</v>
      </c>
      <c r="K35" s="52">
        <f t="shared" si="17"/>
        <v>0</v>
      </c>
      <c r="L35" s="52">
        <f t="shared" si="17"/>
        <v>0</v>
      </c>
      <c r="M35" s="52">
        <f t="shared" si="17"/>
        <v>0</v>
      </c>
      <c r="N35" s="52">
        <f t="shared" si="17"/>
        <v>0</v>
      </c>
      <c r="O35" s="52">
        <f t="shared" si="17"/>
        <v>0</v>
      </c>
      <c r="P35" s="52">
        <f t="shared" si="17"/>
        <v>0.125</v>
      </c>
      <c r="Q35" s="52">
        <f t="shared" si="17"/>
        <v>0.5625</v>
      </c>
      <c r="R35" s="52">
        <f t="shared" si="17"/>
        <v>1</v>
      </c>
      <c r="S35" s="52">
        <f t="shared" si="17"/>
        <v>1</v>
      </c>
      <c r="T35" s="52">
        <f t="shared" si="17"/>
        <v>1</v>
      </c>
      <c r="U35" s="52">
        <f t="shared" si="17"/>
        <v>1</v>
      </c>
      <c r="V35" s="52">
        <f t="shared" si="17"/>
        <v>1</v>
      </c>
      <c r="W35" s="52">
        <f t="shared" si="17"/>
        <v>1</v>
      </c>
      <c r="X35" s="52">
        <f t="shared" si="17"/>
        <v>1</v>
      </c>
      <c r="Y35" s="52">
        <f t="shared" si="17"/>
        <v>1</v>
      </c>
      <c r="Z35" s="52">
        <f t="shared" si="17"/>
        <v>1</v>
      </c>
      <c r="AA35" s="52">
        <f t="shared" si="17"/>
        <v>1</v>
      </c>
      <c r="AB35" s="52">
        <f t="shared" si="17"/>
        <v>1</v>
      </c>
      <c r="AC35" s="52">
        <f t="shared" si="17"/>
        <v>1</v>
      </c>
      <c r="AD35" s="52">
        <f t="shared" si="17"/>
        <v>1</v>
      </c>
      <c r="AE35" s="52">
        <f t="shared" si="17"/>
        <v>1</v>
      </c>
      <c r="AF35" s="52">
        <f t="shared" si="17"/>
        <v>1</v>
      </c>
      <c r="AG35" s="52">
        <f t="shared" si="17"/>
        <v>1</v>
      </c>
      <c r="AH35" s="52">
        <f t="shared" si="17"/>
        <v>1</v>
      </c>
      <c r="AI35" s="52">
        <f t="shared" si="17"/>
        <v>1</v>
      </c>
      <c r="AJ35" s="52">
        <f t="shared" si="17"/>
        <v>1</v>
      </c>
      <c r="AK35" s="52">
        <f t="shared" si="17"/>
        <v>1</v>
      </c>
      <c r="AL35" s="52">
        <f t="shared" si="17"/>
        <v>1</v>
      </c>
      <c r="AM35" s="52">
        <f t="shared" si="17"/>
        <v>1</v>
      </c>
      <c r="AN35" s="52">
        <f t="shared" si="17"/>
        <v>1</v>
      </c>
      <c r="AO35" s="52">
        <f t="shared" si="17"/>
        <v>1</v>
      </c>
      <c r="AP35" s="52">
        <f t="shared" si="17"/>
        <v>1</v>
      </c>
      <c r="AQ35" s="52">
        <f t="shared" si="17"/>
        <v>1</v>
      </c>
      <c r="AR35" s="52">
        <f t="shared" si="17"/>
        <v>1</v>
      </c>
      <c r="AS35" s="52">
        <f t="shared" si="17"/>
        <v>1</v>
      </c>
      <c r="AT35" s="52">
        <f t="shared" si="17"/>
        <v>1</v>
      </c>
      <c r="AU35" s="52">
        <f t="shared" si="17"/>
        <v>1</v>
      </c>
      <c r="AV35" s="52">
        <f t="shared" si="17"/>
        <v>1</v>
      </c>
      <c r="AW35" s="52">
        <f t="shared" si="17"/>
        <v>1</v>
      </c>
      <c r="AX35" s="52">
        <f t="shared" si="17"/>
        <v>1</v>
      </c>
      <c r="AY35" s="52">
        <f t="shared" si="17"/>
        <v>1</v>
      </c>
      <c r="AZ35" s="52">
        <f t="shared" si="17"/>
        <v>1</v>
      </c>
      <c r="BA35" s="52">
        <f t="shared" si="17"/>
        <v>1</v>
      </c>
      <c r="BB35" s="52">
        <f t="shared" si="17"/>
        <v>1</v>
      </c>
      <c r="BC35" s="52">
        <f t="shared" si="17"/>
        <v>1</v>
      </c>
      <c r="BD35" s="52">
        <f t="shared" si="17"/>
        <v>1</v>
      </c>
      <c r="BE35" s="52">
        <f t="shared" si="17"/>
        <v>1</v>
      </c>
      <c r="BF35" s="52">
        <f t="shared" si="17"/>
        <v>1</v>
      </c>
      <c r="BG35" s="52">
        <f t="shared" si="17"/>
        <v>1</v>
      </c>
      <c r="BH35" s="52">
        <f t="shared" si="17"/>
        <v>1</v>
      </c>
      <c r="BI35" s="52">
        <f t="shared" si="17"/>
        <v>1</v>
      </c>
      <c r="BJ35" s="52">
        <f t="shared" si="17"/>
        <v>1</v>
      </c>
      <c r="BK35" s="52">
        <f t="shared" si="17"/>
        <v>1</v>
      </c>
      <c r="BL35" s="52">
        <f t="shared" si="17"/>
        <v>1</v>
      </c>
      <c r="BM35" s="52">
        <f t="shared" si="17"/>
        <v>1</v>
      </c>
      <c r="BN35" s="52">
        <f t="shared" si="17"/>
        <v>1</v>
      </c>
      <c r="BO35" s="32">
        <f t="shared" si="7"/>
        <v>0.84216101694915257</v>
      </c>
    </row>
    <row r="36" spans="1:67" s="27" customFormat="1" ht="18.75" hidden="1" customHeight="1" x14ac:dyDescent="0.25">
      <c r="A36" s="50" t="s">
        <v>67</v>
      </c>
      <c r="B36" s="50" t="s">
        <v>68</v>
      </c>
      <c r="C36" s="50" t="s">
        <v>69</v>
      </c>
      <c r="D36" s="51">
        <f>VLOOKUP(A36,'[1]Cuadro Control'!C32:J1966,8,FALSE)</f>
        <v>0</v>
      </c>
      <c r="E36" s="52">
        <f>IFERROR(D36/$D$34,0)</f>
        <v>0</v>
      </c>
      <c r="F36" s="53">
        <v>46283</v>
      </c>
      <c r="G36" s="53">
        <v>46294</v>
      </c>
      <c r="H36" s="52">
        <f>IF($F36=0,0,IF(H$6&lt;$F36,0,IF(H$6&gt;$G36,1,(H$6-$F36+1)/($G36-$F36+1))))</f>
        <v>0</v>
      </c>
      <c r="I36" s="52">
        <f t="shared" si="17"/>
        <v>0</v>
      </c>
      <c r="J36" s="52">
        <f t="shared" si="17"/>
        <v>0</v>
      </c>
      <c r="K36" s="52">
        <f t="shared" si="17"/>
        <v>0</v>
      </c>
      <c r="L36" s="52">
        <f t="shared" si="17"/>
        <v>0</v>
      </c>
      <c r="M36" s="52">
        <f t="shared" si="17"/>
        <v>0</v>
      </c>
      <c r="N36" s="52">
        <f t="shared" si="17"/>
        <v>0</v>
      </c>
      <c r="O36" s="52">
        <f t="shared" si="17"/>
        <v>0</v>
      </c>
      <c r="P36" s="52">
        <f t="shared" si="17"/>
        <v>0</v>
      </c>
      <c r="Q36" s="52">
        <f t="shared" si="17"/>
        <v>0</v>
      </c>
      <c r="R36" s="52">
        <f t="shared" si="17"/>
        <v>8.3333333333333329E-2</v>
      </c>
      <c r="S36" s="52">
        <f t="shared" si="17"/>
        <v>0.66666666666666663</v>
      </c>
      <c r="T36" s="52">
        <f t="shared" si="17"/>
        <v>1</v>
      </c>
      <c r="U36" s="52">
        <f t="shared" si="17"/>
        <v>1</v>
      </c>
      <c r="V36" s="52">
        <f t="shared" si="17"/>
        <v>1</v>
      </c>
      <c r="W36" s="52">
        <f t="shared" si="17"/>
        <v>1</v>
      </c>
      <c r="X36" s="52">
        <f t="shared" si="17"/>
        <v>1</v>
      </c>
      <c r="Y36" s="52">
        <f t="shared" si="17"/>
        <v>1</v>
      </c>
      <c r="Z36" s="52">
        <f t="shared" si="17"/>
        <v>1</v>
      </c>
      <c r="AA36" s="52">
        <f t="shared" si="17"/>
        <v>1</v>
      </c>
      <c r="AB36" s="52">
        <f t="shared" si="17"/>
        <v>1</v>
      </c>
      <c r="AC36" s="52">
        <f t="shared" si="17"/>
        <v>1</v>
      </c>
      <c r="AD36" s="52">
        <f t="shared" si="17"/>
        <v>1</v>
      </c>
      <c r="AE36" s="52">
        <f t="shared" si="17"/>
        <v>1</v>
      </c>
      <c r="AF36" s="52">
        <f t="shared" si="17"/>
        <v>1</v>
      </c>
      <c r="AG36" s="52">
        <f t="shared" si="17"/>
        <v>1</v>
      </c>
      <c r="AH36" s="52">
        <f t="shared" si="17"/>
        <v>1</v>
      </c>
      <c r="AI36" s="52">
        <f t="shared" si="17"/>
        <v>1</v>
      </c>
      <c r="AJ36" s="52">
        <f t="shared" si="17"/>
        <v>1</v>
      </c>
      <c r="AK36" s="52">
        <f t="shared" si="17"/>
        <v>1</v>
      </c>
      <c r="AL36" s="52">
        <f t="shared" si="17"/>
        <v>1</v>
      </c>
      <c r="AM36" s="52">
        <f t="shared" si="17"/>
        <v>1</v>
      </c>
      <c r="AN36" s="52">
        <f t="shared" si="17"/>
        <v>1</v>
      </c>
      <c r="AO36" s="52">
        <f t="shared" si="17"/>
        <v>1</v>
      </c>
      <c r="AP36" s="52">
        <f t="shared" si="17"/>
        <v>1</v>
      </c>
      <c r="AQ36" s="52">
        <f t="shared" si="17"/>
        <v>1</v>
      </c>
      <c r="AR36" s="52">
        <f t="shared" si="17"/>
        <v>1</v>
      </c>
      <c r="AS36" s="52">
        <f t="shared" si="17"/>
        <v>1</v>
      </c>
      <c r="AT36" s="52">
        <f t="shared" si="17"/>
        <v>1</v>
      </c>
      <c r="AU36" s="52">
        <f t="shared" si="17"/>
        <v>1</v>
      </c>
      <c r="AV36" s="52">
        <f t="shared" si="17"/>
        <v>1</v>
      </c>
      <c r="AW36" s="52">
        <f t="shared" si="17"/>
        <v>1</v>
      </c>
      <c r="AX36" s="52">
        <f t="shared" si="17"/>
        <v>1</v>
      </c>
      <c r="AY36" s="52">
        <f t="shared" si="17"/>
        <v>1</v>
      </c>
      <c r="AZ36" s="52">
        <f t="shared" si="17"/>
        <v>1</v>
      </c>
      <c r="BA36" s="52">
        <f t="shared" si="17"/>
        <v>1</v>
      </c>
      <c r="BB36" s="52">
        <f t="shared" si="17"/>
        <v>1</v>
      </c>
      <c r="BC36" s="52">
        <f t="shared" si="17"/>
        <v>1</v>
      </c>
      <c r="BD36" s="52">
        <f t="shared" si="17"/>
        <v>1</v>
      </c>
      <c r="BE36" s="52">
        <f t="shared" si="17"/>
        <v>1</v>
      </c>
      <c r="BF36" s="52">
        <f t="shared" si="17"/>
        <v>1</v>
      </c>
      <c r="BG36" s="52">
        <f t="shared" si="17"/>
        <v>1</v>
      </c>
      <c r="BH36" s="52">
        <f t="shared" si="17"/>
        <v>1</v>
      </c>
      <c r="BI36" s="52">
        <f t="shared" si="17"/>
        <v>1</v>
      </c>
      <c r="BJ36" s="52">
        <f t="shared" si="17"/>
        <v>1</v>
      </c>
      <c r="BK36" s="52">
        <f t="shared" si="17"/>
        <v>1</v>
      </c>
      <c r="BL36" s="52">
        <f t="shared" si="17"/>
        <v>1</v>
      </c>
      <c r="BM36" s="52">
        <f t="shared" si="17"/>
        <v>1</v>
      </c>
      <c r="BN36" s="52">
        <f t="shared" si="17"/>
        <v>1</v>
      </c>
      <c r="BO36" s="32">
        <f t="shared" si="7"/>
        <v>0.80932203389830504</v>
      </c>
    </row>
    <row r="37" spans="1:67" s="27" customFormat="1" ht="18.75" hidden="1" customHeight="1" x14ac:dyDescent="0.25">
      <c r="A37" s="50" t="s">
        <v>70</v>
      </c>
      <c r="B37" s="50" t="s">
        <v>71</v>
      </c>
      <c r="C37" s="50" t="s">
        <v>58</v>
      </c>
      <c r="D37" s="51">
        <f>VLOOKUP(A37,'[1]Cuadro Control'!C33:J1967,8,FALSE)</f>
        <v>0</v>
      </c>
      <c r="E37" s="52">
        <f>IFERROR(D37/$D$34,0)</f>
        <v>0</v>
      </c>
      <c r="F37" s="53">
        <v>46272</v>
      </c>
      <c r="G37" s="53">
        <v>46286</v>
      </c>
      <c r="H37" s="52">
        <f>IF($F37=0,0,IF(H$6&lt;$F37,0,IF(H$6&gt;$G37,1,(H$6-$F37+1)/($G37-$F37+1))))</f>
        <v>0</v>
      </c>
      <c r="I37" s="52">
        <f t="shared" si="17"/>
        <v>0</v>
      </c>
      <c r="J37" s="52">
        <f t="shared" si="17"/>
        <v>0</v>
      </c>
      <c r="K37" s="52">
        <f t="shared" si="17"/>
        <v>0</v>
      </c>
      <c r="L37" s="52">
        <f t="shared" si="17"/>
        <v>0</v>
      </c>
      <c r="M37" s="52">
        <f t="shared" si="17"/>
        <v>0</v>
      </c>
      <c r="N37" s="52">
        <f t="shared" si="17"/>
        <v>0</v>
      </c>
      <c r="O37" s="52">
        <f t="shared" si="17"/>
        <v>0</v>
      </c>
      <c r="P37" s="52">
        <f t="shared" si="17"/>
        <v>0</v>
      </c>
      <c r="Q37" s="52">
        <f t="shared" si="17"/>
        <v>0.33333333333333331</v>
      </c>
      <c r="R37" s="52">
        <f t="shared" si="17"/>
        <v>0.8</v>
      </c>
      <c r="S37" s="52">
        <f t="shared" si="17"/>
        <v>1</v>
      </c>
      <c r="T37" s="52">
        <f t="shared" si="17"/>
        <v>1</v>
      </c>
      <c r="U37" s="52">
        <f t="shared" si="17"/>
        <v>1</v>
      </c>
      <c r="V37" s="52">
        <f t="shared" si="17"/>
        <v>1</v>
      </c>
      <c r="W37" s="52">
        <f t="shared" si="17"/>
        <v>1</v>
      </c>
      <c r="X37" s="52">
        <f t="shared" si="17"/>
        <v>1</v>
      </c>
      <c r="Y37" s="52">
        <f t="shared" si="17"/>
        <v>1</v>
      </c>
      <c r="Z37" s="52">
        <f t="shared" si="17"/>
        <v>1</v>
      </c>
      <c r="AA37" s="52">
        <f t="shared" si="17"/>
        <v>1</v>
      </c>
      <c r="AB37" s="52">
        <f t="shared" si="17"/>
        <v>1</v>
      </c>
      <c r="AC37" s="52">
        <f t="shared" si="17"/>
        <v>1</v>
      </c>
      <c r="AD37" s="52">
        <f t="shared" si="17"/>
        <v>1</v>
      </c>
      <c r="AE37" s="52">
        <f t="shared" si="17"/>
        <v>1</v>
      </c>
      <c r="AF37" s="52">
        <f t="shared" si="17"/>
        <v>1</v>
      </c>
      <c r="AG37" s="52">
        <f t="shared" si="17"/>
        <v>1</v>
      </c>
      <c r="AH37" s="52">
        <f t="shared" si="17"/>
        <v>1</v>
      </c>
      <c r="AI37" s="52">
        <f t="shared" si="17"/>
        <v>1</v>
      </c>
      <c r="AJ37" s="52">
        <f t="shared" si="17"/>
        <v>1</v>
      </c>
      <c r="AK37" s="52">
        <f t="shared" si="17"/>
        <v>1</v>
      </c>
      <c r="AL37" s="52">
        <f t="shared" si="17"/>
        <v>1</v>
      </c>
      <c r="AM37" s="52">
        <f t="shared" si="17"/>
        <v>1</v>
      </c>
      <c r="AN37" s="52">
        <f t="shared" si="17"/>
        <v>1</v>
      </c>
      <c r="AO37" s="52">
        <f t="shared" si="17"/>
        <v>1</v>
      </c>
      <c r="AP37" s="52">
        <f t="shared" si="17"/>
        <v>1</v>
      </c>
      <c r="AQ37" s="52">
        <f t="shared" si="17"/>
        <v>1</v>
      </c>
      <c r="AR37" s="52">
        <f t="shared" si="17"/>
        <v>1</v>
      </c>
      <c r="AS37" s="52">
        <f t="shared" si="17"/>
        <v>1</v>
      </c>
      <c r="AT37" s="52">
        <f t="shared" si="17"/>
        <v>1</v>
      </c>
      <c r="AU37" s="52">
        <f t="shared" si="17"/>
        <v>1</v>
      </c>
      <c r="AV37" s="52">
        <f t="shared" si="17"/>
        <v>1</v>
      </c>
      <c r="AW37" s="52">
        <f t="shared" si="17"/>
        <v>1</v>
      </c>
      <c r="AX37" s="52">
        <f t="shared" si="17"/>
        <v>1</v>
      </c>
      <c r="AY37" s="52">
        <f t="shared" si="17"/>
        <v>1</v>
      </c>
      <c r="AZ37" s="52">
        <f t="shared" si="17"/>
        <v>1</v>
      </c>
      <c r="BA37" s="52">
        <f t="shared" si="17"/>
        <v>1</v>
      </c>
      <c r="BB37" s="52">
        <f t="shared" si="17"/>
        <v>1</v>
      </c>
      <c r="BC37" s="52">
        <f t="shared" si="17"/>
        <v>1</v>
      </c>
      <c r="BD37" s="52">
        <f t="shared" si="17"/>
        <v>1</v>
      </c>
      <c r="BE37" s="52">
        <f t="shared" si="17"/>
        <v>1</v>
      </c>
      <c r="BF37" s="52">
        <f t="shared" si="17"/>
        <v>1</v>
      </c>
      <c r="BG37" s="52">
        <f t="shared" si="17"/>
        <v>1</v>
      </c>
      <c r="BH37" s="52">
        <f t="shared" si="17"/>
        <v>1</v>
      </c>
      <c r="BI37" s="52">
        <f t="shared" si="17"/>
        <v>1</v>
      </c>
      <c r="BJ37" s="52">
        <f t="shared" si="17"/>
        <v>1</v>
      </c>
      <c r="BK37" s="52">
        <f t="shared" si="17"/>
        <v>1</v>
      </c>
      <c r="BL37" s="52">
        <f t="shared" si="17"/>
        <v>1</v>
      </c>
      <c r="BM37" s="52">
        <f t="shared" si="17"/>
        <v>1</v>
      </c>
      <c r="BN37" s="52">
        <f t="shared" si="17"/>
        <v>1</v>
      </c>
      <c r="BO37" s="32">
        <f t="shared" si="7"/>
        <v>0.83276836158192091</v>
      </c>
    </row>
    <row r="38" spans="1:67" s="27" customFormat="1" ht="18.75" hidden="1" customHeight="1" x14ac:dyDescent="0.25">
      <c r="A38" s="50" t="s">
        <v>72</v>
      </c>
      <c r="B38" s="50" t="s">
        <v>73</v>
      </c>
      <c r="C38" s="50" t="s">
        <v>74</v>
      </c>
      <c r="D38" s="51">
        <f>VLOOKUP(A38,'[1]Cuadro Control'!C34:J1968,8,FALSE)</f>
        <v>461790779.99999994</v>
      </c>
      <c r="E38" s="52">
        <f>IFERROR(D38/$D$34,0)</f>
        <v>1</v>
      </c>
      <c r="F38" s="53">
        <v>46294</v>
      </c>
      <c r="G38" s="53">
        <v>46302</v>
      </c>
      <c r="H38" s="52">
        <f>IF($F38=0,0,IF(H$6&lt;$F38,0,IF(H$6&gt;$G38,1,(H$6-$F38+1)/($G38-$F38+1))))</f>
        <v>0</v>
      </c>
      <c r="I38" s="52">
        <f t="shared" si="17"/>
        <v>0</v>
      </c>
      <c r="J38" s="52">
        <f t="shared" si="17"/>
        <v>0</v>
      </c>
      <c r="K38" s="52">
        <f t="shared" si="17"/>
        <v>0</v>
      </c>
      <c r="L38" s="52">
        <f t="shared" si="17"/>
        <v>0</v>
      </c>
      <c r="M38" s="52">
        <f t="shared" si="17"/>
        <v>0</v>
      </c>
      <c r="N38" s="52">
        <f t="shared" si="17"/>
        <v>0</v>
      </c>
      <c r="O38" s="52">
        <f t="shared" si="17"/>
        <v>0</v>
      </c>
      <c r="P38" s="52">
        <f t="shared" si="17"/>
        <v>0</v>
      </c>
      <c r="Q38" s="52">
        <f t="shared" si="17"/>
        <v>0</v>
      </c>
      <c r="R38" s="52">
        <f t="shared" si="17"/>
        <v>0</v>
      </c>
      <c r="S38" s="52">
        <f t="shared" si="17"/>
        <v>0</v>
      </c>
      <c r="T38" s="52">
        <f t="shared" si="17"/>
        <v>0.44444444444444442</v>
      </c>
      <c r="U38" s="52">
        <f t="shared" si="17"/>
        <v>1</v>
      </c>
      <c r="V38" s="52">
        <f t="shared" si="17"/>
        <v>1</v>
      </c>
      <c r="W38" s="52">
        <f t="shared" si="17"/>
        <v>1</v>
      </c>
      <c r="X38" s="52">
        <f t="shared" si="17"/>
        <v>1</v>
      </c>
      <c r="Y38" s="52">
        <f t="shared" si="17"/>
        <v>1</v>
      </c>
      <c r="Z38" s="52">
        <f t="shared" si="17"/>
        <v>1</v>
      </c>
      <c r="AA38" s="52">
        <f t="shared" si="17"/>
        <v>1</v>
      </c>
      <c r="AB38" s="52">
        <f t="shared" si="17"/>
        <v>1</v>
      </c>
      <c r="AC38" s="52">
        <f t="shared" si="17"/>
        <v>1</v>
      </c>
      <c r="AD38" s="52">
        <f t="shared" si="17"/>
        <v>1</v>
      </c>
      <c r="AE38" s="52">
        <f t="shared" si="17"/>
        <v>1</v>
      </c>
      <c r="AF38" s="52">
        <f t="shared" si="17"/>
        <v>1</v>
      </c>
      <c r="AG38" s="52">
        <f t="shared" si="17"/>
        <v>1</v>
      </c>
      <c r="AH38" s="52">
        <f t="shared" si="17"/>
        <v>1</v>
      </c>
      <c r="AI38" s="52">
        <f t="shared" si="17"/>
        <v>1</v>
      </c>
      <c r="AJ38" s="52">
        <f t="shared" si="17"/>
        <v>1</v>
      </c>
      <c r="AK38" s="52">
        <f t="shared" si="17"/>
        <v>1</v>
      </c>
      <c r="AL38" s="52">
        <f t="shared" si="17"/>
        <v>1</v>
      </c>
      <c r="AM38" s="52">
        <f t="shared" si="17"/>
        <v>1</v>
      </c>
      <c r="AN38" s="52">
        <f t="shared" si="17"/>
        <v>1</v>
      </c>
      <c r="AO38" s="52">
        <f t="shared" si="17"/>
        <v>1</v>
      </c>
      <c r="AP38" s="52">
        <f t="shared" si="17"/>
        <v>1</v>
      </c>
      <c r="AQ38" s="52">
        <f t="shared" si="17"/>
        <v>1</v>
      </c>
      <c r="AR38" s="52">
        <f t="shared" si="17"/>
        <v>1</v>
      </c>
      <c r="AS38" s="52">
        <f t="shared" si="17"/>
        <v>1</v>
      </c>
      <c r="AT38" s="52">
        <f t="shared" si="17"/>
        <v>1</v>
      </c>
      <c r="AU38" s="52">
        <f t="shared" si="17"/>
        <v>1</v>
      </c>
      <c r="AV38" s="52">
        <f t="shared" si="17"/>
        <v>1</v>
      </c>
      <c r="AW38" s="52">
        <f t="shared" si="17"/>
        <v>1</v>
      </c>
      <c r="AX38" s="52">
        <f t="shared" si="17"/>
        <v>1</v>
      </c>
      <c r="AY38" s="52">
        <f t="shared" si="17"/>
        <v>1</v>
      </c>
      <c r="AZ38" s="52">
        <f t="shared" si="17"/>
        <v>1</v>
      </c>
      <c r="BA38" s="52">
        <f t="shared" si="17"/>
        <v>1</v>
      </c>
      <c r="BB38" s="52">
        <f t="shared" si="17"/>
        <v>1</v>
      </c>
      <c r="BC38" s="52">
        <f t="shared" si="17"/>
        <v>1</v>
      </c>
      <c r="BD38" s="52">
        <f t="shared" si="17"/>
        <v>1</v>
      </c>
      <c r="BE38" s="52">
        <f t="shared" si="17"/>
        <v>1</v>
      </c>
      <c r="BF38" s="52">
        <f t="shared" si="17"/>
        <v>1</v>
      </c>
      <c r="BG38" s="52">
        <f t="shared" si="17"/>
        <v>1</v>
      </c>
      <c r="BH38" s="52">
        <f t="shared" si="17"/>
        <v>1</v>
      </c>
      <c r="BI38" s="52">
        <f t="shared" si="17"/>
        <v>1</v>
      </c>
      <c r="BJ38" s="52">
        <f t="shared" si="17"/>
        <v>1</v>
      </c>
      <c r="BK38" s="52">
        <f t="shared" si="17"/>
        <v>1</v>
      </c>
      <c r="BL38" s="52">
        <f t="shared" si="17"/>
        <v>1</v>
      </c>
      <c r="BM38" s="52">
        <f t="shared" si="17"/>
        <v>1</v>
      </c>
      <c r="BN38" s="52">
        <f t="shared" si="17"/>
        <v>1</v>
      </c>
      <c r="BO38" s="32">
        <f t="shared" si="7"/>
        <v>0.7871939736346516</v>
      </c>
    </row>
    <row r="39" spans="1:67" s="27" customFormat="1" ht="18.75" hidden="1" customHeight="1" x14ac:dyDescent="0.25">
      <c r="A39" s="21">
        <v>8</v>
      </c>
      <c r="B39" s="21" t="s">
        <v>75</v>
      </c>
      <c r="C39" s="21" t="s">
        <v>76</v>
      </c>
      <c r="D39" s="33">
        <f>SUM(D40:D43)</f>
        <v>8363637791.0999985</v>
      </c>
      <c r="E39" s="24">
        <f t="shared" si="6"/>
        <v>4.0123743769417845E-2</v>
      </c>
      <c r="F39" s="25">
        <v>46249</v>
      </c>
      <c r="G39" s="25">
        <v>46585</v>
      </c>
      <c r="H39" s="24">
        <f>SUMPRODUCT($E40:$E43,H40:H43)</f>
        <v>0</v>
      </c>
      <c r="I39" s="24">
        <f t="shared" ref="I39:BN39" si="18">SUMPRODUCT($E40:$E43,I40:I43)</f>
        <v>0</v>
      </c>
      <c r="J39" s="24">
        <f t="shared" si="18"/>
        <v>0</v>
      </c>
      <c r="K39" s="24">
        <f t="shared" si="18"/>
        <v>0</v>
      </c>
      <c r="L39" s="24">
        <f t="shared" si="18"/>
        <v>0</v>
      </c>
      <c r="M39" s="24">
        <f t="shared" si="18"/>
        <v>0</v>
      </c>
      <c r="N39" s="24">
        <f t="shared" si="18"/>
        <v>2.5091375027874399E-4</v>
      </c>
      <c r="O39" s="24">
        <f t="shared" si="18"/>
        <v>6.9836948576268464E-4</v>
      </c>
      <c r="P39" s="24">
        <f t="shared" si="18"/>
        <v>1.2244420153287041E-3</v>
      </c>
      <c r="Q39" s="24">
        <f t="shared" si="18"/>
        <v>1.4917694996480432E-2</v>
      </c>
      <c r="R39" s="24">
        <f t="shared" si="18"/>
        <v>4.187091369416257E-2</v>
      </c>
      <c r="S39" s="24">
        <f t="shared" si="18"/>
        <v>6.4079203774099217E-2</v>
      </c>
      <c r="T39" s="24">
        <f t="shared" si="18"/>
        <v>8.6287493854035849E-2</v>
      </c>
      <c r="U39" s="24">
        <f t="shared" si="18"/>
        <v>0.10849578393397247</v>
      </c>
      <c r="V39" s="24">
        <f t="shared" si="18"/>
        <v>0.1307040740139091</v>
      </c>
      <c r="W39" s="24">
        <f t="shared" si="18"/>
        <v>0.15291236409384573</v>
      </c>
      <c r="X39" s="24">
        <f t="shared" si="18"/>
        <v>0.17512065417378236</v>
      </c>
      <c r="Y39" s="24">
        <f t="shared" si="18"/>
        <v>0.197328944253719</v>
      </c>
      <c r="Z39" s="24">
        <f t="shared" si="18"/>
        <v>0.21953723433365563</v>
      </c>
      <c r="AA39" s="24">
        <f t="shared" si="18"/>
        <v>0.24174552441359226</v>
      </c>
      <c r="AB39" s="24">
        <f t="shared" si="18"/>
        <v>0.26395381449352884</v>
      </c>
      <c r="AC39" s="24">
        <f t="shared" si="18"/>
        <v>0.28616210457346553</v>
      </c>
      <c r="AD39" s="24">
        <f t="shared" si="18"/>
        <v>0.3083703946534021</v>
      </c>
      <c r="AE39" s="24">
        <f t="shared" si="18"/>
        <v>0.33057868473333879</v>
      </c>
      <c r="AF39" s="24">
        <f t="shared" si="18"/>
        <v>0.35278697481327542</v>
      </c>
      <c r="AG39" s="24">
        <f t="shared" si="18"/>
        <v>0.37499526489321205</v>
      </c>
      <c r="AH39" s="24">
        <f t="shared" si="18"/>
        <v>0.39720355497314869</v>
      </c>
      <c r="AI39" s="24">
        <f t="shared" si="18"/>
        <v>0.41941184505308526</v>
      </c>
      <c r="AJ39" s="24">
        <f t="shared" si="18"/>
        <v>0.44162013513302195</v>
      </c>
      <c r="AK39" s="24">
        <f t="shared" si="18"/>
        <v>0.46382842521295853</v>
      </c>
      <c r="AL39" s="24">
        <f t="shared" si="18"/>
        <v>0.48603671529289522</v>
      </c>
      <c r="AM39" s="24">
        <f t="shared" si="18"/>
        <v>0.50824500537283179</v>
      </c>
      <c r="AN39" s="24">
        <f t="shared" si="18"/>
        <v>0.53045329545276843</v>
      </c>
      <c r="AO39" s="24">
        <f t="shared" si="18"/>
        <v>0.55266158553270506</v>
      </c>
      <c r="AP39" s="24">
        <f t="shared" si="18"/>
        <v>0.57486987561264158</v>
      </c>
      <c r="AQ39" s="24">
        <f t="shared" si="18"/>
        <v>0.59707816569257832</v>
      </c>
      <c r="AR39" s="24">
        <f t="shared" si="18"/>
        <v>0.61928645577251495</v>
      </c>
      <c r="AS39" s="24">
        <f t="shared" si="18"/>
        <v>0.64149474585245148</v>
      </c>
      <c r="AT39" s="24">
        <f t="shared" si="18"/>
        <v>0.66370303593238811</v>
      </c>
      <c r="AU39" s="24">
        <f t="shared" si="18"/>
        <v>0.68591132601232485</v>
      </c>
      <c r="AV39" s="24">
        <f t="shared" si="18"/>
        <v>0.70811961609226148</v>
      </c>
      <c r="AW39" s="24">
        <f t="shared" si="18"/>
        <v>0.730327906172198</v>
      </c>
      <c r="AX39" s="24">
        <f t="shared" si="18"/>
        <v>0.75253619625213464</v>
      </c>
      <c r="AY39" s="24">
        <f t="shared" si="18"/>
        <v>0.77474448633207138</v>
      </c>
      <c r="AZ39" s="24">
        <f t="shared" si="18"/>
        <v>0.7969527764120079</v>
      </c>
      <c r="BA39" s="24">
        <f t="shared" si="18"/>
        <v>0.81916106649194453</v>
      </c>
      <c r="BB39" s="24">
        <f t="shared" si="18"/>
        <v>0.84136935657188128</v>
      </c>
      <c r="BC39" s="24">
        <f t="shared" si="18"/>
        <v>0.86357764665181791</v>
      </c>
      <c r="BD39" s="24">
        <f t="shared" si="18"/>
        <v>0.88578593673175443</v>
      </c>
      <c r="BE39" s="24">
        <f t="shared" si="18"/>
        <v>0.90799422681169106</v>
      </c>
      <c r="BF39" s="24">
        <f t="shared" si="18"/>
        <v>0.93020251689162781</v>
      </c>
      <c r="BG39" s="24">
        <f t="shared" si="18"/>
        <v>0.95241080697156433</v>
      </c>
      <c r="BH39" s="24">
        <f t="shared" si="18"/>
        <v>0.97461909705150096</v>
      </c>
      <c r="BI39" s="24">
        <f t="shared" si="18"/>
        <v>0.99682738713143759</v>
      </c>
      <c r="BJ39" s="24">
        <f t="shared" si="18"/>
        <v>1</v>
      </c>
      <c r="BK39" s="24">
        <f t="shared" si="18"/>
        <v>1</v>
      </c>
      <c r="BL39" s="24">
        <f t="shared" si="18"/>
        <v>1</v>
      </c>
      <c r="BM39" s="24">
        <f t="shared" si="18"/>
        <v>1</v>
      </c>
      <c r="BN39" s="24">
        <f t="shared" si="18"/>
        <v>1</v>
      </c>
      <c r="BO39" s="32">
        <f t="shared" si="7"/>
        <v>0.47234667861713653</v>
      </c>
    </row>
    <row r="40" spans="1:67" s="27" customFormat="1" ht="18.75" hidden="1" customHeight="1" x14ac:dyDescent="0.25">
      <c r="A40" s="50" t="s">
        <v>77</v>
      </c>
      <c r="B40" s="50" t="s">
        <v>78</v>
      </c>
      <c r="C40" s="50" t="s">
        <v>58</v>
      </c>
      <c r="D40" s="51">
        <f>VLOOKUP(A40,'[1]Cuadro Control'!C36:J1970,8,FALSE)</f>
        <v>8694000</v>
      </c>
      <c r="E40" s="52">
        <f>IFERROR(D40/$D$39,0)</f>
        <v>1.0394998225833679E-3</v>
      </c>
      <c r="F40" s="53">
        <v>46249</v>
      </c>
      <c r="G40" s="53">
        <v>46277</v>
      </c>
      <c r="H40" s="52">
        <f t="shared" ref="H40:BN43" si="19">IF($F40=0,0,IF(H$6&lt;$F40,0,IF(H$6&gt;$G40,1,(H$6-$F40+1)/($G40-$F40+1))))</f>
        <v>0</v>
      </c>
      <c r="I40" s="52">
        <f t="shared" si="19"/>
        <v>0</v>
      </c>
      <c r="J40" s="52">
        <f t="shared" si="19"/>
        <v>0</v>
      </c>
      <c r="K40" s="52">
        <f t="shared" si="19"/>
        <v>0</v>
      </c>
      <c r="L40" s="52">
        <f t="shared" si="19"/>
        <v>0</v>
      </c>
      <c r="M40" s="52">
        <f t="shared" si="19"/>
        <v>0</v>
      </c>
      <c r="N40" s="52">
        <f t="shared" si="19"/>
        <v>0.2413793103448276</v>
      </c>
      <c r="O40" s="52">
        <f t="shared" si="19"/>
        <v>0.48275862068965519</v>
      </c>
      <c r="P40" s="52">
        <f t="shared" si="19"/>
        <v>0.72413793103448276</v>
      </c>
      <c r="Q40" s="52">
        <f t="shared" si="19"/>
        <v>0.96551724137931039</v>
      </c>
      <c r="R40" s="52">
        <f t="shared" si="19"/>
        <v>1</v>
      </c>
      <c r="S40" s="52">
        <f t="shared" si="19"/>
        <v>1</v>
      </c>
      <c r="T40" s="52">
        <f t="shared" si="19"/>
        <v>1</v>
      </c>
      <c r="U40" s="52">
        <f t="shared" si="19"/>
        <v>1</v>
      </c>
      <c r="V40" s="52">
        <f t="shared" si="19"/>
        <v>1</v>
      </c>
      <c r="W40" s="52">
        <f t="shared" si="19"/>
        <v>1</v>
      </c>
      <c r="X40" s="52">
        <f t="shared" si="19"/>
        <v>1</v>
      </c>
      <c r="Y40" s="52">
        <f t="shared" si="19"/>
        <v>1</v>
      </c>
      <c r="Z40" s="52">
        <f t="shared" si="19"/>
        <v>1</v>
      </c>
      <c r="AA40" s="52">
        <f t="shared" si="19"/>
        <v>1</v>
      </c>
      <c r="AB40" s="52">
        <f t="shared" si="19"/>
        <v>1</v>
      </c>
      <c r="AC40" s="52">
        <f t="shared" si="19"/>
        <v>1</v>
      </c>
      <c r="AD40" s="52">
        <f t="shared" si="19"/>
        <v>1</v>
      </c>
      <c r="AE40" s="52">
        <f t="shared" si="19"/>
        <v>1</v>
      </c>
      <c r="AF40" s="52">
        <f t="shared" si="19"/>
        <v>1</v>
      </c>
      <c r="AG40" s="52">
        <f t="shared" si="19"/>
        <v>1</v>
      </c>
      <c r="AH40" s="52">
        <f t="shared" si="19"/>
        <v>1</v>
      </c>
      <c r="AI40" s="52">
        <f t="shared" si="19"/>
        <v>1</v>
      </c>
      <c r="AJ40" s="52">
        <f t="shared" si="19"/>
        <v>1</v>
      </c>
      <c r="AK40" s="52">
        <f t="shared" si="19"/>
        <v>1</v>
      </c>
      <c r="AL40" s="52">
        <f t="shared" si="19"/>
        <v>1</v>
      </c>
      <c r="AM40" s="52">
        <f t="shared" si="19"/>
        <v>1</v>
      </c>
      <c r="AN40" s="52">
        <f t="shared" si="19"/>
        <v>1</v>
      </c>
      <c r="AO40" s="52">
        <f t="shared" si="19"/>
        <v>1</v>
      </c>
      <c r="AP40" s="52">
        <f t="shared" si="19"/>
        <v>1</v>
      </c>
      <c r="AQ40" s="52">
        <f t="shared" si="19"/>
        <v>1</v>
      </c>
      <c r="AR40" s="52">
        <f t="shared" si="19"/>
        <v>1</v>
      </c>
      <c r="AS40" s="52">
        <f t="shared" si="19"/>
        <v>1</v>
      </c>
      <c r="AT40" s="52">
        <f t="shared" si="19"/>
        <v>1</v>
      </c>
      <c r="AU40" s="52">
        <f t="shared" si="19"/>
        <v>1</v>
      </c>
      <c r="AV40" s="52">
        <f t="shared" si="19"/>
        <v>1</v>
      </c>
      <c r="AW40" s="52">
        <f t="shared" si="19"/>
        <v>1</v>
      </c>
      <c r="AX40" s="52">
        <f t="shared" si="19"/>
        <v>1</v>
      </c>
      <c r="AY40" s="52">
        <f t="shared" si="19"/>
        <v>1</v>
      </c>
      <c r="AZ40" s="52">
        <f t="shared" si="19"/>
        <v>1</v>
      </c>
      <c r="BA40" s="52">
        <f t="shared" si="19"/>
        <v>1</v>
      </c>
      <c r="BB40" s="52">
        <f t="shared" si="19"/>
        <v>1</v>
      </c>
      <c r="BC40" s="52">
        <f t="shared" si="19"/>
        <v>1</v>
      </c>
      <c r="BD40" s="52">
        <f t="shared" si="19"/>
        <v>1</v>
      </c>
      <c r="BE40" s="52">
        <f t="shared" si="19"/>
        <v>1</v>
      </c>
      <c r="BF40" s="52">
        <f t="shared" si="19"/>
        <v>1</v>
      </c>
      <c r="BG40" s="52">
        <f t="shared" si="19"/>
        <v>1</v>
      </c>
      <c r="BH40" s="52">
        <f t="shared" si="19"/>
        <v>1</v>
      </c>
      <c r="BI40" s="52">
        <f t="shared" si="19"/>
        <v>1</v>
      </c>
      <c r="BJ40" s="52">
        <f t="shared" si="19"/>
        <v>1</v>
      </c>
      <c r="BK40" s="52">
        <f t="shared" si="19"/>
        <v>1</v>
      </c>
      <c r="BL40" s="52">
        <f t="shared" si="19"/>
        <v>1</v>
      </c>
      <c r="BM40" s="52">
        <f t="shared" si="19"/>
        <v>1</v>
      </c>
      <c r="BN40" s="52">
        <f t="shared" si="19"/>
        <v>1</v>
      </c>
      <c r="BO40" s="32">
        <f t="shared" si="7"/>
        <v>0.87142022209234371</v>
      </c>
    </row>
    <row r="41" spans="1:67" s="27" customFormat="1" ht="18.75" hidden="1" customHeight="1" x14ac:dyDescent="0.25">
      <c r="A41" s="50" t="s">
        <v>79</v>
      </c>
      <c r="B41" s="50" t="s">
        <v>80</v>
      </c>
      <c r="C41" s="50" t="s">
        <v>69</v>
      </c>
      <c r="D41" s="51">
        <f>VLOOKUP(A41,'[1]Cuadro Control'!C37:J1971,8,FALSE)</f>
        <v>5260179.1199999992</v>
      </c>
      <c r="E41" s="52">
        <f>IFERROR(D41/$D$39,0)</f>
        <v>6.2893435265662942E-4</v>
      </c>
      <c r="F41" s="53">
        <v>46258</v>
      </c>
      <c r="G41" s="53">
        <v>46273</v>
      </c>
      <c r="H41" s="52">
        <f t="shared" si="19"/>
        <v>0</v>
      </c>
      <c r="I41" s="52">
        <f t="shared" si="19"/>
        <v>0</v>
      </c>
      <c r="J41" s="52">
        <f t="shared" si="19"/>
        <v>0</v>
      </c>
      <c r="K41" s="52">
        <f t="shared" si="19"/>
        <v>0</v>
      </c>
      <c r="L41" s="52">
        <f t="shared" si="19"/>
        <v>0</v>
      </c>
      <c r="M41" s="52">
        <f t="shared" si="19"/>
        <v>0</v>
      </c>
      <c r="N41" s="52">
        <f t="shared" si="19"/>
        <v>0</v>
      </c>
      <c r="O41" s="52">
        <f t="shared" si="19"/>
        <v>0.3125</v>
      </c>
      <c r="P41" s="52">
        <f t="shared" si="19"/>
        <v>0.75</v>
      </c>
      <c r="Q41" s="52">
        <f t="shared" si="19"/>
        <v>1</v>
      </c>
      <c r="R41" s="52">
        <f t="shared" si="19"/>
        <v>1</v>
      </c>
      <c r="S41" s="52">
        <f t="shared" si="19"/>
        <v>1</v>
      </c>
      <c r="T41" s="52">
        <f t="shared" si="19"/>
        <v>1</v>
      </c>
      <c r="U41" s="52">
        <f t="shared" si="19"/>
        <v>1</v>
      </c>
      <c r="V41" s="52">
        <f t="shared" si="19"/>
        <v>1</v>
      </c>
      <c r="W41" s="52">
        <f t="shared" si="19"/>
        <v>1</v>
      </c>
      <c r="X41" s="52">
        <f t="shared" si="19"/>
        <v>1</v>
      </c>
      <c r="Y41" s="52">
        <f t="shared" si="19"/>
        <v>1</v>
      </c>
      <c r="Z41" s="52">
        <f t="shared" si="19"/>
        <v>1</v>
      </c>
      <c r="AA41" s="52">
        <f t="shared" si="19"/>
        <v>1</v>
      </c>
      <c r="AB41" s="52">
        <f t="shared" si="19"/>
        <v>1</v>
      </c>
      <c r="AC41" s="52">
        <f t="shared" si="19"/>
        <v>1</v>
      </c>
      <c r="AD41" s="52">
        <f t="shared" si="19"/>
        <v>1</v>
      </c>
      <c r="AE41" s="52">
        <f t="shared" si="19"/>
        <v>1</v>
      </c>
      <c r="AF41" s="52">
        <f t="shared" si="19"/>
        <v>1</v>
      </c>
      <c r="AG41" s="52">
        <f t="shared" si="19"/>
        <v>1</v>
      </c>
      <c r="AH41" s="52">
        <f t="shared" si="19"/>
        <v>1</v>
      </c>
      <c r="AI41" s="52">
        <f t="shared" si="19"/>
        <v>1</v>
      </c>
      <c r="AJ41" s="52">
        <f t="shared" si="19"/>
        <v>1</v>
      </c>
      <c r="AK41" s="52">
        <f t="shared" si="19"/>
        <v>1</v>
      </c>
      <c r="AL41" s="52">
        <f t="shared" si="19"/>
        <v>1</v>
      </c>
      <c r="AM41" s="52">
        <f t="shared" si="19"/>
        <v>1</v>
      </c>
      <c r="AN41" s="52">
        <f t="shared" si="19"/>
        <v>1</v>
      </c>
      <c r="AO41" s="52">
        <f t="shared" si="19"/>
        <v>1</v>
      </c>
      <c r="AP41" s="52">
        <f t="shared" si="19"/>
        <v>1</v>
      </c>
      <c r="AQ41" s="52">
        <f t="shared" si="19"/>
        <v>1</v>
      </c>
      <c r="AR41" s="52">
        <f t="shared" si="19"/>
        <v>1</v>
      </c>
      <c r="AS41" s="52">
        <f t="shared" si="19"/>
        <v>1</v>
      </c>
      <c r="AT41" s="52">
        <f t="shared" si="19"/>
        <v>1</v>
      </c>
      <c r="AU41" s="52">
        <f t="shared" si="19"/>
        <v>1</v>
      </c>
      <c r="AV41" s="52">
        <f t="shared" si="19"/>
        <v>1</v>
      </c>
      <c r="AW41" s="52">
        <f t="shared" si="19"/>
        <v>1</v>
      </c>
      <c r="AX41" s="52">
        <f t="shared" si="19"/>
        <v>1</v>
      </c>
      <c r="AY41" s="52">
        <f t="shared" si="19"/>
        <v>1</v>
      </c>
      <c r="AZ41" s="52">
        <f t="shared" si="19"/>
        <v>1</v>
      </c>
      <c r="BA41" s="52">
        <f t="shared" si="19"/>
        <v>1</v>
      </c>
      <c r="BB41" s="52">
        <f t="shared" si="19"/>
        <v>1</v>
      </c>
      <c r="BC41" s="52">
        <f t="shared" si="19"/>
        <v>1</v>
      </c>
      <c r="BD41" s="52">
        <f t="shared" si="19"/>
        <v>1</v>
      </c>
      <c r="BE41" s="52">
        <f t="shared" si="19"/>
        <v>1</v>
      </c>
      <c r="BF41" s="52">
        <f t="shared" si="19"/>
        <v>1</v>
      </c>
      <c r="BG41" s="52">
        <f t="shared" si="19"/>
        <v>1</v>
      </c>
      <c r="BH41" s="52">
        <f t="shared" si="19"/>
        <v>1</v>
      </c>
      <c r="BI41" s="52">
        <f t="shared" si="19"/>
        <v>1</v>
      </c>
      <c r="BJ41" s="52">
        <f t="shared" si="19"/>
        <v>1</v>
      </c>
      <c r="BK41" s="52">
        <f t="shared" si="19"/>
        <v>1</v>
      </c>
      <c r="BL41" s="52">
        <f t="shared" si="19"/>
        <v>1</v>
      </c>
      <c r="BM41" s="52">
        <f t="shared" si="19"/>
        <v>1</v>
      </c>
      <c r="BN41" s="52">
        <f t="shared" si="19"/>
        <v>1</v>
      </c>
      <c r="BO41" s="32">
        <f t="shared" si="7"/>
        <v>0.86546610169491522</v>
      </c>
    </row>
    <row r="42" spans="1:67" s="27" customFormat="1" ht="18.75" hidden="1" customHeight="1" x14ac:dyDescent="0.25">
      <c r="A42" s="50" t="s">
        <v>81</v>
      </c>
      <c r="B42" s="50" t="s">
        <v>82</v>
      </c>
      <c r="C42" s="50" t="s">
        <v>74</v>
      </c>
      <c r="D42" s="51">
        <f>VLOOKUP(A42,'[1]Cuadro Control'!C38:J1972,8,FALSE)</f>
        <v>70893128.159999996</v>
      </c>
      <c r="E42" s="52">
        <f>IFERROR(D42/$D$39,0)</f>
        <v>8.4763508332988229E-3</v>
      </c>
      <c r="F42" s="53">
        <v>46273</v>
      </c>
      <c r="G42" s="53">
        <v>46281</v>
      </c>
      <c r="H42" s="52">
        <f t="shared" si="19"/>
        <v>0</v>
      </c>
      <c r="I42" s="52">
        <f t="shared" si="19"/>
        <v>0</v>
      </c>
      <c r="J42" s="52">
        <f t="shared" si="19"/>
        <v>0</v>
      </c>
      <c r="K42" s="52">
        <f t="shared" si="19"/>
        <v>0</v>
      </c>
      <c r="L42" s="52">
        <f t="shared" si="19"/>
        <v>0</v>
      </c>
      <c r="M42" s="52">
        <f t="shared" si="19"/>
        <v>0</v>
      </c>
      <c r="N42" s="52">
        <f t="shared" si="19"/>
        <v>0</v>
      </c>
      <c r="O42" s="52">
        <f t="shared" si="19"/>
        <v>0</v>
      </c>
      <c r="P42" s="52">
        <f t="shared" si="19"/>
        <v>0</v>
      </c>
      <c r="Q42" s="52">
        <f t="shared" si="19"/>
        <v>0.44444444444444442</v>
      </c>
      <c r="R42" s="52">
        <f t="shared" si="19"/>
        <v>1</v>
      </c>
      <c r="S42" s="52">
        <f t="shared" si="19"/>
        <v>1</v>
      </c>
      <c r="T42" s="52">
        <f t="shared" si="19"/>
        <v>1</v>
      </c>
      <c r="U42" s="52">
        <f t="shared" si="19"/>
        <v>1</v>
      </c>
      <c r="V42" s="52">
        <f t="shared" si="19"/>
        <v>1</v>
      </c>
      <c r="W42" s="52">
        <f t="shared" si="19"/>
        <v>1</v>
      </c>
      <c r="X42" s="52">
        <f t="shared" si="19"/>
        <v>1</v>
      </c>
      <c r="Y42" s="52">
        <f t="shared" si="19"/>
        <v>1</v>
      </c>
      <c r="Z42" s="52">
        <f t="shared" si="19"/>
        <v>1</v>
      </c>
      <c r="AA42" s="52">
        <f t="shared" si="19"/>
        <v>1</v>
      </c>
      <c r="AB42" s="52">
        <f t="shared" si="19"/>
        <v>1</v>
      </c>
      <c r="AC42" s="52">
        <f t="shared" si="19"/>
        <v>1</v>
      </c>
      <c r="AD42" s="52">
        <f t="shared" si="19"/>
        <v>1</v>
      </c>
      <c r="AE42" s="52">
        <f t="shared" si="19"/>
        <v>1</v>
      </c>
      <c r="AF42" s="52">
        <f t="shared" si="19"/>
        <v>1</v>
      </c>
      <c r="AG42" s="52">
        <f t="shared" si="19"/>
        <v>1</v>
      </c>
      <c r="AH42" s="52">
        <f t="shared" si="19"/>
        <v>1</v>
      </c>
      <c r="AI42" s="52">
        <f t="shared" si="19"/>
        <v>1</v>
      </c>
      <c r="AJ42" s="52">
        <f t="shared" si="19"/>
        <v>1</v>
      </c>
      <c r="AK42" s="52">
        <f t="shared" si="19"/>
        <v>1</v>
      </c>
      <c r="AL42" s="52">
        <f t="shared" si="19"/>
        <v>1</v>
      </c>
      <c r="AM42" s="52">
        <f t="shared" si="19"/>
        <v>1</v>
      </c>
      <c r="AN42" s="52">
        <f t="shared" si="19"/>
        <v>1</v>
      </c>
      <c r="AO42" s="52">
        <f t="shared" si="19"/>
        <v>1</v>
      </c>
      <c r="AP42" s="52">
        <f t="shared" si="19"/>
        <v>1</v>
      </c>
      <c r="AQ42" s="52">
        <f t="shared" si="19"/>
        <v>1</v>
      </c>
      <c r="AR42" s="52">
        <f t="shared" si="19"/>
        <v>1</v>
      </c>
      <c r="AS42" s="52">
        <f t="shared" si="19"/>
        <v>1</v>
      </c>
      <c r="AT42" s="52">
        <f t="shared" si="19"/>
        <v>1</v>
      </c>
      <c r="AU42" s="52">
        <f t="shared" si="19"/>
        <v>1</v>
      </c>
      <c r="AV42" s="52">
        <f t="shared" si="19"/>
        <v>1</v>
      </c>
      <c r="AW42" s="52">
        <f t="shared" si="19"/>
        <v>1</v>
      </c>
      <c r="AX42" s="52">
        <f t="shared" si="19"/>
        <v>1</v>
      </c>
      <c r="AY42" s="52">
        <f t="shared" si="19"/>
        <v>1</v>
      </c>
      <c r="AZ42" s="52">
        <f t="shared" si="19"/>
        <v>1</v>
      </c>
      <c r="BA42" s="52">
        <f t="shared" si="19"/>
        <v>1</v>
      </c>
      <c r="BB42" s="52">
        <f t="shared" si="19"/>
        <v>1</v>
      </c>
      <c r="BC42" s="52">
        <f t="shared" si="19"/>
        <v>1</v>
      </c>
      <c r="BD42" s="52">
        <f t="shared" si="19"/>
        <v>1</v>
      </c>
      <c r="BE42" s="52">
        <f t="shared" si="19"/>
        <v>1</v>
      </c>
      <c r="BF42" s="52">
        <f t="shared" si="19"/>
        <v>1</v>
      </c>
      <c r="BG42" s="52">
        <f t="shared" si="19"/>
        <v>1</v>
      </c>
      <c r="BH42" s="52">
        <f t="shared" si="19"/>
        <v>1</v>
      </c>
      <c r="BI42" s="52">
        <f t="shared" si="19"/>
        <v>1</v>
      </c>
      <c r="BJ42" s="52">
        <f t="shared" si="19"/>
        <v>1</v>
      </c>
      <c r="BK42" s="52">
        <f t="shared" si="19"/>
        <v>1</v>
      </c>
      <c r="BL42" s="52">
        <f t="shared" si="19"/>
        <v>1</v>
      </c>
      <c r="BM42" s="52">
        <f t="shared" si="19"/>
        <v>1</v>
      </c>
      <c r="BN42" s="52">
        <f t="shared" si="19"/>
        <v>1</v>
      </c>
      <c r="BO42" s="32">
        <f t="shared" si="7"/>
        <v>0.83804143126177022</v>
      </c>
    </row>
    <row r="43" spans="1:67" s="27" customFormat="1" ht="18.75" hidden="1" customHeight="1" x14ac:dyDescent="0.25">
      <c r="A43" s="50" t="s">
        <v>83</v>
      </c>
      <c r="B43" s="50" t="s">
        <v>84</v>
      </c>
      <c r="C43" s="50" t="s">
        <v>85</v>
      </c>
      <c r="D43" s="51">
        <f>VLOOKUP(A43,'[1]Cuadro Control'!C40:J1973,8,FALSE)</f>
        <v>8278790483.8199987</v>
      </c>
      <c r="E43" s="52">
        <f>IFERROR(D43/$D$39,0)</f>
        <v>0.98985521499146123</v>
      </c>
      <c r="F43" s="53">
        <v>46274</v>
      </c>
      <c r="G43" s="53">
        <v>46585</v>
      </c>
      <c r="H43" s="52">
        <f t="shared" si="19"/>
        <v>0</v>
      </c>
      <c r="I43" s="52">
        <f t="shared" si="19"/>
        <v>0</v>
      </c>
      <c r="J43" s="52">
        <f t="shared" si="19"/>
        <v>0</v>
      </c>
      <c r="K43" s="52">
        <f t="shared" si="19"/>
        <v>0</v>
      </c>
      <c r="L43" s="52">
        <f t="shared" si="19"/>
        <v>0</v>
      </c>
      <c r="M43" s="52">
        <f t="shared" si="19"/>
        <v>0</v>
      </c>
      <c r="N43" s="52">
        <f t="shared" si="19"/>
        <v>0</v>
      </c>
      <c r="O43" s="52">
        <f t="shared" si="19"/>
        <v>0</v>
      </c>
      <c r="P43" s="52">
        <f t="shared" si="19"/>
        <v>0</v>
      </c>
      <c r="Q43" s="52">
        <f t="shared" si="19"/>
        <v>9.6153846153846159E-3</v>
      </c>
      <c r="R43" s="52">
        <f t="shared" si="19"/>
        <v>3.2051282051282048E-2</v>
      </c>
      <c r="S43" s="52">
        <f t="shared" si="19"/>
        <v>5.4487179487179488E-2</v>
      </c>
      <c r="T43" s="52">
        <f t="shared" si="19"/>
        <v>7.6923076923076927E-2</v>
      </c>
      <c r="U43" s="52">
        <f t="shared" si="19"/>
        <v>9.9358974358974353E-2</v>
      </c>
      <c r="V43" s="52">
        <f t="shared" si="19"/>
        <v>0.12179487179487179</v>
      </c>
      <c r="W43" s="52">
        <f t="shared" si="19"/>
        <v>0.14423076923076922</v>
      </c>
      <c r="X43" s="52">
        <f t="shared" si="19"/>
        <v>0.16666666666666666</v>
      </c>
      <c r="Y43" s="52">
        <f t="shared" si="19"/>
        <v>0.1891025641025641</v>
      </c>
      <c r="Z43" s="52">
        <f t="shared" si="19"/>
        <v>0.21153846153846154</v>
      </c>
      <c r="AA43" s="52">
        <f t="shared" si="19"/>
        <v>0.23397435897435898</v>
      </c>
      <c r="AB43" s="52">
        <f t="shared" si="19"/>
        <v>0.25641025641025639</v>
      </c>
      <c r="AC43" s="52">
        <f t="shared" si="19"/>
        <v>0.27884615384615385</v>
      </c>
      <c r="AD43" s="52">
        <f t="shared" si="19"/>
        <v>0.30128205128205127</v>
      </c>
      <c r="AE43" s="52">
        <f t="shared" si="19"/>
        <v>0.32371794871794873</v>
      </c>
      <c r="AF43" s="52">
        <f t="shared" si="19"/>
        <v>0.34615384615384615</v>
      </c>
      <c r="AG43" s="52">
        <f t="shared" si="19"/>
        <v>0.36858974358974361</v>
      </c>
      <c r="AH43" s="52">
        <f t="shared" si="19"/>
        <v>0.39102564102564102</v>
      </c>
      <c r="AI43" s="52">
        <f t="shared" si="19"/>
        <v>0.41346153846153844</v>
      </c>
      <c r="AJ43" s="52">
        <f t="shared" si="19"/>
        <v>0.4358974358974359</v>
      </c>
      <c r="AK43" s="52">
        <f t="shared" si="19"/>
        <v>0.45833333333333331</v>
      </c>
      <c r="AL43" s="52">
        <f t="shared" si="19"/>
        <v>0.48076923076923078</v>
      </c>
      <c r="AM43" s="52">
        <f t="shared" si="19"/>
        <v>0.50320512820512819</v>
      </c>
      <c r="AN43" s="52">
        <f t="shared" si="19"/>
        <v>0.52564102564102566</v>
      </c>
      <c r="AO43" s="52">
        <f t="shared" si="19"/>
        <v>0.54807692307692313</v>
      </c>
      <c r="AP43" s="52">
        <f t="shared" si="19"/>
        <v>0.57051282051282048</v>
      </c>
      <c r="AQ43" s="52">
        <f t="shared" si="19"/>
        <v>0.59294871794871795</v>
      </c>
      <c r="AR43" s="52">
        <f t="shared" si="19"/>
        <v>0.61538461538461542</v>
      </c>
      <c r="AS43" s="52">
        <f t="shared" si="19"/>
        <v>0.63782051282051277</v>
      </c>
      <c r="AT43" s="52">
        <f t="shared" si="19"/>
        <v>0.66025641025641024</v>
      </c>
      <c r="AU43" s="52">
        <f t="shared" si="19"/>
        <v>0.68269230769230771</v>
      </c>
      <c r="AV43" s="52">
        <f t="shared" si="19"/>
        <v>0.70512820512820518</v>
      </c>
      <c r="AW43" s="52">
        <f t="shared" si="19"/>
        <v>0.72756410256410253</v>
      </c>
      <c r="AX43" s="52">
        <f t="shared" si="19"/>
        <v>0.75</v>
      </c>
      <c r="AY43" s="52">
        <f t="shared" si="19"/>
        <v>0.77243589743589747</v>
      </c>
      <c r="AZ43" s="52">
        <f t="shared" si="19"/>
        <v>0.79487179487179482</v>
      </c>
      <c r="BA43" s="52">
        <f t="shared" si="19"/>
        <v>0.81730769230769229</v>
      </c>
      <c r="BB43" s="52">
        <f t="shared" si="19"/>
        <v>0.83974358974358976</v>
      </c>
      <c r="BC43" s="52">
        <f t="shared" si="19"/>
        <v>0.86217948717948723</v>
      </c>
      <c r="BD43" s="52">
        <f t="shared" si="19"/>
        <v>0.88461538461538458</v>
      </c>
      <c r="BE43" s="52">
        <f t="shared" si="19"/>
        <v>0.90705128205128205</v>
      </c>
      <c r="BF43" s="52">
        <f t="shared" si="19"/>
        <v>0.92948717948717952</v>
      </c>
      <c r="BG43" s="52">
        <f t="shared" si="19"/>
        <v>0.95192307692307687</v>
      </c>
      <c r="BH43" s="52">
        <f t="shared" si="19"/>
        <v>0.97435897435897434</v>
      </c>
      <c r="BI43" s="52">
        <f t="shared" si="19"/>
        <v>0.99679487179487181</v>
      </c>
      <c r="BJ43" s="52">
        <f t="shared" si="19"/>
        <v>1</v>
      </c>
      <c r="BK43" s="52">
        <f t="shared" si="19"/>
        <v>1</v>
      </c>
      <c r="BL43" s="52">
        <f t="shared" si="19"/>
        <v>1</v>
      </c>
      <c r="BM43" s="52">
        <f t="shared" si="19"/>
        <v>1</v>
      </c>
      <c r="BN43" s="52">
        <f t="shared" si="19"/>
        <v>1</v>
      </c>
      <c r="BO43" s="32">
        <f t="shared" si="7"/>
        <v>0.46854628422425026</v>
      </c>
    </row>
    <row r="44" spans="1:67" s="27" customFormat="1" ht="18.75" hidden="1" customHeight="1" x14ac:dyDescent="0.25">
      <c r="A44" s="21">
        <v>9</v>
      </c>
      <c r="B44" s="21" t="s">
        <v>86</v>
      </c>
      <c r="C44" s="21" t="s">
        <v>87</v>
      </c>
      <c r="D44" s="33">
        <f>+D45+D54+D63+D72+D81+D90+D99</f>
        <v>6460662751.0833588</v>
      </c>
      <c r="E44" s="24">
        <f t="shared" si="6"/>
        <v>3.0994404980203848E-2</v>
      </c>
      <c r="F44" s="25">
        <v>46228</v>
      </c>
      <c r="G44" s="25">
        <v>46360</v>
      </c>
      <c r="H44" s="24">
        <f>$E45*H45+$E54*H54+$E63*H63+$E72*H72+$E81*H81+$E90*H90+$E99*H99</f>
        <v>0</v>
      </c>
      <c r="I44" s="24">
        <f t="shared" ref="I44:BN44" si="20">$E45*I45+$E54*I54+$E63*I63+$E72*I72+$E81*I81+$E90*I90+$E99*I99</f>
        <v>0</v>
      </c>
      <c r="J44" s="24">
        <f t="shared" si="20"/>
        <v>0</v>
      </c>
      <c r="K44" s="24">
        <f t="shared" si="20"/>
        <v>8.8775510204081629E-2</v>
      </c>
      <c r="L44" s="24">
        <f t="shared" si="20"/>
        <v>0.18</v>
      </c>
      <c r="M44" s="24">
        <f t="shared" si="20"/>
        <v>0.18857142857142856</v>
      </c>
      <c r="N44" s="24">
        <f t="shared" si="20"/>
        <v>0.18857142857142856</v>
      </c>
      <c r="O44" s="24">
        <f t="shared" si="20"/>
        <v>0.20880952380952378</v>
      </c>
      <c r="P44" s="24">
        <f t="shared" si="20"/>
        <v>0.27391156462585026</v>
      </c>
      <c r="Q44" s="24">
        <f t="shared" si="20"/>
        <v>0.37085714285714277</v>
      </c>
      <c r="R44" s="24">
        <f t="shared" si="20"/>
        <v>0.42114285714285704</v>
      </c>
      <c r="S44" s="24">
        <f t="shared" si="20"/>
        <v>0.43999999999999989</v>
      </c>
      <c r="T44" s="24">
        <f t="shared" si="20"/>
        <v>0.43999999999999989</v>
      </c>
      <c r="U44" s="24">
        <f t="shared" si="20"/>
        <v>0.45020408163265291</v>
      </c>
      <c r="V44" s="24">
        <f t="shared" si="20"/>
        <v>0.51619047619047609</v>
      </c>
      <c r="W44" s="24">
        <f t="shared" si="20"/>
        <v>0.6349999999999999</v>
      </c>
      <c r="X44" s="24">
        <f t="shared" si="20"/>
        <v>0.72333333333333316</v>
      </c>
      <c r="Y44" s="24">
        <f t="shared" si="20"/>
        <v>0.79214285714285704</v>
      </c>
      <c r="Z44" s="24">
        <f t="shared" si="20"/>
        <v>0.86142857142857132</v>
      </c>
      <c r="AA44" s="24">
        <f t="shared" si="20"/>
        <v>0.93071428571428561</v>
      </c>
      <c r="AB44" s="24">
        <f t="shared" si="20"/>
        <v>0.99285714285714266</v>
      </c>
      <c r="AC44" s="24">
        <f t="shared" si="20"/>
        <v>0.99999999999999978</v>
      </c>
      <c r="AD44" s="24">
        <f t="shared" si="20"/>
        <v>0.99999999999999978</v>
      </c>
      <c r="AE44" s="24">
        <f t="shared" si="20"/>
        <v>0.99999999999999978</v>
      </c>
      <c r="AF44" s="24">
        <f t="shared" si="20"/>
        <v>0.99999999999999978</v>
      </c>
      <c r="AG44" s="24">
        <f t="shared" si="20"/>
        <v>0.99999999999999978</v>
      </c>
      <c r="AH44" s="24">
        <f t="shared" si="20"/>
        <v>0.99999999999999978</v>
      </c>
      <c r="AI44" s="24">
        <f t="shared" si="20"/>
        <v>0.99999999999999978</v>
      </c>
      <c r="AJ44" s="24">
        <f t="shared" si="20"/>
        <v>0.99999999999999978</v>
      </c>
      <c r="AK44" s="24">
        <f t="shared" si="20"/>
        <v>0.99999999999999978</v>
      </c>
      <c r="AL44" s="24">
        <f t="shared" si="20"/>
        <v>0.99999999999999978</v>
      </c>
      <c r="AM44" s="24">
        <f t="shared" si="20"/>
        <v>0.99999999999999978</v>
      </c>
      <c r="AN44" s="24">
        <f t="shared" si="20"/>
        <v>0.99999999999999978</v>
      </c>
      <c r="AO44" s="24">
        <f t="shared" si="20"/>
        <v>0.99999999999999978</v>
      </c>
      <c r="AP44" s="24">
        <f t="shared" si="20"/>
        <v>0.99999999999999978</v>
      </c>
      <c r="AQ44" s="24">
        <f t="shared" si="20"/>
        <v>0.99999999999999978</v>
      </c>
      <c r="AR44" s="24">
        <f t="shared" si="20"/>
        <v>0.99999999999999978</v>
      </c>
      <c r="AS44" s="24">
        <f t="shared" si="20"/>
        <v>0.99999999999999978</v>
      </c>
      <c r="AT44" s="24">
        <f t="shared" si="20"/>
        <v>0.99999999999999978</v>
      </c>
      <c r="AU44" s="24">
        <f t="shared" si="20"/>
        <v>0.99999999999999978</v>
      </c>
      <c r="AV44" s="24">
        <f t="shared" si="20"/>
        <v>0.99999999999999978</v>
      </c>
      <c r="AW44" s="24">
        <f t="shared" si="20"/>
        <v>0.99999999999999978</v>
      </c>
      <c r="AX44" s="24">
        <f t="shared" si="20"/>
        <v>0.99999999999999978</v>
      </c>
      <c r="AY44" s="24">
        <f t="shared" si="20"/>
        <v>0.99999999999999978</v>
      </c>
      <c r="AZ44" s="24">
        <f t="shared" si="20"/>
        <v>0.99999999999999978</v>
      </c>
      <c r="BA44" s="24">
        <f t="shared" si="20"/>
        <v>0.99999999999999978</v>
      </c>
      <c r="BB44" s="24">
        <f t="shared" si="20"/>
        <v>0.99999999999999978</v>
      </c>
      <c r="BC44" s="24">
        <f t="shared" si="20"/>
        <v>0.99999999999999978</v>
      </c>
      <c r="BD44" s="24">
        <f t="shared" si="20"/>
        <v>0.99999999999999978</v>
      </c>
      <c r="BE44" s="24">
        <f t="shared" si="20"/>
        <v>0.99999999999999978</v>
      </c>
      <c r="BF44" s="24">
        <f t="shared" si="20"/>
        <v>0.99999999999999978</v>
      </c>
      <c r="BG44" s="24">
        <f t="shared" si="20"/>
        <v>0.99999999999999978</v>
      </c>
      <c r="BH44" s="24">
        <f t="shared" si="20"/>
        <v>0.99999999999999978</v>
      </c>
      <c r="BI44" s="24">
        <f t="shared" si="20"/>
        <v>0.99999999999999978</v>
      </c>
      <c r="BJ44" s="24">
        <f t="shared" si="20"/>
        <v>0.99999999999999978</v>
      </c>
      <c r="BK44" s="24">
        <f t="shared" si="20"/>
        <v>0.99999999999999978</v>
      </c>
      <c r="BL44" s="24">
        <f t="shared" si="20"/>
        <v>0.99999999999999978</v>
      </c>
      <c r="BM44" s="24">
        <f t="shared" si="20"/>
        <v>0.99999999999999978</v>
      </c>
      <c r="BN44" s="24">
        <f t="shared" si="20"/>
        <v>0.99999999999999978</v>
      </c>
      <c r="BO44" s="32">
        <f t="shared" si="7"/>
        <v>0.79156796956070552</v>
      </c>
    </row>
    <row r="45" spans="1:67" s="27" customFormat="1" ht="18.75" customHeight="1" x14ac:dyDescent="0.25">
      <c r="A45" s="42" t="s">
        <v>88</v>
      </c>
      <c r="B45" s="42" t="s">
        <v>89</v>
      </c>
      <c r="C45" s="42">
        <v>18</v>
      </c>
      <c r="D45" s="43">
        <f>SUM(D46:D53)</f>
        <v>922951821.58333695</v>
      </c>
      <c r="E45" s="44">
        <f>IFERROR(D45/$D$44,0)</f>
        <v>0.14285714285714285</v>
      </c>
      <c r="F45" s="45">
        <v>46268</v>
      </c>
      <c r="G45" s="45">
        <v>46329</v>
      </c>
      <c r="H45" s="44">
        <f>SUMPRODUCT($E46:$E53,H46:H53)</f>
        <v>0</v>
      </c>
      <c r="I45" s="44">
        <f t="shared" ref="I45:BN45" si="21">SUMPRODUCT($E46:$E53,I46:I53)</f>
        <v>0</v>
      </c>
      <c r="J45" s="44">
        <f t="shared" si="21"/>
        <v>0</v>
      </c>
      <c r="K45" s="44">
        <f t="shared" si="21"/>
        <v>0</v>
      </c>
      <c r="L45" s="44">
        <f t="shared" si="21"/>
        <v>0</v>
      </c>
      <c r="M45" s="44">
        <f t="shared" si="21"/>
        <v>0</v>
      </c>
      <c r="N45" s="44">
        <f t="shared" si="21"/>
        <v>0</v>
      </c>
      <c r="O45" s="44">
        <f t="shared" si="21"/>
        <v>0</v>
      </c>
      <c r="P45" s="44">
        <f t="shared" si="21"/>
        <v>6.6666666666666666E-2</v>
      </c>
      <c r="Q45" s="44">
        <f t="shared" si="21"/>
        <v>0.35</v>
      </c>
      <c r="R45" s="44">
        <f t="shared" si="21"/>
        <v>0.36799999999999999</v>
      </c>
      <c r="S45" s="44">
        <f t="shared" si="21"/>
        <v>0.43999999999999995</v>
      </c>
      <c r="T45" s="44">
        <f t="shared" si="21"/>
        <v>0.43999999999999995</v>
      </c>
      <c r="U45" s="44">
        <f t="shared" si="21"/>
        <v>0.43999999999999995</v>
      </c>
      <c r="V45" s="44">
        <f t="shared" si="21"/>
        <v>0.48166666666666663</v>
      </c>
      <c r="W45" s="44">
        <f t="shared" si="21"/>
        <v>0.90500000000000003</v>
      </c>
      <c r="X45" s="44">
        <f t="shared" si="21"/>
        <v>0.96</v>
      </c>
      <c r="Y45" s="44">
        <f t="shared" si="21"/>
        <v>1</v>
      </c>
      <c r="Z45" s="44">
        <f t="shared" si="21"/>
        <v>1</v>
      </c>
      <c r="AA45" s="44">
        <f t="shared" si="21"/>
        <v>1</v>
      </c>
      <c r="AB45" s="44">
        <f t="shared" si="21"/>
        <v>1</v>
      </c>
      <c r="AC45" s="44">
        <f t="shared" si="21"/>
        <v>1</v>
      </c>
      <c r="AD45" s="44">
        <f t="shared" si="21"/>
        <v>1</v>
      </c>
      <c r="AE45" s="44">
        <f t="shared" si="21"/>
        <v>1</v>
      </c>
      <c r="AF45" s="44">
        <f t="shared" si="21"/>
        <v>1</v>
      </c>
      <c r="AG45" s="44">
        <f t="shared" si="21"/>
        <v>1</v>
      </c>
      <c r="AH45" s="44">
        <f t="shared" si="21"/>
        <v>1</v>
      </c>
      <c r="AI45" s="44">
        <f t="shared" si="21"/>
        <v>1</v>
      </c>
      <c r="AJ45" s="44">
        <f t="shared" si="21"/>
        <v>1</v>
      </c>
      <c r="AK45" s="44">
        <f t="shared" si="21"/>
        <v>1</v>
      </c>
      <c r="AL45" s="44">
        <f t="shared" si="21"/>
        <v>1</v>
      </c>
      <c r="AM45" s="44">
        <f t="shared" si="21"/>
        <v>1</v>
      </c>
      <c r="AN45" s="44">
        <f t="shared" si="21"/>
        <v>1</v>
      </c>
      <c r="AO45" s="44">
        <f t="shared" si="21"/>
        <v>1</v>
      </c>
      <c r="AP45" s="44">
        <f t="shared" si="21"/>
        <v>1</v>
      </c>
      <c r="AQ45" s="44">
        <f t="shared" si="21"/>
        <v>1</v>
      </c>
      <c r="AR45" s="44">
        <f t="shared" si="21"/>
        <v>1</v>
      </c>
      <c r="AS45" s="44">
        <f t="shared" si="21"/>
        <v>1</v>
      </c>
      <c r="AT45" s="44">
        <f t="shared" si="21"/>
        <v>1</v>
      </c>
      <c r="AU45" s="44">
        <f t="shared" si="21"/>
        <v>1</v>
      </c>
      <c r="AV45" s="44">
        <f t="shared" si="21"/>
        <v>1</v>
      </c>
      <c r="AW45" s="44">
        <f t="shared" si="21"/>
        <v>1</v>
      </c>
      <c r="AX45" s="44">
        <f t="shared" si="21"/>
        <v>1</v>
      </c>
      <c r="AY45" s="44">
        <f t="shared" si="21"/>
        <v>1</v>
      </c>
      <c r="AZ45" s="44">
        <f t="shared" si="21"/>
        <v>1</v>
      </c>
      <c r="BA45" s="44">
        <f t="shared" si="21"/>
        <v>1</v>
      </c>
      <c r="BB45" s="44">
        <f t="shared" si="21"/>
        <v>1</v>
      </c>
      <c r="BC45" s="44">
        <f t="shared" si="21"/>
        <v>1</v>
      </c>
      <c r="BD45" s="44">
        <f t="shared" si="21"/>
        <v>1</v>
      </c>
      <c r="BE45" s="44">
        <f t="shared" si="21"/>
        <v>1</v>
      </c>
      <c r="BF45" s="44">
        <f t="shared" si="21"/>
        <v>1</v>
      </c>
      <c r="BG45" s="44">
        <f t="shared" si="21"/>
        <v>1</v>
      </c>
      <c r="BH45" s="44">
        <f t="shared" si="21"/>
        <v>1</v>
      </c>
      <c r="BI45" s="44">
        <f t="shared" si="21"/>
        <v>1</v>
      </c>
      <c r="BJ45" s="44">
        <f t="shared" si="21"/>
        <v>1</v>
      </c>
      <c r="BK45" s="44">
        <f t="shared" si="21"/>
        <v>1</v>
      </c>
      <c r="BL45" s="44">
        <f t="shared" si="21"/>
        <v>1</v>
      </c>
      <c r="BM45" s="44">
        <f t="shared" si="21"/>
        <v>1</v>
      </c>
      <c r="BN45" s="44">
        <f t="shared" si="21"/>
        <v>1</v>
      </c>
      <c r="BO45" s="32">
        <f t="shared" si="7"/>
        <v>0.78731073446327693</v>
      </c>
    </row>
    <row r="46" spans="1:67" s="27" customFormat="1" ht="18.75" customHeight="1" x14ac:dyDescent="0.25">
      <c r="A46" s="54" t="s">
        <v>90</v>
      </c>
      <c r="B46" s="54" t="s">
        <v>91</v>
      </c>
      <c r="C46" s="50">
        <v>1</v>
      </c>
      <c r="D46" s="51">
        <f>VLOOKUP(A46,'[1]Cuadro Control'!C46:J1976,8,FALSE)</f>
        <v>90662604.648000002</v>
      </c>
      <c r="E46" s="52">
        <v>0.1</v>
      </c>
      <c r="F46" s="53">
        <v>46268</v>
      </c>
      <c r="G46" s="53">
        <v>46270</v>
      </c>
      <c r="H46" s="52">
        <f t="shared" ref="H46:W53" si="22">IF($F46=0,0,IF(H$6&lt;$F46,0,IF(H$6&gt;$G46,1,(H$6-$F46+1)/($G46-$F46+1))))</f>
        <v>0</v>
      </c>
      <c r="I46" s="52">
        <f t="shared" si="22"/>
        <v>0</v>
      </c>
      <c r="J46" s="52">
        <f t="shared" si="22"/>
        <v>0</v>
      </c>
      <c r="K46" s="52">
        <f t="shared" si="22"/>
        <v>0</v>
      </c>
      <c r="L46" s="52">
        <f t="shared" si="22"/>
        <v>0</v>
      </c>
      <c r="M46" s="52">
        <f t="shared" si="22"/>
        <v>0</v>
      </c>
      <c r="N46" s="52">
        <f t="shared" si="22"/>
        <v>0</v>
      </c>
      <c r="O46" s="52">
        <f t="shared" si="22"/>
        <v>0</v>
      </c>
      <c r="P46" s="52">
        <f t="shared" si="22"/>
        <v>0.66666666666666663</v>
      </c>
      <c r="Q46" s="52">
        <f t="shared" si="22"/>
        <v>1</v>
      </c>
      <c r="R46" s="52">
        <f t="shared" si="22"/>
        <v>1</v>
      </c>
      <c r="S46" s="52">
        <f t="shared" si="22"/>
        <v>1</v>
      </c>
      <c r="T46" s="52">
        <f t="shared" si="22"/>
        <v>1</v>
      </c>
      <c r="U46" s="52">
        <f t="shared" si="22"/>
        <v>1</v>
      </c>
      <c r="V46" s="52">
        <f t="shared" si="22"/>
        <v>1</v>
      </c>
      <c r="W46" s="52">
        <f t="shared" si="22"/>
        <v>1</v>
      </c>
      <c r="X46" s="52">
        <f t="shared" ref="X46:AM53" si="23">IF($F46=0,0,IF(X$6&lt;$F46,0,IF(X$6&gt;$G46,1,(X$6-$F46+1)/($G46-$F46+1))))</f>
        <v>1</v>
      </c>
      <c r="Y46" s="52">
        <f t="shared" si="23"/>
        <v>1</v>
      </c>
      <c r="Z46" s="52">
        <f t="shared" si="23"/>
        <v>1</v>
      </c>
      <c r="AA46" s="52">
        <f t="shared" si="23"/>
        <v>1</v>
      </c>
      <c r="AB46" s="52">
        <f t="shared" si="23"/>
        <v>1</v>
      </c>
      <c r="AC46" s="52">
        <f t="shared" si="23"/>
        <v>1</v>
      </c>
      <c r="AD46" s="52">
        <f t="shared" si="23"/>
        <v>1</v>
      </c>
      <c r="AE46" s="52">
        <f t="shared" si="23"/>
        <v>1</v>
      </c>
      <c r="AF46" s="52">
        <f t="shared" si="23"/>
        <v>1</v>
      </c>
      <c r="AG46" s="52">
        <f t="shared" si="23"/>
        <v>1</v>
      </c>
      <c r="AH46" s="52">
        <f t="shared" si="23"/>
        <v>1</v>
      </c>
      <c r="AI46" s="52">
        <f t="shared" si="23"/>
        <v>1</v>
      </c>
      <c r="AJ46" s="52">
        <f t="shared" si="23"/>
        <v>1</v>
      </c>
      <c r="AK46" s="52">
        <f t="shared" si="23"/>
        <v>1</v>
      </c>
      <c r="AL46" s="52">
        <f t="shared" si="23"/>
        <v>1</v>
      </c>
      <c r="AM46" s="52">
        <f t="shared" si="23"/>
        <v>1</v>
      </c>
      <c r="AN46" s="52">
        <f t="shared" ref="AN46:BC53" si="24">IF($F46=0,0,IF(AN$6&lt;$F46,0,IF(AN$6&gt;$G46,1,(AN$6-$F46+1)/($G46-$F46+1))))</f>
        <v>1</v>
      </c>
      <c r="AO46" s="52">
        <f t="shared" si="24"/>
        <v>1</v>
      </c>
      <c r="AP46" s="52">
        <f t="shared" si="24"/>
        <v>1</v>
      </c>
      <c r="AQ46" s="52">
        <f t="shared" si="24"/>
        <v>1</v>
      </c>
      <c r="AR46" s="52">
        <f t="shared" si="24"/>
        <v>1</v>
      </c>
      <c r="AS46" s="52">
        <f t="shared" si="24"/>
        <v>1</v>
      </c>
      <c r="AT46" s="52">
        <f t="shared" si="24"/>
        <v>1</v>
      </c>
      <c r="AU46" s="52">
        <f t="shared" si="24"/>
        <v>1</v>
      </c>
      <c r="AV46" s="52">
        <f t="shared" si="24"/>
        <v>1</v>
      </c>
      <c r="AW46" s="52">
        <f t="shared" si="24"/>
        <v>1</v>
      </c>
      <c r="AX46" s="52">
        <f t="shared" si="24"/>
        <v>1</v>
      </c>
      <c r="AY46" s="52">
        <f t="shared" si="24"/>
        <v>1</v>
      </c>
      <c r="AZ46" s="52">
        <f t="shared" si="24"/>
        <v>1</v>
      </c>
      <c r="BA46" s="52">
        <f t="shared" si="24"/>
        <v>1</v>
      </c>
      <c r="BB46" s="52">
        <f t="shared" si="24"/>
        <v>1</v>
      </c>
      <c r="BC46" s="52">
        <f t="shared" si="24"/>
        <v>1</v>
      </c>
      <c r="BD46" s="52">
        <f t="shared" ref="BD46:BN53" si="25">IF($F46=0,0,IF(BD$6&lt;$F46,0,IF(BD$6&gt;$G46,1,(BD$6-$F46+1)/($G46-$F46+1))))</f>
        <v>1</v>
      </c>
      <c r="BE46" s="52">
        <f t="shared" si="25"/>
        <v>1</v>
      </c>
      <c r="BF46" s="52">
        <f t="shared" si="25"/>
        <v>1</v>
      </c>
      <c r="BG46" s="52">
        <f t="shared" si="25"/>
        <v>1</v>
      </c>
      <c r="BH46" s="52">
        <f t="shared" si="25"/>
        <v>1</v>
      </c>
      <c r="BI46" s="52">
        <f t="shared" si="25"/>
        <v>1</v>
      </c>
      <c r="BJ46" s="52">
        <f t="shared" si="25"/>
        <v>1</v>
      </c>
      <c r="BK46" s="52">
        <f t="shared" si="25"/>
        <v>1</v>
      </c>
      <c r="BL46" s="52">
        <f t="shared" si="25"/>
        <v>1</v>
      </c>
      <c r="BM46" s="52">
        <f t="shared" si="25"/>
        <v>1</v>
      </c>
      <c r="BN46" s="52">
        <f t="shared" si="25"/>
        <v>1</v>
      </c>
      <c r="BO46" s="32">
        <f t="shared" si="7"/>
        <v>0.85875706214689262</v>
      </c>
    </row>
    <row r="47" spans="1:67" s="27" customFormat="1" ht="18.75" customHeight="1" x14ac:dyDescent="0.25">
      <c r="A47" s="54" t="s">
        <v>92</v>
      </c>
      <c r="B47" s="54" t="s">
        <v>93</v>
      </c>
      <c r="C47" s="50">
        <v>4</v>
      </c>
      <c r="D47" s="51">
        <f>VLOOKUP(A47,'[1]Cuadro Control'!C47:J1977,8,FALSE)</f>
        <v>230777539.104</v>
      </c>
      <c r="E47" s="52">
        <v>0.25</v>
      </c>
      <c r="F47" s="53">
        <v>46270</v>
      </c>
      <c r="G47" s="53">
        <v>46275</v>
      </c>
      <c r="H47" s="52">
        <f t="shared" si="22"/>
        <v>0</v>
      </c>
      <c r="I47" s="52">
        <f t="shared" si="22"/>
        <v>0</v>
      </c>
      <c r="J47" s="52">
        <f t="shared" si="22"/>
        <v>0</v>
      </c>
      <c r="K47" s="52">
        <f t="shared" si="22"/>
        <v>0</v>
      </c>
      <c r="L47" s="52">
        <f t="shared" si="22"/>
        <v>0</v>
      </c>
      <c r="M47" s="52">
        <f t="shared" si="22"/>
        <v>0</v>
      </c>
      <c r="N47" s="52">
        <f t="shared" si="22"/>
        <v>0</v>
      </c>
      <c r="O47" s="52">
        <f t="shared" si="22"/>
        <v>0</v>
      </c>
      <c r="P47" s="52">
        <f t="shared" si="22"/>
        <v>0</v>
      </c>
      <c r="Q47" s="52">
        <f t="shared" si="22"/>
        <v>1</v>
      </c>
      <c r="R47" s="52">
        <f t="shared" si="22"/>
        <v>1</v>
      </c>
      <c r="S47" s="52">
        <f t="shared" si="22"/>
        <v>1</v>
      </c>
      <c r="T47" s="52">
        <f t="shared" si="22"/>
        <v>1</v>
      </c>
      <c r="U47" s="52">
        <f t="shared" si="22"/>
        <v>1</v>
      </c>
      <c r="V47" s="52">
        <f t="shared" si="22"/>
        <v>1</v>
      </c>
      <c r="W47" s="52">
        <f t="shared" si="22"/>
        <v>1</v>
      </c>
      <c r="X47" s="52">
        <f t="shared" si="23"/>
        <v>1</v>
      </c>
      <c r="Y47" s="52">
        <f t="shared" si="23"/>
        <v>1</v>
      </c>
      <c r="Z47" s="52">
        <f t="shared" si="23"/>
        <v>1</v>
      </c>
      <c r="AA47" s="52">
        <f t="shared" si="23"/>
        <v>1</v>
      </c>
      <c r="AB47" s="52">
        <f t="shared" si="23"/>
        <v>1</v>
      </c>
      <c r="AC47" s="52">
        <f t="shared" si="23"/>
        <v>1</v>
      </c>
      <c r="AD47" s="52">
        <f t="shared" si="23"/>
        <v>1</v>
      </c>
      <c r="AE47" s="52">
        <f t="shared" si="23"/>
        <v>1</v>
      </c>
      <c r="AF47" s="52">
        <f t="shared" si="23"/>
        <v>1</v>
      </c>
      <c r="AG47" s="52">
        <f t="shared" si="23"/>
        <v>1</v>
      </c>
      <c r="AH47" s="52">
        <f t="shared" si="23"/>
        <v>1</v>
      </c>
      <c r="AI47" s="52">
        <f t="shared" si="23"/>
        <v>1</v>
      </c>
      <c r="AJ47" s="52">
        <f t="shared" si="23"/>
        <v>1</v>
      </c>
      <c r="AK47" s="52">
        <f t="shared" si="23"/>
        <v>1</v>
      </c>
      <c r="AL47" s="52">
        <f t="shared" si="23"/>
        <v>1</v>
      </c>
      <c r="AM47" s="52">
        <f t="shared" si="23"/>
        <v>1</v>
      </c>
      <c r="AN47" s="52">
        <f t="shared" si="24"/>
        <v>1</v>
      </c>
      <c r="AO47" s="52">
        <f t="shared" si="24"/>
        <v>1</v>
      </c>
      <c r="AP47" s="52">
        <f t="shared" si="24"/>
        <v>1</v>
      </c>
      <c r="AQ47" s="52">
        <f t="shared" si="24"/>
        <v>1</v>
      </c>
      <c r="AR47" s="52">
        <f t="shared" si="24"/>
        <v>1</v>
      </c>
      <c r="AS47" s="52">
        <f t="shared" si="24"/>
        <v>1</v>
      </c>
      <c r="AT47" s="52">
        <f t="shared" si="24"/>
        <v>1</v>
      </c>
      <c r="AU47" s="52">
        <f t="shared" si="24"/>
        <v>1</v>
      </c>
      <c r="AV47" s="52">
        <f t="shared" si="24"/>
        <v>1</v>
      </c>
      <c r="AW47" s="52">
        <f t="shared" si="24"/>
        <v>1</v>
      </c>
      <c r="AX47" s="52">
        <f t="shared" si="24"/>
        <v>1</v>
      </c>
      <c r="AY47" s="52">
        <f t="shared" si="24"/>
        <v>1</v>
      </c>
      <c r="AZ47" s="52">
        <f t="shared" si="24"/>
        <v>1</v>
      </c>
      <c r="BA47" s="52">
        <f t="shared" si="24"/>
        <v>1</v>
      </c>
      <c r="BB47" s="52">
        <f t="shared" si="24"/>
        <v>1</v>
      </c>
      <c r="BC47" s="52">
        <f t="shared" si="24"/>
        <v>1</v>
      </c>
      <c r="BD47" s="52">
        <f t="shared" si="25"/>
        <v>1</v>
      </c>
      <c r="BE47" s="52">
        <f t="shared" si="25"/>
        <v>1</v>
      </c>
      <c r="BF47" s="52">
        <f t="shared" si="25"/>
        <v>1</v>
      </c>
      <c r="BG47" s="52">
        <f t="shared" si="25"/>
        <v>1</v>
      </c>
      <c r="BH47" s="52">
        <f t="shared" si="25"/>
        <v>1</v>
      </c>
      <c r="BI47" s="52">
        <f t="shared" si="25"/>
        <v>1</v>
      </c>
      <c r="BJ47" s="52">
        <f t="shared" si="25"/>
        <v>1</v>
      </c>
      <c r="BK47" s="52">
        <f t="shared" si="25"/>
        <v>1</v>
      </c>
      <c r="BL47" s="52">
        <f t="shared" si="25"/>
        <v>1</v>
      </c>
      <c r="BM47" s="52">
        <f t="shared" si="25"/>
        <v>1</v>
      </c>
      <c r="BN47" s="52">
        <f t="shared" si="25"/>
        <v>1</v>
      </c>
      <c r="BO47" s="32">
        <f t="shared" si="7"/>
        <v>0.84745762711864403</v>
      </c>
    </row>
    <row r="48" spans="1:67" s="27" customFormat="1" ht="18.75" customHeight="1" x14ac:dyDescent="0.25">
      <c r="A48" s="50" t="s">
        <v>94</v>
      </c>
      <c r="B48" s="50" t="s">
        <v>95</v>
      </c>
      <c r="C48" s="50">
        <v>2</v>
      </c>
      <c r="D48" s="51">
        <f>VLOOKUP(A48,'[1]Cuadro Control'!C48:J1978,8,FALSE)</f>
        <v>82420549.679999992</v>
      </c>
      <c r="E48" s="52">
        <v>0.09</v>
      </c>
      <c r="F48" s="53">
        <v>46283</v>
      </c>
      <c r="G48" s="53">
        <v>46287</v>
      </c>
      <c r="H48" s="52">
        <f t="shared" si="22"/>
        <v>0</v>
      </c>
      <c r="I48" s="52">
        <f t="shared" si="22"/>
        <v>0</v>
      </c>
      <c r="J48" s="52">
        <f t="shared" si="22"/>
        <v>0</v>
      </c>
      <c r="K48" s="52">
        <f t="shared" si="22"/>
        <v>0</v>
      </c>
      <c r="L48" s="52">
        <f t="shared" si="22"/>
        <v>0</v>
      </c>
      <c r="M48" s="52">
        <f t="shared" si="22"/>
        <v>0</v>
      </c>
      <c r="N48" s="52">
        <f t="shared" si="22"/>
        <v>0</v>
      </c>
      <c r="O48" s="52">
        <f t="shared" si="22"/>
        <v>0</v>
      </c>
      <c r="P48" s="52">
        <f t="shared" si="22"/>
        <v>0</v>
      </c>
      <c r="Q48" s="52">
        <f t="shared" si="22"/>
        <v>0</v>
      </c>
      <c r="R48" s="52">
        <f t="shared" si="22"/>
        <v>0.2</v>
      </c>
      <c r="S48" s="52">
        <f t="shared" si="22"/>
        <v>1</v>
      </c>
      <c r="T48" s="52">
        <f t="shared" si="22"/>
        <v>1</v>
      </c>
      <c r="U48" s="52">
        <f t="shared" si="22"/>
        <v>1</v>
      </c>
      <c r="V48" s="52">
        <f t="shared" si="22"/>
        <v>1</v>
      </c>
      <c r="W48" s="52">
        <f t="shared" si="22"/>
        <v>1</v>
      </c>
      <c r="X48" s="52">
        <f t="shared" si="23"/>
        <v>1</v>
      </c>
      <c r="Y48" s="52">
        <f t="shared" si="23"/>
        <v>1</v>
      </c>
      <c r="Z48" s="52">
        <f t="shared" si="23"/>
        <v>1</v>
      </c>
      <c r="AA48" s="52">
        <f t="shared" si="23"/>
        <v>1</v>
      </c>
      <c r="AB48" s="52">
        <f t="shared" si="23"/>
        <v>1</v>
      </c>
      <c r="AC48" s="52">
        <f t="shared" si="23"/>
        <v>1</v>
      </c>
      <c r="AD48" s="52">
        <f t="shared" si="23"/>
        <v>1</v>
      </c>
      <c r="AE48" s="52">
        <f t="shared" si="23"/>
        <v>1</v>
      </c>
      <c r="AF48" s="52">
        <f t="shared" si="23"/>
        <v>1</v>
      </c>
      <c r="AG48" s="52">
        <f t="shared" si="23"/>
        <v>1</v>
      </c>
      <c r="AH48" s="52">
        <f t="shared" si="23"/>
        <v>1</v>
      </c>
      <c r="AI48" s="52">
        <f t="shared" si="23"/>
        <v>1</v>
      </c>
      <c r="AJ48" s="52">
        <f t="shared" si="23"/>
        <v>1</v>
      </c>
      <c r="AK48" s="52">
        <f t="shared" si="23"/>
        <v>1</v>
      </c>
      <c r="AL48" s="52">
        <f t="shared" si="23"/>
        <v>1</v>
      </c>
      <c r="AM48" s="52">
        <f t="shared" si="23"/>
        <v>1</v>
      </c>
      <c r="AN48" s="52">
        <f t="shared" si="24"/>
        <v>1</v>
      </c>
      <c r="AO48" s="52">
        <f t="shared" si="24"/>
        <v>1</v>
      </c>
      <c r="AP48" s="52">
        <f t="shared" si="24"/>
        <v>1</v>
      </c>
      <c r="AQ48" s="52">
        <f t="shared" si="24"/>
        <v>1</v>
      </c>
      <c r="AR48" s="52">
        <f t="shared" si="24"/>
        <v>1</v>
      </c>
      <c r="AS48" s="52">
        <f t="shared" si="24"/>
        <v>1</v>
      </c>
      <c r="AT48" s="52">
        <f t="shared" si="24"/>
        <v>1</v>
      </c>
      <c r="AU48" s="52">
        <f t="shared" si="24"/>
        <v>1</v>
      </c>
      <c r="AV48" s="52">
        <f t="shared" si="24"/>
        <v>1</v>
      </c>
      <c r="AW48" s="52">
        <f t="shared" si="24"/>
        <v>1</v>
      </c>
      <c r="AX48" s="52">
        <f t="shared" si="24"/>
        <v>1</v>
      </c>
      <c r="AY48" s="52">
        <f t="shared" si="24"/>
        <v>1</v>
      </c>
      <c r="AZ48" s="52">
        <f t="shared" si="24"/>
        <v>1</v>
      </c>
      <c r="BA48" s="52">
        <f t="shared" si="24"/>
        <v>1</v>
      </c>
      <c r="BB48" s="52">
        <f t="shared" si="24"/>
        <v>1</v>
      </c>
      <c r="BC48" s="52">
        <f t="shared" si="24"/>
        <v>1</v>
      </c>
      <c r="BD48" s="52">
        <f t="shared" si="25"/>
        <v>1</v>
      </c>
      <c r="BE48" s="52">
        <f t="shared" si="25"/>
        <v>1</v>
      </c>
      <c r="BF48" s="52">
        <f t="shared" si="25"/>
        <v>1</v>
      </c>
      <c r="BG48" s="52">
        <f t="shared" si="25"/>
        <v>1</v>
      </c>
      <c r="BH48" s="52">
        <f t="shared" si="25"/>
        <v>1</v>
      </c>
      <c r="BI48" s="52">
        <f t="shared" si="25"/>
        <v>1</v>
      </c>
      <c r="BJ48" s="52">
        <f t="shared" si="25"/>
        <v>1</v>
      </c>
      <c r="BK48" s="52">
        <f t="shared" si="25"/>
        <v>1</v>
      </c>
      <c r="BL48" s="52">
        <f t="shared" si="25"/>
        <v>1</v>
      </c>
      <c r="BM48" s="52">
        <f t="shared" si="25"/>
        <v>1</v>
      </c>
      <c r="BN48" s="52">
        <f t="shared" si="25"/>
        <v>1</v>
      </c>
      <c r="BO48" s="32">
        <f t="shared" si="7"/>
        <v>0.81694915254237288</v>
      </c>
    </row>
    <row r="49" spans="1:67" s="27" customFormat="1" ht="18.75" customHeight="1" x14ac:dyDescent="0.25">
      <c r="A49" s="54" t="s">
        <v>96</v>
      </c>
      <c r="B49" s="54" t="s">
        <v>97</v>
      </c>
      <c r="C49" s="50">
        <v>4</v>
      </c>
      <c r="D49" s="51">
        <f>VLOOKUP(A49,'[1]Cuadro Control'!C49:J1979,8,FALSE)</f>
        <v>230777539.104</v>
      </c>
      <c r="E49" s="52">
        <v>0.25</v>
      </c>
      <c r="F49" s="53">
        <v>46311</v>
      </c>
      <c r="G49" s="53">
        <v>46316</v>
      </c>
      <c r="H49" s="52">
        <f t="shared" si="22"/>
        <v>0</v>
      </c>
      <c r="I49" s="52">
        <f t="shared" si="22"/>
        <v>0</v>
      </c>
      <c r="J49" s="52">
        <f t="shared" si="22"/>
        <v>0</v>
      </c>
      <c r="K49" s="52">
        <f t="shared" si="22"/>
        <v>0</v>
      </c>
      <c r="L49" s="52">
        <f t="shared" si="22"/>
        <v>0</v>
      </c>
      <c r="M49" s="52">
        <f t="shared" si="22"/>
        <v>0</v>
      </c>
      <c r="N49" s="52">
        <f t="shared" si="22"/>
        <v>0</v>
      </c>
      <c r="O49" s="52">
        <f t="shared" si="22"/>
        <v>0</v>
      </c>
      <c r="P49" s="52">
        <f t="shared" si="22"/>
        <v>0</v>
      </c>
      <c r="Q49" s="52">
        <f t="shared" si="22"/>
        <v>0</v>
      </c>
      <c r="R49" s="52">
        <f t="shared" si="22"/>
        <v>0</v>
      </c>
      <c r="S49" s="52">
        <f t="shared" si="22"/>
        <v>0</v>
      </c>
      <c r="T49" s="52">
        <f t="shared" si="22"/>
        <v>0</v>
      </c>
      <c r="U49" s="52">
        <f t="shared" si="22"/>
        <v>0</v>
      </c>
      <c r="V49" s="52">
        <f t="shared" si="22"/>
        <v>0.16666666666666666</v>
      </c>
      <c r="W49" s="52">
        <f t="shared" si="22"/>
        <v>1</v>
      </c>
      <c r="X49" s="52">
        <f t="shared" si="23"/>
        <v>1</v>
      </c>
      <c r="Y49" s="52">
        <f t="shared" si="23"/>
        <v>1</v>
      </c>
      <c r="Z49" s="52">
        <f t="shared" si="23"/>
        <v>1</v>
      </c>
      <c r="AA49" s="52">
        <f t="shared" si="23"/>
        <v>1</v>
      </c>
      <c r="AB49" s="52">
        <f t="shared" si="23"/>
        <v>1</v>
      </c>
      <c r="AC49" s="52">
        <f t="shared" si="23"/>
        <v>1</v>
      </c>
      <c r="AD49" s="52">
        <f t="shared" si="23"/>
        <v>1</v>
      </c>
      <c r="AE49" s="52">
        <f t="shared" si="23"/>
        <v>1</v>
      </c>
      <c r="AF49" s="52">
        <f t="shared" si="23"/>
        <v>1</v>
      </c>
      <c r="AG49" s="52">
        <f t="shared" si="23"/>
        <v>1</v>
      </c>
      <c r="AH49" s="52">
        <f t="shared" si="23"/>
        <v>1</v>
      </c>
      <c r="AI49" s="52">
        <f t="shared" si="23"/>
        <v>1</v>
      </c>
      <c r="AJ49" s="52">
        <f t="shared" si="23"/>
        <v>1</v>
      </c>
      <c r="AK49" s="52">
        <f t="shared" si="23"/>
        <v>1</v>
      </c>
      <c r="AL49" s="52">
        <f t="shared" si="23"/>
        <v>1</v>
      </c>
      <c r="AM49" s="52">
        <f t="shared" si="23"/>
        <v>1</v>
      </c>
      <c r="AN49" s="52">
        <f t="shared" si="24"/>
        <v>1</v>
      </c>
      <c r="AO49" s="52">
        <f t="shared" si="24"/>
        <v>1</v>
      </c>
      <c r="AP49" s="52">
        <f t="shared" si="24"/>
        <v>1</v>
      </c>
      <c r="AQ49" s="52">
        <f t="shared" si="24"/>
        <v>1</v>
      </c>
      <c r="AR49" s="52">
        <f t="shared" si="24"/>
        <v>1</v>
      </c>
      <c r="AS49" s="52">
        <f t="shared" si="24"/>
        <v>1</v>
      </c>
      <c r="AT49" s="52">
        <f t="shared" si="24"/>
        <v>1</v>
      </c>
      <c r="AU49" s="52">
        <f t="shared" si="24"/>
        <v>1</v>
      </c>
      <c r="AV49" s="52">
        <f t="shared" si="24"/>
        <v>1</v>
      </c>
      <c r="AW49" s="52">
        <f t="shared" si="24"/>
        <v>1</v>
      </c>
      <c r="AX49" s="52">
        <f t="shared" si="24"/>
        <v>1</v>
      </c>
      <c r="AY49" s="52">
        <f t="shared" si="24"/>
        <v>1</v>
      </c>
      <c r="AZ49" s="52">
        <f t="shared" si="24"/>
        <v>1</v>
      </c>
      <c r="BA49" s="52">
        <f t="shared" si="24"/>
        <v>1</v>
      </c>
      <c r="BB49" s="52">
        <f t="shared" si="24"/>
        <v>1</v>
      </c>
      <c r="BC49" s="52">
        <f t="shared" si="24"/>
        <v>1</v>
      </c>
      <c r="BD49" s="52">
        <f t="shared" si="25"/>
        <v>1</v>
      </c>
      <c r="BE49" s="52">
        <f t="shared" si="25"/>
        <v>1</v>
      </c>
      <c r="BF49" s="52">
        <f t="shared" si="25"/>
        <v>1</v>
      </c>
      <c r="BG49" s="52">
        <f t="shared" si="25"/>
        <v>1</v>
      </c>
      <c r="BH49" s="52">
        <f t="shared" si="25"/>
        <v>1</v>
      </c>
      <c r="BI49" s="52">
        <f t="shared" si="25"/>
        <v>1</v>
      </c>
      <c r="BJ49" s="52">
        <f t="shared" si="25"/>
        <v>1</v>
      </c>
      <c r="BK49" s="52">
        <f t="shared" si="25"/>
        <v>1</v>
      </c>
      <c r="BL49" s="52">
        <f t="shared" si="25"/>
        <v>1</v>
      </c>
      <c r="BM49" s="52">
        <f t="shared" si="25"/>
        <v>1</v>
      </c>
      <c r="BN49" s="52">
        <f t="shared" si="25"/>
        <v>1</v>
      </c>
      <c r="BO49" s="32">
        <f t="shared" si="7"/>
        <v>0.74858757062146897</v>
      </c>
    </row>
    <row r="50" spans="1:67" s="27" customFormat="1" ht="18.75" customHeight="1" x14ac:dyDescent="0.25">
      <c r="A50" s="54" t="s">
        <v>98</v>
      </c>
      <c r="B50" s="54" t="s">
        <v>99</v>
      </c>
      <c r="C50" s="50">
        <v>1</v>
      </c>
      <c r="D50" s="51">
        <f>VLOOKUP(A50,'[1]Cuadro Control'!C50:J1980,8,FALSE)</f>
        <v>49452329.807999998</v>
      </c>
      <c r="E50" s="52">
        <v>0.05</v>
      </c>
      <c r="F50" s="53">
        <v>46316</v>
      </c>
      <c r="G50" s="53">
        <v>46317</v>
      </c>
      <c r="H50" s="52">
        <f t="shared" si="22"/>
        <v>0</v>
      </c>
      <c r="I50" s="52">
        <f t="shared" si="22"/>
        <v>0</v>
      </c>
      <c r="J50" s="52">
        <f t="shared" si="22"/>
        <v>0</v>
      </c>
      <c r="K50" s="52">
        <f t="shared" si="22"/>
        <v>0</v>
      </c>
      <c r="L50" s="52">
        <f t="shared" si="22"/>
        <v>0</v>
      </c>
      <c r="M50" s="52">
        <f t="shared" si="22"/>
        <v>0</v>
      </c>
      <c r="N50" s="52">
        <f t="shared" si="22"/>
        <v>0</v>
      </c>
      <c r="O50" s="52">
        <f t="shared" si="22"/>
        <v>0</v>
      </c>
      <c r="P50" s="52">
        <f t="shared" si="22"/>
        <v>0</v>
      </c>
      <c r="Q50" s="52">
        <f t="shared" si="22"/>
        <v>0</v>
      </c>
      <c r="R50" s="52">
        <f t="shared" si="22"/>
        <v>0</v>
      </c>
      <c r="S50" s="52">
        <f t="shared" si="22"/>
        <v>0</v>
      </c>
      <c r="T50" s="52">
        <f t="shared" si="22"/>
        <v>0</v>
      </c>
      <c r="U50" s="52">
        <f t="shared" si="22"/>
        <v>0</v>
      </c>
      <c r="V50" s="52">
        <f t="shared" si="22"/>
        <v>0</v>
      </c>
      <c r="W50" s="52">
        <f t="shared" si="22"/>
        <v>1</v>
      </c>
      <c r="X50" s="52">
        <f t="shared" si="23"/>
        <v>1</v>
      </c>
      <c r="Y50" s="52">
        <f t="shared" si="23"/>
        <v>1</v>
      </c>
      <c r="Z50" s="52">
        <f t="shared" si="23"/>
        <v>1</v>
      </c>
      <c r="AA50" s="52">
        <f t="shared" si="23"/>
        <v>1</v>
      </c>
      <c r="AB50" s="52">
        <f t="shared" si="23"/>
        <v>1</v>
      </c>
      <c r="AC50" s="52">
        <f t="shared" si="23"/>
        <v>1</v>
      </c>
      <c r="AD50" s="52">
        <f t="shared" si="23"/>
        <v>1</v>
      </c>
      <c r="AE50" s="52">
        <f t="shared" si="23"/>
        <v>1</v>
      </c>
      <c r="AF50" s="52">
        <f t="shared" si="23"/>
        <v>1</v>
      </c>
      <c r="AG50" s="52">
        <f t="shared" si="23"/>
        <v>1</v>
      </c>
      <c r="AH50" s="52">
        <f t="shared" si="23"/>
        <v>1</v>
      </c>
      <c r="AI50" s="52">
        <f t="shared" si="23"/>
        <v>1</v>
      </c>
      <c r="AJ50" s="52">
        <f t="shared" si="23"/>
        <v>1</v>
      </c>
      <c r="AK50" s="52">
        <f t="shared" si="23"/>
        <v>1</v>
      </c>
      <c r="AL50" s="52">
        <f t="shared" si="23"/>
        <v>1</v>
      </c>
      <c r="AM50" s="52">
        <f t="shared" si="23"/>
        <v>1</v>
      </c>
      <c r="AN50" s="52">
        <f t="shared" si="24"/>
        <v>1</v>
      </c>
      <c r="AO50" s="52">
        <f t="shared" si="24"/>
        <v>1</v>
      </c>
      <c r="AP50" s="52">
        <f t="shared" si="24"/>
        <v>1</v>
      </c>
      <c r="AQ50" s="52">
        <f t="shared" si="24"/>
        <v>1</v>
      </c>
      <c r="AR50" s="52">
        <f t="shared" si="24"/>
        <v>1</v>
      </c>
      <c r="AS50" s="52">
        <f t="shared" si="24"/>
        <v>1</v>
      </c>
      <c r="AT50" s="52">
        <f t="shared" si="24"/>
        <v>1</v>
      </c>
      <c r="AU50" s="52">
        <f t="shared" si="24"/>
        <v>1</v>
      </c>
      <c r="AV50" s="52">
        <f t="shared" si="24"/>
        <v>1</v>
      </c>
      <c r="AW50" s="52">
        <f t="shared" si="24"/>
        <v>1</v>
      </c>
      <c r="AX50" s="52">
        <f t="shared" si="24"/>
        <v>1</v>
      </c>
      <c r="AY50" s="52">
        <f t="shared" si="24"/>
        <v>1</v>
      </c>
      <c r="AZ50" s="52">
        <f t="shared" si="24"/>
        <v>1</v>
      </c>
      <c r="BA50" s="52">
        <f t="shared" si="24"/>
        <v>1</v>
      </c>
      <c r="BB50" s="52">
        <f t="shared" si="24"/>
        <v>1</v>
      </c>
      <c r="BC50" s="52">
        <f t="shared" si="24"/>
        <v>1</v>
      </c>
      <c r="BD50" s="52">
        <f t="shared" si="25"/>
        <v>1</v>
      </c>
      <c r="BE50" s="52">
        <f t="shared" si="25"/>
        <v>1</v>
      </c>
      <c r="BF50" s="52">
        <f t="shared" si="25"/>
        <v>1</v>
      </c>
      <c r="BG50" s="52">
        <f t="shared" si="25"/>
        <v>1</v>
      </c>
      <c r="BH50" s="52">
        <f t="shared" si="25"/>
        <v>1</v>
      </c>
      <c r="BI50" s="52">
        <f t="shared" si="25"/>
        <v>1</v>
      </c>
      <c r="BJ50" s="52">
        <f t="shared" si="25"/>
        <v>1</v>
      </c>
      <c r="BK50" s="52">
        <f t="shared" si="25"/>
        <v>1</v>
      </c>
      <c r="BL50" s="52">
        <f t="shared" si="25"/>
        <v>1</v>
      </c>
      <c r="BM50" s="52">
        <f t="shared" si="25"/>
        <v>1</v>
      </c>
      <c r="BN50" s="52">
        <f t="shared" si="25"/>
        <v>1</v>
      </c>
      <c r="BO50" s="32">
        <f t="shared" si="7"/>
        <v>0.74576271186440679</v>
      </c>
    </row>
    <row r="51" spans="1:67" s="27" customFormat="1" ht="18.75" customHeight="1" x14ac:dyDescent="0.25">
      <c r="A51" s="54" t="s">
        <v>100</v>
      </c>
      <c r="B51" s="54" t="s">
        <v>101</v>
      </c>
      <c r="C51" s="50">
        <v>1</v>
      </c>
      <c r="D51" s="51">
        <f>VLOOKUP(A51,'[1]Cuadro Control'!C51:J1981,8,FALSE)</f>
        <v>140114934.456</v>
      </c>
      <c r="E51" s="52">
        <v>0.15</v>
      </c>
      <c r="F51" s="53">
        <v>46317</v>
      </c>
      <c r="G51" s="53">
        <v>46318</v>
      </c>
      <c r="H51" s="52">
        <f t="shared" si="22"/>
        <v>0</v>
      </c>
      <c r="I51" s="52">
        <f t="shared" si="22"/>
        <v>0</v>
      </c>
      <c r="J51" s="52">
        <f t="shared" si="22"/>
        <v>0</v>
      </c>
      <c r="K51" s="52">
        <f t="shared" si="22"/>
        <v>0</v>
      </c>
      <c r="L51" s="52">
        <f t="shared" si="22"/>
        <v>0</v>
      </c>
      <c r="M51" s="52">
        <f t="shared" si="22"/>
        <v>0</v>
      </c>
      <c r="N51" s="52">
        <f t="shared" si="22"/>
        <v>0</v>
      </c>
      <c r="O51" s="52">
        <f t="shared" si="22"/>
        <v>0</v>
      </c>
      <c r="P51" s="52">
        <f t="shared" si="22"/>
        <v>0</v>
      </c>
      <c r="Q51" s="52">
        <f t="shared" si="22"/>
        <v>0</v>
      </c>
      <c r="R51" s="52">
        <f t="shared" si="22"/>
        <v>0</v>
      </c>
      <c r="S51" s="52">
        <f t="shared" si="22"/>
        <v>0</v>
      </c>
      <c r="T51" s="52">
        <f t="shared" si="22"/>
        <v>0</v>
      </c>
      <c r="U51" s="52">
        <f t="shared" si="22"/>
        <v>0</v>
      </c>
      <c r="V51" s="52">
        <f t="shared" si="22"/>
        <v>0</v>
      </c>
      <c r="W51" s="52">
        <f t="shared" si="22"/>
        <v>1</v>
      </c>
      <c r="X51" s="52">
        <f t="shared" si="23"/>
        <v>1</v>
      </c>
      <c r="Y51" s="52">
        <f t="shared" si="23"/>
        <v>1</v>
      </c>
      <c r="Z51" s="52">
        <f t="shared" si="23"/>
        <v>1</v>
      </c>
      <c r="AA51" s="52">
        <f t="shared" si="23"/>
        <v>1</v>
      </c>
      <c r="AB51" s="52">
        <f t="shared" si="23"/>
        <v>1</v>
      </c>
      <c r="AC51" s="52">
        <f t="shared" si="23"/>
        <v>1</v>
      </c>
      <c r="AD51" s="52">
        <f t="shared" si="23"/>
        <v>1</v>
      </c>
      <c r="AE51" s="52">
        <f t="shared" si="23"/>
        <v>1</v>
      </c>
      <c r="AF51" s="52">
        <f t="shared" si="23"/>
        <v>1</v>
      </c>
      <c r="AG51" s="52">
        <f t="shared" si="23"/>
        <v>1</v>
      </c>
      <c r="AH51" s="52">
        <f t="shared" si="23"/>
        <v>1</v>
      </c>
      <c r="AI51" s="52">
        <f t="shared" si="23"/>
        <v>1</v>
      </c>
      <c r="AJ51" s="52">
        <f t="shared" si="23"/>
        <v>1</v>
      </c>
      <c r="AK51" s="52">
        <f t="shared" si="23"/>
        <v>1</v>
      </c>
      <c r="AL51" s="52">
        <f t="shared" si="23"/>
        <v>1</v>
      </c>
      <c r="AM51" s="52">
        <f t="shared" si="23"/>
        <v>1</v>
      </c>
      <c r="AN51" s="52">
        <f t="shared" si="24"/>
        <v>1</v>
      </c>
      <c r="AO51" s="52">
        <f t="shared" si="24"/>
        <v>1</v>
      </c>
      <c r="AP51" s="52">
        <f t="shared" si="24"/>
        <v>1</v>
      </c>
      <c r="AQ51" s="52">
        <f t="shared" si="24"/>
        <v>1</v>
      </c>
      <c r="AR51" s="52">
        <f t="shared" si="24"/>
        <v>1</v>
      </c>
      <c r="AS51" s="52">
        <f t="shared" si="24"/>
        <v>1</v>
      </c>
      <c r="AT51" s="52">
        <f t="shared" si="24"/>
        <v>1</v>
      </c>
      <c r="AU51" s="52">
        <f t="shared" si="24"/>
        <v>1</v>
      </c>
      <c r="AV51" s="52">
        <f t="shared" si="24"/>
        <v>1</v>
      </c>
      <c r="AW51" s="52">
        <f t="shared" si="24"/>
        <v>1</v>
      </c>
      <c r="AX51" s="52">
        <f t="shared" si="24"/>
        <v>1</v>
      </c>
      <c r="AY51" s="52">
        <f t="shared" si="24"/>
        <v>1</v>
      </c>
      <c r="AZ51" s="52">
        <f t="shared" si="24"/>
        <v>1</v>
      </c>
      <c r="BA51" s="52">
        <f t="shared" si="24"/>
        <v>1</v>
      </c>
      <c r="BB51" s="52">
        <f t="shared" si="24"/>
        <v>1</v>
      </c>
      <c r="BC51" s="52">
        <f t="shared" si="24"/>
        <v>1</v>
      </c>
      <c r="BD51" s="52">
        <f t="shared" si="25"/>
        <v>1</v>
      </c>
      <c r="BE51" s="52">
        <f t="shared" si="25"/>
        <v>1</v>
      </c>
      <c r="BF51" s="52">
        <f t="shared" si="25"/>
        <v>1</v>
      </c>
      <c r="BG51" s="52">
        <f t="shared" si="25"/>
        <v>1</v>
      </c>
      <c r="BH51" s="52">
        <f t="shared" si="25"/>
        <v>1</v>
      </c>
      <c r="BI51" s="52">
        <f t="shared" si="25"/>
        <v>1</v>
      </c>
      <c r="BJ51" s="52">
        <f t="shared" si="25"/>
        <v>1</v>
      </c>
      <c r="BK51" s="52">
        <f t="shared" si="25"/>
        <v>1</v>
      </c>
      <c r="BL51" s="52">
        <f t="shared" si="25"/>
        <v>1</v>
      </c>
      <c r="BM51" s="52">
        <f t="shared" si="25"/>
        <v>1</v>
      </c>
      <c r="BN51" s="52">
        <f t="shared" si="25"/>
        <v>1</v>
      </c>
      <c r="BO51" s="32">
        <f t="shared" si="7"/>
        <v>0.74576271186440679</v>
      </c>
    </row>
    <row r="52" spans="1:67" s="27" customFormat="1" ht="18.75" customHeight="1" x14ac:dyDescent="0.25">
      <c r="A52" s="50" t="s">
        <v>102</v>
      </c>
      <c r="B52" s="50" t="s">
        <v>103</v>
      </c>
      <c r="C52" s="50">
        <v>3</v>
      </c>
      <c r="D52" s="51">
        <f>VLOOKUP(A52,'[1]Cuadro Control'!C52:J1982,8,FALSE)</f>
        <v>52335715.768702812</v>
      </c>
      <c r="E52" s="52">
        <v>0.06</v>
      </c>
      <c r="F52" s="53">
        <v>46318</v>
      </c>
      <c r="G52" s="53">
        <v>46321</v>
      </c>
      <c r="H52" s="52">
        <f t="shared" si="22"/>
        <v>0</v>
      </c>
      <c r="I52" s="52">
        <f t="shared" si="22"/>
        <v>0</v>
      </c>
      <c r="J52" s="52">
        <f t="shared" si="22"/>
        <v>0</v>
      </c>
      <c r="K52" s="52">
        <f t="shared" si="22"/>
        <v>0</v>
      </c>
      <c r="L52" s="52">
        <f t="shared" si="22"/>
        <v>0</v>
      </c>
      <c r="M52" s="52">
        <f t="shared" si="22"/>
        <v>0</v>
      </c>
      <c r="N52" s="52">
        <f t="shared" si="22"/>
        <v>0</v>
      </c>
      <c r="O52" s="52">
        <f t="shared" si="22"/>
        <v>0</v>
      </c>
      <c r="P52" s="52">
        <f t="shared" si="22"/>
        <v>0</v>
      </c>
      <c r="Q52" s="52">
        <f t="shared" si="22"/>
        <v>0</v>
      </c>
      <c r="R52" s="52">
        <f t="shared" si="22"/>
        <v>0</v>
      </c>
      <c r="S52" s="52">
        <f t="shared" si="22"/>
        <v>0</v>
      </c>
      <c r="T52" s="52">
        <f t="shared" si="22"/>
        <v>0</v>
      </c>
      <c r="U52" s="52">
        <f t="shared" si="22"/>
        <v>0</v>
      </c>
      <c r="V52" s="52">
        <f t="shared" si="22"/>
        <v>0</v>
      </c>
      <c r="W52" s="52">
        <f t="shared" si="22"/>
        <v>0.25</v>
      </c>
      <c r="X52" s="52">
        <f t="shared" si="23"/>
        <v>1</v>
      </c>
      <c r="Y52" s="52">
        <f t="shared" si="23"/>
        <v>1</v>
      </c>
      <c r="Z52" s="52">
        <f t="shared" si="23"/>
        <v>1</v>
      </c>
      <c r="AA52" s="52">
        <f t="shared" si="23"/>
        <v>1</v>
      </c>
      <c r="AB52" s="52">
        <f t="shared" si="23"/>
        <v>1</v>
      </c>
      <c r="AC52" s="52">
        <f t="shared" si="23"/>
        <v>1</v>
      </c>
      <c r="AD52" s="52">
        <f t="shared" si="23"/>
        <v>1</v>
      </c>
      <c r="AE52" s="52">
        <f t="shared" si="23"/>
        <v>1</v>
      </c>
      <c r="AF52" s="52">
        <f t="shared" si="23"/>
        <v>1</v>
      </c>
      <c r="AG52" s="52">
        <f t="shared" si="23"/>
        <v>1</v>
      </c>
      <c r="AH52" s="52">
        <f t="shared" si="23"/>
        <v>1</v>
      </c>
      <c r="AI52" s="52">
        <f t="shared" si="23"/>
        <v>1</v>
      </c>
      <c r="AJ52" s="52">
        <f t="shared" si="23"/>
        <v>1</v>
      </c>
      <c r="AK52" s="52">
        <f t="shared" si="23"/>
        <v>1</v>
      </c>
      <c r="AL52" s="52">
        <f t="shared" si="23"/>
        <v>1</v>
      </c>
      <c r="AM52" s="52">
        <f t="shared" si="23"/>
        <v>1</v>
      </c>
      <c r="AN52" s="52">
        <f t="shared" si="24"/>
        <v>1</v>
      </c>
      <c r="AO52" s="52">
        <f t="shared" si="24"/>
        <v>1</v>
      </c>
      <c r="AP52" s="52">
        <f t="shared" si="24"/>
        <v>1</v>
      </c>
      <c r="AQ52" s="52">
        <f t="shared" si="24"/>
        <v>1</v>
      </c>
      <c r="AR52" s="52">
        <f t="shared" si="24"/>
        <v>1</v>
      </c>
      <c r="AS52" s="52">
        <f t="shared" si="24"/>
        <v>1</v>
      </c>
      <c r="AT52" s="52">
        <f t="shared" si="24"/>
        <v>1</v>
      </c>
      <c r="AU52" s="52">
        <f t="shared" si="24"/>
        <v>1</v>
      </c>
      <c r="AV52" s="52">
        <f t="shared" si="24"/>
        <v>1</v>
      </c>
      <c r="AW52" s="52">
        <f t="shared" si="24"/>
        <v>1</v>
      </c>
      <c r="AX52" s="52">
        <f t="shared" si="24"/>
        <v>1</v>
      </c>
      <c r="AY52" s="52">
        <f t="shared" si="24"/>
        <v>1</v>
      </c>
      <c r="AZ52" s="52">
        <f t="shared" si="24"/>
        <v>1</v>
      </c>
      <c r="BA52" s="52">
        <f t="shared" si="24"/>
        <v>1</v>
      </c>
      <c r="BB52" s="52">
        <f t="shared" si="24"/>
        <v>1</v>
      </c>
      <c r="BC52" s="52">
        <f t="shared" si="24"/>
        <v>1</v>
      </c>
      <c r="BD52" s="52">
        <f t="shared" si="25"/>
        <v>1</v>
      </c>
      <c r="BE52" s="52">
        <f t="shared" si="25"/>
        <v>1</v>
      </c>
      <c r="BF52" s="52">
        <f t="shared" si="25"/>
        <v>1</v>
      </c>
      <c r="BG52" s="52">
        <f t="shared" si="25"/>
        <v>1</v>
      </c>
      <c r="BH52" s="52">
        <f t="shared" si="25"/>
        <v>1</v>
      </c>
      <c r="BI52" s="52">
        <f t="shared" si="25"/>
        <v>1</v>
      </c>
      <c r="BJ52" s="52">
        <f t="shared" si="25"/>
        <v>1</v>
      </c>
      <c r="BK52" s="52">
        <f t="shared" si="25"/>
        <v>1</v>
      </c>
      <c r="BL52" s="52">
        <f t="shared" si="25"/>
        <v>1</v>
      </c>
      <c r="BM52" s="52">
        <f t="shared" si="25"/>
        <v>1</v>
      </c>
      <c r="BN52" s="52">
        <f t="shared" si="25"/>
        <v>1</v>
      </c>
      <c r="BO52" s="32">
        <f t="shared" si="7"/>
        <v>0.73305084745762716</v>
      </c>
    </row>
    <row r="53" spans="1:67" s="27" customFormat="1" ht="18.75" customHeight="1" x14ac:dyDescent="0.25">
      <c r="A53" s="50" t="s">
        <v>104</v>
      </c>
      <c r="B53" s="50" t="s">
        <v>105</v>
      </c>
      <c r="C53" s="50">
        <v>2</v>
      </c>
      <c r="D53" s="51">
        <f>VLOOKUP(A53,'[1]Cuadro Control'!C53:J1983,8,FALSE)</f>
        <v>46410609.014634147</v>
      </c>
      <c r="E53" s="52">
        <v>0.05</v>
      </c>
      <c r="F53" s="53">
        <v>46325</v>
      </c>
      <c r="G53" s="53">
        <v>46329</v>
      </c>
      <c r="H53" s="52">
        <f t="shared" si="22"/>
        <v>0</v>
      </c>
      <c r="I53" s="52">
        <f t="shared" si="22"/>
        <v>0</v>
      </c>
      <c r="J53" s="52">
        <f t="shared" si="22"/>
        <v>0</v>
      </c>
      <c r="K53" s="52">
        <f t="shared" si="22"/>
        <v>0</v>
      </c>
      <c r="L53" s="52">
        <f t="shared" si="22"/>
        <v>0</v>
      </c>
      <c r="M53" s="52">
        <f t="shared" si="22"/>
        <v>0</v>
      </c>
      <c r="N53" s="52">
        <f t="shared" si="22"/>
        <v>0</v>
      </c>
      <c r="O53" s="52">
        <f t="shared" si="22"/>
        <v>0</v>
      </c>
      <c r="P53" s="52">
        <f t="shared" si="22"/>
        <v>0</v>
      </c>
      <c r="Q53" s="52">
        <f t="shared" si="22"/>
        <v>0</v>
      </c>
      <c r="R53" s="52">
        <f t="shared" si="22"/>
        <v>0</v>
      </c>
      <c r="S53" s="52">
        <f t="shared" si="22"/>
        <v>0</v>
      </c>
      <c r="T53" s="52">
        <f t="shared" si="22"/>
        <v>0</v>
      </c>
      <c r="U53" s="52">
        <f t="shared" si="22"/>
        <v>0</v>
      </c>
      <c r="V53" s="52">
        <f t="shared" si="22"/>
        <v>0</v>
      </c>
      <c r="W53" s="52">
        <f t="shared" si="22"/>
        <v>0</v>
      </c>
      <c r="X53" s="52">
        <f t="shared" si="23"/>
        <v>0.2</v>
      </c>
      <c r="Y53" s="52">
        <f t="shared" si="23"/>
        <v>1</v>
      </c>
      <c r="Z53" s="52">
        <f t="shared" si="23"/>
        <v>1</v>
      </c>
      <c r="AA53" s="52">
        <f t="shared" si="23"/>
        <v>1</v>
      </c>
      <c r="AB53" s="52">
        <f t="shared" si="23"/>
        <v>1</v>
      </c>
      <c r="AC53" s="52">
        <f t="shared" si="23"/>
        <v>1</v>
      </c>
      <c r="AD53" s="52">
        <f t="shared" si="23"/>
        <v>1</v>
      </c>
      <c r="AE53" s="52">
        <f t="shared" si="23"/>
        <v>1</v>
      </c>
      <c r="AF53" s="52">
        <f t="shared" si="23"/>
        <v>1</v>
      </c>
      <c r="AG53" s="52">
        <f t="shared" si="23"/>
        <v>1</v>
      </c>
      <c r="AH53" s="52">
        <f t="shared" si="23"/>
        <v>1</v>
      </c>
      <c r="AI53" s="52">
        <f t="shared" si="23"/>
        <v>1</v>
      </c>
      <c r="AJ53" s="52">
        <f t="shared" si="23"/>
        <v>1</v>
      </c>
      <c r="AK53" s="52">
        <f t="shared" si="23"/>
        <v>1</v>
      </c>
      <c r="AL53" s="52">
        <f t="shared" si="23"/>
        <v>1</v>
      </c>
      <c r="AM53" s="52">
        <f t="shared" si="23"/>
        <v>1</v>
      </c>
      <c r="AN53" s="52">
        <f t="shared" si="24"/>
        <v>1</v>
      </c>
      <c r="AO53" s="52">
        <f t="shared" si="24"/>
        <v>1</v>
      </c>
      <c r="AP53" s="52">
        <f t="shared" si="24"/>
        <v>1</v>
      </c>
      <c r="AQ53" s="52">
        <f t="shared" si="24"/>
        <v>1</v>
      </c>
      <c r="AR53" s="52">
        <f t="shared" si="24"/>
        <v>1</v>
      </c>
      <c r="AS53" s="52">
        <f t="shared" si="24"/>
        <v>1</v>
      </c>
      <c r="AT53" s="52">
        <f t="shared" si="24"/>
        <v>1</v>
      </c>
      <c r="AU53" s="52">
        <f t="shared" si="24"/>
        <v>1</v>
      </c>
      <c r="AV53" s="52">
        <f t="shared" si="24"/>
        <v>1</v>
      </c>
      <c r="AW53" s="52">
        <f t="shared" si="24"/>
        <v>1</v>
      </c>
      <c r="AX53" s="52">
        <f t="shared" si="24"/>
        <v>1</v>
      </c>
      <c r="AY53" s="52">
        <f t="shared" si="24"/>
        <v>1</v>
      </c>
      <c r="AZ53" s="52">
        <f t="shared" si="24"/>
        <v>1</v>
      </c>
      <c r="BA53" s="52">
        <f t="shared" si="24"/>
        <v>1</v>
      </c>
      <c r="BB53" s="52">
        <f t="shared" si="24"/>
        <v>1</v>
      </c>
      <c r="BC53" s="52">
        <f t="shared" si="24"/>
        <v>1</v>
      </c>
      <c r="BD53" s="52">
        <f t="shared" si="25"/>
        <v>1</v>
      </c>
      <c r="BE53" s="52">
        <f t="shared" si="25"/>
        <v>1</v>
      </c>
      <c r="BF53" s="52">
        <f t="shared" si="25"/>
        <v>1</v>
      </c>
      <c r="BG53" s="52">
        <f t="shared" si="25"/>
        <v>1</v>
      </c>
      <c r="BH53" s="52">
        <f t="shared" si="25"/>
        <v>1</v>
      </c>
      <c r="BI53" s="52">
        <f t="shared" si="25"/>
        <v>1</v>
      </c>
      <c r="BJ53" s="52">
        <f t="shared" si="25"/>
        <v>1</v>
      </c>
      <c r="BK53" s="52">
        <f t="shared" si="25"/>
        <v>1</v>
      </c>
      <c r="BL53" s="52">
        <f t="shared" si="25"/>
        <v>1</v>
      </c>
      <c r="BM53" s="52">
        <f t="shared" si="25"/>
        <v>1</v>
      </c>
      <c r="BN53" s="52">
        <f t="shared" si="25"/>
        <v>1</v>
      </c>
      <c r="BO53" s="32">
        <f t="shared" si="7"/>
        <v>0.71525423728813564</v>
      </c>
    </row>
    <row r="54" spans="1:67" s="27" customFormat="1" ht="18.75" customHeight="1" x14ac:dyDescent="0.25">
      <c r="A54" s="42" t="s">
        <v>106</v>
      </c>
      <c r="B54" s="42" t="s">
        <v>107</v>
      </c>
      <c r="C54" s="42" t="s">
        <v>108</v>
      </c>
      <c r="D54" s="43">
        <f>SUM(D55:D62)</f>
        <v>922951821.58333695</v>
      </c>
      <c r="E54" s="44">
        <f>IFERROR(D54/$D$44,0)</f>
        <v>0.14285714285714285</v>
      </c>
      <c r="F54" s="45">
        <v>46260</v>
      </c>
      <c r="G54" s="45">
        <v>46326</v>
      </c>
      <c r="H54" s="44">
        <f>SUMPRODUCT($E55:$E62,H55:H62)</f>
        <v>0</v>
      </c>
      <c r="I54" s="44">
        <f t="shared" ref="I54:BN54" si="26">SUMPRODUCT($E55:$E62,I55:I62)</f>
        <v>0</v>
      </c>
      <c r="J54" s="44">
        <f t="shared" si="26"/>
        <v>0</v>
      </c>
      <c r="K54" s="44">
        <f t="shared" si="26"/>
        <v>0</v>
      </c>
      <c r="L54" s="44">
        <f t="shared" si="26"/>
        <v>0</v>
      </c>
      <c r="M54" s="44">
        <f t="shared" si="26"/>
        <v>0</v>
      </c>
      <c r="N54" s="44">
        <f t="shared" si="26"/>
        <v>0</v>
      </c>
      <c r="O54" s="64">
        <f t="shared" si="26"/>
        <v>0.14166666666666666</v>
      </c>
      <c r="P54" s="64">
        <f t="shared" si="26"/>
        <v>0.39499999999999996</v>
      </c>
      <c r="Q54" s="64">
        <f t="shared" si="26"/>
        <v>0.43999999999999995</v>
      </c>
      <c r="R54" s="44">
        <f t="shared" si="26"/>
        <v>0.43999999999999995</v>
      </c>
      <c r="S54" s="44">
        <f t="shared" si="26"/>
        <v>0.43999999999999995</v>
      </c>
      <c r="T54" s="44">
        <f t="shared" si="26"/>
        <v>0.43999999999999995</v>
      </c>
      <c r="U54" s="44">
        <f t="shared" si="26"/>
        <v>0.51142857142857134</v>
      </c>
      <c r="V54" s="44">
        <f t="shared" si="26"/>
        <v>0.89</v>
      </c>
      <c r="W54" s="44">
        <f t="shared" si="26"/>
        <v>0.89</v>
      </c>
      <c r="X54" s="44">
        <f t="shared" si="26"/>
        <v>0.98333333333333328</v>
      </c>
      <c r="Y54" s="44">
        <f t="shared" si="26"/>
        <v>1</v>
      </c>
      <c r="Z54" s="44">
        <f t="shared" si="26"/>
        <v>1</v>
      </c>
      <c r="AA54" s="44">
        <f t="shared" si="26"/>
        <v>1</v>
      </c>
      <c r="AB54" s="44">
        <f t="shared" si="26"/>
        <v>1</v>
      </c>
      <c r="AC54" s="44">
        <f t="shared" si="26"/>
        <v>1</v>
      </c>
      <c r="AD54" s="44">
        <f t="shared" si="26"/>
        <v>1</v>
      </c>
      <c r="AE54" s="44">
        <f t="shared" si="26"/>
        <v>1</v>
      </c>
      <c r="AF54" s="44">
        <f t="shared" si="26"/>
        <v>1</v>
      </c>
      <c r="AG54" s="44">
        <f t="shared" si="26"/>
        <v>1</v>
      </c>
      <c r="AH54" s="44">
        <f t="shared" si="26"/>
        <v>1</v>
      </c>
      <c r="AI54" s="44">
        <f t="shared" si="26"/>
        <v>1</v>
      </c>
      <c r="AJ54" s="44">
        <f t="shared" si="26"/>
        <v>1</v>
      </c>
      <c r="AK54" s="44">
        <f t="shared" si="26"/>
        <v>1</v>
      </c>
      <c r="AL54" s="44">
        <f t="shared" si="26"/>
        <v>1</v>
      </c>
      <c r="AM54" s="44">
        <f t="shared" si="26"/>
        <v>1</v>
      </c>
      <c r="AN54" s="44">
        <f t="shared" si="26"/>
        <v>1</v>
      </c>
      <c r="AO54" s="44">
        <f t="shared" si="26"/>
        <v>1</v>
      </c>
      <c r="AP54" s="44">
        <f t="shared" si="26"/>
        <v>1</v>
      </c>
      <c r="AQ54" s="44">
        <f t="shared" si="26"/>
        <v>1</v>
      </c>
      <c r="AR54" s="44">
        <f t="shared" si="26"/>
        <v>1</v>
      </c>
      <c r="AS54" s="44">
        <f t="shared" si="26"/>
        <v>1</v>
      </c>
      <c r="AT54" s="44">
        <f t="shared" si="26"/>
        <v>1</v>
      </c>
      <c r="AU54" s="44">
        <f t="shared" si="26"/>
        <v>1</v>
      </c>
      <c r="AV54" s="44">
        <f t="shared" si="26"/>
        <v>1</v>
      </c>
      <c r="AW54" s="44">
        <f t="shared" si="26"/>
        <v>1</v>
      </c>
      <c r="AX54" s="44">
        <f t="shared" si="26"/>
        <v>1</v>
      </c>
      <c r="AY54" s="44">
        <f t="shared" si="26"/>
        <v>1</v>
      </c>
      <c r="AZ54" s="44">
        <f t="shared" si="26"/>
        <v>1</v>
      </c>
      <c r="BA54" s="44">
        <f t="shared" si="26"/>
        <v>1</v>
      </c>
      <c r="BB54" s="44">
        <f t="shared" si="26"/>
        <v>1</v>
      </c>
      <c r="BC54" s="44">
        <f t="shared" si="26"/>
        <v>1</v>
      </c>
      <c r="BD54" s="44">
        <f t="shared" si="26"/>
        <v>1</v>
      </c>
      <c r="BE54" s="44">
        <f t="shared" si="26"/>
        <v>1</v>
      </c>
      <c r="BF54" s="44">
        <f t="shared" si="26"/>
        <v>1</v>
      </c>
      <c r="BG54" s="44">
        <f t="shared" si="26"/>
        <v>1</v>
      </c>
      <c r="BH54" s="44">
        <f t="shared" si="26"/>
        <v>1</v>
      </c>
      <c r="BI54" s="44">
        <f t="shared" si="26"/>
        <v>1</v>
      </c>
      <c r="BJ54" s="44">
        <f t="shared" si="26"/>
        <v>1</v>
      </c>
      <c r="BK54" s="44">
        <f t="shared" si="26"/>
        <v>1</v>
      </c>
      <c r="BL54" s="44">
        <f t="shared" si="26"/>
        <v>1</v>
      </c>
      <c r="BM54" s="44">
        <f t="shared" si="26"/>
        <v>1</v>
      </c>
      <c r="BN54" s="44">
        <f t="shared" si="26"/>
        <v>1</v>
      </c>
      <c r="BO54" s="32">
        <f t="shared" si="7"/>
        <v>0.80629539951573848</v>
      </c>
    </row>
    <row r="55" spans="1:67" s="27" customFormat="1" ht="18.75" customHeight="1" x14ac:dyDescent="0.25">
      <c r="A55" s="50" t="s">
        <v>109</v>
      </c>
      <c r="B55" s="50" t="s">
        <v>110</v>
      </c>
      <c r="C55" s="50" t="s">
        <v>111</v>
      </c>
      <c r="D55" s="51">
        <f>VLOOKUP(A55,'[1]Cuadro Control'!C55:J1985,8,FALSE)</f>
        <v>90662604.648000002</v>
      </c>
      <c r="E55" s="52">
        <v>0.1</v>
      </c>
      <c r="F55" s="53">
        <v>46260</v>
      </c>
      <c r="G55" s="53">
        <v>46262</v>
      </c>
      <c r="H55" s="52">
        <f t="shared" ref="H55:BN59" si="27">IF($F55=0,0,IF(H$6&lt;$F55,0,IF(H$6&gt;$G55,1,(H$6-$F55+1)/($G55-$F55+1))))</f>
        <v>0</v>
      </c>
      <c r="I55" s="52">
        <f t="shared" si="27"/>
        <v>0</v>
      </c>
      <c r="J55" s="52">
        <f t="shared" si="27"/>
        <v>0</v>
      </c>
      <c r="K55" s="52">
        <f t="shared" si="27"/>
        <v>0</v>
      </c>
      <c r="L55" s="52">
        <f t="shared" si="27"/>
        <v>0</v>
      </c>
      <c r="M55" s="52">
        <f t="shared" si="27"/>
        <v>0</v>
      </c>
      <c r="N55" s="52">
        <f t="shared" si="27"/>
        <v>0</v>
      </c>
      <c r="O55" s="52">
        <f t="shared" si="27"/>
        <v>1</v>
      </c>
      <c r="P55" s="52">
        <f t="shared" si="27"/>
        <v>1</v>
      </c>
      <c r="Q55" s="52">
        <f t="shared" si="27"/>
        <v>1</v>
      </c>
      <c r="R55" s="52">
        <f t="shared" si="27"/>
        <v>1</v>
      </c>
      <c r="S55" s="52">
        <f t="shared" si="27"/>
        <v>1</v>
      </c>
      <c r="T55" s="52">
        <f t="shared" si="27"/>
        <v>1</v>
      </c>
      <c r="U55" s="52">
        <f t="shared" si="27"/>
        <v>1</v>
      </c>
      <c r="V55" s="52">
        <f t="shared" si="27"/>
        <v>1</v>
      </c>
      <c r="W55" s="52">
        <f t="shared" si="27"/>
        <v>1</v>
      </c>
      <c r="X55" s="52">
        <f t="shared" si="27"/>
        <v>1</v>
      </c>
      <c r="Y55" s="52">
        <f t="shared" si="27"/>
        <v>1</v>
      </c>
      <c r="Z55" s="52">
        <f t="shared" si="27"/>
        <v>1</v>
      </c>
      <c r="AA55" s="52">
        <f t="shared" si="27"/>
        <v>1</v>
      </c>
      <c r="AB55" s="52">
        <f t="shared" si="27"/>
        <v>1</v>
      </c>
      <c r="AC55" s="52">
        <f t="shared" si="27"/>
        <v>1</v>
      </c>
      <c r="AD55" s="52">
        <f t="shared" si="27"/>
        <v>1</v>
      </c>
      <c r="AE55" s="52">
        <f t="shared" si="27"/>
        <v>1</v>
      </c>
      <c r="AF55" s="52">
        <f t="shared" si="27"/>
        <v>1</v>
      </c>
      <c r="AG55" s="52">
        <f t="shared" si="27"/>
        <v>1</v>
      </c>
      <c r="AH55" s="52">
        <f t="shared" si="27"/>
        <v>1</v>
      </c>
      <c r="AI55" s="52">
        <f t="shared" si="27"/>
        <v>1</v>
      </c>
      <c r="AJ55" s="52">
        <f t="shared" si="27"/>
        <v>1</v>
      </c>
      <c r="AK55" s="52">
        <f t="shared" si="27"/>
        <v>1</v>
      </c>
      <c r="AL55" s="52">
        <f t="shared" si="27"/>
        <v>1</v>
      </c>
      <c r="AM55" s="52">
        <f t="shared" si="27"/>
        <v>1</v>
      </c>
      <c r="AN55" s="52">
        <f t="shared" si="27"/>
        <v>1</v>
      </c>
      <c r="AO55" s="52">
        <f t="shared" si="27"/>
        <v>1</v>
      </c>
      <c r="AP55" s="52">
        <f t="shared" si="27"/>
        <v>1</v>
      </c>
      <c r="AQ55" s="52">
        <f t="shared" si="27"/>
        <v>1</v>
      </c>
      <c r="AR55" s="52">
        <f t="shared" si="27"/>
        <v>1</v>
      </c>
      <c r="AS55" s="52">
        <f t="shared" si="27"/>
        <v>1</v>
      </c>
      <c r="AT55" s="52">
        <f t="shared" si="27"/>
        <v>1</v>
      </c>
      <c r="AU55" s="52">
        <f t="shared" si="27"/>
        <v>1</v>
      </c>
      <c r="AV55" s="52">
        <f t="shared" si="27"/>
        <v>1</v>
      </c>
      <c r="AW55" s="52">
        <f t="shared" si="27"/>
        <v>1</v>
      </c>
      <c r="AX55" s="52">
        <f t="shared" si="27"/>
        <v>1</v>
      </c>
      <c r="AY55" s="52">
        <f t="shared" si="27"/>
        <v>1</v>
      </c>
      <c r="AZ55" s="52">
        <f t="shared" si="27"/>
        <v>1</v>
      </c>
      <c r="BA55" s="52">
        <f t="shared" si="27"/>
        <v>1</v>
      </c>
      <c r="BB55" s="52">
        <f t="shared" si="27"/>
        <v>1</v>
      </c>
      <c r="BC55" s="52">
        <f t="shared" si="27"/>
        <v>1</v>
      </c>
      <c r="BD55" s="52">
        <f t="shared" si="27"/>
        <v>1</v>
      </c>
      <c r="BE55" s="52">
        <f t="shared" si="27"/>
        <v>1</v>
      </c>
      <c r="BF55" s="52">
        <f t="shared" si="27"/>
        <v>1</v>
      </c>
      <c r="BG55" s="52">
        <f t="shared" si="27"/>
        <v>1</v>
      </c>
      <c r="BH55" s="52">
        <f t="shared" si="27"/>
        <v>1</v>
      </c>
      <c r="BI55" s="52">
        <f t="shared" si="27"/>
        <v>1</v>
      </c>
      <c r="BJ55" s="52">
        <f t="shared" si="27"/>
        <v>1</v>
      </c>
      <c r="BK55" s="52">
        <f t="shared" si="27"/>
        <v>1</v>
      </c>
      <c r="BL55" s="52">
        <f t="shared" si="27"/>
        <v>1</v>
      </c>
      <c r="BM55" s="52">
        <f t="shared" si="27"/>
        <v>1</v>
      </c>
      <c r="BN55" s="52">
        <f t="shared" si="27"/>
        <v>1</v>
      </c>
      <c r="BO55" s="32">
        <f t="shared" si="7"/>
        <v>0.88135593220338981</v>
      </c>
    </row>
    <row r="56" spans="1:67" s="27" customFormat="1" ht="18.75" customHeight="1" x14ac:dyDescent="0.25">
      <c r="A56" s="50" t="s">
        <v>112</v>
      </c>
      <c r="B56" s="50" t="s">
        <v>113</v>
      </c>
      <c r="C56" s="50" t="s">
        <v>114</v>
      </c>
      <c r="D56" s="51">
        <f>VLOOKUP(A56,'[1]Cuadro Control'!C56:J1986,8,FALSE)</f>
        <v>230777539.104</v>
      </c>
      <c r="E56" s="52">
        <v>0.25</v>
      </c>
      <c r="F56" s="53">
        <v>46262</v>
      </c>
      <c r="G56" s="53">
        <v>46267</v>
      </c>
      <c r="H56" s="52">
        <f t="shared" si="27"/>
        <v>0</v>
      </c>
      <c r="I56" s="52">
        <f t="shared" si="27"/>
        <v>0</v>
      </c>
      <c r="J56" s="52">
        <f t="shared" si="27"/>
        <v>0</v>
      </c>
      <c r="K56" s="52">
        <f t="shared" si="27"/>
        <v>0</v>
      </c>
      <c r="L56" s="52">
        <f t="shared" si="27"/>
        <v>0</v>
      </c>
      <c r="M56" s="52">
        <f t="shared" si="27"/>
        <v>0</v>
      </c>
      <c r="N56" s="52">
        <f t="shared" si="27"/>
        <v>0</v>
      </c>
      <c r="O56" s="52">
        <f t="shared" si="27"/>
        <v>0.16666666666666666</v>
      </c>
      <c r="P56" s="52">
        <f t="shared" si="27"/>
        <v>1</v>
      </c>
      <c r="Q56" s="52">
        <f t="shared" si="27"/>
        <v>1</v>
      </c>
      <c r="R56" s="52">
        <f t="shared" si="27"/>
        <v>1</v>
      </c>
      <c r="S56" s="52">
        <f t="shared" si="27"/>
        <v>1</v>
      </c>
      <c r="T56" s="52">
        <f t="shared" si="27"/>
        <v>1</v>
      </c>
      <c r="U56" s="52">
        <f t="shared" si="27"/>
        <v>1</v>
      </c>
      <c r="V56" s="52">
        <f t="shared" si="27"/>
        <v>1</v>
      </c>
      <c r="W56" s="52">
        <f t="shared" si="27"/>
        <v>1</v>
      </c>
      <c r="X56" s="52">
        <f t="shared" si="27"/>
        <v>1</v>
      </c>
      <c r="Y56" s="52">
        <f t="shared" si="27"/>
        <v>1</v>
      </c>
      <c r="Z56" s="52">
        <f t="shared" si="27"/>
        <v>1</v>
      </c>
      <c r="AA56" s="52">
        <f t="shared" si="27"/>
        <v>1</v>
      </c>
      <c r="AB56" s="52">
        <f t="shared" si="27"/>
        <v>1</v>
      </c>
      <c r="AC56" s="52">
        <f t="shared" si="27"/>
        <v>1</v>
      </c>
      <c r="AD56" s="52">
        <f t="shared" si="27"/>
        <v>1</v>
      </c>
      <c r="AE56" s="52">
        <f t="shared" si="27"/>
        <v>1</v>
      </c>
      <c r="AF56" s="52">
        <f t="shared" si="27"/>
        <v>1</v>
      </c>
      <c r="AG56" s="52">
        <f t="shared" si="27"/>
        <v>1</v>
      </c>
      <c r="AH56" s="52">
        <f t="shared" si="27"/>
        <v>1</v>
      </c>
      <c r="AI56" s="52">
        <f t="shared" si="27"/>
        <v>1</v>
      </c>
      <c r="AJ56" s="52">
        <f t="shared" si="27"/>
        <v>1</v>
      </c>
      <c r="AK56" s="52">
        <f t="shared" si="27"/>
        <v>1</v>
      </c>
      <c r="AL56" s="52">
        <f t="shared" si="27"/>
        <v>1</v>
      </c>
      <c r="AM56" s="52">
        <f t="shared" si="27"/>
        <v>1</v>
      </c>
      <c r="AN56" s="52">
        <f t="shared" si="27"/>
        <v>1</v>
      </c>
      <c r="AO56" s="52">
        <f t="shared" si="27"/>
        <v>1</v>
      </c>
      <c r="AP56" s="52">
        <f t="shared" si="27"/>
        <v>1</v>
      </c>
      <c r="AQ56" s="52">
        <f t="shared" si="27"/>
        <v>1</v>
      </c>
      <c r="AR56" s="52">
        <f t="shared" si="27"/>
        <v>1</v>
      </c>
      <c r="AS56" s="52">
        <f t="shared" si="27"/>
        <v>1</v>
      </c>
      <c r="AT56" s="52">
        <f t="shared" si="27"/>
        <v>1</v>
      </c>
      <c r="AU56" s="52">
        <f t="shared" si="27"/>
        <v>1</v>
      </c>
      <c r="AV56" s="52">
        <f t="shared" si="27"/>
        <v>1</v>
      </c>
      <c r="AW56" s="52">
        <f t="shared" si="27"/>
        <v>1</v>
      </c>
      <c r="AX56" s="52">
        <f t="shared" si="27"/>
        <v>1</v>
      </c>
      <c r="AY56" s="52">
        <f t="shared" si="27"/>
        <v>1</v>
      </c>
      <c r="AZ56" s="52">
        <f t="shared" si="27"/>
        <v>1</v>
      </c>
      <c r="BA56" s="52">
        <f t="shared" si="27"/>
        <v>1</v>
      </c>
      <c r="BB56" s="52">
        <f t="shared" si="27"/>
        <v>1</v>
      </c>
      <c r="BC56" s="52">
        <f t="shared" si="27"/>
        <v>1</v>
      </c>
      <c r="BD56" s="52">
        <f t="shared" si="27"/>
        <v>1</v>
      </c>
      <c r="BE56" s="52">
        <f t="shared" si="27"/>
        <v>1</v>
      </c>
      <c r="BF56" s="52">
        <f t="shared" si="27"/>
        <v>1</v>
      </c>
      <c r="BG56" s="52">
        <f t="shared" si="27"/>
        <v>1</v>
      </c>
      <c r="BH56" s="52">
        <f t="shared" si="27"/>
        <v>1</v>
      </c>
      <c r="BI56" s="52">
        <f t="shared" si="27"/>
        <v>1</v>
      </c>
      <c r="BJ56" s="52">
        <f t="shared" si="27"/>
        <v>1</v>
      </c>
      <c r="BK56" s="52">
        <f t="shared" si="27"/>
        <v>1</v>
      </c>
      <c r="BL56" s="52">
        <f t="shared" si="27"/>
        <v>1</v>
      </c>
      <c r="BM56" s="52">
        <f t="shared" si="27"/>
        <v>1</v>
      </c>
      <c r="BN56" s="52">
        <f t="shared" si="27"/>
        <v>1</v>
      </c>
      <c r="BO56" s="32">
        <f t="shared" si="7"/>
        <v>0.86723163841807915</v>
      </c>
    </row>
    <row r="57" spans="1:67" s="27" customFormat="1" ht="18.75" customHeight="1" x14ac:dyDescent="0.25">
      <c r="A57" s="50" t="s">
        <v>115</v>
      </c>
      <c r="B57" s="50" t="s">
        <v>116</v>
      </c>
      <c r="C57" s="50" t="s">
        <v>117</v>
      </c>
      <c r="D57" s="51">
        <f>VLOOKUP(A57,'[1]Cuadro Control'!C57:J1987,8,FALSE)</f>
        <v>82420549.679999992</v>
      </c>
      <c r="E57" s="52">
        <v>0.09</v>
      </c>
      <c r="F57" s="53">
        <v>46267</v>
      </c>
      <c r="G57" s="53">
        <v>46272</v>
      </c>
      <c r="H57" s="52">
        <f t="shared" si="27"/>
        <v>0</v>
      </c>
      <c r="I57" s="52">
        <f t="shared" si="27"/>
        <v>0</v>
      </c>
      <c r="J57" s="52">
        <f t="shared" si="27"/>
        <v>0</v>
      </c>
      <c r="K57" s="52">
        <f t="shared" si="27"/>
        <v>0</v>
      </c>
      <c r="L57" s="52">
        <f t="shared" si="27"/>
        <v>0</v>
      </c>
      <c r="M57" s="52">
        <f t="shared" si="27"/>
        <v>0</v>
      </c>
      <c r="N57" s="52">
        <f t="shared" si="27"/>
        <v>0</v>
      </c>
      <c r="O57" s="52">
        <f t="shared" si="27"/>
        <v>0</v>
      </c>
      <c r="P57" s="52">
        <f t="shared" si="27"/>
        <v>0.5</v>
      </c>
      <c r="Q57" s="52">
        <f t="shared" si="27"/>
        <v>1</v>
      </c>
      <c r="R57" s="52">
        <f t="shared" si="27"/>
        <v>1</v>
      </c>
      <c r="S57" s="52">
        <f t="shared" si="27"/>
        <v>1</v>
      </c>
      <c r="T57" s="52">
        <f t="shared" si="27"/>
        <v>1</v>
      </c>
      <c r="U57" s="52">
        <f t="shared" si="27"/>
        <v>1</v>
      </c>
      <c r="V57" s="52">
        <f t="shared" si="27"/>
        <v>1</v>
      </c>
      <c r="W57" s="52">
        <f t="shared" si="27"/>
        <v>1</v>
      </c>
      <c r="X57" s="52">
        <f t="shared" si="27"/>
        <v>1</v>
      </c>
      <c r="Y57" s="52">
        <f t="shared" si="27"/>
        <v>1</v>
      </c>
      <c r="Z57" s="52">
        <f t="shared" si="27"/>
        <v>1</v>
      </c>
      <c r="AA57" s="52">
        <f t="shared" si="27"/>
        <v>1</v>
      </c>
      <c r="AB57" s="52">
        <f t="shared" si="27"/>
        <v>1</v>
      </c>
      <c r="AC57" s="52">
        <f t="shared" si="27"/>
        <v>1</v>
      </c>
      <c r="AD57" s="52">
        <f t="shared" si="27"/>
        <v>1</v>
      </c>
      <c r="AE57" s="52">
        <f t="shared" si="27"/>
        <v>1</v>
      </c>
      <c r="AF57" s="52">
        <f t="shared" si="27"/>
        <v>1</v>
      </c>
      <c r="AG57" s="52">
        <f t="shared" si="27"/>
        <v>1</v>
      </c>
      <c r="AH57" s="52">
        <f t="shared" si="27"/>
        <v>1</v>
      </c>
      <c r="AI57" s="52">
        <f t="shared" si="27"/>
        <v>1</v>
      </c>
      <c r="AJ57" s="52">
        <f t="shared" si="27"/>
        <v>1</v>
      </c>
      <c r="AK57" s="52">
        <f t="shared" si="27"/>
        <v>1</v>
      </c>
      <c r="AL57" s="52">
        <f t="shared" si="27"/>
        <v>1</v>
      </c>
      <c r="AM57" s="52">
        <f t="shared" si="27"/>
        <v>1</v>
      </c>
      <c r="AN57" s="52">
        <f t="shared" si="27"/>
        <v>1</v>
      </c>
      <c r="AO57" s="52">
        <f t="shared" si="27"/>
        <v>1</v>
      </c>
      <c r="AP57" s="52">
        <f t="shared" si="27"/>
        <v>1</v>
      </c>
      <c r="AQ57" s="52">
        <f t="shared" si="27"/>
        <v>1</v>
      </c>
      <c r="AR57" s="52">
        <f t="shared" si="27"/>
        <v>1</v>
      </c>
      <c r="AS57" s="52">
        <f t="shared" si="27"/>
        <v>1</v>
      </c>
      <c r="AT57" s="52">
        <f t="shared" si="27"/>
        <v>1</v>
      </c>
      <c r="AU57" s="52">
        <f t="shared" si="27"/>
        <v>1</v>
      </c>
      <c r="AV57" s="52">
        <f t="shared" si="27"/>
        <v>1</v>
      </c>
      <c r="AW57" s="52">
        <f t="shared" si="27"/>
        <v>1</v>
      </c>
      <c r="AX57" s="52">
        <f t="shared" si="27"/>
        <v>1</v>
      </c>
      <c r="AY57" s="52">
        <f t="shared" si="27"/>
        <v>1</v>
      </c>
      <c r="AZ57" s="52">
        <f t="shared" si="27"/>
        <v>1</v>
      </c>
      <c r="BA57" s="52">
        <f t="shared" si="27"/>
        <v>1</v>
      </c>
      <c r="BB57" s="52">
        <f t="shared" si="27"/>
        <v>1</v>
      </c>
      <c r="BC57" s="52">
        <f t="shared" si="27"/>
        <v>1</v>
      </c>
      <c r="BD57" s="52">
        <f t="shared" si="27"/>
        <v>1</v>
      </c>
      <c r="BE57" s="52">
        <f t="shared" si="27"/>
        <v>1</v>
      </c>
      <c r="BF57" s="52">
        <f t="shared" si="27"/>
        <v>1</v>
      </c>
      <c r="BG57" s="52">
        <f t="shared" si="27"/>
        <v>1</v>
      </c>
      <c r="BH57" s="52">
        <f t="shared" si="27"/>
        <v>1</v>
      </c>
      <c r="BI57" s="52">
        <f t="shared" si="27"/>
        <v>1</v>
      </c>
      <c r="BJ57" s="52">
        <f t="shared" si="27"/>
        <v>1</v>
      </c>
      <c r="BK57" s="52">
        <f t="shared" si="27"/>
        <v>1</v>
      </c>
      <c r="BL57" s="52">
        <f t="shared" si="27"/>
        <v>1</v>
      </c>
      <c r="BM57" s="52">
        <f t="shared" si="27"/>
        <v>1</v>
      </c>
      <c r="BN57" s="52">
        <f t="shared" si="27"/>
        <v>1</v>
      </c>
      <c r="BO57" s="32">
        <f t="shared" si="7"/>
        <v>0.85593220338983056</v>
      </c>
    </row>
    <row r="58" spans="1:67" s="27" customFormat="1" ht="18.75" customHeight="1" x14ac:dyDescent="0.25">
      <c r="A58" s="50" t="s">
        <v>118</v>
      </c>
      <c r="B58" s="50" t="s">
        <v>119</v>
      </c>
      <c r="C58" s="50" t="s">
        <v>114</v>
      </c>
      <c r="D58" s="51">
        <f>VLOOKUP(A58,'[1]Cuadro Control'!C58:J1988,8,FALSE)</f>
        <v>230777539.104</v>
      </c>
      <c r="E58" s="52">
        <v>0.25</v>
      </c>
      <c r="F58" s="53">
        <v>46303</v>
      </c>
      <c r="G58" s="53">
        <v>46309</v>
      </c>
      <c r="H58" s="52">
        <f t="shared" si="27"/>
        <v>0</v>
      </c>
      <c r="I58" s="52">
        <f t="shared" si="27"/>
        <v>0</v>
      </c>
      <c r="J58" s="52">
        <f t="shared" si="27"/>
        <v>0</v>
      </c>
      <c r="K58" s="52">
        <f t="shared" si="27"/>
        <v>0</v>
      </c>
      <c r="L58" s="52">
        <f t="shared" si="27"/>
        <v>0</v>
      </c>
      <c r="M58" s="52">
        <f t="shared" si="27"/>
        <v>0</v>
      </c>
      <c r="N58" s="52">
        <f t="shared" si="27"/>
        <v>0</v>
      </c>
      <c r="O58" s="52">
        <f t="shared" si="27"/>
        <v>0</v>
      </c>
      <c r="P58" s="52">
        <f t="shared" si="27"/>
        <v>0</v>
      </c>
      <c r="Q58" s="52">
        <f t="shared" si="27"/>
        <v>0</v>
      </c>
      <c r="R58" s="52">
        <f t="shared" si="27"/>
        <v>0</v>
      </c>
      <c r="S58" s="52">
        <f t="shared" si="27"/>
        <v>0</v>
      </c>
      <c r="T58" s="52">
        <f t="shared" si="27"/>
        <v>0</v>
      </c>
      <c r="U58" s="52">
        <f t="shared" si="27"/>
        <v>0.2857142857142857</v>
      </c>
      <c r="V58" s="52">
        <f t="shared" si="27"/>
        <v>1</v>
      </c>
      <c r="W58" s="52">
        <f t="shared" si="27"/>
        <v>1</v>
      </c>
      <c r="X58" s="52">
        <f t="shared" si="27"/>
        <v>1</v>
      </c>
      <c r="Y58" s="52">
        <f t="shared" si="27"/>
        <v>1</v>
      </c>
      <c r="Z58" s="52">
        <f t="shared" si="27"/>
        <v>1</v>
      </c>
      <c r="AA58" s="52">
        <f t="shared" si="27"/>
        <v>1</v>
      </c>
      <c r="AB58" s="52">
        <f t="shared" si="27"/>
        <v>1</v>
      </c>
      <c r="AC58" s="52">
        <f t="shared" si="27"/>
        <v>1</v>
      </c>
      <c r="AD58" s="52">
        <f t="shared" si="27"/>
        <v>1</v>
      </c>
      <c r="AE58" s="52">
        <f t="shared" si="27"/>
        <v>1</v>
      </c>
      <c r="AF58" s="52">
        <f t="shared" si="27"/>
        <v>1</v>
      </c>
      <c r="AG58" s="52">
        <f t="shared" si="27"/>
        <v>1</v>
      </c>
      <c r="AH58" s="52">
        <f t="shared" si="27"/>
        <v>1</v>
      </c>
      <c r="AI58" s="52">
        <f t="shared" si="27"/>
        <v>1</v>
      </c>
      <c r="AJ58" s="52">
        <f t="shared" si="27"/>
        <v>1</v>
      </c>
      <c r="AK58" s="52">
        <f t="shared" si="27"/>
        <v>1</v>
      </c>
      <c r="AL58" s="52">
        <f t="shared" si="27"/>
        <v>1</v>
      </c>
      <c r="AM58" s="52">
        <f t="shared" si="27"/>
        <v>1</v>
      </c>
      <c r="AN58" s="52">
        <f t="shared" si="27"/>
        <v>1</v>
      </c>
      <c r="AO58" s="52">
        <f t="shared" si="27"/>
        <v>1</v>
      </c>
      <c r="AP58" s="52">
        <f t="shared" si="27"/>
        <v>1</v>
      </c>
      <c r="AQ58" s="52">
        <f t="shared" si="27"/>
        <v>1</v>
      </c>
      <c r="AR58" s="52">
        <f t="shared" si="27"/>
        <v>1</v>
      </c>
      <c r="AS58" s="52">
        <f t="shared" si="27"/>
        <v>1</v>
      </c>
      <c r="AT58" s="52">
        <f t="shared" si="27"/>
        <v>1</v>
      </c>
      <c r="AU58" s="52">
        <f t="shared" si="27"/>
        <v>1</v>
      </c>
      <c r="AV58" s="52">
        <f t="shared" si="27"/>
        <v>1</v>
      </c>
      <c r="AW58" s="52">
        <f t="shared" si="27"/>
        <v>1</v>
      </c>
      <c r="AX58" s="52">
        <f t="shared" si="27"/>
        <v>1</v>
      </c>
      <c r="AY58" s="52">
        <f t="shared" si="27"/>
        <v>1</v>
      </c>
      <c r="AZ58" s="52">
        <f t="shared" si="27"/>
        <v>1</v>
      </c>
      <c r="BA58" s="52">
        <f t="shared" si="27"/>
        <v>1</v>
      </c>
      <c r="BB58" s="52">
        <f t="shared" si="27"/>
        <v>1</v>
      </c>
      <c r="BC58" s="52">
        <f t="shared" si="27"/>
        <v>1</v>
      </c>
      <c r="BD58" s="52">
        <f t="shared" si="27"/>
        <v>1</v>
      </c>
      <c r="BE58" s="52">
        <f t="shared" si="27"/>
        <v>1</v>
      </c>
      <c r="BF58" s="52">
        <f t="shared" si="27"/>
        <v>1</v>
      </c>
      <c r="BG58" s="52">
        <f t="shared" si="27"/>
        <v>1</v>
      </c>
      <c r="BH58" s="52">
        <f t="shared" si="27"/>
        <v>1</v>
      </c>
      <c r="BI58" s="52">
        <f t="shared" si="27"/>
        <v>1</v>
      </c>
      <c r="BJ58" s="52">
        <f t="shared" si="27"/>
        <v>1</v>
      </c>
      <c r="BK58" s="52">
        <f t="shared" si="27"/>
        <v>1</v>
      </c>
      <c r="BL58" s="52">
        <f t="shared" si="27"/>
        <v>1</v>
      </c>
      <c r="BM58" s="52">
        <f t="shared" si="27"/>
        <v>1</v>
      </c>
      <c r="BN58" s="52">
        <f t="shared" si="27"/>
        <v>1</v>
      </c>
      <c r="BO58" s="32">
        <f t="shared" si="7"/>
        <v>0.76755447941888622</v>
      </c>
    </row>
    <row r="59" spans="1:67" s="27" customFormat="1" ht="18.75" customHeight="1" x14ac:dyDescent="0.25">
      <c r="A59" s="50" t="s">
        <v>120</v>
      </c>
      <c r="B59" s="50" t="s">
        <v>121</v>
      </c>
      <c r="C59" s="50" t="s">
        <v>111</v>
      </c>
      <c r="D59" s="51">
        <f>VLOOKUP(A59,'[1]Cuadro Control'!C59:J1989,8,FALSE)</f>
        <v>49452329.807999998</v>
      </c>
      <c r="E59" s="52">
        <v>0.05</v>
      </c>
      <c r="F59" s="53">
        <v>46309</v>
      </c>
      <c r="G59" s="53">
        <v>46310</v>
      </c>
      <c r="H59" s="52">
        <f t="shared" si="27"/>
        <v>0</v>
      </c>
      <c r="I59" s="52">
        <f t="shared" si="27"/>
        <v>0</v>
      </c>
      <c r="J59" s="52">
        <f t="shared" si="27"/>
        <v>0</v>
      </c>
      <c r="K59" s="52">
        <f t="shared" si="27"/>
        <v>0</v>
      </c>
      <c r="L59" s="52">
        <f t="shared" si="27"/>
        <v>0</v>
      </c>
      <c r="M59" s="52">
        <f t="shared" si="27"/>
        <v>0</v>
      </c>
      <c r="N59" s="52">
        <f t="shared" si="27"/>
        <v>0</v>
      </c>
      <c r="O59" s="52">
        <f t="shared" si="27"/>
        <v>0</v>
      </c>
      <c r="P59" s="52">
        <f t="shared" si="27"/>
        <v>0</v>
      </c>
      <c r="Q59" s="52">
        <f t="shared" si="27"/>
        <v>0</v>
      </c>
      <c r="R59" s="52">
        <f t="shared" si="27"/>
        <v>0</v>
      </c>
      <c r="S59" s="52">
        <f t="shared" si="27"/>
        <v>0</v>
      </c>
      <c r="T59" s="52">
        <f t="shared" si="27"/>
        <v>0</v>
      </c>
      <c r="U59" s="52">
        <f t="shared" si="27"/>
        <v>0</v>
      </c>
      <c r="V59" s="52">
        <f t="shared" si="27"/>
        <v>1</v>
      </c>
      <c r="W59" s="52">
        <f t="shared" si="27"/>
        <v>1</v>
      </c>
      <c r="X59" s="52">
        <f t="shared" si="27"/>
        <v>1</v>
      </c>
      <c r="Y59" s="52">
        <f t="shared" si="27"/>
        <v>1</v>
      </c>
      <c r="Z59" s="52">
        <f t="shared" si="27"/>
        <v>1</v>
      </c>
      <c r="AA59" s="52">
        <f t="shared" ref="AA59:BF62" si="28">IF($F59=0,0,IF(AA$6&lt;$F59,0,IF(AA$6&gt;$G59,1,(AA$6-$F59+1)/($G59-$F59+1))))</f>
        <v>1</v>
      </c>
      <c r="AB59" s="52">
        <f t="shared" si="28"/>
        <v>1</v>
      </c>
      <c r="AC59" s="52">
        <f t="shared" si="28"/>
        <v>1</v>
      </c>
      <c r="AD59" s="52">
        <f t="shared" si="28"/>
        <v>1</v>
      </c>
      <c r="AE59" s="52">
        <f t="shared" si="28"/>
        <v>1</v>
      </c>
      <c r="AF59" s="52">
        <f t="shared" si="28"/>
        <v>1</v>
      </c>
      <c r="AG59" s="52">
        <f t="shared" si="28"/>
        <v>1</v>
      </c>
      <c r="AH59" s="52">
        <f t="shared" si="28"/>
        <v>1</v>
      </c>
      <c r="AI59" s="52">
        <f t="shared" si="28"/>
        <v>1</v>
      </c>
      <c r="AJ59" s="52">
        <f t="shared" si="28"/>
        <v>1</v>
      </c>
      <c r="AK59" s="52">
        <f t="shared" si="28"/>
        <v>1</v>
      </c>
      <c r="AL59" s="52">
        <f t="shared" si="28"/>
        <v>1</v>
      </c>
      <c r="AM59" s="52">
        <f t="shared" si="28"/>
        <v>1</v>
      </c>
      <c r="AN59" s="52">
        <f t="shared" si="28"/>
        <v>1</v>
      </c>
      <c r="AO59" s="52">
        <f t="shared" si="28"/>
        <v>1</v>
      </c>
      <c r="AP59" s="52">
        <f t="shared" si="28"/>
        <v>1</v>
      </c>
      <c r="AQ59" s="52">
        <f t="shared" si="28"/>
        <v>1</v>
      </c>
      <c r="AR59" s="52">
        <f t="shared" si="28"/>
        <v>1</v>
      </c>
      <c r="AS59" s="52">
        <f t="shared" si="28"/>
        <v>1</v>
      </c>
      <c r="AT59" s="52">
        <f t="shared" si="28"/>
        <v>1</v>
      </c>
      <c r="AU59" s="52">
        <f t="shared" si="28"/>
        <v>1</v>
      </c>
      <c r="AV59" s="52">
        <f t="shared" si="28"/>
        <v>1</v>
      </c>
      <c r="AW59" s="52">
        <f t="shared" si="28"/>
        <v>1</v>
      </c>
      <c r="AX59" s="52">
        <f t="shared" si="28"/>
        <v>1</v>
      </c>
      <c r="AY59" s="52">
        <f t="shared" si="28"/>
        <v>1</v>
      </c>
      <c r="AZ59" s="52">
        <f t="shared" si="28"/>
        <v>1</v>
      </c>
      <c r="BA59" s="52">
        <f t="shared" si="28"/>
        <v>1</v>
      </c>
      <c r="BB59" s="52">
        <f t="shared" si="28"/>
        <v>1</v>
      </c>
      <c r="BC59" s="52">
        <f t="shared" si="28"/>
        <v>1</v>
      </c>
      <c r="BD59" s="52">
        <f t="shared" si="28"/>
        <v>1</v>
      </c>
      <c r="BE59" s="52">
        <f t="shared" si="28"/>
        <v>1</v>
      </c>
      <c r="BF59" s="52">
        <f t="shared" si="28"/>
        <v>1</v>
      </c>
      <c r="BG59" s="52">
        <f t="shared" ref="BG59:BN62" si="29">IF($F59=0,0,IF(BG$6&lt;$F59,0,IF(BG$6&gt;$G59,1,(BG$6-$F59+1)/($G59-$F59+1))))</f>
        <v>1</v>
      </c>
      <c r="BH59" s="52">
        <f t="shared" si="29"/>
        <v>1</v>
      </c>
      <c r="BI59" s="52">
        <f t="shared" si="29"/>
        <v>1</v>
      </c>
      <c r="BJ59" s="52">
        <f t="shared" si="29"/>
        <v>1</v>
      </c>
      <c r="BK59" s="52">
        <f t="shared" si="29"/>
        <v>1</v>
      </c>
      <c r="BL59" s="52">
        <f t="shared" si="29"/>
        <v>1</v>
      </c>
      <c r="BM59" s="52">
        <f t="shared" si="29"/>
        <v>1</v>
      </c>
      <c r="BN59" s="52">
        <f t="shared" si="29"/>
        <v>1</v>
      </c>
      <c r="BO59" s="32">
        <f t="shared" si="7"/>
        <v>0.76271186440677963</v>
      </c>
    </row>
    <row r="60" spans="1:67" s="27" customFormat="1" ht="18.75" customHeight="1" x14ac:dyDescent="0.25">
      <c r="A60" s="50" t="s">
        <v>122</v>
      </c>
      <c r="B60" s="50" t="s">
        <v>123</v>
      </c>
      <c r="C60" s="50" t="s">
        <v>111</v>
      </c>
      <c r="D60" s="51">
        <f>VLOOKUP(A60,'[1]Cuadro Control'!C60:J1990,8,FALSE)</f>
        <v>140114934.456</v>
      </c>
      <c r="E60" s="52">
        <v>0.15</v>
      </c>
      <c r="F60" s="53">
        <v>46310</v>
      </c>
      <c r="G60" s="53">
        <v>46310</v>
      </c>
      <c r="H60" s="52">
        <f t="shared" ref="H60:W62" si="30">IF($F60=0,0,IF(H$6&lt;$F60,0,IF(H$6&gt;$G60,1,(H$6-$F60+1)/($G60-$F60+1))))</f>
        <v>0</v>
      </c>
      <c r="I60" s="52">
        <f>IF($F60=0,0,IF(I$6&lt;$F60,0,IF(I$6&gt;$G60,1,(I$6-$F60+1)/($G60-$F60+1))))</f>
        <v>0</v>
      </c>
      <c r="J60" s="52">
        <f>IF($F60=0,0,IF(J$6&lt;$F60,0,IF(J$6&gt;$G60,1,(J$6-$F60+1)/($G60-$F60+1))))</f>
        <v>0</v>
      </c>
      <c r="K60" s="52">
        <f>IF($F60=0,0,IF(K$6&lt;$F60,0,IF(K$6&gt;$G60,1,(K$6-$F60+1)/($G60-$F60+1))))</f>
        <v>0</v>
      </c>
      <c r="L60" s="52">
        <f>IF($F60=0,0,IF(L$6&lt;$F60,0,IF(L$6&gt;$G60,1,(L$6-$F60+1)/($G60-$F60+1))))</f>
        <v>0</v>
      </c>
      <c r="M60" s="52">
        <f>IF($F60=0,0,IF(M$6&lt;$F60,0,IF(M$6&gt;$G60,1,(M$6-$F60+1)/($G60-$F60+1))))</f>
        <v>0</v>
      </c>
      <c r="N60" s="52">
        <f t="shared" ref="N60:AS62" si="31">IF($F60=0,0,IF(N$6&lt;$F60,0,IF(N$6&gt;$G60,1,(N$6-$F60+1)/($G60-$F60+1))))</f>
        <v>0</v>
      </c>
      <c r="O60" s="52">
        <f t="shared" si="31"/>
        <v>0</v>
      </c>
      <c r="P60" s="52">
        <f t="shared" si="31"/>
        <v>0</v>
      </c>
      <c r="Q60" s="52">
        <f t="shared" si="31"/>
        <v>0</v>
      </c>
      <c r="R60" s="52">
        <f t="shared" si="31"/>
        <v>0</v>
      </c>
      <c r="S60" s="52">
        <f t="shared" si="31"/>
        <v>0</v>
      </c>
      <c r="T60" s="52">
        <f t="shared" si="31"/>
        <v>0</v>
      </c>
      <c r="U60" s="52">
        <f t="shared" si="31"/>
        <v>0</v>
      </c>
      <c r="V60" s="52">
        <f t="shared" si="31"/>
        <v>1</v>
      </c>
      <c r="W60" s="52">
        <f t="shared" si="31"/>
        <v>1</v>
      </c>
      <c r="X60" s="52">
        <f t="shared" si="31"/>
        <v>1</v>
      </c>
      <c r="Y60" s="52">
        <f t="shared" si="31"/>
        <v>1</v>
      </c>
      <c r="Z60" s="52">
        <f t="shared" si="31"/>
        <v>1</v>
      </c>
      <c r="AA60" s="52">
        <f t="shared" si="31"/>
        <v>1</v>
      </c>
      <c r="AB60" s="52">
        <f t="shared" si="31"/>
        <v>1</v>
      </c>
      <c r="AC60" s="52">
        <f t="shared" si="31"/>
        <v>1</v>
      </c>
      <c r="AD60" s="52">
        <f t="shared" si="31"/>
        <v>1</v>
      </c>
      <c r="AE60" s="52">
        <f t="shared" si="31"/>
        <v>1</v>
      </c>
      <c r="AF60" s="52">
        <f t="shared" si="31"/>
        <v>1</v>
      </c>
      <c r="AG60" s="52">
        <f t="shared" si="31"/>
        <v>1</v>
      </c>
      <c r="AH60" s="52">
        <f t="shared" si="31"/>
        <v>1</v>
      </c>
      <c r="AI60" s="52">
        <f t="shared" si="31"/>
        <v>1</v>
      </c>
      <c r="AJ60" s="52">
        <f t="shared" si="31"/>
        <v>1</v>
      </c>
      <c r="AK60" s="52">
        <f t="shared" si="31"/>
        <v>1</v>
      </c>
      <c r="AL60" s="52">
        <f t="shared" si="31"/>
        <v>1</v>
      </c>
      <c r="AM60" s="52">
        <f t="shared" si="31"/>
        <v>1</v>
      </c>
      <c r="AN60" s="52">
        <f t="shared" si="31"/>
        <v>1</v>
      </c>
      <c r="AO60" s="52">
        <f t="shared" si="28"/>
        <v>1</v>
      </c>
      <c r="AP60" s="52">
        <f t="shared" si="28"/>
        <v>1</v>
      </c>
      <c r="AQ60" s="52">
        <f t="shared" si="28"/>
        <v>1</v>
      </c>
      <c r="AR60" s="52">
        <f t="shared" si="28"/>
        <v>1</v>
      </c>
      <c r="AS60" s="52">
        <f t="shared" si="28"/>
        <v>1</v>
      </c>
      <c r="AT60" s="52">
        <f t="shared" si="28"/>
        <v>1</v>
      </c>
      <c r="AU60" s="52">
        <f t="shared" si="28"/>
        <v>1</v>
      </c>
      <c r="AV60" s="52">
        <f t="shared" si="28"/>
        <v>1</v>
      </c>
      <c r="AW60" s="52">
        <f t="shared" si="28"/>
        <v>1</v>
      </c>
      <c r="AX60" s="52">
        <f t="shared" si="28"/>
        <v>1</v>
      </c>
      <c r="AY60" s="52">
        <f t="shared" si="28"/>
        <v>1</v>
      </c>
      <c r="AZ60" s="52">
        <f t="shared" si="28"/>
        <v>1</v>
      </c>
      <c r="BA60" s="52">
        <f t="shared" si="28"/>
        <v>1</v>
      </c>
      <c r="BB60" s="52">
        <f t="shared" si="28"/>
        <v>1</v>
      </c>
      <c r="BC60" s="52">
        <f t="shared" si="28"/>
        <v>1</v>
      </c>
      <c r="BD60" s="52">
        <f t="shared" si="28"/>
        <v>1</v>
      </c>
      <c r="BE60" s="52">
        <f t="shared" si="28"/>
        <v>1</v>
      </c>
      <c r="BF60" s="52">
        <f t="shared" si="28"/>
        <v>1</v>
      </c>
      <c r="BG60" s="52">
        <f t="shared" si="29"/>
        <v>1</v>
      </c>
      <c r="BH60" s="52">
        <f t="shared" si="29"/>
        <v>1</v>
      </c>
      <c r="BI60" s="52">
        <f t="shared" si="29"/>
        <v>1</v>
      </c>
      <c r="BJ60" s="52">
        <f t="shared" si="29"/>
        <v>1</v>
      </c>
      <c r="BK60" s="52">
        <f t="shared" si="29"/>
        <v>1</v>
      </c>
      <c r="BL60" s="52">
        <f t="shared" si="29"/>
        <v>1</v>
      </c>
      <c r="BM60" s="52">
        <f t="shared" si="29"/>
        <v>1</v>
      </c>
      <c r="BN60" s="52">
        <f t="shared" si="29"/>
        <v>1</v>
      </c>
      <c r="BO60" s="32">
        <f t="shared" si="7"/>
        <v>0.76271186440677963</v>
      </c>
    </row>
    <row r="61" spans="1:67" s="27" customFormat="1" ht="18.75" customHeight="1" x14ac:dyDescent="0.25">
      <c r="A61" s="50" t="s">
        <v>124</v>
      </c>
      <c r="B61" s="50" t="s">
        <v>125</v>
      </c>
      <c r="C61" s="50" t="s">
        <v>126</v>
      </c>
      <c r="D61" s="51">
        <f>VLOOKUP(A61,'[1]Cuadro Control'!C62:J1991,8,FALSE)</f>
        <v>52335715.768702812</v>
      </c>
      <c r="E61" s="52">
        <v>0.06</v>
      </c>
      <c r="F61" s="53">
        <v>46321</v>
      </c>
      <c r="G61" s="53">
        <v>46324</v>
      </c>
      <c r="H61" s="52">
        <f t="shared" si="30"/>
        <v>0</v>
      </c>
      <c r="I61" s="52">
        <f t="shared" si="30"/>
        <v>0</v>
      </c>
      <c r="J61" s="52">
        <f t="shared" si="30"/>
        <v>0</v>
      </c>
      <c r="K61" s="52">
        <f t="shared" si="30"/>
        <v>0</v>
      </c>
      <c r="L61" s="52">
        <f t="shared" si="30"/>
        <v>0</v>
      </c>
      <c r="M61" s="52">
        <f t="shared" si="30"/>
        <v>0</v>
      </c>
      <c r="N61" s="52">
        <f t="shared" si="30"/>
        <v>0</v>
      </c>
      <c r="O61" s="52">
        <f t="shared" si="30"/>
        <v>0</v>
      </c>
      <c r="P61" s="52">
        <f t="shared" si="30"/>
        <v>0</v>
      </c>
      <c r="Q61" s="52">
        <f t="shared" si="30"/>
        <v>0</v>
      </c>
      <c r="R61" s="52">
        <f t="shared" si="30"/>
        <v>0</v>
      </c>
      <c r="S61" s="52">
        <f t="shared" si="30"/>
        <v>0</v>
      </c>
      <c r="T61" s="52">
        <f t="shared" si="30"/>
        <v>0</v>
      </c>
      <c r="U61" s="52">
        <f t="shared" si="30"/>
        <v>0</v>
      </c>
      <c r="V61" s="52">
        <f t="shared" si="30"/>
        <v>0</v>
      </c>
      <c r="W61" s="52">
        <f t="shared" si="30"/>
        <v>0</v>
      </c>
      <c r="X61" s="52">
        <f t="shared" si="31"/>
        <v>1</v>
      </c>
      <c r="Y61" s="52">
        <f t="shared" si="31"/>
        <v>1</v>
      </c>
      <c r="Z61" s="52">
        <f t="shared" si="31"/>
        <v>1</v>
      </c>
      <c r="AA61" s="52">
        <f t="shared" si="31"/>
        <v>1</v>
      </c>
      <c r="AB61" s="52">
        <f t="shared" si="31"/>
        <v>1</v>
      </c>
      <c r="AC61" s="52">
        <f t="shared" si="31"/>
        <v>1</v>
      </c>
      <c r="AD61" s="52">
        <f t="shared" si="31"/>
        <v>1</v>
      </c>
      <c r="AE61" s="52">
        <f t="shared" si="31"/>
        <v>1</v>
      </c>
      <c r="AF61" s="52">
        <f t="shared" si="31"/>
        <v>1</v>
      </c>
      <c r="AG61" s="52">
        <f t="shared" si="31"/>
        <v>1</v>
      </c>
      <c r="AH61" s="52">
        <f t="shared" si="31"/>
        <v>1</v>
      </c>
      <c r="AI61" s="52">
        <f t="shared" si="31"/>
        <v>1</v>
      </c>
      <c r="AJ61" s="52">
        <f t="shared" si="31"/>
        <v>1</v>
      </c>
      <c r="AK61" s="52">
        <f t="shared" si="31"/>
        <v>1</v>
      </c>
      <c r="AL61" s="52">
        <f t="shared" si="31"/>
        <v>1</v>
      </c>
      <c r="AM61" s="52">
        <f t="shared" si="31"/>
        <v>1</v>
      </c>
      <c r="AN61" s="52">
        <f t="shared" si="31"/>
        <v>1</v>
      </c>
      <c r="AO61" s="52">
        <f t="shared" si="28"/>
        <v>1</v>
      </c>
      <c r="AP61" s="52">
        <f t="shared" si="28"/>
        <v>1</v>
      </c>
      <c r="AQ61" s="52">
        <f t="shared" si="28"/>
        <v>1</v>
      </c>
      <c r="AR61" s="52">
        <f t="shared" si="28"/>
        <v>1</v>
      </c>
      <c r="AS61" s="52">
        <f t="shared" si="28"/>
        <v>1</v>
      </c>
      <c r="AT61" s="52">
        <f t="shared" si="28"/>
        <v>1</v>
      </c>
      <c r="AU61" s="52">
        <f t="shared" si="28"/>
        <v>1</v>
      </c>
      <c r="AV61" s="52">
        <f t="shared" si="28"/>
        <v>1</v>
      </c>
      <c r="AW61" s="52">
        <f t="shared" si="28"/>
        <v>1</v>
      </c>
      <c r="AX61" s="52">
        <f t="shared" si="28"/>
        <v>1</v>
      </c>
      <c r="AY61" s="52">
        <f t="shared" si="28"/>
        <v>1</v>
      </c>
      <c r="AZ61" s="52">
        <f t="shared" si="28"/>
        <v>1</v>
      </c>
      <c r="BA61" s="52">
        <f t="shared" si="28"/>
        <v>1</v>
      </c>
      <c r="BB61" s="52">
        <f t="shared" si="28"/>
        <v>1</v>
      </c>
      <c r="BC61" s="52">
        <f t="shared" si="28"/>
        <v>1</v>
      </c>
      <c r="BD61" s="52">
        <f t="shared" si="28"/>
        <v>1</v>
      </c>
      <c r="BE61" s="52">
        <f t="shared" si="28"/>
        <v>1</v>
      </c>
      <c r="BF61" s="52">
        <f t="shared" si="28"/>
        <v>1</v>
      </c>
      <c r="BG61" s="52">
        <f t="shared" si="29"/>
        <v>1</v>
      </c>
      <c r="BH61" s="52">
        <f t="shared" si="29"/>
        <v>1</v>
      </c>
      <c r="BI61" s="52">
        <f t="shared" si="29"/>
        <v>1</v>
      </c>
      <c r="BJ61" s="52">
        <f t="shared" si="29"/>
        <v>1</v>
      </c>
      <c r="BK61" s="52">
        <f t="shared" si="29"/>
        <v>1</v>
      </c>
      <c r="BL61" s="52">
        <f t="shared" si="29"/>
        <v>1</v>
      </c>
      <c r="BM61" s="52">
        <f t="shared" si="29"/>
        <v>1</v>
      </c>
      <c r="BN61" s="52">
        <f t="shared" si="29"/>
        <v>1</v>
      </c>
      <c r="BO61" s="32">
        <f t="shared" si="7"/>
        <v>0.72881355932203384</v>
      </c>
    </row>
    <row r="62" spans="1:67" s="27" customFormat="1" ht="18.75" customHeight="1" x14ac:dyDescent="0.25">
      <c r="A62" s="50" t="s">
        <v>127</v>
      </c>
      <c r="B62" s="50" t="s">
        <v>128</v>
      </c>
      <c r="C62" s="50" t="s">
        <v>117</v>
      </c>
      <c r="D62" s="51">
        <f>VLOOKUP(A62,'[1]Cuadro Control'!C64:J1992,8,FALSE)</f>
        <v>46410609.014634147</v>
      </c>
      <c r="E62" s="52">
        <v>0.05</v>
      </c>
      <c r="F62" s="53">
        <v>46324</v>
      </c>
      <c r="G62" s="53">
        <v>46326</v>
      </c>
      <c r="H62" s="52">
        <f t="shared" si="30"/>
        <v>0</v>
      </c>
      <c r="I62" s="52">
        <f t="shared" si="30"/>
        <v>0</v>
      </c>
      <c r="J62" s="52">
        <f t="shared" si="30"/>
        <v>0</v>
      </c>
      <c r="K62" s="52">
        <f t="shared" si="30"/>
        <v>0</v>
      </c>
      <c r="L62" s="52">
        <f t="shared" si="30"/>
        <v>0</v>
      </c>
      <c r="M62" s="52">
        <f t="shared" si="30"/>
        <v>0</v>
      </c>
      <c r="N62" s="52">
        <f t="shared" si="30"/>
        <v>0</v>
      </c>
      <c r="O62" s="52">
        <f t="shared" si="30"/>
        <v>0</v>
      </c>
      <c r="P62" s="52">
        <f t="shared" si="30"/>
        <v>0</v>
      </c>
      <c r="Q62" s="52">
        <f t="shared" si="30"/>
        <v>0</v>
      </c>
      <c r="R62" s="52">
        <f t="shared" si="30"/>
        <v>0</v>
      </c>
      <c r="S62" s="52">
        <f t="shared" si="30"/>
        <v>0</v>
      </c>
      <c r="T62" s="52">
        <f t="shared" si="30"/>
        <v>0</v>
      </c>
      <c r="U62" s="52">
        <f t="shared" si="30"/>
        <v>0</v>
      </c>
      <c r="V62" s="52">
        <f t="shared" si="30"/>
        <v>0</v>
      </c>
      <c r="W62" s="52">
        <f t="shared" si="30"/>
        <v>0</v>
      </c>
      <c r="X62" s="52">
        <f t="shared" si="31"/>
        <v>0.66666666666666663</v>
      </c>
      <c r="Y62" s="52">
        <f t="shared" si="31"/>
        <v>1</v>
      </c>
      <c r="Z62" s="52">
        <f t="shared" si="31"/>
        <v>1</v>
      </c>
      <c r="AA62" s="52">
        <f t="shared" si="31"/>
        <v>1</v>
      </c>
      <c r="AB62" s="52">
        <f t="shared" si="31"/>
        <v>1</v>
      </c>
      <c r="AC62" s="52">
        <f t="shared" si="31"/>
        <v>1</v>
      </c>
      <c r="AD62" s="52">
        <f t="shared" si="31"/>
        <v>1</v>
      </c>
      <c r="AE62" s="52">
        <f t="shared" si="31"/>
        <v>1</v>
      </c>
      <c r="AF62" s="52">
        <f t="shared" si="31"/>
        <v>1</v>
      </c>
      <c r="AG62" s="52">
        <f t="shared" si="31"/>
        <v>1</v>
      </c>
      <c r="AH62" s="52">
        <f t="shared" si="31"/>
        <v>1</v>
      </c>
      <c r="AI62" s="52">
        <f t="shared" si="31"/>
        <v>1</v>
      </c>
      <c r="AJ62" s="52">
        <f t="shared" si="31"/>
        <v>1</v>
      </c>
      <c r="AK62" s="52">
        <f t="shared" si="31"/>
        <v>1</v>
      </c>
      <c r="AL62" s="52">
        <f t="shared" si="31"/>
        <v>1</v>
      </c>
      <c r="AM62" s="52">
        <f t="shared" si="31"/>
        <v>1</v>
      </c>
      <c r="AN62" s="52">
        <f t="shared" si="31"/>
        <v>1</v>
      </c>
      <c r="AO62" s="52">
        <f t="shared" si="31"/>
        <v>1</v>
      </c>
      <c r="AP62" s="52">
        <f t="shared" si="31"/>
        <v>1</v>
      </c>
      <c r="AQ62" s="52">
        <f t="shared" si="31"/>
        <v>1</v>
      </c>
      <c r="AR62" s="52">
        <f t="shared" si="31"/>
        <v>1</v>
      </c>
      <c r="AS62" s="52">
        <f t="shared" si="31"/>
        <v>1</v>
      </c>
      <c r="AT62" s="52">
        <f t="shared" si="28"/>
        <v>1</v>
      </c>
      <c r="AU62" s="52">
        <f t="shared" si="28"/>
        <v>1</v>
      </c>
      <c r="AV62" s="52">
        <f t="shared" si="28"/>
        <v>1</v>
      </c>
      <c r="AW62" s="52">
        <f t="shared" si="28"/>
        <v>1</v>
      </c>
      <c r="AX62" s="52">
        <f t="shared" si="28"/>
        <v>1</v>
      </c>
      <c r="AY62" s="52">
        <f t="shared" si="28"/>
        <v>1</v>
      </c>
      <c r="AZ62" s="52">
        <f t="shared" si="28"/>
        <v>1</v>
      </c>
      <c r="BA62" s="52">
        <f t="shared" si="28"/>
        <v>1</v>
      </c>
      <c r="BB62" s="52">
        <f t="shared" si="28"/>
        <v>1</v>
      </c>
      <c r="BC62" s="52">
        <f t="shared" si="28"/>
        <v>1</v>
      </c>
      <c r="BD62" s="52">
        <f t="shared" si="28"/>
        <v>1</v>
      </c>
      <c r="BE62" s="52">
        <f t="shared" si="28"/>
        <v>1</v>
      </c>
      <c r="BF62" s="52">
        <f t="shared" si="28"/>
        <v>1</v>
      </c>
      <c r="BG62" s="52">
        <f t="shared" si="29"/>
        <v>1</v>
      </c>
      <c r="BH62" s="52">
        <f t="shared" si="29"/>
        <v>1</v>
      </c>
      <c r="BI62" s="52">
        <f t="shared" si="29"/>
        <v>1</v>
      </c>
      <c r="BJ62" s="52">
        <f t="shared" si="29"/>
        <v>1</v>
      </c>
      <c r="BK62" s="52">
        <f t="shared" si="29"/>
        <v>1</v>
      </c>
      <c r="BL62" s="52">
        <f t="shared" si="29"/>
        <v>1</v>
      </c>
      <c r="BM62" s="52">
        <f t="shared" si="29"/>
        <v>1</v>
      </c>
      <c r="BN62" s="52">
        <f t="shared" si="29"/>
        <v>1</v>
      </c>
      <c r="BO62" s="32">
        <f t="shared" si="7"/>
        <v>0.7231638418079096</v>
      </c>
    </row>
    <row r="63" spans="1:67" s="27" customFormat="1" ht="18.75" customHeight="1" x14ac:dyDescent="0.25">
      <c r="A63" s="42" t="s">
        <v>129</v>
      </c>
      <c r="B63" s="42" t="s">
        <v>130</v>
      </c>
      <c r="C63" s="42" t="s">
        <v>108</v>
      </c>
      <c r="D63" s="43">
        <f>SUM(D64:D71)</f>
        <v>922951821.58333695</v>
      </c>
      <c r="E63" s="44">
        <f>IFERROR(D63/$D$44,0)</f>
        <v>0.14285714285714285</v>
      </c>
      <c r="F63" s="45">
        <v>46267</v>
      </c>
      <c r="G63" s="45">
        <v>46330</v>
      </c>
      <c r="H63" s="44">
        <f>SUMPRODUCT($E64:$E71,H64:H71)</f>
        <v>0</v>
      </c>
      <c r="I63" s="44">
        <f t="shared" ref="I63:BN63" si="32">SUMPRODUCT($E64:$E71,I64:I71)</f>
        <v>0</v>
      </c>
      <c r="J63" s="44">
        <f t="shared" si="32"/>
        <v>0</v>
      </c>
      <c r="K63" s="44">
        <f t="shared" si="32"/>
        <v>0</v>
      </c>
      <c r="L63" s="44">
        <f t="shared" si="32"/>
        <v>0</v>
      </c>
      <c r="M63" s="44">
        <f t="shared" si="32"/>
        <v>0</v>
      </c>
      <c r="N63" s="44">
        <f t="shared" si="32"/>
        <v>0</v>
      </c>
      <c r="O63" s="44">
        <f t="shared" si="32"/>
        <v>0</v>
      </c>
      <c r="P63" s="44">
        <f t="shared" si="32"/>
        <v>0.13571428571428573</v>
      </c>
      <c r="Q63" s="44">
        <f t="shared" si="32"/>
        <v>0.38599999999999995</v>
      </c>
      <c r="R63" s="44">
        <f t="shared" si="32"/>
        <v>0.43999999999999995</v>
      </c>
      <c r="S63" s="44">
        <f t="shared" si="32"/>
        <v>0.43999999999999995</v>
      </c>
      <c r="T63" s="44">
        <f t="shared" si="32"/>
        <v>0.43999999999999995</v>
      </c>
      <c r="U63" s="44">
        <f t="shared" si="32"/>
        <v>0.43999999999999995</v>
      </c>
      <c r="V63" s="44">
        <f t="shared" si="32"/>
        <v>0.48166666666666663</v>
      </c>
      <c r="W63" s="44">
        <f t="shared" si="32"/>
        <v>0.89</v>
      </c>
      <c r="X63" s="44">
        <f t="shared" si="32"/>
        <v>0.91</v>
      </c>
      <c r="Y63" s="44">
        <f t="shared" si="32"/>
        <v>1</v>
      </c>
      <c r="Z63" s="44">
        <f t="shared" si="32"/>
        <v>1</v>
      </c>
      <c r="AA63" s="44">
        <f t="shared" si="32"/>
        <v>1</v>
      </c>
      <c r="AB63" s="44">
        <f t="shared" si="32"/>
        <v>1</v>
      </c>
      <c r="AC63" s="44">
        <f t="shared" si="32"/>
        <v>1</v>
      </c>
      <c r="AD63" s="44">
        <f t="shared" si="32"/>
        <v>1</v>
      </c>
      <c r="AE63" s="44">
        <f t="shared" si="32"/>
        <v>1</v>
      </c>
      <c r="AF63" s="44">
        <f t="shared" si="32"/>
        <v>1</v>
      </c>
      <c r="AG63" s="44">
        <f t="shared" si="32"/>
        <v>1</v>
      </c>
      <c r="AH63" s="44">
        <f t="shared" si="32"/>
        <v>1</v>
      </c>
      <c r="AI63" s="44">
        <f t="shared" si="32"/>
        <v>1</v>
      </c>
      <c r="AJ63" s="44">
        <f t="shared" si="32"/>
        <v>1</v>
      </c>
      <c r="AK63" s="44">
        <f t="shared" si="32"/>
        <v>1</v>
      </c>
      <c r="AL63" s="44">
        <f t="shared" si="32"/>
        <v>1</v>
      </c>
      <c r="AM63" s="44">
        <f t="shared" si="32"/>
        <v>1</v>
      </c>
      <c r="AN63" s="44">
        <f t="shared" si="32"/>
        <v>1</v>
      </c>
      <c r="AO63" s="44">
        <f t="shared" si="32"/>
        <v>1</v>
      </c>
      <c r="AP63" s="44">
        <f t="shared" si="32"/>
        <v>1</v>
      </c>
      <c r="AQ63" s="44">
        <f t="shared" si="32"/>
        <v>1</v>
      </c>
      <c r="AR63" s="44">
        <f t="shared" si="32"/>
        <v>1</v>
      </c>
      <c r="AS63" s="44">
        <f t="shared" si="32"/>
        <v>1</v>
      </c>
      <c r="AT63" s="44">
        <f t="shared" si="32"/>
        <v>1</v>
      </c>
      <c r="AU63" s="44">
        <f t="shared" si="32"/>
        <v>1</v>
      </c>
      <c r="AV63" s="44">
        <f t="shared" si="32"/>
        <v>1</v>
      </c>
      <c r="AW63" s="44">
        <f t="shared" si="32"/>
        <v>1</v>
      </c>
      <c r="AX63" s="44">
        <f t="shared" si="32"/>
        <v>1</v>
      </c>
      <c r="AY63" s="44">
        <f t="shared" si="32"/>
        <v>1</v>
      </c>
      <c r="AZ63" s="44">
        <f t="shared" si="32"/>
        <v>1</v>
      </c>
      <c r="BA63" s="44">
        <f t="shared" si="32"/>
        <v>1</v>
      </c>
      <c r="BB63" s="44">
        <f t="shared" si="32"/>
        <v>1</v>
      </c>
      <c r="BC63" s="44">
        <f t="shared" si="32"/>
        <v>1</v>
      </c>
      <c r="BD63" s="44">
        <f t="shared" si="32"/>
        <v>1</v>
      </c>
      <c r="BE63" s="44">
        <f t="shared" si="32"/>
        <v>1</v>
      </c>
      <c r="BF63" s="44">
        <f t="shared" si="32"/>
        <v>1</v>
      </c>
      <c r="BG63" s="44">
        <f t="shared" si="32"/>
        <v>1</v>
      </c>
      <c r="BH63" s="44">
        <f t="shared" si="32"/>
        <v>1</v>
      </c>
      <c r="BI63" s="44">
        <f t="shared" si="32"/>
        <v>1</v>
      </c>
      <c r="BJ63" s="44">
        <f t="shared" si="32"/>
        <v>1</v>
      </c>
      <c r="BK63" s="44">
        <f t="shared" si="32"/>
        <v>1</v>
      </c>
      <c r="BL63" s="44">
        <f t="shared" si="32"/>
        <v>1</v>
      </c>
      <c r="BM63" s="44">
        <f t="shared" si="32"/>
        <v>1</v>
      </c>
      <c r="BN63" s="44">
        <f t="shared" si="32"/>
        <v>1</v>
      </c>
      <c r="BO63" s="32">
        <f t="shared" si="7"/>
        <v>0.78920984665052463</v>
      </c>
    </row>
    <row r="64" spans="1:67" s="27" customFormat="1" ht="18.75" customHeight="1" x14ac:dyDescent="0.25">
      <c r="A64" s="50" t="s">
        <v>131</v>
      </c>
      <c r="B64" s="50" t="s">
        <v>132</v>
      </c>
      <c r="C64" s="50" t="s">
        <v>111</v>
      </c>
      <c r="D64" s="51">
        <f>VLOOKUP(A64,'[1]Cuadro Control'!C68:J1994,8,FALSE)</f>
        <v>90662604.648000002</v>
      </c>
      <c r="E64" s="52">
        <v>0.1</v>
      </c>
      <c r="F64" s="53">
        <v>46267</v>
      </c>
      <c r="G64" s="53">
        <v>46269</v>
      </c>
      <c r="H64" s="52">
        <f t="shared" ref="H64:BN68" si="33">IF($F64=0,0,IF(H$6&lt;$F64,0,IF(H$6&gt;$G64,1,(H$6-$F64+1)/($G64-$F64+1))))</f>
        <v>0</v>
      </c>
      <c r="I64" s="52">
        <f t="shared" si="33"/>
        <v>0</v>
      </c>
      <c r="J64" s="52">
        <f t="shared" si="33"/>
        <v>0</v>
      </c>
      <c r="K64" s="52">
        <f t="shared" si="33"/>
        <v>0</v>
      </c>
      <c r="L64" s="52">
        <f t="shared" si="33"/>
        <v>0</v>
      </c>
      <c r="M64" s="52">
        <f t="shared" si="33"/>
        <v>0</v>
      </c>
      <c r="N64" s="52">
        <f t="shared" si="33"/>
        <v>0</v>
      </c>
      <c r="O64" s="52">
        <f t="shared" si="33"/>
        <v>0</v>
      </c>
      <c r="P64" s="52">
        <f t="shared" si="33"/>
        <v>1</v>
      </c>
      <c r="Q64" s="52">
        <f t="shared" si="33"/>
        <v>1</v>
      </c>
      <c r="R64" s="52">
        <f t="shared" si="33"/>
        <v>1</v>
      </c>
      <c r="S64" s="52">
        <f t="shared" si="33"/>
        <v>1</v>
      </c>
      <c r="T64" s="52">
        <f t="shared" si="33"/>
        <v>1</v>
      </c>
      <c r="U64" s="52">
        <f t="shared" si="33"/>
        <v>1</v>
      </c>
      <c r="V64" s="52">
        <f t="shared" si="33"/>
        <v>1</v>
      </c>
      <c r="W64" s="52">
        <f t="shared" si="33"/>
        <v>1</v>
      </c>
      <c r="X64" s="52">
        <f t="shared" si="33"/>
        <v>1</v>
      </c>
      <c r="Y64" s="52">
        <f t="shared" si="33"/>
        <v>1</v>
      </c>
      <c r="Z64" s="52">
        <f t="shared" si="33"/>
        <v>1</v>
      </c>
      <c r="AA64" s="52">
        <f t="shared" si="33"/>
        <v>1</v>
      </c>
      <c r="AB64" s="52">
        <f t="shared" si="33"/>
        <v>1</v>
      </c>
      <c r="AC64" s="52">
        <f t="shared" si="33"/>
        <v>1</v>
      </c>
      <c r="AD64" s="52">
        <f t="shared" si="33"/>
        <v>1</v>
      </c>
      <c r="AE64" s="52">
        <f t="shared" si="33"/>
        <v>1</v>
      </c>
      <c r="AF64" s="52">
        <f t="shared" si="33"/>
        <v>1</v>
      </c>
      <c r="AG64" s="52">
        <f t="shared" si="33"/>
        <v>1</v>
      </c>
      <c r="AH64" s="52">
        <f t="shared" si="33"/>
        <v>1</v>
      </c>
      <c r="AI64" s="52">
        <f t="shared" si="33"/>
        <v>1</v>
      </c>
      <c r="AJ64" s="52">
        <f t="shared" si="33"/>
        <v>1</v>
      </c>
      <c r="AK64" s="52">
        <f t="shared" si="33"/>
        <v>1</v>
      </c>
      <c r="AL64" s="52">
        <f t="shared" si="33"/>
        <v>1</v>
      </c>
      <c r="AM64" s="52">
        <f t="shared" si="33"/>
        <v>1</v>
      </c>
      <c r="AN64" s="52">
        <f t="shared" si="33"/>
        <v>1</v>
      </c>
      <c r="AO64" s="52">
        <f t="shared" si="33"/>
        <v>1</v>
      </c>
      <c r="AP64" s="52">
        <f t="shared" si="33"/>
        <v>1</v>
      </c>
      <c r="AQ64" s="52">
        <f t="shared" si="33"/>
        <v>1</v>
      </c>
      <c r="AR64" s="52">
        <f t="shared" si="33"/>
        <v>1</v>
      </c>
      <c r="AS64" s="52">
        <f t="shared" si="33"/>
        <v>1</v>
      </c>
      <c r="AT64" s="52">
        <f t="shared" si="33"/>
        <v>1</v>
      </c>
      <c r="AU64" s="52">
        <f t="shared" si="33"/>
        <v>1</v>
      </c>
      <c r="AV64" s="52">
        <f t="shared" si="33"/>
        <v>1</v>
      </c>
      <c r="AW64" s="52">
        <f t="shared" si="33"/>
        <v>1</v>
      </c>
      <c r="AX64" s="52">
        <f t="shared" si="33"/>
        <v>1</v>
      </c>
      <c r="AY64" s="52">
        <f t="shared" si="33"/>
        <v>1</v>
      </c>
      <c r="AZ64" s="52">
        <f t="shared" si="33"/>
        <v>1</v>
      </c>
      <c r="BA64" s="52">
        <f t="shared" si="33"/>
        <v>1</v>
      </c>
      <c r="BB64" s="52">
        <f t="shared" si="33"/>
        <v>1</v>
      </c>
      <c r="BC64" s="52">
        <f t="shared" si="33"/>
        <v>1</v>
      </c>
      <c r="BD64" s="52">
        <f t="shared" si="33"/>
        <v>1</v>
      </c>
      <c r="BE64" s="52">
        <f t="shared" si="33"/>
        <v>1</v>
      </c>
      <c r="BF64" s="52">
        <f t="shared" si="33"/>
        <v>1</v>
      </c>
      <c r="BG64" s="52">
        <f t="shared" si="33"/>
        <v>1</v>
      </c>
      <c r="BH64" s="52">
        <f t="shared" si="33"/>
        <v>1</v>
      </c>
      <c r="BI64" s="52">
        <f t="shared" si="33"/>
        <v>1</v>
      </c>
      <c r="BJ64" s="52">
        <f t="shared" si="33"/>
        <v>1</v>
      </c>
      <c r="BK64" s="52">
        <f t="shared" si="33"/>
        <v>1</v>
      </c>
      <c r="BL64" s="52">
        <f t="shared" si="33"/>
        <v>1</v>
      </c>
      <c r="BM64" s="52">
        <f t="shared" si="33"/>
        <v>1</v>
      </c>
      <c r="BN64" s="52">
        <f t="shared" si="33"/>
        <v>1</v>
      </c>
      <c r="BO64" s="32">
        <f t="shared" si="7"/>
        <v>0.86440677966101698</v>
      </c>
    </row>
    <row r="65" spans="1:67" s="27" customFormat="1" ht="18.75" customHeight="1" x14ac:dyDescent="0.25">
      <c r="A65" s="50" t="s">
        <v>133</v>
      </c>
      <c r="B65" s="50" t="s">
        <v>134</v>
      </c>
      <c r="C65" s="50" t="s">
        <v>114</v>
      </c>
      <c r="D65" s="51">
        <f>VLOOKUP(A65,'[1]Cuadro Control'!C70:J1995,8,FALSE)</f>
        <v>230777539.104</v>
      </c>
      <c r="E65" s="52">
        <v>0.25</v>
      </c>
      <c r="F65" s="53">
        <v>46269</v>
      </c>
      <c r="G65" s="53">
        <v>46275</v>
      </c>
      <c r="H65" s="52">
        <f t="shared" si="33"/>
        <v>0</v>
      </c>
      <c r="I65" s="52">
        <f t="shared" si="33"/>
        <v>0</v>
      </c>
      <c r="J65" s="52">
        <f t="shared" si="33"/>
        <v>0</v>
      </c>
      <c r="K65" s="52">
        <f t="shared" si="33"/>
        <v>0</v>
      </c>
      <c r="L65" s="52">
        <f t="shared" si="33"/>
        <v>0</v>
      </c>
      <c r="M65" s="52">
        <f t="shared" si="33"/>
        <v>0</v>
      </c>
      <c r="N65" s="52">
        <f t="shared" si="33"/>
        <v>0</v>
      </c>
      <c r="O65" s="52">
        <f t="shared" si="33"/>
        <v>0</v>
      </c>
      <c r="P65" s="52">
        <f t="shared" si="33"/>
        <v>0.14285714285714285</v>
      </c>
      <c r="Q65" s="52">
        <f t="shared" si="33"/>
        <v>1</v>
      </c>
      <c r="R65" s="52">
        <f t="shared" si="33"/>
        <v>1</v>
      </c>
      <c r="S65" s="52">
        <f t="shared" si="33"/>
        <v>1</v>
      </c>
      <c r="T65" s="52">
        <f t="shared" si="33"/>
        <v>1</v>
      </c>
      <c r="U65" s="52">
        <f t="shared" si="33"/>
        <v>1</v>
      </c>
      <c r="V65" s="52">
        <f t="shared" si="33"/>
        <v>1</v>
      </c>
      <c r="W65" s="52">
        <f t="shared" si="33"/>
        <v>1</v>
      </c>
      <c r="X65" s="52">
        <f t="shared" si="33"/>
        <v>1</v>
      </c>
      <c r="Y65" s="52">
        <f t="shared" si="33"/>
        <v>1</v>
      </c>
      <c r="Z65" s="52">
        <f t="shared" si="33"/>
        <v>1</v>
      </c>
      <c r="AA65" s="52">
        <f t="shared" si="33"/>
        <v>1</v>
      </c>
      <c r="AB65" s="52">
        <f t="shared" si="33"/>
        <v>1</v>
      </c>
      <c r="AC65" s="52">
        <f t="shared" si="33"/>
        <v>1</v>
      </c>
      <c r="AD65" s="52">
        <f t="shared" si="33"/>
        <v>1</v>
      </c>
      <c r="AE65" s="52">
        <f t="shared" si="33"/>
        <v>1</v>
      </c>
      <c r="AF65" s="52">
        <f t="shared" si="33"/>
        <v>1</v>
      </c>
      <c r="AG65" s="52">
        <f t="shared" si="33"/>
        <v>1</v>
      </c>
      <c r="AH65" s="52">
        <f t="shared" si="33"/>
        <v>1</v>
      </c>
      <c r="AI65" s="52">
        <f t="shared" si="33"/>
        <v>1</v>
      </c>
      <c r="AJ65" s="52">
        <f t="shared" si="33"/>
        <v>1</v>
      </c>
      <c r="AK65" s="52">
        <f t="shared" si="33"/>
        <v>1</v>
      </c>
      <c r="AL65" s="52">
        <f t="shared" si="33"/>
        <v>1</v>
      </c>
      <c r="AM65" s="52">
        <f t="shared" si="33"/>
        <v>1</v>
      </c>
      <c r="AN65" s="52">
        <f t="shared" si="33"/>
        <v>1</v>
      </c>
      <c r="AO65" s="52">
        <f t="shared" si="33"/>
        <v>1</v>
      </c>
      <c r="AP65" s="52">
        <f t="shared" si="33"/>
        <v>1</v>
      </c>
      <c r="AQ65" s="52">
        <f t="shared" si="33"/>
        <v>1</v>
      </c>
      <c r="AR65" s="52">
        <f t="shared" si="33"/>
        <v>1</v>
      </c>
      <c r="AS65" s="52">
        <f t="shared" si="33"/>
        <v>1</v>
      </c>
      <c r="AT65" s="52">
        <f t="shared" si="33"/>
        <v>1</v>
      </c>
      <c r="AU65" s="52">
        <f t="shared" si="33"/>
        <v>1</v>
      </c>
      <c r="AV65" s="52">
        <f t="shared" si="33"/>
        <v>1</v>
      </c>
      <c r="AW65" s="52">
        <f t="shared" si="33"/>
        <v>1</v>
      </c>
      <c r="AX65" s="52">
        <f t="shared" si="33"/>
        <v>1</v>
      </c>
      <c r="AY65" s="52">
        <f t="shared" si="33"/>
        <v>1</v>
      </c>
      <c r="AZ65" s="52">
        <f t="shared" si="33"/>
        <v>1</v>
      </c>
      <c r="BA65" s="52">
        <f t="shared" si="33"/>
        <v>1</v>
      </c>
      <c r="BB65" s="52">
        <f t="shared" si="33"/>
        <v>1</v>
      </c>
      <c r="BC65" s="52">
        <f t="shared" si="33"/>
        <v>1</v>
      </c>
      <c r="BD65" s="52">
        <f t="shared" si="33"/>
        <v>1</v>
      </c>
      <c r="BE65" s="52">
        <f t="shared" si="33"/>
        <v>1</v>
      </c>
      <c r="BF65" s="52">
        <f t="shared" si="33"/>
        <v>1</v>
      </c>
      <c r="BG65" s="52">
        <f t="shared" si="33"/>
        <v>1</v>
      </c>
      <c r="BH65" s="52">
        <f t="shared" si="33"/>
        <v>1</v>
      </c>
      <c r="BI65" s="52">
        <f t="shared" si="33"/>
        <v>1</v>
      </c>
      <c r="BJ65" s="52">
        <f t="shared" si="33"/>
        <v>1</v>
      </c>
      <c r="BK65" s="52">
        <f t="shared" si="33"/>
        <v>1</v>
      </c>
      <c r="BL65" s="52">
        <f t="shared" si="33"/>
        <v>1</v>
      </c>
      <c r="BM65" s="52">
        <f t="shared" si="33"/>
        <v>1</v>
      </c>
      <c r="BN65" s="52">
        <f t="shared" si="33"/>
        <v>1</v>
      </c>
      <c r="BO65" s="32">
        <f t="shared" si="7"/>
        <v>0.84987893462469721</v>
      </c>
    </row>
    <row r="66" spans="1:67" s="27" customFormat="1" ht="18.75" customHeight="1" x14ac:dyDescent="0.25">
      <c r="A66" s="50" t="s">
        <v>135</v>
      </c>
      <c r="B66" s="50" t="s">
        <v>136</v>
      </c>
      <c r="C66" s="50" t="s">
        <v>114</v>
      </c>
      <c r="D66" s="51">
        <f>VLOOKUP(A66,'[1]Cuadro Control'!C71:J1996,8,FALSE)</f>
        <v>82420549.679999992</v>
      </c>
      <c r="E66" s="52">
        <v>0.09</v>
      </c>
      <c r="F66" s="53">
        <v>46275</v>
      </c>
      <c r="G66" s="53">
        <v>46279</v>
      </c>
      <c r="H66" s="52">
        <f t="shared" si="33"/>
        <v>0</v>
      </c>
      <c r="I66" s="52">
        <f t="shared" si="33"/>
        <v>0</v>
      </c>
      <c r="J66" s="52">
        <f t="shared" si="33"/>
        <v>0</v>
      </c>
      <c r="K66" s="52">
        <f t="shared" si="33"/>
        <v>0</v>
      </c>
      <c r="L66" s="52">
        <f t="shared" si="33"/>
        <v>0</v>
      </c>
      <c r="M66" s="52">
        <f t="shared" si="33"/>
        <v>0</v>
      </c>
      <c r="N66" s="52">
        <f t="shared" si="33"/>
        <v>0</v>
      </c>
      <c r="O66" s="52">
        <f t="shared" si="33"/>
        <v>0</v>
      </c>
      <c r="P66" s="52">
        <f t="shared" si="33"/>
        <v>0</v>
      </c>
      <c r="Q66" s="52">
        <f t="shared" si="33"/>
        <v>0.4</v>
      </c>
      <c r="R66" s="52">
        <f t="shared" si="33"/>
        <v>1</v>
      </c>
      <c r="S66" s="52">
        <f t="shared" si="33"/>
        <v>1</v>
      </c>
      <c r="T66" s="52">
        <f t="shared" si="33"/>
        <v>1</v>
      </c>
      <c r="U66" s="52">
        <f t="shared" si="33"/>
        <v>1</v>
      </c>
      <c r="V66" s="52">
        <f t="shared" si="33"/>
        <v>1</v>
      </c>
      <c r="W66" s="52">
        <f t="shared" si="33"/>
        <v>1</v>
      </c>
      <c r="X66" s="52">
        <f t="shared" si="33"/>
        <v>1</v>
      </c>
      <c r="Y66" s="52">
        <f t="shared" si="33"/>
        <v>1</v>
      </c>
      <c r="Z66" s="52">
        <f t="shared" si="33"/>
        <v>1</v>
      </c>
      <c r="AA66" s="52">
        <f t="shared" si="33"/>
        <v>1</v>
      </c>
      <c r="AB66" s="52">
        <f t="shared" si="33"/>
        <v>1</v>
      </c>
      <c r="AC66" s="52">
        <f t="shared" si="33"/>
        <v>1</v>
      </c>
      <c r="AD66" s="52">
        <f t="shared" si="33"/>
        <v>1</v>
      </c>
      <c r="AE66" s="52">
        <f t="shared" si="33"/>
        <v>1</v>
      </c>
      <c r="AF66" s="52">
        <f t="shared" si="33"/>
        <v>1</v>
      </c>
      <c r="AG66" s="52">
        <f t="shared" si="33"/>
        <v>1</v>
      </c>
      <c r="AH66" s="52">
        <f t="shared" si="33"/>
        <v>1</v>
      </c>
      <c r="AI66" s="52">
        <f t="shared" si="33"/>
        <v>1</v>
      </c>
      <c r="AJ66" s="52">
        <f t="shared" si="33"/>
        <v>1</v>
      </c>
      <c r="AK66" s="52">
        <f t="shared" si="33"/>
        <v>1</v>
      </c>
      <c r="AL66" s="52">
        <f t="shared" si="33"/>
        <v>1</v>
      </c>
      <c r="AM66" s="52">
        <f t="shared" si="33"/>
        <v>1</v>
      </c>
      <c r="AN66" s="52">
        <f t="shared" si="33"/>
        <v>1</v>
      </c>
      <c r="AO66" s="52">
        <f t="shared" si="33"/>
        <v>1</v>
      </c>
      <c r="AP66" s="52">
        <f t="shared" si="33"/>
        <v>1</v>
      </c>
      <c r="AQ66" s="52">
        <f t="shared" si="33"/>
        <v>1</v>
      </c>
      <c r="AR66" s="52">
        <f t="shared" si="33"/>
        <v>1</v>
      </c>
      <c r="AS66" s="52">
        <f t="shared" si="33"/>
        <v>1</v>
      </c>
      <c r="AT66" s="52">
        <f t="shared" si="33"/>
        <v>1</v>
      </c>
      <c r="AU66" s="52">
        <f t="shared" si="33"/>
        <v>1</v>
      </c>
      <c r="AV66" s="52">
        <f t="shared" si="33"/>
        <v>1</v>
      </c>
      <c r="AW66" s="52">
        <f t="shared" si="33"/>
        <v>1</v>
      </c>
      <c r="AX66" s="52">
        <f t="shared" si="33"/>
        <v>1</v>
      </c>
      <c r="AY66" s="52">
        <f t="shared" si="33"/>
        <v>1</v>
      </c>
      <c r="AZ66" s="52">
        <f t="shared" si="33"/>
        <v>1</v>
      </c>
      <c r="BA66" s="52">
        <f t="shared" si="33"/>
        <v>1</v>
      </c>
      <c r="BB66" s="52">
        <f t="shared" si="33"/>
        <v>1</v>
      </c>
      <c r="BC66" s="52">
        <f t="shared" si="33"/>
        <v>1</v>
      </c>
      <c r="BD66" s="52">
        <f t="shared" si="33"/>
        <v>1</v>
      </c>
      <c r="BE66" s="52">
        <f t="shared" si="33"/>
        <v>1</v>
      </c>
      <c r="BF66" s="52">
        <f t="shared" si="33"/>
        <v>1</v>
      </c>
      <c r="BG66" s="52">
        <f t="shared" si="33"/>
        <v>1</v>
      </c>
      <c r="BH66" s="52">
        <f t="shared" si="33"/>
        <v>1</v>
      </c>
      <c r="BI66" s="52">
        <f t="shared" si="33"/>
        <v>1</v>
      </c>
      <c r="BJ66" s="52">
        <f t="shared" si="33"/>
        <v>1</v>
      </c>
      <c r="BK66" s="52">
        <f t="shared" si="33"/>
        <v>1</v>
      </c>
      <c r="BL66" s="52">
        <f t="shared" si="33"/>
        <v>1</v>
      </c>
      <c r="BM66" s="52">
        <f t="shared" si="33"/>
        <v>1</v>
      </c>
      <c r="BN66" s="52">
        <f t="shared" si="33"/>
        <v>1</v>
      </c>
      <c r="BO66" s="32">
        <f t="shared" si="7"/>
        <v>0.83728813559322035</v>
      </c>
    </row>
    <row r="67" spans="1:67" s="27" customFormat="1" ht="18.75" customHeight="1" x14ac:dyDescent="0.25">
      <c r="A67" s="50" t="s">
        <v>137</v>
      </c>
      <c r="B67" s="50" t="s">
        <v>138</v>
      </c>
      <c r="C67" s="50" t="s">
        <v>114</v>
      </c>
      <c r="D67" s="51">
        <f>VLOOKUP(A67,'[1]Cuadro Control'!C72:J1997,8,FALSE)</f>
        <v>230777539.104</v>
      </c>
      <c r="E67" s="52">
        <v>0.25</v>
      </c>
      <c r="F67" s="53">
        <v>46311</v>
      </c>
      <c r="G67" s="53">
        <v>46316</v>
      </c>
      <c r="H67" s="52">
        <f t="shared" si="33"/>
        <v>0</v>
      </c>
      <c r="I67" s="52">
        <f t="shared" si="33"/>
        <v>0</v>
      </c>
      <c r="J67" s="52">
        <f t="shared" si="33"/>
        <v>0</v>
      </c>
      <c r="K67" s="52">
        <f t="shared" si="33"/>
        <v>0</v>
      </c>
      <c r="L67" s="52">
        <f t="shared" si="33"/>
        <v>0</v>
      </c>
      <c r="M67" s="52">
        <f t="shared" si="33"/>
        <v>0</v>
      </c>
      <c r="N67" s="52">
        <f t="shared" si="33"/>
        <v>0</v>
      </c>
      <c r="O67" s="52">
        <f t="shared" si="33"/>
        <v>0</v>
      </c>
      <c r="P67" s="52">
        <f t="shared" si="33"/>
        <v>0</v>
      </c>
      <c r="Q67" s="52">
        <f t="shared" si="33"/>
        <v>0</v>
      </c>
      <c r="R67" s="52">
        <f t="shared" si="33"/>
        <v>0</v>
      </c>
      <c r="S67" s="52">
        <f t="shared" si="33"/>
        <v>0</v>
      </c>
      <c r="T67" s="52">
        <f t="shared" si="33"/>
        <v>0</v>
      </c>
      <c r="U67" s="52">
        <f t="shared" si="33"/>
        <v>0</v>
      </c>
      <c r="V67" s="52">
        <f t="shared" si="33"/>
        <v>0.16666666666666666</v>
      </c>
      <c r="W67" s="52">
        <f t="shared" si="33"/>
        <v>1</v>
      </c>
      <c r="X67" s="52">
        <f t="shared" si="33"/>
        <v>1</v>
      </c>
      <c r="Y67" s="52">
        <f t="shared" si="33"/>
        <v>1</v>
      </c>
      <c r="Z67" s="52">
        <f t="shared" si="33"/>
        <v>1</v>
      </c>
      <c r="AA67" s="52">
        <f t="shared" si="33"/>
        <v>1</v>
      </c>
      <c r="AB67" s="52">
        <f t="shared" si="33"/>
        <v>1</v>
      </c>
      <c r="AC67" s="52">
        <f t="shared" si="33"/>
        <v>1</v>
      </c>
      <c r="AD67" s="52">
        <f t="shared" si="33"/>
        <v>1</v>
      </c>
      <c r="AE67" s="52">
        <f t="shared" si="33"/>
        <v>1</v>
      </c>
      <c r="AF67" s="52">
        <f t="shared" si="33"/>
        <v>1</v>
      </c>
      <c r="AG67" s="52">
        <f t="shared" si="33"/>
        <v>1</v>
      </c>
      <c r="AH67" s="52">
        <f t="shared" si="33"/>
        <v>1</v>
      </c>
      <c r="AI67" s="52">
        <f t="shared" si="33"/>
        <v>1</v>
      </c>
      <c r="AJ67" s="52">
        <f t="shared" si="33"/>
        <v>1</v>
      </c>
      <c r="AK67" s="52">
        <f t="shared" si="33"/>
        <v>1</v>
      </c>
      <c r="AL67" s="52">
        <f t="shared" si="33"/>
        <v>1</v>
      </c>
      <c r="AM67" s="52">
        <f t="shared" si="33"/>
        <v>1</v>
      </c>
      <c r="AN67" s="52">
        <f t="shared" si="33"/>
        <v>1</v>
      </c>
      <c r="AO67" s="52">
        <f t="shared" si="33"/>
        <v>1</v>
      </c>
      <c r="AP67" s="52">
        <f t="shared" si="33"/>
        <v>1</v>
      </c>
      <c r="AQ67" s="52">
        <f t="shared" si="33"/>
        <v>1</v>
      </c>
      <c r="AR67" s="52">
        <f t="shared" si="33"/>
        <v>1</v>
      </c>
      <c r="AS67" s="52">
        <f t="shared" si="33"/>
        <v>1</v>
      </c>
      <c r="AT67" s="52">
        <f t="shared" si="33"/>
        <v>1</v>
      </c>
      <c r="AU67" s="52">
        <f t="shared" si="33"/>
        <v>1</v>
      </c>
      <c r="AV67" s="52">
        <f t="shared" si="33"/>
        <v>1</v>
      </c>
      <c r="AW67" s="52">
        <f t="shared" si="33"/>
        <v>1</v>
      </c>
      <c r="AX67" s="52">
        <f t="shared" si="33"/>
        <v>1</v>
      </c>
      <c r="AY67" s="52">
        <f t="shared" si="33"/>
        <v>1</v>
      </c>
      <c r="AZ67" s="52">
        <f t="shared" si="33"/>
        <v>1</v>
      </c>
      <c r="BA67" s="52">
        <f t="shared" si="33"/>
        <v>1</v>
      </c>
      <c r="BB67" s="52">
        <f t="shared" si="33"/>
        <v>1</v>
      </c>
      <c r="BC67" s="52">
        <f t="shared" si="33"/>
        <v>1</v>
      </c>
      <c r="BD67" s="52">
        <f t="shared" si="33"/>
        <v>1</v>
      </c>
      <c r="BE67" s="52">
        <f t="shared" si="33"/>
        <v>1</v>
      </c>
      <c r="BF67" s="52">
        <f t="shared" si="33"/>
        <v>1</v>
      </c>
      <c r="BG67" s="52">
        <f t="shared" si="33"/>
        <v>1</v>
      </c>
      <c r="BH67" s="52">
        <f t="shared" si="33"/>
        <v>1</v>
      </c>
      <c r="BI67" s="52">
        <f t="shared" si="33"/>
        <v>1</v>
      </c>
      <c r="BJ67" s="52">
        <f t="shared" si="33"/>
        <v>1</v>
      </c>
      <c r="BK67" s="52">
        <f t="shared" si="33"/>
        <v>1</v>
      </c>
      <c r="BL67" s="52">
        <f t="shared" si="33"/>
        <v>1</v>
      </c>
      <c r="BM67" s="52">
        <f t="shared" si="33"/>
        <v>1</v>
      </c>
      <c r="BN67" s="52">
        <f t="shared" si="33"/>
        <v>1</v>
      </c>
      <c r="BO67" s="32">
        <f t="shared" si="7"/>
        <v>0.74858757062146897</v>
      </c>
    </row>
    <row r="68" spans="1:67" s="27" customFormat="1" ht="18.75" customHeight="1" x14ac:dyDescent="0.25">
      <c r="A68" s="50" t="s">
        <v>139</v>
      </c>
      <c r="B68" s="50" t="s">
        <v>140</v>
      </c>
      <c r="C68" s="50" t="s">
        <v>111</v>
      </c>
      <c r="D68" s="51">
        <f>VLOOKUP(A68,'[1]Cuadro Control'!C73:J1998,8,FALSE)</f>
        <v>49452329.807999998</v>
      </c>
      <c r="E68" s="52">
        <v>0.05</v>
      </c>
      <c r="F68" s="53">
        <v>46316</v>
      </c>
      <c r="G68" s="53">
        <v>46317</v>
      </c>
      <c r="H68" s="52">
        <f t="shared" si="33"/>
        <v>0</v>
      </c>
      <c r="I68" s="52">
        <f t="shared" si="33"/>
        <v>0</v>
      </c>
      <c r="J68" s="52">
        <f t="shared" si="33"/>
        <v>0</v>
      </c>
      <c r="K68" s="52">
        <f t="shared" si="33"/>
        <v>0</v>
      </c>
      <c r="L68" s="52">
        <f t="shared" si="33"/>
        <v>0</v>
      </c>
      <c r="M68" s="52">
        <f t="shared" si="33"/>
        <v>0</v>
      </c>
      <c r="N68" s="52">
        <f t="shared" si="33"/>
        <v>0</v>
      </c>
      <c r="O68" s="52">
        <f t="shared" si="33"/>
        <v>0</v>
      </c>
      <c r="P68" s="52">
        <f t="shared" si="33"/>
        <v>0</v>
      </c>
      <c r="Q68" s="52">
        <f t="shared" si="33"/>
        <v>0</v>
      </c>
      <c r="R68" s="52">
        <f t="shared" si="33"/>
        <v>0</v>
      </c>
      <c r="S68" s="52">
        <f t="shared" si="33"/>
        <v>0</v>
      </c>
      <c r="T68" s="52">
        <f t="shared" si="33"/>
        <v>0</v>
      </c>
      <c r="U68" s="52">
        <f t="shared" si="33"/>
        <v>0</v>
      </c>
      <c r="V68" s="52">
        <f t="shared" si="33"/>
        <v>0</v>
      </c>
      <c r="W68" s="52">
        <f t="shared" si="33"/>
        <v>1</v>
      </c>
      <c r="X68" s="52">
        <f t="shared" si="33"/>
        <v>1</v>
      </c>
      <c r="Y68" s="52">
        <f t="shared" si="33"/>
        <v>1</v>
      </c>
      <c r="Z68" s="52">
        <f t="shared" si="33"/>
        <v>1</v>
      </c>
      <c r="AA68" s="52">
        <f t="shared" ref="AA68:BF71" si="34">IF($F68=0,0,IF(AA$6&lt;$F68,0,IF(AA$6&gt;$G68,1,(AA$6-$F68+1)/($G68-$F68+1))))</f>
        <v>1</v>
      </c>
      <c r="AB68" s="52">
        <f t="shared" si="34"/>
        <v>1</v>
      </c>
      <c r="AC68" s="52">
        <f t="shared" si="34"/>
        <v>1</v>
      </c>
      <c r="AD68" s="52">
        <f t="shared" si="34"/>
        <v>1</v>
      </c>
      <c r="AE68" s="52">
        <f t="shared" si="34"/>
        <v>1</v>
      </c>
      <c r="AF68" s="52">
        <f t="shared" si="34"/>
        <v>1</v>
      </c>
      <c r="AG68" s="52">
        <f t="shared" si="34"/>
        <v>1</v>
      </c>
      <c r="AH68" s="52">
        <f t="shared" si="34"/>
        <v>1</v>
      </c>
      <c r="AI68" s="52">
        <f t="shared" si="34"/>
        <v>1</v>
      </c>
      <c r="AJ68" s="52">
        <f t="shared" si="34"/>
        <v>1</v>
      </c>
      <c r="AK68" s="52">
        <f t="shared" si="34"/>
        <v>1</v>
      </c>
      <c r="AL68" s="52">
        <f t="shared" si="34"/>
        <v>1</v>
      </c>
      <c r="AM68" s="52">
        <f t="shared" si="34"/>
        <v>1</v>
      </c>
      <c r="AN68" s="52">
        <f t="shared" si="34"/>
        <v>1</v>
      </c>
      <c r="AO68" s="52">
        <f t="shared" si="34"/>
        <v>1</v>
      </c>
      <c r="AP68" s="52">
        <f t="shared" si="34"/>
        <v>1</v>
      </c>
      <c r="AQ68" s="52">
        <f t="shared" si="34"/>
        <v>1</v>
      </c>
      <c r="AR68" s="52">
        <f t="shared" si="34"/>
        <v>1</v>
      </c>
      <c r="AS68" s="52">
        <f t="shared" si="34"/>
        <v>1</v>
      </c>
      <c r="AT68" s="52">
        <f t="shared" si="34"/>
        <v>1</v>
      </c>
      <c r="AU68" s="52">
        <f t="shared" si="34"/>
        <v>1</v>
      </c>
      <c r="AV68" s="52">
        <f t="shared" si="34"/>
        <v>1</v>
      </c>
      <c r="AW68" s="52">
        <f t="shared" si="34"/>
        <v>1</v>
      </c>
      <c r="AX68" s="52">
        <f t="shared" si="34"/>
        <v>1</v>
      </c>
      <c r="AY68" s="52">
        <f t="shared" si="34"/>
        <v>1</v>
      </c>
      <c r="AZ68" s="52">
        <f t="shared" si="34"/>
        <v>1</v>
      </c>
      <c r="BA68" s="52">
        <f t="shared" si="34"/>
        <v>1</v>
      </c>
      <c r="BB68" s="52">
        <f t="shared" si="34"/>
        <v>1</v>
      </c>
      <c r="BC68" s="52">
        <f t="shared" si="34"/>
        <v>1</v>
      </c>
      <c r="BD68" s="52">
        <f t="shared" si="34"/>
        <v>1</v>
      </c>
      <c r="BE68" s="52">
        <f t="shared" si="34"/>
        <v>1</v>
      </c>
      <c r="BF68" s="52">
        <f t="shared" si="34"/>
        <v>1</v>
      </c>
      <c r="BG68" s="52">
        <f t="shared" ref="BG68:BN71" si="35">IF($F68=0,0,IF(BG$6&lt;$F68,0,IF(BG$6&gt;$G68,1,(BG$6-$F68+1)/($G68-$F68+1))))</f>
        <v>1</v>
      </c>
      <c r="BH68" s="52">
        <f t="shared" si="35"/>
        <v>1</v>
      </c>
      <c r="BI68" s="52">
        <f t="shared" si="35"/>
        <v>1</v>
      </c>
      <c r="BJ68" s="52">
        <f t="shared" si="35"/>
        <v>1</v>
      </c>
      <c r="BK68" s="52">
        <f t="shared" si="35"/>
        <v>1</v>
      </c>
      <c r="BL68" s="52">
        <f t="shared" si="35"/>
        <v>1</v>
      </c>
      <c r="BM68" s="52">
        <f t="shared" si="35"/>
        <v>1</v>
      </c>
      <c r="BN68" s="52">
        <f t="shared" si="35"/>
        <v>1</v>
      </c>
      <c r="BO68" s="32">
        <f t="shared" si="7"/>
        <v>0.74576271186440679</v>
      </c>
    </row>
    <row r="69" spans="1:67" s="27" customFormat="1" ht="18.75" customHeight="1" x14ac:dyDescent="0.25">
      <c r="A69" s="50" t="s">
        <v>141</v>
      </c>
      <c r="B69" s="50" t="s">
        <v>142</v>
      </c>
      <c r="C69" s="50" t="s">
        <v>111</v>
      </c>
      <c r="D69" s="51">
        <f>VLOOKUP(A69,'[1]Cuadro Control'!C74:J1999,8,FALSE)</f>
        <v>140114934.456</v>
      </c>
      <c r="E69" s="52">
        <v>0.15</v>
      </c>
      <c r="F69" s="53">
        <v>46317</v>
      </c>
      <c r="G69" s="53">
        <v>46318</v>
      </c>
      <c r="H69" s="52">
        <f t="shared" ref="H69:W71" si="36">IF($F69=0,0,IF(H$6&lt;$F69,0,IF(H$6&gt;$G69,1,(H$6-$F69+1)/($G69-$F69+1))))</f>
        <v>0</v>
      </c>
      <c r="I69" s="52">
        <f t="shared" si="36"/>
        <v>0</v>
      </c>
      <c r="J69" s="52">
        <f t="shared" si="36"/>
        <v>0</v>
      </c>
      <c r="K69" s="52">
        <f t="shared" si="36"/>
        <v>0</v>
      </c>
      <c r="L69" s="52">
        <f t="shared" si="36"/>
        <v>0</v>
      </c>
      <c r="M69" s="52">
        <f t="shared" si="36"/>
        <v>0</v>
      </c>
      <c r="N69" s="52">
        <f t="shared" si="36"/>
        <v>0</v>
      </c>
      <c r="O69" s="52">
        <f t="shared" si="36"/>
        <v>0</v>
      </c>
      <c r="P69" s="52">
        <f t="shared" si="36"/>
        <v>0</v>
      </c>
      <c r="Q69" s="52">
        <f t="shared" si="36"/>
        <v>0</v>
      </c>
      <c r="R69" s="52">
        <f t="shared" si="36"/>
        <v>0</v>
      </c>
      <c r="S69" s="52">
        <f t="shared" si="36"/>
        <v>0</v>
      </c>
      <c r="T69" s="52">
        <f t="shared" si="36"/>
        <v>0</v>
      </c>
      <c r="U69" s="52">
        <f t="shared" si="36"/>
        <v>0</v>
      </c>
      <c r="V69" s="52">
        <f t="shared" si="36"/>
        <v>0</v>
      </c>
      <c r="W69" s="52">
        <f t="shared" si="36"/>
        <v>1</v>
      </c>
      <c r="X69" s="52">
        <f t="shared" ref="X69:BC71" si="37">IF($F69=0,0,IF(X$6&lt;$F69,0,IF(X$6&gt;$G69,1,(X$6-$F69+1)/($G69-$F69+1))))</f>
        <v>1</v>
      </c>
      <c r="Y69" s="52">
        <f t="shared" si="37"/>
        <v>1</v>
      </c>
      <c r="Z69" s="52">
        <f t="shared" si="37"/>
        <v>1</v>
      </c>
      <c r="AA69" s="52">
        <f t="shared" si="37"/>
        <v>1</v>
      </c>
      <c r="AB69" s="52">
        <f t="shared" si="37"/>
        <v>1</v>
      </c>
      <c r="AC69" s="52">
        <f t="shared" si="37"/>
        <v>1</v>
      </c>
      <c r="AD69" s="52">
        <f t="shared" si="37"/>
        <v>1</v>
      </c>
      <c r="AE69" s="52">
        <f t="shared" si="37"/>
        <v>1</v>
      </c>
      <c r="AF69" s="52">
        <f t="shared" si="37"/>
        <v>1</v>
      </c>
      <c r="AG69" s="52">
        <f t="shared" si="37"/>
        <v>1</v>
      </c>
      <c r="AH69" s="52">
        <f t="shared" si="37"/>
        <v>1</v>
      </c>
      <c r="AI69" s="52">
        <f t="shared" si="37"/>
        <v>1</v>
      </c>
      <c r="AJ69" s="52">
        <f t="shared" si="37"/>
        <v>1</v>
      </c>
      <c r="AK69" s="52">
        <f t="shared" si="37"/>
        <v>1</v>
      </c>
      <c r="AL69" s="52">
        <f t="shared" si="37"/>
        <v>1</v>
      </c>
      <c r="AM69" s="52">
        <f t="shared" si="37"/>
        <v>1</v>
      </c>
      <c r="AN69" s="52">
        <f t="shared" si="37"/>
        <v>1</v>
      </c>
      <c r="AO69" s="52">
        <f t="shared" si="34"/>
        <v>1</v>
      </c>
      <c r="AP69" s="52">
        <f t="shared" si="34"/>
        <v>1</v>
      </c>
      <c r="AQ69" s="52">
        <f t="shared" si="34"/>
        <v>1</v>
      </c>
      <c r="AR69" s="52">
        <f t="shared" si="34"/>
        <v>1</v>
      </c>
      <c r="AS69" s="52">
        <f t="shared" si="34"/>
        <v>1</v>
      </c>
      <c r="AT69" s="52">
        <f t="shared" si="34"/>
        <v>1</v>
      </c>
      <c r="AU69" s="52">
        <f t="shared" si="34"/>
        <v>1</v>
      </c>
      <c r="AV69" s="52">
        <f t="shared" si="34"/>
        <v>1</v>
      </c>
      <c r="AW69" s="52">
        <f t="shared" si="34"/>
        <v>1</v>
      </c>
      <c r="AX69" s="52">
        <f t="shared" si="34"/>
        <v>1</v>
      </c>
      <c r="AY69" s="52">
        <f t="shared" si="34"/>
        <v>1</v>
      </c>
      <c r="AZ69" s="52">
        <f t="shared" si="34"/>
        <v>1</v>
      </c>
      <c r="BA69" s="52">
        <f t="shared" si="34"/>
        <v>1</v>
      </c>
      <c r="BB69" s="52">
        <f t="shared" si="34"/>
        <v>1</v>
      </c>
      <c r="BC69" s="52">
        <f t="shared" si="34"/>
        <v>1</v>
      </c>
      <c r="BD69" s="52">
        <f t="shared" si="34"/>
        <v>1</v>
      </c>
      <c r="BE69" s="52">
        <f t="shared" si="34"/>
        <v>1</v>
      </c>
      <c r="BF69" s="52">
        <f t="shared" si="34"/>
        <v>1</v>
      </c>
      <c r="BG69" s="52">
        <f t="shared" si="35"/>
        <v>1</v>
      </c>
      <c r="BH69" s="52">
        <f t="shared" si="35"/>
        <v>1</v>
      </c>
      <c r="BI69" s="52">
        <f t="shared" si="35"/>
        <v>1</v>
      </c>
      <c r="BJ69" s="52">
        <f t="shared" si="35"/>
        <v>1</v>
      </c>
      <c r="BK69" s="52">
        <f t="shared" si="35"/>
        <v>1</v>
      </c>
      <c r="BL69" s="52">
        <f t="shared" si="35"/>
        <v>1</v>
      </c>
      <c r="BM69" s="52">
        <f t="shared" si="35"/>
        <v>1</v>
      </c>
      <c r="BN69" s="52">
        <f t="shared" si="35"/>
        <v>1</v>
      </c>
      <c r="BO69" s="32">
        <f t="shared" si="7"/>
        <v>0.74576271186440679</v>
      </c>
    </row>
    <row r="70" spans="1:67" s="27" customFormat="1" ht="18.75" customHeight="1" x14ac:dyDescent="0.25">
      <c r="A70" s="50" t="s">
        <v>143</v>
      </c>
      <c r="B70" s="50" t="s">
        <v>144</v>
      </c>
      <c r="C70" s="50" t="s">
        <v>126</v>
      </c>
      <c r="D70" s="51">
        <f>VLOOKUP(A70,'[1]Cuadro Control'!C75:J2000,8,FALSE)</f>
        <v>52335715.768702812</v>
      </c>
      <c r="E70" s="52">
        <v>0.06</v>
      </c>
      <c r="F70" s="53">
        <v>46324</v>
      </c>
      <c r="G70" s="53">
        <v>46329</v>
      </c>
      <c r="H70" s="52">
        <f t="shared" si="36"/>
        <v>0</v>
      </c>
      <c r="I70" s="52">
        <f t="shared" si="36"/>
        <v>0</v>
      </c>
      <c r="J70" s="52">
        <f t="shared" si="36"/>
        <v>0</v>
      </c>
      <c r="K70" s="52">
        <f t="shared" si="36"/>
        <v>0</v>
      </c>
      <c r="L70" s="52">
        <f t="shared" si="36"/>
        <v>0</v>
      </c>
      <c r="M70" s="52">
        <f t="shared" si="36"/>
        <v>0</v>
      </c>
      <c r="N70" s="52">
        <f t="shared" si="36"/>
        <v>0</v>
      </c>
      <c r="O70" s="52">
        <f t="shared" si="36"/>
        <v>0</v>
      </c>
      <c r="P70" s="52">
        <f t="shared" si="36"/>
        <v>0</v>
      </c>
      <c r="Q70" s="52">
        <f t="shared" si="36"/>
        <v>0</v>
      </c>
      <c r="R70" s="52">
        <f t="shared" si="36"/>
        <v>0</v>
      </c>
      <c r="S70" s="52">
        <f t="shared" si="36"/>
        <v>0</v>
      </c>
      <c r="T70" s="52">
        <f t="shared" si="36"/>
        <v>0</v>
      </c>
      <c r="U70" s="52">
        <f t="shared" si="36"/>
        <v>0</v>
      </c>
      <c r="V70" s="52">
        <f t="shared" si="36"/>
        <v>0</v>
      </c>
      <c r="W70" s="52">
        <f t="shared" si="36"/>
        <v>0</v>
      </c>
      <c r="X70" s="52">
        <f t="shared" si="37"/>
        <v>0.33333333333333331</v>
      </c>
      <c r="Y70" s="52">
        <f t="shared" si="37"/>
        <v>1</v>
      </c>
      <c r="Z70" s="52">
        <f t="shared" si="37"/>
        <v>1</v>
      </c>
      <c r="AA70" s="52">
        <f t="shared" si="37"/>
        <v>1</v>
      </c>
      <c r="AB70" s="52">
        <f t="shared" si="37"/>
        <v>1</v>
      </c>
      <c r="AC70" s="52">
        <f t="shared" si="37"/>
        <v>1</v>
      </c>
      <c r="AD70" s="52">
        <f t="shared" si="37"/>
        <v>1</v>
      </c>
      <c r="AE70" s="52">
        <f t="shared" si="37"/>
        <v>1</v>
      </c>
      <c r="AF70" s="52">
        <f t="shared" si="37"/>
        <v>1</v>
      </c>
      <c r="AG70" s="52">
        <f t="shared" si="37"/>
        <v>1</v>
      </c>
      <c r="AH70" s="52">
        <f t="shared" si="37"/>
        <v>1</v>
      </c>
      <c r="AI70" s="52">
        <f t="shared" si="37"/>
        <v>1</v>
      </c>
      <c r="AJ70" s="52">
        <f t="shared" si="37"/>
        <v>1</v>
      </c>
      <c r="AK70" s="52">
        <f t="shared" si="37"/>
        <v>1</v>
      </c>
      <c r="AL70" s="52">
        <f t="shared" si="37"/>
        <v>1</v>
      </c>
      <c r="AM70" s="52">
        <f t="shared" si="37"/>
        <v>1</v>
      </c>
      <c r="AN70" s="52">
        <f t="shared" si="37"/>
        <v>1</v>
      </c>
      <c r="AO70" s="52">
        <f t="shared" si="34"/>
        <v>1</v>
      </c>
      <c r="AP70" s="52">
        <f t="shared" si="34"/>
        <v>1</v>
      </c>
      <c r="AQ70" s="52">
        <f t="shared" si="34"/>
        <v>1</v>
      </c>
      <c r="AR70" s="52">
        <f t="shared" si="34"/>
        <v>1</v>
      </c>
      <c r="AS70" s="52">
        <f t="shared" si="34"/>
        <v>1</v>
      </c>
      <c r="AT70" s="52">
        <f t="shared" si="34"/>
        <v>1</v>
      </c>
      <c r="AU70" s="52">
        <f t="shared" si="34"/>
        <v>1</v>
      </c>
      <c r="AV70" s="52">
        <f t="shared" si="34"/>
        <v>1</v>
      </c>
      <c r="AW70" s="52">
        <f t="shared" si="34"/>
        <v>1</v>
      </c>
      <c r="AX70" s="52">
        <f t="shared" si="34"/>
        <v>1</v>
      </c>
      <c r="AY70" s="52">
        <f t="shared" si="34"/>
        <v>1</v>
      </c>
      <c r="AZ70" s="52">
        <f t="shared" si="34"/>
        <v>1</v>
      </c>
      <c r="BA70" s="52">
        <f t="shared" si="34"/>
        <v>1</v>
      </c>
      <c r="BB70" s="52">
        <f t="shared" si="34"/>
        <v>1</v>
      </c>
      <c r="BC70" s="52">
        <f t="shared" si="34"/>
        <v>1</v>
      </c>
      <c r="BD70" s="52">
        <f t="shared" si="34"/>
        <v>1</v>
      </c>
      <c r="BE70" s="52">
        <f t="shared" si="34"/>
        <v>1</v>
      </c>
      <c r="BF70" s="52">
        <f t="shared" si="34"/>
        <v>1</v>
      </c>
      <c r="BG70" s="52">
        <f t="shared" si="35"/>
        <v>1</v>
      </c>
      <c r="BH70" s="52">
        <f t="shared" si="35"/>
        <v>1</v>
      </c>
      <c r="BI70" s="52">
        <f t="shared" si="35"/>
        <v>1</v>
      </c>
      <c r="BJ70" s="52">
        <f t="shared" si="35"/>
        <v>1</v>
      </c>
      <c r="BK70" s="52">
        <f t="shared" si="35"/>
        <v>1</v>
      </c>
      <c r="BL70" s="52">
        <f t="shared" si="35"/>
        <v>1</v>
      </c>
      <c r="BM70" s="52">
        <f t="shared" si="35"/>
        <v>1</v>
      </c>
      <c r="BN70" s="52">
        <f t="shared" si="35"/>
        <v>1</v>
      </c>
      <c r="BO70" s="32">
        <f t="shared" si="7"/>
        <v>0.71751412429378525</v>
      </c>
    </row>
    <row r="71" spans="1:67" s="27" customFormat="1" ht="18.75" customHeight="1" x14ac:dyDescent="0.25">
      <c r="A71" s="50" t="s">
        <v>145</v>
      </c>
      <c r="B71" s="50" t="s">
        <v>146</v>
      </c>
      <c r="C71" s="50" t="s">
        <v>117</v>
      </c>
      <c r="D71" s="51">
        <f>VLOOKUP(A71,'[1]Cuadro Control'!C76:J2001,8,FALSE)</f>
        <v>46410609.014634147</v>
      </c>
      <c r="E71" s="52">
        <v>0.05</v>
      </c>
      <c r="F71" s="53">
        <v>46329</v>
      </c>
      <c r="G71" s="53">
        <v>46330</v>
      </c>
      <c r="H71" s="52">
        <f t="shared" si="36"/>
        <v>0</v>
      </c>
      <c r="I71" s="52">
        <f t="shared" si="36"/>
        <v>0</v>
      </c>
      <c r="J71" s="52">
        <f t="shared" si="36"/>
        <v>0</v>
      </c>
      <c r="K71" s="52">
        <f t="shared" si="36"/>
        <v>0</v>
      </c>
      <c r="L71" s="52">
        <f t="shared" si="36"/>
        <v>0</v>
      </c>
      <c r="M71" s="52">
        <f t="shared" si="36"/>
        <v>0</v>
      </c>
      <c r="N71" s="52">
        <f t="shared" si="36"/>
        <v>0</v>
      </c>
      <c r="O71" s="52">
        <f t="shared" si="36"/>
        <v>0</v>
      </c>
      <c r="P71" s="52">
        <f t="shared" si="36"/>
        <v>0</v>
      </c>
      <c r="Q71" s="52">
        <f t="shared" si="36"/>
        <v>0</v>
      </c>
      <c r="R71" s="52">
        <f t="shared" si="36"/>
        <v>0</v>
      </c>
      <c r="S71" s="52">
        <f t="shared" si="36"/>
        <v>0</v>
      </c>
      <c r="T71" s="52">
        <f t="shared" si="36"/>
        <v>0</v>
      </c>
      <c r="U71" s="52">
        <f t="shared" si="36"/>
        <v>0</v>
      </c>
      <c r="V71" s="52">
        <f t="shared" si="36"/>
        <v>0</v>
      </c>
      <c r="W71" s="52">
        <f t="shared" si="36"/>
        <v>0</v>
      </c>
      <c r="X71" s="52">
        <f t="shared" si="37"/>
        <v>0</v>
      </c>
      <c r="Y71" s="52">
        <f t="shared" si="37"/>
        <v>1</v>
      </c>
      <c r="Z71" s="52">
        <f t="shared" si="37"/>
        <v>1</v>
      </c>
      <c r="AA71" s="52">
        <f t="shared" si="37"/>
        <v>1</v>
      </c>
      <c r="AB71" s="52">
        <f t="shared" si="37"/>
        <v>1</v>
      </c>
      <c r="AC71" s="52">
        <f t="shared" si="37"/>
        <v>1</v>
      </c>
      <c r="AD71" s="52">
        <f t="shared" si="37"/>
        <v>1</v>
      </c>
      <c r="AE71" s="52">
        <f t="shared" si="37"/>
        <v>1</v>
      </c>
      <c r="AF71" s="52">
        <f t="shared" si="37"/>
        <v>1</v>
      </c>
      <c r="AG71" s="52">
        <f t="shared" si="37"/>
        <v>1</v>
      </c>
      <c r="AH71" s="52">
        <f t="shared" si="37"/>
        <v>1</v>
      </c>
      <c r="AI71" s="52">
        <f t="shared" si="37"/>
        <v>1</v>
      </c>
      <c r="AJ71" s="52">
        <f t="shared" si="37"/>
        <v>1</v>
      </c>
      <c r="AK71" s="52">
        <f t="shared" si="37"/>
        <v>1</v>
      </c>
      <c r="AL71" s="52">
        <f t="shared" si="37"/>
        <v>1</v>
      </c>
      <c r="AM71" s="52">
        <f t="shared" si="37"/>
        <v>1</v>
      </c>
      <c r="AN71" s="52">
        <f t="shared" si="37"/>
        <v>1</v>
      </c>
      <c r="AO71" s="52">
        <f t="shared" si="37"/>
        <v>1</v>
      </c>
      <c r="AP71" s="52">
        <f t="shared" si="37"/>
        <v>1</v>
      </c>
      <c r="AQ71" s="52">
        <f t="shared" si="37"/>
        <v>1</v>
      </c>
      <c r="AR71" s="52">
        <f t="shared" si="37"/>
        <v>1</v>
      </c>
      <c r="AS71" s="52">
        <f t="shared" si="37"/>
        <v>1</v>
      </c>
      <c r="AT71" s="52">
        <f t="shared" si="37"/>
        <v>1</v>
      </c>
      <c r="AU71" s="52">
        <f t="shared" si="37"/>
        <v>1</v>
      </c>
      <c r="AV71" s="52">
        <f t="shared" si="37"/>
        <v>1</v>
      </c>
      <c r="AW71" s="52">
        <f t="shared" si="37"/>
        <v>1</v>
      </c>
      <c r="AX71" s="52">
        <f t="shared" si="37"/>
        <v>1</v>
      </c>
      <c r="AY71" s="52">
        <f t="shared" si="37"/>
        <v>1</v>
      </c>
      <c r="AZ71" s="52">
        <f t="shared" si="37"/>
        <v>1</v>
      </c>
      <c r="BA71" s="52">
        <f t="shared" si="37"/>
        <v>1</v>
      </c>
      <c r="BB71" s="52">
        <f t="shared" si="37"/>
        <v>1</v>
      </c>
      <c r="BC71" s="52">
        <f t="shared" si="37"/>
        <v>1</v>
      </c>
      <c r="BD71" s="52">
        <f t="shared" si="34"/>
        <v>1</v>
      </c>
      <c r="BE71" s="52">
        <f t="shared" si="34"/>
        <v>1</v>
      </c>
      <c r="BF71" s="52">
        <f t="shared" si="34"/>
        <v>1</v>
      </c>
      <c r="BG71" s="52">
        <f t="shared" si="35"/>
        <v>1</v>
      </c>
      <c r="BH71" s="52">
        <f t="shared" si="35"/>
        <v>1</v>
      </c>
      <c r="BI71" s="52">
        <f t="shared" si="35"/>
        <v>1</v>
      </c>
      <c r="BJ71" s="52">
        <f t="shared" si="35"/>
        <v>1</v>
      </c>
      <c r="BK71" s="52">
        <f t="shared" si="35"/>
        <v>1</v>
      </c>
      <c r="BL71" s="52">
        <f t="shared" si="35"/>
        <v>1</v>
      </c>
      <c r="BM71" s="52">
        <f t="shared" si="35"/>
        <v>1</v>
      </c>
      <c r="BN71" s="52">
        <f t="shared" si="35"/>
        <v>1</v>
      </c>
      <c r="BO71" s="32">
        <f t="shared" si="7"/>
        <v>0.71186440677966101</v>
      </c>
    </row>
    <row r="72" spans="1:67" s="27" customFormat="1" ht="18.75" customHeight="1" x14ac:dyDescent="0.25">
      <c r="A72" s="42" t="s">
        <v>147</v>
      </c>
      <c r="B72" s="42" t="s">
        <v>148</v>
      </c>
      <c r="C72" s="42" t="s">
        <v>108</v>
      </c>
      <c r="D72" s="43">
        <f>SUM(D73:D80)</f>
        <v>922951821.58333695</v>
      </c>
      <c r="E72" s="44">
        <f>IFERROR(D72/$D$44,0)</f>
        <v>0.14285714285714285</v>
      </c>
      <c r="F72" s="45">
        <v>46275</v>
      </c>
      <c r="G72" s="45">
        <v>46336</v>
      </c>
      <c r="H72" s="44">
        <f>SUMPRODUCT($E73:$E80,H73:H80)</f>
        <v>0</v>
      </c>
      <c r="I72" s="44">
        <f t="shared" ref="I72:BN72" si="38">SUMPRODUCT($E73:$E80,I73:I80)</f>
        <v>0</v>
      </c>
      <c r="J72" s="44">
        <f t="shared" si="38"/>
        <v>0</v>
      </c>
      <c r="K72" s="44">
        <f t="shared" si="38"/>
        <v>0</v>
      </c>
      <c r="L72" s="44">
        <f t="shared" si="38"/>
        <v>0</v>
      </c>
      <c r="M72" s="44">
        <f t="shared" si="38"/>
        <v>0</v>
      </c>
      <c r="N72" s="44">
        <f t="shared" si="38"/>
        <v>0</v>
      </c>
      <c r="O72" s="44">
        <f t="shared" si="38"/>
        <v>0</v>
      </c>
      <c r="P72" s="44">
        <f t="shared" si="38"/>
        <v>0</v>
      </c>
      <c r="Q72" s="44">
        <f t="shared" si="38"/>
        <v>0.1</v>
      </c>
      <c r="R72" s="44">
        <f t="shared" si="38"/>
        <v>0.38</v>
      </c>
      <c r="S72" s="44">
        <f t="shared" si="38"/>
        <v>0.43999999999999995</v>
      </c>
      <c r="T72" s="44">
        <f t="shared" si="38"/>
        <v>0.43999999999999995</v>
      </c>
      <c r="U72" s="44">
        <f t="shared" si="38"/>
        <v>0.43999999999999995</v>
      </c>
      <c r="V72" s="44">
        <f t="shared" si="38"/>
        <v>0.43999999999999995</v>
      </c>
      <c r="W72" s="44">
        <f t="shared" si="38"/>
        <v>0.43999999999999995</v>
      </c>
      <c r="X72" s="44">
        <f t="shared" si="38"/>
        <v>0.89</v>
      </c>
      <c r="Y72" s="44">
        <f t="shared" si="38"/>
        <v>0.95</v>
      </c>
      <c r="Z72" s="44">
        <f t="shared" si="38"/>
        <v>1</v>
      </c>
      <c r="AA72" s="44">
        <f t="shared" si="38"/>
        <v>1</v>
      </c>
      <c r="AB72" s="44">
        <f t="shared" si="38"/>
        <v>1</v>
      </c>
      <c r="AC72" s="44">
        <f t="shared" si="38"/>
        <v>1</v>
      </c>
      <c r="AD72" s="44">
        <f t="shared" si="38"/>
        <v>1</v>
      </c>
      <c r="AE72" s="44">
        <f t="shared" si="38"/>
        <v>1</v>
      </c>
      <c r="AF72" s="44">
        <f t="shared" si="38"/>
        <v>1</v>
      </c>
      <c r="AG72" s="44">
        <f t="shared" si="38"/>
        <v>1</v>
      </c>
      <c r="AH72" s="44">
        <f t="shared" si="38"/>
        <v>1</v>
      </c>
      <c r="AI72" s="44">
        <f t="shared" si="38"/>
        <v>1</v>
      </c>
      <c r="AJ72" s="44">
        <f t="shared" si="38"/>
        <v>1</v>
      </c>
      <c r="AK72" s="44">
        <f t="shared" si="38"/>
        <v>1</v>
      </c>
      <c r="AL72" s="44">
        <f t="shared" si="38"/>
        <v>1</v>
      </c>
      <c r="AM72" s="44">
        <f t="shared" si="38"/>
        <v>1</v>
      </c>
      <c r="AN72" s="44">
        <f t="shared" si="38"/>
        <v>1</v>
      </c>
      <c r="AO72" s="44">
        <f t="shared" si="38"/>
        <v>1</v>
      </c>
      <c r="AP72" s="44">
        <f t="shared" si="38"/>
        <v>1</v>
      </c>
      <c r="AQ72" s="44">
        <f t="shared" si="38"/>
        <v>1</v>
      </c>
      <c r="AR72" s="44">
        <f t="shared" si="38"/>
        <v>1</v>
      </c>
      <c r="AS72" s="44">
        <f t="shared" si="38"/>
        <v>1</v>
      </c>
      <c r="AT72" s="44">
        <f t="shared" si="38"/>
        <v>1</v>
      </c>
      <c r="AU72" s="44">
        <f t="shared" si="38"/>
        <v>1</v>
      </c>
      <c r="AV72" s="44">
        <f t="shared" si="38"/>
        <v>1</v>
      </c>
      <c r="AW72" s="44">
        <f t="shared" si="38"/>
        <v>1</v>
      </c>
      <c r="AX72" s="44">
        <f t="shared" si="38"/>
        <v>1</v>
      </c>
      <c r="AY72" s="44">
        <f t="shared" si="38"/>
        <v>1</v>
      </c>
      <c r="AZ72" s="44">
        <f t="shared" si="38"/>
        <v>1</v>
      </c>
      <c r="BA72" s="44">
        <f t="shared" si="38"/>
        <v>1</v>
      </c>
      <c r="BB72" s="44">
        <f t="shared" si="38"/>
        <v>1</v>
      </c>
      <c r="BC72" s="44">
        <f t="shared" si="38"/>
        <v>1</v>
      </c>
      <c r="BD72" s="44">
        <f t="shared" si="38"/>
        <v>1</v>
      </c>
      <c r="BE72" s="44">
        <f t="shared" si="38"/>
        <v>1</v>
      </c>
      <c r="BF72" s="44">
        <f t="shared" si="38"/>
        <v>1</v>
      </c>
      <c r="BG72" s="44">
        <f t="shared" si="38"/>
        <v>1</v>
      </c>
      <c r="BH72" s="44">
        <f t="shared" si="38"/>
        <v>1</v>
      </c>
      <c r="BI72" s="44">
        <f t="shared" si="38"/>
        <v>1</v>
      </c>
      <c r="BJ72" s="44">
        <f t="shared" si="38"/>
        <v>1</v>
      </c>
      <c r="BK72" s="44">
        <f t="shared" si="38"/>
        <v>1</v>
      </c>
      <c r="BL72" s="44">
        <f t="shared" si="38"/>
        <v>1</v>
      </c>
      <c r="BM72" s="44">
        <f t="shared" si="38"/>
        <v>1</v>
      </c>
      <c r="BN72" s="44">
        <f t="shared" si="38"/>
        <v>1</v>
      </c>
      <c r="BO72" s="32">
        <f t="shared" si="7"/>
        <v>0.7715254237288135</v>
      </c>
    </row>
    <row r="73" spans="1:67" s="27" customFormat="1" ht="18.75" customHeight="1" x14ac:dyDescent="0.25">
      <c r="A73" s="50" t="s">
        <v>149</v>
      </c>
      <c r="B73" s="50" t="s">
        <v>150</v>
      </c>
      <c r="C73" s="50" t="s">
        <v>111</v>
      </c>
      <c r="D73" s="51">
        <f>VLOOKUP(A73,'[1]Cuadro Control'!C78:J2003,8,FALSE)</f>
        <v>90662604.648000002</v>
      </c>
      <c r="E73" s="52">
        <v>0.1</v>
      </c>
      <c r="F73" s="53">
        <v>46275</v>
      </c>
      <c r="G73" s="53">
        <v>46276</v>
      </c>
      <c r="H73" s="52">
        <f t="shared" ref="H73:BN77" si="39">IF($F73=0,0,IF(H$6&lt;$F73,0,IF(H$6&gt;$G73,1,(H$6-$F73+1)/($G73-$F73+1))))</f>
        <v>0</v>
      </c>
      <c r="I73" s="52">
        <f t="shared" si="39"/>
        <v>0</v>
      </c>
      <c r="J73" s="52">
        <f t="shared" si="39"/>
        <v>0</v>
      </c>
      <c r="K73" s="52">
        <f t="shared" si="39"/>
        <v>0</v>
      </c>
      <c r="L73" s="52">
        <f t="shared" si="39"/>
        <v>0</v>
      </c>
      <c r="M73" s="52">
        <f t="shared" si="39"/>
        <v>0</v>
      </c>
      <c r="N73" s="52">
        <f t="shared" si="39"/>
        <v>0</v>
      </c>
      <c r="O73" s="52">
        <f t="shared" si="39"/>
        <v>0</v>
      </c>
      <c r="P73" s="52">
        <f t="shared" si="39"/>
        <v>0</v>
      </c>
      <c r="Q73" s="52">
        <f t="shared" si="39"/>
        <v>1</v>
      </c>
      <c r="R73" s="52">
        <f t="shared" si="39"/>
        <v>1</v>
      </c>
      <c r="S73" s="52">
        <f t="shared" si="39"/>
        <v>1</v>
      </c>
      <c r="T73" s="52">
        <f t="shared" si="39"/>
        <v>1</v>
      </c>
      <c r="U73" s="52">
        <f t="shared" si="39"/>
        <v>1</v>
      </c>
      <c r="V73" s="52">
        <f t="shared" si="39"/>
        <v>1</v>
      </c>
      <c r="W73" s="52">
        <f t="shared" si="39"/>
        <v>1</v>
      </c>
      <c r="X73" s="52">
        <f t="shared" si="39"/>
        <v>1</v>
      </c>
      <c r="Y73" s="52">
        <f t="shared" si="39"/>
        <v>1</v>
      </c>
      <c r="Z73" s="52">
        <f t="shared" si="39"/>
        <v>1</v>
      </c>
      <c r="AA73" s="52">
        <f t="shared" si="39"/>
        <v>1</v>
      </c>
      <c r="AB73" s="52">
        <f t="shared" si="39"/>
        <v>1</v>
      </c>
      <c r="AC73" s="52">
        <f t="shared" si="39"/>
        <v>1</v>
      </c>
      <c r="AD73" s="52">
        <f t="shared" si="39"/>
        <v>1</v>
      </c>
      <c r="AE73" s="52">
        <f t="shared" si="39"/>
        <v>1</v>
      </c>
      <c r="AF73" s="52">
        <f t="shared" si="39"/>
        <v>1</v>
      </c>
      <c r="AG73" s="52">
        <f t="shared" si="39"/>
        <v>1</v>
      </c>
      <c r="AH73" s="52">
        <f t="shared" si="39"/>
        <v>1</v>
      </c>
      <c r="AI73" s="52">
        <f t="shared" si="39"/>
        <v>1</v>
      </c>
      <c r="AJ73" s="52">
        <f t="shared" si="39"/>
        <v>1</v>
      </c>
      <c r="AK73" s="52">
        <f t="shared" si="39"/>
        <v>1</v>
      </c>
      <c r="AL73" s="52">
        <f t="shared" si="39"/>
        <v>1</v>
      </c>
      <c r="AM73" s="52">
        <f t="shared" si="39"/>
        <v>1</v>
      </c>
      <c r="AN73" s="52">
        <f t="shared" si="39"/>
        <v>1</v>
      </c>
      <c r="AO73" s="52">
        <f t="shared" si="39"/>
        <v>1</v>
      </c>
      <c r="AP73" s="52">
        <f t="shared" si="39"/>
        <v>1</v>
      </c>
      <c r="AQ73" s="52">
        <f t="shared" si="39"/>
        <v>1</v>
      </c>
      <c r="AR73" s="52">
        <f t="shared" si="39"/>
        <v>1</v>
      </c>
      <c r="AS73" s="52">
        <f t="shared" si="39"/>
        <v>1</v>
      </c>
      <c r="AT73" s="52">
        <f t="shared" si="39"/>
        <v>1</v>
      </c>
      <c r="AU73" s="52">
        <f t="shared" si="39"/>
        <v>1</v>
      </c>
      <c r="AV73" s="52">
        <f t="shared" si="39"/>
        <v>1</v>
      </c>
      <c r="AW73" s="52">
        <f t="shared" si="39"/>
        <v>1</v>
      </c>
      <c r="AX73" s="52">
        <f t="shared" si="39"/>
        <v>1</v>
      </c>
      <c r="AY73" s="52">
        <f t="shared" si="39"/>
        <v>1</v>
      </c>
      <c r="AZ73" s="52">
        <f t="shared" si="39"/>
        <v>1</v>
      </c>
      <c r="BA73" s="52">
        <f t="shared" si="39"/>
        <v>1</v>
      </c>
      <c r="BB73" s="52">
        <f t="shared" si="39"/>
        <v>1</v>
      </c>
      <c r="BC73" s="52">
        <f t="shared" si="39"/>
        <v>1</v>
      </c>
      <c r="BD73" s="52">
        <f t="shared" si="39"/>
        <v>1</v>
      </c>
      <c r="BE73" s="52">
        <f t="shared" si="39"/>
        <v>1</v>
      </c>
      <c r="BF73" s="52">
        <f t="shared" si="39"/>
        <v>1</v>
      </c>
      <c r="BG73" s="52">
        <f t="shared" si="39"/>
        <v>1</v>
      </c>
      <c r="BH73" s="52">
        <f t="shared" si="39"/>
        <v>1</v>
      </c>
      <c r="BI73" s="52">
        <f t="shared" si="39"/>
        <v>1</v>
      </c>
      <c r="BJ73" s="52">
        <f t="shared" si="39"/>
        <v>1</v>
      </c>
      <c r="BK73" s="52">
        <f t="shared" si="39"/>
        <v>1</v>
      </c>
      <c r="BL73" s="52">
        <f t="shared" si="39"/>
        <v>1</v>
      </c>
      <c r="BM73" s="52">
        <f t="shared" si="39"/>
        <v>1</v>
      </c>
      <c r="BN73" s="52">
        <f t="shared" si="39"/>
        <v>1</v>
      </c>
      <c r="BO73" s="32">
        <f t="shared" si="7"/>
        <v>0.84745762711864403</v>
      </c>
    </row>
    <row r="74" spans="1:67" s="27" customFormat="1" ht="18.75" customHeight="1" x14ac:dyDescent="0.25">
      <c r="A74" s="50" t="s">
        <v>151</v>
      </c>
      <c r="B74" s="50" t="s">
        <v>152</v>
      </c>
      <c r="C74" s="50" t="s">
        <v>114</v>
      </c>
      <c r="D74" s="51">
        <f>VLOOKUP(A74,'[1]Cuadro Control'!C79:J2004,8,FALSE)</f>
        <v>230777539.104</v>
      </c>
      <c r="E74" s="52">
        <v>0.25</v>
      </c>
      <c r="F74" s="53">
        <v>46277</v>
      </c>
      <c r="G74" s="53">
        <v>46282</v>
      </c>
      <c r="H74" s="52">
        <f t="shared" si="39"/>
        <v>0</v>
      </c>
      <c r="I74" s="52">
        <f t="shared" si="39"/>
        <v>0</v>
      </c>
      <c r="J74" s="52">
        <f t="shared" si="39"/>
        <v>0</v>
      </c>
      <c r="K74" s="52">
        <f t="shared" si="39"/>
        <v>0</v>
      </c>
      <c r="L74" s="52">
        <f t="shared" si="39"/>
        <v>0</v>
      </c>
      <c r="M74" s="52">
        <f t="shared" si="39"/>
        <v>0</v>
      </c>
      <c r="N74" s="52">
        <f t="shared" si="39"/>
        <v>0</v>
      </c>
      <c r="O74" s="52">
        <f t="shared" si="39"/>
        <v>0</v>
      </c>
      <c r="P74" s="52">
        <f t="shared" si="39"/>
        <v>0</v>
      </c>
      <c r="Q74" s="52">
        <f t="shared" si="39"/>
        <v>0</v>
      </c>
      <c r="R74" s="52">
        <f t="shared" si="39"/>
        <v>1</v>
      </c>
      <c r="S74" s="52">
        <f t="shared" si="39"/>
        <v>1</v>
      </c>
      <c r="T74" s="52">
        <f t="shared" si="39"/>
        <v>1</v>
      </c>
      <c r="U74" s="52">
        <f t="shared" si="39"/>
        <v>1</v>
      </c>
      <c r="V74" s="52">
        <f t="shared" si="39"/>
        <v>1</v>
      </c>
      <c r="W74" s="52">
        <f t="shared" si="39"/>
        <v>1</v>
      </c>
      <c r="X74" s="52">
        <f t="shared" si="39"/>
        <v>1</v>
      </c>
      <c r="Y74" s="52">
        <f t="shared" si="39"/>
        <v>1</v>
      </c>
      <c r="Z74" s="52">
        <f t="shared" si="39"/>
        <v>1</v>
      </c>
      <c r="AA74" s="52">
        <f t="shared" si="39"/>
        <v>1</v>
      </c>
      <c r="AB74" s="52">
        <f t="shared" si="39"/>
        <v>1</v>
      </c>
      <c r="AC74" s="52">
        <f t="shared" si="39"/>
        <v>1</v>
      </c>
      <c r="AD74" s="52">
        <f t="shared" si="39"/>
        <v>1</v>
      </c>
      <c r="AE74" s="52">
        <f t="shared" si="39"/>
        <v>1</v>
      </c>
      <c r="AF74" s="52">
        <f t="shared" si="39"/>
        <v>1</v>
      </c>
      <c r="AG74" s="52">
        <f t="shared" si="39"/>
        <v>1</v>
      </c>
      <c r="AH74" s="52">
        <f t="shared" si="39"/>
        <v>1</v>
      </c>
      <c r="AI74" s="52">
        <f t="shared" si="39"/>
        <v>1</v>
      </c>
      <c r="AJ74" s="52">
        <f t="shared" si="39"/>
        <v>1</v>
      </c>
      <c r="AK74" s="52">
        <f t="shared" si="39"/>
        <v>1</v>
      </c>
      <c r="AL74" s="52">
        <f t="shared" si="39"/>
        <v>1</v>
      </c>
      <c r="AM74" s="52">
        <f t="shared" si="39"/>
        <v>1</v>
      </c>
      <c r="AN74" s="52">
        <f t="shared" si="39"/>
        <v>1</v>
      </c>
      <c r="AO74" s="52">
        <f t="shared" si="39"/>
        <v>1</v>
      </c>
      <c r="AP74" s="52">
        <f t="shared" si="39"/>
        <v>1</v>
      </c>
      <c r="AQ74" s="52">
        <f t="shared" si="39"/>
        <v>1</v>
      </c>
      <c r="AR74" s="52">
        <f t="shared" si="39"/>
        <v>1</v>
      </c>
      <c r="AS74" s="52">
        <f t="shared" si="39"/>
        <v>1</v>
      </c>
      <c r="AT74" s="52">
        <f t="shared" si="39"/>
        <v>1</v>
      </c>
      <c r="AU74" s="52">
        <f t="shared" si="39"/>
        <v>1</v>
      </c>
      <c r="AV74" s="52">
        <f t="shared" si="39"/>
        <v>1</v>
      </c>
      <c r="AW74" s="52">
        <f t="shared" si="39"/>
        <v>1</v>
      </c>
      <c r="AX74" s="52">
        <f t="shared" si="39"/>
        <v>1</v>
      </c>
      <c r="AY74" s="52">
        <f t="shared" si="39"/>
        <v>1</v>
      </c>
      <c r="AZ74" s="52">
        <f t="shared" si="39"/>
        <v>1</v>
      </c>
      <c r="BA74" s="52">
        <f t="shared" si="39"/>
        <v>1</v>
      </c>
      <c r="BB74" s="52">
        <f t="shared" si="39"/>
        <v>1</v>
      </c>
      <c r="BC74" s="52">
        <f t="shared" si="39"/>
        <v>1</v>
      </c>
      <c r="BD74" s="52">
        <f t="shared" si="39"/>
        <v>1</v>
      </c>
      <c r="BE74" s="52">
        <f t="shared" si="39"/>
        <v>1</v>
      </c>
      <c r="BF74" s="52">
        <f t="shared" si="39"/>
        <v>1</v>
      </c>
      <c r="BG74" s="52">
        <f t="shared" si="39"/>
        <v>1</v>
      </c>
      <c r="BH74" s="52">
        <f t="shared" si="39"/>
        <v>1</v>
      </c>
      <c r="BI74" s="52">
        <f t="shared" si="39"/>
        <v>1</v>
      </c>
      <c r="BJ74" s="52">
        <f t="shared" si="39"/>
        <v>1</v>
      </c>
      <c r="BK74" s="52">
        <f t="shared" si="39"/>
        <v>1</v>
      </c>
      <c r="BL74" s="52">
        <f t="shared" si="39"/>
        <v>1</v>
      </c>
      <c r="BM74" s="52">
        <f t="shared" si="39"/>
        <v>1</v>
      </c>
      <c r="BN74" s="52">
        <f t="shared" si="39"/>
        <v>1</v>
      </c>
      <c r="BO74" s="32">
        <f t="shared" ref="BO74:BO137" si="40">+AVERAGE(H74:BN74)</f>
        <v>0.83050847457627119</v>
      </c>
    </row>
    <row r="75" spans="1:67" s="27" customFormat="1" ht="18.75" customHeight="1" x14ac:dyDescent="0.25">
      <c r="A75" s="50" t="s">
        <v>153</v>
      </c>
      <c r="B75" s="50" t="s">
        <v>154</v>
      </c>
      <c r="C75" s="50" t="s">
        <v>114</v>
      </c>
      <c r="D75" s="51">
        <f>VLOOKUP(A75,'[1]Cuadro Control'!C80:J2005,8,FALSE)</f>
        <v>82420549.679999992</v>
      </c>
      <c r="E75" s="52">
        <v>0.09</v>
      </c>
      <c r="F75" s="53">
        <v>46282</v>
      </c>
      <c r="G75" s="53">
        <v>46287</v>
      </c>
      <c r="H75" s="52">
        <f t="shared" si="39"/>
        <v>0</v>
      </c>
      <c r="I75" s="52">
        <f t="shared" si="39"/>
        <v>0</v>
      </c>
      <c r="J75" s="52">
        <f t="shared" si="39"/>
        <v>0</v>
      </c>
      <c r="K75" s="52">
        <f t="shared" si="39"/>
        <v>0</v>
      </c>
      <c r="L75" s="52">
        <f t="shared" si="39"/>
        <v>0</v>
      </c>
      <c r="M75" s="52">
        <f t="shared" si="39"/>
        <v>0</v>
      </c>
      <c r="N75" s="52">
        <f t="shared" si="39"/>
        <v>0</v>
      </c>
      <c r="O75" s="52">
        <f t="shared" si="39"/>
        <v>0</v>
      </c>
      <c r="P75" s="52">
        <f t="shared" si="39"/>
        <v>0</v>
      </c>
      <c r="Q75" s="52">
        <f t="shared" si="39"/>
        <v>0</v>
      </c>
      <c r="R75" s="52">
        <f t="shared" si="39"/>
        <v>0.33333333333333331</v>
      </c>
      <c r="S75" s="52">
        <f t="shared" si="39"/>
        <v>1</v>
      </c>
      <c r="T75" s="52">
        <f t="shared" si="39"/>
        <v>1</v>
      </c>
      <c r="U75" s="52">
        <f t="shared" si="39"/>
        <v>1</v>
      </c>
      <c r="V75" s="52">
        <f t="shared" si="39"/>
        <v>1</v>
      </c>
      <c r="W75" s="52">
        <f t="shared" si="39"/>
        <v>1</v>
      </c>
      <c r="X75" s="52">
        <f t="shared" si="39"/>
        <v>1</v>
      </c>
      <c r="Y75" s="52">
        <f t="shared" si="39"/>
        <v>1</v>
      </c>
      <c r="Z75" s="52">
        <f t="shared" si="39"/>
        <v>1</v>
      </c>
      <c r="AA75" s="52">
        <f t="shared" si="39"/>
        <v>1</v>
      </c>
      <c r="AB75" s="52">
        <f t="shared" si="39"/>
        <v>1</v>
      </c>
      <c r="AC75" s="52">
        <f t="shared" si="39"/>
        <v>1</v>
      </c>
      <c r="AD75" s="52">
        <f t="shared" si="39"/>
        <v>1</v>
      </c>
      <c r="AE75" s="52">
        <f t="shared" si="39"/>
        <v>1</v>
      </c>
      <c r="AF75" s="52">
        <f t="shared" si="39"/>
        <v>1</v>
      </c>
      <c r="AG75" s="52">
        <f t="shared" si="39"/>
        <v>1</v>
      </c>
      <c r="AH75" s="52">
        <f t="shared" si="39"/>
        <v>1</v>
      </c>
      <c r="AI75" s="52">
        <f t="shared" si="39"/>
        <v>1</v>
      </c>
      <c r="AJ75" s="52">
        <f t="shared" si="39"/>
        <v>1</v>
      </c>
      <c r="AK75" s="52">
        <f t="shared" si="39"/>
        <v>1</v>
      </c>
      <c r="AL75" s="52">
        <f t="shared" si="39"/>
        <v>1</v>
      </c>
      <c r="AM75" s="52">
        <f t="shared" si="39"/>
        <v>1</v>
      </c>
      <c r="AN75" s="52">
        <f t="shared" si="39"/>
        <v>1</v>
      </c>
      <c r="AO75" s="52">
        <f t="shared" si="39"/>
        <v>1</v>
      </c>
      <c r="AP75" s="52">
        <f t="shared" si="39"/>
        <v>1</v>
      </c>
      <c r="AQ75" s="52">
        <f t="shared" si="39"/>
        <v>1</v>
      </c>
      <c r="AR75" s="52">
        <f t="shared" si="39"/>
        <v>1</v>
      </c>
      <c r="AS75" s="52">
        <f t="shared" si="39"/>
        <v>1</v>
      </c>
      <c r="AT75" s="52">
        <f t="shared" si="39"/>
        <v>1</v>
      </c>
      <c r="AU75" s="52">
        <f t="shared" si="39"/>
        <v>1</v>
      </c>
      <c r="AV75" s="52">
        <f t="shared" si="39"/>
        <v>1</v>
      </c>
      <c r="AW75" s="52">
        <f t="shared" si="39"/>
        <v>1</v>
      </c>
      <c r="AX75" s="52">
        <f t="shared" si="39"/>
        <v>1</v>
      </c>
      <c r="AY75" s="52">
        <f t="shared" si="39"/>
        <v>1</v>
      </c>
      <c r="AZ75" s="52">
        <f t="shared" si="39"/>
        <v>1</v>
      </c>
      <c r="BA75" s="52">
        <f t="shared" si="39"/>
        <v>1</v>
      </c>
      <c r="BB75" s="52">
        <f t="shared" si="39"/>
        <v>1</v>
      </c>
      <c r="BC75" s="52">
        <f t="shared" si="39"/>
        <v>1</v>
      </c>
      <c r="BD75" s="52">
        <f t="shared" si="39"/>
        <v>1</v>
      </c>
      <c r="BE75" s="52">
        <f t="shared" si="39"/>
        <v>1</v>
      </c>
      <c r="BF75" s="52">
        <f t="shared" si="39"/>
        <v>1</v>
      </c>
      <c r="BG75" s="52">
        <f t="shared" si="39"/>
        <v>1</v>
      </c>
      <c r="BH75" s="52">
        <f t="shared" si="39"/>
        <v>1</v>
      </c>
      <c r="BI75" s="52">
        <f t="shared" si="39"/>
        <v>1</v>
      </c>
      <c r="BJ75" s="52">
        <f t="shared" si="39"/>
        <v>1</v>
      </c>
      <c r="BK75" s="52">
        <f t="shared" si="39"/>
        <v>1</v>
      </c>
      <c r="BL75" s="52">
        <f t="shared" si="39"/>
        <v>1</v>
      </c>
      <c r="BM75" s="52">
        <f t="shared" si="39"/>
        <v>1</v>
      </c>
      <c r="BN75" s="52">
        <f t="shared" si="39"/>
        <v>1</v>
      </c>
      <c r="BO75" s="32">
        <f t="shared" si="40"/>
        <v>0.81920903954802249</v>
      </c>
    </row>
    <row r="76" spans="1:67" s="27" customFormat="1" ht="18.75" customHeight="1" x14ac:dyDescent="0.25">
      <c r="A76" s="50" t="s">
        <v>155</v>
      </c>
      <c r="B76" s="50" t="s">
        <v>156</v>
      </c>
      <c r="C76" s="50" t="s">
        <v>114</v>
      </c>
      <c r="D76" s="51">
        <f>VLOOKUP(A76,'[1]Cuadro Control'!C81:J2006,8,FALSE)</f>
        <v>230777539.104</v>
      </c>
      <c r="E76" s="52">
        <v>0.25</v>
      </c>
      <c r="F76" s="53">
        <v>46319</v>
      </c>
      <c r="G76" s="53">
        <v>46323</v>
      </c>
      <c r="H76" s="52">
        <f t="shared" si="39"/>
        <v>0</v>
      </c>
      <c r="I76" s="52">
        <f t="shared" si="39"/>
        <v>0</v>
      </c>
      <c r="J76" s="52">
        <f t="shared" si="39"/>
        <v>0</v>
      </c>
      <c r="K76" s="52">
        <f t="shared" si="39"/>
        <v>0</v>
      </c>
      <c r="L76" s="52">
        <f t="shared" si="39"/>
        <v>0</v>
      </c>
      <c r="M76" s="52">
        <f t="shared" si="39"/>
        <v>0</v>
      </c>
      <c r="N76" s="52">
        <f t="shared" si="39"/>
        <v>0</v>
      </c>
      <c r="O76" s="52">
        <f t="shared" si="39"/>
        <v>0</v>
      </c>
      <c r="P76" s="52">
        <f t="shared" si="39"/>
        <v>0</v>
      </c>
      <c r="Q76" s="52">
        <f t="shared" si="39"/>
        <v>0</v>
      </c>
      <c r="R76" s="52">
        <f t="shared" si="39"/>
        <v>0</v>
      </c>
      <c r="S76" s="52">
        <f t="shared" si="39"/>
        <v>0</v>
      </c>
      <c r="T76" s="52">
        <f t="shared" si="39"/>
        <v>0</v>
      </c>
      <c r="U76" s="52">
        <f t="shared" si="39"/>
        <v>0</v>
      </c>
      <c r="V76" s="52">
        <f t="shared" si="39"/>
        <v>0</v>
      </c>
      <c r="W76" s="52">
        <f t="shared" si="39"/>
        <v>0</v>
      </c>
      <c r="X76" s="52">
        <f t="shared" si="39"/>
        <v>1</v>
      </c>
      <c r="Y76" s="52">
        <f t="shared" si="39"/>
        <v>1</v>
      </c>
      <c r="Z76" s="52">
        <f t="shared" si="39"/>
        <v>1</v>
      </c>
      <c r="AA76" s="52">
        <f t="shared" si="39"/>
        <v>1</v>
      </c>
      <c r="AB76" s="52">
        <f t="shared" si="39"/>
        <v>1</v>
      </c>
      <c r="AC76" s="52">
        <f t="shared" si="39"/>
        <v>1</v>
      </c>
      <c r="AD76" s="52">
        <f t="shared" si="39"/>
        <v>1</v>
      </c>
      <c r="AE76" s="52">
        <f t="shared" si="39"/>
        <v>1</v>
      </c>
      <c r="AF76" s="52">
        <f t="shared" si="39"/>
        <v>1</v>
      </c>
      <c r="AG76" s="52">
        <f t="shared" si="39"/>
        <v>1</v>
      </c>
      <c r="AH76" s="52">
        <f t="shared" si="39"/>
        <v>1</v>
      </c>
      <c r="AI76" s="52">
        <f t="shared" si="39"/>
        <v>1</v>
      </c>
      <c r="AJ76" s="52">
        <f t="shared" si="39"/>
        <v>1</v>
      </c>
      <c r="AK76" s="52">
        <f t="shared" si="39"/>
        <v>1</v>
      </c>
      <c r="AL76" s="52">
        <f t="shared" si="39"/>
        <v>1</v>
      </c>
      <c r="AM76" s="52">
        <f t="shared" si="39"/>
        <v>1</v>
      </c>
      <c r="AN76" s="52">
        <f t="shared" si="39"/>
        <v>1</v>
      </c>
      <c r="AO76" s="52">
        <f t="shared" si="39"/>
        <v>1</v>
      </c>
      <c r="AP76" s="52">
        <f t="shared" si="39"/>
        <v>1</v>
      </c>
      <c r="AQ76" s="52">
        <f t="shared" si="39"/>
        <v>1</v>
      </c>
      <c r="AR76" s="52">
        <f t="shared" si="39"/>
        <v>1</v>
      </c>
      <c r="AS76" s="52">
        <f t="shared" si="39"/>
        <v>1</v>
      </c>
      <c r="AT76" s="52">
        <f t="shared" si="39"/>
        <v>1</v>
      </c>
      <c r="AU76" s="52">
        <f t="shared" si="39"/>
        <v>1</v>
      </c>
      <c r="AV76" s="52">
        <f t="shared" si="39"/>
        <v>1</v>
      </c>
      <c r="AW76" s="52">
        <f t="shared" si="39"/>
        <v>1</v>
      </c>
      <c r="AX76" s="52">
        <f t="shared" si="39"/>
        <v>1</v>
      </c>
      <c r="AY76" s="52">
        <f t="shared" si="39"/>
        <v>1</v>
      </c>
      <c r="AZ76" s="52">
        <f t="shared" si="39"/>
        <v>1</v>
      </c>
      <c r="BA76" s="52">
        <f t="shared" si="39"/>
        <v>1</v>
      </c>
      <c r="BB76" s="52">
        <f t="shared" si="39"/>
        <v>1</v>
      </c>
      <c r="BC76" s="52">
        <f t="shared" si="39"/>
        <v>1</v>
      </c>
      <c r="BD76" s="52">
        <f t="shared" si="39"/>
        <v>1</v>
      </c>
      <c r="BE76" s="52">
        <f t="shared" si="39"/>
        <v>1</v>
      </c>
      <c r="BF76" s="52">
        <f t="shared" si="39"/>
        <v>1</v>
      </c>
      <c r="BG76" s="52">
        <f t="shared" si="39"/>
        <v>1</v>
      </c>
      <c r="BH76" s="52">
        <f t="shared" si="39"/>
        <v>1</v>
      </c>
      <c r="BI76" s="52">
        <f t="shared" si="39"/>
        <v>1</v>
      </c>
      <c r="BJ76" s="52">
        <f t="shared" si="39"/>
        <v>1</v>
      </c>
      <c r="BK76" s="52">
        <f t="shared" si="39"/>
        <v>1</v>
      </c>
      <c r="BL76" s="52">
        <f t="shared" si="39"/>
        <v>1</v>
      </c>
      <c r="BM76" s="52">
        <f t="shared" si="39"/>
        <v>1</v>
      </c>
      <c r="BN76" s="52">
        <f t="shared" si="39"/>
        <v>1</v>
      </c>
      <c r="BO76" s="32">
        <f t="shared" si="40"/>
        <v>0.72881355932203384</v>
      </c>
    </row>
    <row r="77" spans="1:67" s="27" customFormat="1" ht="18.75" customHeight="1" x14ac:dyDescent="0.25">
      <c r="A77" s="50" t="s">
        <v>157</v>
      </c>
      <c r="B77" s="50" t="s">
        <v>158</v>
      </c>
      <c r="C77" s="50" t="s">
        <v>111</v>
      </c>
      <c r="D77" s="51">
        <f>VLOOKUP(A77,'[1]Cuadro Control'!C82:J2007,8,FALSE)</f>
        <v>49452329.807999998</v>
      </c>
      <c r="E77" s="52">
        <v>0.05</v>
      </c>
      <c r="F77" s="53">
        <v>46323</v>
      </c>
      <c r="G77" s="53">
        <v>46324</v>
      </c>
      <c r="H77" s="52">
        <f t="shared" si="39"/>
        <v>0</v>
      </c>
      <c r="I77" s="52">
        <f t="shared" si="39"/>
        <v>0</v>
      </c>
      <c r="J77" s="52">
        <f t="shared" si="39"/>
        <v>0</v>
      </c>
      <c r="K77" s="52">
        <f t="shared" si="39"/>
        <v>0</v>
      </c>
      <c r="L77" s="52">
        <f t="shared" si="39"/>
        <v>0</v>
      </c>
      <c r="M77" s="52">
        <f t="shared" si="39"/>
        <v>0</v>
      </c>
      <c r="N77" s="52">
        <f t="shared" si="39"/>
        <v>0</v>
      </c>
      <c r="O77" s="52">
        <f t="shared" si="39"/>
        <v>0</v>
      </c>
      <c r="P77" s="52">
        <f t="shared" si="39"/>
        <v>0</v>
      </c>
      <c r="Q77" s="52">
        <f t="shared" si="39"/>
        <v>0</v>
      </c>
      <c r="R77" s="52">
        <f t="shared" si="39"/>
        <v>0</v>
      </c>
      <c r="S77" s="52">
        <f t="shared" si="39"/>
        <v>0</v>
      </c>
      <c r="T77" s="52">
        <f t="shared" si="39"/>
        <v>0</v>
      </c>
      <c r="U77" s="52">
        <f t="shared" si="39"/>
        <v>0</v>
      </c>
      <c r="V77" s="52">
        <f t="shared" si="39"/>
        <v>0</v>
      </c>
      <c r="W77" s="52">
        <f t="shared" si="39"/>
        <v>0</v>
      </c>
      <c r="X77" s="52">
        <f t="shared" si="39"/>
        <v>1</v>
      </c>
      <c r="Y77" s="52">
        <f t="shared" si="39"/>
        <v>1</v>
      </c>
      <c r="Z77" s="52">
        <f t="shared" si="39"/>
        <v>1</v>
      </c>
      <c r="AA77" s="52">
        <f t="shared" ref="AA77:BF80" si="41">IF($F77=0,0,IF(AA$6&lt;$F77,0,IF(AA$6&gt;$G77,1,(AA$6-$F77+1)/($G77-$F77+1))))</f>
        <v>1</v>
      </c>
      <c r="AB77" s="52">
        <f t="shared" si="41"/>
        <v>1</v>
      </c>
      <c r="AC77" s="52">
        <f t="shared" si="41"/>
        <v>1</v>
      </c>
      <c r="AD77" s="52">
        <f t="shared" si="41"/>
        <v>1</v>
      </c>
      <c r="AE77" s="52">
        <f t="shared" si="41"/>
        <v>1</v>
      </c>
      <c r="AF77" s="52">
        <f t="shared" si="41"/>
        <v>1</v>
      </c>
      <c r="AG77" s="52">
        <f t="shared" si="41"/>
        <v>1</v>
      </c>
      <c r="AH77" s="52">
        <f t="shared" si="41"/>
        <v>1</v>
      </c>
      <c r="AI77" s="52">
        <f t="shared" si="41"/>
        <v>1</v>
      </c>
      <c r="AJ77" s="52">
        <f t="shared" si="41"/>
        <v>1</v>
      </c>
      <c r="AK77" s="52">
        <f t="shared" si="41"/>
        <v>1</v>
      </c>
      <c r="AL77" s="52">
        <f t="shared" si="41"/>
        <v>1</v>
      </c>
      <c r="AM77" s="52">
        <f t="shared" si="41"/>
        <v>1</v>
      </c>
      <c r="AN77" s="52">
        <f t="shared" si="41"/>
        <v>1</v>
      </c>
      <c r="AO77" s="52">
        <f t="shared" si="41"/>
        <v>1</v>
      </c>
      <c r="AP77" s="52">
        <f t="shared" si="41"/>
        <v>1</v>
      </c>
      <c r="AQ77" s="52">
        <f t="shared" si="41"/>
        <v>1</v>
      </c>
      <c r="AR77" s="52">
        <f t="shared" si="41"/>
        <v>1</v>
      </c>
      <c r="AS77" s="52">
        <f t="shared" si="41"/>
        <v>1</v>
      </c>
      <c r="AT77" s="52">
        <f t="shared" si="41"/>
        <v>1</v>
      </c>
      <c r="AU77" s="52">
        <f t="shared" si="41"/>
        <v>1</v>
      </c>
      <c r="AV77" s="52">
        <f t="shared" si="41"/>
        <v>1</v>
      </c>
      <c r="AW77" s="52">
        <f t="shared" si="41"/>
        <v>1</v>
      </c>
      <c r="AX77" s="52">
        <f t="shared" si="41"/>
        <v>1</v>
      </c>
      <c r="AY77" s="52">
        <f t="shared" si="41"/>
        <v>1</v>
      </c>
      <c r="AZ77" s="52">
        <f t="shared" si="41"/>
        <v>1</v>
      </c>
      <c r="BA77" s="52">
        <f t="shared" si="41"/>
        <v>1</v>
      </c>
      <c r="BB77" s="52">
        <f t="shared" si="41"/>
        <v>1</v>
      </c>
      <c r="BC77" s="52">
        <f t="shared" si="41"/>
        <v>1</v>
      </c>
      <c r="BD77" s="52">
        <f t="shared" si="41"/>
        <v>1</v>
      </c>
      <c r="BE77" s="52">
        <f t="shared" si="41"/>
        <v>1</v>
      </c>
      <c r="BF77" s="52">
        <f t="shared" si="41"/>
        <v>1</v>
      </c>
      <c r="BG77" s="52">
        <f t="shared" ref="BG77:BN80" si="42">IF($F77=0,0,IF(BG$6&lt;$F77,0,IF(BG$6&gt;$G77,1,(BG$6-$F77+1)/($G77-$F77+1))))</f>
        <v>1</v>
      </c>
      <c r="BH77" s="52">
        <f t="shared" si="42"/>
        <v>1</v>
      </c>
      <c r="BI77" s="52">
        <f t="shared" si="42"/>
        <v>1</v>
      </c>
      <c r="BJ77" s="52">
        <f t="shared" si="42"/>
        <v>1</v>
      </c>
      <c r="BK77" s="52">
        <f t="shared" si="42"/>
        <v>1</v>
      </c>
      <c r="BL77" s="52">
        <f t="shared" si="42"/>
        <v>1</v>
      </c>
      <c r="BM77" s="52">
        <f t="shared" si="42"/>
        <v>1</v>
      </c>
      <c r="BN77" s="52">
        <f t="shared" si="42"/>
        <v>1</v>
      </c>
      <c r="BO77" s="32">
        <f t="shared" si="40"/>
        <v>0.72881355932203384</v>
      </c>
    </row>
    <row r="78" spans="1:67" s="27" customFormat="1" ht="18.75" customHeight="1" x14ac:dyDescent="0.25">
      <c r="A78" s="50" t="s">
        <v>159</v>
      </c>
      <c r="B78" s="50" t="s">
        <v>160</v>
      </c>
      <c r="C78" s="50" t="s">
        <v>111</v>
      </c>
      <c r="D78" s="51">
        <f>VLOOKUP(A78,'[1]Cuadro Control'!C83:J2008,8,FALSE)</f>
        <v>140114934.456</v>
      </c>
      <c r="E78" s="52">
        <v>0.15</v>
      </c>
      <c r="F78" s="53">
        <v>46324</v>
      </c>
      <c r="G78" s="53">
        <v>46325</v>
      </c>
      <c r="H78" s="52">
        <f t="shared" ref="H78:W80" si="43">IF($F78=0,0,IF(H$6&lt;$F78,0,IF(H$6&gt;$G78,1,(H$6-$F78+1)/($G78-$F78+1))))</f>
        <v>0</v>
      </c>
      <c r="I78" s="52">
        <f t="shared" si="43"/>
        <v>0</v>
      </c>
      <c r="J78" s="52">
        <f t="shared" si="43"/>
        <v>0</v>
      </c>
      <c r="K78" s="52">
        <f t="shared" si="43"/>
        <v>0</v>
      </c>
      <c r="L78" s="52">
        <f t="shared" si="43"/>
        <v>0</v>
      </c>
      <c r="M78" s="52">
        <f t="shared" si="43"/>
        <v>0</v>
      </c>
      <c r="N78" s="52">
        <f t="shared" si="43"/>
        <v>0</v>
      </c>
      <c r="O78" s="52">
        <f t="shared" si="43"/>
        <v>0</v>
      </c>
      <c r="P78" s="52">
        <f t="shared" si="43"/>
        <v>0</v>
      </c>
      <c r="Q78" s="52">
        <f t="shared" si="43"/>
        <v>0</v>
      </c>
      <c r="R78" s="52">
        <f t="shared" si="43"/>
        <v>0</v>
      </c>
      <c r="S78" s="52">
        <f t="shared" si="43"/>
        <v>0</v>
      </c>
      <c r="T78" s="52">
        <f t="shared" si="43"/>
        <v>0</v>
      </c>
      <c r="U78" s="52">
        <f t="shared" si="43"/>
        <v>0</v>
      </c>
      <c r="V78" s="52">
        <f t="shared" si="43"/>
        <v>0</v>
      </c>
      <c r="W78" s="52">
        <f t="shared" si="43"/>
        <v>0</v>
      </c>
      <c r="X78" s="52">
        <f t="shared" ref="X78:BC80" si="44">IF($F78=0,0,IF(X$6&lt;$F78,0,IF(X$6&gt;$G78,1,(X$6-$F78+1)/($G78-$F78+1))))</f>
        <v>1</v>
      </c>
      <c r="Y78" s="52">
        <f t="shared" si="44"/>
        <v>1</v>
      </c>
      <c r="Z78" s="52">
        <f t="shared" si="44"/>
        <v>1</v>
      </c>
      <c r="AA78" s="52">
        <f t="shared" si="44"/>
        <v>1</v>
      </c>
      <c r="AB78" s="52">
        <f t="shared" si="44"/>
        <v>1</v>
      </c>
      <c r="AC78" s="52">
        <f t="shared" si="44"/>
        <v>1</v>
      </c>
      <c r="AD78" s="52">
        <f t="shared" si="44"/>
        <v>1</v>
      </c>
      <c r="AE78" s="52">
        <f t="shared" si="44"/>
        <v>1</v>
      </c>
      <c r="AF78" s="52">
        <f t="shared" si="44"/>
        <v>1</v>
      </c>
      <c r="AG78" s="52">
        <f t="shared" si="44"/>
        <v>1</v>
      </c>
      <c r="AH78" s="52">
        <f t="shared" si="44"/>
        <v>1</v>
      </c>
      <c r="AI78" s="52">
        <f t="shared" si="44"/>
        <v>1</v>
      </c>
      <c r="AJ78" s="52">
        <f t="shared" si="44"/>
        <v>1</v>
      </c>
      <c r="AK78" s="52">
        <f t="shared" si="44"/>
        <v>1</v>
      </c>
      <c r="AL78" s="52">
        <f t="shared" si="44"/>
        <v>1</v>
      </c>
      <c r="AM78" s="52">
        <f t="shared" si="44"/>
        <v>1</v>
      </c>
      <c r="AN78" s="52">
        <f t="shared" si="44"/>
        <v>1</v>
      </c>
      <c r="AO78" s="52">
        <f t="shared" si="41"/>
        <v>1</v>
      </c>
      <c r="AP78" s="52">
        <f t="shared" si="41"/>
        <v>1</v>
      </c>
      <c r="AQ78" s="52">
        <f t="shared" si="41"/>
        <v>1</v>
      </c>
      <c r="AR78" s="52">
        <f t="shared" si="41"/>
        <v>1</v>
      </c>
      <c r="AS78" s="52">
        <f t="shared" si="41"/>
        <v>1</v>
      </c>
      <c r="AT78" s="52">
        <f t="shared" si="41"/>
        <v>1</v>
      </c>
      <c r="AU78" s="52">
        <f t="shared" si="41"/>
        <v>1</v>
      </c>
      <c r="AV78" s="52">
        <f t="shared" si="41"/>
        <v>1</v>
      </c>
      <c r="AW78" s="52">
        <f t="shared" si="41"/>
        <v>1</v>
      </c>
      <c r="AX78" s="52">
        <f t="shared" si="41"/>
        <v>1</v>
      </c>
      <c r="AY78" s="52">
        <f t="shared" si="41"/>
        <v>1</v>
      </c>
      <c r="AZ78" s="52">
        <f t="shared" si="41"/>
        <v>1</v>
      </c>
      <c r="BA78" s="52">
        <f t="shared" si="41"/>
        <v>1</v>
      </c>
      <c r="BB78" s="52">
        <f t="shared" si="41"/>
        <v>1</v>
      </c>
      <c r="BC78" s="52">
        <f t="shared" si="41"/>
        <v>1</v>
      </c>
      <c r="BD78" s="52">
        <f t="shared" si="41"/>
        <v>1</v>
      </c>
      <c r="BE78" s="52">
        <f t="shared" si="41"/>
        <v>1</v>
      </c>
      <c r="BF78" s="52">
        <f t="shared" si="41"/>
        <v>1</v>
      </c>
      <c r="BG78" s="52">
        <f t="shared" si="42"/>
        <v>1</v>
      </c>
      <c r="BH78" s="52">
        <f t="shared" si="42"/>
        <v>1</v>
      </c>
      <c r="BI78" s="52">
        <f t="shared" si="42"/>
        <v>1</v>
      </c>
      <c r="BJ78" s="52">
        <f t="shared" si="42"/>
        <v>1</v>
      </c>
      <c r="BK78" s="52">
        <f t="shared" si="42"/>
        <v>1</v>
      </c>
      <c r="BL78" s="52">
        <f t="shared" si="42"/>
        <v>1</v>
      </c>
      <c r="BM78" s="52">
        <f t="shared" si="42"/>
        <v>1</v>
      </c>
      <c r="BN78" s="52">
        <f t="shared" si="42"/>
        <v>1</v>
      </c>
      <c r="BO78" s="32">
        <f t="shared" si="40"/>
        <v>0.72881355932203384</v>
      </c>
    </row>
    <row r="79" spans="1:67" s="27" customFormat="1" ht="18.75" customHeight="1" x14ac:dyDescent="0.25">
      <c r="A79" s="50" t="s">
        <v>161</v>
      </c>
      <c r="B79" s="50" t="s">
        <v>162</v>
      </c>
      <c r="C79" s="50" t="s">
        <v>126</v>
      </c>
      <c r="D79" s="51">
        <f>VLOOKUP(A79,'[1]Cuadro Control'!C84:J2009,8,FALSE)</f>
        <v>52335715.768702812</v>
      </c>
      <c r="E79" s="52">
        <v>0.06</v>
      </c>
      <c r="F79" s="53">
        <v>46329</v>
      </c>
      <c r="G79" s="53">
        <v>46331</v>
      </c>
      <c r="H79" s="52">
        <f t="shared" si="43"/>
        <v>0</v>
      </c>
      <c r="I79" s="52">
        <f t="shared" si="43"/>
        <v>0</v>
      </c>
      <c r="J79" s="52">
        <f t="shared" si="43"/>
        <v>0</v>
      </c>
      <c r="K79" s="52">
        <f t="shared" si="43"/>
        <v>0</v>
      </c>
      <c r="L79" s="52">
        <f t="shared" si="43"/>
        <v>0</v>
      </c>
      <c r="M79" s="52">
        <f t="shared" si="43"/>
        <v>0</v>
      </c>
      <c r="N79" s="52">
        <f t="shared" si="43"/>
        <v>0</v>
      </c>
      <c r="O79" s="52">
        <f t="shared" si="43"/>
        <v>0</v>
      </c>
      <c r="P79" s="52">
        <f t="shared" si="43"/>
        <v>0</v>
      </c>
      <c r="Q79" s="52">
        <f t="shared" si="43"/>
        <v>0</v>
      </c>
      <c r="R79" s="52">
        <f t="shared" si="43"/>
        <v>0</v>
      </c>
      <c r="S79" s="52">
        <f t="shared" si="43"/>
        <v>0</v>
      </c>
      <c r="T79" s="52">
        <f t="shared" si="43"/>
        <v>0</v>
      </c>
      <c r="U79" s="52">
        <f t="shared" si="43"/>
        <v>0</v>
      </c>
      <c r="V79" s="52">
        <f t="shared" si="43"/>
        <v>0</v>
      </c>
      <c r="W79" s="52">
        <f t="shared" si="43"/>
        <v>0</v>
      </c>
      <c r="X79" s="52">
        <f t="shared" si="44"/>
        <v>0</v>
      </c>
      <c r="Y79" s="52">
        <f t="shared" si="44"/>
        <v>1</v>
      </c>
      <c r="Z79" s="52">
        <f t="shared" si="44"/>
        <v>1</v>
      </c>
      <c r="AA79" s="52">
        <f t="shared" si="44"/>
        <v>1</v>
      </c>
      <c r="AB79" s="52">
        <f t="shared" si="44"/>
        <v>1</v>
      </c>
      <c r="AC79" s="52">
        <f t="shared" si="44"/>
        <v>1</v>
      </c>
      <c r="AD79" s="52">
        <f t="shared" si="44"/>
        <v>1</v>
      </c>
      <c r="AE79" s="52">
        <f t="shared" si="44"/>
        <v>1</v>
      </c>
      <c r="AF79" s="52">
        <f t="shared" si="44"/>
        <v>1</v>
      </c>
      <c r="AG79" s="52">
        <f t="shared" si="44"/>
        <v>1</v>
      </c>
      <c r="AH79" s="52">
        <f t="shared" si="44"/>
        <v>1</v>
      </c>
      <c r="AI79" s="52">
        <f t="shared" si="44"/>
        <v>1</v>
      </c>
      <c r="AJ79" s="52">
        <f t="shared" si="44"/>
        <v>1</v>
      </c>
      <c r="AK79" s="52">
        <f t="shared" si="44"/>
        <v>1</v>
      </c>
      <c r="AL79" s="52">
        <f t="shared" si="44"/>
        <v>1</v>
      </c>
      <c r="AM79" s="52">
        <f t="shared" si="44"/>
        <v>1</v>
      </c>
      <c r="AN79" s="52">
        <f t="shared" si="44"/>
        <v>1</v>
      </c>
      <c r="AO79" s="52">
        <f t="shared" si="41"/>
        <v>1</v>
      </c>
      <c r="AP79" s="52">
        <f t="shared" si="41"/>
        <v>1</v>
      </c>
      <c r="AQ79" s="52">
        <f t="shared" si="41"/>
        <v>1</v>
      </c>
      <c r="AR79" s="52">
        <f t="shared" si="41"/>
        <v>1</v>
      </c>
      <c r="AS79" s="52">
        <f t="shared" si="41"/>
        <v>1</v>
      </c>
      <c r="AT79" s="52">
        <f t="shared" si="41"/>
        <v>1</v>
      </c>
      <c r="AU79" s="52">
        <f t="shared" si="41"/>
        <v>1</v>
      </c>
      <c r="AV79" s="52">
        <f t="shared" si="41"/>
        <v>1</v>
      </c>
      <c r="AW79" s="52">
        <f t="shared" si="41"/>
        <v>1</v>
      </c>
      <c r="AX79" s="52">
        <f t="shared" si="41"/>
        <v>1</v>
      </c>
      <c r="AY79" s="52">
        <f t="shared" si="41"/>
        <v>1</v>
      </c>
      <c r="AZ79" s="52">
        <f t="shared" si="41"/>
        <v>1</v>
      </c>
      <c r="BA79" s="52">
        <f t="shared" si="41"/>
        <v>1</v>
      </c>
      <c r="BB79" s="52">
        <f t="shared" si="41"/>
        <v>1</v>
      </c>
      <c r="BC79" s="52">
        <f t="shared" si="41"/>
        <v>1</v>
      </c>
      <c r="BD79" s="52">
        <f t="shared" si="41"/>
        <v>1</v>
      </c>
      <c r="BE79" s="52">
        <f t="shared" si="41"/>
        <v>1</v>
      </c>
      <c r="BF79" s="52">
        <f t="shared" si="41"/>
        <v>1</v>
      </c>
      <c r="BG79" s="52">
        <f t="shared" si="42"/>
        <v>1</v>
      </c>
      <c r="BH79" s="52">
        <f t="shared" si="42"/>
        <v>1</v>
      </c>
      <c r="BI79" s="52">
        <f t="shared" si="42"/>
        <v>1</v>
      </c>
      <c r="BJ79" s="52">
        <f t="shared" si="42"/>
        <v>1</v>
      </c>
      <c r="BK79" s="52">
        <f t="shared" si="42"/>
        <v>1</v>
      </c>
      <c r="BL79" s="52">
        <f t="shared" si="42"/>
        <v>1</v>
      </c>
      <c r="BM79" s="52">
        <f t="shared" si="42"/>
        <v>1</v>
      </c>
      <c r="BN79" s="52">
        <f t="shared" si="42"/>
        <v>1</v>
      </c>
      <c r="BO79" s="32">
        <f t="shared" si="40"/>
        <v>0.71186440677966101</v>
      </c>
    </row>
    <row r="80" spans="1:67" s="27" customFormat="1" ht="18.75" customHeight="1" x14ac:dyDescent="0.25">
      <c r="A80" s="50" t="s">
        <v>163</v>
      </c>
      <c r="B80" s="50" t="s">
        <v>164</v>
      </c>
      <c r="C80" s="50" t="s">
        <v>117</v>
      </c>
      <c r="D80" s="51">
        <f>VLOOKUP(A80,'[1]Cuadro Control'!C86:J2010,8,FALSE)</f>
        <v>46410609.014634147</v>
      </c>
      <c r="E80" s="52">
        <v>0.05</v>
      </c>
      <c r="F80" s="53">
        <v>46333</v>
      </c>
      <c r="G80" s="53">
        <v>46336</v>
      </c>
      <c r="H80" s="52">
        <f t="shared" si="43"/>
        <v>0</v>
      </c>
      <c r="I80" s="52">
        <f t="shared" si="43"/>
        <v>0</v>
      </c>
      <c r="J80" s="52">
        <f t="shared" si="43"/>
        <v>0</v>
      </c>
      <c r="K80" s="52">
        <f t="shared" si="43"/>
        <v>0</v>
      </c>
      <c r="L80" s="52">
        <f t="shared" si="43"/>
        <v>0</v>
      </c>
      <c r="M80" s="52">
        <f t="shared" si="43"/>
        <v>0</v>
      </c>
      <c r="N80" s="52">
        <f t="shared" si="43"/>
        <v>0</v>
      </c>
      <c r="O80" s="52">
        <f t="shared" si="43"/>
        <v>0</v>
      </c>
      <c r="P80" s="52">
        <f t="shared" si="43"/>
        <v>0</v>
      </c>
      <c r="Q80" s="52">
        <f t="shared" si="43"/>
        <v>0</v>
      </c>
      <c r="R80" s="52">
        <f t="shared" si="43"/>
        <v>0</v>
      </c>
      <c r="S80" s="52">
        <f t="shared" si="43"/>
        <v>0</v>
      </c>
      <c r="T80" s="52">
        <f t="shared" si="43"/>
        <v>0</v>
      </c>
      <c r="U80" s="52">
        <f t="shared" si="43"/>
        <v>0</v>
      </c>
      <c r="V80" s="52">
        <f t="shared" si="43"/>
        <v>0</v>
      </c>
      <c r="W80" s="52">
        <f t="shared" si="43"/>
        <v>0</v>
      </c>
      <c r="X80" s="52">
        <f t="shared" si="44"/>
        <v>0</v>
      </c>
      <c r="Y80" s="52">
        <f t="shared" si="44"/>
        <v>0</v>
      </c>
      <c r="Z80" s="52">
        <f t="shared" si="44"/>
        <v>1</v>
      </c>
      <c r="AA80" s="52">
        <f t="shared" si="44"/>
        <v>1</v>
      </c>
      <c r="AB80" s="52">
        <f t="shared" si="44"/>
        <v>1</v>
      </c>
      <c r="AC80" s="52">
        <f t="shared" si="44"/>
        <v>1</v>
      </c>
      <c r="AD80" s="52">
        <f t="shared" si="44"/>
        <v>1</v>
      </c>
      <c r="AE80" s="52">
        <f t="shared" si="44"/>
        <v>1</v>
      </c>
      <c r="AF80" s="52">
        <f t="shared" si="44"/>
        <v>1</v>
      </c>
      <c r="AG80" s="52">
        <f t="shared" si="44"/>
        <v>1</v>
      </c>
      <c r="AH80" s="52">
        <f t="shared" si="44"/>
        <v>1</v>
      </c>
      <c r="AI80" s="52">
        <f t="shared" si="44"/>
        <v>1</v>
      </c>
      <c r="AJ80" s="52">
        <f t="shared" si="44"/>
        <v>1</v>
      </c>
      <c r="AK80" s="52">
        <f t="shared" si="44"/>
        <v>1</v>
      </c>
      <c r="AL80" s="52">
        <f t="shared" si="44"/>
        <v>1</v>
      </c>
      <c r="AM80" s="52">
        <f t="shared" si="44"/>
        <v>1</v>
      </c>
      <c r="AN80" s="52">
        <f t="shared" si="44"/>
        <v>1</v>
      </c>
      <c r="AO80" s="52">
        <f t="shared" si="44"/>
        <v>1</v>
      </c>
      <c r="AP80" s="52">
        <f t="shared" si="44"/>
        <v>1</v>
      </c>
      <c r="AQ80" s="52">
        <f t="shared" si="44"/>
        <v>1</v>
      </c>
      <c r="AR80" s="52">
        <f t="shared" si="44"/>
        <v>1</v>
      </c>
      <c r="AS80" s="52">
        <f t="shared" si="44"/>
        <v>1</v>
      </c>
      <c r="AT80" s="52">
        <f t="shared" si="44"/>
        <v>1</v>
      </c>
      <c r="AU80" s="52">
        <f t="shared" si="44"/>
        <v>1</v>
      </c>
      <c r="AV80" s="52">
        <f t="shared" si="44"/>
        <v>1</v>
      </c>
      <c r="AW80" s="52">
        <f t="shared" si="44"/>
        <v>1</v>
      </c>
      <c r="AX80" s="52">
        <f t="shared" si="44"/>
        <v>1</v>
      </c>
      <c r="AY80" s="52">
        <f t="shared" si="44"/>
        <v>1</v>
      </c>
      <c r="AZ80" s="52">
        <f t="shared" si="44"/>
        <v>1</v>
      </c>
      <c r="BA80" s="52">
        <f t="shared" si="44"/>
        <v>1</v>
      </c>
      <c r="BB80" s="52">
        <f t="shared" si="44"/>
        <v>1</v>
      </c>
      <c r="BC80" s="52">
        <f t="shared" si="44"/>
        <v>1</v>
      </c>
      <c r="BD80" s="52">
        <f t="shared" si="41"/>
        <v>1</v>
      </c>
      <c r="BE80" s="52">
        <f t="shared" si="41"/>
        <v>1</v>
      </c>
      <c r="BF80" s="52">
        <f t="shared" si="41"/>
        <v>1</v>
      </c>
      <c r="BG80" s="52">
        <f t="shared" si="42"/>
        <v>1</v>
      </c>
      <c r="BH80" s="52">
        <f t="shared" si="42"/>
        <v>1</v>
      </c>
      <c r="BI80" s="52">
        <f t="shared" si="42"/>
        <v>1</v>
      </c>
      <c r="BJ80" s="52">
        <f t="shared" si="42"/>
        <v>1</v>
      </c>
      <c r="BK80" s="52">
        <f t="shared" si="42"/>
        <v>1</v>
      </c>
      <c r="BL80" s="52">
        <f t="shared" si="42"/>
        <v>1</v>
      </c>
      <c r="BM80" s="52">
        <f t="shared" si="42"/>
        <v>1</v>
      </c>
      <c r="BN80" s="52">
        <f t="shared" si="42"/>
        <v>1</v>
      </c>
      <c r="BO80" s="32">
        <f t="shared" si="40"/>
        <v>0.69491525423728817</v>
      </c>
    </row>
    <row r="81" spans="1:67" s="27" customFormat="1" ht="18.75" customHeight="1" x14ac:dyDescent="0.25">
      <c r="A81" s="42" t="s">
        <v>165</v>
      </c>
      <c r="B81" s="42" t="s">
        <v>166</v>
      </c>
      <c r="C81" s="42" t="s">
        <v>108</v>
      </c>
      <c r="D81" s="43">
        <f>SUM(D82:D89)</f>
        <v>922951821.58333695</v>
      </c>
      <c r="E81" s="44">
        <f>IFERROR(D81/$D$44,0)</f>
        <v>0.14285714285714285</v>
      </c>
      <c r="F81" s="45">
        <v>46228</v>
      </c>
      <c r="G81" s="45">
        <v>46345</v>
      </c>
      <c r="H81" s="44">
        <f>SUMPRODUCT($E82:$E89,H82:H89)</f>
        <v>0</v>
      </c>
      <c r="I81" s="44">
        <f t="shared" ref="I81:BN81" si="45">SUMPRODUCT($E82:$E89,I82:I89)</f>
        <v>0</v>
      </c>
      <c r="J81" s="44">
        <f t="shared" si="45"/>
        <v>0</v>
      </c>
      <c r="K81" s="44">
        <f t="shared" si="45"/>
        <v>0.24285714285714285</v>
      </c>
      <c r="L81" s="44">
        <f t="shared" si="45"/>
        <v>0.43999999999999995</v>
      </c>
      <c r="M81" s="44">
        <f t="shared" si="45"/>
        <v>0.43999999999999995</v>
      </c>
      <c r="N81" s="44">
        <f t="shared" si="45"/>
        <v>0.43999999999999995</v>
      </c>
      <c r="O81" s="44">
        <f t="shared" si="45"/>
        <v>0.43999999999999995</v>
      </c>
      <c r="P81" s="44">
        <f t="shared" si="45"/>
        <v>0.43999999999999995</v>
      </c>
      <c r="Q81" s="44">
        <f t="shared" si="45"/>
        <v>0.43999999999999995</v>
      </c>
      <c r="R81" s="44">
        <f t="shared" si="45"/>
        <v>0.43999999999999995</v>
      </c>
      <c r="S81" s="44">
        <f t="shared" si="45"/>
        <v>0.43999999999999995</v>
      </c>
      <c r="T81" s="44">
        <f t="shared" si="45"/>
        <v>0.43999999999999995</v>
      </c>
      <c r="U81" s="44">
        <f t="shared" si="45"/>
        <v>0.43999999999999995</v>
      </c>
      <c r="V81" s="44">
        <f t="shared" si="45"/>
        <v>0.43999999999999995</v>
      </c>
      <c r="W81" s="44">
        <f t="shared" si="45"/>
        <v>0.43999999999999995</v>
      </c>
      <c r="X81" s="44">
        <f t="shared" si="45"/>
        <v>0.43999999999999995</v>
      </c>
      <c r="Y81" s="44">
        <f t="shared" si="45"/>
        <v>0.71499999999999997</v>
      </c>
      <c r="Z81" s="44">
        <f t="shared" si="45"/>
        <v>0.95</v>
      </c>
      <c r="AA81" s="44">
        <f t="shared" si="45"/>
        <v>1</v>
      </c>
      <c r="AB81" s="44">
        <f t="shared" si="45"/>
        <v>1</v>
      </c>
      <c r="AC81" s="44">
        <f t="shared" si="45"/>
        <v>1</v>
      </c>
      <c r="AD81" s="44">
        <f t="shared" si="45"/>
        <v>1</v>
      </c>
      <c r="AE81" s="44">
        <f t="shared" si="45"/>
        <v>1</v>
      </c>
      <c r="AF81" s="44">
        <f t="shared" si="45"/>
        <v>1</v>
      </c>
      <c r="AG81" s="44">
        <f t="shared" si="45"/>
        <v>1</v>
      </c>
      <c r="AH81" s="44">
        <f t="shared" si="45"/>
        <v>1</v>
      </c>
      <c r="AI81" s="44">
        <f t="shared" si="45"/>
        <v>1</v>
      </c>
      <c r="AJ81" s="44">
        <f t="shared" si="45"/>
        <v>1</v>
      </c>
      <c r="AK81" s="44">
        <f t="shared" si="45"/>
        <v>1</v>
      </c>
      <c r="AL81" s="44">
        <f t="shared" si="45"/>
        <v>1</v>
      </c>
      <c r="AM81" s="44">
        <f t="shared" si="45"/>
        <v>1</v>
      </c>
      <c r="AN81" s="44">
        <f t="shared" si="45"/>
        <v>1</v>
      </c>
      <c r="AO81" s="44">
        <f t="shared" si="45"/>
        <v>1</v>
      </c>
      <c r="AP81" s="44">
        <f t="shared" si="45"/>
        <v>1</v>
      </c>
      <c r="AQ81" s="44">
        <f t="shared" si="45"/>
        <v>1</v>
      </c>
      <c r="AR81" s="44">
        <f t="shared" si="45"/>
        <v>1</v>
      </c>
      <c r="AS81" s="44">
        <f t="shared" si="45"/>
        <v>1</v>
      </c>
      <c r="AT81" s="44">
        <f t="shared" si="45"/>
        <v>1</v>
      </c>
      <c r="AU81" s="44">
        <f t="shared" si="45"/>
        <v>1</v>
      </c>
      <c r="AV81" s="44">
        <f t="shared" si="45"/>
        <v>1</v>
      </c>
      <c r="AW81" s="44">
        <f t="shared" si="45"/>
        <v>1</v>
      </c>
      <c r="AX81" s="44">
        <f t="shared" si="45"/>
        <v>1</v>
      </c>
      <c r="AY81" s="44">
        <f t="shared" si="45"/>
        <v>1</v>
      </c>
      <c r="AZ81" s="44">
        <f t="shared" si="45"/>
        <v>1</v>
      </c>
      <c r="BA81" s="44">
        <f t="shared" si="45"/>
        <v>1</v>
      </c>
      <c r="BB81" s="44">
        <f t="shared" si="45"/>
        <v>1</v>
      </c>
      <c r="BC81" s="44">
        <f t="shared" si="45"/>
        <v>1</v>
      </c>
      <c r="BD81" s="44">
        <f t="shared" si="45"/>
        <v>1</v>
      </c>
      <c r="BE81" s="44">
        <f t="shared" si="45"/>
        <v>1</v>
      </c>
      <c r="BF81" s="44">
        <f t="shared" si="45"/>
        <v>1</v>
      </c>
      <c r="BG81" s="44">
        <f t="shared" si="45"/>
        <v>1</v>
      </c>
      <c r="BH81" s="44">
        <f t="shared" si="45"/>
        <v>1</v>
      </c>
      <c r="BI81" s="44">
        <f t="shared" si="45"/>
        <v>1</v>
      </c>
      <c r="BJ81" s="44">
        <f t="shared" si="45"/>
        <v>1</v>
      </c>
      <c r="BK81" s="44">
        <f t="shared" si="45"/>
        <v>1</v>
      </c>
      <c r="BL81" s="44">
        <f t="shared" si="45"/>
        <v>1</v>
      </c>
      <c r="BM81" s="44">
        <f t="shared" si="45"/>
        <v>1</v>
      </c>
      <c r="BN81" s="44">
        <f t="shared" si="45"/>
        <v>1</v>
      </c>
      <c r="BO81" s="32">
        <f t="shared" si="40"/>
        <v>0.80725181598062945</v>
      </c>
    </row>
    <row r="82" spans="1:67" s="27" customFormat="1" ht="18.75" customHeight="1" x14ac:dyDescent="0.25">
      <c r="A82" s="50" t="s">
        <v>167</v>
      </c>
      <c r="B82" s="50" t="s">
        <v>168</v>
      </c>
      <c r="C82" s="50" t="s">
        <v>111</v>
      </c>
      <c r="D82" s="51">
        <f>VLOOKUP(A82,'[1]Cuadro Control'!C90:J2012,8,FALSE)</f>
        <v>90662604.648000002</v>
      </c>
      <c r="E82" s="52">
        <v>0.1</v>
      </c>
      <c r="F82" s="53">
        <v>46228</v>
      </c>
      <c r="G82" s="53">
        <v>46231</v>
      </c>
      <c r="H82" s="52">
        <f t="shared" ref="H82:BN86" si="46">IF($F82=0,0,IF(H$6&lt;$F82,0,IF(H$6&gt;$G82,1,(H$6-$F82+1)/($G82-$F82+1))))</f>
        <v>0</v>
      </c>
      <c r="I82" s="52">
        <f t="shared" si="46"/>
        <v>0</v>
      </c>
      <c r="J82" s="52">
        <f t="shared" si="46"/>
        <v>0</v>
      </c>
      <c r="K82" s="52">
        <f t="shared" si="46"/>
        <v>1</v>
      </c>
      <c r="L82" s="52">
        <f t="shared" si="46"/>
        <v>1</v>
      </c>
      <c r="M82" s="52">
        <f t="shared" si="46"/>
        <v>1</v>
      </c>
      <c r="N82" s="52">
        <f t="shared" si="46"/>
        <v>1</v>
      </c>
      <c r="O82" s="52">
        <f t="shared" si="46"/>
        <v>1</v>
      </c>
      <c r="P82" s="52">
        <f t="shared" si="46"/>
        <v>1</v>
      </c>
      <c r="Q82" s="52">
        <f t="shared" si="46"/>
        <v>1</v>
      </c>
      <c r="R82" s="52">
        <f t="shared" si="46"/>
        <v>1</v>
      </c>
      <c r="S82" s="52">
        <f t="shared" si="46"/>
        <v>1</v>
      </c>
      <c r="T82" s="52">
        <f t="shared" si="46"/>
        <v>1</v>
      </c>
      <c r="U82" s="52">
        <f t="shared" si="46"/>
        <v>1</v>
      </c>
      <c r="V82" s="52">
        <f t="shared" si="46"/>
        <v>1</v>
      </c>
      <c r="W82" s="52">
        <f t="shared" si="46"/>
        <v>1</v>
      </c>
      <c r="X82" s="52">
        <f t="shared" si="46"/>
        <v>1</v>
      </c>
      <c r="Y82" s="52">
        <f t="shared" si="46"/>
        <v>1</v>
      </c>
      <c r="Z82" s="52">
        <f t="shared" si="46"/>
        <v>1</v>
      </c>
      <c r="AA82" s="52">
        <f t="shared" si="46"/>
        <v>1</v>
      </c>
      <c r="AB82" s="52">
        <f t="shared" si="46"/>
        <v>1</v>
      </c>
      <c r="AC82" s="52">
        <f t="shared" si="46"/>
        <v>1</v>
      </c>
      <c r="AD82" s="52">
        <f t="shared" si="46"/>
        <v>1</v>
      </c>
      <c r="AE82" s="52">
        <f t="shared" si="46"/>
        <v>1</v>
      </c>
      <c r="AF82" s="52">
        <f t="shared" si="46"/>
        <v>1</v>
      </c>
      <c r="AG82" s="52">
        <f t="shared" si="46"/>
        <v>1</v>
      </c>
      <c r="AH82" s="52">
        <f t="shared" si="46"/>
        <v>1</v>
      </c>
      <c r="AI82" s="52">
        <f t="shared" si="46"/>
        <v>1</v>
      </c>
      <c r="AJ82" s="52">
        <f t="shared" si="46"/>
        <v>1</v>
      </c>
      <c r="AK82" s="52">
        <f t="shared" si="46"/>
        <v>1</v>
      </c>
      <c r="AL82" s="52">
        <f t="shared" si="46"/>
        <v>1</v>
      </c>
      <c r="AM82" s="52">
        <f t="shared" si="46"/>
        <v>1</v>
      </c>
      <c r="AN82" s="52">
        <f t="shared" si="46"/>
        <v>1</v>
      </c>
      <c r="AO82" s="52">
        <f t="shared" si="46"/>
        <v>1</v>
      </c>
      <c r="AP82" s="52">
        <f t="shared" si="46"/>
        <v>1</v>
      </c>
      <c r="AQ82" s="52">
        <f t="shared" si="46"/>
        <v>1</v>
      </c>
      <c r="AR82" s="52">
        <f t="shared" si="46"/>
        <v>1</v>
      </c>
      <c r="AS82" s="52">
        <f t="shared" si="46"/>
        <v>1</v>
      </c>
      <c r="AT82" s="52">
        <f t="shared" si="46"/>
        <v>1</v>
      </c>
      <c r="AU82" s="52">
        <f t="shared" si="46"/>
        <v>1</v>
      </c>
      <c r="AV82" s="52">
        <f t="shared" si="46"/>
        <v>1</v>
      </c>
      <c r="AW82" s="52">
        <f t="shared" si="46"/>
        <v>1</v>
      </c>
      <c r="AX82" s="52">
        <f t="shared" si="46"/>
        <v>1</v>
      </c>
      <c r="AY82" s="52">
        <f t="shared" si="46"/>
        <v>1</v>
      </c>
      <c r="AZ82" s="52">
        <f t="shared" si="46"/>
        <v>1</v>
      </c>
      <c r="BA82" s="52">
        <f t="shared" si="46"/>
        <v>1</v>
      </c>
      <c r="BB82" s="52">
        <f t="shared" si="46"/>
        <v>1</v>
      </c>
      <c r="BC82" s="52">
        <f t="shared" si="46"/>
        <v>1</v>
      </c>
      <c r="BD82" s="52">
        <f t="shared" si="46"/>
        <v>1</v>
      </c>
      <c r="BE82" s="52">
        <f t="shared" si="46"/>
        <v>1</v>
      </c>
      <c r="BF82" s="52">
        <f t="shared" si="46"/>
        <v>1</v>
      </c>
      <c r="BG82" s="52">
        <f t="shared" si="46"/>
        <v>1</v>
      </c>
      <c r="BH82" s="52">
        <f t="shared" si="46"/>
        <v>1</v>
      </c>
      <c r="BI82" s="52">
        <f t="shared" si="46"/>
        <v>1</v>
      </c>
      <c r="BJ82" s="52">
        <f t="shared" si="46"/>
        <v>1</v>
      </c>
      <c r="BK82" s="52">
        <f t="shared" si="46"/>
        <v>1</v>
      </c>
      <c r="BL82" s="52">
        <f t="shared" si="46"/>
        <v>1</v>
      </c>
      <c r="BM82" s="52">
        <f t="shared" si="46"/>
        <v>1</v>
      </c>
      <c r="BN82" s="52">
        <f t="shared" si="46"/>
        <v>1</v>
      </c>
      <c r="BO82" s="32">
        <f t="shared" si="40"/>
        <v>0.94915254237288138</v>
      </c>
    </row>
    <row r="83" spans="1:67" s="27" customFormat="1" ht="18.75" customHeight="1" x14ac:dyDescent="0.25">
      <c r="A83" s="50" t="s">
        <v>169</v>
      </c>
      <c r="B83" s="50" t="s">
        <v>170</v>
      </c>
      <c r="C83" s="50" t="s">
        <v>114</v>
      </c>
      <c r="D83" s="51">
        <f>VLOOKUP(A83,'[1]Cuadro Control'!C92:J2013,8,FALSE)</f>
        <v>230777539.104</v>
      </c>
      <c r="E83" s="52">
        <v>0.25</v>
      </c>
      <c r="F83" s="53">
        <v>46231</v>
      </c>
      <c r="G83" s="53">
        <v>46237</v>
      </c>
      <c r="H83" s="52">
        <f t="shared" si="46"/>
        <v>0</v>
      </c>
      <c r="I83" s="52">
        <f t="shared" si="46"/>
        <v>0</v>
      </c>
      <c r="J83" s="52">
        <f t="shared" si="46"/>
        <v>0</v>
      </c>
      <c r="K83" s="52">
        <f t="shared" si="46"/>
        <v>0.5714285714285714</v>
      </c>
      <c r="L83" s="52">
        <f t="shared" si="46"/>
        <v>1</v>
      </c>
      <c r="M83" s="52">
        <f t="shared" si="46"/>
        <v>1</v>
      </c>
      <c r="N83" s="52">
        <f t="shared" si="46"/>
        <v>1</v>
      </c>
      <c r="O83" s="52">
        <f t="shared" si="46"/>
        <v>1</v>
      </c>
      <c r="P83" s="52">
        <f t="shared" si="46"/>
        <v>1</v>
      </c>
      <c r="Q83" s="52">
        <f t="shared" si="46"/>
        <v>1</v>
      </c>
      <c r="R83" s="52">
        <f t="shared" si="46"/>
        <v>1</v>
      </c>
      <c r="S83" s="52">
        <f t="shared" si="46"/>
        <v>1</v>
      </c>
      <c r="T83" s="52">
        <f t="shared" si="46"/>
        <v>1</v>
      </c>
      <c r="U83" s="52">
        <f t="shared" si="46"/>
        <v>1</v>
      </c>
      <c r="V83" s="52">
        <f t="shared" si="46"/>
        <v>1</v>
      </c>
      <c r="W83" s="52">
        <f t="shared" si="46"/>
        <v>1</v>
      </c>
      <c r="X83" s="52">
        <f t="shared" si="46"/>
        <v>1</v>
      </c>
      <c r="Y83" s="52">
        <f t="shared" si="46"/>
        <v>1</v>
      </c>
      <c r="Z83" s="52">
        <f t="shared" si="46"/>
        <v>1</v>
      </c>
      <c r="AA83" s="52">
        <f t="shared" si="46"/>
        <v>1</v>
      </c>
      <c r="AB83" s="52">
        <f t="shared" si="46"/>
        <v>1</v>
      </c>
      <c r="AC83" s="52">
        <f t="shared" si="46"/>
        <v>1</v>
      </c>
      <c r="AD83" s="52">
        <f t="shared" si="46"/>
        <v>1</v>
      </c>
      <c r="AE83" s="52">
        <f t="shared" si="46"/>
        <v>1</v>
      </c>
      <c r="AF83" s="52">
        <f t="shared" si="46"/>
        <v>1</v>
      </c>
      <c r="AG83" s="52">
        <f t="shared" si="46"/>
        <v>1</v>
      </c>
      <c r="AH83" s="52">
        <f t="shared" si="46"/>
        <v>1</v>
      </c>
      <c r="AI83" s="52">
        <f t="shared" si="46"/>
        <v>1</v>
      </c>
      <c r="AJ83" s="52">
        <f t="shared" si="46"/>
        <v>1</v>
      </c>
      <c r="AK83" s="52">
        <f t="shared" si="46"/>
        <v>1</v>
      </c>
      <c r="AL83" s="52">
        <f t="shared" si="46"/>
        <v>1</v>
      </c>
      <c r="AM83" s="52">
        <f t="shared" si="46"/>
        <v>1</v>
      </c>
      <c r="AN83" s="52">
        <f t="shared" si="46"/>
        <v>1</v>
      </c>
      <c r="AO83" s="52">
        <f t="shared" si="46"/>
        <v>1</v>
      </c>
      <c r="AP83" s="52">
        <f t="shared" si="46"/>
        <v>1</v>
      </c>
      <c r="AQ83" s="52">
        <f t="shared" si="46"/>
        <v>1</v>
      </c>
      <c r="AR83" s="52">
        <f t="shared" si="46"/>
        <v>1</v>
      </c>
      <c r="AS83" s="52">
        <f t="shared" si="46"/>
        <v>1</v>
      </c>
      <c r="AT83" s="52">
        <f t="shared" si="46"/>
        <v>1</v>
      </c>
      <c r="AU83" s="52">
        <f t="shared" si="46"/>
        <v>1</v>
      </c>
      <c r="AV83" s="52">
        <f t="shared" si="46"/>
        <v>1</v>
      </c>
      <c r="AW83" s="52">
        <f t="shared" si="46"/>
        <v>1</v>
      </c>
      <c r="AX83" s="52">
        <f t="shared" si="46"/>
        <v>1</v>
      </c>
      <c r="AY83" s="52">
        <f t="shared" si="46"/>
        <v>1</v>
      </c>
      <c r="AZ83" s="52">
        <f t="shared" si="46"/>
        <v>1</v>
      </c>
      <c r="BA83" s="52">
        <f t="shared" si="46"/>
        <v>1</v>
      </c>
      <c r="BB83" s="52">
        <f t="shared" si="46"/>
        <v>1</v>
      </c>
      <c r="BC83" s="52">
        <f t="shared" si="46"/>
        <v>1</v>
      </c>
      <c r="BD83" s="52">
        <f t="shared" si="46"/>
        <v>1</v>
      </c>
      <c r="BE83" s="52">
        <f t="shared" si="46"/>
        <v>1</v>
      </c>
      <c r="BF83" s="52">
        <f t="shared" si="46"/>
        <v>1</v>
      </c>
      <c r="BG83" s="52">
        <f t="shared" si="46"/>
        <v>1</v>
      </c>
      <c r="BH83" s="52">
        <f t="shared" si="46"/>
        <v>1</v>
      </c>
      <c r="BI83" s="52">
        <f t="shared" si="46"/>
        <v>1</v>
      </c>
      <c r="BJ83" s="52">
        <f t="shared" si="46"/>
        <v>1</v>
      </c>
      <c r="BK83" s="52">
        <f t="shared" si="46"/>
        <v>1</v>
      </c>
      <c r="BL83" s="52">
        <f t="shared" si="46"/>
        <v>1</v>
      </c>
      <c r="BM83" s="52">
        <f t="shared" si="46"/>
        <v>1</v>
      </c>
      <c r="BN83" s="52">
        <f t="shared" si="46"/>
        <v>1</v>
      </c>
      <c r="BO83" s="32">
        <f t="shared" si="40"/>
        <v>0.9418886198547215</v>
      </c>
    </row>
    <row r="84" spans="1:67" s="27" customFormat="1" ht="18.75" customHeight="1" x14ac:dyDescent="0.25">
      <c r="A84" s="50" t="s">
        <v>171</v>
      </c>
      <c r="B84" s="50" t="s">
        <v>172</v>
      </c>
      <c r="C84" s="50" t="s">
        <v>114</v>
      </c>
      <c r="D84" s="51">
        <f>VLOOKUP(A84,'[1]Cuadro Control'!C94:J2014,8,FALSE)</f>
        <v>82420549.679999992</v>
      </c>
      <c r="E84" s="52">
        <v>0.09</v>
      </c>
      <c r="F84" s="53">
        <v>46237</v>
      </c>
      <c r="G84" s="53">
        <v>46240</v>
      </c>
      <c r="H84" s="52">
        <f t="shared" si="46"/>
        <v>0</v>
      </c>
      <c r="I84" s="52">
        <f t="shared" si="46"/>
        <v>0</v>
      </c>
      <c r="J84" s="52">
        <f t="shared" si="46"/>
        <v>0</v>
      </c>
      <c r="K84" s="52">
        <f t="shared" si="46"/>
        <v>0</v>
      </c>
      <c r="L84" s="52">
        <f t="shared" si="46"/>
        <v>1</v>
      </c>
      <c r="M84" s="52">
        <f t="shared" si="46"/>
        <v>1</v>
      </c>
      <c r="N84" s="52">
        <f t="shared" si="46"/>
        <v>1</v>
      </c>
      <c r="O84" s="52">
        <f t="shared" si="46"/>
        <v>1</v>
      </c>
      <c r="P84" s="52">
        <f t="shared" si="46"/>
        <v>1</v>
      </c>
      <c r="Q84" s="52">
        <f t="shared" si="46"/>
        <v>1</v>
      </c>
      <c r="R84" s="52">
        <f t="shared" si="46"/>
        <v>1</v>
      </c>
      <c r="S84" s="52">
        <f t="shared" si="46"/>
        <v>1</v>
      </c>
      <c r="T84" s="52">
        <f t="shared" si="46"/>
        <v>1</v>
      </c>
      <c r="U84" s="52">
        <f t="shared" si="46"/>
        <v>1</v>
      </c>
      <c r="V84" s="52">
        <f t="shared" si="46"/>
        <v>1</v>
      </c>
      <c r="W84" s="52">
        <f t="shared" si="46"/>
        <v>1</v>
      </c>
      <c r="X84" s="52">
        <f t="shared" si="46"/>
        <v>1</v>
      </c>
      <c r="Y84" s="52">
        <f t="shared" si="46"/>
        <v>1</v>
      </c>
      <c r="Z84" s="52">
        <f t="shared" si="46"/>
        <v>1</v>
      </c>
      <c r="AA84" s="52">
        <f t="shared" si="46"/>
        <v>1</v>
      </c>
      <c r="AB84" s="52">
        <f t="shared" si="46"/>
        <v>1</v>
      </c>
      <c r="AC84" s="52">
        <f t="shared" si="46"/>
        <v>1</v>
      </c>
      <c r="AD84" s="52">
        <f t="shared" si="46"/>
        <v>1</v>
      </c>
      <c r="AE84" s="52">
        <f t="shared" si="46"/>
        <v>1</v>
      </c>
      <c r="AF84" s="52">
        <f t="shared" si="46"/>
        <v>1</v>
      </c>
      <c r="AG84" s="52">
        <f t="shared" si="46"/>
        <v>1</v>
      </c>
      <c r="AH84" s="52">
        <f t="shared" si="46"/>
        <v>1</v>
      </c>
      <c r="AI84" s="52">
        <f t="shared" si="46"/>
        <v>1</v>
      </c>
      <c r="AJ84" s="52">
        <f t="shared" si="46"/>
        <v>1</v>
      </c>
      <c r="AK84" s="52">
        <f t="shared" si="46"/>
        <v>1</v>
      </c>
      <c r="AL84" s="52">
        <f t="shared" si="46"/>
        <v>1</v>
      </c>
      <c r="AM84" s="52">
        <f t="shared" si="46"/>
        <v>1</v>
      </c>
      <c r="AN84" s="52">
        <f t="shared" si="46"/>
        <v>1</v>
      </c>
      <c r="AO84" s="52">
        <f t="shared" si="46"/>
        <v>1</v>
      </c>
      <c r="AP84" s="52">
        <f t="shared" si="46"/>
        <v>1</v>
      </c>
      <c r="AQ84" s="52">
        <f t="shared" si="46"/>
        <v>1</v>
      </c>
      <c r="AR84" s="52">
        <f t="shared" si="46"/>
        <v>1</v>
      </c>
      <c r="AS84" s="52">
        <f t="shared" si="46"/>
        <v>1</v>
      </c>
      <c r="AT84" s="52">
        <f t="shared" si="46"/>
        <v>1</v>
      </c>
      <c r="AU84" s="52">
        <f t="shared" si="46"/>
        <v>1</v>
      </c>
      <c r="AV84" s="52">
        <f t="shared" si="46"/>
        <v>1</v>
      </c>
      <c r="AW84" s="52">
        <f t="shared" si="46"/>
        <v>1</v>
      </c>
      <c r="AX84" s="52">
        <f t="shared" si="46"/>
        <v>1</v>
      </c>
      <c r="AY84" s="52">
        <f t="shared" si="46"/>
        <v>1</v>
      </c>
      <c r="AZ84" s="52">
        <f t="shared" si="46"/>
        <v>1</v>
      </c>
      <c r="BA84" s="52">
        <f t="shared" si="46"/>
        <v>1</v>
      </c>
      <c r="BB84" s="52">
        <f t="shared" si="46"/>
        <v>1</v>
      </c>
      <c r="BC84" s="52">
        <f t="shared" si="46"/>
        <v>1</v>
      </c>
      <c r="BD84" s="52">
        <f t="shared" si="46"/>
        <v>1</v>
      </c>
      <c r="BE84" s="52">
        <f t="shared" si="46"/>
        <v>1</v>
      </c>
      <c r="BF84" s="52">
        <f t="shared" si="46"/>
        <v>1</v>
      </c>
      <c r="BG84" s="52">
        <f t="shared" si="46"/>
        <v>1</v>
      </c>
      <c r="BH84" s="52">
        <f t="shared" si="46"/>
        <v>1</v>
      </c>
      <c r="BI84" s="52">
        <f t="shared" si="46"/>
        <v>1</v>
      </c>
      <c r="BJ84" s="52">
        <f t="shared" si="46"/>
        <v>1</v>
      </c>
      <c r="BK84" s="52">
        <f t="shared" si="46"/>
        <v>1</v>
      </c>
      <c r="BL84" s="52">
        <f t="shared" si="46"/>
        <v>1</v>
      </c>
      <c r="BM84" s="52">
        <f t="shared" si="46"/>
        <v>1</v>
      </c>
      <c r="BN84" s="52">
        <f t="shared" si="46"/>
        <v>1</v>
      </c>
      <c r="BO84" s="32">
        <f t="shared" si="40"/>
        <v>0.93220338983050843</v>
      </c>
    </row>
    <row r="85" spans="1:67" s="27" customFormat="1" ht="18.75" customHeight="1" x14ac:dyDescent="0.25">
      <c r="A85" s="50" t="s">
        <v>173</v>
      </c>
      <c r="B85" s="50" t="s">
        <v>174</v>
      </c>
      <c r="C85" s="50" t="s">
        <v>114</v>
      </c>
      <c r="D85" s="51">
        <f>VLOOKUP(A85,'[1]Cuadro Control'!C95:J2015,8,FALSE)</f>
        <v>230777539.104</v>
      </c>
      <c r="E85" s="52">
        <v>0.25</v>
      </c>
      <c r="F85" s="53">
        <v>46329</v>
      </c>
      <c r="G85" s="53">
        <v>46332</v>
      </c>
      <c r="H85" s="52">
        <f t="shared" si="46"/>
        <v>0</v>
      </c>
      <c r="I85" s="52">
        <f t="shared" si="46"/>
        <v>0</v>
      </c>
      <c r="J85" s="52">
        <f t="shared" si="46"/>
        <v>0</v>
      </c>
      <c r="K85" s="52">
        <f t="shared" si="46"/>
        <v>0</v>
      </c>
      <c r="L85" s="52">
        <f t="shared" si="46"/>
        <v>0</v>
      </c>
      <c r="M85" s="52">
        <f t="shared" si="46"/>
        <v>0</v>
      </c>
      <c r="N85" s="52">
        <f t="shared" si="46"/>
        <v>0</v>
      </c>
      <c r="O85" s="52">
        <f t="shared" si="46"/>
        <v>0</v>
      </c>
      <c r="P85" s="52">
        <f t="shared" si="46"/>
        <v>0</v>
      </c>
      <c r="Q85" s="52">
        <f t="shared" si="46"/>
        <v>0</v>
      </c>
      <c r="R85" s="52">
        <f t="shared" si="46"/>
        <v>0</v>
      </c>
      <c r="S85" s="52">
        <f t="shared" si="46"/>
        <v>0</v>
      </c>
      <c r="T85" s="52">
        <f t="shared" si="46"/>
        <v>0</v>
      </c>
      <c r="U85" s="52">
        <f t="shared" si="46"/>
        <v>0</v>
      </c>
      <c r="V85" s="52">
        <f t="shared" si="46"/>
        <v>0</v>
      </c>
      <c r="W85" s="52">
        <f t="shared" si="46"/>
        <v>0</v>
      </c>
      <c r="X85" s="52">
        <f t="shared" si="46"/>
        <v>0</v>
      </c>
      <c r="Y85" s="52">
        <f t="shared" si="46"/>
        <v>1</v>
      </c>
      <c r="Z85" s="52">
        <f t="shared" si="46"/>
        <v>1</v>
      </c>
      <c r="AA85" s="52">
        <f t="shared" si="46"/>
        <v>1</v>
      </c>
      <c r="AB85" s="52">
        <f t="shared" si="46"/>
        <v>1</v>
      </c>
      <c r="AC85" s="52">
        <f t="shared" si="46"/>
        <v>1</v>
      </c>
      <c r="AD85" s="52">
        <f t="shared" si="46"/>
        <v>1</v>
      </c>
      <c r="AE85" s="52">
        <f t="shared" si="46"/>
        <v>1</v>
      </c>
      <c r="AF85" s="52">
        <f t="shared" si="46"/>
        <v>1</v>
      </c>
      <c r="AG85" s="52">
        <f t="shared" si="46"/>
        <v>1</v>
      </c>
      <c r="AH85" s="52">
        <f t="shared" si="46"/>
        <v>1</v>
      </c>
      <c r="AI85" s="52">
        <f t="shared" si="46"/>
        <v>1</v>
      </c>
      <c r="AJ85" s="52">
        <f t="shared" si="46"/>
        <v>1</v>
      </c>
      <c r="AK85" s="52">
        <f t="shared" si="46"/>
        <v>1</v>
      </c>
      <c r="AL85" s="52">
        <f t="shared" si="46"/>
        <v>1</v>
      </c>
      <c r="AM85" s="52">
        <f t="shared" si="46"/>
        <v>1</v>
      </c>
      <c r="AN85" s="52">
        <f t="shared" si="46"/>
        <v>1</v>
      </c>
      <c r="AO85" s="52">
        <f t="shared" si="46"/>
        <v>1</v>
      </c>
      <c r="AP85" s="52">
        <f t="shared" si="46"/>
        <v>1</v>
      </c>
      <c r="AQ85" s="52">
        <f t="shared" si="46"/>
        <v>1</v>
      </c>
      <c r="AR85" s="52">
        <f t="shared" si="46"/>
        <v>1</v>
      </c>
      <c r="AS85" s="52">
        <f t="shared" si="46"/>
        <v>1</v>
      </c>
      <c r="AT85" s="52">
        <f t="shared" si="46"/>
        <v>1</v>
      </c>
      <c r="AU85" s="52">
        <f t="shared" si="46"/>
        <v>1</v>
      </c>
      <c r="AV85" s="52">
        <f t="shared" si="46"/>
        <v>1</v>
      </c>
      <c r="AW85" s="52">
        <f t="shared" si="46"/>
        <v>1</v>
      </c>
      <c r="AX85" s="52">
        <f t="shared" si="46"/>
        <v>1</v>
      </c>
      <c r="AY85" s="52">
        <f t="shared" si="46"/>
        <v>1</v>
      </c>
      <c r="AZ85" s="52">
        <f t="shared" si="46"/>
        <v>1</v>
      </c>
      <c r="BA85" s="52">
        <f t="shared" si="46"/>
        <v>1</v>
      </c>
      <c r="BB85" s="52">
        <f t="shared" si="46"/>
        <v>1</v>
      </c>
      <c r="BC85" s="52">
        <f t="shared" si="46"/>
        <v>1</v>
      </c>
      <c r="BD85" s="52">
        <f t="shared" si="46"/>
        <v>1</v>
      </c>
      <c r="BE85" s="52">
        <f t="shared" si="46"/>
        <v>1</v>
      </c>
      <c r="BF85" s="52">
        <f t="shared" si="46"/>
        <v>1</v>
      </c>
      <c r="BG85" s="52">
        <f t="shared" si="46"/>
        <v>1</v>
      </c>
      <c r="BH85" s="52">
        <f t="shared" si="46"/>
        <v>1</v>
      </c>
      <c r="BI85" s="52">
        <f t="shared" si="46"/>
        <v>1</v>
      </c>
      <c r="BJ85" s="52">
        <f t="shared" si="46"/>
        <v>1</v>
      </c>
      <c r="BK85" s="52">
        <f t="shared" si="46"/>
        <v>1</v>
      </c>
      <c r="BL85" s="52">
        <f t="shared" si="46"/>
        <v>1</v>
      </c>
      <c r="BM85" s="52">
        <f t="shared" si="46"/>
        <v>1</v>
      </c>
      <c r="BN85" s="52">
        <f t="shared" si="46"/>
        <v>1</v>
      </c>
      <c r="BO85" s="32">
        <f t="shared" si="40"/>
        <v>0.71186440677966101</v>
      </c>
    </row>
    <row r="86" spans="1:67" s="27" customFormat="1" ht="18.75" customHeight="1" x14ac:dyDescent="0.25">
      <c r="A86" s="50" t="s">
        <v>175</v>
      </c>
      <c r="B86" s="50" t="s">
        <v>176</v>
      </c>
      <c r="C86" s="50" t="s">
        <v>111</v>
      </c>
      <c r="D86" s="51">
        <f>VLOOKUP(A86,'[1]Cuadro Control'!C96:J2016,8,FALSE)</f>
        <v>49452329.807999998</v>
      </c>
      <c r="E86" s="52">
        <v>0.05</v>
      </c>
      <c r="F86" s="53">
        <v>46332</v>
      </c>
      <c r="G86" s="53">
        <v>46333</v>
      </c>
      <c r="H86" s="52">
        <f t="shared" si="46"/>
        <v>0</v>
      </c>
      <c r="I86" s="52">
        <f t="shared" si="46"/>
        <v>0</v>
      </c>
      <c r="J86" s="52">
        <f t="shared" si="46"/>
        <v>0</v>
      </c>
      <c r="K86" s="52">
        <f t="shared" si="46"/>
        <v>0</v>
      </c>
      <c r="L86" s="52">
        <f t="shared" si="46"/>
        <v>0</v>
      </c>
      <c r="M86" s="52">
        <f t="shared" si="46"/>
        <v>0</v>
      </c>
      <c r="N86" s="52">
        <f t="shared" si="46"/>
        <v>0</v>
      </c>
      <c r="O86" s="52">
        <f t="shared" si="46"/>
        <v>0</v>
      </c>
      <c r="P86" s="52">
        <f t="shared" si="46"/>
        <v>0</v>
      </c>
      <c r="Q86" s="52">
        <f t="shared" si="46"/>
        <v>0</v>
      </c>
      <c r="R86" s="52">
        <f t="shared" si="46"/>
        <v>0</v>
      </c>
      <c r="S86" s="52">
        <f t="shared" si="46"/>
        <v>0</v>
      </c>
      <c r="T86" s="52">
        <f t="shared" si="46"/>
        <v>0</v>
      </c>
      <c r="U86" s="52">
        <f t="shared" si="46"/>
        <v>0</v>
      </c>
      <c r="V86" s="52">
        <f t="shared" si="46"/>
        <v>0</v>
      </c>
      <c r="W86" s="52">
        <f t="shared" si="46"/>
        <v>0</v>
      </c>
      <c r="X86" s="52">
        <f t="shared" si="46"/>
        <v>0</v>
      </c>
      <c r="Y86" s="52">
        <f t="shared" si="46"/>
        <v>0.5</v>
      </c>
      <c r="Z86" s="52">
        <f t="shared" si="46"/>
        <v>1</v>
      </c>
      <c r="AA86" s="52">
        <f t="shared" ref="AA86:BF89" si="47">IF($F86=0,0,IF(AA$6&lt;$F86,0,IF(AA$6&gt;$G86,1,(AA$6-$F86+1)/($G86-$F86+1))))</f>
        <v>1</v>
      </c>
      <c r="AB86" s="52">
        <f t="shared" si="47"/>
        <v>1</v>
      </c>
      <c r="AC86" s="52">
        <f t="shared" si="47"/>
        <v>1</v>
      </c>
      <c r="AD86" s="52">
        <f t="shared" si="47"/>
        <v>1</v>
      </c>
      <c r="AE86" s="52">
        <f t="shared" si="47"/>
        <v>1</v>
      </c>
      <c r="AF86" s="52">
        <f t="shared" si="47"/>
        <v>1</v>
      </c>
      <c r="AG86" s="52">
        <f t="shared" si="47"/>
        <v>1</v>
      </c>
      <c r="AH86" s="52">
        <f t="shared" si="47"/>
        <v>1</v>
      </c>
      <c r="AI86" s="52">
        <f t="shared" si="47"/>
        <v>1</v>
      </c>
      <c r="AJ86" s="52">
        <f t="shared" si="47"/>
        <v>1</v>
      </c>
      <c r="AK86" s="52">
        <f t="shared" si="47"/>
        <v>1</v>
      </c>
      <c r="AL86" s="52">
        <f t="shared" si="47"/>
        <v>1</v>
      </c>
      <c r="AM86" s="52">
        <f t="shared" si="47"/>
        <v>1</v>
      </c>
      <c r="AN86" s="52">
        <f t="shared" si="47"/>
        <v>1</v>
      </c>
      <c r="AO86" s="52">
        <f t="shared" si="47"/>
        <v>1</v>
      </c>
      <c r="AP86" s="52">
        <f t="shared" si="47"/>
        <v>1</v>
      </c>
      <c r="AQ86" s="52">
        <f t="shared" si="47"/>
        <v>1</v>
      </c>
      <c r="AR86" s="52">
        <f t="shared" si="47"/>
        <v>1</v>
      </c>
      <c r="AS86" s="52">
        <f t="shared" si="47"/>
        <v>1</v>
      </c>
      <c r="AT86" s="52">
        <f t="shared" si="47"/>
        <v>1</v>
      </c>
      <c r="AU86" s="52">
        <f t="shared" si="47"/>
        <v>1</v>
      </c>
      <c r="AV86" s="52">
        <f t="shared" si="47"/>
        <v>1</v>
      </c>
      <c r="AW86" s="52">
        <f t="shared" si="47"/>
        <v>1</v>
      </c>
      <c r="AX86" s="52">
        <f t="shared" si="47"/>
        <v>1</v>
      </c>
      <c r="AY86" s="52">
        <f t="shared" si="47"/>
        <v>1</v>
      </c>
      <c r="AZ86" s="52">
        <f t="shared" si="47"/>
        <v>1</v>
      </c>
      <c r="BA86" s="52">
        <f t="shared" si="47"/>
        <v>1</v>
      </c>
      <c r="BB86" s="52">
        <f t="shared" si="47"/>
        <v>1</v>
      </c>
      <c r="BC86" s="52">
        <f t="shared" si="47"/>
        <v>1</v>
      </c>
      <c r="BD86" s="52">
        <f t="shared" si="47"/>
        <v>1</v>
      </c>
      <c r="BE86" s="52">
        <f t="shared" si="47"/>
        <v>1</v>
      </c>
      <c r="BF86" s="52">
        <f t="shared" si="47"/>
        <v>1</v>
      </c>
      <c r="BG86" s="52">
        <f t="shared" ref="BG86:BN89" si="48">IF($F86=0,0,IF(BG$6&lt;$F86,0,IF(BG$6&gt;$G86,1,(BG$6-$F86+1)/($G86-$F86+1))))</f>
        <v>1</v>
      </c>
      <c r="BH86" s="52">
        <f t="shared" si="48"/>
        <v>1</v>
      </c>
      <c r="BI86" s="52">
        <f t="shared" si="48"/>
        <v>1</v>
      </c>
      <c r="BJ86" s="52">
        <f t="shared" si="48"/>
        <v>1</v>
      </c>
      <c r="BK86" s="52">
        <f t="shared" si="48"/>
        <v>1</v>
      </c>
      <c r="BL86" s="52">
        <f t="shared" si="48"/>
        <v>1</v>
      </c>
      <c r="BM86" s="52">
        <f t="shared" si="48"/>
        <v>1</v>
      </c>
      <c r="BN86" s="52">
        <f t="shared" si="48"/>
        <v>1</v>
      </c>
      <c r="BO86" s="32">
        <f t="shared" si="40"/>
        <v>0.70338983050847459</v>
      </c>
    </row>
    <row r="87" spans="1:67" s="27" customFormat="1" ht="18.75" customHeight="1" x14ac:dyDescent="0.25">
      <c r="A87" s="50" t="s">
        <v>177</v>
      </c>
      <c r="B87" s="50" t="s">
        <v>178</v>
      </c>
      <c r="C87" s="50" t="s">
        <v>111</v>
      </c>
      <c r="D87" s="51">
        <f>VLOOKUP(A87,'[1]Cuadro Control'!C97:J2017,8,FALSE)</f>
        <v>140114934.456</v>
      </c>
      <c r="E87" s="52">
        <v>0.15</v>
      </c>
      <c r="F87" s="53">
        <v>46333</v>
      </c>
      <c r="G87" s="53">
        <v>46335</v>
      </c>
      <c r="H87" s="52">
        <f t="shared" ref="H87:W89" si="49">IF($F87=0,0,IF(H$6&lt;$F87,0,IF(H$6&gt;$G87,1,(H$6-$F87+1)/($G87-$F87+1))))</f>
        <v>0</v>
      </c>
      <c r="I87" s="52">
        <f t="shared" si="49"/>
        <v>0</v>
      </c>
      <c r="J87" s="52">
        <f t="shared" si="49"/>
        <v>0</v>
      </c>
      <c r="K87" s="52">
        <f t="shared" si="49"/>
        <v>0</v>
      </c>
      <c r="L87" s="52">
        <f t="shared" si="49"/>
        <v>0</v>
      </c>
      <c r="M87" s="52">
        <f t="shared" si="49"/>
        <v>0</v>
      </c>
      <c r="N87" s="52">
        <f t="shared" si="49"/>
        <v>0</v>
      </c>
      <c r="O87" s="52">
        <f t="shared" si="49"/>
        <v>0</v>
      </c>
      <c r="P87" s="52">
        <f t="shared" si="49"/>
        <v>0</v>
      </c>
      <c r="Q87" s="52">
        <f t="shared" si="49"/>
        <v>0</v>
      </c>
      <c r="R87" s="52">
        <f t="shared" si="49"/>
        <v>0</v>
      </c>
      <c r="S87" s="52">
        <f t="shared" si="49"/>
        <v>0</v>
      </c>
      <c r="T87" s="52">
        <f t="shared" si="49"/>
        <v>0</v>
      </c>
      <c r="U87" s="52">
        <f t="shared" si="49"/>
        <v>0</v>
      </c>
      <c r="V87" s="52">
        <f t="shared" si="49"/>
        <v>0</v>
      </c>
      <c r="W87" s="52">
        <f t="shared" si="49"/>
        <v>0</v>
      </c>
      <c r="X87" s="52">
        <f t="shared" ref="X87:BC89" si="50">IF($F87=0,0,IF(X$6&lt;$F87,0,IF(X$6&gt;$G87,1,(X$6-$F87+1)/($G87-$F87+1))))</f>
        <v>0</v>
      </c>
      <c r="Y87" s="52">
        <f t="shared" si="50"/>
        <v>0</v>
      </c>
      <c r="Z87" s="52">
        <f t="shared" si="50"/>
        <v>1</v>
      </c>
      <c r="AA87" s="52">
        <f t="shared" si="50"/>
        <v>1</v>
      </c>
      <c r="AB87" s="52">
        <f t="shared" si="50"/>
        <v>1</v>
      </c>
      <c r="AC87" s="52">
        <f t="shared" si="50"/>
        <v>1</v>
      </c>
      <c r="AD87" s="52">
        <f t="shared" si="50"/>
        <v>1</v>
      </c>
      <c r="AE87" s="52">
        <f t="shared" si="50"/>
        <v>1</v>
      </c>
      <c r="AF87" s="52">
        <f t="shared" si="50"/>
        <v>1</v>
      </c>
      <c r="AG87" s="52">
        <f t="shared" si="50"/>
        <v>1</v>
      </c>
      <c r="AH87" s="52">
        <f t="shared" si="50"/>
        <v>1</v>
      </c>
      <c r="AI87" s="52">
        <f t="shared" si="50"/>
        <v>1</v>
      </c>
      <c r="AJ87" s="52">
        <f t="shared" si="50"/>
        <v>1</v>
      </c>
      <c r="AK87" s="52">
        <f t="shared" si="50"/>
        <v>1</v>
      </c>
      <c r="AL87" s="52">
        <f t="shared" si="50"/>
        <v>1</v>
      </c>
      <c r="AM87" s="52">
        <f t="shared" si="50"/>
        <v>1</v>
      </c>
      <c r="AN87" s="52">
        <f t="shared" si="50"/>
        <v>1</v>
      </c>
      <c r="AO87" s="52">
        <f t="shared" si="47"/>
        <v>1</v>
      </c>
      <c r="AP87" s="52">
        <f t="shared" si="47"/>
        <v>1</v>
      </c>
      <c r="AQ87" s="52">
        <f t="shared" si="47"/>
        <v>1</v>
      </c>
      <c r="AR87" s="52">
        <f t="shared" si="47"/>
        <v>1</v>
      </c>
      <c r="AS87" s="52">
        <f t="shared" si="47"/>
        <v>1</v>
      </c>
      <c r="AT87" s="52">
        <f t="shared" si="47"/>
        <v>1</v>
      </c>
      <c r="AU87" s="52">
        <f t="shared" si="47"/>
        <v>1</v>
      </c>
      <c r="AV87" s="52">
        <f t="shared" si="47"/>
        <v>1</v>
      </c>
      <c r="AW87" s="52">
        <f t="shared" si="47"/>
        <v>1</v>
      </c>
      <c r="AX87" s="52">
        <f t="shared" si="47"/>
        <v>1</v>
      </c>
      <c r="AY87" s="52">
        <f t="shared" si="47"/>
        <v>1</v>
      </c>
      <c r="AZ87" s="52">
        <f t="shared" si="47"/>
        <v>1</v>
      </c>
      <c r="BA87" s="52">
        <f t="shared" si="47"/>
        <v>1</v>
      </c>
      <c r="BB87" s="52">
        <f t="shared" si="47"/>
        <v>1</v>
      </c>
      <c r="BC87" s="52">
        <f t="shared" si="47"/>
        <v>1</v>
      </c>
      <c r="BD87" s="52">
        <f t="shared" si="47"/>
        <v>1</v>
      </c>
      <c r="BE87" s="52">
        <f t="shared" si="47"/>
        <v>1</v>
      </c>
      <c r="BF87" s="52">
        <f t="shared" si="47"/>
        <v>1</v>
      </c>
      <c r="BG87" s="52">
        <f t="shared" si="48"/>
        <v>1</v>
      </c>
      <c r="BH87" s="52">
        <f t="shared" si="48"/>
        <v>1</v>
      </c>
      <c r="BI87" s="52">
        <f t="shared" si="48"/>
        <v>1</v>
      </c>
      <c r="BJ87" s="52">
        <f t="shared" si="48"/>
        <v>1</v>
      </c>
      <c r="BK87" s="52">
        <f t="shared" si="48"/>
        <v>1</v>
      </c>
      <c r="BL87" s="52">
        <f t="shared" si="48"/>
        <v>1</v>
      </c>
      <c r="BM87" s="52">
        <f t="shared" si="48"/>
        <v>1</v>
      </c>
      <c r="BN87" s="52">
        <f t="shared" si="48"/>
        <v>1</v>
      </c>
      <c r="BO87" s="32">
        <f t="shared" si="40"/>
        <v>0.69491525423728817</v>
      </c>
    </row>
    <row r="88" spans="1:67" s="27" customFormat="1" ht="18.75" customHeight="1" x14ac:dyDescent="0.25">
      <c r="A88" s="50" t="s">
        <v>179</v>
      </c>
      <c r="B88" s="50" t="s">
        <v>180</v>
      </c>
      <c r="C88" s="50" t="s">
        <v>126</v>
      </c>
      <c r="D88" s="51">
        <f>VLOOKUP(A88,'[1]Cuadro Control'!C98:J2018,8,FALSE)</f>
        <v>52335715.768702812</v>
      </c>
      <c r="E88" s="52">
        <v>0.06</v>
      </c>
      <c r="F88" s="53">
        <v>46335</v>
      </c>
      <c r="G88" s="53">
        <v>46338</v>
      </c>
      <c r="H88" s="52">
        <f t="shared" si="49"/>
        <v>0</v>
      </c>
      <c r="I88" s="52">
        <f t="shared" si="49"/>
        <v>0</v>
      </c>
      <c r="J88" s="52">
        <f t="shared" si="49"/>
        <v>0</v>
      </c>
      <c r="K88" s="52">
        <f t="shared" si="49"/>
        <v>0</v>
      </c>
      <c r="L88" s="52">
        <f t="shared" si="49"/>
        <v>0</v>
      </c>
      <c r="M88" s="52">
        <f t="shared" si="49"/>
        <v>0</v>
      </c>
      <c r="N88" s="52">
        <f t="shared" si="49"/>
        <v>0</v>
      </c>
      <c r="O88" s="52">
        <f t="shared" si="49"/>
        <v>0</v>
      </c>
      <c r="P88" s="52">
        <f t="shared" si="49"/>
        <v>0</v>
      </c>
      <c r="Q88" s="52">
        <f t="shared" si="49"/>
        <v>0</v>
      </c>
      <c r="R88" s="52">
        <f t="shared" si="49"/>
        <v>0</v>
      </c>
      <c r="S88" s="52">
        <f t="shared" si="49"/>
        <v>0</v>
      </c>
      <c r="T88" s="52">
        <f t="shared" si="49"/>
        <v>0</v>
      </c>
      <c r="U88" s="52">
        <f t="shared" si="49"/>
        <v>0</v>
      </c>
      <c r="V88" s="52">
        <f t="shared" si="49"/>
        <v>0</v>
      </c>
      <c r="W88" s="52">
        <f t="shared" si="49"/>
        <v>0</v>
      </c>
      <c r="X88" s="52">
        <f t="shared" si="50"/>
        <v>0</v>
      </c>
      <c r="Y88" s="52">
        <f t="shared" si="50"/>
        <v>0</v>
      </c>
      <c r="Z88" s="52">
        <f t="shared" si="50"/>
        <v>1</v>
      </c>
      <c r="AA88" s="52">
        <f t="shared" si="50"/>
        <v>1</v>
      </c>
      <c r="AB88" s="52">
        <f t="shared" si="50"/>
        <v>1</v>
      </c>
      <c r="AC88" s="52">
        <f t="shared" si="50"/>
        <v>1</v>
      </c>
      <c r="AD88" s="52">
        <f t="shared" si="50"/>
        <v>1</v>
      </c>
      <c r="AE88" s="52">
        <f t="shared" si="50"/>
        <v>1</v>
      </c>
      <c r="AF88" s="52">
        <f t="shared" si="50"/>
        <v>1</v>
      </c>
      <c r="AG88" s="52">
        <f t="shared" si="50"/>
        <v>1</v>
      </c>
      <c r="AH88" s="52">
        <f t="shared" si="50"/>
        <v>1</v>
      </c>
      <c r="AI88" s="52">
        <f t="shared" si="50"/>
        <v>1</v>
      </c>
      <c r="AJ88" s="52">
        <f t="shared" si="50"/>
        <v>1</v>
      </c>
      <c r="AK88" s="52">
        <f t="shared" si="50"/>
        <v>1</v>
      </c>
      <c r="AL88" s="52">
        <f t="shared" si="50"/>
        <v>1</v>
      </c>
      <c r="AM88" s="52">
        <f t="shared" si="50"/>
        <v>1</v>
      </c>
      <c r="AN88" s="52">
        <f t="shared" si="50"/>
        <v>1</v>
      </c>
      <c r="AO88" s="52">
        <f t="shared" si="47"/>
        <v>1</v>
      </c>
      <c r="AP88" s="52">
        <f t="shared" si="47"/>
        <v>1</v>
      </c>
      <c r="AQ88" s="52">
        <f t="shared" si="47"/>
        <v>1</v>
      </c>
      <c r="AR88" s="52">
        <f t="shared" si="47"/>
        <v>1</v>
      </c>
      <c r="AS88" s="52">
        <f t="shared" si="47"/>
        <v>1</v>
      </c>
      <c r="AT88" s="52">
        <f t="shared" si="47"/>
        <v>1</v>
      </c>
      <c r="AU88" s="52">
        <f t="shared" si="47"/>
        <v>1</v>
      </c>
      <c r="AV88" s="52">
        <f t="shared" si="47"/>
        <v>1</v>
      </c>
      <c r="AW88" s="52">
        <f t="shared" si="47"/>
        <v>1</v>
      </c>
      <c r="AX88" s="52">
        <f t="shared" si="47"/>
        <v>1</v>
      </c>
      <c r="AY88" s="52">
        <f t="shared" si="47"/>
        <v>1</v>
      </c>
      <c r="AZ88" s="52">
        <f t="shared" si="47"/>
        <v>1</v>
      </c>
      <c r="BA88" s="52">
        <f t="shared" si="47"/>
        <v>1</v>
      </c>
      <c r="BB88" s="52">
        <f t="shared" si="47"/>
        <v>1</v>
      </c>
      <c r="BC88" s="52">
        <f t="shared" si="47"/>
        <v>1</v>
      </c>
      <c r="BD88" s="52">
        <f t="shared" si="47"/>
        <v>1</v>
      </c>
      <c r="BE88" s="52">
        <f t="shared" si="47"/>
        <v>1</v>
      </c>
      <c r="BF88" s="52">
        <f t="shared" si="47"/>
        <v>1</v>
      </c>
      <c r="BG88" s="52">
        <f t="shared" si="48"/>
        <v>1</v>
      </c>
      <c r="BH88" s="52">
        <f t="shared" si="48"/>
        <v>1</v>
      </c>
      <c r="BI88" s="52">
        <f t="shared" si="48"/>
        <v>1</v>
      </c>
      <c r="BJ88" s="52">
        <f t="shared" si="48"/>
        <v>1</v>
      </c>
      <c r="BK88" s="52">
        <f t="shared" si="48"/>
        <v>1</v>
      </c>
      <c r="BL88" s="52">
        <f t="shared" si="48"/>
        <v>1</v>
      </c>
      <c r="BM88" s="52">
        <f t="shared" si="48"/>
        <v>1</v>
      </c>
      <c r="BN88" s="52">
        <f t="shared" si="48"/>
        <v>1</v>
      </c>
      <c r="BO88" s="32">
        <f t="shared" si="40"/>
        <v>0.69491525423728817</v>
      </c>
    </row>
    <row r="89" spans="1:67" s="27" customFormat="1" ht="18.75" customHeight="1" x14ac:dyDescent="0.25">
      <c r="A89" s="50" t="s">
        <v>181</v>
      </c>
      <c r="B89" s="50" t="s">
        <v>182</v>
      </c>
      <c r="C89" s="50" t="s">
        <v>117</v>
      </c>
      <c r="D89" s="51">
        <f>VLOOKUP(A89,'[1]Cuadro Control'!C99:J2019,8,FALSE)</f>
        <v>46410609.014634147</v>
      </c>
      <c r="E89" s="52">
        <v>0.05</v>
      </c>
      <c r="F89" s="53">
        <v>46343</v>
      </c>
      <c r="G89" s="53">
        <v>46345</v>
      </c>
      <c r="H89" s="52">
        <f t="shared" si="49"/>
        <v>0</v>
      </c>
      <c r="I89" s="52">
        <f t="shared" si="49"/>
        <v>0</v>
      </c>
      <c r="J89" s="52">
        <f t="shared" si="49"/>
        <v>0</v>
      </c>
      <c r="K89" s="52">
        <f t="shared" si="49"/>
        <v>0</v>
      </c>
      <c r="L89" s="52">
        <f t="shared" si="49"/>
        <v>0</v>
      </c>
      <c r="M89" s="52">
        <f t="shared" si="49"/>
        <v>0</v>
      </c>
      <c r="N89" s="52">
        <f t="shared" si="49"/>
        <v>0</v>
      </c>
      <c r="O89" s="52">
        <f t="shared" si="49"/>
        <v>0</v>
      </c>
      <c r="P89" s="52">
        <f t="shared" si="49"/>
        <v>0</v>
      </c>
      <c r="Q89" s="52">
        <f t="shared" si="49"/>
        <v>0</v>
      </c>
      <c r="R89" s="52">
        <f t="shared" si="49"/>
        <v>0</v>
      </c>
      <c r="S89" s="52">
        <f t="shared" si="49"/>
        <v>0</v>
      </c>
      <c r="T89" s="52">
        <f t="shared" si="49"/>
        <v>0</v>
      </c>
      <c r="U89" s="52">
        <f t="shared" si="49"/>
        <v>0</v>
      </c>
      <c r="V89" s="52">
        <f t="shared" si="49"/>
        <v>0</v>
      </c>
      <c r="W89" s="52">
        <f t="shared" si="49"/>
        <v>0</v>
      </c>
      <c r="X89" s="52">
        <f t="shared" si="50"/>
        <v>0</v>
      </c>
      <c r="Y89" s="52">
        <f t="shared" si="50"/>
        <v>0</v>
      </c>
      <c r="Z89" s="52">
        <f t="shared" si="50"/>
        <v>0</v>
      </c>
      <c r="AA89" s="52">
        <f t="shared" si="50"/>
        <v>1</v>
      </c>
      <c r="AB89" s="52">
        <f t="shared" si="50"/>
        <v>1</v>
      </c>
      <c r="AC89" s="52">
        <f t="shared" si="50"/>
        <v>1</v>
      </c>
      <c r="AD89" s="52">
        <f t="shared" si="50"/>
        <v>1</v>
      </c>
      <c r="AE89" s="52">
        <f t="shared" si="50"/>
        <v>1</v>
      </c>
      <c r="AF89" s="52">
        <f t="shared" si="50"/>
        <v>1</v>
      </c>
      <c r="AG89" s="52">
        <f t="shared" si="50"/>
        <v>1</v>
      </c>
      <c r="AH89" s="52">
        <f t="shared" si="50"/>
        <v>1</v>
      </c>
      <c r="AI89" s="52">
        <f t="shared" si="50"/>
        <v>1</v>
      </c>
      <c r="AJ89" s="52">
        <f t="shared" si="50"/>
        <v>1</v>
      </c>
      <c r="AK89" s="52">
        <f t="shared" si="50"/>
        <v>1</v>
      </c>
      <c r="AL89" s="52">
        <f t="shared" si="50"/>
        <v>1</v>
      </c>
      <c r="AM89" s="52">
        <f t="shared" si="50"/>
        <v>1</v>
      </c>
      <c r="AN89" s="52">
        <f t="shared" si="50"/>
        <v>1</v>
      </c>
      <c r="AO89" s="52">
        <f t="shared" si="50"/>
        <v>1</v>
      </c>
      <c r="AP89" s="52">
        <f t="shared" si="50"/>
        <v>1</v>
      </c>
      <c r="AQ89" s="52">
        <f t="shared" si="50"/>
        <v>1</v>
      </c>
      <c r="AR89" s="52">
        <f t="shared" si="50"/>
        <v>1</v>
      </c>
      <c r="AS89" s="52">
        <f t="shared" si="50"/>
        <v>1</v>
      </c>
      <c r="AT89" s="52">
        <f t="shared" si="50"/>
        <v>1</v>
      </c>
      <c r="AU89" s="52">
        <f t="shared" si="50"/>
        <v>1</v>
      </c>
      <c r="AV89" s="52">
        <f t="shared" si="50"/>
        <v>1</v>
      </c>
      <c r="AW89" s="52">
        <f t="shared" si="50"/>
        <v>1</v>
      </c>
      <c r="AX89" s="52">
        <f t="shared" si="50"/>
        <v>1</v>
      </c>
      <c r="AY89" s="52">
        <f t="shared" si="50"/>
        <v>1</v>
      </c>
      <c r="AZ89" s="52">
        <f t="shared" si="50"/>
        <v>1</v>
      </c>
      <c r="BA89" s="52">
        <f t="shared" si="50"/>
        <v>1</v>
      </c>
      <c r="BB89" s="52">
        <f t="shared" si="50"/>
        <v>1</v>
      </c>
      <c r="BC89" s="52">
        <f t="shared" si="50"/>
        <v>1</v>
      </c>
      <c r="BD89" s="52">
        <f t="shared" si="47"/>
        <v>1</v>
      </c>
      <c r="BE89" s="52">
        <f t="shared" si="47"/>
        <v>1</v>
      </c>
      <c r="BF89" s="52">
        <f t="shared" si="47"/>
        <v>1</v>
      </c>
      <c r="BG89" s="52">
        <f t="shared" si="48"/>
        <v>1</v>
      </c>
      <c r="BH89" s="52">
        <f t="shared" si="48"/>
        <v>1</v>
      </c>
      <c r="BI89" s="52">
        <f t="shared" si="48"/>
        <v>1</v>
      </c>
      <c r="BJ89" s="52">
        <f t="shared" si="48"/>
        <v>1</v>
      </c>
      <c r="BK89" s="52">
        <f t="shared" si="48"/>
        <v>1</v>
      </c>
      <c r="BL89" s="52">
        <f t="shared" si="48"/>
        <v>1</v>
      </c>
      <c r="BM89" s="52">
        <f t="shared" si="48"/>
        <v>1</v>
      </c>
      <c r="BN89" s="52">
        <f t="shared" si="48"/>
        <v>1</v>
      </c>
      <c r="BO89" s="32">
        <f t="shared" si="40"/>
        <v>0.67796610169491522</v>
      </c>
    </row>
    <row r="90" spans="1:67" s="27" customFormat="1" ht="18.75" customHeight="1" x14ac:dyDescent="0.25">
      <c r="A90" s="42" t="s">
        <v>183</v>
      </c>
      <c r="B90" s="42" t="s">
        <v>184</v>
      </c>
      <c r="C90" s="42" t="s">
        <v>108</v>
      </c>
      <c r="D90" s="43">
        <f>SUM(D91:D98)</f>
        <v>922951821.58333695</v>
      </c>
      <c r="E90" s="44">
        <f>IFERROR(D90/$D$44,0)</f>
        <v>0.14285714285714285</v>
      </c>
      <c r="F90" s="45">
        <v>46228</v>
      </c>
      <c r="G90" s="45">
        <v>46353</v>
      </c>
      <c r="H90" s="44">
        <f>SUMPRODUCT($E91:$E98,H91:H98)</f>
        <v>0</v>
      </c>
      <c r="I90" s="44">
        <f t="shared" ref="I90:BN90" si="51">SUMPRODUCT($E91:$E98,I91:I98)</f>
        <v>0</v>
      </c>
      <c r="J90" s="44">
        <f t="shared" si="51"/>
        <v>0</v>
      </c>
      <c r="K90" s="44">
        <f t="shared" si="51"/>
        <v>0.24285714285714285</v>
      </c>
      <c r="L90" s="44">
        <f t="shared" si="51"/>
        <v>0.43999999999999995</v>
      </c>
      <c r="M90" s="44">
        <f t="shared" si="51"/>
        <v>0.43999999999999995</v>
      </c>
      <c r="N90" s="44">
        <f t="shared" si="51"/>
        <v>0.43999999999999995</v>
      </c>
      <c r="O90" s="44">
        <f t="shared" si="51"/>
        <v>0.43999999999999995</v>
      </c>
      <c r="P90" s="44">
        <f t="shared" si="51"/>
        <v>0.43999999999999995</v>
      </c>
      <c r="Q90" s="44">
        <f t="shared" si="51"/>
        <v>0.43999999999999995</v>
      </c>
      <c r="R90" s="44">
        <f t="shared" si="51"/>
        <v>0.43999999999999995</v>
      </c>
      <c r="S90" s="44">
        <f t="shared" si="51"/>
        <v>0.43999999999999995</v>
      </c>
      <c r="T90" s="44">
        <f t="shared" si="51"/>
        <v>0.43999999999999995</v>
      </c>
      <c r="U90" s="44">
        <f t="shared" si="51"/>
        <v>0.43999999999999995</v>
      </c>
      <c r="V90" s="44">
        <f t="shared" si="51"/>
        <v>0.43999999999999995</v>
      </c>
      <c r="W90" s="44">
        <f t="shared" si="51"/>
        <v>0.43999999999999995</v>
      </c>
      <c r="X90" s="44">
        <f t="shared" si="51"/>
        <v>0.43999999999999995</v>
      </c>
      <c r="Y90" s="44">
        <f t="shared" si="51"/>
        <v>0.43999999999999995</v>
      </c>
      <c r="Z90" s="44">
        <f t="shared" si="51"/>
        <v>0.6399999999999999</v>
      </c>
      <c r="AA90" s="44">
        <f t="shared" si="51"/>
        <v>0.95</v>
      </c>
      <c r="AB90" s="44">
        <f t="shared" si="51"/>
        <v>1</v>
      </c>
      <c r="AC90" s="44">
        <f t="shared" si="51"/>
        <v>1</v>
      </c>
      <c r="AD90" s="44">
        <f t="shared" si="51"/>
        <v>1</v>
      </c>
      <c r="AE90" s="44">
        <f t="shared" si="51"/>
        <v>1</v>
      </c>
      <c r="AF90" s="44">
        <f t="shared" si="51"/>
        <v>1</v>
      </c>
      <c r="AG90" s="44">
        <f t="shared" si="51"/>
        <v>1</v>
      </c>
      <c r="AH90" s="44">
        <f t="shared" si="51"/>
        <v>1</v>
      </c>
      <c r="AI90" s="44">
        <f t="shared" si="51"/>
        <v>1</v>
      </c>
      <c r="AJ90" s="44">
        <f t="shared" si="51"/>
        <v>1</v>
      </c>
      <c r="AK90" s="44">
        <f t="shared" si="51"/>
        <v>1</v>
      </c>
      <c r="AL90" s="44">
        <f t="shared" si="51"/>
        <v>1</v>
      </c>
      <c r="AM90" s="44">
        <f t="shared" si="51"/>
        <v>1</v>
      </c>
      <c r="AN90" s="44">
        <f t="shared" si="51"/>
        <v>1</v>
      </c>
      <c r="AO90" s="44">
        <f t="shared" si="51"/>
        <v>1</v>
      </c>
      <c r="AP90" s="44">
        <f t="shared" si="51"/>
        <v>1</v>
      </c>
      <c r="AQ90" s="44">
        <f t="shared" si="51"/>
        <v>1</v>
      </c>
      <c r="AR90" s="44">
        <f t="shared" si="51"/>
        <v>1</v>
      </c>
      <c r="AS90" s="44">
        <f t="shared" si="51"/>
        <v>1</v>
      </c>
      <c r="AT90" s="44">
        <f t="shared" si="51"/>
        <v>1</v>
      </c>
      <c r="AU90" s="44">
        <f t="shared" si="51"/>
        <v>1</v>
      </c>
      <c r="AV90" s="44">
        <f t="shared" si="51"/>
        <v>1</v>
      </c>
      <c r="AW90" s="44">
        <f t="shared" si="51"/>
        <v>1</v>
      </c>
      <c r="AX90" s="44">
        <f t="shared" si="51"/>
        <v>1</v>
      </c>
      <c r="AY90" s="44">
        <f t="shared" si="51"/>
        <v>1</v>
      </c>
      <c r="AZ90" s="44">
        <f t="shared" si="51"/>
        <v>1</v>
      </c>
      <c r="BA90" s="44">
        <f t="shared" si="51"/>
        <v>1</v>
      </c>
      <c r="BB90" s="44">
        <f t="shared" si="51"/>
        <v>1</v>
      </c>
      <c r="BC90" s="44">
        <f t="shared" si="51"/>
        <v>1</v>
      </c>
      <c r="BD90" s="44">
        <f t="shared" si="51"/>
        <v>1</v>
      </c>
      <c r="BE90" s="44">
        <f t="shared" si="51"/>
        <v>1</v>
      </c>
      <c r="BF90" s="44">
        <f t="shared" si="51"/>
        <v>1</v>
      </c>
      <c r="BG90" s="44">
        <f t="shared" si="51"/>
        <v>1</v>
      </c>
      <c r="BH90" s="44">
        <f t="shared" si="51"/>
        <v>1</v>
      </c>
      <c r="BI90" s="44">
        <f t="shared" si="51"/>
        <v>1</v>
      </c>
      <c r="BJ90" s="44">
        <f t="shared" si="51"/>
        <v>1</v>
      </c>
      <c r="BK90" s="44">
        <f t="shared" si="51"/>
        <v>1</v>
      </c>
      <c r="BL90" s="44">
        <f t="shared" si="51"/>
        <v>1</v>
      </c>
      <c r="BM90" s="44">
        <f t="shared" si="51"/>
        <v>1</v>
      </c>
      <c r="BN90" s="44">
        <f t="shared" si="51"/>
        <v>1</v>
      </c>
      <c r="BO90" s="32">
        <f t="shared" si="40"/>
        <v>0.79648910411622276</v>
      </c>
    </row>
    <row r="91" spans="1:67" s="27" customFormat="1" ht="18.75" customHeight="1" x14ac:dyDescent="0.25">
      <c r="A91" s="50" t="s">
        <v>185</v>
      </c>
      <c r="B91" s="50" t="s">
        <v>186</v>
      </c>
      <c r="C91" s="50" t="s">
        <v>111</v>
      </c>
      <c r="D91" s="51">
        <f>VLOOKUP(A91,'[1]Cuadro Control'!C101:J2021,8,FALSE)</f>
        <v>90662604.648000002</v>
      </c>
      <c r="E91" s="52">
        <v>0.1</v>
      </c>
      <c r="F91" s="53">
        <v>46228</v>
      </c>
      <c r="G91" s="53">
        <v>46231</v>
      </c>
      <c r="H91" s="52">
        <f t="shared" ref="H91:BN95" si="52">IF($F91=0,0,IF(H$6&lt;$F91,0,IF(H$6&gt;$G91,1,(H$6-$F91+1)/($G91-$F91+1))))</f>
        <v>0</v>
      </c>
      <c r="I91" s="52">
        <f t="shared" si="52"/>
        <v>0</v>
      </c>
      <c r="J91" s="52">
        <f t="shared" si="52"/>
        <v>0</v>
      </c>
      <c r="K91" s="52">
        <f t="shared" si="52"/>
        <v>1</v>
      </c>
      <c r="L91" s="52">
        <f t="shared" si="52"/>
        <v>1</v>
      </c>
      <c r="M91" s="52">
        <f t="shared" si="52"/>
        <v>1</v>
      </c>
      <c r="N91" s="52">
        <f t="shared" si="52"/>
        <v>1</v>
      </c>
      <c r="O91" s="52">
        <f t="shared" si="52"/>
        <v>1</v>
      </c>
      <c r="P91" s="52">
        <f t="shared" si="52"/>
        <v>1</v>
      </c>
      <c r="Q91" s="52">
        <f t="shared" si="52"/>
        <v>1</v>
      </c>
      <c r="R91" s="52">
        <f t="shared" si="52"/>
        <v>1</v>
      </c>
      <c r="S91" s="52">
        <f t="shared" si="52"/>
        <v>1</v>
      </c>
      <c r="T91" s="52">
        <f t="shared" si="52"/>
        <v>1</v>
      </c>
      <c r="U91" s="52">
        <f t="shared" si="52"/>
        <v>1</v>
      </c>
      <c r="V91" s="52">
        <f t="shared" si="52"/>
        <v>1</v>
      </c>
      <c r="W91" s="52">
        <f t="shared" si="52"/>
        <v>1</v>
      </c>
      <c r="X91" s="52">
        <f t="shared" si="52"/>
        <v>1</v>
      </c>
      <c r="Y91" s="52">
        <f t="shared" si="52"/>
        <v>1</v>
      </c>
      <c r="Z91" s="52">
        <f t="shared" si="52"/>
        <v>1</v>
      </c>
      <c r="AA91" s="52">
        <f t="shared" si="52"/>
        <v>1</v>
      </c>
      <c r="AB91" s="52">
        <f t="shared" si="52"/>
        <v>1</v>
      </c>
      <c r="AC91" s="52">
        <f t="shared" si="52"/>
        <v>1</v>
      </c>
      <c r="AD91" s="52">
        <f t="shared" si="52"/>
        <v>1</v>
      </c>
      <c r="AE91" s="52">
        <f t="shared" si="52"/>
        <v>1</v>
      </c>
      <c r="AF91" s="52">
        <f t="shared" si="52"/>
        <v>1</v>
      </c>
      <c r="AG91" s="52">
        <f t="shared" si="52"/>
        <v>1</v>
      </c>
      <c r="AH91" s="52">
        <f t="shared" si="52"/>
        <v>1</v>
      </c>
      <c r="AI91" s="52">
        <f t="shared" si="52"/>
        <v>1</v>
      </c>
      <c r="AJ91" s="52">
        <f t="shared" si="52"/>
        <v>1</v>
      </c>
      <c r="AK91" s="52">
        <f t="shared" si="52"/>
        <v>1</v>
      </c>
      <c r="AL91" s="52">
        <f t="shared" si="52"/>
        <v>1</v>
      </c>
      <c r="AM91" s="52">
        <f t="shared" si="52"/>
        <v>1</v>
      </c>
      <c r="AN91" s="52">
        <f t="shared" si="52"/>
        <v>1</v>
      </c>
      <c r="AO91" s="52">
        <f t="shared" si="52"/>
        <v>1</v>
      </c>
      <c r="AP91" s="52">
        <f t="shared" si="52"/>
        <v>1</v>
      </c>
      <c r="AQ91" s="52">
        <f t="shared" si="52"/>
        <v>1</v>
      </c>
      <c r="AR91" s="52">
        <f t="shared" si="52"/>
        <v>1</v>
      </c>
      <c r="AS91" s="52">
        <f t="shared" si="52"/>
        <v>1</v>
      </c>
      <c r="AT91" s="52">
        <f t="shared" si="52"/>
        <v>1</v>
      </c>
      <c r="AU91" s="52">
        <f t="shared" si="52"/>
        <v>1</v>
      </c>
      <c r="AV91" s="52">
        <f t="shared" si="52"/>
        <v>1</v>
      </c>
      <c r="AW91" s="52">
        <f t="shared" si="52"/>
        <v>1</v>
      </c>
      <c r="AX91" s="52">
        <f t="shared" si="52"/>
        <v>1</v>
      </c>
      <c r="AY91" s="52">
        <f t="shared" si="52"/>
        <v>1</v>
      </c>
      <c r="AZ91" s="52">
        <f t="shared" si="52"/>
        <v>1</v>
      </c>
      <c r="BA91" s="52">
        <f t="shared" si="52"/>
        <v>1</v>
      </c>
      <c r="BB91" s="52">
        <f t="shared" si="52"/>
        <v>1</v>
      </c>
      <c r="BC91" s="52">
        <f t="shared" si="52"/>
        <v>1</v>
      </c>
      <c r="BD91" s="52">
        <f t="shared" si="52"/>
        <v>1</v>
      </c>
      <c r="BE91" s="52">
        <f t="shared" si="52"/>
        <v>1</v>
      </c>
      <c r="BF91" s="52">
        <f t="shared" si="52"/>
        <v>1</v>
      </c>
      <c r="BG91" s="52">
        <f t="shared" si="52"/>
        <v>1</v>
      </c>
      <c r="BH91" s="52">
        <f t="shared" si="52"/>
        <v>1</v>
      </c>
      <c r="BI91" s="52">
        <f t="shared" si="52"/>
        <v>1</v>
      </c>
      <c r="BJ91" s="52">
        <f t="shared" si="52"/>
        <v>1</v>
      </c>
      <c r="BK91" s="52">
        <f t="shared" si="52"/>
        <v>1</v>
      </c>
      <c r="BL91" s="52">
        <f t="shared" si="52"/>
        <v>1</v>
      </c>
      <c r="BM91" s="52">
        <f t="shared" si="52"/>
        <v>1</v>
      </c>
      <c r="BN91" s="52">
        <f t="shared" si="52"/>
        <v>1</v>
      </c>
      <c r="BO91" s="32">
        <f t="shared" si="40"/>
        <v>0.94915254237288138</v>
      </c>
    </row>
    <row r="92" spans="1:67" s="27" customFormat="1" ht="18.75" customHeight="1" x14ac:dyDescent="0.25">
      <c r="A92" s="50" t="s">
        <v>187</v>
      </c>
      <c r="B92" s="50" t="s">
        <v>188</v>
      </c>
      <c r="C92" s="50" t="s">
        <v>114</v>
      </c>
      <c r="D92" s="51">
        <f>VLOOKUP(A92,'[1]Cuadro Control'!C102:J2022,8,FALSE)</f>
        <v>230777539.104</v>
      </c>
      <c r="E92" s="52">
        <v>0.25</v>
      </c>
      <c r="F92" s="53">
        <v>46231</v>
      </c>
      <c r="G92" s="53">
        <v>46237</v>
      </c>
      <c r="H92" s="52">
        <f t="shared" si="52"/>
        <v>0</v>
      </c>
      <c r="I92" s="52">
        <f t="shared" si="52"/>
        <v>0</v>
      </c>
      <c r="J92" s="52">
        <f t="shared" si="52"/>
        <v>0</v>
      </c>
      <c r="K92" s="52">
        <f t="shared" si="52"/>
        <v>0.5714285714285714</v>
      </c>
      <c r="L92" s="52">
        <f t="shared" si="52"/>
        <v>1</v>
      </c>
      <c r="M92" s="52">
        <f t="shared" si="52"/>
        <v>1</v>
      </c>
      <c r="N92" s="52">
        <f t="shared" si="52"/>
        <v>1</v>
      </c>
      <c r="O92" s="52">
        <f t="shared" si="52"/>
        <v>1</v>
      </c>
      <c r="P92" s="52">
        <f t="shared" si="52"/>
        <v>1</v>
      </c>
      <c r="Q92" s="52">
        <f t="shared" si="52"/>
        <v>1</v>
      </c>
      <c r="R92" s="52">
        <f t="shared" si="52"/>
        <v>1</v>
      </c>
      <c r="S92" s="52">
        <f t="shared" si="52"/>
        <v>1</v>
      </c>
      <c r="T92" s="52">
        <f t="shared" si="52"/>
        <v>1</v>
      </c>
      <c r="U92" s="52">
        <f t="shared" si="52"/>
        <v>1</v>
      </c>
      <c r="V92" s="52">
        <f t="shared" si="52"/>
        <v>1</v>
      </c>
      <c r="W92" s="52">
        <f t="shared" si="52"/>
        <v>1</v>
      </c>
      <c r="X92" s="52">
        <f t="shared" si="52"/>
        <v>1</v>
      </c>
      <c r="Y92" s="52">
        <f t="shared" si="52"/>
        <v>1</v>
      </c>
      <c r="Z92" s="52">
        <f t="shared" si="52"/>
        <v>1</v>
      </c>
      <c r="AA92" s="52">
        <f t="shared" si="52"/>
        <v>1</v>
      </c>
      <c r="AB92" s="52">
        <f t="shared" si="52"/>
        <v>1</v>
      </c>
      <c r="AC92" s="52">
        <f t="shared" si="52"/>
        <v>1</v>
      </c>
      <c r="AD92" s="52">
        <f t="shared" si="52"/>
        <v>1</v>
      </c>
      <c r="AE92" s="52">
        <f t="shared" si="52"/>
        <v>1</v>
      </c>
      <c r="AF92" s="52">
        <f t="shared" si="52"/>
        <v>1</v>
      </c>
      <c r="AG92" s="52">
        <f t="shared" si="52"/>
        <v>1</v>
      </c>
      <c r="AH92" s="52">
        <f t="shared" si="52"/>
        <v>1</v>
      </c>
      <c r="AI92" s="52">
        <f t="shared" si="52"/>
        <v>1</v>
      </c>
      <c r="AJ92" s="52">
        <f t="shared" si="52"/>
        <v>1</v>
      </c>
      <c r="AK92" s="52">
        <f t="shared" si="52"/>
        <v>1</v>
      </c>
      <c r="AL92" s="52">
        <f t="shared" si="52"/>
        <v>1</v>
      </c>
      <c r="AM92" s="52">
        <f t="shared" si="52"/>
        <v>1</v>
      </c>
      <c r="AN92" s="52">
        <f t="shared" si="52"/>
        <v>1</v>
      </c>
      <c r="AO92" s="52">
        <f t="shared" si="52"/>
        <v>1</v>
      </c>
      <c r="AP92" s="52">
        <f t="shared" si="52"/>
        <v>1</v>
      </c>
      <c r="AQ92" s="52">
        <f t="shared" si="52"/>
        <v>1</v>
      </c>
      <c r="AR92" s="52">
        <f t="shared" si="52"/>
        <v>1</v>
      </c>
      <c r="AS92" s="52">
        <f t="shared" si="52"/>
        <v>1</v>
      </c>
      <c r="AT92" s="52">
        <f t="shared" si="52"/>
        <v>1</v>
      </c>
      <c r="AU92" s="52">
        <f t="shared" si="52"/>
        <v>1</v>
      </c>
      <c r="AV92" s="52">
        <f t="shared" si="52"/>
        <v>1</v>
      </c>
      <c r="AW92" s="52">
        <f t="shared" si="52"/>
        <v>1</v>
      </c>
      <c r="AX92" s="52">
        <f t="shared" si="52"/>
        <v>1</v>
      </c>
      <c r="AY92" s="52">
        <f t="shared" si="52"/>
        <v>1</v>
      </c>
      <c r="AZ92" s="52">
        <f t="shared" si="52"/>
        <v>1</v>
      </c>
      <c r="BA92" s="52">
        <f t="shared" si="52"/>
        <v>1</v>
      </c>
      <c r="BB92" s="52">
        <f t="shared" si="52"/>
        <v>1</v>
      </c>
      <c r="BC92" s="52">
        <f t="shared" si="52"/>
        <v>1</v>
      </c>
      <c r="BD92" s="52">
        <f t="shared" si="52"/>
        <v>1</v>
      </c>
      <c r="BE92" s="52">
        <f t="shared" si="52"/>
        <v>1</v>
      </c>
      <c r="BF92" s="52">
        <f t="shared" si="52"/>
        <v>1</v>
      </c>
      <c r="BG92" s="52">
        <f t="shared" si="52"/>
        <v>1</v>
      </c>
      <c r="BH92" s="52">
        <f t="shared" si="52"/>
        <v>1</v>
      </c>
      <c r="BI92" s="52">
        <f t="shared" si="52"/>
        <v>1</v>
      </c>
      <c r="BJ92" s="52">
        <f t="shared" si="52"/>
        <v>1</v>
      </c>
      <c r="BK92" s="52">
        <f t="shared" si="52"/>
        <v>1</v>
      </c>
      <c r="BL92" s="52">
        <f t="shared" si="52"/>
        <v>1</v>
      </c>
      <c r="BM92" s="52">
        <f t="shared" si="52"/>
        <v>1</v>
      </c>
      <c r="BN92" s="52">
        <f t="shared" si="52"/>
        <v>1</v>
      </c>
      <c r="BO92" s="32">
        <f t="shared" si="40"/>
        <v>0.9418886198547215</v>
      </c>
    </row>
    <row r="93" spans="1:67" s="27" customFormat="1" ht="18.75" customHeight="1" x14ac:dyDescent="0.25">
      <c r="A93" s="50" t="s">
        <v>189</v>
      </c>
      <c r="B93" s="50" t="s">
        <v>190</v>
      </c>
      <c r="C93" s="50" t="s">
        <v>114</v>
      </c>
      <c r="D93" s="51">
        <f>VLOOKUP(A93,'[1]Cuadro Control'!C103:J2023,8,FALSE)</f>
        <v>82420549.679999992</v>
      </c>
      <c r="E93" s="52">
        <v>0.09</v>
      </c>
      <c r="F93" s="53">
        <v>46237</v>
      </c>
      <c r="G93" s="53">
        <v>46240</v>
      </c>
      <c r="H93" s="52">
        <f t="shared" si="52"/>
        <v>0</v>
      </c>
      <c r="I93" s="52">
        <f t="shared" si="52"/>
        <v>0</v>
      </c>
      <c r="J93" s="52">
        <f t="shared" si="52"/>
        <v>0</v>
      </c>
      <c r="K93" s="52">
        <f t="shared" si="52"/>
        <v>0</v>
      </c>
      <c r="L93" s="52">
        <f t="shared" si="52"/>
        <v>1</v>
      </c>
      <c r="M93" s="52">
        <f t="shared" si="52"/>
        <v>1</v>
      </c>
      <c r="N93" s="52">
        <f t="shared" si="52"/>
        <v>1</v>
      </c>
      <c r="O93" s="52">
        <f t="shared" si="52"/>
        <v>1</v>
      </c>
      <c r="P93" s="52">
        <f t="shared" si="52"/>
        <v>1</v>
      </c>
      <c r="Q93" s="52">
        <f t="shared" si="52"/>
        <v>1</v>
      </c>
      <c r="R93" s="52">
        <f t="shared" si="52"/>
        <v>1</v>
      </c>
      <c r="S93" s="52">
        <f t="shared" si="52"/>
        <v>1</v>
      </c>
      <c r="T93" s="52">
        <f t="shared" si="52"/>
        <v>1</v>
      </c>
      <c r="U93" s="52">
        <f t="shared" si="52"/>
        <v>1</v>
      </c>
      <c r="V93" s="52">
        <f t="shared" si="52"/>
        <v>1</v>
      </c>
      <c r="W93" s="52">
        <f t="shared" si="52"/>
        <v>1</v>
      </c>
      <c r="X93" s="52">
        <f t="shared" si="52"/>
        <v>1</v>
      </c>
      <c r="Y93" s="52">
        <f t="shared" si="52"/>
        <v>1</v>
      </c>
      <c r="Z93" s="52">
        <f t="shared" si="52"/>
        <v>1</v>
      </c>
      <c r="AA93" s="52">
        <f t="shared" si="52"/>
        <v>1</v>
      </c>
      <c r="AB93" s="52">
        <f t="shared" si="52"/>
        <v>1</v>
      </c>
      <c r="AC93" s="52">
        <f t="shared" si="52"/>
        <v>1</v>
      </c>
      <c r="AD93" s="52">
        <f t="shared" si="52"/>
        <v>1</v>
      </c>
      <c r="AE93" s="52">
        <f t="shared" si="52"/>
        <v>1</v>
      </c>
      <c r="AF93" s="52">
        <f t="shared" si="52"/>
        <v>1</v>
      </c>
      <c r="AG93" s="52">
        <f t="shared" si="52"/>
        <v>1</v>
      </c>
      <c r="AH93" s="52">
        <f t="shared" si="52"/>
        <v>1</v>
      </c>
      <c r="AI93" s="52">
        <f t="shared" si="52"/>
        <v>1</v>
      </c>
      <c r="AJ93" s="52">
        <f t="shared" si="52"/>
        <v>1</v>
      </c>
      <c r="AK93" s="52">
        <f t="shared" si="52"/>
        <v>1</v>
      </c>
      <c r="AL93" s="52">
        <f t="shared" si="52"/>
        <v>1</v>
      </c>
      <c r="AM93" s="52">
        <f t="shared" si="52"/>
        <v>1</v>
      </c>
      <c r="AN93" s="52">
        <f t="shared" si="52"/>
        <v>1</v>
      </c>
      <c r="AO93" s="52">
        <f t="shared" si="52"/>
        <v>1</v>
      </c>
      <c r="AP93" s="52">
        <f t="shared" si="52"/>
        <v>1</v>
      </c>
      <c r="AQ93" s="52">
        <f t="shared" si="52"/>
        <v>1</v>
      </c>
      <c r="AR93" s="52">
        <f t="shared" si="52"/>
        <v>1</v>
      </c>
      <c r="AS93" s="52">
        <f t="shared" si="52"/>
        <v>1</v>
      </c>
      <c r="AT93" s="52">
        <f t="shared" si="52"/>
        <v>1</v>
      </c>
      <c r="AU93" s="52">
        <f t="shared" si="52"/>
        <v>1</v>
      </c>
      <c r="AV93" s="52">
        <f t="shared" si="52"/>
        <v>1</v>
      </c>
      <c r="AW93" s="52">
        <f t="shared" si="52"/>
        <v>1</v>
      </c>
      <c r="AX93" s="52">
        <f t="shared" si="52"/>
        <v>1</v>
      </c>
      <c r="AY93" s="52">
        <f t="shared" si="52"/>
        <v>1</v>
      </c>
      <c r="AZ93" s="52">
        <f t="shared" si="52"/>
        <v>1</v>
      </c>
      <c r="BA93" s="52">
        <f t="shared" si="52"/>
        <v>1</v>
      </c>
      <c r="BB93" s="52">
        <f t="shared" si="52"/>
        <v>1</v>
      </c>
      <c r="BC93" s="52">
        <f t="shared" si="52"/>
        <v>1</v>
      </c>
      <c r="BD93" s="52">
        <f t="shared" si="52"/>
        <v>1</v>
      </c>
      <c r="BE93" s="52">
        <f t="shared" si="52"/>
        <v>1</v>
      </c>
      <c r="BF93" s="52">
        <f t="shared" si="52"/>
        <v>1</v>
      </c>
      <c r="BG93" s="52">
        <f t="shared" si="52"/>
        <v>1</v>
      </c>
      <c r="BH93" s="52">
        <f t="shared" si="52"/>
        <v>1</v>
      </c>
      <c r="BI93" s="52">
        <f t="shared" si="52"/>
        <v>1</v>
      </c>
      <c r="BJ93" s="52">
        <f t="shared" si="52"/>
        <v>1</v>
      </c>
      <c r="BK93" s="52">
        <f t="shared" si="52"/>
        <v>1</v>
      </c>
      <c r="BL93" s="52">
        <f t="shared" si="52"/>
        <v>1</v>
      </c>
      <c r="BM93" s="52">
        <f t="shared" si="52"/>
        <v>1</v>
      </c>
      <c r="BN93" s="52">
        <f t="shared" si="52"/>
        <v>1</v>
      </c>
      <c r="BO93" s="32">
        <f t="shared" si="40"/>
        <v>0.93220338983050843</v>
      </c>
    </row>
    <row r="94" spans="1:67" s="27" customFormat="1" ht="18.75" customHeight="1" x14ac:dyDescent="0.25">
      <c r="A94" s="50" t="s">
        <v>191</v>
      </c>
      <c r="B94" s="50" t="s">
        <v>192</v>
      </c>
      <c r="C94" s="50" t="s">
        <v>114</v>
      </c>
      <c r="D94" s="51">
        <f>VLOOKUP(A94,'[1]Cuadro Control'!C104:J2024,8,FALSE)</f>
        <v>230777539.104</v>
      </c>
      <c r="E94" s="52">
        <v>0.25</v>
      </c>
      <c r="F94" s="53">
        <v>46336</v>
      </c>
      <c r="G94" s="53">
        <v>46340</v>
      </c>
      <c r="H94" s="52">
        <f t="shared" si="52"/>
        <v>0</v>
      </c>
      <c r="I94" s="52">
        <f t="shared" si="52"/>
        <v>0</v>
      </c>
      <c r="J94" s="52">
        <f t="shared" si="52"/>
        <v>0</v>
      </c>
      <c r="K94" s="52">
        <f t="shared" si="52"/>
        <v>0</v>
      </c>
      <c r="L94" s="52">
        <f t="shared" si="52"/>
        <v>0</v>
      </c>
      <c r="M94" s="52">
        <f t="shared" si="52"/>
        <v>0</v>
      </c>
      <c r="N94" s="52">
        <f t="shared" si="52"/>
        <v>0</v>
      </c>
      <c r="O94" s="52">
        <f t="shared" si="52"/>
        <v>0</v>
      </c>
      <c r="P94" s="52">
        <f t="shared" si="52"/>
        <v>0</v>
      </c>
      <c r="Q94" s="52">
        <f t="shared" si="52"/>
        <v>0</v>
      </c>
      <c r="R94" s="52">
        <f t="shared" si="52"/>
        <v>0</v>
      </c>
      <c r="S94" s="52">
        <f t="shared" si="52"/>
        <v>0</v>
      </c>
      <c r="T94" s="52">
        <f t="shared" si="52"/>
        <v>0</v>
      </c>
      <c r="U94" s="52">
        <f t="shared" si="52"/>
        <v>0</v>
      </c>
      <c r="V94" s="52">
        <f t="shared" si="52"/>
        <v>0</v>
      </c>
      <c r="W94" s="52">
        <f t="shared" si="52"/>
        <v>0</v>
      </c>
      <c r="X94" s="52">
        <f t="shared" si="52"/>
        <v>0</v>
      </c>
      <c r="Y94" s="52">
        <f t="shared" si="52"/>
        <v>0</v>
      </c>
      <c r="Z94" s="52">
        <f t="shared" si="52"/>
        <v>0.8</v>
      </c>
      <c r="AA94" s="52">
        <f t="shared" si="52"/>
        <v>1</v>
      </c>
      <c r="AB94" s="52">
        <f t="shared" si="52"/>
        <v>1</v>
      </c>
      <c r="AC94" s="52">
        <f t="shared" si="52"/>
        <v>1</v>
      </c>
      <c r="AD94" s="52">
        <f t="shared" si="52"/>
        <v>1</v>
      </c>
      <c r="AE94" s="52">
        <f t="shared" si="52"/>
        <v>1</v>
      </c>
      <c r="AF94" s="52">
        <f t="shared" si="52"/>
        <v>1</v>
      </c>
      <c r="AG94" s="52">
        <f t="shared" si="52"/>
        <v>1</v>
      </c>
      <c r="AH94" s="52">
        <f t="shared" si="52"/>
        <v>1</v>
      </c>
      <c r="AI94" s="52">
        <f t="shared" si="52"/>
        <v>1</v>
      </c>
      <c r="AJ94" s="52">
        <f t="shared" si="52"/>
        <v>1</v>
      </c>
      <c r="AK94" s="52">
        <f t="shared" si="52"/>
        <v>1</v>
      </c>
      <c r="AL94" s="52">
        <f t="shared" si="52"/>
        <v>1</v>
      </c>
      <c r="AM94" s="52">
        <f t="shared" si="52"/>
        <v>1</v>
      </c>
      <c r="AN94" s="52">
        <f t="shared" si="52"/>
        <v>1</v>
      </c>
      <c r="AO94" s="52">
        <f t="shared" si="52"/>
        <v>1</v>
      </c>
      <c r="AP94" s="52">
        <f t="shared" si="52"/>
        <v>1</v>
      </c>
      <c r="AQ94" s="52">
        <f t="shared" si="52"/>
        <v>1</v>
      </c>
      <c r="AR94" s="52">
        <f t="shared" si="52"/>
        <v>1</v>
      </c>
      <c r="AS94" s="52">
        <f t="shared" si="52"/>
        <v>1</v>
      </c>
      <c r="AT94" s="52">
        <f t="shared" si="52"/>
        <v>1</v>
      </c>
      <c r="AU94" s="52">
        <f t="shared" si="52"/>
        <v>1</v>
      </c>
      <c r="AV94" s="52">
        <f t="shared" si="52"/>
        <v>1</v>
      </c>
      <c r="AW94" s="52">
        <f t="shared" si="52"/>
        <v>1</v>
      </c>
      <c r="AX94" s="52">
        <f t="shared" si="52"/>
        <v>1</v>
      </c>
      <c r="AY94" s="52">
        <f t="shared" si="52"/>
        <v>1</v>
      </c>
      <c r="AZ94" s="52">
        <f t="shared" si="52"/>
        <v>1</v>
      </c>
      <c r="BA94" s="52">
        <f t="shared" si="52"/>
        <v>1</v>
      </c>
      <c r="BB94" s="52">
        <f t="shared" si="52"/>
        <v>1</v>
      </c>
      <c r="BC94" s="52">
        <f t="shared" si="52"/>
        <v>1</v>
      </c>
      <c r="BD94" s="52">
        <f t="shared" si="52"/>
        <v>1</v>
      </c>
      <c r="BE94" s="52">
        <f t="shared" si="52"/>
        <v>1</v>
      </c>
      <c r="BF94" s="52">
        <f t="shared" si="52"/>
        <v>1</v>
      </c>
      <c r="BG94" s="52">
        <f t="shared" si="52"/>
        <v>1</v>
      </c>
      <c r="BH94" s="52">
        <f t="shared" si="52"/>
        <v>1</v>
      </c>
      <c r="BI94" s="52">
        <f t="shared" si="52"/>
        <v>1</v>
      </c>
      <c r="BJ94" s="52">
        <f t="shared" si="52"/>
        <v>1</v>
      </c>
      <c r="BK94" s="52">
        <f t="shared" si="52"/>
        <v>1</v>
      </c>
      <c r="BL94" s="52">
        <f t="shared" si="52"/>
        <v>1</v>
      </c>
      <c r="BM94" s="52">
        <f t="shared" si="52"/>
        <v>1</v>
      </c>
      <c r="BN94" s="52">
        <f t="shared" si="52"/>
        <v>1</v>
      </c>
      <c r="BO94" s="32">
        <f t="shared" si="40"/>
        <v>0.69152542372881354</v>
      </c>
    </row>
    <row r="95" spans="1:67" s="27" customFormat="1" ht="18.75" customHeight="1" x14ac:dyDescent="0.25">
      <c r="A95" s="50" t="s">
        <v>193</v>
      </c>
      <c r="B95" s="50" t="s">
        <v>194</v>
      </c>
      <c r="C95" s="50" t="s">
        <v>111</v>
      </c>
      <c r="D95" s="51">
        <f>VLOOKUP(A95,'[1]Cuadro Control'!C105:J2025,8,FALSE)</f>
        <v>49452329.807999998</v>
      </c>
      <c r="E95" s="52">
        <v>0.05</v>
      </c>
      <c r="F95" s="53">
        <v>46340</v>
      </c>
      <c r="G95" s="53">
        <v>46343</v>
      </c>
      <c r="H95" s="52">
        <f t="shared" si="52"/>
        <v>0</v>
      </c>
      <c r="I95" s="52">
        <f t="shared" si="52"/>
        <v>0</v>
      </c>
      <c r="J95" s="52">
        <f t="shared" si="52"/>
        <v>0</v>
      </c>
      <c r="K95" s="52">
        <f t="shared" si="52"/>
        <v>0</v>
      </c>
      <c r="L95" s="52">
        <f t="shared" si="52"/>
        <v>0</v>
      </c>
      <c r="M95" s="52">
        <f t="shared" si="52"/>
        <v>0</v>
      </c>
      <c r="N95" s="52">
        <f t="shared" si="52"/>
        <v>0</v>
      </c>
      <c r="O95" s="52">
        <f t="shared" si="52"/>
        <v>0</v>
      </c>
      <c r="P95" s="52">
        <f t="shared" si="52"/>
        <v>0</v>
      </c>
      <c r="Q95" s="52">
        <f t="shared" si="52"/>
        <v>0</v>
      </c>
      <c r="R95" s="52">
        <f t="shared" si="52"/>
        <v>0</v>
      </c>
      <c r="S95" s="52">
        <f t="shared" si="52"/>
        <v>0</v>
      </c>
      <c r="T95" s="52">
        <f t="shared" si="52"/>
        <v>0</v>
      </c>
      <c r="U95" s="52">
        <f t="shared" si="52"/>
        <v>0</v>
      </c>
      <c r="V95" s="52">
        <f t="shared" si="52"/>
        <v>0</v>
      </c>
      <c r="W95" s="52">
        <f t="shared" si="52"/>
        <v>0</v>
      </c>
      <c r="X95" s="52">
        <f t="shared" si="52"/>
        <v>0</v>
      </c>
      <c r="Y95" s="52">
        <f t="shared" si="52"/>
        <v>0</v>
      </c>
      <c r="Z95" s="52">
        <f t="shared" si="52"/>
        <v>0</v>
      </c>
      <c r="AA95" s="52">
        <f t="shared" ref="AA95:BF98" si="53">IF($F95=0,0,IF(AA$6&lt;$F95,0,IF(AA$6&gt;$G95,1,(AA$6-$F95+1)/($G95-$F95+1))))</f>
        <v>1</v>
      </c>
      <c r="AB95" s="52">
        <f t="shared" si="53"/>
        <v>1</v>
      </c>
      <c r="AC95" s="52">
        <f t="shared" si="53"/>
        <v>1</v>
      </c>
      <c r="AD95" s="52">
        <f t="shared" si="53"/>
        <v>1</v>
      </c>
      <c r="AE95" s="52">
        <f t="shared" si="53"/>
        <v>1</v>
      </c>
      <c r="AF95" s="52">
        <f t="shared" si="53"/>
        <v>1</v>
      </c>
      <c r="AG95" s="52">
        <f t="shared" si="53"/>
        <v>1</v>
      </c>
      <c r="AH95" s="52">
        <f t="shared" si="53"/>
        <v>1</v>
      </c>
      <c r="AI95" s="52">
        <f t="shared" si="53"/>
        <v>1</v>
      </c>
      <c r="AJ95" s="52">
        <f t="shared" si="53"/>
        <v>1</v>
      </c>
      <c r="AK95" s="52">
        <f t="shared" si="53"/>
        <v>1</v>
      </c>
      <c r="AL95" s="52">
        <f t="shared" si="53"/>
        <v>1</v>
      </c>
      <c r="AM95" s="52">
        <f t="shared" si="53"/>
        <v>1</v>
      </c>
      <c r="AN95" s="52">
        <f t="shared" si="53"/>
        <v>1</v>
      </c>
      <c r="AO95" s="52">
        <f t="shared" si="53"/>
        <v>1</v>
      </c>
      <c r="AP95" s="52">
        <f t="shared" si="53"/>
        <v>1</v>
      </c>
      <c r="AQ95" s="52">
        <f t="shared" si="53"/>
        <v>1</v>
      </c>
      <c r="AR95" s="52">
        <f t="shared" si="53"/>
        <v>1</v>
      </c>
      <c r="AS95" s="52">
        <f t="shared" si="53"/>
        <v>1</v>
      </c>
      <c r="AT95" s="52">
        <f t="shared" si="53"/>
        <v>1</v>
      </c>
      <c r="AU95" s="52">
        <f t="shared" si="53"/>
        <v>1</v>
      </c>
      <c r="AV95" s="52">
        <f t="shared" si="53"/>
        <v>1</v>
      </c>
      <c r="AW95" s="52">
        <f t="shared" si="53"/>
        <v>1</v>
      </c>
      <c r="AX95" s="52">
        <f t="shared" si="53"/>
        <v>1</v>
      </c>
      <c r="AY95" s="52">
        <f t="shared" si="53"/>
        <v>1</v>
      </c>
      <c r="AZ95" s="52">
        <f t="shared" si="53"/>
        <v>1</v>
      </c>
      <c r="BA95" s="52">
        <f t="shared" si="53"/>
        <v>1</v>
      </c>
      <c r="BB95" s="52">
        <f t="shared" si="53"/>
        <v>1</v>
      </c>
      <c r="BC95" s="52">
        <f t="shared" si="53"/>
        <v>1</v>
      </c>
      <c r="BD95" s="52">
        <f t="shared" si="53"/>
        <v>1</v>
      </c>
      <c r="BE95" s="52">
        <f t="shared" si="53"/>
        <v>1</v>
      </c>
      <c r="BF95" s="52">
        <f t="shared" si="53"/>
        <v>1</v>
      </c>
      <c r="BG95" s="52">
        <f t="shared" ref="BG95:BN98" si="54">IF($F95=0,0,IF(BG$6&lt;$F95,0,IF(BG$6&gt;$G95,1,(BG$6-$F95+1)/($G95-$F95+1))))</f>
        <v>1</v>
      </c>
      <c r="BH95" s="52">
        <f t="shared" si="54"/>
        <v>1</v>
      </c>
      <c r="BI95" s="52">
        <f t="shared" si="54"/>
        <v>1</v>
      </c>
      <c r="BJ95" s="52">
        <f t="shared" si="54"/>
        <v>1</v>
      </c>
      <c r="BK95" s="52">
        <f t="shared" si="54"/>
        <v>1</v>
      </c>
      <c r="BL95" s="52">
        <f t="shared" si="54"/>
        <v>1</v>
      </c>
      <c r="BM95" s="52">
        <f t="shared" si="54"/>
        <v>1</v>
      </c>
      <c r="BN95" s="52">
        <f t="shared" si="54"/>
        <v>1</v>
      </c>
      <c r="BO95" s="32">
        <f t="shared" si="40"/>
        <v>0.67796610169491522</v>
      </c>
    </row>
    <row r="96" spans="1:67" s="27" customFormat="1" ht="18.75" customHeight="1" x14ac:dyDescent="0.25">
      <c r="A96" s="50" t="s">
        <v>195</v>
      </c>
      <c r="B96" s="50" t="s">
        <v>196</v>
      </c>
      <c r="C96" s="50" t="s">
        <v>111</v>
      </c>
      <c r="D96" s="51">
        <f>VLOOKUP(A96,'[1]Cuadro Control'!C106:J2026,8,FALSE)</f>
        <v>140114934.456</v>
      </c>
      <c r="E96" s="52">
        <v>0.15</v>
      </c>
      <c r="F96" s="53">
        <v>46343</v>
      </c>
      <c r="G96" s="53">
        <v>46344</v>
      </c>
      <c r="H96" s="52">
        <f t="shared" ref="H96:W98" si="55">IF($F96=0,0,IF(H$6&lt;$F96,0,IF(H$6&gt;$G96,1,(H$6-$F96+1)/($G96-$F96+1))))</f>
        <v>0</v>
      </c>
      <c r="I96" s="52">
        <f t="shared" si="55"/>
        <v>0</v>
      </c>
      <c r="J96" s="52">
        <f t="shared" si="55"/>
        <v>0</v>
      </c>
      <c r="K96" s="52">
        <f t="shared" si="55"/>
        <v>0</v>
      </c>
      <c r="L96" s="52">
        <f t="shared" si="55"/>
        <v>0</v>
      </c>
      <c r="M96" s="52">
        <f t="shared" si="55"/>
        <v>0</v>
      </c>
      <c r="N96" s="52">
        <f t="shared" si="55"/>
        <v>0</v>
      </c>
      <c r="O96" s="52">
        <f t="shared" si="55"/>
        <v>0</v>
      </c>
      <c r="P96" s="52">
        <f t="shared" si="55"/>
        <v>0</v>
      </c>
      <c r="Q96" s="52">
        <f t="shared" si="55"/>
        <v>0</v>
      </c>
      <c r="R96" s="52">
        <f t="shared" si="55"/>
        <v>0</v>
      </c>
      <c r="S96" s="52">
        <f t="shared" si="55"/>
        <v>0</v>
      </c>
      <c r="T96" s="52">
        <f t="shared" si="55"/>
        <v>0</v>
      </c>
      <c r="U96" s="52">
        <f t="shared" si="55"/>
        <v>0</v>
      </c>
      <c r="V96" s="52">
        <f t="shared" si="55"/>
        <v>0</v>
      </c>
      <c r="W96" s="52">
        <f t="shared" si="55"/>
        <v>0</v>
      </c>
      <c r="X96" s="52">
        <f t="shared" ref="X96:BC98" si="56">IF($F96=0,0,IF(X$6&lt;$F96,0,IF(X$6&gt;$G96,1,(X$6-$F96+1)/($G96-$F96+1))))</f>
        <v>0</v>
      </c>
      <c r="Y96" s="52">
        <f t="shared" si="56"/>
        <v>0</v>
      </c>
      <c r="Z96" s="52">
        <f t="shared" si="56"/>
        <v>0</v>
      </c>
      <c r="AA96" s="52">
        <f t="shared" si="56"/>
        <v>1</v>
      </c>
      <c r="AB96" s="52">
        <f t="shared" si="56"/>
        <v>1</v>
      </c>
      <c r="AC96" s="52">
        <f t="shared" si="56"/>
        <v>1</v>
      </c>
      <c r="AD96" s="52">
        <f t="shared" si="56"/>
        <v>1</v>
      </c>
      <c r="AE96" s="52">
        <f t="shared" si="56"/>
        <v>1</v>
      </c>
      <c r="AF96" s="52">
        <f t="shared" si="56"/>
        <v>1</v>
      </c>
      <c r="AG96" s="52">
        <f t="shared" si="56"/>
        <v>1</v>
      </c>
      <c r="AH96" s="52">
        <f t="shared" si="56"/>
        <v>1</v>
      </c>
      <c r="AI96" s="52">
        <f t="shared" si="56"/>
        <v>1</v>
      </c>
      <c r="AJ96" s="52">
        <f t="shared" si="56"/>
        <v>1</v>
      </c>
      <c r="AK96" s="52">
        <f t="shared" si="56"/>
        <v>1</v>
      </c>
      <c r="AL96" s="52">
        <f t="shared" si="56"/>
        <v>1</v>
      </c>
      <c r="AM96" s="52">
        <f t="shared" si="56"/>
        <v>1</v>
      </c>
      <c r="AN96" s="52">
        <f t="shared" si="56"/>
        <v>1</v>
      </c>
      <c r="AO96" s="52">
        <f t="shared" si="53"/>
        <v>1</v>
      </c>
      <c r="AP96" s="52">
        <f t="shared" si="53"/>
        <v>1</v>
      </c>
      <c r="AQ96" s="52">
        <f t="shared" si="53"/>
        <v>1</v>
      </c>
      <c r="AR96" s="52">
        <f t="shared" si="53"/>
        <v>1</v>
      </c>
      <c r="AS96" s="52">
        <f t="shared" si="53"/>
        <v>1</v>
      </c>
      <c r="AT96" s="52">
        <f t="shared" si="53"/>
        <v>1</v>
      </c>
      <c r="AU96" s="52">
        <f t="shared" si="53"/>
        <v>1</v>
      </c>
      <c r="AV96" s="52">
        <f t="shared" si="53"/>
        <v>1</v>
      </c>
      <c r="AW96" s="52">
        <f t="shared" si="53"/>
        <v>1</v>
      </c>
      <c r="AX96" s="52">
        <f t="shared" si="53"/>
        <v>1</v>
      </c>
      <c r="AY96" s="52">
        <f t="shared" si="53"/>
        <v>1</v>
      </c>
      <c r="AZ96" s="52">
        <f t="shared" si="53"/>
        <v>1</v>
      </c>
      <c r="BA96" s="52">
        <f t="shared" si="53"/>
        <v>1</v>
      </c>
      <c r="BB96" s="52">
        <f t="shared" si="53"/>
        <v>1</v>
      </c>
      <c r="BC96" s="52">
        <f t="shared" si="53"/>
        <v>1</v>
      </c>
      <c r="BD96" s="52">
        <f t="shared" si="53"/>
        <v>1</v>
      </c>
      <c r="BE96" s="52">
        <f t="shared" si="53"/>
        <v>1</v>
      </c>
      <c r="BF96" s="52">
        <f t="shared" si="53"/>
        <v>1</v>
      </c>
      <c r="BG96" s="52">
        <f t="shared" si="54"/>
        <v>1</v>
      </c>
      <c r="BH96" s="52">
        <f t="shared" si="54"/>
        <v>1</v>
      </c>
      <c r="BI96" s="52">
        <f t="shared" si="54"/>
        <v>1</v>
      </c>
      <c r="BJ96" s="52">
        <f t="shared" si="54"/>
        <v>1</v>
      </c>
      <c r="BK96" s="52">
        <f t="shared" si="54"/>
        <v>1</v>
      </c>
      <c r="BL96" s="52">
        <f t="shared" si="54"/>
        <v>1</v>
      </c>
      <c r="BM96" s="52">
        <f t="shared" si="54"/>
        <v>1</v>
      </c>
      <c r="BN96" s="52">
        <f t="shared" si="54"/>
        <v>1</v>
      </c>
      <c r="BO96" s="32">
        <f t="shared" si="40"/>
        <v>0.67796610169491522</v>
      </c>
    </row>
    <row r="97" spans="1:67" s="27" customFormat="1" ht="18.75" customHeight="1" x14ac:dyDescent="0.25">
      <c r="A97" s="50" t="s">
        <v>197</v>
      </c>
      <c r="B97" s="50" t="s">
        <v>198</v>
      </c>
      <c r="C97" s="50" t="s">
        <v>126</v>
      </c>
      <c r="D97" s="51">
        <f>VLOOKUP(A97,'[1]Cuadro Control'!C107:J2027,8,FALSE)</f>
        <v>52335715.768702812</v>
      </c>
      <c r="E97" s="52">
        <v>0.06</v>
      </c>
      <c r="F97" s="53">
        <v>46344</v>
      </c>
      <c r="G97" s="53">
        <v>46346</v>
      </c>
      <c r="H97" s="52">
        <f t="shared" si="55"/>
        <v>0</v>
      </c>
      <c r="I97" s="52">
        <f t="shared" si="55"/>
        <v>0</v>
      </c>
      <c r="J97" s="52">
        <f t="shared" si="55"/>
        <v>0</v>
      </c>
      <c r="K97" s="52">
        <f t="shared" si="55"/>
        <v>0</v>
      </c>
      <c r="L97" s="52">
        <f t="shared" si="55"/>
        <v>0</v>
      </c>
      <c r="M97" s="52">
        <f t="shared" si="55"/>
        <v>0</v>
      </c>
      <c r="N97" s="52">
        <f t="shared" si="55"/>
        <v>0</v>
      </c>
      <c r="O97" s="52">
        <f t="shared" si="55"/>
        <v>0</v>
      </c>
      <c r="P97" s="52">
        <f t="shared" si="55"/>
        <v>0</v>
      </c>
      <c r="Q97" s="52">
        <f t="shared" si="55"/>
        <v>0</v>
      </c>
      <c r="R97" s="52">
        <f t="shared" si="55"/>
        <v>0</v>
      </c>
      <c r="S97" s="52">
        <f t="shared" si="55"/>
        <v>0</v>
      </c>
      <c r="T97" s="52">
        <f t="shared" si="55"/>
        <v>0</v>
      </c>
      <c r="U97" s="52">
        <f t="shared" si="55"/>
        <v>0</v>
      </c>
      <c r="V97" s="52">
        <f t="shared" si="55"/>
        <v>0</v>
      </c>
      <c r="W97" s="52">
        <f t="shared" si="55"/>
        <v>0</v>
      </c>
      <c r="X97" s="52">
        <f t="shared" si="56"/>
        <v>0</v>
      </c>
      <c r="Y97" s="52">
        <f t="shared" si="56"/>
        <v>0</v>
      </c>
      <c r="Z97" s="52">
        <f t="shared" si="56"/>
        <v>0</v>
      </c>
      <c r="AA97" s="52">
        <f t="shared" si="56"/>
        <v>1</v>
      </c>
      <c r="AB97" s="52">
        <f t="shared" si="56"/>
        <v>1</v>
      </c>
      <c r="AC97" s="52">
        <f t="shared" si="56"/>
        <v>1</v>
      </c>
      <c r="AD97" s="52">
        <f t="shared" si="56"/>
        <v>1</v>
      </c>
      <c r="AE97" s="52">
        <f t="shared" si="56"/>
        <v>1</v>
      </c>
      <c r="AF97" s="52">
        <f t="shared" si="56"/>
        <v>1</v>
      </c>
      <c r="AG97" s="52">
        <f t="shared" si="56"/>
        <v>1</v>
      </c>
      <c r="AH97" s="52">
        <f t="shared" si="56"/>
        <v>1</v>
      </c>
      <c r="AI97" s="52">
        <f t="shared" si="56"/>
        <v>1</v>
      </c>
      <c r="AJ97" s="52">
        <f t="shared" si="56"/>
        <v>1</v>
      </c>
      <c r="AK97" s="52">
        <f t="shared" si="56"/>
        <v>1</v>
      </c>
      <c r="AL97" s="52">
        <f t="shared" si="56"/>
        <v>1</v>
      </c>
      <c r="AM97" s="52">
        <f t="shared" si="56"/>
        <v>1</v>
      </c>
      <c r="AN97" s="52">
        <f t="shared" si="56"/>
        <v>1</v>
      </c>
      <c r="AO97" s="52">
        <f t="shared" si="53"/>
        <v>1</v>
      </c>
      <c r="AP97" s="52">
        <f t="shared" si="53"/>
        <v>1</v>
      </c>
      <c r="AQ97" s="52">
        <f t="shared" si="53"/>
        <v>1</v>
      </c>
      <c r="AR97" s="52">
        <f t="shared" si="53"/>
        <v>1</v>
      </c>
      <c r="AS97" s="52">
        <f t="shared" si="53"/>
        <v>1</v>
      </c>
      <c r="AT97" s="52">
        <f t="shared" si="53"/>
        <v>1</v>
      </c>
      <c r="AU97" s="52">
        <f t="shared" si="53"/>
        <v>1</v>
      </c>
      <c r="AV97" s="52">
        <f t="shared" si="53"/>
        <v>1</v>
      </c>
      <c r="AW97" s="52">
        <f t="shared" si="53"/>
        <v>1</v>
      </c>
      <c r="AX97" s="52">
        <f t="shared" si="53"/>
        <v>1</v>
      </c>
      <c r="AY97" s="52">
        <f t="shared" si="53"/>
        <v>1</v>
      </c>
      <c r="AZ97" s="52">
        <f t="shared" si="53"/>
        <v>1</v>
      </c>
      <c r="BA97" s="52">
        <f t="shared" si="53"/>
        <v>1</v>
      </c>
      <c r="BB97" s="52">
        <f t="shared" si="53"/>
        <v>1</v>
      </c>
      <c r="BC97" s="52">
        <f t="shared" si="53"/>
        <v>1</v>
      </c>
      <c r="BD97" s="52">
        <f t="shared" si="53"/>
        <v>1</v>
      </c>
      <c r="BE97" s="52">
        <f t="shared" si="53"/>
        <v>1</v>
      </c>
      <c r="BF97" s="52">
        <f t="shared" si="53"/>
        <v>1</v>
      </c>
      <c r="BG97" s="52">
        <f t="shared" si="54"/>
        <v>1</v>
      </c>
      <c r="BH97" s="52">
        <f t="shared" si="54"/>
        <v>1</v>
      </c>
      <c r="BI97" s="52">
        <f t="shared" si="54"/>
        <v>1</v>
      </c>
      <c r="BJ97" s="52">
        <f t="shared" si="54"/>
        <v>1</v>
      </c>
      <c r="BK97" s="52">
        <f t="shared" si="54"/>
        <v>1</v>
      </c>
      <c r="BL97" s="52">
        <f t="shared" si="54"/>
        <v>1</v>
      </c>
      <c r="BM97" s="52">
        <f t="shared" si="54"/>
        <v>1</v>
      </c>
      <c r="BN97" s="52">
        <f t="shared" si="54"/>
        <v>1</v>
      </c>
      <c r="BO97" s="32">
        <f t="shared" si="40"/>
        <v>0.67796610169491522</v>
      </c>
    </row>
    <row r="98" spans="1:67" s="27" customFormat="1" ht="18.75" customHeight="1" x14ac:dyDescent="0.25">
      <c r="A98" s="50" t="s">
        <v>199</v>
      </c>
      <c r="B98" s="50" t="s">
        <v>200</v>
      </c>
      <c r="C98" s="50" t="s">
        <v>117</v>
      </c>
      <c r="D98" s="51">
        <f>VLOOKUP(A98,'[1]Cuadro Control'!C108:J2028,8,FALSE)</f>
        <v>46410609.014634147</v>
      </c>
      <c r="E98" s="52">
        <v>0.05</v>
      </c>
      <c r="F98" s="53">
        <v>46351</v>
      </c>
      <c r="G98" s="53">
        <v>46353</v>
      </c>
      <c r="H98" s="52">
        <f t="shared" si="55"/>
        <v>0</v>
      </c>
      <c r="I98" s="52">
        <f t="shared" si="55"/>
        <v>0</v>
      </c>
      <c r="J98" s="52">
        <f t="shared" si="55"/>
        <v>0</v>
      </c>
      <c r="K98" s="52">
        <f t="shared" si="55"/>
        <v>0</v>
      </c>
      <c r="L98" s="52">
        <f t="shared" si="55"/>
        <v>0</v>
      </c>
      <c r="M98" s="52">
        <f t="shared" si="55"/>
        <v>0</v>
      </c>
      <c r="N98" s="52">
        <f t="shared" si="55"/>
        <v>0</v>
      </c>
      <c r="O98" s="52">
        <f t="shared" si="55"/>
        <v>0</v>
      </c>
      <c r="P98" s="52">
        <f t="shared" si="55"/>
        <v>0</v>
      </c>
      <c r="Q98" s="52">
        <f t="shared" si="55"/>
        <v>0</v>
      </c>
      <c r="R98" s="52">
        <f t="shared" si="55"/>
        <v>0</v>
      </c>
      <c r="S98" s="52">
        <f t="shared" si="55"/>
        <v>0</v>
      </c>
      <c r="T98" s="52">
        <f t="shared" si="55"/>
        <v>0</v>
      </c>
      <c r="U98" s="52">
        <f t="shared" si="55"/>
        <v>0</v>
      </c>
      <c r="V98" s="52">
        <f t="shared" si="55"/>
        <v>0</v>
      </c>
      <c r="W98" s="52">
        <f t="shared" si="55"/>
        <v>0</v>
      </c>
      <c r="X98" s="52">
        <f t="shared" si="56"/>
        <v>0</v>
      </c>
      <c r="Y98" s="52">
        <f t="shared" si="56"/>
        <v>0</v>
      </c>
      <c r="Z98" s="52">
        <f t="shared" si="56"/>
        <v>0</v>
      </c>
      <c r="AA98" s="52">
        <f t="shared" si="56"/>
        <v>0</v>
      </c>
      <c r="AB98" s="52">
        <f t="shared" si="56"/>
        <v>1</v>
      </c>
      <c r="AC98" s="52">
        <f t="shared" si="56"/>
        <v>1</v>
      </c>
      <c r="AD98" s="52">
        <f t="shared" si="56"/>
        <v>1</v>
      </c>
      <c r="AE98" s="52">
        <f t="shared" si="56"/>
        <v>1</v>
      </c>
      <c r="AF98" s="52">
        <f t="shared" si="56"/>
        <v>1</v>
      </c>
      <c r="AG98" s="52">
        <f t="shared" si="56"/>
        <v>1</v>
      </c>
      <c r="AH98" s="52">
        <f t="shared" si="56"/>
        <v>1</v>
      </c>
      <c r="AI98" s="52">
        <f t="shared" si="56"/>
        <v>1</v>
      </c>
      <c r="AJ98" s="52">
        <f t="shared" si="56"/>
        <v>1</v>
      </c>
      <c r="AK98" s="52">
        <f t="shared" si="56"/>
        <v>1</v>
      </c>
      <c r="AL98" s="52">
        <f t="shared" si="56"/>
        <v>1</v>
      </c>
      <c r="AM98" s="52">
        <f t="shared" si="56"/>
        <v>1</v>
      </c>
      <c r="AN98" s="52">
        <f t="shared" si="56"/>
        <v>1</v>
      </c>
      <c r="AO98" s="52">
        <f t="shared" si="56"/>
        <v>1</v>
      </c>
      <c r="AP98" s="52">
        <f t="shared" si="56"/>
        <v>1</v>
      </c>
      <c r="AQ98" s="52">
        <f t="shared" si="56"/>
        <v>1</v>
      </c>
      <c r="AR98" s="52">
        <f t="shared" si="56"/>
        <v>1</v>
      </c>
      <c r="AS98" s="52">
        <f t="shared" si="56"/>
        <v>1</v>
      </c>
      <c r="AT98" s="52">
        <f t="shared" si="56"/>
        <v>1</v>
      </c>
      <c r="AU98" s="52">
        <f t="shared" si="56"/>
        <v>1</v>
      </c>
      <c r="AV98" s="52">
        <f t="shared" si="56"/>
        <v>1</v>
      </c>
      <c r="AW98" s="52">
        <f t="shared" si="56"/>
        <v>1</v>
      </c>
      <c r="AX98" s="52">
        <f t="shared" si="56"/>
        <v>1</v>
      </c>
      <c r="AY98" s="52">
        <f t="shared" si="56"/>
        <v>1</v>
      </c>
      <c r="AZ98" s="52">
        <f t="shared" si="56"/>
        <v>1</v>
      </c>
      <c r="BA98" s="52">
        <f t="shared" si="56"/>
        <v>1</v>
      </c>
      <c r="BB98" s="52">
        <f t="shared" si="56"/>
        <v>1</v>
      </c>
      <c r="BC98" s="52">
        <f t="shared" si="56"/>
        <v>1</v>
      </c>
      <c r="BD98" s="52">
        <f t="shared" si="53"/>
        <v>1</v>
      </c>
      <c r="BE98" s="52">
        <f t="shared" si="53"/>
        <v>1</v>
      </c>
      <c r="BF98" s="52">
        <f t="shared" si="53"/>
        <v>1</v>
      </c>
      <c r="BG98" s="52">
        <f t="shared" si="54"/>
        <v>1</v>
      </c>
      <c r="BH98" s="52">
        <f t="shared" si="54"/>
        <v>1</v>
      </c>
      <c r="BI98" s="52">
        <f t="shared" si="54"/>
        <v>1</v>
      </c>
      <c r="BJ98" s="52">
        <f t="shared" si="54"/>
        <v>1</v>
      </c>
      <c r="BK98" s="52">
        <f t="shared" si="54"/>
        <v>1</v>
      </c>
      <c r="BL98" s="52">
        <f t="shared" si="54"/>
        <v>1</v>
      </c>
      <c r="BM98" s="52">
        <f t="shared" si="54"/>
        <v>1</v>
      </c>
      <c r="BN98" s="52">
        <f t="shared" si="54"/>
        <v>1</v>
      </c>
      <c r="BO98" s="32">
        <f t="shared" si="40"/>
        <v>0.66101694915254239</v>
      </c>
    </row>
    <row r="99" spans="1:67" s="27" customFormat="1" ht="18.75" customHeight="1" x14ac:dyDescent="0.25">
      <c r="A99" s="42" t="s">
        <v>201</v>
      </c>
      <c r="B99" s="42" t="s">
        <v>202</v>
      </c>
      <c r="C99" s="42" t="s">
        <v>108</v>
      </c>
      <c r="D99" s="43">
        <f>SUM(D100:D107)</f>
        <v>922951821.58333695</v>
      </c>
      <c r="E99" s="44">
        <f>IFERROR(D99/$D$44,0)</f>
        <v>0.14285714285714285</v>
      </c>
      <c r="F99" s="45">
        <v>46232</v>
      </c>
      <c r="G99" s="45">
        <v>46360</v>
      </c>
      <c r="H99" s="44">
        <f>SUMPRODUCT($E100:$E107,H100:H107)</f>
        <v>0</v>
      </c>
      <c r="I99" s="44">
        <f t="shared" ref="I99:BN99" si="57">SUMPRODUCT($E100:$E107,I100:I107)</f>
        <v>0</v>
      </c>
      <c r="J99" s="44">
        <f t="shared" si="57"/>
        <v>0</v>
      </c>
      <c r="K99" s="44">
        <f t="shared" si="57"/>
        <v>0.13571428571428573</v>
      </c>
      <c r="L99" s="44">
        <f t="shared" si="57"/>
        <v>0.38</v>
      </c>
      <c r="M99" s="44">
        <f t="shared" si="57"/>
        <v>0.43999999999999995</v>
      </c>
      <c r="N99" s="44">
        <f t="shared" si="57"/>
        <v>0.43999999999999995</v>
      </c>
      <c r="O99" s="44">
        <f t="shared" si="57"/>
        <v>0.43999999999999995</v>
      </c>
      <c r="P99" s="44">
        <f t="shared" si="57"/>
        <v>0.43999999999999995</v>
      </c>
      <c r="Q99" s="44">
        <f t="shared" si="57"/>
        <v>0.43999999999999995</v>
      </c>
      <c r="R99" s="44">
        <f t="shared" si="57"/>
        <v>0.43999999999999995</v>
      </c>
      <c r="S99" s="44">
        <f t="shared" si="57"/>
        <v>0.43999999999999995</v>
      </c>
      <c r="T99" s="44">
        <f t="shared" si="57"/>
        <v>0.43999999999999995</v>
      </c>
      <c r="U99" s="44">
        <f t="shared" si="57"/>
        <v>0.43999999999999995</v>
      </c>
      <c r="V99" s="44">
        <f t="shared" si="57"/>
        <v>0.43999999999999995</v>
      </c>
      <c r="W99" s="44">
        <f t="shared" si="57"/>
        <v>0.43999999999999995</v>
      </c>
      <c r="X99" s="44">
        <f t="shared" si="57"/>
        <v>0.43999999999999995</v>
      </c>
      <c r="Y99" s="44">
        <f t="shared" si="57"/>
        <v>0.43999999999999995</v>
      </c>
      <c r="Z99" s="44">
        <f t="shared" si="57"/>
        <v>0.43999999999999995</v>
      </c>
      <c r="AA99" s="44">
        <f t="shared" si="57"/>
        <v>0.56499999999999995</v>
      </c>
      <c r="AB99" s="44">
        <f t="shared" si="57"/>
        <v>0.95</v>
      </c>
      <c r="AC99" s="44">
        <f t="shared" si="57"/>
        <v>1</v>
      </c>
      <c r="AD99" s="44">
        <f t="shared" si="57"/>
        <v>1</v>
      </c>
      <c r="AE99" s="44">
        <f t="shared" si="57"/>
        <v>1</v>
      </c>
      <c r="AF99" s="44">
        <f t="shared" si="57"/>
        <v>1</v>
      </c>
      <c r="AG99" s="44">
        <f t="shared" si="57"/>
        <v>1</v>
      </c>
      <c r="AH99" s="44">
        <f t="shared" si="57"/>
        <v>1</v>
      </c>
      <c r="AI99" s="44">
        <f t="shared" si="57"/>
        <v>1</v>
      </c>
      <c r="AJ99" s="44">
        <f t="shared" si="57"/>
        <v>1</v>
      </c>
      <c r="AK99" s="44">
        <f t="shared" si="57"/>
        <v>1</v>
      </c>
      <c r="AL99" s="44">
        <f t="shared" si="57"/>
        <v>1</v>
      </c>
      <c r="AM99" s="44">
        <f t="shared" si="57"/>
        <v>1</v>
      </c>
      <c r="AN99" s="44">
        <f t="shared" si="57"/>
        <v>1</v>
      </c>
      <c r="AO99" s="44">
        <f t="shared" si="57"/>
        <v>1</v>
      </c>
      <c r="AP99" s="44">
        <f t="shared" si="57"/>
        <v>1</v>
      </c>
      <c r="AQ99" s="44">
        <f t="shared" si="57"/>
        <v>1</v>
      </c>
      <c r="AR99" s="44">
        <f t="shared" si="57"/>
        <v>1</v>
      </c>
      <c r="AS99" s="44">
        <f t="shared" si="57"/>
        <v>1</v>
      </c>
      <c r="AT99" s="44">
        <f t="shared" si="57"/>
        <v>1</v>
      </c>
      <c r="AU99" s="44">
        <f t="shared" si="57"/>
        <v>1</v>
      </c>
      <c r="AV99" s="44">
        <f t="shared" si="57"/>
        <v>1</v>
      </c>
      <c r="AW99" s="44">
        <f t="shared" si="57"/>
        <v>1</v>
      </c>
      <c r="AX99" s="44">
        <f t="shared" si="57"/>
        <v>1</v>
      </c>
      <c r="AY99" s="44">
        <f t="shared" si="57"/>
        <v>1</v>
      </c>
      <c r="AZ99" s="44">
        <f t="shared" si="57"/>
        <v>1</v>
      </c>
      <c r="BA99" s="44">
        <f t="shared" si="57"/>
        <v>1</v>
      </c>
      <c r="BB99" s="44">
        <f t="shared" si="57"/>
        <v>1</v>
      </c>
      <c r="BC99" s="44">
        <f t="shared" si="57"/>
        <v>1</v>
      </c>
      <c r="BD99" s="44">
        <f t="shared" si="57"/>
        <v>1</v>
      </c>
      <c r="BE99" s="44">
        <f t="shared" si="57"/>
        <v>1</v>
      </c>
      <c r="BF99" s="44">
        <f t="shared" si="57"/>
        <v>1</v>
      </c>
      <c r="BG99" s="44">
        <f t="shared" si="57"/>
        <v>1</v>
      </c>
      <c r="BH99" s="44">
        <f t="shared" si="57"/>
        <v>1</v>
      </c>
      <c r="BI99" s="44">
        <f t="shared" si="57"/>
        <v>1</v>
      </c>
      <c r="BJ99" s="44">
        <f t="shared" si="57"/>
        <v>1</v>
      </c>
      <c r="BK99" s="44">
        <f t="shared" si="57"/>
        <v>1</v>
      </c>
      <c r="BL99" s="44">
        <f t="shared" si="57"/>
        <v>1</v>
      </c>
      <c r="BM99" s="44">
        <f t="shared" si="57"/>
        <v>1</v>
      </c>
      <c r="BN99" s="44">
        <f t="shared" si="57"/>
        <v>1</v>
      </c>
      <c r="BO99" s="32">
        <f t="shared" si="40"/>
        <v>0.78289346246973357</v>
      </c>
    </row>
    <row r="100" spans="1:67" s="27" customFormat="1" ht="18.75" customHeight="1" x14ac:dyDescent="0.25">
      <c r="A100" s="50" t="s">
        <v>203</v>
      </c>
      <c r="B100" s="50" t="s">
        <v>204</v>
      </c>
      <c r="C100" s="50" t="s">
        <v>111</v>
      </c>
      <c r="D100" s="51">
        <f>VLOOKUP(A100,'[1]Cuadro Control'!C112:J2030,8,FALSE)</f>
        <v>90662604.648000002</v>
      </c>
      <c r="E100" s="52">
        <v>0.1</v>
      </c>
      <c r="F100" s="53">
        <v>46232</v>
      </c>
      <c r="G100" s="53">
        <v>46234</v>
      </c>
      <c r="H100" s="52">
        <f t="shared" ref="H100:BN104" si="58">IF($F100=0,0,IF(H$6&lt;$F100,0,IF(H$6&gt;$G100,1,(H$6-$F100+1)/($G100-$F100+1))))</f>
        <v>0</v>
      </c>
      <c r="I100" s="52">
        <f t="shared" si="58"/>
        <v>0</v>
      </c>
      <c r="J100" s="52">
        <f t="shared" si="58"/>
        <v>0</v>
      </c>
      <c r="K100" s="52">
        <f t="shared" si="58"/>
        <v>1</v>
      </c>
      <c r="L100" s="52">
        <f t="shared" si="58"/>
        <v>1</v>
      </c>
      <c r="M100" s="52">
        <f t="shared" si="58"/>
        <v>1</v>
      </c>
      <c r="N100" s="52">
        <f t="shared" si="58"/>
        <v>1</v>
      </c>
      <c r="O100" s="52">
        <f t="shared" si="58"/>
        <v>1</v>
      </c>
      <c r="P100" s="52">
        <f t="shared" si="58"/>
        <v>1</v>
      </c>
      <c r="Q100" s="52">
        <f t="shared" si="58"/>
        <v>1</v>
      </c>
      <c r="R100" s="52">
        <f t="shared" si="58"/>
        <v>1</v>
      </c>
      <c r="S100" s="52">
        <f t="shared" si="58"/>
        <v>1</v>
      </c>
      <c r="T100" s="52">
        <f t="shared" si="58"/>
        <v>1</v>
      </c>
      <c r="U100" s="52">
        <f t="shared" si="58"/>
        <v>1</v>
      </c>
      <c r="V100" s="52">
        <f t="shared" si="58"/>
        <v>1</v>
      </c>
      <c r="W100" s="52">
        <f t="shared" si="58"/>
        <v>1</v>
      </c>
      <c r="X100" s="52">
        <f t="shared" si="58"/>
        <v>1</v>
      </c>
      <c r="Y100" s="52">
        <f t="shared" si="58"/>
        <v>1</v>
      </c>
      <c r="Z100" s="52">
        <f t="shared" si="58"/>
        <v>1</v>
      </c>
      <c r="AA100" s="52">
        <f t="shared" si="58"/>
        <v>1</v>
      </c>
      <c r="AB100" s="52">
        <f t="shared" si="58"/>
        <v>1</v>
      </c>
      <c r="AC100" s="52">
        <f t="shared" si="58"/>
        <v>1</v>
      </c>
      <c r="AD100" s="52">
        <f t="shared" si="58"/>
        <v>1</v>
      </c>
      <c r="AE100" s="52">
        <f t="shared" si="58"/>
        <v>1</v>
      </c>
      <c r="AF100" s="52">
        <f t="shared" si="58"/>
        <v>1</v>
      </c>
      <c r="AG100" s="52">
        <f t="shared" si="58"/>
        <v>1</v>
      </c>
      <c r="AH100" s="52">
        <f t="shared" si="58"/>
        <v>1</v>
      </c>
      <c r="AI100" s="52">
        <f t="shared" si="58"/>
        <v>1</v>
      </c>
      <c r="AJ100" s="52">
        <f t="shared" si="58"/>
        <v>1</v>
      </c>
      <c r="AK100" s="52">
        <f t="shared" si="58"/>
        <v>1</v>
      </c>
      <c r="AL100" s="52">
        <f t="shared" si="58"/>
        <v>1</v>
      </c>
      <c r="AM100" s="52">
        <f t="shared" si="58"/>
        <v>1</v>
      </c>
      <c r="AN100" s="52">
        <f t="shared" si="58"/>
        <v>1</v>
      </c>
      <c r="AO100" s="52">
        <f t="shared" si="58"/>
        <v>1</v>
      </c>
      <c r="AP100" s="52">
        <f t="shared" si="58"/>
        <v>1</v>
      </c>
      <c r="AQ100" s="52">
        <f t="shared" si="58"/>
        <v>1</v>
      </c>
      <c r="AR100" s="52">
        <f t="shared" si="58"/>
        <v>1</v>
      </c>
      <c r="AS100" s="52">
        <f t="shared" si="58"/>
        <v>1</v>
      </c>
      <c r="AT100" s="52">
        <f t="shared" si="58"/>
        <v>1</v>
      </c>
      <c r="AU100" s="52">
        <f t="shared" si="58"/>
        <v>1</v>
      </c>
      <c r="AV100" s="52">
        <f t="shared" si="58"/>
        <v>1</v>
      </c>
      <c r="AW100" s="52">
        <f t="shared" si="58"/>
        <v>1</v>
      </c>
      <c r="AX100" s="52">
        <f t="shared" si="58"/>
        <v>1</v>
      </c>
      <c r="AY100" s="52">
        <f t="shared" si="58"/>
        <v>1</v>
      </c>
      <c r="AZ100" s="52">
        <f t="shared" si="58"/>
        <v>1</v>
      </c>
      <c r="BA100" s="52">
        <f t="shared" si="58"/>
        <v>1</v>
      </c>
      <c r="BB100" s="52">
        <f t="shared" si="58"/>
        <v>1</v>
      </c>
      <c r="BC100" s="52">
        <f t="shared" si="58"/>
        <v>1</v>
      </c>
      <c r="BD100" s="52">
        <f t="shared" si="58"/>
        <v>1</v>
      </c>
      <c r="BE100" s="52">
        <f t="shared" si="58"/>
        <v>1</v>
      </c>
      <c r="BF100" s="52">
        <f t="shared" si="58"/>
        <v>1</v>
      </c>
      <c r="BG100" s="52">
        <f t="shared" si="58"/>
        <v>1</v>
      </c>
      <c r="BH100" s="52">
        <f t="shared" si="58"/>
        <v>1</v>
      </c>
      <c r="BI100" s="52">
        <f t="shared" si="58"/>
        <v>1</v>
      </c>
      <c r="BJ100" s="52">
        <f t="shared" si="58"/>
        <v>1</v>
      </c>
      <c r="BK100" s="52">
        <f t="shared" si="58"/>
        <v>1</v>
      </c>
      <c r="BL100" s="52">
        <f t="shared" si="58"/>
        <v>1</v>
      </c>
      <c r="BM100" s="52">
        <f t="shared" si="58"/>
        <v>1</v>
      </c>
      <c r="BN100" s="52">
        <f t="shared" si="58"/>
        <v>1</v>
      </c>
      <c r="BO100" s="32">
        <f t="shared" si="40"/>
        <v>0.94915254237288138</v>
      </c>
    </row>
    <row r="101" spans="1:67" s="27" customFormat="1" ht="18.75" customHeight="1" x14ac:dyDescent="0.25">
      <c r="A101" s="50" t="s">
        <v>205</v>
      </c>
      <c r="B101" s="50" t="s">
        <v>206</v>
      </c>
      <c r="C101" s="50" t="s">
        <v>114</v>
      </c>
      <c r="D101" s="51">
        <f>VLOOKUP(A101,'[1]Cuadro Control'!C114:J2031,8,FALSE)</f>
        <v>230777539.104</v>
      </c>
      <c r="E101" s="52">
        <v>0.25</v>
      </c>
      <c r="F101" s="53">
        <v>46234</v>
      </c>
      <c r="G101" s="53">
        <v>46240</v>
      </c>
      <c r="H101" s="52">
        <f t="shared" si="58"/>
        <v>0</v>
      </c>
      <c r="I101" s="52">
        <f t="shared" si="58"/>
        <v>0</v>
      </c>
      <c r="J101" s="52">
        <f t="shared" si="58"/>
        <v>0</v>
      </c>
      <c r="K101" s="52">
        <f t="shared" si="58"/>
        <v>0.14285714285714285</v>
      </c>
      <c r="L101" s="52">
        <f t="shared" si="58"/>
        <v>1</v>
      </c>
      <c r="M101" s="52">
        <f t="shared" si="58"/>
        <v>1</v>
      </c>
      <c r="N101" s="52">
        <f t="shared" si="58"/>
        <v>1</v>
      </c>
      <c r="O101" s="52">
        <f t="shared" si="58"/>
        <v>1</v>
      </c>
      <c r="P101" s="52">
        <f t="shared" si="58"/>
        <v>1</v>
      </c>
      <c r="Q101" s="52">
        <f t="shared" si="58"/>
        <v>1</v>
      </c>
      <c r="R101" s="52">
        <f t="shared" si="58"/>
        <v>1</v>
      </c>
      <c r="S101" s="52">
        <f t="shared" si="58"/>
        <v>1</v>
      </c>
      <c r="T101" s="52">
        <f t="shared" si="58"/>
        <v>1</v>
      </c>
      <c r="U101" s="52">
        <f t="shared" si="58"/>
        <v>1</v>
      </c>
      <c r="V101" s="52">
        <f t="shared" si="58"/>
        <v>1</v>
      </c>
      <c r="W101" s="52">
        <f t="shared" si="58"/>
        <v>1</v>
      </c>
      <c r="X101" s="52">
        <f t="shared" si="58"/>
        <v>1</v>
      </c>
      <c r="Y101" s="52">
        <f t="shared" si="58"/>
        <v>1</v>
      </c>
      <c r="Z101" s="52">
        <f t="shared" si="58"/>
        <v>1</v>
      </c>
      <c r="AA101" s="52">
        <f t="shared" si="58"/>
        <v>1</v>
      </c>
      <c r="AB101" s="52">
        <f t="shared" si="58"/>
        <v>1</v>
      </c>
      <c r="AC101" s="52">
        <f t="shared" si="58"/>
        <v>1</v>
      </c>
      <c r="AD101" s="52">
        <f t="shared" si="58"/>
        <v>1</v>
      </c>
      <c r="AE101" s="52">
        <f t="shared" si="58"/>
        <v>1</v>
      </c>
      <c r="AF101" s="52">
        <f t="shared" si="58"/>
        <v>1</v>
      </c>
      <c r="AG101" s="52">
        <f t="shared" si="58"/>
        <v>1</v>
      </c>
      <c r="AH101" s="52">
        <f t="shared" si="58"/>
        <v>1</v>
      </c>
      <c r="AI101" s="52">
        <f t="shared" si="58"/>
        <v>1</v>
      </c>
      <c r="AJ101" s="52">
        <f t="shared" si="58"/>
        <v>1</v>
      </c>
      <c r="AK101" s="52">
        <f t="shared" si="58"/>
        <v>1</v>
      </c>
      <c r="AL101" s="52">
        <f t="shared" si="58"/>
        <v>1</v>
      </c>
      <c r="AM101" s="52">
        <f t="shared" si="58"/>
        <v>1</v>
      </c>
      <c r="AN101" s="52">
        <f t="shared" si="58"/>
        <v>1</v>
      </c>
      <c r="AO101" s="52">
        <f t="shared" si="58"/>
        <v>1</v>
      </c>
      <c r="AP101" s="52">
        <f t="shared" si="58"/>
        <v>1</v>
      </c>
      <c r="AQ101" s="52">
        <f t="shared" si="58"/>
        <v>1</v>
      </c>
      <c r="AR101" s="52">
        <f t="shared" si="58"/>
        <v>1</v>
      </c>
      <c r="AS101" s="52">
        <f t="shared" si="58"/>
        <v>1</v>
      </c>
      <c r="AT101" s="52">
        <f t="shared" si="58"/>
        <v>1</v>
      </c>
      <c r="AU101" s="52">
        <f t="shared" si="58"/>
        <v>1</v>
      </c>
      <c r="AV101" s="52">
        <f t="shared" si="58"/>
        <v>1</v>
      </c>
      <c r="AW101" s="52">
        <f t="shared" si="58"/>
        <v>1</v>
      </c>
      <c r="AX101" s="52">
        <f t="shared" si="58"/>
        <v>1</v>
      </c>
      <c r="AY101" s="52">
        <f t="shared" si="58"/>
        <v>1</v>
      </c>
      <c r="AZ101" s="52">
        <f t="shared" si="58"/>
        <v>1</v>
      </c>
      <c r="BA101" s="52">
        <f t="shared" si="58"/>
        <v>1</v>
      </c>
      <c r="BB101" s="52">
        <f t="shared" si="58"/>
        <v>1</v>
      </c>
      <c r="BC101" s="52">
        <f t="shared" si="58"/>
        <v>1</v>
      </c>
      <c r="BD101" s="52">
        <f t="shared" si="58"/>
        <v>1</v>
      </c>
      <c r="BE101" s="52">
        <f t="shared" si="58"/>
        <v>1</v>
      </c>
      <c r="BF101" s="52">
        <f t="shared" si="58"/>
        <v>1</v>
      </c>
      <c r="BG101" s="52">
        <f t="shared" si="58"/>
        <v>1</v>
      </c>
      <c r="BH101" s="52">
        <f t="shared" si="58"/>
        <v>1</v>
      </c>
      <c r="BI101" s="52">
        <f t="shared" si="58"/>
        <v>1</v>
      </c>
      <c r="BJ101" s="52">
        <f t="shared" si="58"/>
        <v>1</v>
      </c>
      <c r="BK101" s="52">
        <f t="shared" si="58"/>
        <v>1</v>
      </c>
      <c r="BL101" s="52">
        <f t="shared" si="58"/>
        <v>1</v>
      </c>
      <c r="BM101" s="52">
        <f t="shared" si="58"/>
        <v>1</v>
      </c>
      <c r="BN101" s="52">
        <f t="shared" si="58"/>
        <v>1</v>
      </c>
      <c r="BO101" s="32">
        <f t="shared" si="40"/>
        <v>0.93462469733656173</v>
      </c>
    </row>
    <row r="102" spans="1:67" s="27" customFormat="1" ht="18.75" customHeight="1" x14ac:dyDescent="0.25">
      <c r="A102" s="50" t="s">
        <v>207</v>
      </c>
      <c r="B102" s="50" t="s">
        <v>208</v>
      </c>
      <c r="C102" s="50" t="s">
        <v>117</v>
      </c>
      <c r="D102" s="51">
        <f>VLOOKUP(A102,'[1]Cuadro Control'!C116:J2032,8,FALSE)</f>
        <v>82420549.679999992</v>
      </c>
      <c r="E102" s="52">
        <v>0.09</v>
      </c>
      <c r="F102" s="53">
        <v>46240</v>
      </c>
      <c r="G102" s="53">
        <v>46245</v>
      </c>
      <c r="H102" s="52">
        <f t="shared" si="58"/>
        <v>0</v>
      </c>
      <c r="I102" s="52">
        <f t="shared" si="58"/>
        <v>0</v>
      </c>
      <c r="J102" s="52">
        <f t="shared" si="58"/>
        <v>0</v>
      </c>
      <c r="K102" s="52">
        <f t="shared" si="58"/>
        <v>0</v>
      </c>
      <c r="L102" s="52">
        <f t="shared" si="58"/>
        <v>0.33333333333333331</v>
      </c>
      <c r="M102" s="52">
        <f t="shared" si="58"/>
        <v>1</v>
      </c>
      <c r="N102" s="52">
        <f t="shared" si="58"/>
        <v>1</v>
      </c>
      <c r="O102" s="52">
        <f t="shared" si="58"/>
        <v>1</v>
      </c>
      <c r="P102" s="52">
        <f t="shared" si="58"/>
        <v>1</v>
      </c>
      <c r="Q102" s="52">
        <f t="shared" si="58"/>
        <v>1</v>
      </c>
      <c r="R102" s="52">
        <f t="shared" si="58"/>
        <v>1</v>
      </c>
      <c r="S102" s="52">
        <f t="shared" si="58"/>
        <v>1</v>
      </c>
      <c r="T102" s="52">
        <f t="shared" si="58"/>
        <v>1</v>
      </c>
      <c r="U102" s="52">
        <f t="shared" si="58"/>
        <v>1</v>
      </c>
      <c r="V102" s="52">
        <f t="shared" si="58"/>
        <v>1</v>
      </c>
      <c r="W102" s="52">
        <f t="shared" si="58"/>
        <v>1</v>
      </c>
      <c r="X102" s="52">
        <f t="shared" si="58"/>
        <v>1</v>
      </c>
      <c r="Y102" s="52">
        <f t="shared" si="58"/>
        <v>1</v>
      </c>
      <c r="Z102" s="52">
        <f t="shared" si="58"/>
        <v>1</v>
      </c>
      <c r="AA102" s="52">
        <f t="shared" si="58"/>
        <v>1</v>
      </c>
      <c r="AB102" s="52">
        <f t="shared" si="58"/>
        <v>1</v>
      </c>
      <c r="AC102" s="52">
        <f t="shared" si="58"/>
        <v>1</v>
      </c>
      <c r="AD102" s="52">
        <f t="shared" si="58"/>
        <v>1</v>
      </c>
      <c r="AE102" s="52">
        <f t="shared" si="58"/>
        <v>1</v>
      </c>
      <c r="AF102" s="52">
        <f t="shared" si="58"/>
        <v>1</v>
      </c>
      <c r="AG102" s="52">
        <f t="shared" si="58"/>
        <v>1</v>
      </c>
      <c r="AH102" s="52">
        <f t="shared" si="58"/>
        <v>1</v>
      </c>
      <c r="AI102" s="52">
        <f t="shared" si="58"/>
        <v>1</v>
      </c>
      <c r="AJ102" s="52">
        <f t="shared" si="58"/>
        <v>1</v>
      </c>
      <c r="AK102" s="52">
        <f t="shared" si="58"/>
        <v>1</v>
      </c>
      <c r="AL102" s="52">
        <f t="shared" si="58"/>
        <v>1</v>
      </c>
      <c r="AM102" s="52">
        <f t="shared" si="58"/>
        <v>1</v>
      </c>
      <c r="AN102" s="52">
        <f t="shared" si="58"/>
        <v>1</v>
      </c>
      <c r="AO102" s="52">
        <f t="shared" si="58"/>
        <v>1</v>
      </c>
      <c r="AP102" s="52">
        <f t="shared" si="58"/>
        <v>1</v>
      </c>
      <c r="AQ102" s="52">
        <f t="shared" si="58"/>
        <v>1</v>
      </c>
      <c r="AR102" s="52">
        <f t="shared" si="58"/>
        <v>1</v>
      </c>
      <c r="AS102" s="52">
        <f t="shared" si="58"/>
        <v>1</v>
      </c>
      <c r="AT102" s="52">
        <f t="shared" si="58"/>
        <v>1</v>
      </c>
      <c r="AU102" s="52">
        <f t="shared" si="58"/>
        <v>1</v>
      </c>
      <c r="AV102" s="52">
        <f t="shared" si="58"/>
        <v>1</v>
      </c>
      <c r="AW102" s="52">
        <f t="shared" si="58"/>
        <v>1</v>
      </c>
      <c r="AX102" s="52">
        <f t="shared" si="58"/>
        <v>1</v>
      </c>
      <c r="AY102" s="52">
        <f t="shared" si="58"/>
        <v>1</v>
      </c>
      <c r="AZ102" s="52">
        <f t="shared" si="58"/>
        <v>1</v>
      </c>
      <c r="BA102" s="52">
        <f t="shared" si="58"/>
        <v>1</v>
      </c>
      <c r="BB102" s="52">
        <f t="shared" si="58"/>
        <v>1</v>
      </c>
      <c r="BC102" s="52">
        <f t="shared" si="58"/>
        <v>1</v>
      </c>
      <c r="BD102" s="52">
        <f t="shared" si="58"/>
        <v>1</v>
      </c>
      <c r="BE102" s="52">
        <f t="shared" si="58"/>
        <v>1</v>
      </c>
      <c r="BF102" s="52">
        <f t="shared" si="58"/>
        <v>1</v>
      </c>
      <c r="BG102" s="52">
        <f t="shared" si="58"/>
        <v>1</v>
      </c>
      <c r="BH102" s="52">
        <f t="shared" si="58"/>
        <v>1</v>
      </c>
      <c r="BI102" s="52">
        <f t="shared" si="58"/>
        <v>1</v>
      </c>
      <c r="BJ102" s="52">
        <f t="shared" si="58"/>
        <v>1</v>
      </c>
      <c r="BK102" s="52">
        <f t="shared" si="58"/>
        <v>1</v>
      </c>
      <c r="BL102" s="52">
        <f t="shared" si="58"/>
        <v>1</v>
      </c>
      <c r="BM102" s="52">
        <f t="shared" si="58"/>
        <v>1</v>
      </c>
      <c r="BN102" s="52">
        <f t="shared" si="58"/>
        <v>1</v>
      </c>
      <c r="BO102" s="32">
        <f t="shared" si="40"/>
        <v>0.92090395480225984</v>
      </c>
    </row>
    <row r="103" spans="1:67" s="27" customFormat="1" ht="18.75" customHeight="1" x14ac:dyDescent="0.25">
      <c r="A103" s="50" t="s">
        <v>209</v>
      </c>
      <c r="B103" s="50" t="s">
        <v>210</v>
      </c>
      <c r="C103" s="50" t="s">
        <v>114</v>
      </c>
      <c r="D103" s="51">
        <f>VLOOKUP(A103,'[1]Cuadro Control'!C118:J2033,8,FALSE)</f>
        <v>230777539.104</v>
      </c>
      <c r="E103" s="52">
        <v>0.25</v>
      </c>
      <c r="F103" s="53">
        <v>46344</v>
      </c>
      <c r="G103" s="53">
        <v>46349</v>
      </c>
      <c r="H103" s="52">
        <f t="shared" si="58"/>
        <v>0</v>
      </c>
      <c r="I103" s="52">
        <f t="shared" si="58"/>
        <v>0</v>
      </c>
      <c r="J103" s="52">
        <f t="shared" si="58"/>
        <v>0</v>
      </c>
      <c r="K103" s="52">
        <f t="shared" si="58"/>
        <v>0</v>
      </c>
      <c r="L103" s="52">
        <f t="shared" si="58"/>
        <v>0</v>
      </c>
      <c r="M103" s="52">
        <f t="shared" si="58"/>
        <v>0</v>
      </c>
      <c r="N103" s="52">
        <f t="shared" si="58"/>
        <v>0</v>
      </c>
      <c r="O103" s="52">
        <f t="shared" si="58"/>
        <v>0</v>
      </c>
      <c r="P103" s="52">
        <f t="shared" si="58"/>
        <v>0</v>
      </c>
      <c r="Q103" s="52">
        <f t="shared" si="58"/>
        <v>0</v>
      </c>
      <c r="R103" s="52">
        <f t="shared" si="58"/>
        <v>0</v>
      </c>
      <c r="S103" s="52">
        <f t="shared" si="58"/>
        <v>0</v>
      </c>
      <c r="T103" s="52">
        <f t="shared" si="58"/>
        <v>0</v>
      </c>
      <c r="U103" s="52">
        <f t="shared" si="58"/>
        <v>0</v>
      </c>
      <c r="V103" s="52">
        <f t="shared" si="58"/>
        <v>0</v>
      </c>
      <c r="W103" s="52">
        <f t="shared" si="58"/>
        <v>0</v>
      </c>
      <c r="X103" s="52">
        <f t="shared" si="58"/>
        <v>0</v>
      </c>
      <c r="Y103" s="52">
        <f t="shared" si="58"/>
        <v>0</v>
      </c>
      <c r="Z103" s="52">
        <f t="shared" si="58"/>
        <v>0</v>
      </c>
      <c r="AA103" s="52">
        <f t="shared" si="58"/>
        <v>0.5</v>
      </c>
      <c r="AB103" s="52">
        <f t="shared" si="58"/>
        <v>1</v>
      </c>
      <c r="AC103" s="52">
        <f t="shared" si="58"/>
        <v>1</v>
      </c>
      <c r="AD103" s="52">
        <f t="shared" si="58"/>
        <v>1</v>
      </c>
      <c r="AE103" s="52">
        <f t="shared" si="58"/>
        <v>1</v>
      </c>
      <c r="AF103" s="52">
        <f t="shared" si="58"/>
        <v>1</v>
      </c>
      <c r="AG103" s="52">
        <f t="shared" si="58"/>
        <v>1</v>
      </c>
      <c r="AH103" s="52">
        <f t="shared" si="58"/>
        <v>1</v>
      </c>
      <c r="AI103" s="52">
        <f t="shared" si="58"/>
        <v>1</v>
      </c>
      <c r="AJ103" s="52">
        <f t="shared" si="58"/>
        <v>1</v>
      </c>
      <c r="AK103" s="52">
        <f t="shared" si="58"/>
        <v>1</v>
      </c>
      <c r="AL103" s="52">
        <f t="shared" si="58"/>
        <v>1</v>
      </c>
      <c r="AM103" s="52">
        <f t="shared" si="58"/>
        <v>1</v>
      </c>
      <c r="AN103" s="52">
        <f t="shared" si="58"/>
        <v>1</v>
      </c>
      <c r="AO103" s="52">
        <f t="shared" si="58"/>
        <v>1</v>
      </c>
      <c r="AP103" s="52">
        <f t="shared" si="58"/>
        <v>1</v>
      </c>
      <c r="AQ103" s="52">
        <f t="shared" si="58"/>
        <v>1</v>
      </c>
      <c r="AR103" s="52">
        <f t="shared" si="58"/>
        <v>1</v>
      </c>
      <c r="AS103" s="52">
        <f t="shared" si="58"/>
        <v>1</v>
      </c>
      <c r="AT103" s="52">
        <f t="shared" si="58"/>
        <v>1</v>
      </c>
      <c r="AU103" s="52">
        <f t="shared" si="58"/>
        <v>1</v>
      </c>
      <c r="AV103" s="52">
        <f t="shared" si="58"/>
        <v>1</v>
      </c>
      <c r="AW103" s="52">
        <f t="shared" si="58"/>
        <v>1</v>
      </c>
      <c r="AX103" s="52">
        <f t="shared" si="58"/>
        <v>1</v>
      </c>
      <c r="AY103" s="52">
        <f t="shared" si="58"/>
        <v>1</v>
      </c>
      <c r="AZ103" s="52">
        <f t="shared" si="58"/>
        <v>1</v>
      </c>
      <c r="BA103" s="52">
        <f t="shared" si="58"/>
        <v>1</v>
      </c>
      <c r="BB103" s="52">
        <f t="shared" si="58"/>
        <v>1</v>
      </c>
      <c r="BC103" s="52">
        <f t="shared" si="58"/>
        <v>1</v>
      </c>
      <c r="BD103" s="52">
        <f t="shared" si="58"/>
        <v>1</v>
      </c>
      <c r="BE103" s="52">
        <f t="shared" si="58"/>
        <v>1</v>
      </c>
      <c r="BF103" s="52">
        <f t="shared" si="58"/>
        <v>1</v>
      </c>
      <c r="BG103" s="52">
        <f t="shared" si="58"/>
        <v>1</v>
      </c>
      <c r="BH103" s="52">
        <f t="shared" si="58"/>
        <v>1</v>
      </c>
      <c r="BI103" s="52">
        <f t="shared" si="58"/>
        <v>1</v>
      </c>
      <c r="BJ103" s="52">
        <f t="shared" si="58"/>
        <v>1</v>
      </c>
      <c r="BK103" s="52">
        <f t="shared" si="58"/>
        <v>1</v>
      </c>
      <c r="BL103" s="52">
        <f t="shared" si="58"/>
        <v>1</v>
      </c>
      <c r="BM103" s="52">
        <f t="shared" si="58"/>
        <v>1</v>
      </c>
      <c r="BN103" s="52">
        <f t="shared" si="58"/>
        <v>1</v>
      </c>
      <c r="BO103" s="32">
        <f t="shared" si="40"/>
        <v>0.66949152542372881</v>
      </c>
    </row>
    <row r="104" spans="1:67" s="27" customFormat="1" ht="18.75" customHeight="1" x14ac:dyDescent="0.25">
      <c r="A104" s="50" t="s">
        <v>211</v>
      </c>
      <c r="B104" s="50" t="s">
        <v>212</v>
      </c>
      <c r="C104" s="50" t="s">
        <v>111</v>
      </c>
      <c r="D104" s="51">
        <f>VLOOKUP(A104,'[1]Cuadro Control'!C119:J2034,8,FALSE)</f>
        <v>49452329.807999998</v>
      </c>
      <c r="E104" s="52">
        <v>0.05</v>
      </c>
      <c r="F104" s="53">
        <v>46349</v>
      </c>
      <c r="G104" s="53">
        <v>46350</v>
      </c>
      <c r="H104" s="52">
        <f t="shared" si="58"/>
        <v>0</v>
      </c>
      <c r="I104" s="52">
        <f t="shared" si="58"/>
        <v>0</v>
      </c>
      <c r="J104" s="52">
        <f t="shared" si="58"/>
        <v>0</v>
      </c>
      <c r="K104" s="52">
        <f t="shared" si="58"/>
        <v>0</v>
      </c>
      <c r="L104" s="52">
        <f t="shared" si="58"/>
        <v>0</v>
      </c>
      <c r="M104" s="52">
        <f t="shared" si="58"/>
        <v>0</v>
      </c>
      <c r="N104" s="52">
        <f t="shared" si="58"/>
        <v>0</v>
      </c>
      <c r="O104" s="52">
        <f t="shared" si="58"/>
        <v>0</v>
      </c>
      <c r="P104" s="52">
        <f t="shared" si="58"/>
        <v>0</v>
      </c>
      <c r="Q104" s="52">
        <f t="shared" si="58"/>
        <v>0</v>
      </c>
      <c r="R104" s="52">
        <f t="shared" si="58"/>
        <v>0</v>
      </c>
      <c r="S104" s="52">
        <f t="shared" si="58"/>
        <v>0</v>
      </c>
      <c r="T104" s="52">
        <f t="shared" si="58"/>
        <v>0</v>
      </c>
      <c r="U104" s="52">
        <f t="shared" si="58"/>
        <v>0</v>
      </c>
      <c r="V104" s="52">
        <f t="shared" si="58"/>
        <v>0</v>
      </c>
      <c r="W104" s="52">
        <f t="shared" si="58"/>
        <v>0</v>
      </c>
      <c r="X104" s="52">
        <f t="shared" si="58"/>
        <v>0</v>
      </c>
      <c r="Y104" s="52">
        <f t="shared" si="58"/>
        <v>0</v>
      </c>
      <c r="Z104" s="52">
        <f t="shared" si="58"/>
        <v>0</v>
      </c>
      <c r="AA104" s="52">
        <f t="shared" ref="AA104:BF108" si="59">IF($F104=0,0,IF(AA$6&lt;$F104,0,IF(AA$6&gt;$G104,1,(AA$6-$F104+1)/($G104-$F104+1))))</f>
        <v>0</v>
      </c>
      <c r="AB104" s="52">
        <f t="shared" si="59"/>
        <v>1</v>
      </c>
      <c r="AC104" s="52">
        <f t="shared" si="59"/>
        <v>1</v>
      </c>
      <c r="AD104" s="52">
        <f t="shared" si="59"/>
        <v>1</v>
      </c>
      <c r="AE104" s="52">
        <f t="shared" si="59"/>
        <v>1</v>
      </c>
      <c r="AF104" s="52">
        <f t="shared" si="59"/>
        <v>1</v>
      </c>
      <c r="AG104" s="52">
        <f t="shared" si="59"/>
        <v>1</v>
      </c>
      <c r="AH104" s="52">
        <f t="shared" si="59"/>
        <v>1</v>
      </c>
      <c r="AI104" s="52">
        <f t="shared" si="59"/>
        <v>1</v>
      </c>
      <c r="AJ104" s="52">
        <f t="shared" si="59"/>
        <v>1</v>
      </c>
      <c r="AK104" s="52">
        <f t="shared" si="59"/>
        <v>1</v>
      </c>
      <c r="AL104" s="52">
        <f t="shared" si="59"/>
        <v>1</v>
      </c>
      <c r="AM104" s="52">
        <f t="shared" si="59"/>
        <v>1</v>
      </c>
      <c r="AN104" s="52">
        <f t="shared" si="59"/>
        <v>1</v>
      </c>
      <c r="AO104" s="52">
        <f t="shared" si="59"/>
        <v>1</v>
      </c>
      <c r="AP104" s="52">
        <f t="shared" si="59"/>
        <v>1</v>
      </c>
      <c r="AQ104" s="52">
        <f t="shared" si="59"/>
        <v>1</v>
      </c>
      <c r="AR104" s="52">
        <f t="shared" si="59"/>
        <v>1</v>
      </c>
      <c r="AS104" s="52">
        <f t="shared" si="59"/>
        <v>1</v>
      </c>
      <c r="AT104" s="52">
        <f t="shared" si="59"/>
        <v>1</v>
      </c>
      <c r="AU104" s="52">
        <f t="shared" si="59"/>
        <v>1</v>
      </c>
      <c r="AV104" s="52">
        <f t="shared" si="59"/>
        <v>1</v>
      </c>
      <c r="AW104" s="52">
        <f t="shared" si="59"/>
        <v>1</v>
      </c>
      <c r="AX104" s="52">
        <f t="shared" si="59"/>
        <v>1</v>
      </c>
      <c r="AY104" s="52">
        <f t="shared" si="59"/>
        <v>1</v>
      </c>
      <c r="AZ104" s="52">
        <f t="shared" si="59"/>
        <v>1</v>
      </c>
      <c r="BA104" s="52">
        <f t="shared" si="59"/>
        <v>1</v>
      </c>
      <c r="BB104" s="52">
        <f t="shared" si="59"/>
        <v>1</v>
      </c>
      <c r="BC104" s="52">
        <f t="shared" si="59"/>
        <v>1</v>
      </c>
      <c r="BD104" s="52">
        <f t="shared" si="59"/>
        <v>1</v>
      </c>
      <c r="BE104" s="52">
        <f t="shared" si="59"/>
        <v>1</v>
      </c>
      <c r="BF104" s="52">
        <f t="shared" si="59"/>
        <v>1</v>
      </c>
      <c r="BG104" s="52">
        <f t="shared" ref="BG104:BN108" si="60">IF($F104=0,0,IF(BG$6&lt;$F104,0,IF(BG$6&gt;$G104,1,(BG$6-$F104+1)/($G104-$F104+1))))</f>
        <v>1</v>
      </c>
      <c r="BH104" s="52">
        <f t="shared" si="60"/>
        <v>1</v>
      </c>
      <c r="BI104" s="52">
        <f t="shared" si="60"/>
        <v>1</v>
      </c>
      <c r="BJ104" s="52">
        <f t="shared" si="60"/>
        <v>1</v>
      </c>
      <c r="BK104" s="52">
        <f t="shared" si="60"/>
        <v>1</v>
      </c>
      <c r="BL104" s="52">
        <f t="shared" si="60"/>
        <v>1</v>
      </c>
      <c r="BM104" s="52">
        <f t="shared" si="60"/>
        <v>1</v>
      </c>
      <c r="BN104" s="52">
        <f t="shared" si="60"/>
        <v>1</v>
      </c>
      <c r="BO104" s="32">
        <f t="shared" si="40"/>
        <v>0.66101694915254239</v>
      </c>
    </row>
    <row r="105" spans="1:67" s="27" customFormat="1" ht="18.75" customHeight="1" x14ac:dyDescent="0.25">
      <c r="A105" s="50" t="s">
        <v>213</v>
      </c>
      <c r="B105" s="50" t="s">
        <v>214</v>
      </c>
      <c r="C105" s="50" t="s">
        <v>111</v>
      </c>
      <c r="D105" s="51">
        <f>VLOOKUP(A105,'[1]Cuadro Control'!C120:J2035,8,FALSE)</f>
        <v>140114934.456</v>
      </c>
      <c r="E105" s="52">
        <v>0.15</v>
      </c>
      <c r="F105" s="53">
        <v>46350</v>
      </c>
      <c r="G105" s="53">
        <v>46351</v>
      </c>
      <c r="H105" s="52">
        <f t="shared" ref="H105:W108" si="61">IF($F105=0,0,IF(H$6&lt;$F105,0,IF(H$6&gt;$G105,1,(H$6-$F105+1)/($G105-$F105+1))))</f>
        <v>0</v>
      </c>
      <c r="I105" s="52">
        <f t="shared" si="61"/>
        <v>0</v>
      </c>
      <c r="J105" s="52">
        <f t="shared" si="61"/>
        <v>0</v>
      </c>
      <c r="K105" s="52">
        <f t="shared" si="61"/>
        <v>0</v>
      </c>
      <c r="L105" s="52">
        <f t="shared" si="61"/>
        <v>0</v>
      </c>
      <c r="M105" s="52">
        <f t="shared" si="61"/>
        <v>0</v>
      </c>
      <c r="N105" s="52">
        <f t="shared" si="61"/>
        <v>0</v>
      </c>
      <c r="O105" s="52">
        <f t="shared" si="61"/>
        <v>0</v>
      </c>
      <c r="P105" s="52">
        <f t="shared" si="61"/>
        <v>0</v>
      </c>
      <c r="Q105" s="52">
        <f t="shared" si="61"/>
        <v>0</v>
      </c>
      <c r="R105" s="52">
        <f t="shared" si="61"/>
        <v>0</v>
      </c>
      <c r="S105" s="52">
        <f t="shared" si="61"/>
        <v>0</v>
      </c>
      <c r="T105" s="52">
        <f t="shared" si="61"/>
        <v>0</v>
      </c>
      <c r="U105" s="52">
        <f t="shared" si="61"/>
        <v>0</v>
      </c>
      <c r="V105" s="52">
        <f t="shared" si="61"/>
        <v>0</v>
      </c>
      <c r="W105" s="52">
        <f t="shared" si="61"/>
        <v>0</v>
      </c>
      <c r="X105" s="52">
        <f t="shared" ref="X105:BC108" si="62">IF($F105=0,0,IF(X$6&lt;$F105,0,IF(X$6&gt;$G105,1,(X$6-$F105+1)/($G105-$F105+1))))</f>
        <v>0</v>
      </c>
      <c r="Y105" s="52">
        <f t="shared" si="62"/>
        <v>0</v>
      </c>
      <c r="Z105" s="52">
        <f t="shared" si="62"/>
        <v>0</v>
      </c>
      <c r="AA105" s="52">
        <f t="shared" si="62"/>
        <v>0</v>
      </c>
      <c r="AB105" s="52">
        <f t="shared" si="62"/>
        <v>1</v>
      </c>
      <c r="AC105" s="52">
        <f t="shared" si="62"/>
        <v>1</v>
      </c>
      <c r="AD105" s="52">
        <f t="shared" si="62"/>
        <v>1</v>
      </c>
      <c r="AE105" s="52">
        <f t="shared" si="62"/>
        <v>1</v>
      </c>
      <c r="AF105" s="52">
        <f t="shared" si="62"/>
        <v>1</v>
      </c>
      <c r="AG105" s="52">
        <f t="shared" si="62"/>
        <v>1</v>
      </c>
      <c r="AH105" s="52">
        <f t="shared" si="62"/>
        <v>1</v>
      </c>
      <c r="AI105" s="52">
        <f t="shared" si="62"/>
        <v>1</v>
      </c>
      <c r="AJ105" s="52">
        <f t="shared" si="62"/>
        <v>1</v>
      </c>
      <c r="AK105" s="52">
        <f t="shared" si="62"/>
        <v>1</v>
      </c>
      <c r="AL105" s="52">
        <f t="shared" si="62"/>
        <v>1</v>
      </c>
      <c r="AM105" s="52">
        <f t="shared" si="62"/>
        <v>1</v>
      </c>
      <c r="AN105" s="52">
        <f t="shared" si="62"/>
        <v>1</v>
      </c>
      <c r="AO105" s="52">
        <f t="shared" si="59"/>
        <v>1</v>
      </c>
      <c r="AP105" s="52">
        <f t="shared" si="59"/>
        <v>1</v>
      </c>
      <c r="AQ105" s="52">
        <f t="shared" si="59"/>
        <v>1</v>
      </c>
      <c r="AR105" s="52">
        <f t="shared" si="59"/>
        <v>1</v>
      </c>
      <c r="AS105" s="52">
        <f t="shared" si="59"/>
        <v>1</v>
      </c>
      <c r="AT105" s="52">
        <f t="shared" si="59"/>
        <v>1</v>
      </c>
      <c r="AU105" s="52">
        <f t="shared" si="59"/>
        <v>1</v>
      </c>
      <c r="AV105" s="52">
        <f t="shared" si="59"/>
        <v>1</v>
      </c>
      <c r="AW105" s="52">
        <f t="shared" si="59"/>
        <v>1</v>
      </c>
      <c r="AX105" s="52">
        <f t="shared" si="59"/>
        <v>1</v>
      </c>
      <c r="AY105" s="52">
        <f t="shared" si="59"/>
        <v>1</v>
      </c>
      <c r="AZ105" s="52">
        <f t="shared" si="59"/>
        <v>1</v>
      </c>
      <c r="BA105" s="52">
        <f t="shared" si="59"/>
        <v>1</v>
      </c>
      <c r="BB105" s="52">
        <f t="shared" si="59"/>
        <v>1</v>
      </c>
      <c r="BC105" s="52">
        <f t="shared" si="59"/>
        <v>1</v>
      </c>
      <c r="BD105" s="52">
        <f t="shared" si="59"/>
        <v>1</v>
      </c>
      <c r="BE105" s="52">
        <f t="shared" si="59"/>
        <v>1</v>
      </c>
      <c r="BF105" s="52">
        <f t="shared" si="59"/>
        <v>1</v>
      </c>
      <c r="BG105" s="52">
        <f t="shared" si="60"/>
        <v>1</v>
      </c>
      <c r="BH105" s="52">
        <f t="shared" si="60"/>
        <v>1</v>
      </c>
      <c r="BI105" s="52">
        <f t="shared" si="60"/>
        <v>1</v>
      </c>
      <c r="BJ105" s="52">
        <f t="shared" si="60"/>
        <v>1</v>
      </c>
      <c r="BK105" s="52">
        <f t="shared" si="60"/>
        <v>1</v>
      </c>
      <c r="BL105" s="52">
        <f t="shared" si="60"/>
        <v>1</v>
      </c>
      <c r="BM105" s="52">
        <f t="shared" si="60"/>
        <v>1</v>
      </c>
      <c r="BN105" s="52">
        <f t="shared" si="60"/>
        <v>1</v>
      </c>
      <c r="BO105" s="32">
        <f t="shared" si="40"/>
        <v>0.66101694915254239</v>
      </c>
    </row>
    <row r="106" spans="1:67" s="27" customFormat="1" ht="18.75" customHeight="1" x14ac:dyDescent="0.25">
      <c r="A106" s="50" t="s">
        <v>215</v>
      </c>
      <c r="B106" s="50" t="s">
        <v>216</v>
      </c>
      <c r="C106" s="50" t="s">
        <v>126</v>
      </c>
      <c r="D106" s="51">
        <f>VLOOKUP(A106,'[1]Cuadro Control'!C121:J2036,8,FALSE)</f>
        <v>52335715.768702812</v>
      </c>
      <c r="E106" s="52">
        <v>0.06</v>
      </c>
      <c r="F106" s="53">
        <v>46351</v>
      </c>
      <c r="G106" s="53">
        <v>46353</v>
      </c>
      <c r="H106" s="52">
        <f t="shared" si="61"/>
        <v>0</v>
      </c>
      <c r="I106" s="52">
        <f t="shared" si="61"/>
        <v>0</v>
      </c>
      <c r="J106" s="52">
        <f t="shared" si="61"/>
        <v>0</v>
      </c>
      <c r="K106" s="52">
        <f t="shared" si="61"/>
        <v>0</v>
      </c>
      <c r="L106" s="52">
        <f t="shared" si="61"/>
        <v>0</v>
      </c>
      <c r="M106" s="52">
        <f t="shared" si="61"/>
        <v>0</v>
      </c>
      <c r="N106" s="52">
        <f t="shared" si="61"/>
        <v>0</v>
      </c>
      <c r="O106" s="52">
        <f t="shared" si="61"/>
        <v>0</v>
      </c>
      <c r="P106" s="52">
        <f t="shared" si="61"/>
        <v>0</v>
      </c>
      <c r="Q106" s="52">
        <f t="shared" si="61"/>
        <v>0</v>
      </c>
      <c r="R106" s="52">
        <f t="shared" si="61"/>
        <v>0</v>
      </c>
      <c r="S106" s="52">
        <f t="shared" si="61"/>
        <v>0</v>
      </c>
      <c r="T106" s="52">
        <f t="shared" si="61"/>
        <v>0</v>
      </c>
      <c r="U106" s="52">
        <f t="shared" si="61"/>
        <v>0</v>
      </c>
      <c r="V106" s="52">
        <f t="shared" si="61"/>
        <v>0</v>
      </c>
      <c r="W106" s="52">
        <f t="shared" si="61"/>
        <v>0</v>
      </c>
      <c r="X106" s="52">
        <f t="shared" si="62"/>
        <v>0</v>
      </c>
      <c r="Y106" s="52">
        <f t="shared" si="62"/>
        <v>0</v>
      </c>
      <c r="Z106" s="52">
        <f t="shared" si="62"/>
        <v>0</v>
      </c>
      <c r="AA106" s="52">
        <f t="shared" si="62"/>
        <v>0</v>
      </c>
      <c r="AB106" s="52">
        <f t="shared" si="62"/>
        <v>1</v>
      </c>
      <c r="AC106" s="52">
        <f t="shared" si="62"/>
        <v>1</v>
      </c>
      <c r="AD106" s="52">
        <f t="shared" si="62"/>
        <v>1</v>
      </c>
      <c r="AE106" s="52">
        <f t="shared" si="62"/>
        <v>1</v>
      </c>
      <c r="AF106" s="52">
        <f t="shared" si="62"/>
        <v>1</v>
      </c>
      <c r="AG106" s="52">
        <f t="shared" si="62"/>
        <v>1</v>
      </c>
      <c r="AH106" s="52">
        <f t="shared" si="62"/>
        <v>1</v>
      </c>
      <c r="AI106" s="52">
        <f t="shared" si="62"/>
        <v>1</v>
      </c>
      <c r="AJ106" s="52">
        <f t="shared" si="62"/>
        <v>1</v>
      </c>
      <c r="AK106" s="52">
        <f t="shared" si="62"/>
        <v>1</v>
      </c>
      <c r="AL106" s="52">
        <f t="shared" si="62"/>
        <v>1</v>
      </c>
      <c r="AM106" s="52">
        <f t="shared" si="62"/>
        <v>1</v>
      </c>
      <c r="AN106" s="52">
        <f t="shared" si="62"/>
        <v>1</v>
      </c>
      <c r="AO106" s="52">
        <f t="shared" si="59"/>
        <v>1</v>
      </c>
      <c r="AP106" s="52">
        <f t="shared" si="59"/>
        <v>1</v>
      </c>
      <c r="AQ106" s="52">
        <f t="shared" si="59"/>
        <v>1</v>
      </c>
      <c r="AR106" s="52">
        <f t="shared" si="59"/>
        <v>1</v>
      </c>
      <c r="AS106" s="52">
        <f t="shared" si="59"/>
        <v>1</v>
      </c>
      <c r="AT106" s="52">
        <f t="shared" si="59"/>
        <v>1</v>
      </c>
      <c r="AU106" s="52">
        <f t="shared" si="59"/>
        <v>1</v>
      </c>
      <c r="AV106" s="52">
        <f t="shared" si="59"/>
        <v>1</v>
      </c>
      <c r="AW106" s="52">
        <f t="shared" si="59"/>
        <v>1</v>
      </c>
      <c r="AX106" s="52">
        <f t="shared" si="59"/>
        <v>1</v>
      </c>
      <c r="AY106" s="52">
        <f t="shared" si="59"/>
        <v>1</v>
      </c>
      <c r="AZ106" s="52">
        <f t="shared" si="59"/>
        <v>1</v>
      </c>
      <c r="BA106" s="52">
        <f t="shared" si="59"/>
        <v>1</v>
      </c>
      <c r="BB106" s="52">
        <f t="shared" si="59"/>
        <v>1</v>
      </c>
      <c r="BC106" s="52">
        <f t="shared" si="59"/>
        <v>1</v>
      </c>
      <c r="BD106" s="52">
        <f t="shared" si="59"/>
        <v>1</v>
      </c>
      <c r="BE106" s="52">
        <f t="shared" si="59"/>
        <v>1</v>
      </c>
      <c r="BF106" s="52">
        <f t="shared" si="59"/>
        <v>1</v>
      </c>
      <c r="BG106" s="52">
        <f t="shared" si="60"/>
        <v>1</v>
      </c>
      <c r="BH106" s="52">
        <f t="shared" si="60"/>
        <v>1</v>
      </c>
      <c r="BI106" s="52">
        <f t="shared" si="60"/>
        <v>1</v>
      </c>
      <c r="BJ106" s="52">
        <f t="shared" si="60"/>
        <v>1</v>
      </c>
      <c r="BK106" s="52">
        <f t="shared" si="60"/>
        <v>1</v>
      </c>
      <c r="BL106" s="52">
        <f t="shared" si="60"/>
        <v>1</v>
      </c>
      <c r="BM106" s="52">
        <f t="shared" si="60"/>
        <v>1</v>
      </c>
      <c r="BN106" s="52">
        <f t="shared" si="60"/>
        <v>1</v>
      </c>
      <c r="BO106" s="32">
        <f t="shared" si="40"/>
        <v>0.66101694915254239</v>
      </c>
    </row>
    <row r="107" spans="1:67" s="27" customFormat="1" ht="18.75" customHeight="1" x14ac:dyDescent="0.25">
      <c r="A107" s="50" t="s">
        <v>217</v>
      </c>
      <c r="B107" s="50" t="s">
        <v>218</v>
      </c>
      <c r="C107" s="50" t="s">
        <v>117</v>
      </c>
      <c r="D107" s="51">
        <f>VLOOKUP(A107,'[1]Cuadro Control'!C122:J2037,8,FALSE)</f>
        <v>46410609.014634147</v>
      </c>
      <c r="E107" s="52">
        <v>0.05</v>
      </c>
      <c r="F107" s="53">
        <v>46358</v>
      </c>
      <c r="G107" s="53">
        <v>46360</v>
      </c>
      <c r="H107" s="52">
        <f t="shared" si="61"/>
        <v>0</v>
      </c>
      <c r="I107" s="52">
        <f t="shared" si="61"/>
        <v>0</v>
      </c>
      <c r="J107" s="52">
        <f t="shared" si="61"/>
        <v>0</v>
      </c>
      <c r="K107" s="52">
        <f t="shared" si="61"/>
        <v>0</v>
      </c>
      <c r="L107" s="52">
        <f t="shared" si="61"/>
        <v>0</v>
      </c>
      <c r="M107" s="52">
        <f t="shared" si="61"/>
        <v>0</v>
      </c>
      <c r="N107" s="52">
        <f t="shared" si="61"/>
        <v>0</v>
      </c>
      <c r="O107" s="52">
        <f t="shared" si="61"/>
        <v>0</v>
      </c>
      <c r="P107" s="52">
        <f t="shared" si="61"/>
        <v>0</v>
      </c>
      <c r="Q107" s="52">
        <f t="shared" si="61"/>
        <v>0</v>
      </c>
      <c r="R107" s="52">
        <f t="shared" si="61"/>
        <v>0</v>
      </c>
      <c r="S107" s="52">
        <f t="shared" si="61"/>
        <v>0</v>
      </c>
      <c r="T107" s="52">
        <f t="shared" si="61"/>
        <v>0</v>
      </c>
      <c r="U107" s="52">
        <f t="shared" si="61"/>
        <v>0</v>
      </c>
      <c r="V107" s="52">
        <f t="shared" si="61"/>
        <v>0</v>
      </c>
      <c r="W107" s="52">
        <f t="shared" si="61"/>
        <v>0</v>
      </c>
      <c r="X107" s="52">
        <f t="shared" si="62"/>
        <v>0</v>
      </c>
      <c r="Y107" s="52">
        <f t="shared" si="62"/>
        <v>0</v>
      </c>
      <c r="Z107" s="52">
        <f t="shared" si="62"/>
        <v>0</v>
      </c>
      <c r="AA107" s="52">
        <f t="shared" si="62"/>
        <v>0</v>
      </c>
      <c r="AB107" s="52">
        <f t="shared" si="62"/>
        <v>0</v>
      </c>
      <c r="AC107" s="52">
        <f t="shared" si="62"/>
        <v>1</v>
      </c>
      <c r="AD107" s="52">
        <f t="shared" si="62"/>
        <v>1</v>
      </c>
      <c r="AE107" s="52">
        <f t="shared" si="62"/>
        <v>1</v>
      </c>
      <c r="AF107" s="52">
        <f t="shared" si="62"/>
        <v>1</v>
      </c>
      <c r="AG107" s="52">
        <f t="shared" si="62"/>
        <v>1</v>
      </c>
      <c r="AH107" s="52">
        <f t="shared" si="62"/>
        <v>1</v>
      </c>
      <c r="AI107" s="52">
        <f t="shared" si="62"/>
        <v>1</v>
      </c>
      <c r="AJ107" s="52">
        <f t="shared" si="62"/>
        <v>1</v>
      </c>
      <c r="AK107" s="52">
        <f t="shared" si="62"/>
        <v>1</v>
      </c>
      <c r="AL107" s="52">
        <f t="shared" si="62"/>
        <v>1</v>
      </c>
      <c r="AM107" s="52">
        <f t="shared" si="62"/>
        <v>1</v>
      </c>
      <c r="AN107" s="52">
        <f t="shared" si="62"/>
        <v>1</v>
      </c>
      <c r="AO107" s="52">
        <f t="shared" si="62"/>
        <v>1</v>
      </c>
      <c r="AP107" s="52">
        <f t="shared" si="62"/>
        <v>1</v>
      </c>
      <c r="AQ107" s="52">
        <f t="shared" si="62"/>
        <v>1</v>
      </c>
      <c r="AR107" s="52">
        <f t="shared" si="62"/>
        <v>1</v>
      </c>
      <c r="AS107" s="52">
        <f t="shared" si="62"/>
        <v>1</v>
      </c>
      <c r="AT107" s="52">
        <f t="shared" si="62"/>
        <v>1</v>
      </c>
      <c r="AU107" s="52">
        <f t="shared" si="62"/>
        <v>1</v>
      </c>
      <c r="AV107" s="52">
        <f t="shared" si="62"/>
        <v>1</v>
      </c>
      <c r="AW107" s="52">
        <f t="shared" si="62"/>
        <v>1</v>
      </c>
      <c r="AX107" s="52">
        <f t="shared" si="62"/>
        <v>1</v>
      </c>
      <c r="AY107" s="52">
        <f t="shared" si="62"/>
        <v>1</v>
      </c>
      <c r="AZ107" s="52">
        <f t="shared" si="62"/>
        <v>1</v>
      </c>
      <c r="BA107" s="52">
        <f t="shared" si="62"/>
        <v>1</v>
      </c>
      <c r="BB107" s="52">
        <f t="shared" si="62"/>
        <v>1</v>
      </c>
      <c r="BC107" s="52">
        <f t="shared" si="62"/>
        <v>1</v>
      </c>
      <c r="BD107" s="52">
        <f t="shared" si="59"/>
        <v>1</v>
      </c>
      <c r="BE107" s="52">
        <f t="shared" si="59"/>
        <v>1</v>
      </c>
      <c r="BF107" s="52">
        <f t="shared" si="59"/>
        <v>1</v>
      </c>
      <c r="BG107" s="52">
        <f t="shared" si="60"/>
        <v>1</v>
      </c>
      <c r="BH107" s="52">
        <f t="shared" si="60"/>
        <v>1</v>
      </c>
      <c r="BI107" s="52">
        <f t="shared" si="60"/>
        <v>1</v>
      </c>
      <c r="BJ107" s="52">
        <f t="shared" si="60"/>
        <v>1</v>
      </c>
      <c r="BK107" s="52">
        <f t="shared" si="60"/>
        <v>1</v>
      </c>
      <c r="BL107" s="52">
        <f t="shared" si="60"/>
        <v>1</v>
      </c>
      <c r="BM107" s="52">
        <f t="shared" si="60"/>
        <v>1</v>
      </c>
      <c r="BN107" s="52">
        <f t="shared" si="60"/>
        <v>1</v>
      </c>
      <c r="BO107" s="32">
        <f t="shared" si="40"/>
        <v>0.64406779661016944</v>
      </c>
    </row>
    <row r="108" spans="1:67" s="27" customFormat="1" ht="18.75" customHeight="1" x14ac:dyDescent="0.25">
      <c r="A108" s="55" t="s">
        <v>219</v>
      </c>
      <c r="B108" s="55" t="s">
        <v>220</v>
      </c>
      <c r="C108" s="55" t="s">
        <v>14</v>
      </c>
      <c r="D108" s="56">
        <f>VLOOKUP(A108,'[1]Cuadro Control'!C123:J2038,8,FALSE)</f>
        <v>0</v>
      </c>
      <c r="E108" s="57">
        <f>IFERROR(D108/$D$8,0)</f>
        <v>0</v>
      </c>
      <c r="F108" s="58">
        <v>46360</v>
      </c>
      <c r="G108" s="58">
        <v>46360</v>
      </c>
      <c r="H108" s="57">
        <f t="shared" si="61"/>
        <v>0</v>
      </c>
      <c r="I108" s="57">
        <f t="shared" si="61"/>
        <v>0</v>
      </c>
      <c r="J108" s="57">
        <f t="shared" si="61"/>
        <v>0</v>
      </c>
      <c r="K108" s="57">
        <f t="shared" si="61"/>
        <v>0</v>
      </c>
      <c r="L108" s="57">
        <f t="shared" si="61"/>
        <v>0</v>
      </c>
      <c r="M108" s="57">
        <f t="shared" si="61"/>
        <v>0</v>
      </c>
      <c r="N108" s="57">
        <f t="shared" si="61"/>
        <v>0</v>
      </c>
      <c r="O108" s="57">
        <f t="shared" si="61"/>
        <v>0</v>
      </c>
      <c r="P108" s="57">
        <f t="shared" si="61"/>
        <v>0</v>
      </c>
      <c r="Q108" s="57">
        <f t="shared" si="61"/>
        <v>0</v>
      </c>
      <c r="R108" s="57">
        <f t="shared" si="61"/>
        <v>0</v>
      </c>
      <c r="S108" s="57">
        <f t="shared" si="61"/>
        <v>0</v>
      </c>
      <c r="T108" s="57">
        <f t="shared" si="61"/>
        <v>0</v>
      </c>
      <c r="U108" s="57">
        <f t="shared" si="61"/>
        <v>0</v>
      </c>
      <c r="V108" s="57">
        <f t="shared" si="61"/>
        <v>0</v>
      </c>
      <c r="W108" s="57">
        <f t="shared" si="61"/>
        <v>0</v>
      </c>
      <c r="X108" s="57">
        <f t="shared" si="62"/>
        <v>0</v>
      </c>
      <c r="Y108" s="57">
        <f t="shared" si="62"/>
        <v>0</v>
      </c>
      <c r="Z108" s="57">
        <f t="shared" si="62"/>
        <v>0</v>
      </c>
      <c r="AA108" s="57">
        <f t="shared" si="62"/>
        <v>0</v>
      </c>
      <c r="AB108" s="57">
        <f t="shared" si="62"/>
        <v>0</v>
      </c>
      <c r="AC108" s="57">
        <f t="shared" si="62"/>
        <v>1</v>
      </c>
      <c r="AD108" s="57">
        <f t="shared" si="62"/>
        <v>1</v>
      </c>
      <c r="AE108" s="57">
        <f t="shared" si="62"/>
        <v>1</v>
      </c>
      <c r="AF108" s="57">
        <f t="shared" si="62"/>
        <v>1</v>
      </c>
      <c r="AG108" s="57">
        <f t="shared" si="62"/>
        <v>1</v>
      </c>
      <c r="AH108" s="57">
        <f t="shared" si="62"/>
        <v>1</v>
      </c>
      <c r="AI108" s="57">
        <f t="shared" si="62"/>
        <v>1</v>
      </c>
      <c r="AJ108" s="57">
        <f t="shared" si="62"/>
        <v>1</v>
      </c>
      <c r="AK108" s="57">
        <f t="shared" si="62"/>
        <v>1</v>
      </c>
      <c r="AL108" s="57">
        <f t="shared" si="62"/>
        <v>1</v>
      </c>
      <c r="AM108" s="57">
        <f t="shared" si="62"/>
        <v>1</v>
      </c>
      <c r="AN108" s="57">
        <f t="shared" si="62"/>
        <v>1</v>
      </c>
      <c r="AO108" s="57">
        <f t="shared" si="62"/>
        <v>1</v>
      </c>
      <c r="AP108" s="57">
        <f t="shared" si="62"/>
        <v>1</v>
      </c>
      <c r="AQ108" s="57">
        <f t="shared" si="62"/>
        <v>1</v>
      </c>
      <c r="AR108" s="57">
        <f t="shared" si="62"/>
        <v>1</v>
      </c>
      <c r="AS108" s="57">
        <f t="shared" si="62"/>
        <v>1</v>
      </c>
      <c r="AT108" s="57">
        <f t="shared" si="62"/>
        <v>1</v>
      </c>
      <c r="AU108" s="57">
        <f t="shared" si="62"/>
        <v>1</v>
      </c>
      <c r="AV108" s="57">
        <f t="shared" si="62"/>
        <v>1</v>
      </c>
      <c r="AW108" s="57">
        <f t="shared" si="62"/>
        <v>1</v>
      </c>
      <c r="AX108" s="57">
        <f t="shared" si="62"/>
        <v>1</v>
      </c>
      <c r="AY108" s="57">
        <f t="shared" si="62"/>
        <v>1</v>
      </c>
      <c r="AZ108" s="57">
        <f t="shared" si="62"/>
        <v>1</v>
      </c>
      <c r="BA108" s="57">
        <f t="shared" si="62"/>
        <v>1</v>
      </c>
      <c r="BB108" s="57">
        <f t="shared" si="62"/>
        <v>1</v>
      </c>
      <c r="BC108" s="57">
        <f t="shared" si="62"/>
        <v>1</v>
      </c>
      <c r="BD108" s="57">
        <f t="shared" si="59"/>
        <v>1</v>
      </c>
      <c r="BE108" s="57">
        <f t="shared" si="59"/>
        <v>1</v>
      </c>
      <c r="BF108" s="57">
        <f t="shared" si="59"/>
        <v>1</v>
      </c>
      <c r="BG108" s="57">
        <f t="shared" si="60"/>
        <v>1</v>
      </c>
      <c r="BH108" s="57">
        <f t="shared" si="60"/>
        <v>1</v>
      </c>
      <c r="BI108" s="57">
        <f t="shared" si="60"/>
        <v>1</v>
      </c>
      <c r="BJ108" s="57">
        <f t="shared" si="60"/>
        <v>1</v>
      </c>
      <c r="BK108" s="57">
        <f t="shared" si="60"/>
        <v>1</v>
      </c>
      <c r="BL108" s="57">
        <f t="shared" si="60"/>
        <v>1</v>
      </c>
      <c r="BM108" s="57">
        <f t="shared" si="60"/>
        <v>1</v>
      </c>
      <c r="BN108" s="57">
        <f t="shared" si="60"/>
        <v>1</v>
      </c>
      <c r="BO108" s="32">
        <f t="shared" si="40"/>
        <v>0.64406779661016944</v>
      </c>
    </row>
    <row r="109" spans="1:67" s="27" customFormat="1" ht="18.75" customHeight="1" x14ac:dyDescent="0.25">
      <c r="A109" s="21">
        <v>10</v>
      </c>
      <c r="B109" s="21" t="s">
        <v>221</v>
      </c>
      <c r="C109" s="21" t="s">
        <v>222</v>
      </c>
      <c r="D109" s="33">
        <f>+D110+D127+D144+D161+D178+D195+D212+D229+D246+D263+D280+D297+D314+D331+D348+D365+D382+D399+D416+D433+D450+D467+D484+D501+D518+D535+D552+D569+D586+D603+D620+D637+D654+D671</f>
        <v>180521375798.72467</v>
      </c>
      <c r="E109" s="24">
        <f>IFERROR(D109/$D$8,0)</f>
        <v>0.86603384895009672</v>
      </c>
      <c r="F109" s="25">
        <v>46220</v>
      </c>
      <c r="G109" s="25">
        <v>46606</v>
      </c>
      <c r="H109" s="24">
        <f>$E110*H110+$E127*H127+$E144*H144+$E161*H161+$E178*H178+$E195*H195+$E212*H212+$E229*H229+$E246*H246+$E263*H263+$E280*H280+$E297*H297+$E314*H314+$E331*H331+$E348*H348+$E365*H365+$E382*H382+$E399*H399+$E416*H416+$E433*H433+$E450*H450+$E467*H467+$E484*H484+$E501*H501+$E518*H518+$E535*H535+$E552*H552+$E569*H569+$E586*H586+$E603*H603+$E620*H620+$E637*H637+$E654*H654+$E671*H671</f>
        <v>0</v>
      </c>
      <c r="I109" s="24">
        <f t="shared" ref="I109:BN109" si="63">$E110*I110+$E127*I127+$E144*I144+$E161*I161+$E178*I178+$E195*I195+$E212*I212+$E229*I229+$E246*I246+$E263*I263+$E280*I280+$E297*I297+$E314*I314+$E331*I331+$E348*I348+$E365*I365+$E382*I382+$E399*I399+$E416*I416+$E433*I433+$E450*I450+$E467*I467+$E484*I484+$E501*I501+$E518*I518+$E535*I535+$E552*I552+$E569*I569+$E586*I586+$E603*I603+$E620*I620+$E637*I637+$E654*I654+$E671*I671</f>
        <v>1.5906375117280011E-5</v>
      </c>
      <c r="J109" s="24">
        <f t="shared" si="63"/>
        <v>1.41376367714899E-4</v>
      </c>
      <c r="K109" s="24">
        <f t="shared" si="63"/>
        <v>4.100801849684441E-4</v>
      </c>
      <c r="L109" s="24">
        <f t="shared" si="63"/>
        <v>8.7239938194006274E-4</v>
      </c>
      <c r="M109" s="24">
        <f t="shared" si="63"/>
        <v>1.5848527529488756E-3</v>
      </c>
      <c r="N109" s="24">
        <f t="shared" si="63"/>
        <v>3.3679826025047616E-3</v>
      </c>
      <c r="O109" s="24">
        <f t="shared" si="63"/>
        <v>5.1942517426665259E-3</v>
      </c>
      <c r="P109" s="24">
        <f t="shared" si="63"/>
        <v>7.8200639754118541E-3</v>
      </c>
      <c r="Q109" s="24">
        <f t="shared" si="63"/>
        <v>1.0856868553119108E-2</v>
      </c>
      <c r="R109" s="24">
        <f t="shared" si="63"/>
        <v>1.5734416728345271E-2</v>
      </c>
      <c r="S109" s="24">
        <f t="shared" si="63"/>
        <v>2.31774731324393E-2</v>
      </c>
      <c r="T109" s="24">
        <f t="shared" si="63"/>
        <v>3.3995762348025378E-2</v>
      </c>
      <c r="U109" s="24">
        <f t="shared" si="63"/>
        <v>4.8185397857686572E-2</v>
      </c>
      <c r="V109" s="24">
        <f t="shared" si="63"/>
        <v>6.8435818070857551E-2</v>
      </c>
      <c r="W109" s="24">
        <f t="shared" si="63"/>
        <v>9.1660560348722692E-2</v>
      </c>
      <c r="X109" s="24">
        <f t="shared" si="63"/>
        <v>0.10985753336556718</v>
      </c>
      <c r="Y109" s="24">
        <f t="shared" si="63"/>
        <v>0.13744479350447966</v>
      </c>
      <c r="Z109" s="24">
        <f t="shared" si="63"/>
        <v>0.16920987831951653</v>
      </c>
      <c r="AA109" s="24">
        <f t="shared" si="63"/>
        <v>0.19102425056236577</v>
      </c>
      <c r="AB109" s="24">
        <f t="shared" si="63"/>
        <v>0.21919904184490943</v>
      </c>
      <c r="AC109" s="24">
        <f t="shared" si="63"/>
        <v>0.24402689980754108</v>
      </c>
      <c r="AD109" s="24">
        <f t="shared" si="63"/>
        <v>0.26727200448082755</v>
      </c>
      <c r="AE109" s="24">
        <f t="shared" si="63"/>
        <v>0.29645579168194125</v>
      </c>
      <c r="AF109" s="24">
        <f t="shared" si="63"/>
        <v>0.31559480931588119</v>
      </c>
      <c r="AG109" s="24">
        <f t="shared" si="63"/>
        <v>0.34130801515420972</v>
      </c>
      <c r="AH109" s="24">
        <f t="shared" si="63"/>
        <v>0.36623622099721348</v>
      </c>
      <c r="AI109" s="24">
        <f t="shared" si="63"/>
        <v>0.38807231025261707</v>
      </c>
      <c r="AJ109" s="24">
        <f t="shared" si="63"/>
        <v>0.41315071386010355</v>
      </c>
      <c r="AK109" s="24">
        <f t="shared" si="63"/>
        <v>0.43379821973798599</v>
      </c>
      <c r="AL109" s="24">
        <f t="shared" si="63"/>
        <v>0.46139232644538486</v>
      </c>
      <c r="AM109" s="24">
        <f t="shared" si="63"/>
        <v>0.48735184797182457</v>
      </c>
      <c r="AN109" s="24">
        <f t="shared" si="63"/>
        <v>0.51428814609958096</v>
      </c>
      <c r="AO109" s="24">
        <f t="shared" si="63"/>
        <v>0.54009338902124227</v>
      </c>
      <c r="AP109" s="24">
        <f t="shared" si="63"/>
        <v>0.56616044327952708</v>
      </c>
      <c r="AQ109" s="24">
        <f t="shared" si="63"/>
        <v>0.59062422258480296</v>
      </c>
      <c r="AR109" s="24">
        <f t="shared" si="63"/>
        <v>0.61520923430797725</v>
      </c>
      <c r="AS109" s="24">
        <f t="shared" si="63"/>
        <v>0.63198038781578048</v>
      </c>
      <c r="AT109" s="24">
        <f t="shared" si="63"/>
        <v>0.65495750134183583</v>
      </c>
      <c r="AU109" s="24">
        <f t="shared" si="63"/>
        <v>0.67924758073945135</v>
      </c>
      <c r="AV109" s="24">
        <f t="shared" si="63"/>
        <v>0.70250516693600495</v>
      </c>
      <c r="AW109" s="24">
        <f t="shared" si="63"/>
        <v>0.72484277927656382</v>
      </c>
      <c r="AX109" s="24">
        <f t="shared" si="63"/>
        <v>0.75238408301186699</v>
      </c>
      <c r="AY109" s="24">
        <f t="shared" si="63"/>
        <v>0.7787538475828587</v>
      </c>
      <c r="AZ109" s="24">
        <f t="shared" si="63"/>
        <v>0.80197091705237922</v>
      </c>
      <c r="BA109" s="24">
        <f t="shared" si="63"/>
        <v>0.82710520793594244</v>
      </c>
      <c r="BB109" s="24">
        <f t="shared" si="63"/>
        <v>0.8527166233841933</v>
      </c>
      <c r="BC109" s="24">
        <f t="shared" si="63"/>
        <v>0.87801745694906796</v>
      </c>
      <c r="BD109" s="24">
        <f t="shared" si="63"/>
        <v>0.89378602243118299</v>
      </c>
      <c r="BE109" s="24">
        <f t="shared" si="63"/>
        <v>0.91716071054936699</v>
      </c>
      <c r="BF109" s="24">
        <f t="shared" si="63"/>
        <v>0.94003632744670707</v>
      </c>
      <c r="BG109" s="24">
        <f t="shared" si="63"/>
        <v>0.95651953191922978</v>
      </c>
      <c r="BH109" s="24">
        <f t="shared" si="63"/>
        <v>0.97058807041153128</v>
      </c>
      <c r="BI109" s="24">
        <f t="shared" si="63"/>
        <v>0.98153031960908477</v>
      </c>
      <c r="BJ109" s="24">
        <f t="shared" si="63"/>
        <v>0.98752624575492431</v>
      </c>
      <c r="BK109" s="24">
        <f t="shared" si="63"/>
        <v>0.99448046337664509</v>
      </c>
      <c r="BL109" s="24">
        <f t="shared" si="63"/>
        <v>0.9999095889103301</v>
      </c>
      <c r="BM109" s="24">
        <f t="shared" si="63"/>
        <v>0.99999999999999933</v>
      </c>
      <c r="BN109" s="24">
        <f t="shared" si="63"/>
        <v>0.99999999999999933</v>
      </c>
      <c r="BO109" s="32">
        <f t="shared" si="40"/>
        <v>0.45602105314326974</v>
      </c>
    </row>
    <row r="110" spans="1:67" s="27" customFormat="1" ht="18.75" customHeight="1" x14ac:dyDescent="0.25">
      <c r="A110" s="42" t="s">
        <v>223</v>
      </c>
      <c r="B110" s="42" t="s">
        <v>224</v>
      </c>
      <c r="C110" s="42" t="s">
        <v>225</v>
      </c>
      <c r="D110" s="43">
        <f>SUM(D111:D126)</f>
        <v>5308872732.0543728</v>
      </c>
      <c r="E110" s="44">
        <f>IFERROR(D110/$D$109,0)</f>
        <v>2.9408554574576196E-2</v>
      </c>
      <c r="F110" s="45">
        <v>46220</v>
      </c>
      <c r="G110" s="45">
        <v>46344</v>
      </c>
      <c r="H110" s="44">
        <f>SUMPRODUCT($E111:$E125,H111:H125)</f>
        <v>0</v>
      </c>
      <c r="I110" s="44">
        <f t="shared" ref="I110:BN110" si="64">SUMPRODUCT($E111:$E125,I111:I125)</f>
        <v>5.4087578758566846E-4</v>
      </c>
      <c r="J110" s="44">
        <f t="shared" si="64"/>
        <v>4.3270063006853477E-3</v>
      </c>
      <c r="K110" s="44">
        <f t="shared" si="64"/>
        <v>8.1131368137850272E-3</v>
      </c>
      <c r="L110" s="44">
        <f t="shared" si="64"/>
        <v>1.1899267326884705E-2</v>
      </c>
      <c r="M110" s="44">
        <f t="shared" si="64"/>
        <v>2.2223184703489773E-2</v>
      </c>
      <c r="N110" s="44">
        <f t="shared" si="64"/>
        <v>6.7987692748027503E-2</v>
      </c>
      <c r="O110" s="44">
        <f t="shared" si="64"/>
        <v>0.10650498686563921</v>
      </c>
      <c r="P110" s="44">
        <f t="shared" si="64"/>
        <v>0.13668979566530554</v>
      </c>
      <c r="Q110" s="44">
        <f t="shared" si="64"/>
        <v>0.13668979566530554</v>
      </c>
      <c r="R110" s="44">
        <f t="shared" si="64"/>
        <v>0.13668979566530554</v>
      </c>
      <c r="S110" s="44">
        <f t="shared" si="64"/>
        <v>0.16411012842261916</v>
      </c>
      <c r="T110" s="44">
        <f t="shared" si="64"/>
        <v>0.2285609018644725</v>
      </c>
      <c r="U110" s="44">
        <f t="shared" si="64"/>
        <v>0.32261391968511494</v>
      </c>
      <c r="V110" s="44">
        <f t="shared" si="64"/>
        <v>0.41666693750575734</v>
      </c>
      <c r="W110" s="44">
        <f t="shared" si="64"/>
        <v>0.64850810003989967</v>
      </c>
      <c r="X110" s="44">
        <f t="shared" si="64"/>
        <v>0.65595831830105988</v>
      </c>
      <c r="Y110" s="44">
        <f t="shared" si="64"/>
        <v>0.78074169005721283</v>
      </c>
      <c r="Z110" s="44">
        <f t="shared" si="64"/>
        <v>0.98792234338482321</v>
      </c>
      <c r="AA110" s="44">
        <f t="shared" si="64"/>
        <v>1</v>
      </c>
      <c r="AB110" s="44">
        <f t="shared" si="64"/>
        <v>1</v>
      </c>
      <c r="AC110" s="44">
        <f t="shared" si="64"/>
        <v>1</v>
      </c>
      <c r="AD110" s="44">
        <f t="shared" si="64"/>
        <v>1</v>
      </c>
      <c r="AE110" s="44">
        <f t="shared" si="64"/>
        <v>1</v>
      </c>
      <c r="AF110" s="44">
        <f t="shared" si="64"/>
        <v>1</v>
      </c>
      <c r="AG110" s="44">
        <f t="shared" si="64"/>
        <v>1</v>
      </c>
      <c r="AH110" s="44">
        <f t="shared" si="64"/>
        <v>1</v>
      </c>
      <c r="AI110" s="44">
        <f t="shared" si="64"/>
        <v>1</v>
      </c>
      <c r="AJ110" s="44">
        <f t="shared" si="64"/>
        <v>1</v>
      </c>
      <c r="AK110" s="44">
        <f t="shared" si="64"/>
        <v>1</v>
      </c>
      <c r="AL110" s="44">
        <f t="shared" si="64"/>
        <v>1</v>
      </c>
      <c r="AM110" s="44">
        <f t="shared" si="64"/>
        <v>1</v>
      </c>
      <c r="AN110" s="44">
        <f t="shared" si="64"/>
        <v>1</v>
      </c>
      <c r="AO110" s="44">
        <f t="shared" si="64"/>
        <v>1</v>
      </c>
      <c r="AP110" s="44">
        <f t="shared" si="64"/>
        <v>1</v>
      </c>
      <c r="AQ110" s="44">
        <f t="shared" si="64"/>
        <v>1</v>
      </c>
      <c r="AR110" s="44">
        <f t="shared" si="64"/>
        <v>1</v>
      </c>
      <c r="AS110" s="44">
        <f t="shared" si="64"/>
        <v>1</v>
      </c>
      <c r="AT110" s="44">
        <f t="shared" si="64"/>
        <v>1</v>
      </c>
      <c r="AU110" s="44">
        <f t="shared" si="64"/>
        <v>1</v>
      </c>
      <c r="AV110" s="44">
        <f t="shared" si="64"/>
        <v>1</v>
      </c>
      <c r="AW110" s="44">
        <f t="shared" si="64"/>
        <v>1</v>
      </c>
      <c r="AX110" s="44">
        <f t="shared" si="64"/>
        <v>1</v>
      </c>
      <c r="AY110" s="44">
        <f t="shared" si="64"/>
        <v>1</v>
      </c>
      <c r="AZ110" s="44">
        <f t="shared" si="64"/>
        <v>1</v>
      </c>
      <c r="BA110" s="44">
        <f t="shared" si="64"/>
        <v>1</v>
      </c>
      <c r="BB110" s="44">
        <f t="shared" si="64"/>
        <v>1</v>
      </c>
      <c r="BC110" s="44">
        <f t="shared" si="64"/>
        <v>1</v>
      </c>
      <c r="BD110" s="44">
        <f t="shared" si="64"/>
        <v>1</v>
      </c>
      <c r="BE110" s="44">
        <f t="shared" si="64"/>
        <v>1</v>
      </c>
      <c r="BF110" s="44">
        <f t="shared" si="64"/>
        <v>1</v>
      </c>
      <c r="BG110" s="44">
        <f t="shared" si="64"/>
        <v>1</v>
      </c>
      <c r="BH110" s="44">
        <f t="shared" si="64"/>
        <v>1</v>
      </c>
      <c r="BI110" s="44">
        <f t="shared" si="64"/>
        <v>1</v>
      </c>
      <c r="BJ110" s="44">
        <f t="shared" si="64"/>
        <v>1</v>
      </c>
      <c r="BK110" s="44">
        <f t="shared" si="64"/>
        <v>1</v>
      </c>
      <c r="BL110" s="44">
        <f t="shared" si="64"/>
        <v>1</v>
      </c>
      <c r="BM110" s="44">
        <f t="shared" si="64"/>
        <v>1</v>
      </c>
      <c r="BN110" s="44">
        <f t="shared" si="64"/>
        <v>1</v>
      </c>
      <c r="BO110" s="32">
        <f t="shared" si="40"/>
        <v>0.75994487926784704</v>
      </c>
    </row>
    <row r="111" spans="1:67" s="27" customFormat="1" ht="18.75" customHeight="1" x14ac:dyDescent="0.25">
      <c r="A111" s="54" t="s">
        <v>226</v>
      </c>
      <c r="B111" s="54" t="s">
        <v>227</v>
      </c>
      <c r="C111" s="50" t="s">
        <v>74</v>
      </c>
      <c r="D111" s="51">
        <f>VLOOKUP(A111,'[1]Cuadro Control'!C126:J2041,8,FALSE)</f>
        <v>83271780.884117648</v>
      </c>
      <c r="E111" s="52">
        <f>IFERROR(D111/$D$110,0)</f>
        <v>1.5685397839984384E-2</v>
      </c>
      <c r="F111" s="53">
        <v>46220</v>
      </c>
      <c r="G111" s="53">
        <v>46248</v>
      </c>
      <c r="H111" s="52">
        <f t="shared" ref="H111:W126" si="65">IF($F111=0,0,IF(H$6&lt;$F111,0,IF(H$6&gt;$G111,1,(H$6-$F111+1)/($G111-$F111+1))))</f>
        <v>0</v>
      </c>
      <c r="I111" s="52">
        <f t="shared" si="65"/>
        <v>3.4482758620689655E-2</v>
      </c>
      <c r="J111" s="52">
        <f t="shared" si="65"/>
        <v>0.27586206896551724</v>
      </c>
      <c r="K111" s="52">
        <f t="shared" si="65"/>
        <v>0.51724137931034486</v>
      </c>
      <c r="L111" s="52">
        <f t="shared" si="65"/>
        <v>0.75862068965517238</v>
      </c>
      <c r="M111" s="52">
        <f t="shared" si="65"/>
        <v>1</v>
      </c>
      <c r="N111" s="52">
        <f t="shared" si="65"/>
        <v>1</v>
      </c>
      <c r="O111" s="52">
        <f t="shared" si="65"/>
        <v>1</v>
      </c>
      <c r="P111" s="52">
        <f t="shared" si="65"/>
        <v>1</v>
      </c>
      <c r="Q111" s="52">
        <f t="shared" si="65"/>
        <v>1</v>
      </c>
      <c r="R111" s="52">
        <f t="shared" si="65"/>
        <v>1</v>
      </c>
      <c r="S111" s="52">
        <f t="shared" si="65"/>
        <v>1</v>
      </c>
      <c r="T111" s="52">
        <f t="shared" si="65"/>
        <v>1</v>
      </c>
      <c r="U111" s="52">
        <f t="shared" si="65"/>
        <v>1</v>
      </c>
      <c r="V111" s="52">
        <f t="shared" si="65"/>
        <v>1</v>
      </c>
      <c r="W111" s="52">
        <f t="shared" si="65"/>
        <v>1</v>
      </c>
      <c r="X111" s="52">
        <f t="shared" ref="X111:BC118" si="66">IF($F111=0,0,IF(X$6&lt;$F111,0,IF(X$6&gt;$G111,1,(X$6-$F111+1)/($G111-$F111+1))))</f>
        <v>1</v>
      </c>
      <c r="Y111" s="52">
        <f t="shared" si="66"/>
        <v>1</v>
      </c>
      <c r="Z111" s="52">
        <f t="shared" si="66"/>
        <v>1</v>
      </c>
      <c r="AA111" s="52">
        <f t="shared" si="66"/>
        <v>1</v>
      </c>
      <c r="AB111" s="52">
        <f t="shared" si="66"/>
        <v>1</v>
      </c>
      <c r="AC111" s="52">
        <f t="shared" si="66"/>
        <v>1</v>
      </c>
      <c r="AD111" s="52">
        <f t="shared" si="66"/>
        <v>1</v>
      </c>
      <c r="AE111" s="52">
        <f t="shared" si="66"/>
        <v>1</v>
      </c>
      <c r="AF111" s="52">
        <f t="shared" si="66"/>
        <v>1</v>
      </c>
      <c r="AG111" s="52">
        <f t="shared" si="66"/>
        <v>1</v>
      </c>
      <c r="AH111" s="52">
        <f t="shared" si="66"/>
        <v>1</v>
      </c>
      <c r="AI111" s="52">
        <f t="shared" si="66"/>
        <v>1</v>
      </c>
      <c r="AJ111" s="52">
        <f t="shared" si="66"/>
        <v>1</v>
      </c>
      <c r="AK111" s="52">
        <f t="shared" si="66"/>
        <v>1</v>
      </c>
      <c r="AL111" s="52">
        <f t="shared" si="66"/>
        <v>1</v>
      </c>
      <c r="AM111" s="52">
        <f t="shared" si="66"/>
        <v>1</v>
      </c>
      <c r="AN111" s="52">
        <f t="shared" si="66"/>
        <v>1</v>
      </c>
      <c r="AO111" s="52">
        <f t="shared" si="66"/>
        <v>1</v>
      </c>
      <c r="AP111" s="52">
        <f t="shared" si="66"/>
        <v>1</v>
      </c>
      <c r="AQ111" s="52">
        <f t="shared" si="66"/>
        <v>1</v>
      </c>
      <c r="AR111" s="52">
        <f t="shared" si="66"/>
        <v>1</v>
      </c>
      <c r="AS111" s="52">
        <f t="shared" si="66"/>
        <v>1</v>
      </c>
      <c r="AT111" s="52">
        <f t="shared" si="66"/>
        <v>1</v>
      </c>
      <c r="AU111" s="52">
        <f t="shared" si="66"/>
        <v>1</v>
      </c>
      <c r="AV111" s="52">
        <f t="shared" si="66"/>
        <v>1</v>
      </c>
      <c r="AW111" s="52">
        <f t="shared" si="66"/>
        <v>1</v>
      </c>
      <c r="AX111" s="52">
        <f t="shared" si="66"/>
        <v>1</v>
      </c>
      <c r="AY111" s="52">
        <f t="shared" si="66"/>
        <v>1</v>
      </c>
      <c r="AZ111" s="52">
        <f t="shared" si="66"/>
        <v>1</v>
      </c>
      <c r="BA111" s="52">
        <f t="shared" si="66"/>
        <v>1</v>
      </c>
      <c r="BB111" s="52">
        <f t="shared" si="66"/>
        <v>1</v>
      </c>
      <c r="BC111" s="52">
        <f t="shared" si="66"/>
        <v>1</v>
      </c>
      <c r="BD111" s="52">
        <f t="shared" ref="BD111:BN117" si="67">IF($F111=0,0,IF(BD$6&lt;$F111,0,IF(BD$6&gt;$G111,1,(BD$6-$F111+1)/($G111-$F111+1))))</f>
        <v>1</v>
      </c>
      <c r="BE111" s="52">
        <f t="shared" si="67"/>
        <v>1</v>
      </c>
      <c r="BF111" s="52">
        <f t="shared" si="67"/>
        <v>1</v>
      </c>
      <c r="BG111" s="52">
        <f t="shared" si="67"/>
        <v>1</v>
      </c>
      <c r="BH111" s="52">
        <f t="shared" si="67"/>
        <v>1</v>
      </c>
      <c r="BI111" s="52">
        <f t="shared" si="67"/>
        <v>1</v>
      </c>
      <c r="BJ111" s="52">
        <f t="shared" si="67"/>
        <v>1</v>
      </c>
      <c r="BK111" s="52">
        <f t="shared" si="67"/>
        <v>1</v>
      </c>
      <c r="BL111" s="52">
        <f t="shared" si="67"/>
        <v>1</v>
      </c>
      <c r="BM111" s="52">
        <f t="shared" si="67"/>
        <v>1</v>
      </c>
      <c r="BN111" s="52">
        <f t="shared" si="67"/>
        <v>1</v>
      </c>
      <c r="BO111" s="32">
        <f t="shared" si="40"/>
        <v>0.94213909994155465</v>
      </c>
    </row>
    <row r="112" spans="1:67" s="27" customFormat="1" ht="18.75" customHeight="1" x14ac:dyDescent="0.25">
      <c r="A112" s="54" t="s">
        <v>228</v>
      </c>
      <c r="B112" s="54" t="s">
        <v>229</v>
      </c>
      <c r="C112" s="50" t="s">
        <v>61</v>
      </c>
      <c r="D112" s="51">
        <f>VLOOKUP(A112,'[1]Cuadro Control'!C127:J2042,8,FALSE)</f>
        <v>312374505.66882348</v>
      </c>
      <c r="E112" s="52">
        <f t="shared" ref="E112:E126" si="68">IFERROR(D112/$D$110,0)</f>
        <v>5.8840081771548515E-2</v>
      </c>
      <c r="F112" s="53">
        <v>46248</v>
      </c>
      <c r="G112" s="53">
        <v>46256</v>
      </c>
      <c r="H112" s="52">
        <f t="shared" si="65"/>
        <v>0</v>
      </c>
      <c r="I112" s="52">
        <f t="shared" si="65"/>
        <v>0</v>
      </c>
      <c r="J112" s="52">
        <f t="shared" si="65"/>
        <v>0</v>
      </c>
      <c r="K112" s="52">
        <f t="shared" si="65"/>
        <v>0</v>
      </c>
      <c r="L112" s="52">
        <f t="shared" si="65"/>
        <v>0</v>
      </c>
      <c r="M112" s="52">
        <f t="shared" si="65"/>
        <v>0.1111111111111111</v>
      </c>
      <c r="N112" s="52">
        <f t="shared" si="65"/>
        <v>0.88888888888888884</v>
      </c>
      <c r="O112" s="52">
        <f t="shared" si="65"/>
        <v>1</v>
      </c>
      <c r="P112" s="52">
        <f t="shared" si="65"/>
        <v>1</v>
      </c>
      <c r="Q112" s="52">
        <f t="shared" si="65"/>
        <v>1</v>
      </c>
      <c r="R112" s="52">
        <f t="shared" si="65"/>
        <v>1</v>
      </c>
      <c r="S112" s="52">
        <f t="shared" si="65"/>
        <v>1</v>
      </c>
      <c r="T112" s="52">
        <f t="shared" si="65"/>
        <v>1</v>
      </c>
      <c r="U112" s="52">
        <f t="shared" si="65"/>
        <v>1</v>
      </c>
      <c r="V112" s="52">
        <f t="shared" si="65"/>
        <v>1</v>
      </c>
      <c r="W112" s="52">
        <f t="shared" si="65"/>
        <v>1</v>
      </c>
      <c r="X112" s="52">
        <f t="shared" si="66"/>
        <v>1</v>
      </c>
      <c r="Y112" s="52">
        <f t="shared" si="66"/>
        <v>1</v>
      </c>
      <c r="Z112" s="52">
        <f t="shared" si="66"/>
        <v>1</v>
      </c>
      <c r="AA112" s="52">
        <f t="shared" si="66"/>
        <v>1</v>
      </c>
      <c r="AB112" s="52">
        <f t="shared" si="66"/>
        <v>1</v>
      </c>
      <c r="AC112" s="52">
        <f t="shared" si="66"/>
        <v>1</v>
      </c>
      <c r="AD112" s="52">
        <f t="shared" si="66"/>
        <v>1</v>
      </c>
      <c r="AE112" s="52">
        <f t="shared" si="66"/>
        <v>1</v>
      </c>
      <c r="AF112" s="52">
        <f t="shared" si="66"/>
        <v>1</v>
      </c>
      <c r="AG112" s="52">
        <f t="shared" si="66"/>
        <v>1</v>
      </c>
      <c r="AH112" s="52">
        <f t="shared" si="66"/>
        <v>1</v>
      </c>
      <c r="AI112" s="52">
        <f t="shared" si="66"/>
        <v>1</v>
      </c>
      <c r="AJ112" s="52">
        <f t="shared" si="66"/>
        <v>1</v>
      </c>
      <c r="AK112" s="52">
        <f t="shared" si="66"/>
        <v>1</v>
      </c>
      <c r="AL112" s="52">
        <f t="shared" si="66"/>
        <v>1</v>
      </c>
      <c r="AM112" s="52">
        <f t="shared" si="66"/>
        <v>1</v>
      </c>
      <c r="AN112" s="52">
        <f t="shared" si="66"/>
        <v>1</v>
      </c>
      <c r="AO112" s="52">
        <f t="shared" si="66"/>
        <v>1</v>
      </c>
      <c r="AP112" s="52">
        <f t="shared" si="66"/>
        <v>1</v>
      </c>
      <c r="AQ112" s="52">
        <f t="shared" si="66"/>
        <v>1</v>
      </c>
      <c r="AR112" s="52">
        <f t="shared" si="66"/>
        <v>1</v>
      </c>
      <c r="AS112" s="52">
        <f t="shared" si="66"/>
        <v>1</v>
      </c>
      <c r="AT112" s="52">
        <f t="shared" si="66"/>
        <v>1</v>
      </c>
      <c r="AU112" s="52">
        <f t="shared" si="66"/>
        <v>1</v>
      </c>
      <c r="AV112" s="52">
        <f t="shared" si="66"/>
        <v>1</v>
      </c>
      <c r="AW112" s="52">
        <f t="shared" si="66"/>
        <v>1</v>
      </c>
      <c r="AX112" s="52">
        <f t="shared" si="66"/>
        <v>1</v>
      </c>
      <c r="AY112" s="52">
        <f t="shared" si="66"/>
        <v>1</v>
      </c>
      <c r="AZ112" s="52">
        <f t="shared" si="66"/>
        <v>1</v>
      </c>
      <c r="BA112" s="52">
        <f t="shared" si="66"/>
        <v>1</v>
      </c>
      <c r="BB112" s="52">
        <f t="shared" si="66"/>
        <v>1</v>
      </c>
      <c r="BC112" s="52">
        <f t="shared" si="66"/>
        <v>1</v>
      </c>
      <c r="BD112" s="52">
        <f t="shared" si="67"/>
        <v>1</v>
      </c>
      <c r="BE112" s="52">
        <f t="shared" si="67"/>
        <v>1</v>
      </c>
      <c r="BF112" s="52">
        <f t="shared" si="67"/>
        <v>1</v>
      </c>
      <c r="BG112" s="52">
        <f t="shared" si="67"/>
        <v>1</v>
      </c>
      <c r="BH112" s="52">
        <f t="shared" si="67"/>
        <v>1</v>
      </c>
      <c r="BI112" s="52">
        <f t="shared" si="67"/>
        <v>1</v>
      </c>
      <c r="BJ112" s="52">
        <f t="shared" si="67"/>
        <v>1</v>
      </c>
      <c r="BK112" s="52">
        <f t="shared" si="67"/>
        <v>1</v>
      </c>
      <c r="BL112" s="52">
        <f t="shared" si="67"/>
        <v>1</v>
      </c>
      <c r="BM112" s="52">
        <f t="shared" si="67"/>
        <v>1</v>
      </c>
      <c r="BN112" s="52">
        <f t="shared" si="67"/>
        <v>1</v>
      </c>
      <c r="BO112" s="32">
        <f t="shared" si="40"/>
        <v>0.89830508474576276</v>
      </c>
    </row>
    <row r="113" spans="1:67" s="27" customFormat="1" ht="18.75" customHeight="1" x14ac:dyDescent="0.25">
      <c r="A113" s="46" t="s">
        <v>230</v>
      </c>
      <c r="B113" s="46" t="s">
        <v>231</v>
      </c>
      <c r="C113" s="46" t="s">
        <v>126</v>
      </c>
      <c r="D113" s="47">
        <f>VLOOKUP(A113,'[1]Cuadro Control'!C128:J2043,8,FALSE)</f>
        <v>9527825.6870364472</v>
      </c>
      <c r="E113" s="48">
        <f t="shared" si="68"/>
        <v>1.794698454439963E-3</v>
      </c>
      <c r="F113" s="49">
        <v>46256</v>
      </c>
      <c r="G113" s="49">
        <v>46260</v>
      </c>
      <c r="H113" s="48">
        <f t="shared" si="65"/>
        <v>0</v>
      </c>
      <c r="I113" s="48">
        <f t="shared" si="65"/>
        <v>0</v>
      </c>
      <c r="J113" s="48">
        <f t="shared" si="65"/>
        <v>0</v>
      </c>
      <c r="K113" s="48">
        <f t="shared" si="65"/>
        <v>0</v>
      </c>
      <c r="L113" s="48">
        <f t="shared" si="65"/>
        <v>0</v>
      </c>
      <c r="M113" s="48">
        <f t="shared" si="65"/>
        <v>0</v>
      </c>
      <c r="N113" s="48">
        <f t="shared" si="65"/>
        <v>0</v>
      </c>
      <c r="O113" s="48">
        <f t="shared" si="65"/>
        <v>1</v>
      </c>
      <c r="P113" s="48">
        <f t="shared" si="65"/>
        <v>1</v>
      </c>
      <c r="Q113" s="48">
        <f t="shared" si="65"/>
        <v>1</v>
      </c>
      <c r="R113" s="48">
        <f t="shared" si="65"/>
        <v>1</v>
      </c>
      <c r="S113" s="48">
        <f t="shared" si="65"/>
        <v>1</v>
      </c>
      <c r="T113" s="48">
        <f t="shared" si="65"/>
        <v>1</v>
      </c>
      <c r="U113" s="48">
        <f t="shared" si="65"/>
        <v>1</v>
      </c>
      <c r="V113" s="48">
        <f t="shared" si="65"/>
        <v>1</v>
      </c>
      <c r="W113" s="48">
        <f t="shared" si="65"/>
        <v>1</v>
      </c>
      <c r="X113" s="48">
        <f t="shared" si="66"/>
        <v>1</v>
      </c>
      <c r="Y113" s="48">
        <f t="shared" si="66"/>
        <v>1</v>
      </c>
      <c r="Z113" s="48">
        <f t="shared" si="66"/>
        <v>1</v>
      </c>
      <c r="AA113" s="48">
        <f t="shared" si="66"/>
        <v>1</v>
      </c>
      <c r="AB113" s="48">
        <f t="shared" si="66"/>
        <v>1</v>
      </c>
      <c r="AC113" s="48">
        <f t="shared" si="66"/>
        <v>1</v>
      </c>
      <c r="AD113" s="48">
        <f t="shared" si="66"/>
        <v>1</v>
      </c>
      <c r="AE113" s="48">
        <f t="shared" si="66"/>
        <v>1</v>
      </c>
      <c r="AF113" s="48">
        <f t="shared" si="66"/>
        <v>1</v>
      </c>
      <c r="AG113" s="48">
        <f t="shared" si="66"/>
        <v>1</v>
      </c>
      <c r="AH113" s="48">
        <f t="shared" si="66"/>
        <v>1</v>
      </c>
      <c r="AI113" s="48">
        <f t="shared" si="66"/>
        <v>1</v>
      </c>
      <c r="AJ113" s="48">
        <f t="shared" si="66"/>
        <v>1</v>
      </c>
      <c r="AK113" s="48">
        <f t="shared" si="66"/>
        <v>1</v>
      </c>
      <c r="AL113" s="48">
        <f t="shared" si="66"/>
        <v>1</v>
      </c>
      <c r="AM113" s="48">
        <f t="shared" si="66"/>
        <v>1</v>
      </c>
      <c r="AN113" s="48">
        <f t="shared" si="66"/>
        <v>1</v>
      </c>
      <c r="AO113" s="48">
        <f t="shared" si="66"/>
        <v>1</v>
      </c>
      <c r="AP113" s="48">
        <f t="shared" si="66"/>
        <v>1</v>
      </c>
      <c r="AQ113" s="48">
        <f t="shared" si="66"/>
        <v>1</v>
      </c>
      <c r="AR113" s="48">
        <f t="shared" si="66"/>
        <v>1</v>
      </c>
      <c r="AS113" s="48">
        <f t="shared" si="66"/>
        <v>1</v>
      </c>
      <c r="AT113" s="48">
        <f t="shared" si="66"/>
        <v>1</v>
      </c>
      <c r="AU113" s="48">
        <f t="shared" si="66"/>
        <v>1</v>
      </c>
      <c r="AV113" s="48">
        <f t="shared" si="66"/>
        <v>1</v>
      </c>
      <c r="AW113" s="48">
        <f t="shared" si="66"/>
        <v>1</v>
      </c>
      <c r="AX113" s="48">
        <f t="shared" si="66"/>
        <v>1</v>
      </c>
      <c r="AY113" s="48">
        <f t="shared" si="66"/>
        <v>1</v>
      </c>
      <c r="AZ113" s="48">
        <f t="shared" si="66"/>
        <v>1</v>
      </c>
      <c r="BA113" s="48">
        <f t="shared" si="66"/>
        <v>1</v>
      </c>
      <c r="BB113" s="48">
        <f t="shared" si="66"/>
        <v>1</v>
      </c>
      <c r="BC113" s="48">
        <f t="shared" si="66"/>
        <v>1</v>
      </c>
      <c r="BD113" s="48">
        <f t="shared" si="67"/>
        <v>1</v>
      </c>
      <c r="BE113" s="48">
        <f t="shared" si="67"/>
        <v>1</v>
      </c>
      <c r="BF113" s="48">
        <f t="shared" si="67"/>
        <v>1</v>
      </c>
      <c r="BG113" s="48">
        <f t="shared" si="67"/>
        <v>1</v>
      </c>
      <c r="BH113" s="48">
        <f t="shared" si="67"/>
        <v>1</v>
      </c>
      <c r="BI113" s="48">
        <f t="shared" si="67"/>
        <v>1</v>
      </c>
      <c r="BJ113" s="48">
        <f t="shared" si="67"/>
        <v>1</v>
      </c>
      <c r="BK113" s="48">
        <f t="shared" si="67"/>
        <v>1</v>
      </c>
      <c r="BL113" s="48">
        <f t="shared" si="67"/>
        <v>1</v>
      </c>
      <c r="BM113" s="48">
        <f t="shared" si="67"/>
        <v>1</v>
      </c>
      <c r="BN113" s="48">
        <f t="shared" si="67"/>
        <v>1</v>
      </c>
      <c r="BO113" s="32">
        <f t="shared" si="40"/>
        <v>0.88135593220338981</v>
      </c>
    </row>
    <row r="114" spans="1:67" s="27" customFormat="1" ht="18.75" customHeight="1" x14ac:dyDescent="0.25">
      <c r="A114" s="50" t="s">
        <v>232</v>
      </c>
      <c r="B114" s="50" t="s">
        <v>233</v>
      </c>
      <c r="C114" s="50" t="s">
        <v>117</v>
      </c>
      <c r="D114" s="51">
        <f>VLOOKUP(A114,'[1]Cuadro Control'!C129:J2044,8,FALSE)</f>
        <v>320494616.71764702</v>
      </c>
      <c r="E114" s="52">
        <f t="shared" si="68"/>
        <v>6.0369617599332674E-2</v>
      </c>
      <c r="F114" s="53">
        <v>46260</v>
      </c>
      <c r="G114" s="53">
        <v>46265</v>
      </c>
      <c r="H114" s="52">
        <f t="shared" si="65"/>
        <v>0</v>
      </c>
      <c r="I114" s="52">
        <f t="shared" si="65"/>
        <v>0</v>
      </c>
      <c r="J114" s="52">
        <f t="shared" si="65"/>
        <v>0</v>
      </c>
      <c r="K114" s="52">
        <f t="shared" si="65"/>
        <v>0</v>
      </c>
      <c r="L114" s="52">
        <f t="shared" si="65"/>
        <v>0</v>
      </c>
      <c r="M114" s="52">
        <f t="shared" si="65"/>
        <v>0</v>
      </c>
      <c r="N114" s="52">
        <f t="shared" si="65"/>
        <v>0</v>
      </c>
      <c r="O114" s="52">
        <f t="shared" si="65"/>
        <v>0.5</v>
      </c>
      <c r="P114" s="52">
        <f t="shared" si="65"/>
        <v>1</v>
      </c>
      <c r="Q114" s="52">
        <f t="shared" si="65"/>
        <v>1</v>
      </c>
      <c r="R114" s="52">
        <f t="shared" si="65"/>
        <v>1</v>
      </c>
      <c r="S114" s="52">
        <f t="shared" si="65"/>
        <v>1</v>
      </c>
      <c r="T114" s="52">
        <f t="shared" si="65"/>
        <v>1</v>
      </c>
      <c r="U114" s="52">
        <f t="shared" si="65"/>
        <v>1</v>
      </c>
      <c r="V114" s="52">
        <f t="shared" si="65"/>
        <v>1</v>
      </c>
      <c r="W114" s="52">
        <f t="shared" si="65"/>
        <v>1</v>
      </c>
      <c r="X114" s="52">
        <f t="shared" si="66"/>
        <v>1</v>
      </c>
      <c r="Y114" s="52">
        <f t="shared" si="66"/>
        <v>1</v>
      </c>
      <c r="Z114" s="52">
        <f t="shared" si="66"/>
        <v>1</v>
      </c>
      <c r="AA114" s="52">
        <f t="shared" si="66"/>
        <v>1</v>
      </c>
      <c r="AB114" s="52">
        <f t="shared" si="66"/>
        <v>1</v>
      </c>
      <c r="AC114" s="52">
        <f t="shared" si="66"/>
        <v>1</v>
      </c>
      <c r="AD114" s="52">
        <f t="shared" si="66"/>
        <v>1</v>
      </c>
      <c r="AE114" s="52">
        <f t="shared" si="66"/>
        <v>1</v>
      </c>
      <c r="AF114" s="52">
        <f t="shared" si="66"/>
        <v>1</v>
      </c>
      <c r="AG114" s="52">
        <f t="shared" si="66"/>
        <v>1</v>
      </c>
      <c r="AH114" s="52">
        <f t="shared" si="66"/>
        <v>1</v>
      </c>
      <c r="AI114" s="52">
        <f t="shared" si="66"/>
        <v>1</v>
      </c>
      <c r="AJ114" s="52">
        <f t="shared" si="66"/>
        <v>1</v>
      </c>
      <c r="AK114" s="52">
        <f t="shared" si="66"/>
        <v>1</v>
      </c>
      <c r="AL114" s="52">
        <f t="shared" si="66"/>
        <v>1</v>
      </c>
      <c r="AM114" s="52">
        <f t="shared" si="66"/>
        <v>1</v>
      </c>
      <c r="AN114" s="52">
        <f t="shared" si="66"/>
        <v>1</v>
      </c>
      <c r="AO114" s="52">
        <f t="shared" si="66"/>
        <v>1</v>
      </c>
      <c r="AP114" s="52">
        <f t="shared" si="66"/>
        <v>1</v>
      </c>
      <c r="AQ114" s="52">
        <f t="shared" si="66"/>
        <v>1</v>
      </c>
      <c r="AR114" s="52">
        <f t="shared" si="66"/>
        <v>1</v>
      </c>
      <c r="AS114" s="52">
        <f t="shared" si="66"/>
        <v>1</v>
      </c>
      <c r="AT114" s="52">
        <f t="shared" si="66"/>
        <v>1</v>
      </c>
      <c r="AU114" s="52">
        <f t="shared" si="66"/>
        <v>1</v>
      </c>
      <c r="AV114" s="52">
        <f t="shared" si="66"/>
        <v>1</v>
      </c>
      <c r="AW114" s="52">
        <f t="shared" si="66"/>
        <v>1</v>
      </c>
      <c r="AX114" s="52">
        <f t="shared" si="66"/>
        <v>1</v>
      </c>
      <c r="AY114" s="52">
        <f t="shared" si="66"/>
        <v>1</v>
      </c>
      <c r="AZ114" s="52">
        <f t="shared" si="66"/>
        <v>1</v>
      </c>
      <c r="BA114" s="52">
        <f t="shared" si="66"/>
        <v>1</v>
      </c>
      <c r="BB114" s="52">
        <f t="shared" si="66"/>
        <v>1</v>
      </c>
      <c r="BC114" s="52">
        <f t="shared" si="66"/>
        <v>1</v>
      </c>
      <c r="BD114" s="52">
        <f t="shared" si="67"/>
        <v>1</v>
      </c>
      <c r="BE114" s="52">
        <f t="shared" si="67"/>
        <v>1</v>
      </c>
      <c r="BF114" s="52">
        <f t="shared" si="67"/>
        <v>1</v>
      </c>
      <c r="BG114" s="52">
        <f t="shared" si="67"/>
        <v>1</v>
      </c>
      <c r="BH114" s="52">
        <f t="shared" si="67"/>
        <v>1</v>
      </c>
      <c r="BI114" s="52">
        <f t="shared" si="67"/>
        <v>1</v>
      </c>
      <c r="BJ114" s="52">
        <f t="shared" si="67"/>
        <v>1</v>
      </c>
      <c r="BK114" s="52">
        <f t="shared" si="67"/>
        <v>1</v>
      </c>
      <c r="BL114" s="52">
        <f t="shared" si="67"/>
        <v>1</v>
      </c>
      <c r="BM114" s="52">
        <f t="shared" si="67"/>
        <v>1</v>
      </c>
      <c r="BN114" s="52">
        <f t="shared" si="67"/>
        <v>1</v>
      </c>
      <c r="BO114" s="32">
        <f t="shared" si="40"/>
        <v>0.8728813559322034</v>
      </c>
    </row>
    <row r="115" spans="1:67" s="27" customFormat="1" ht="18.75" customHeight="1" x14ac:dyDescent="0.25">
      <c r="A115" s="50" t="s">
        <v>234</v>
      </c>
      <c r="B115" s="50" t="s">
        <v>235</v>
      </c>
      <c r="C115" s="50" t="s">
        <v>111</v>
      </c>
      <c r="D115" s="51">
        <f>VLOOKUP(A115,'[1]Cuadro Control'!C130:J2045,8,FALSE)</f>
        <v>94303618.549411759</v>
      </c>
      <c r="E115" s="52">
        <f t="shared" si="68"/>
        <v>1.7763397864110998E-2</v>
      </c>
      <c r="F115" s="53">
        <v>46287</v>
      </c>
      <c r="G115" s="53">
        <v>46289</v>
      </c>
      <c r="H115" s="52">
        <f t="shared" si="65"/>
        <v>0</v>
      </c>
      <c r="I115" s="52">
        <f t="shared" si="65"/>
        <v>0</v>
      </c>
      <c r="J115" s="52">
        <f t="shared" si="65"/>
        <v>0</v>
      </c>
      <c r="K115" s="52">
        <f t="shared" si="65"/>
        <v>0</v>
      </c>
      <c r="L115" s="52">
        <f t="shared" si="65"/>
        <v>0</v>
      </c>
      <c r="M115" s="52">
        <f t="shared" si="65"/>
        <v>0</v>
      </c>
      <c r="N115" s="52">
        <f t="shared" si="65"/>
        <v>0</v>
      </c>
      <c r="O115" s="52">
        <f t="shared" si="65"/>
        <v>0</v>
      </c>
      <c r="P115" s="52">
        <f t="shared" si="65"/>
        <v>0</v>
      </c>
      <c r="Q115" s="52">
        <f t="shared" si="65"/>
        <v>0</v>
      </c>
      <c r="R115" s="52">
        <f t="shared" si="65"/>
        <v>0</v>
      </c>
      <c r="S115" s="52">
        <f t="shared" si="65"/>
        <v>1</v>
      </c>
      <c r="T115" s="52">
        <f t="shared" si="65"/>
        <v>1</v>
      </c>
      <c r="U115" s="52">
        <f t="shared" si="65"/>
        <v>1</v>
      </c>
      <c r="V115" s="52">
        <f t="shared" si="65"/>
        <v>1</v>
      </c>
      <c r="W115" s="52">
        <f t="shared" si="65"/>
        <v>1</v>
      </c>
      <c r="X115" s="52">
        <f t="shared" si="66"/>
        <v>1</v>
      </c>
      <c r="Y115" s="52">
        <f t="shared" si="66"/>
        <v>1</v>
      </c>
      <c r="Z115" s="52">
        <f t="shared" si="66"/>
        <v>1</v>
      </c>
      <c r="AA115" s="52">
        <f t="shared" si="66"/>
        <v>1</v>
      </c>
      <c r="AB115" s="52">
        <f t="shared" si="66"/>
        <v>1</v>
      </c>
      <c r="AC115" s="52">
        <f t="shared" si="66"/>
        <v>1</v>
      </c>
      <c r="AD115" s="52">
        <f t="shared" si="66"/>
        <v>1</v>
      </c>
      <c r="AE115" s="52">
        <f t="shared" si="66"/>
        <v>1</v>
      </c>
      <c r="AF115" s="52">
        <f t="shared" si="66"/>
        <v>1</v>
      </c>
      <c r="AG115" s="52">
        <f t="shared" si="66"/>
        <v>1</v>
      </c>
      <c r="AH115" s="52">
        <f t="shared" si="66"/>
        <v>1</v>
      </c>
      <c r="AI115" s="52">
        <f t="shared" si="66"/>
        <v>1</v>
      </c>
      <c r="AJ115" s="52">
        <f t="shared" si="66"/>
        <v>1</v>
      </c>
      <c r="AK115" s="52">
        <f t="shared" si="66"/>
        <v>1</v>
      </c>
      <c r="AL115" s="52">
        <f t="shared" si="66"/>
        <v>1</v>
      </c>
      <c r="AM115" s="52">
        <f t="shared" si="66"/>
        <v>1</v>
      </c>
      <c r="AN115" s="52">
        <f t="shared" si="66"/>
        <v>1</v>
      </c>
      <c r="AO115" s="52">
        <f t="shared" si="66"/>
        <v>1</v>
      </c>
      <c r="AP115" s="52">
        <f t="shared" si="66"/>
        <v>1</v>
      </c>
      <c r="AQ115" s="52">
        <f t="shared" si="66"/>
        <v>1</v>
      </c>
      <c r="AR115" s="52">
        <f t="shared" si="66"/>
        <v>1</v>
      </c>
      <c r="AS115" s="52">
        <f t="shared" si="66"/>
        <v>1</v>
      </c>
      <c r="AT115" s="52">
        <f t="shared" si="66"/>
        <v>1</v>
      </c>
      <c r="AU115" s="52">
        <f t="shared" si="66"/>
        <v>1</v>
      </c>
      <c r="AV115" s="52">
        <f t="shared" si="66"/>
        <v>1</v>
      </c>
      <c r="AW115" s="52">
        <f t="shared" si="66"/>
        <v>1</v>
      </c>
      <c r="AX115" s="52">
        <f t="shared" si="66"/>
        <v>1</v>
      </c>
      <c r="AY115" s="52">
        <f t="shared" si="66"/>
        <v>1</v>
      </c>
      <c r="AZ115" s="52">
        <f t="shared" si="66"/>
        <v>1</v>
      </c>
      <c r="BA115" s="52">
        <f t="shared" si="66"/>
        <v>1</v>
      </c>
      <c r="BB115" s="52">
        <f t="shared" si="66"/>
        <v>1</v>
      </c>
      <c r="BC115" s="52">
        <f t="shared" si="66"/>
        <v>1</v>
      </c>
      <c r="BD115" s="52">
        <f t="shared" si="67"/>
        <v>1</v>
      </c>
      <c r="BE115" s="52">
        <f t="shared" si="67"/>
        <v>1</v>
      </c>
      <c r="BF115" s="52">
        <f t="shared" si="67"/>
        <v>1</v>
      </c>
      <c r="BG115" s="52">
        <f t="shared" si="67"/>
        <v>1</v>
      </c>
      <c r="BH115" s="52">
        <f t="shared" si="67"/>
        <v>1</v>
      </c>
      <c r="BI115" s="52">
        <f t="shared" si="67"/>
        <v>1</v>
      </c>
      <c r="BJ115" s="52">
        <f t="shared" si="67"/>
        <v>1</v>
      </c>
      <c r="BK115" s="52">
        <f t="shared" si="67"/>
        <v>1</v>
      </c>
      <c r="BL115" s="52">
        <f t="shared" si="67"/>
        <v>1</v>
      </c>
      <c r="BM115" s="52">
        <f t="shared" si="67"/>
        <v>1</v>
      </c>
      <c r="BN115" s="52">
        <f t="shared" si="67"/>
        <v>1</v>
      </c>
      <c r="BO115" s="32">
        <f t="shared" si="40"/>
        <v>0.81355932203389836</v>
      </c>
    </row>
    <row r="116" spans="1:67" s="27" customFormat="1" ht="18.75" customHeight="1" x14ac:dyDescent="0.25">
      <c r="A116" s="50" t="s">
        <v>236</v>
      </c>
      <c r="B116" s="50" t="s">
        <v>237</v>
      </c>
      <c r="C116" s="50" t="s">
        <v>238</v>
      </c>
      <c r="D116" s="51">
        <f>VLOOKUP(A116,'[1]Cuadro Control'!C131:J2046,8,FALSE)</f>
        <v>179436034.15411764</v>
      </c>
      <c r="E116" s="52">
        <f t="shared" si="68"/>
        <v>3.3799272126209236E-2</v>
      </c>
      <c r="F116" s="53">
        <v>46289</v>
      </c>
      <c r="G116" s="53">
        <v>46295</v>
      </c>
      <c r="H116" s="52">
        <f t="shared" si="65"/>
        <v>0</v>
      </c>
      <c r="I116" s="52">
        <f t="shared" si="65"/>
        <v>0</v>
      </c>
      <c r="J116" s="52">
        <f t="shared" si="65"/>
        <v>0</v>
      </c>
      <c r="K116" s="52">
        <f t="shared" si="65"/>
        <v>0</v>
      </c>
      <c r="L116" s="52">
        <f t="shared" si="65"/>
        <v>0</v>
      </c>
      <c r="M116" s="52">
        <f t="shared" si="65"/>
        <v>0</v>
      </c>
      <c r="N116" s="52">
        <f t="shared" si="65"/>
        <v>0</v>
      </c>
      <c r="O116" s="52">
        <f t="shared" si="65"/>
        <v>0</v>
      </c>
      <c r="P116" s="52">
        <f t="shared" si="65"/>
        <v>0</v>
      </c>
      <c r="Q116" s="52">
        <f t="shared" si="65"/>
        <v>0</v>
      </c>
      <c r="R116" s="52">
        <f t="shared" si="65"/>
        <v>0</v>
      </c>
      <c r="S116" s="52">
        <f t="shared" si="65"/>
        <v>0.2857142857142857</v>
      </c>
      <c r="T116" s="52">
        <f t="shared" si="65"/>
        <v>1</v>
      </c>
      <c r="U116" s="52">
        <f t="shared" si="65"/>
        <v>1</v>
      </c>
      <c r="V116" s="52">
        <f t="shared" si="65"/>
        <v>1</v>
      </c>
      <c r="W116" s="52">
        <f t="shared" si="65"/>
        <v>1</v>
      </c>
      <c r="X116" s="52">
        <f t="shared" si="66"/>
        <v>1</v>
      </c>
      <c r="Y116" s="52">
        <f t="shared" si="66"/>
        <v>1</v>
      </c>
      <c r="Z116" s="52">
        <f t="shared" si="66"/>
        <v>1</v>
      </c>
      <c r="AA116" s="52">
        <f t="shared" si="66"/>
        <v>1</v>
      </c>
      <c r="AB116" s="52">
        <f t="shared" si="66"/>
        <v>1</v>
      </c>
      <c r="AC116" s="52">
        <f t="shared" si="66"/>
        <v>1</v>
      </c>
      <c r="AD116" s="52">
        <f t="shared" si="66"/>
        <v>1</v>
      </c>
      <c r="AE116" s="52">
        <f t="shared" si="66"/>
        <v>1</v>
      </c>
      <c r="AF116" s="52">
        <f t="shared" si="66"/>
        <v>1</v>
      </c>
      <c r="AG116" s="52">
        <f t="shared" si="66"/>
        <v>1</v>
      </c>
      <c r="AH116" s="52">
        <f t="shared" si="66"/>
        <v>1</v>
      </c>
      <c r="AI116" s="52">
        <f t="shared" si="66"/>
        <v>1</v>
      </c>
      <c r="AJ116" s="52">
        <f t="shared" si="66"/>
        <v>1</v>
      </c>
      <c r="AK116" s="52">
        <f t="shared" si="66"/>
        <v>1</v>
      </c>
      <c r="AL116" s="52">
        <f t="shared" si="66"/>
        <v>1</v>
      </c>
      <c r="AM116" s="52">
        <f t="shared" si="66"/>
        <v>1</v>
      </c>
      <c r="AN116" s="52">
        <f t="shared" si="66"/>
        <v>1</v>
      </c>
      <c r="AO116" s="52">
        <f t="shared" si="66"/>
        <v>1</v>
      </c>
      <c r="AP116" s="52">
        <f t="shared" si="66"/>
        <v>1</v>
      </c>
      <c r="AQ116" s="52">
        <f t="shared" si="66"/>
        <v>1</v>
      </c>
      <c r="AR116" s="52">
        <f t="shared" si="66"/>
        <v>1</v>
      </c>
      <c r="AS116" s="52">
        <f t="shared" si="66"/>
        <v>1</v>
      </c>
      <c r="AT116" s="52">
        <f t="shared" si="66"/>
        <v>1</v>
      </c>
      <c r="AU116" s="52">
        <f t="shared" si="66"/>
        <v>1</v>
      </c>
      <c r="AV116" s="52">
        <f t="shared" si="66"/>
        <v>1</v>
      </c>
      <c r="AW116" s="52">
        <f t="shared" si="66"/>
        <v>1</v>
      </c>
      <c r="AX116" s="52">
        <f t="shared" si="66"/>
        <v>1</v>
      </c>
      <c r="AY116" s="52">
        <f t="shared" si="66"/>
        <v>1</v>
      </c>
      <c r="AZ116" s="52">
        <f t="shared" si="66"/>
        <v>1</v>
      </c>
      <c r="BA116" s="52">
        <f t="shared" si="66"/>
        <v>1</v>
      </c>
      <c r="BB116" s="52">
        <f t="shared" si="66"/>
        <v>1</v>
      </c>
      <c r="BC116" s="52">
        <f t="shared" si="66"/>
        <v>1</v>
      </c>
      <c r="BD116" s="52">
        <f t="shared" si="67"/>
        <v>1</v>
      </c>
      <c r="BE116" s="52">
        <f t="shared" si="67"/>
        <v>1</v>
      </c>
      <c r="BF116" s="52">
        <f t="shared" si="67"/>
        <v>1</v>
      </c>
      <c r="BG116" s="52">
        <f t="shared" si="67"/>
        <v>1</v>
      </c>
      <c r="BH116" s="52">
        <f t="shared" si="67"/>
        <v>1</v>
      </c>
      <c r="BI116" s="52">
        <f t="shared" si="67"/>
        <v>1</v>
      </c>
      <c r="BJ116" s="52">
        <f t="shared" si="67"/>
        <v>1</v>
      </c>
      <c r="BK116" s="52">
        <f t="shared" si="67"/>
        <v>1</v>
      </c>
      <c r="BL116" s="52">
        <f t="shared" si="67"/>
        <v>1</v>
      </c>
      <c r="BM116" s="52">
        <f t="shared" si="67"/>
        <v>1</v>
      </c>
      <c r="BN116" s="52">
        <f t="shared" si="67"/>
        <v>1</v>
      </c>
      <c r="BO116" s="32">
        <f t="shared" si="40"/>
        <v>0.801452784503632</v>
      </c>
    </row>
    <row r="117" spans="1:67" s="27" customFormat="1" ht="18.75" customHeight="1" x14ac:dyDescent="0.25">
      <c r="A117" s="50" t="s">
        <v>239</v>
      </c>
      <c r="B117" s="50" t="s">
        <v>240</v>
      </c>
      <c r="C117" s="50" t="s">
        <v>58</v>
      </c>
      <c r="D117" s="51">
        <f>VLOOKUP(A117,'[1]Cuadro Control'!C132:J2047,8,FALSE)</f>
        <v>1212623361.2117648</v>
      </c>
      <c r="E117" s="52">
        <f t="shared" si="68"/>
        <v>0.22841447185013161</v>
      </c>
      <c r="F117" s="53">
        <v>46295</v>
      </c>
      <c r="G117" s="53">
        <v>46311</v>
      </c>
      <c r="H117" s="52">
        <f t="shared" si="65"/>
        <v>0</v>
      </c>
      <c r="I117" s="52">
        <f t="shared" si="65"/>
        <v>0</v>
      </c>
      <c r="J117" s="52">
        <f t="shared" si="65"/>
        <v>0</v>
      </c>
      <c r="K117" s="52">
        <f t="shared" si="65"/>
        <v>0</v>
      </c>
      <c r="L117" s="52">
        <f t="shared" si="65"/>
        <v>0</v>
      </c>
      <c r="M117" s="52">
        <f t="shared" si="65"/>
        <v>0</v>
      </c>
      <c r="N117" s="52">
        <f t="shared" si="65"/>
        <v>0</v>
      </c>
      <c r="O117" s="52">
        <f t="shared" si="65"/>
        <v>0</v>
      </c>
      <c r="P117" s="52">
        <f t="shared" si="65"/>
        <v>0</v>
      </c>
      <c r="Q117" s="52">
        <f t="shared" si="65"/>
        <v>0</v>
      </c>
      <c r="R117" s="52">
        <f t="shared" si="65"/>
        <v>0</v>
      </c>
      <c r="S117" s="52">
        <f t="shared" si="65"/>
        <v>0</v>
      </c>
      <c r="T117" s="52">
        <f t="shared" si="65"/>
        <v>0.17647058823529413</v>
      </c>
      <c r="U117" s="52">
        <f t="shared" si="65"/>
        <v>0.58823529411764708</v>
      </c>
      <c r="V117" s="52">
        <f t="shared" si="65"/>
        <v>1</v>
      </c>
      <c r="W117" s="52">
        <f t="shared" si="65"/>
        <v>1</v>
      </c>
      <c r="X117" s="52">
        <f t="shared" si="66"/>
        <v>1</v>
      </c>
      <c r="Y117" s="52">
        <f t="shared" si="66"/>
        <v>1</v>
      </c>
      <c r="Z117" s="52">
        <f t="shared" si="66"/>
        <v>1</v>
      </c>
      <c r="AA117" s="52">
        <f t="shared" si="66"/>
        <v>1</v>
      </c>
      <c r="AB117" s="52">
        <f t="shared" si="66"/>
        <v>1</v>
      </c>
      <c r="AC117" s="52">
        <f t="shared" si="66"/>
        <v>1</v>
      </c>
      <c r="AD117" s="52">
        <f t="shared" si="66"/>
        <v>1</v>
      </c>
      <c r="AE117" s="52">
        <f t="shared" si="66"/>
        <v>1</v>
      </c>
      <c r="AF117" s="52">
        <f t="shared" si="66"/>
        <v>1</v>
      </c>
      <c r="AG117" s="52">
        <f t="shared" si="66"/>
        <v>1</v>
      </c>
      <c r="AH117" s="52">
        <f t="shared" si="66"/>
        <v>1</v>
      </c>
      <c r="AI117" s="52">
        <f t="shared" si="66"/>
        <v>1</v>
      </c>
      <c r="AJ117" s="52">
        <f t="shared" si="66"/>
        <v>1</v>
      </c>
      <c r="AK117" s="52">
        <f t="shared" si="66"/>
        <v>1</v>
      </c>
      <c r="AL117" s="52">
        <f t="shared" si="66"/>
        <v>1</v>
      </c>
      <c r="AM117" s="52">
        <f t="shared" si="66"/>
        <v>1</v>
      </c>
      <c r="AN117" s="52">
        <f t="shared" si="66"/>
        <v>1</v>
      </c>
      <c r="AO117" s="52">
        <f t="shared" si="66"/>
        <v>1</v>
      </c>
      <c r="AP117" s="52">
        <f t="shared" si="66"/>
        <v>1</v>
      </c>
      <c r="AQ117" s="52">
        <f t="shared" si="66"/>
        <v>1</v>
      </c>
      <c r="AR117" s="52">
        <f t="shared" si="66"/>
        <v>1</v>
      </c>
      <c r="AS117" s="52">
        <f t="shared" si="66"/>
        <v>1</v>
      </c>
      <c r="AT117" s="52">
        <f t="shared" si="66"/>
        <v>1</v>
      </c>
      <c r="AU117" s="52">
        <f t="shared" si="66"/>
        <v>1</v>
      </c>
      <c r="AV117" s="52">
        <f t="shared" si="66"/>
        <v>1</v>
      </c>
      <c r="AW117" s="52">
        <f t="shared" si="66"/>
        <v>1</v>
      </c>
      <c r="AX117" s="52">
        <f t="shared" si="66"/>
        <v>1</v>
      </c>
      <c r="AY117" s="52">
        <f t="shared" si="66"/>
        <v>1</v>
      </c>
      <c r="AZ117" s="52">
        <f t="shared" si="66"/>
        <v>1</v>
      </c>
      <c r="BA117" s="52">
        <f t="shared" si="66"/>
        <v>1</v>
      </c>
      <c r="BB117" s="52">
        <f t="shared" si="66"/>
        <v>1</v>
      </c>
      <c r="BC117" s="52">
        <f t="shared" si="66"/>
        <v>1</v>
      </c>
      <c r="BD117" s="52">
        <f t="shared" si="67"/>
        <v>1</v>
      </c>
      <c r="BE117" s="52">
        <f t="shared" si="67"/>
        <v>1</v>
      </c>
      <c r="BF117" s="52">
        <f t="shared" si="67"/>
        <v>1</v>
      </c>
      <c r="BG117" s="52">
        <f t="shared" si="67"/>
        <v>1</v>
      </c>
      <c r="BH117" s="52">
        <f t="shared" si="67"/>
        <v>1</v>
      </c>
      <c r="BI117" s="52">
        <f t="shared" si="67"/>
        <v>1</v>
      </c>
      <c r="BJ117" s="52">
        <f t="shared" si="67"/>
        <v>1</v>
      </c>
      <c r="BK117" s="52">
        <f t="shared" si="67"/>
        <v>1</v>
      </c>
      <c r="BL117" s="52">
        <f t="shared" si="67"/>
        <v>1</v>
      </c>
      <c r="BM117" s="52">
        <f t="shared" si="67"/>
        <v>1</v>
      </c>
      <c r="BN117" s="52">
        <f t="shared" si="67"/>
        <v>1</v>
      </c>
      <c r="BO117" s="32">
        <f t="shared" si="40"/>
        <v>0.77567298105682958</v>
      </c>
    </row>
    <row r="118" spans="1:67" s="27" customFormat="1" ht="18.75" customHeight="1" x14ac:dyDescent="0.25">
      <c r="A118" s="50" t="s">
        <v>241</v>
      </c>
      <c r="B118" s="50" t="s">
        <v>242</v>
      </c>
      <c r="C118" s="50" t="s">
        <v>126</v>
      </c>
      <c r="D118" s="51">
        <f>VLOOKUP(A118,'[1]Cuadro Control'!C134:J2048,8,FALSE)</f>
        <v>0</v>
      </c>
      <c r="E118" s="52">
        <f t="shared" si="68"/>
        <v>0</v>
      </c>
      <c r="F118" s="53">
        <v>46311</v>
      </c>
      <c r="G118" s="53">
        <v>46315</v>
      </c>
      <c r="H118" s="52">
        <f t="shared" si="65"/>
        <v>0</v>
      </c>
      <c r="I118" s="52">
        <f t="shared" si="65"/>
        <v>0</v>
      </c>
      <c r="J118" s="52">
        <f t="shared" si="65"/>
        <v>0</v>
      </c>
      <c r="K118" s="52">
        <f t="shared" si="65"/>
        <v>0</v>
      </c>
      <c r="L118" s="52">
        <f t="shared" si="65"/>
        <v>0</v>
      </c>
      <c r="M118" s="52">
        <f t="shared" si="65"/>
        <v>0</v>
      </c>
      <c r="N118" s="52">
        <f t="shared" si="65"/>
        <v>0</v>
      </c>
      <c r="O118" s="52">
        <f t="shared" si="65"/>
        <v>0</v>
      </c>
      <c r="P118" s="52">
        <f t="shared" si="65"/>
        <v>0</v>
      </c>
      <c r="Q118" s="52">
        <f t="shared" si="65"/>
        <v>0</v>
      </c>
      <c r="R118" s="52">
        <f t="shared" si="65"/>
        <v>0</v>
      </c>
      <c r="S118" s="52">
        <f t="shared" si="65"/>
        <v>0</v>
      </c>
      <c r="T118" s="52">
        <f t="shared" si="65"/>
        <v>0</v>
      </c>
      <c r="U118" s="52">
        <f t="shared" si="65"/>
        <v>0</v>
      </c>
      <c r="V118" s="52">
        <f t="shared" si="65"/>
        <v>0.2</v>
      </c>
      <c r="W118" s="52">
        <f t="shared" si="65"/>
        <v>1</v>
      </c>
      <c r="X118" s="52">
        <f t="shared" si="66"/>
        <v>1</v>
      </c>
      <c r="Y118" s="52">
        <f t="shared" si="66"/>
        <v>1</v>
      </c>
      <c r="Z118" s="52">
        <f t="shared" si="66"/>
        <v>1</v>
      </c>
      <c r="AA118" s="52">
        <f t="shared" si="66"/>
        <v>1</v>
      </c>
      <c r="AB118" s="52">
        <f t="shared" si="66"/>
        <v>1</v>
      </c>
      <c r="AC118" s="52">
        <f t="shared" si="66"/>
        <v>1</v>
      </c>
      <c r="AD118" s="52">
        <f t="shared" si="66"/>
        <v>1</v>
      </c>
      <c r="AE118" s="52">
        <f t="shared" si="66"/>
        <v>1</v>
      </c>
      <c r="AF118" s="52">
        <f t="shared" si="66"/>
        <v>1</v>
      </c>
      <c r="AG118" s="52">
        <f t="shared" si="66"/>
        <v>1</v>
      </c>
      <c r="AH118" s="52">
        <f t="shared" si="66"/>
        <v>1</v>
      </c>
      <c r="AI118" s="52">
        <f t="shared" si="66"/>
        <v>1</v>
      </c>
      <c r="AJ118" s="52">
        <f t="shared" si="66"/>
        <v>1</v>
      </c>
      <c r="AK118" s="52">
        <f t="shared" si="66"/>
        <v>1</v>
      </c>
      <c r="AL118" s="52">
        <f t="shared" si="66"/>
        <v>1</v>
      </c>
      <c r="AM118" s="52">
        <f t="shared" si="66"/>
        <v>1</v>
      </c>
      <c r="AN118" s="52">
        <f t="shared" si="66"/>
        <v>1</v>
      </c>
      <c r="AO118" s="52">
        <f t="shared" si="66"/>
        <v>1</v>
      </c>
      <c r="AP118" s="52">
        <f t="shared" si="66"/>
        <v>1</v>
      </c>
      <c r="AQ118" s="52">
        <f t="shared" si="66"/>
        <v>1</v>
      </c>
      <c r="AR118" s="52">
        <f t="shared" si="66"/>
        <v>1</v>
      </c>
      <c r="AS118" s="52">
        <f t="shared" si="66"/>
        <v>1</v>
      </c>
      <c r="AT118" s="52">
        <f t="shared" si="66"/>
        <v>1</v>
      </c>
      <c r="AU118" s="52">
        <f t="shared" si="66"/>
        <v>1</v>
      </c>
      <c r="AV118" s="52">
        <f t="shared" si="66"/>
        <v>1</v>
      </c>
      <c r="AW118" s="52">
        <f t="shared" si="66"/>
        <v>1</v>
      </c>
      <c r="AX118" s="52">
        <f t="shared" si="66"/>
        <v>1</v>
      </c>
      <c r="AY118" s="52">
        <f t="shared" si="66"/>
        <v>1</v>
      </c>
      <c r="AZ118" s="52">
        <f t="shared" si="66"/>
        <v>1</v>
      </c>
      <c r="BA118" s="52">
        <f t="shared" si="66"/>
        <v>1</v>
      </c>
      <c r="BB118" s="52">
        <f t="shared" si="66"/>
        <v>1</v>
      </c>
      <c r="BC118" s="52">
        <f t="shared" ref="BC118:BN126" si="69">IF($F118=0,0,IF(BC$6&lt;$F118,0,IF(BC$6&gt;$G118,1,(BC$6-$F118+1)/($G118-$F118+1))))</f>
        <v>1</v>
      </c>
      <c r="BD118" s="52">
        <f t="shared" si="69"/>
        <v>1</v>
      </c>
      <c r="BE118" s="52">
        <f t="shared" si="69"/>
        <v>1</v>
      </c>
      <c r="BF118" s="52">
        <f t="shared" si="69"/>
        <v>1</v>
      </c>
      <c r="BG118" s="52">
        <f t="shared" si="69"/>
        <v>1</v>
      </c>
      <c r="BH118" s="52">
        <f t="shared" si="69"/>
        <v>1</v>
      </c>
      <c r="BI118" s="52">
        <f t="shared" si="69"/>
        <v>1</v>
      </c>
      <c r="BJ118" s="52">
        <f t="shared" si="69"/>
        <v>1</v>
      </c>
      <c r="BK118" s="52">
        <f t="shared" si="69"/>
        <v>1</v>
      </c>
      <c r="BL118" s="52">
        <f t="shared" si="69"/>
        <v>1</v>
      </c>
      <c r="BM118" s="52">
        <f t="shared" si="69"/>
        <v>1</v>
      </c>
      <c r="BN118" s="52">
        <f t="shared" si="69"/>
        <v>1</v>
      </c>
      <c r="BO118" s="32">
        <f t="shared" si="40"/>
        <v>0.74915254237288142</v>
      </c>
    </row>
    <row r="119" spans="1:67" s="27" customFormat="1" ht="18.75" customHeight="1" x14ac:dyDescent="0.25">
      <c r="A119" s="55" t="s">
        <v>243</v>
      </c>
      <c r="B119" s="55" t="s">
        <v>244</v>
      </c>
      <c r="C119" s="55" t="s">
        <v>14</v>
      </c>
      <c r="D119" s="56">
        <f>VLOOKUP(A119,'[1]Cuadro Control'!C136:J2049,8,FALSE)</f>
        <v>0</v>
      </c>
      <c r="E119" s="57">
        <f t="shared" si="68"/>
        <v>0</v>
      </c>
      <c r="F119" s="58">
        <v>46311</v>
      </c>
      <c r="G119" s="58">
        <v>46311</v>
      </c>
      <c r="H119" s="57">
        <f t="shared" si="65"/>
        <v>0</v>
      </c>
      <c r="I119" s="57">
        <f t="shared" si="65"/>
        <v>0</v>
      </c>
      <c r="J119" s="57">
        <f t="shared" si="65"/>
        <v>0</v>
      </c>
      <c r="K119" s="57">
        <f t="shared" si="65"/>
        <v>0</v>
      </c>
      <c r="L119" s="57">
        <f t="shared" si="65"/>
        <v>0</v>
      </c>
      <c r="M119" s="57">
        <f t="shared" si="65"/>
        <v>0</v>
      </c>
      <c r="N119" s="57">
        <f t="shared" si="65"/>
        <v>0</v>
      </c>
      <c r="O119" s="57">
        <f t="shared" si="65"/>
        <v>0</v>
      </c>
      <c r="P119" s="57">
        <f t="shared" si="65"/>
        <v>0</v>
      </c>
      <c r="Q119" s="57">
        <f t="shared" si="65"/>
        <v>0</v>
      </c>
      <c r="R119" s="57">
        <f t="shared" si="65"/>
        <v>0</v>
      </c>
      <c r="S119" s="57">
        <f t="shared" si="65"/>
        <v>0</v>
      </c>
      <c r="T119" s="57">
        <f t="shared" si="65"/>
        <v>0</v>
      </c>
      <c r="U119" s="57">
        <f t="shared" si="65"/>
        <v>0</v>
      </c>
      <c r="V119" s="57">
        <f t="shared" si="65"/>
        <v>1</v>
      </c>
      <c r="W119" s="57">
        <f t="shared" si="65"/>
        <v>1</v>
      </c>
      <c r="X119" s="57">
        <f t="shared" ref="X119:BC126" si="70">IF($F119=0,0,IF(X$6&lt;$F119,0,IF(X$6&gt;$G119,1,(X$6-$F119+1)/($G119-$F119+1))))</f>
        <v>1</v>
      </c>
      <c r="Y119" s="57">
        <f t="shared" si="70"/>
        <v>1</v>
      </c>
      <c r="Z119" s="57">
        <f t="shared" si="70"/>
        <v>1</v>
      </c>
      <c r="AA119" s="57">
        <f t="shared" si="70"/>
        <v>1</v>
      </c>
      <c r="AB119" s="57">
        <f t="shared" si="70"/>
        <v>1</v>
      </c>
      <c r="AC119" s="57">
        <f t="shared" si="70"/>
        <v>1</v>
      </c>
      <c r="AD119" s="57">
        <f t="shared" si="70"/>
        <v>1</v>
      </c>
      <c r="AE119" s="57">
        <f t="shared" si="70"/>
        <v>1</v>
      </c>
      <c r="AF119" s="57">
        <f t="shared" si="70"/>
        <v>1</v>
      </c>
      <c r="AG119" s="57">
        <f t="shared" si="70"/>
        <v>1</v>
      </c>
      <c r="AH119" s="57">
        <f t="shared" si="70"/>
        <v>1</v>
      </c>
      <c r="AI119" s="57">
        <f t="shared" si="70"/>
        <v>1</v>
      </c>
      <c r="AJ119" s="57">
        <f t="shared" si="70"/>
        <v>1</v>
      </c>
      <c r="AK119" s="57">
        <f t="shared" si="70"/>
        <v>1</v>
      </c>
      <c r="AL119" s="57">
        <f t="shared" si="70"/>
        <v>1</v>
      </c>
      <c r="AM119" s="57">
        <f t="shared" si="70"/>
        <v>1</v>
      </c>
      <c r="AN119" s="57">
        <f t="shared" si="70"/>
        <v>1</v>
      </c>
      <c r="AO119" s="57">
        <f t="shared" si="70"/>
        <v>1</v>
      </c>
      <c r="AP119" s="57">
        <f t="shared" si="70"/>
        <v>1</v>
      </c>
      <c r="AQ119" s="57">
        <f t="shared" si="70"/>
        <v>1</v>
      </c>
      <c r="AR119" s="57">
        <f t="shared" si="70"/>
        <v>1</v>
      </c>
      <c r="AS119" s="57">
        <f t="shared" si="70"/>
        <v>1</v>
      </c>
      <c r="AT119" s="57">
        <f t="shared" si="70"/>
        <v>1</v>
      </c>
      <c r="AU119" s="57">
        <f t="shared" si="70"/>
        <v>1</v>
      </c>
      <c r="AV119" s="57">
        <f t="shared" si="70"/>
        <v>1</v>
      </c>
      <c r="AW119" s="57">
        <f t="shared" si="70"/>
        <v>1</v>
      </c>
      <c r="AX119" s="57">
        <f t="shared" si="70"/>
        <v>1</v>
      </c>
      <c r="AY119" s="57">
        <f t="shared" si="70"/>
        <v>1</v>
      </c>
      <c r="AZ119" s="57">
        <f t="shared" si="70"/>
        <v>1</v>
      </c>
      <c r="BA119" s="57">
        <f t="shared" si="70"/>
        <v>1</v>
      </c>
      <c r="BB119" s="57">
        <f t="shared" si="70"/>
        <v>1</v>
      </c>
      <c r="BC119" s="57">
        <f t="shared" si="70"/>
        <v>1</v>
      </c>
      <c r="BD119" s="57">
        <f t="shared" si="69"/>
        <v>1</v>
      </c>
      <c r="BE119" s="57">
        <f t="shared" si="69"/>
        <v>1</v>
      </c>
      <c r="BF119" s="57">
        <f t="shared" si="69"/>
        <v>1</v>
      </c>
      <c r="BG119" s="57">
        <f t="shared" si="69"/>
        <v>1</v>
      </c>
      <c r="BH119" s="57">
        <f t="shared" si="69"/>
        <v>1</v>
      </c>
      <c r="BI119" s="57">
        <f t="shared" si="69"/>
        <v>1</v>
      </c>
      <c r="BJ119" s="57">
        <f t="shared" si="69"/>
        <v>1</v>
      </c>
      <c r="BK119" s="57">
        <f t="shared" si="69"/>
        <v>1</v>
      </c>
      <c r="BL119" s="57">
        <f t="shared" si="69"/>
        <v>1</v>
      </c>
      <c r="BM119" s="57">
        <f t="shared" si="69"/>
        <v>1</v>
      </c>
      <c r="BN119" s="57">
        <f t="shared" si="69"/>
        <v>1</v>
      </c>
      <c r="BO119" s="32">
        <f t="shared" si="40"/>
        <v>0.76271186440677963</v>
      </c>
    </row>
    <row r="120" spans="1:67" s="27" customFormat="1" ht="18.75" customHeight="1" x14ac:dyDescent="0.25">
      <c r="A120" s="50" t="s">
        <v>245</v>
      </c>
      <c r="B120" s="50" t="s">
        <v>246</v>
      </c>
      <c r="C120" s="50" t="s">
        <v>111</v>
      </c>
      <c r="D120" s="51">
        <f>VLOOKUP(A120,'[1]Cuadro Control'!C138:J2050,8,FALSE)</f>
        <v>1230815225.9452939</v>
      </c>
      <c r="E120" s="52">
        <f t="shared" si="68"/>
        <v>0.2318411625341423</v>
      </c>
      <c r="F120" s="53">
        <v>46315</v>
      </c>
      <c r="G120" s="53">
        <v>46316</v>
      </c>
      <c r="H120" s="52">
        <f t="shared" si="65"/>
        <v>0</v>
      </c>
      <c r="I120" s="52">
        <f t="shared" si="65"/>
        <v>0</v>
      </c>
      <c r="J120" s="52">
        <f t="shared" si="65"/>
        <v>0</v>
      </c>
      <c r="K120" s="52">
        <f t="shared" si="65"/>
        <v>0</v>
      </c>
      <c r="L120" s="52">
        <f t="shared" si="65"/>
        <v>0</v>
      </c>
      <c r="M120" s="52">
        <f t="shared" si="65"/>
        <v>0</v>
      </c>
      <c r="N120" s="52">
        <f t="shared" si="65"/>
        <v>0</v>
      </c>
      <c r="O120" s="52">
        <f t="shared" si="65"/>
        <v>0</v>
      </c>
      <c r="P120" s="52">
        <f t="shared" si="65"/>
        <v>0</v>
      </c>
      <c r="Q120" s="52">
        <f t="shared" si="65"/>
        <v>0</v>
      </c>
      <c r="R120" s="52">
        <f t="shared" si="65"/>
        <v>0</v>
      </c>
      <c r="S120" s="52">
        <f t="shared" si="65"/>
        <v>0</v>
      </c>
      <c r="T120" s="52">
        <f t="shared" si="65"/>
        <v>0</v>
      </c>
      <c r="U120" s="52">
        <f t="shared" si="65"/>
        <v>0</v>
      </c>
      <c r="V120" s="52">
        <f t="shared" si="65"/>
        <v>0</v>
      </c>
      <c r="W120" s="52">
        <f t="shared" si="65"/>
        <v>1</v>
      </c>
      <c r="X120" s="52">
        <f t="shared" si="70"/>
        <v>1</v>
      </c>
      <c r="Y120" s="52">
        <f t="shared" si="70"/>
        <v>1</v>
      </c>
      <c r="Z120" s="52">
        <f t="shared" si="70"/>
        <v>1</v>
      </c>
      <c r="AA120" s="52">
        <f t="shared" si="70"/>
        <v>1</v>
      </c>
      <c r="AB120" s="52">
        <f t="shared" si="70"/>
        <v>1</v>
      </c>
      <c r="AC120" s="52">
        <f t="shared" si="70"/>
        <v>1</v>
      </c>
      <c r="AD120" s="52">
        <f t="shared" si="70"/>
        <v>1</v>
      </c>
      <c r="AE120" s="52">
        <f t="shared" si="70"/>
        <v>1</v>
      </c>
      <c r="AF120" s="52">
        <f t="shared" si="70"/>
        <v>1</v>
      </c>
      <c r="AG120" s="52">
        <f t="shared" si="70"/>
        <v>1</v>
      </c>
      <c r="AH120" s="52">
        <f t="shared" si="70"/>
        <v>1</v>
      </c>
      <c r="AI120" s="52">
        <f t="shared" si="70"/>
        <v>1</v>
      </c>
      <c r="AJ120" s="52">
        <f t="shared" si="70"/>
        <v>1</v>
      </c>
      <c r="AK120" s="52">
        <f t="shared" si="70"/>
        <v>1</v>
      </c>
      <c r="AL120" s="52">
        <f t="shared" si="70"/>
        <v>1</v>
      </c>
      <c r="AM120" s="52">
        <f t="shared" si="70"/>
        <v>1</v>
      </c>
      <c r="AN120" s="52">
        <f t="shared" si="70"/>
        <v>1</v>
      </c>
      <c r="AO120" s="52">
        <f t="shared" si="70"/>
        <v>1</v>
      </c>
      <c r="AP120" s="52">
        <f t="shared" si="70"/>
        <v>1</v>
      </c>
      <c r="AQ120" s="52">
        <f t="shared" si="70"/>
        <v>1</v>
      </c>
      <c r="AR120" s="52">
        <f t="shared" si="70"/>
        <v>1</v>
      </c>
      <c r="AS120" s="52">
        <f t="shared" si="70"/>
        <v>1</v>
      </c>
      <c r="AT120" s="52">
        <f t="shared" si="70"/>
        <v>1</v>
      </c>
      <c r="AU120" s="52">
        <f t="shared" si="70"/>
        <v>1</v>
      </c>
      <c r="AV120" s="52">
        <f t="shared" si="70"/>
        <v>1</v>
      </c>
      <c r="AW120" s="52">
        <f t="shared" si="70"/>
        <v>1</v>
      </c>
      <c r="AX120" s="52">
        <f t="shared" si="70"/>
        <v>1</v>
      </c>
      <c r="AY120" s="52">
        <f t="shared" si="70"/>
        <v>1</v>
      </c>
      <c r="AZ120" s="52">
        <f t="shared" si="70"/>
        <v>1</v>
      </c>
      <c r="BA120" s="52">
        <f t="shared" si="70"/>
        <v>1</v>
      </c>
      <c r="BB120" s="52">
        <f t="shared" si="70"/>
        <v>1</v>
      </c>
      <c r="BC120" s="52">
        <f t="shared" si="70"/>
        <v>1</v>
      </c>
      <c r="BD120" s="52">
        <f t="shared" si="69"/>
        <v>1</v>
      </c>
      <c r="BE120" s="52">
        <f t="shared" si="69"/>
        <v>1</v>
      </c>
      <c r="BF120" s="52">
        <f t="shared" si="69"/>
        <v>1</v>
      </c>
      <c r="BG120" s="52">
        <f t="shared" si="69"/>
        <v>1</v>
      </c>
      <c r="BH120" s="52">
        <f t="shared" si="69"/>
        <v>1</v>
      </c>
      <c r="BI120" s="52">
        <f t="shared" si="69"/>
        <v>1</v>
      </c>
      <c r="BJ120" s="52">
        <f t="shared" si="69"/>
        <v>1</v>
      </c>
      <c r="BK120" s="52">
        <f t="shared" si="69"/>
        <v>1</v>
      </c>
      <c r="BL120" s="52">
        <f t="shared" si="69"/>
        <v>1</v>
      </c>
      <c r="BM120" s="52">
        <f t="shared" si="69"/>
        <v>1</v>
      </c>
      <c r="BN120" s="52">
        <f t="shared" si="69"/>
        <v>1</v>
      </c>
      <c r="BO120" s="32">
        <f t="shared" si="40"/>
        <v>0.74576271186440679</v>
      </c>
    </row>
    <row r="121" spans="1:67" s="27" customFormat="1" ht="18.75" customHeight="1" x14ac:dyDescent="0.25">
      <c r="A121" s="50" t="s">
        <v>247</v>
      </c>
      <c r="B121" s="50" t="s">
        <v>248</v>
      </c>
      <c r="C121" s="50" t="s">
        <v>238</v>
      </c>
      <c r="D121" s="51">
        <f>VLOOKUP(A121,'[1]Cuadro Control'!C140:J2051,8,FALSE)</f>
        <v>0</v>
      </c>
      <c r="E121" s="52">
        <f t="shared" si="68"/>
        <v>0</v>
      </c>
      <c r="F121" s="53">
        <v>46316</v>
      </c>
      <c r="G121" s="53">
        <v>46323</v>
      </c>
      <c r="H121" s="52">
        <f t="shared" si="65"/>
        <v>0</v>
      </c>
      <c r="I121" s="52">
        <f t="shared" si="65"/>
        <v>0</v>
      </c>
      <c r="J121" s="52">
        <f t="shared" si="65"/>
        <v>0</v>
      </c>
      <c r="K121" s="52">
        <f t="shared" si="65"/>
        <v>0</v>
      </c>
      <c r="L121" s="52">
        <f t="shared" si="65"/>
        <v>0</v>
      </c>
      <c r="M121" s="52">
        <f t="shared" si="65"/>
        <v>0</v>
      </c>
      <c r="N121" s="52">
        <f t="shared" si="65"/>
        <v>0</v>
      </c>
      <c r="O121" s="52">
        <f t="shared" si="65"/>
        <v>0</v>
      </c>
      <c r="P121" s="52">
        <f t="shared" si="65"/>
        <v>0</v>
      </c>
      <c r="Q121" s="52">
        <f t="shared" si="65"/>
        <v>0</v>
      </c>
      <c r="R121" s="52">
        <f t="shared" si="65"/>
        <v>0</v>
      </c>
      <c r="S121" s="52">
        <f t="shared" si="65"/>
        <v>0</v>
      </c>
      <c r="T121" s="52">
        <f t="shared" si="65"/>
        <v>0</v>
      </c>
      <c r="U121" s="52">
        <f t="shared" si="65"/>
        <v>0</v>
      </c>
      <c r="V121" s="52">
        <f t="shared" si="65"/>
        <v>0</v>
      </c>
      <c r="W121" s="52">
        <f t="shared" si="65"/>
        <v>0.375</v>
      </c>
      <c r="X121" s="52">
        <f t="shared" si="70"/>
        <v>1</v>
      </c>
      <c r="Y121" s="52">
        <f t="shared" si="70"/>
        <v>1</v>
      </c>
      <c r="Z121" s="52">
        <f t="shared" si="70"/>
        <v>1</v>
      </c>
      <c r="AA121" s="52">
        <f t="shared" si="70"/>
        <v>1</v>
      </c>
      <c r="AB121" s="52">
        <f t="shared" si="70"/>
        <v>1</v>
      </c>
      <c r="AC121" s="52">
        <f t="shared" si="70"/>
        <v>1</v>
      </c>
      <c r="AD121" s="52">
        <f t="shared" si="70"/>
        <v>1</v>
      </c>
      <c r="AE121" s="52">
        <f t="shared" si="70"/>
        <v>1</v>
      </c>
      <c r="AF121" s="52">
        <f t="shared" si="70"/>
        <v>1</v>
      </c>
      <c r="AG121" s="52">
        <f t="shared" si="70"/>
        <v>1</v>
      </c>
      <c r="AH121" s="52">
        <f t="shared" si="70"/>
        <v>1</v>
      </c>
      <c r="AI121" s="52">
        <f t="shared" si="70"/>
        <v>1</v>
      </c>
      <c r="AJ121" s="52">
        <f t="shared" si="70"/>
        <v>1</v>
      </c>
      <c r="AK121" s="52">
        <f t="shared" si="70"/>
        <v>1</v>
      </c>
      <c r="AL121" s="52">
        <f t="shared" si="70"/>
        <v>1</v>
      </c>
      <c r="AM121" s="52">
        <f t="shared" si="70"/>
        <v>1</v>
      </c>
      <c r="AN121" s="52">
        <f t="shared" si="70"/>
        <v>1</v>
      </c>
      <c r="AO121" s="52">
        <f t="shared" si="70"/>
        <v>1</v>
      </c>
      <c r="AP121" s="52">
        <f t="shared" si="70"/>
        <v>1</v>
      </c>
      <c r="AQ121" s="52">
        <f t="shared" si="70"/>
        <v>1</v>
      </c>
      <c r="AR121" s="52">
        <f t="shared" si="70"/>
        <v>1</v>
      </c>
      <c r="AS121" s="52">
        <f t="shared" si="70"/>
        <v>1</v>
      </c>
      <c r="AT121" s="52">
        <f t="shared" si="70"/>
        <v>1</v>
      </c>
      <c r="AU121" s="52">
        <f t="shared" si="70"/>
        <v>1</v>
      </c>
      <c r="AV121" s="52">
        <f t="shared" si="70"/>
        <v>1</v>
      </c>
      <c r="AW121" s="52">
        <f t="shared" si="70"/>
        <v>1</v>
      </c>
      <c r="AX121" s="52">
        <f t="shared" si="70"/>
        <v>1</v>
      </c>
      <c r="AY121" s="52">
        <f t="shared" si="70"/>
        <v>1</v>
      </c>
      <c r="AZ121" s="52">
        <f t="shared" si="70"/>
        <v>1</v>
      </c>
      <c r="BA121" s="52">
        <f t="shared" si="70"/>
        <v>1</v>
      </c>
      <c r="BB121" s="52">
        <f t="shared" si="70"/>
        <v>1</v>
      </c>
      <c r="BC121" s="52">
        <f t="shared" si="70"/>
        <v>1</v>
      </c>
      <c r="BD121" s="52">
        <f t="shared" si="69"/>
        <v>1</v>
      </c>
      <c r="BE121" s="52">
        <f t="shared" si="69"/>
        <v>1</v>
      </c>
      <c r="BF121" s="52">
        <f t="shared" si="69"/>
        <v>1</v>
      </c>
      <c r="BG121" s="52">
        <f t="shared" si="69"/>
        <v>1</v>
      </c>
      <c r="BH121" s="52">
        <f t="shared" si="69"/>
        <v>1</v>
      </c>
      <c r="BI121" s="52">
        <f t="shared" si="69"/>
        <v>1</v>
      </c>
      <c r="BJ121" s="52">
        <f t="shared" si="69"/>
        <v>1</v>
      </c>
      <c r="BK121" s="52">
        <f t="shared" si="69"/>
        <v>1</v>
      </c>
      <c r="BL121" s="52">
        <f t="shared" si="69"/>
        <v>1</v>
      </c>
      <c r="BM121" s="52">
        <f t="shared" si="69"/>
        <v>1</v>
      </c>
      <c r="BN121" s="52">
        <f t="shared" si="69"/>
        <v>1</v>
      </c>
      <c r="BO121" s="32">
        <f t="shared" si="40"/>
        <v>0.73516949152542377</v>
      </c>
    </row>
    <row r="122" spans="1:67" s="27" customFormat="1" ht="18.75" customHeight="1" x14ac:dyDescent="0.25">
      <c r="A122" s="50" t="s">
        <v>249</v>
      </c>
      <c r="B122" s="50" t="s">
        <v>250</v>
      </c>
      <c r="C122" s="50" t="s">
        <v>126</v>
      </c>
      <c r="D122" s="51">
        <f>VLOOKUP(A122,'[1]Cuadro Control'!C142:J2052,8,FALSE)</f>
        <v>52736347.43270281</v>
      </c>
      <c r="E122" s="52">
        <f t="shared" si="68"/>
        <v>9.933624348213644E-3</v>
      </c>
      <c r="F122" s="53">
        <v>46323</v>
      </c>
      <c r="G122" s="53">
        <v>46326</v>
      </c>
      <c r="H122" s="52">
        <f t="shared" si="65"/>
        <v>0</v>
      </c>
      <c r="I122" s="52">
        <f t="shared" si="65"/>
        <v>0</v>
      </c>
      <c r="J122" s="52">
        <f t="shared" si="65"/>
        <v>0</v>
      </c>
      <c r="K122" s="52">
        <f t="shared" si="65"/>
        <v>0</v>
      </c>
      <c r="L122" s="52">
        <f t="shared" si="65"/>
        <v>0</v>
      </c>
      <c r="M122" s="52">
        <f t="shared" si="65"/>
        <v>0</v>
      </c>
      <c r="N122" s="52">
        <f t="shared" si="65"/>
        <v>0</v>
      </c>
      <c r="O122" s="52">
        <f t="shared" si="65"/>
        <v>0</v>
      </c>
      <c r="P122" s="52">
        <f t="shared" si="65"/>
        <v>0</v>
      </c>
      <c r="Q122" s="52">
        <f t="shared" si="65"/>
        <v>0</v>
      </c>
      <c r="R122" s="52">
        <f t="shared" si="65"/>
        <v>0</v>
      </c>
      <c r="S122" s="52">
        <f t="shared" si="65"/>
        <v>0</v>
      </c>
      <c r="T122" s="52">
        <f t="shared" si="65"/>
        <v>0</v>
      </c>
      <c r="U122" s="52">
        <f t="shared" si="65"/>
        <v>0</v>
      </c>
      <c r="V122" s="52">
        <f t="shared" si="65"/>
        <v>0</v>
      </c>
      <c r="W122" s="52">
        <f t="shared" si="65"/>
        <v>0</v>
      </c>
      <c r="X122" s="52">
        <f t="shared" si="70"/>
        <v>0.75</v>
      </c>
      <c r="Y122" s="52">
        <f t="shared" si="70"/>
        <v>1</v>
      </c>
      <c r="Z122" s="52">
        <f t="shared" si="70"/>
        <v>1</v>
      </c>
      <c r="AA122" s="52">
        <f t="shared" si="70"/>
        <v>1</v>
      </c>
      <c r="AB122" s="52">
        <f t="shared" si="70"/>
        <v>1</v>
      </c>
      <c r="AC122" s="52">
        <f t="shared" si="70"/>
        <v>1</v>
      </c>
      <c r="AD122" s="52">
        <f t="shared" si="70"/>
        <v>1</v>
      </c>
      <c r="AE122" s="52">
        <f t="shared" si="70"/>
        <v>1</v>
      </c>
      <c r="AF122" s="52">
        <f t="shared" si="70"/>
        <v>1</v>
      </c>
      <c r="AG122" s="52">
        <f t="shared" si="70"/>
        <v>1</v>
      </c>
      <c r="AH122" s="52">
        <f t="shared" si="70"/>
        <v>1</v>
      </c>
      <c r="AI122" s="52">
        <f t="shared" si="70"/>
        <v>1</v>
      </c>
      <c r="AJ122" s="52">
        <f t="shared" si="70"/>
        <v>1</v>
      </c>
      <c r="AK122" s="52">
        <f t="shared" si="70"/>
        <v>1</v>
      </c>
      <c r="AL122" s="52">
        <f t="shared" si="70"/>
        <v>1</v>
      </c>
      <c r="AM122" s="52">
        <f t="shared" si="70"/>
        <v>1</v>
      </c>
      <c r="AN122" s="52">
        <f t="shared" si="70"/>
        <v>1</v>
      </c>
      <c r="AO122" s="52">
        <f t="shared" si="70"/>
        <v>1</v>
      </c>
      <c r="AP122" s="52">
        <f t="shared" si="70"/>
        <v>1</v>
      </c>
      <c r="AQ122" s="52">
        <f t="shared" si="70"/>
        <v>1</v>
      </c>
      <c r="AR122" s="52">
        <f t="shared" si="70"/>
        <v>1</v>
      </c>
      <c r="AS122" s="52">
        <f t="shared" si="70"/>
        <v>1</v>
      </c>
      <c r="AT122" s="52">
        <f t="shared" si="70"/>
        <v>1</v>
      </c>
      <c r="AU122" s="52">
        <f t="shared" si="70"/>
        <v>1</v>
      </c>
      <c r="AV122" s="52">
        <f t="shared" si="70"/>
        <v>1</v>
      </c>
      <c r="AW122" s="52">
        <f t="shared" si="70"/>
        <v>1</v>
      </c>
      <c r="AX122" s="52">
        <f t="shared" si="70"/>
        <v>1</v>
      </c>
      <c r="AY122" s="52">
        <f t="shared" si="70"/>
        <v>1</v>
      </c>
      <c r="AZ122" s="52">
        <f t="shared" si="70"/>
        <v>1</v>
      </c>
      <c r="BA122" s="52">
        <f t="shared" si="70"/>
        <v>1</v>
      </c>
      <c r="BB122" s="52">
        <f t="shared" si="70"/>
        <v>1</v>
      </c>
      <c r="BC122" s="52">
        <f t="shared" si="70"/>
        <v>1</v>
      </c>
      <c r="BD122" s="52">
        <f t="shared" si="69"/>
        <v>1</v>
      </c>
      <c r="BE122" s="52">
        <f t="shared" si="69"/>
        <v>1</v>
      </c>
      <c r="BF122" s="52">
        <f t="shared" si="69"/>
        <v>1</v>
      </c>
      <c r="BG122" s="52">
        <f t="shared" si="69"/>
        <v>1</v>
      </c>
      <c r="BH122" s="52">
        <f t="shared" si="69"/>
        <v>1</v>
      </c>
      <c r="BI122" s="52">
        <f t="shared" si="69"/>
        <v>1</v>
      </c>
      <c r="BJ122" s="52">
        <f t="shared" si="69"/>
        <v>1</v>
      </c>
      <c r="BK122" s="52">
        <f t="shared" si="69"/>
        <v>1</v>
      </c>
      <c r="BL122" s="52">
        <f t="shared" si="69"/>
        <v>1</v>
      </c>
      <c r="BM122" s="52">
        <f t="shared" si="69"/>
        <v>1</v>
      </c>
      <c r="BN122" s="52">
        <f t="shared" si="69"/>
        <v>1</v>
      </c>
      <c r="BO122" s="32">
        <f t="shared" si="40"/>
        <v>0.72457627118644063</v>
      </c>
    </row>
    <row r="123" spans="1:67" s="27" customFormat="1" ht="18.75" customHeight="1" x14ac:dyDescent="0.25">
      <c r="A123" s="50" t="s">
        <v>251</v>
      </c>
      <c r="B123" s="50" t="s">
        <v>252</v>
      </c>
      <c r="C123" s="50" t="s">
        <v>117</v>
      </c>
      <c r="D123" s="51">
        <f>VLOOKUP(A123,'[1]Cuadro Control'!C143:J2053,8,FALSE)</f>
        <v>46410609.014634147</v>
      </c>
      <c r="E123" s="52">
        <f t="shared" si="68"/>
        <v>8.742083556535862E-3</v>
      </c>
      <c r="F123" s="53">
        <v>46326</v>
      </c>
      <c r="G123" s="53">
        <v>46330</v>
      </c>
      <c r="H123" s="52">
        <f t="shared" si="65"/>
        <v>0</v>
      </c>
      <c r="I123" s="52">
        <f t="shared" si="65"/>
        <v>0</v>
      </c>
      <c r="J123" s="52">
        <f t="shared" si="65"/>
        <v>0</v>
      </c>
      <c r="K123" s="52">
        <f t="shared" si="65"/>
        <v>0</v>
      </c>
      <c r="L123" s="52">
        <f t="shared" si="65"/>
        <v>0</v>
      </c>
      <c r="M123" s="52">
        <f t="shared" si="65"/>
        <v>0</v>
      </c>
      <c r="N123" s="52">
        <f t="shared" si="65"/>
        <v>0</v>
      </c>
      <c r="O123" s="52">
        <f t="shared" si="65"/>
        <v>0</v>
      </c>
      <c r="P123" s="52">
        <f t="shared" si="65"/>
        <v>0</v>
      </c>
      <c r="Q123" s="52">
        <f t="shared" si="65"/>
        <v>0</v>
      </c>
      <c r="R123" s="52">
        <f t="shared" si="65"/>
        <v>0</v>
      </c>
      <c r="S123" s="52">
        <f t="shared" si="65"/>
        <v>0</v>
      </c>
      <c r="T123" s="52">
        <f t="shared" si="65"/>
        <v>0</v>
      </c>
      <c r="U123" s="52">
        <f t="shared" si="65"/>
        <v>0</v>
      </c>
      <c r="V123" s="52">
        <f t="shared" si="65"/>
        <v>0</v>
      </c>
      <c r="W123" s="52">
        <f t="shared" si="65"/>
        <v>0</v>
      </c>
      <c r="X123" s="52">
        <f t="shared" si="70"/>
        <v>0</v>
      </c>
      <c r="Y123" s="52">
        <f t="shared" si="70"/>
        <v>1</v>
      </c>
      <c r="Z123" s="52">
        <f t="shared" si="70"/>
        <v>1</v>
      </c>
      <c r="AA123" s="52">
        <f t="shared" si="70"/>
        <v>1</v>
      </c>
      <c r="AB123" s="52">
        <f t="shared" si="70"/>
        <v>1</v>
      </c>
      <c r="AC123" s="52">
        <f t="shared" si="70"/>
        <v>1</v>
      </c>
      <c r="AD123" s="52">
        <f t="shared" si="70"/>
        <v>1</v>
      </c>
      <c r="AE123" s="52">
        <f t="shared" si="70"/>
        <v>1</v>
      </c>
      <c r="AF123" s="52">
        <f t="shared" si="70"/>
        <v>1</v>
      </c>
      <c r="AG123" s="52">
        <f t="shared" si="70"/>
        <v>1</v>
      </c>
      <c r="AH123" s="52">
        <f t="shared" si="70"/>
        <v>1</v>
      </c>
      <c r="AI123" s="52">
        <f t="shared" si="70"/>
        <v>1</v>
      </c>
      <c r="AJ123" s="52">
        <f t="shared" si="70"/>
        <v>1</v>
      </c>
      <c r="AK123" s="52">
        <f t="shared" si="70"/>
        <v>1</v>
      </c>
      <c r="AL123" s="52">
        <f t="shared" si="70"/>
        <v>1</v>
      </c>
      <c r="AM123" s="52">
        <f t="shared" si="70"/>
        <v>1</v>
      </c>
      <c r="AN123" s="52">
        <f t="shared" si="70"/>
        <v>1</v>
      </c>
      <c r="AO123" s="52">
        <f t="shared" si="70"/>
        <v>1</v>
      </c>
      <c r="AP123" s="52">
        <f t="shared" si="70"/>
        <v>1</v>
      </c>
      <c r="AQ123" s="52">
        <f t="shared" si="70"/>
        <v>1</v>
      </c>
      <c r="AR123" s="52">
        <f t="shared" si="70"/>
        <v>1</v>
      </c>
      <c r="AS123" s="52">
        <f t="shared" si="70"/>
        <v>1</v>
      </c>
      <c r="AT123" s="52">
        <f t="shared" si="70"/>
        <v>1</v>
      </c>
      <c r="AU123" s="52">
        <f t="shared" si="70"/>
        <v>1</v>
      </c>
      <c r="AV123" s="52">
        <f t="shared" si="70"/>
        <v>1</v>
      </c>
      <c r="AW123" s="52">
        <f t="shared" si="70"/>
        <v>1</v>
      </c>
      <c r="AX123" s="52">
        <f t="shared" si="70"/>
        <v>1</v>
      </c>
      <c r="AY123" s="52">
        <f t="shared" si="70"/>
        <v>1</v>
      </c>
      <c r="AZ123" s="52">
        <f t="shared" si="70"/>
        <v>1</v>
      </c>
      <c r="BA123" s="52">
        <f t="shared" si="70"/>
        <v>1</v>
      </c>
      <c r="BB123" s="52">
        <f t="shared" si="70"/>
        <v>1</v>
      </c>
      <c r="BC123" s="52">
        <f t="shared" si="70"/>
        <v>1</v>
      </c>
      <c r="BD123" s="52">
        <f t="shared" si="69"/>
        <v>1</v>
      </c>
      <c r="BE123" s="52">
        <f t="shared" si="69"/>
        <v>1</v>
      </c>
      <c r="BF123" s="52">
        <f t="shared" si="69"/>
        <v>1</v>
      </c>
      <c r="BG123" s="52">
        <f t="shared" si="69"/>
        <v>1</v>
      </c>
      <c r="BH123" s="52">
        <f t="shared" si="69"/>
        <v>1</v>
      </c>
      <c r="BI123" s="52">
        <f t="shared" si="69"/>
        <v>1</v>
      </c>
      <c r="BJ123" s="52">
        <f t="shared" si="69"/>
        <v>1</v>
      </c>
      <c r="BK123" s="52">
        <f t="shared" si="69"/>
        <v>1</v>
      </c>
      <c r="BL123" s="52">
        <f t="shared" si="69"/>
        <v>1</v>
      </c>
      <c r="BM123" s="52">
        <f t="shared" si="69"/>
        <v>1</v>
      </c>
      <c r="BN123" s="52">
        <f t="shared" si="69"/>
        <v>1</v>
      </c>
      <c r="BO123" s="32">
        <f t="shared" si="40"/>
        <v>0.71186440677966101</v>
      </c>
    </row>
    <row r="124" spans="1:67" s="27" customFormat="1" ht="18.75" customHeight="1" x14ac:dyDescent="0.25">
      <c r="A124" s="50" t="s">
        <v>253</v>
      </c>
      <c r="B124" s="50" t="s">
        <v>254</v>
      </c>
      <c r="C124" s="50" t="s">
        <v>61</v>
      </c>
      <c r="D124" s="51">
        <f>VLOOKUP(A124,'[1]Cuadro Control'!C144:J2054,8,FALSE)</f>
        <v>1587346329.5488234</v>
      </c>
      <c r="E124" s="52">
        <f t="shared" si="68"/>
        <v>0.29899875353285565</v>
      </c>
      <c r="F124" s="53">
        <v>46329</v>
      </c>
      <c r="G124" s="53">
        <v>46339</v>
      </c>
      <c r="H124" s="52">
        <f t="shared" si="65"/>
        <v>0</v>
      </c>
      <c r="I124" s="52">
        <f t="shared" si="65"/>
        <v>0</v>
      </c>
      <c r="J124" s="52">
        <f t="shared" si="65"/>
        <v>0</v>
      </c>
      <c r="K124" s="52">
        <f t="shared" si="65"/>
        <v>0</v>
      </c>
      <c r="L124" s="52">
        <f t="shared" si="65"/>
        <v>0</v>
      </c>
      <c r="M124" s="52">
        <f t="shared" si="65"/>
        <v>0</v>
      </c>
      <c r="N124" s="52">
        <f t="shared" si="65"/>
        <v>0</v>
      </c>
      <c r="O124" s="52">
        <f t="shared" si="65"/>
        <v>0</v>
      </c>
      <c r="P124" s="52">
        <f t="shared" si="65"/>
        <v>0</v>
      </c>
      <c r="Q124" s="52">
        <f t="shared" si="65"/>
        <v>0</v>
      </c>
      <c r="R124" s="52">
        <f t="shared" si="65"/>
        <v>0</v>
      </c>
      <c r="S124" s="52">
        <f t="shared" si="65"/>
        <v>0</v>
      </c>
      <c r="T124" s="52">
        <f t="shared" si="65"/>
        <v>0</v>
      </c>
      <c r="U124" s="52">
        <f t="shared" si="65"/>
        <v>0</v>
      </c>
      <c r="V124" s="52">
        <f t="shared" si="65"/>
        <v>0</v>
      </c>
      <c r="W124" s="52">
        <f t="shared" si="65"/>
        <v>0</v>
      </c>
      <c r="X124" s="52">
        <f t="shared" si="70"/>
        <v>0</v>
      </c>
      <c r="Y124" s="52">
        <f t="shared" si="70"/>
        <v>0.36363636363636365</v>
      </c>
      <c r="Z124" s="52">
        <f t="shared" si="70"/>
        <v>1</v>
      </c>
      <c r="AA124" s="52">
        <f t="shared" si="70"/>
        <v>1</v>
      </c>
      <c r="AB124" s="52">
        <f t="shared" si="70"/>
        <v>1</v>
      </c>
      <c r="AC124" s="52">
        <f t="shared" si="70"/>
        <v>1</v>
      </c>
      <c r="AD124" s="52">
        <f t="shared" si="70"/>
        <v>1</v>
      </c>
      <c r="AE124" s="52">
        <f t="shared" si="70"/>
        <v>1</v>
      </c>
      <c r="AF124" s="52">
        <f t="shared" si="70"/>
        <v>1</v>
      </c>
      <c r="AG124" s="52">
        <f t="shared" si="70"/>
        <v>1</v>
      </c>
      <c r="AH124" s="52">
        <f t="shared" si="70"/>
        <v>1</v>
      </c>
      <c r="AI124" s="52">
        <f t="shared" si="70"/>
        <v>1</v>
      </c>
      <c r="AJ124" s="52">
        <f t="shared" si="70"/>
        <v>1</v>
      </c>
      <c r="AK124" s="52">
        <f t="shared" si="70"/>
        <v>1</v>
      </c>
      <c r="AL124" s="52">
        <f t="shared" si="70"/>
        <v>1</v>
      </c>
      <c r="AM124" s="52">
        <f t="shared" si="70"/>
        <v>1</v>
      </c>
      <c r="AN124" s="52">
        <f t="shared" si="70"/>
        <v>1</v>
      </c>
      <c r="AO124" s="52">
        <f t="shared" si="70"/>
        <v>1</v>
      </c>
      <c r="AP124" s="52">
        <f t="shared" si="70"/>
        <v>1</v>
      </c>
      <c r="AQ124" s="52">
        <f t="shared" si="70"/>
        <v>1</v>
      </c>
      <c r="AR124" s="52">
        <f t="shared" si="70"/>
        <v>1</v>
      </c>
      <c r="AS124" s="52">
        <f t="shared" si="70"/>
        <v>1</v>
      </c>
      <c r="AT124" s="52">
        <f t="shared" si="70"/>
        <v>1</v>
      </c>
      <c r="AU124" s="52">
        <f t="shared" si="70"/>
        <v>1</v>
      </c>
      <c r="AV124" s="52">
        <f t="shared" si="70"/>
        <v>1</v>
      </c>
      <c r="AW124" s="52">
        <f t="shared" si="70"/>
        <v>1</v>
      </c>
      <c r="AX124" s="52">
        <f t="shared" si="70"/>
        <v>1</v>
      </c>
      <c r="AY124" s="52">
        <f t="shared" si="70"/>
        <v>1</v>
      </c>
      <c r="AZ124" s="52">
        <f t="shared" si="70"/>
        <v>1</v>
      </c>
      <c r="BA124" s="52">
        <f t="shared" si="70"/>
        <v>1</v>
      </c>
      <c r="BB124" s="52">
        <f t="shared" si="70"/>
        <v>1</v>
      </c>
      <c r="BC124" s="52">
        <f t="shared" si="70"/>
        <v>1</v>
      </c>
      <c r="BD124" s="52">
        <f t="shared" si="69"/>
        <v>1</v>
      </c>
      <c r="BE124" s="52">
        <f t="shared" si="69"/>
        <v>1</v>
      </c>
      <c r="BF124" s="52">
        <f t="shared" si="69"/>
        <v>1</v>
      </c>
      <c r="BG124" s="52">
        <f t="shared" si="69"/>
        <v>1</v>
      </c>
      <c r="BH124" s="52">
        <f t="shared" si="69"/>
        <v>1</v>
      </c>
      <c r="BI124" s="52">
        <f t="shared" si="69"/>
        <v>1</v>
      </c>
      <c r="BJ124" s="52">
        <f t="shared" si="69"/>
        <v>1</v>
      </c>
      <c r="BK124" s="52">
        <f t="shared" si="69"/>
        <v>1</v>
      </c>
      <c r="BL124" s="52">
        <f t="shared" si="69"/>
        <v>1</v>
      </c>
      <c r="BM124" s="52">
        <f t="shared" si="69"/>
        <v>1</v>
      </c>
      <c r="BN124" s="52">
        <f t="shared" si="69"/>
        <v>1</v>
      </c>
      <c r="BO124" s="32">
        <f t="shared" si="40"/>
        <v>0.7010785824345146</v>
      </c>
    </row>
    <row r="125" spans="1:67" s="27" customFormat="1" ht="18.75" customHeight="1" x14ac:dyDescent="0.25">
      <c r="A125" s="46" t="s">
        <v>255</v>
      </c>
      <c r="B125" s="46" t="s">
        <v>256</v>
      </c>
      <c r="C125" s="46" t="s">
        <v>61</v>
      </c>
      <c r="D125" s="47">
        <f>VLOOKUP(A125,'[1]Cuadro Control'!C145:J2055,8,FALSE)</f>
        <v>179532477.23999998</v>
      </c>
      <c r="E125" s="48">
        <f t="shared" si="68"/>
        <v>3.3817438522495219E-2</v>
      </c>
      <c r="F125" s="49">
        <v>46331</v>
      </c>
      <c r="G125" s="49">
        <v>46344</v>
      </c>
      <c r="H125" s="48">
        <f t="shared" si="65"/>
        <v>0</v>
      </c>
      <c r="I125" s="48">
        <f t="shared" si="65"/>
        <v>0</v>
      </c>
      <c r="J125" s="48">
        <f t="shared" si="65"/>
        <v>0</v>
      </c>
      <c r="K125" s="48">
        <f t="shared" si="65"/>
        <v>0</v>
      </c>
      <c r="L125" s="48">
        <f t="shared" si="65"/>
        <v>0</v>
      </c>
      <c r="M125" s="48">
        <f t="shared" si="65"/>
        <v>0</v>
      </c>
      <c r="N125" s="48">
        <f t="shared" si="65"/>
        <v>0</v>
      </c>
      <c r="O125" s="48">
        <f t="shared" si="65"/>
        <v>0</v>
      </c>
      <c r="P125" s="48">
        <f t="shared" si="65"/>
        <v>0</v>
      </c>
      <c r="Q125" s="48">
        <f t="shared" si="65"/>
        <v>0</v>
      </c>
      <c r="R125" s="48">
        <f t="shared" si="65"/>
        <v>0</v>
      </c>
      <c r="S125" s="48">
        <f t="shared" si="65"/>
        <v>0</v>
      </c>
      <c r="T125" s="48">
        <f t="shared" si="65"/>
        <v>0</v>
      </c>
      <c r="U125" s="48">
        <f t="shared" si="65"/>
        <v>0</v>
      </c>
      <c r="V125" s="48">
        <f t="shared" si="65"/>
        <v>0</v>
      </c>
      <c r="W125" s="48">
        <f t="shared" si="65"/>
        <v>0</v>
      </c>
      <c r="X125" s="48">
        <f t="shared" si="70"/>
        <v>0</v>
      </c>
      <c r="Y125" s="48">
        <f t="shared" si="70"/>
        <v>0.14285714285714285</v>
      </c>
      <c r="Z125" s="48">
        <f t="shared" si="70"/>
        <v>0.6428571428571429</v>
      </c>
      <c r="AA125" s="48">
        <f t="shared" si="70"/>
        <v>1</v>
      </c>
      <c r="AB125" s="48">
        <f t="shared" si="70"/>
        <v>1</v>
      </c>
      <c r="AC125" s="48">
        <f t="shared" si="70"/>
        <v>1</v>
      </c>
      <c r="AD125" s="48">
        <f t="shared" si="70"/>
        <v>1</v>
      </c>
      <c r="AE125" s="48">
        <f t="shared" si="70"/>
        <v>1</v>
      </c>
      <c r="AF125" s="48">
        <f t="shared" si="70"/>
        <v>1</v>
      </c>
      <c r="AG125" s="48">
        <f t="shared" si="70"/>
        <v>1</v>
      </c>
      <c r="AH125" s="48">
        <f t="shared" si="70"/>
        <v>1</v>
      </c>
      <c r="AI125" s="48">
        <f t="shared" si="70"/>
        <v>1</v>
      </c>
      <c r="AJ125" s="48">
        <f t="shared" si="70"/>
        <v>1</v>
      </c>
      <c r="AK125" s="48">
        <f t="shared" si="70"/>
        <v>1</v>
      </c>
      <c r="AL125" s="48">
        <f t="shared" si="70"/>
        <v>1</v>
      </c>
      <c r="AM125" s="48">
        <f t="shared" si="70"/>
        <v>1</v>
      </c>
      <c r="AN125" s="48">
        <f t="shared" si="70"/>
        <v>1</v>
      </c>
      <c r="AO125" s="48">
        <f t="shared" si="70"/>
        <v>1</v>
      </c>
      <c r="AP125" s="48">
        <f t="shared" si="70"/>
        <v>1</v>
      </c>
      <c r="AQ125" s="48">
        <f t="shared" si="70"/>
        <v>1</v>
      </c>
      <c r="AR125" s="48">
        <f t="shared" si="70"/>
        <v>1</v>
      </c>
      <c r="AS125" s="48">
        <f t="shared" si="70"/>
        <v>1</v>
      </c>
      <c r="AT125" s="48">
        <f t="shared" si="70"/>
        <v>1</v>
      </c>
      <c r="AU125" s="48">
        <f t="shared" si="70"/>
        <v>1</v>
      </c>
      <c r="AV125" s="48">
        <f t="shared" si="70"/>
        <v>1</v>
      </c>
      <c r="AW125" s="48">
        <f t="shared" si="70"/>
        <v>1</v>
      </c>
      <c r="AX125" s="48">
        <f t="shared" si="70"/>
        <v>1</v>
      </c>
      <c r="AY125" s="48">
        <f t="shared" si="70"/>
        <v>1</v>
      </c>
      <c r="AZ125" s="48">
        <f t="shared" si="70"/>
        <v>1</v>
      </c>
      <c r="BA125" s="48">
        <f t="shared" si="70"/>
        <v>1</v>
      </c>
      <c r="BB125" s="48">
        <f t="shared" si="70"/>
        <v>1</v>
      </c>
      <c r="BC125" s="48">
        <f t="shared" si="70"/>
        <v>1</v>
      </c>
      <c r="BD125" s="48">
        <f t="shared" si="69"/>
        <v>1</v>
      </c>
      <c r="BE125" s="48">
        <f t="shared" si="69"/>
        <v>1</v>
      </c>
      <c r="BF125" s="48">
        <f t="shared" si="69"/>
        <v>1</v>
      </c>
      <c r="BG125" s="48">
        <f t="shared" si="69"/>
        <v>1</v>
      </c>
      <c r="BH125" s="48">
        <f t="shared" si="69"/>
        <v>1</v>
      </c>
      <c r="BI125" s="48">
        <f t="shared" si="69"/>
        <v>1</v>
      </c>
      <c r="BJ125" s="48">
        <f t="shared" si="69"/>
        <v>1</v>
      </c>
      <c r="BK125" s="48">
        <f t="shared" si="69"/>
        <v>1</v>
      </c>
      <c r="BL125" s="48">
        <f t="shared" si="69"/>
        <v>1</v>
      </c>
      <c r="BM125" s="48">
        <f t="shared" si="69"/>
        <v>1</v>
      </c>
      <c r="BN125" s="48">
        <f t="shared" si="69"/>
        <v>1</v>
      </c>
      <c r="BO125" s="32">
        <f t="shared" si="40"/>
        <v>0.69128329297820823</v>
      </c>
    </row>
    <row r="126" spans="1:67" s="27" customFormat="1" ht="18.75" customHeight="1" x14ac:dyDescent="0.25">
      <c r="A126" s="55" t="s">
        <v>257</v>
      </c>
      <c r="B126" s="55" t="s">
        <v>258</v>
      </c>
      <c r="C126" s="55" t="s">
        <v>14</v>
      </c>
      <c r="D126" s="56">
        <f>VLOOKUP(A126,'[1]Cuadro Control'!C146:J2056,8,FALSE)</f>
        <v>0</v>
      </c>
      <c r="E126" s="57">
        <f t="shared" si="68"/>
        <v>0</v>
      </c>
      <c r="F126" s="58">
        <v>46344</v>
      </c>
      <c r="G126" s="58">
        <v>46344</v>
      </c>
      <c r="H126" s="57">
        <f t="shared" si="65"/>
        <v>0</v>
      </c>
      <c r="I126" s="57">
        <f t="shared" si="65"/>
        <v>0</v>
      </c>
      <c r="J126" s="57">
        <f t="shared" si="65"/>
        <v>0</v>
      </c>
      <c r="K126" s="57">
        <f t="shared" si="65"/>
        <v>0</v>
      </c>
      <c r="L126" s="57">
        <f t="shared" si="65"/>
        <v>0</v>
      </c>
      <c r="M126" s="57">
        <f t="shared" si="65"/>
        <v>0</v>
      </c>
      <c r="N126" s="57">
        <f t="shared" si="65"/>
        <v>0</v>
      </c>
      <c r="O126" s="57">
        <f t="shared" si="65"/>
        <v>0</v>
      </c>
      <c r="P126" s="57">
        <f t="shared" si="65"/>
        <v>0</v>
      </c>
      <c r="Q126" s="57">
        <f t="shared" si="65"/>
        <v>0</v>
      </c>
      <c r="R126" s="57">
        <f t="shared" si="65"/>
        <v>0</v>
      </c>
      <c r="S126" s="57">
        <f t="shared" si="65"/>
        <v>0</v>
      </c>
      <c r="T126" s="57">
        <f t="shared" si="65"/>
        <v>0</v>
      </c>
      <c r="U126" s="57">
        <f t="shared" si="65"/>
        <v>0</v>
      </c>
      <c r="V126" s="57">
        <f t="shared" si="65"/>
        <v>0</v>
      </c>
      <c r="W126" s="57">
        <f t="shared" ref="W126:AN126" si="71">IF($F126=0,0,IF(W$6&lt;$F126,0,IF(W$6&gt;$G126,1,(W$6-$F126+1)/($G126-$F126+1))))</f>
        <v>0</v>
      </c>
      <c r="X126" s="57">
        <f t="shared" si="71"/>
        <v>0</v>
      </c>
      <c r="Y126" s="57">
        <f t="shared" si="71"/>
        <v>0</v>
      </c>
      <c r="Z126" s="57">
        <f t="shared" si="71"/>
        <v>0</v>
      </c>
      <c r="AA126" s="57">
        <f t="shared" si="71"/>
        <v>1</v>
      </c>
      <c r="AB126" s="57">
        <f t="shared" si="71"/>
        <v>1</v>
      </c>
      <c r="AC126" s="57">
        <f t="shared" si="71"/>
        <v>1</v>
      </c>
      <c r="AD126" s="57">
        <f t="shared" si="71"/>
        <v>1</v>
      </c>
      <c r="AE126" s="57">
        <f t="shared" si="71"/>
        <v>1</v>
      </c>
      <c r="AF126" s="57">
        <f t="shared" si="71"/>
        <v>1</v>
      </c>
      <c r="AG126" s="57">
        <f t="shared" si="71"/>
        <v>1</v>
      </c>
      <c r="AH126" s="57">
        <f t="shared" si="71"/>
        <v>1</v>
      </c>
      <c r="AI126" s="57">
        <f t="shared" si="71"/>
        <v>1</v>
      </c>
      <c r="AJ126" s="57">
        <f t="shared" si="71"/>
        <v>1</v>
      </c>
      <c r="AK126" s="57">
        <f t="shared" si="71"/>
        <v>1</v>
      </c>
      <c r="AL126" s="57">
        <f t="shared" si="71"/>
        <v>1</v>
      </c>
      <c r="AM126" s="57">
        <f t="shared" si="71"/>
        <v>1</v>
      </c>
      <c r="AN126" s="57">
        <f t="shared" si="71"/>
        <v>1</v>
      </c>
      <c r="AO126" s="57">
        <f t="shared" si="70"/>
        <v>1</v>
      </c>
      <c r="AP126" s="57">
        <f t="shared" si="70"/>
        <v>1</v>
      </c>
      <c r="AQ126" s="57">
        <f t="shared" si="70"/>
        <v>1</v>
      </c>
      <c r="AR126" s="57">
        <f t="shared" si="70"/>
        <v>1</v>
      </c>
      <c r="AS126" s="57">
        <f t="shared" si="70"/>
        <v>1</v>
      </c>
      <c r="AT126" s="57">
        <f t="shared" si="70"/>
        <v>1</v>
      </c>
      <c r="AU126" s="57">
        <f t="shared" si="70"/>
        <v>1</v>
      </c>
      <c r="AV126" s="57">
        <f t="shared" si="70"/>
        <v>1</v>
      </c>
      <c r="AW126" s="57">
        <f t="shared" si="70"/>
        <v>1</v>
      </c>
      <c r="AX126" s="57">
        <f t="shared" si="70"/>
        <v>1</v>
      </c>
      <c r="AY126" s="57">
        <f t="shared" si="70"/>
        <v>1</v>
      </c>
      <c r="AZ126" s="57">
        <f t="shared" si="70"/>
        <v>1</v>
      </c>
      <c r="BA126" s="57">
        <f t="shared" si="70"/>
        <v>1</v>
      </c>
      <c r="BB126" s="57">
        <f t="shared" si="70"/>
        <v>1</v>
      </c>
      <c r="BC126" s="57">
        <f t="shared" si="70"/>
        <v>1</v>
      </c>
      <c r="BD126" s="57">
        <f t="shared" si="69"/>
        <v>1</v>
      </c>
      <c r="BE126" s="57">
        <f t="shared" si="69"/>
        <v>1</v>
      </c>
      <c r="BF126" s="57">
        <f t="shared" si="69"/>
        <v>1</v>
      </c>
      <c r="BG126" s="57">
        <f t="shared" si="69"/>
        <v>1</v>
      </c>
      <c r="BH126" s="57">
        <f t="shared" si="69"/>
        <v>1</v>
      </c>
      <c r="BI126" s="57">
        <f t="shared" si="69"/>
        <v>1</v>
      </c>
      <c r="BJ126" s="57">
        <f t="shared" si="69"/>
        <v>1</v>
      </c>
      <c r="BK126" s="57">
        <f t="shared" si="69"/>
        <v>1</v>
      </c>
      <c r="BL126" s="57">
        <f t="shared" si="69"/>
        <v>1</v>
      </c>
      <c r="BM126" s="57">
        <f t="shared" si="69"/>
        <v>1</v>
      </c>
      <c r="BN126" s="57">
        <f t="shared" si="69"/>
        <v>1</v>
      </c>
      <c r="BO126" s="32">
        <f t="shared" si="40"/>
        <v>0.67796610169491522</v>
      </c>
    </row>
    <row r="127" spans="1:67" s="27" customFormat="1" ht="18.75" customHeight="1" x14ac:dyDescent="0.25">
      <c r="A127" s="42" t="s">
        <v>259</v>
      </c>
      <c r="B127" s="42" t="s">
        <v>260</v>
      </c>
      <c r="C127" s="42" t="s">
        <v>261</v>
      </c>
      <c r="D127" s="43">
        <f>SUM(D128:D143)</f>
        <v>5308872732.0543728</v>
      </c>
      <c r="E127" s="44">
        <f>IFERROR(D127/$D$109,0)</f>
        <v>2.9408554574576196E-2</v>
      </c>
      <c r="F127" s="45">
        <v>46258</v>
      </c>
      <c r="G127" s="45">
        <v>46344</v>
      </c>
      <c r="H127" s="44">
        <f>SUMPRODUCT($E128:$E142,H128:H142)</f>
        <v>0</v>
      </c>
      <c r="I127" s="44">
        <f t="shared" ref="I127:BN127" si="72">SUMPRODUCT($E128:$E142,I128:I142)</f>
        <v>0</v>
      </c>
      <c r="J127" s="44">
        <f t="shared" si="72"/>
        <v>0</v>
      </c>
      <c r="K127" s="44">
        <f t="shared" si="72"/>
        <v>0</v>
      </c>
      <c r="L127" s="44">
        <f t="shared" si="72"/>
        <v>0</v>
      </c>
      <c r="M127" s="44">
        <f t="shared" si="72"/>
        <v>0</v>
      </c>
      <c r="N127" s="44">
        <f t="shared" si="72"/>
        <v>0</v>
      </c>
      <c r="O127" s="44">
        <f t="shared" si="72"/>
        <v>8.7141099111024359E-3</v>
      </c>
      <c r="P127" s="44">
        <f t="shared" si="72"/>
        <v>4.5105438725758645E-2</v>
      </c>
      <c r="Q127" s="44">
        <f t="shared" si="72"/>
        <v>8.8394101585839407E-2</v>
      </c>
      <c r="R127" s="44">
        <f t="shared" si="72"/>
        <v>0.16411012842261916</v>
      </c>
      <c r="S127" s="44">
        <f t="shared" si="72"/>
        <v>0.23108017912752543</v>
      </c>
      <c r="T127" s="44">
        <f t="shared" si="72"/>
        <v>0.33101151056195799</v>
      </c>
      <c r="U127" s="44">
        <f t="shared" si="72"/>
        <v>0.41666693750575734</v>
      </c>
      <c r="V127" s="44">
        <f t="shared" si="72"/>
        <v>0.64850810003989967</v>
      </c>
      <c r="W127" s="44">
        <f t="shared" si="72"/>
        <v>0.65595831830105988</v>
      </c>
      <c r="X127" s="44">
        <f t="shared" si="72"/>
        <v>0.66718380794464915</v>
      </c>
      <c r="Y127" s="44">
        <f t="shared" si="72"/>
        <v>0.83542973073913906</v>
      </c>
      <c r="Z127" s="44">
        <f t="shared" si="72"/>
        <v>0.9903378747078585</v>
      </c>
      <c r="AA127" s="44">
        <f t="shared" si="72"/>
        <v>1</v>
      </c>
      <c r="AB127" s="44">
        <f t="shared" si="72"/>
        <v>1</v>
      </c>
      <c r="AC127" s="44">
        <f t="shared" si="72"/>
        <v>1</v>
      </c>
      <c r="AD127" s="44">
        <f t="shared" si="72"/>
        <v>1</v>
      </c>
      <c r="AE127" s="44">
        <f t="shared" si="72"/>
        <v>1</v>
      </c>
      <c r="AF127" s="44">
        <f t="shared" si="72"/>
        <v>1</v>
      </c>
      <c r="AG127" s="44">
        <f t="shared" si="72"/>
        <v>1</v>
      </c>
      <c r="AH127" s="44">
        <f t="shared" si="72"/>
        <v>1</v>
      </c>
      <c r="AI127" s="44">
        <f t="shared" si="72"/>
        <v>1</v>
      </c>
      <c r="AJ127" s="44">
        <f t="shared" si="72"/>
        <v>1</v>
      </c>
      <c r="AK127" s="44">
        <f t="shared" si="72"/>
        <v>1</v>
      </c>
      <c r="AL127" s="44">
        <f t="shared" si="72"/>
        <v>1</v>
      </c>
      <c r="AM127" s="44">
        <f t="shared" si="72"/>
        <v>1</v>
      </c>
      <c r="AN127" s="44">
        <f t="shared" si="72"/>
        <v>1</v>
      </c>
      <c r="AO127" s="44">
        <f t="shared" si="72"/>
        <v>1</v>
      </c>
      <c r="AP127" s="44">
        <f t="shared" si="72"/>
        <v>1</v>
      </c>
      <c r="AQ127" s="44">
        <f t="shared" si="72"/>
        <v>1</v>
      </c>
      <c r="AR127" s="44">
        <f t="shared" si="72"/>
        <v>1</v>
      </c>
      <c r="AS127" s="44">
        <f t="shared" si="72"/>
        <v>1</v>
      </c>
      <c r="AT127" s="44">
        <f t="shared" si="72"/>
        <v>1</v>
      </c>
      <c r="AU127" s="44">
        <f t="shared" si="72"/>
        <v>1</v>
      </c>
      <c r="AV127" s="44">
        <f t="shared" si="72"/>
        <v>1</v>
      </c>
      <c r="AW127" s="44">
        <f t="shared" si="72"/>
        <v>1</v>
      </c>
      <c r="AX127" s="44">
        <f t="shared" si="72"/>
        <v>1</v>
      </c>
      <c r="AY127" s="44">
        <f t="shared" si="72"/>
        <v>1</v>
      </c>
      <c r="AZ127" s="44">
        <f t="shared" si="72"/>
        <v>1</v>
      </c>
      <c r="BA127" s="44">
        <f t="shared" si="72"/>
        <v>1</v>
      </c>
      <c r="BB127" s="44">
        <f t="shared" si="72"/>
        <v>1</v>
      </c>
      <c r="BC127" s="44">
        <f t="shared" si="72"/>
        <v>1</v>
      </c>
      <c r="BD127" s="44">
        <f t="shared" si="72"/>
        <v>1</v>
      </c>
      <c r="BE127" s="44">
        <f t="shared" si="72"/>
        <v>1</v>
      </c>
      <c r="BF127" s="44">
        <f t="shared" si="72"/>
        <v>1</v>
      </c>
      <c r="BG127" s="44">
        <f t="shared" si="72"/>
        <v>1</v>
      </c>
      <c r="BH127" s="44">
        <f t="shared" si="72"/>
        <v>1</v>
      </c>
      <c r="BI127" s="44">
        <f t="shared" si="72"/>
        <v>1</v>
      </c>
      <c r="BJ127" s="44">
        <f t="shared" si="72"/>
        <v>1</v>
      </c>
      <c r="BK127" s="44">
        <f t="shared" si="72"/>
        <v>1</v>
      </c>
      <c r="BL127" s="44">
        <f t="shared" si="72"/>
        <v>1</v>
      </c>
      <c r="BM127" s="44">
        <f t="shared" si="72"/>
        <v>1</v>
      </c>
      <c r="BN127" s="44">
        <f t="shared" si="72"/>
        <v>1</v>
      </c>
      <c r="BO127" s="32">
        <f t="shared" si="40"/>
        <v>0.76411017351818922</v>
      </c>
    </row>
    <row r="128" spans="1:67" s="27" customFormat="1" ht="18.75" customHeight="1" x14ac:dyDescent="0.25">
      <c r="A128" s="50" t="s">
        <v>262</v>
      </c>
      <c r="B128" s="50" t="s">
        <v>263</v>
      </c>
      <c r="C128" s="50" t="s">
        <v>74</v>
      </c>
      <c r="D128" s="51">
        <f>VLOOKUP(A128,'[1]Cuadro Control'!C148:J2058,8,FALSE)</f>
        <v>83271780.884117648</v>
      </c>
      <c r="E128" s="52">
        <f t="shared" ref="E128:E142" si="73">IFERROR(D128/$D$127,0)</f>
        <v>1.5685397839984384E-2</v>
      </c>
      <c r="F128" s="53">
        <v>46258</v>
      </c>
      <c r="G128" s="53">
        <v>46266</v>
      </c>
      <c r="H128" s="52">
        <f t="shared" ref="H128:W143" si="74">IF($F128=0,0,IF(H$6&lt;$F128,0,IF(H$6&gt;$G128,1,(H$6-$F128+1)/($G128-$F128+1))))</f>
        <v>0</v>
      </c>
      <c r="I128" s="52">
        <f t="shared" si="74"/>
        <v>0</v>
      </c>
      <c r="J128" s="52">
        <f t="shared" si="74"/>
        <v>0</v>
      </c>
      <c r="K128" s="52">
        <f t="shared" si="74"/>
        <v>0</v>
      </c>
      <c r="L128" s="52">
        <f t="shared" si="74"/>
        <v>0</v>
      </c>
      <c r="M128" s="52">
        <f t="shared" si="74"/>
        <v>0</v>
      </c>
      <c r="N128" s="52">
        <f t="shared" si="74"/>
        <v>0</v>
      </c>
      <c r="O128" s="52">
        <f t="shared" si="74"/>
        <v>0.55555555555555558</v>
      </c>
      <c r="P128" s="52">
        <f t="shared" si="74"/>
        <v>1</v>
      </c>
      <c r="Q128" s="52">
        <f t="shared" si="74"/>
        <v>1</v>
      </c>
      <c r="R128" s="52">
        <f t="shared" si="74"/>
        <v>1</v>
      </c>
      <c r="S128" s="52">
        <f t="shared" si="74"/>
        <v>1</v>
      </c>
      <c r="T128" s="52">
        <f t="shared" si="74"/>
        <v>1</v>
      </c>
      <c r="U128" s="52">
        <f t="shared" si="74"/>
        <v>1</v>
      </c>
      <c r="V128" s="52">
        <f t="shared" si="74"/>
        <v>1</v>
      </c>
      <c r="W128" s="52">
        <f t="shared" si="74"/>
        <v>1</v>
      </c>
      <c r="X128" s="52">
        <f t="shared" ref="X128:BC135" si="75">IF($F128=0,0,IF(X$6&lt;$F128,0,IF(X$6&gt;$G128,1,(X$6-$F128+1)/($G128-$F128+1))))</f>
        <v>1</v>
      </c>
      <c r="Y128" s="52">
        <f t="shared" si="75"/>
        <v>1</v>
      </c>
      <c r="Z128" s="52">
        <f t="shared" si="75"/>
        <v>1</v>
      </c>
      <c r="AA128" s="52">
        <f t="shared" si="75"/>
        <v>1</v>
      </c>
      <c r="AB128" s="52">
        <f t="shared" si="75"/>
        <v>1</v>
      </c>
      <c r="AC128" s="52">
        <f t="shared" si="75"/>
        <v>1</v>
      </c>
      <c r="AD128" s="52">
        <f t="shared" si="75"/>
        <v>1</v>
      </c>
      <c r="AE128" s="52">
        <f t="shared" si="75"/>
        <v>1</v>
      </c>
      <c r="AF128" s="52">
        <f t="shared" si="75"/>
        <v>1</v>
      </c>
      <c r="AG128" s="52">
        <f t="shared" si="75"/>
        <v>1</v>
      </c>
      <c r="AH128" s="52">
        <f t="shared" si="75"/>
        <v>1</v>
      </c>
      <c r="AI128" s="52">
        <f t="shared" si="75"/>
        <v>1</v>
      </c>
      <c r="AJ128" s="52">
        <f t="shared" si="75"/>
        <v>1</v>
      </c>
      <c r="AK128" s="52">
        <f t="shared" si="75"/>
        <v>1</v>
      </c>
      <c r="AL128" s="52">
        <f t="shared" si="75"/>
        <v>1</v>
      </c>
      <c r="AM128" s="52">
        <f t="shared" si="75"/>
        <v>1</v>
      </c>
      <c r="AN128" s="52">
        <f t="shared" si="75"/>
        <v>1</v>
      </c>
      <c r="AO128" s="52">
        <f t="shared" si="75"/>
        <v>1</v>
      </c>
      <c r="AP128" s="52">
        <f t="shared" si="75"/>
        <v>1</v>
      </c>
      <c r="AQ128" s="52">
        <f t="shared" si="75"/>
        <v>1</v>
      </c>
      <c r="AR128" s="52">
        <f t="shared" si="75"/>
        <v>1</v>
      </c>
      <c r="AS128" s="52">
        <f t="shared" si="75"/>
        <v>1</v>
      </c>
      <c r="AT128" s="52">
        <f t="shared" si="75"/>
        <v>1</v>
      </c>
      <c r="AU128" s="52">
        <f t="shared" si="75"/>
        <v>1</v>
      </c>
      <c r="AV128" s="52">
        <f t="shared" si="75"/>
        <v>1</v>
      </c>
      <c r="AW128" s="52">
        <f t="shared" si="75"/>
        <v>1</v>
      </c>
      <c r="AX128" s="52">
        <f t="shared" si="75"/>
        <v>1</v>
      </c>
      <c r="AY128" s="52">
        <f t="shared" si="75"/>
        <v>1</v>
      </c>
      <c r="AZ128" s="52">
        <f t="shared" si="75"/>
        <v>1</v>
      </c>
      <c r="BA128" s="52">
        <f t="shared" si="75"/>
        <v>1</v>
      </c>
      <c r="BB128" s="52">
        <f t="shared" si="75"/>
        <v>1</v>
      </c>
      <c r="BC128" s="52">
        <f t="shared" si="75"/>
        <v>1</v>
      </c>
      <c r="BD128" s="52">
        <f t="shared" ref="BD128:BN134" si="76">IF($F128=0,0,IF(BD$6&lt;$F128,0,IF(BD$6&gt;$G128,1,(BD$6-$F128+1)/($G128-$F128+1))))</f>
        <v>1</v>
      </c>
      <c r="BE128" s="52">
        <f t="shared" si="76"/>
        <v>1</v>
      </c>
      <c r="BF128" s="52">
        <f t="shared" si="76"/>
        <v>1</v>
      </c>
      <c r="BG128" s="52">
        <f t="shared" si="76"/>
        <v>1</v>
      </c>
      <c r="BH128" s="52">
        <f t="shared" si="76"/>
        <v>1</v>
      </c>
      <c r="BI128" s="52">
        <f t="shared" si="76"/>
        <v>1</v>
      </c>
      <c r="BJ128" s="52">
        <f t="shared" si="76"/>
        <v>1</v>
      </c>
      <c r="BK128" s="52">
        <f t="shared" si="76"/>
        <v>1</v>
      </c>
      <c r="BL128" s="52">
        <f t="shared" si="76"/>
        <v>1</v>
      </c>
      <c r="BM128" s="52">
        <f t="shared" si="76"/>
        <v>1</v>
      </c>
      <c r="BN128" s="52">
        <f t="shared" si="76"/>
        <v>1</v>
      </c>
      <c r="BO128" s="32">
        <f t="shared" si="40"/>
        <v>0.87382297551789079</v>
      </c>
    </row>
    <row r="129" spans="1:67" s="27" customFormat="1" ht="18.75" customHeight="1" x14ac:dyDescent="0.25">
      <c r="A129" s="50" t="s">
        <v>264</v>
      </c>
      <c r="B129" s="50" t="s">
        <v>265</v>
      </c>
      <c r="C129" s="50" t="s">
        <v>61</v>
      </c>
      <c r="D129" s="51">
        <f>VLOOKUP(A129,'[1]Cuadro Control'!C149:J2059,8,FALSE)</f>
        <v>312374505.66882348</v>
      </c>
      <c r="E129" s="52">
        <f t="shared" si="73"/>
        <v>5.8840081771548515E-2</v>
      </c>
      <c r="F129" s="53">
        <v>46266</v>
      </c>
      <c r="G129" s="53">
        <v>46273</v>
      </c>
      <c r="H129" s="52">
        <f t="shared" si="74"/>
        <v>0</v>
      </c>
      <c r="I129" s="52">
        <f t="shared" si="74"/>
        <v>0</v>
      </c>
      <c r="J129" s="52">
        <f t="shared" si="74"/>
        <v>0</v>
      </c>
      <c r="K129" s="52">
        <f t="shared" si="74"/>
        <v>0</v>
      </c>
      <c r="L129" s="52">
        <f t="shared" si="74"/>
        <v>0</v>
      </c>
      <c r="M129" s="52">
        <f t="shared" si="74"/>
        <v>0</v>
      </c>
      <c r="N129" s="52">
        <f t="shared" si="74"/>
        <v>0</v>
      </c>
      <c r="O129" s="52">
        <f t="shared" si="74"/>
        <v>0</v>
      </c>
      <c r="P129" s="52">
        <f t="shared" si="74"/>
        <v>0.5</v>
      </c>
      <c r="Q129" s="52">
        <f t="shared" si="74"/>
        <v>1</v>
      </c>
      <c r="R129" s="52">
        <f t="shared" si="74"/>
        <v>1</v>
      </c>
      <c r="S129" s="52">
        <f t="shared" si="74"/>
        <v>1</v>
      </c>
      <c r="T129" s="52">
        <f t="shared" si="74"/>
        <v>1</v>
      </c>
      <c r="U129" s="52">
        <f t="shared" si="74"/>
        <v>1</v>
      </c>
      <c r="V129" s="52">
        <f t="shared" si="74"/>
        <v>1</v>
      </c>
      <c r="W129" s="52">
        <f t="shared" si="74"/>
        <v>1</v>
      </c>
      <c r="X129" s="52">
        <f t="shared" si="75"/>
        <v>1</v>
      </c>
      <c r="Y129" s="52">
        <f t="shared" si="75"/>
        <v>1</v>
      </c>
      <c r="Z129" s="52">
        <f t="shared" si="75"/>
        <v>1</v>
      </c>
      <c r="AA129" s="52">
        <f t="shared" si="75"/>
        <v>1</v>
      </c>
      <c r="AB129" s="52">
        <f t="shared" si="75"/>
        <v>1</v>
      </c>
      <c r="AC129" s="52">
        <f t="shared" si="75"/>
        <v>1</v>
      </c>
      <c r="AD129" s="52">
        <f t="shared" si="75"/>
        <v>1</v>
      </c>
      <c r="AE129" s="52">
        <f t="shared" si="75"/>
        <v>1</v>
      </c>
      <c r="AF129" s="52">
        <f t="shared" si="75"/>
        <v>1</v>
      </c>
      <c r="AG129" s="52">
        <f t="shared" si="75"/>
        <v>1</v>
      </c>
      <c r="AH129" s="52">
        <f t="shared" si="75"/>
        <v>1</v>
      </c>
      <c r="AI129" s="52">
        <f t="shared" si="75"/>
        <v>1</v>
      </c>
      <c r="AJ129" s="52">
        <f t="shared" si="75"/>
        <v>1</v>
      </c>
      <c r="AK129" s="52">
        <f t="shared" si="75"/>
        <v>1</v>
      </c>
      <c r="AL129" s="52">
        <f t="shared" si="75"/>
        <v>1</v>
      </c>
      <c r="AM129" s="52">
        <f t="shared" si="75"/>
        <v>1</v>
      </c>
      <c r="AN129" s="52">
        <f t="shared" si="75"/>
        <v>1</v>
      </c>
      <c r="AO129" s="52">
        <f t="shared" si="75"/>
        <v>1</v>
      </c>
      <c r="AP129" s="52">
        <f t="shared" si="75"/>
        <v>1</v>
      </c>
      <c r="AQ129" s="52">
        <f t="shared" si="75"/>
        <v>1</v>
      </c>
      <c r="AR129" s="52">
        <f t="shared" si="75"/>
        <v>1</v>
      </c>
      <c r="AS129" s="52">
        <f t="shared" si="75"/>
        <v>1</v>
      </c>
      <c r="AT129" s="52">
        <f t="shared" si="75"/>
        <v>1</v>
      </c>
      <c r="AU129" s="52">
        <f t="shared" si="75"/>
        <v>1</v>
      </c>
      <c r="AV129" s="52">
        <f t="shared" si="75"/>
        <v>1</v>
      </c>
      <c r="AW129" s="52">
        <f t="shared" si="75"/>
        <v>1</v>
      </c>
      <c r="AX129" s="52">
        <f t="shared" si="75"/>
        <v>1</v>
      </c>
      <c r="AY129" s="52">
        <f t="shared" si="75"/>
        <v>1</v>
      </c>
      <c r="AZ129" s="52">
        <f t="shared" si="75"/>
        <v>1</v>
      </c>
      <c r="BA129" s="52">
        <f t="shared" si="75"/>
        <v>1</v>
      </c>
      <c r="BB129" s="52">
        <f t="shared" si="75"/>
        <v>1</v>
      </c>
      <c r="BC129" s="52">
        <f t="shared" si="75"/>
        <v>1</v>
      </c>
      <c r="BD129" s="52">
        <f t="shared" si="76"/>
        <v>1</v>
      </c>
      <c r="BE129" s="52">
        <f t="shared" si="76"/>
        <v>1</v>
      </c>
      <c r="BF129" s="52">
        <f t="shared" si="76"/>
        <v>1</v>
      </c>
      <c r="BG129" s="52">
        <f t="shared" si="76"/>
        <v>1</v>
      </c>
      <c r="BH129" s="52">
        <f t="shared" si="76"/>
        <v>1</v>
      </c>
      <c r="BI129" s="52">
        <f t="shared" si="76"/>
        <v>1</v>
      </c>
      <c r="BJ129" s="52">
        <f t="shared" si="76"/>
        <v>1</v>
      </c>
      <c r="BK129" s="52">
        <f t="shared" si="76"/>
        <v>1</v>
      </c>
      <c r="BL129" s="52">
        <f t="shared" si="76"/>
        <v>1</v>
      </c>
      <c r="BM129" s="52">
        <f t="shared" si="76"/>
        <v>1</v>
      </c>
      <c r="BN129" s="52">
        <f t="shared" si="76"/>
        <v>1</v>
      </c>
      <c r="BO129" s="32">
        <f t="shared" si="40"/>
        <v>0.85593220338983056</v>
      </c>
    </row>
    <row r="130" spans="1:67" s="27" customFormat="1" ht="18.75" customHeight="1" x14ac:dyDescent="0.25">
      <c r="A130" s="46" t="s">
        <v>266</v>
      </c>
      <c r="B130" s="46" t="s">
        <v>267</v>
      </c>
      <c r="C130" s="46" t="s">
        <v>126</v>
      </c>
      <c r="D130" s="47">
        <f>VLOOKUP(A130,'[1]Cuadro Control'!C150:J2060,8,FALSE)</f>
        <v>9527825.6870364472</v>
      </c>
      <c r="E130" s="48">
        <f t="shared" si="73"/>
        <v>1.794698454439963E-3</v>
      </c>
      <c r="F130" s="49">
        <v>46273</v>
      </c>
      <c r="G130" s="49">
        <v>46276</v>
      </c>
      <c r="H130" s="48">
        <f t="shared" si="74"/>
        <v>0</v>
      </c>
      <c r="I130" s="48">
        <f t="shared" si="74"/>
        <v>0</v>
      </c>
      <c r="J130" s="48">
        <f t="shared" si="74"/>
        <v>0</v>
      </c>
      <c r="K130" s="48">
        <f t="shared" si="74"/>
        <v>0</v>
      </c>
      <c r="L130" s="48">
        <f t="shared" si="74"/>
        <v>0</v>
      </c>
      <c r="M130" s="48">
        <f t="shared" si="74"/>
        <v>0</v>
      </c>
      <c r="N130" s="48">
        <f t="shared" si="74"/>
        <v>0</v>
      </c>
      <c r="O130" s="48">
        <f t="shared" si="74"/>
        <v>0</v>
      </c>
      <c r="P130" s="48">
        <f t="shared" si="74"/>
        <v>0</v>
      </c>
      <c r="Q130" s="48">
        <f t="shared" si="74"/>
        <v>1</v>
      </c>
      <c r="R130" s="48">
        <f t="shared" si="74"/>
        <v>1</v>
      </c>
      <c r="S130" s="48">
        <f t="shared" si="74"/>
        <v>1</v>
      </c>
      <c r="T130" s="48">
        <f t="shared" si="74"/>
        <v>1</v>
      </c>
      <c r="U130" s="48">
        <f t="shared" si="74"/>
        <v>1</v>
      </c>
      <c r="V130" s="48">
        <f t="shared" si="74"/>
        <v>1</v>
      </c>
      <c r="W130" s="48">
        <f t="shared" si="74"/>
        <v>1</v>
      </c>
      <c r="X130" s="48">
        <f t="shared" si="75"/>
        <v>1</v>
      </c>
      <c r="Y130" s="48">
        <f t="shared" si="75"/>
        <v>1</v>
      </c>
      <c r="Z130" s="48">
        <f t="shared" si="75"/>
        <v>1</v>
      </c>
      <c r="AA130" s="48">
        <f t="shared" si="75"/>
        <v>1</v>
      </c>
      <c r="AB130" s="48">
        <f t="shared" si="75"/>
        <v>1</v>
      </c>
      <c r="AC130" s="48">
        <f t="shared" si="75"/>
        <v>1</v>
      </c>
      <c r="AD130" s="48">
        <f t="shared" si="75"/>
        <v>1</v>
      </c>
      <c r="AE130" s="48">
        <f t="shared" si="75"/>
        <v>1</v>
      </c>
      <c r="AF130" s="48">
        <f t="shared" si="75"/>
        <v>1</v>
      </c>
      <c r="AG130" s="48">
        <f t="shared" si="75"/>
        <v>1</v>
      </c>
      <c r="AH130" s="48">
        <f t="shared" si="75"/>
        <v>1</v>
      </c>
      <c r="AI130" s="48">
        <f t="shared" si="75"/>
        <v>1</v>
      </c>
      <c r="AJ130" s="48">
        <f t="shared" si="75"/>
        <v>1</v>
      </c>
      <c r="AK130" s="48">
        <f t="shared" si="75"/>
        <v>1</v>
      </c>
      <c r="AL130" s="48">
        <f t="shared" si="75"/>
        <v>1</v>
      </c>
      <c r="AM130" s="48">
        <f t="shared" si="75"/>
        <v>1</v>
      </c>
      <c r="AN130" s="48">
        <f t="shared" si="75"/>
        <v>1</v>
      </c>
      <c r="AO130" s="48">
        <f t="shared" si="75"/>
        <v>1</v>
      </c>
      <c r="AP130" s="48">
        <f t="shared" si="75"/>
        <v>1</v>
      </c>
      <c r="AQ130" s="48">
        <f t="shared" si="75"/>
        <v>1</v>
      </c>
      <c r="AR130" s="48">
        <f t="shared" si="75"/>
        <v>1</v>
      </c>
      <c r="AS130" s="48">
        <f t="shared" si="75"/>
        <v>1</v>
      </c>
      <c r="AT130" s="48">
        <f t="shared" si="75"/>
        <v>1</v>
      </c>
      <c r="AU130" s="48">
        <f t="shared" si="75"/>
        <v>1</v>
      </c>
      <c r="AV130" s="48">
        <f t="shared" si="75"/>
        <v>1</v>
      </c>
      <c r="AW130" s="48">
        <f t="shared" si="75"/>
        <v>1</v>
      </c>
      <c r="AX130" s="48">
        <f t="shared" si="75"/>
        <v>1</v>
      </c>
      <c r="AY130" s="48">
        <f t="shared" si="75"/>
        <v>1</v>
      </c>
      <c r="AZ130" s="48">
        <f t="shared" si="75"/>
        <v>1</v>
      </c>
      <c r="BA130" s="48">
        <f t="shared" si="75"/>
        <v>1</v>
      </c>
      <c r="BB130" s="48">
        <f t="shared" si="75"/>
        <v>1</v>
      </c>
      <c r="BC130" s="48">
        <f t="shared" si="75"/>
        <v>1</v>
      </c>
      <c r="BD130" s="48">
        <f t="shared" si="76"/>
        <v>1</v>
      </c>
      <c r="BE130" s="48">
        <f t="shared" si="76"/>
        <v>1</v>
      </c>
      <c r="BF130" s="48">
        <f t="shared" si="76"/>
        <v>1</v>
      </c>
      <c r="BG130" s="48">
        <f t="shared" si="76"/>
        <v>1</v>
      </c>
      <c r="BH130" s="48">
        <f t="shared" si="76"/>
        <v>1</v>
      </c>
      <c r="BI130" s="48">
        <f t="shared" si="76"/>
        <v>1</v>
      </c>
      <c r="BJ130" s="48">
        <f t="shared" si="76"/>
        <v>1</v>
      </c>
      <c r="BK130" s="48">
        <f t="shared" si="76"/>
        <v>1</v>
      </c>
      <c r="BL130" s="48">
        <f t="shared" si="76"/>
        <v>1</v>
      </c>
      <c r="BM130" s="48">
        <f t="shared" si="76"/>
        <v>1</v>
      </c>
      <c r="BN130" s="48">
        <f t="shared" si="76"/>
        <v>1</v>
      </c>
      <c r="BO130" s="32">
        <f t="shared" si="40"/>
        <v>0.84745762711864403</v>
      </c>
    </row>
    <row r="131" spans="1:67" s="27" customFormat="1" ht="18.75" customHeight="1" x14ac:dyDescent="0.25">
      <c r="A131" s="50" t="s">
        <v>268</v>
      </c>
      <c r="B131" s="50" t="s">
        <v>269</v>
      </c>
      <c r="C131" s="50" t="s">
        <v>117</v>
      </c>
      <c r="D131" s="51">
        <f>VLOOKUP(A131,'[1]Cuadro Control'!C151:J2061,8,FALSE)</f>
        <v>320494616.71764702</v>
      </c>
      <c r="E131" s="52">
        <f t="shared" si="73"/>
        <v>6.0369617599332674E-2</v>
      </c>
      <c r="F131" s="53">
        <v>46276</v>
      </c>
      <c r="G131" s="53">
        <v>46280</v>
      </c>
      <c r="H131" s="52">
        <f t="shared" si="74"/>
        <v>0</v>
      </c>
      <c r="I131" s="52">
        <f t="shared" si="74"/>
        <v>0</v>
      </c>
      <c r="J131" s="52">
        <f t="shared" si="74"/>
        <v>0</v>
      </c>
      <c r="K131" s="52">
        <f t="shared" si="74"/>
        <v>0</v>
      </c>
      <c r="L131" s="52">
        <f t="shared" si="74"/>
        <v>0</v>
      </c>
      <c r="M131" s="52">
        <f t="shared" si="74"/>
        <v>0</v>
      </c>
      <c r="N131" s="52">
        <f t="shared" si="74"/>
        <v>0</v>
      </c>
      <c r="O131" s="52">
        <f t="shared" si="74"/>
        <v>0</v>
      </c>
      <c r="P131" s="52">
        <f t="shared" si="74"/>
        <v>0</v>
      </c>
      <c r="Q131" s="52">
        <f t="shared" si="74"/>
        <v>0.2</v>
      </c>
      <c r="R131" s="52">
        <f t="shared" si="74"/>
        <v>1</v>
      </c>
      <c r="S131" s="52">
        <f t="shared" si="74"/>
        <v>1</v>
      </c>
      <c r="T131" s="52">
        <f t="shared" si="74"/>
        <v>1</v>
      </c>
      <c r="U131" s="52">
        <f t="shared" si="74"/>
        <v>1</v>
      </c>
      <c r="V131" s="52">
        <f t="shared" si="74"/>
        <v>1</v>
      </c>
      <c r="W131" s="52">
        <f t="shared" si="74"/>
        <v>1</v>
      </c>
      <c r="X131" s="52">
        <f t="shared" si="75"/>
        <v>1</v>
      </c>
      <c r="Y131" s="52">
        <f t="shared" si="75"/>
        <v>1</v>
      </c>
      <c r="Z131" s="52">
        <f t="shared" si="75"/>
        <v>1</v>
      </c>
      <c r="AA131" s="52">
        <f t="shared" si="75"/>
        <v>1</v>
      </c>
      <c r="AB131" s="52">
        <f t="shared" si="75"/>
        <v>1</v>
      </c>
      <c r="AC131" s="52">
        <f t="shared" si="75"/>
        <v>1</v>
      </c>
      <c r="AD131" s="52">
        <f t="shared" si="75"/>
        <v>1</v>
      </c>
      <c r="AE131" s="52">
        <f t="shared" si="75"/>
        <v>1</v>
      </c>
      <c r="AF131" s="52">
        <f t="shared" si="75"/>
        <v>1</v>
      </c>
      <c r="AG131" s="52">
        <f t="shared" si="75"/>
        <v>1</v>
      </c>
      <c r="AH131" s="52">
        <f t="shared" si="75"/>
        <v>1</v>
      </c>
      <c r="AI131" s="52">
        <f t="shared" si="75"/>
        <v>1</v>
      </c>
      <c r="AJ131" s="52">
        <f t="shared" si="75"/>
        <v>1</v>
      </c>
      <c r="AK131" s="52">
        <f t="shared" si="75"/>
        <v>1</v>
      </c>
      <c r="AL131" s="52">
        <f t="shared" si="75"/>
        <v>1</v>
      </c>
      <c r="AM131" s="52">
        <f t="shared" si="75"/>
        <v>1</v>
      </c>
      <c r="AN131" s="52">
        <f t="shared" si="75"/>
        <v>1</v>
      </c>
      <c r="AO131" s="52">
        <f t="shared" si="75"/>
        <v>1</v>
      </c>
      <c r="AP131" s="52">
        <f t="shared" si="75"/>
        <v>1</v>
      </c>
      <c r="AQ131" s="52">
        <f t="shared" si="75"/>
        <v>1</v>
      </c>
      <c r="AR131" s="52">
        <f t="shared" si="75"/>
        <v>1</v>
      </c>
      <c r="AS131" s="52">
        <f t="shared" si="75"/>
        <v>1</v>
      </c>
      <c r="AT131" s="52">
        <f t="shared" si="75"/>
        <v>1</v>
      </c>
      <c r="AU131" s="52">
        <f t="shared" si="75"/>
        <v>1</v>
      </c>
      <c r="AV131" s="52">
        <f t="shared" si="75"/>
        <v>1</v>
      </c>
      <c r="AW131" s="52">
        <f t="shared" si="75"/>
        <v>1</v>
      </c>
      <c r="AX131" s="52">
        <f t="shared" si="75"/>
        <v>1</v>
      </c>
      <c r="AY131" s="52">
        <f t="shared" si="75"/>
        <v>1</v>
      </c>
      <c r="AZ131" s="52">
        <f t="shared" si="75"/>
        <v>1</v>
      </c>
      <c r="BA131" s="52">
        <f t="shared" si="75"/>
        <v>1</v>
      </c>
      <c r="BB131" s="52">
        <f t="shared" si="75"/>
        <v>1</v>
      </c>
      <c r="BC131" s="52">
        <f t="shared" si="75"/>
        <v>1</v>
      </c>
      <c r="BD131" s="52">
        <f t="shared" si="76"/>
        <v>1</v>
      </c>
      <c r="BE131" s="52">
        <f t="shared" si="76"/>
        <v>1</v>
      </c>
      <c r="BF131" s="52">
        <f t="shared" si="76"/>
        <v>1</v>
      </c>
      <c r="BG131" s="52">
        <f t="shared" si="76"/>
        <v>1</v>
      </c>
      <c r="BH131" s="52">
        <f t="shared" si="76"/>
        <v>1</v>
      </c>
      <c r="BI131" s="52">
        <f t="shared" si="76"/>
        <v>1</v>
      </c>
      <c r="BJ131" s="52">
        <f t="shared" si="76"/>
        <v>1</v>
      </c>
      <c r="BK131" s="52">
        <f t="shared" si="76"/>
        <v>1</v>
      </c>
      <c r="BL131" s="52">
        <f t="shared" si="76"/>
        <v>1</v>
      </c>
      <c r="BM131" s="52">
        <f t="shared" si="76"/>
        <v>1</v>
      </c>
      <c r="BN131" s="52">
        <f t="shared" si="76"/>
        <v>1</v>
      </c>
      <c r="BO131" s="32">
        <f t="shared" si="40"/>
        <v>0.83389830508474583</v>
      </c>
    </row>
    <row r="132" spans="1:67" s="27" customFormat="1" ht="18.75" customHeight="1" x14ac:dyDescent="0.25">
      <c r="A132" s="50" t="s">
        <v>270</v>
      </c>
      <c r="B132" s="50" t="s">
        <v>271</v>
      </c>
      <c r="C132" s="50" t="s">
        <v>111</v>
      </c>
      <c r="D132" s="51">
        <f>VLOOKUP(A132,'[1]Cuadro Control'!C152:J2062,8,FALSE)</f>
        <v>94303618.549411759</v>
      </c>
      <c r="E132" s="52">
        <f t="shared" si="73"/>
        <v>1.7763397864110998E-2</v>
      </c>
      <c r="F132" s="53">
        <v>46280</v>
      </c>
      <c r="G132" s="53">
        <v>46282</v>
      </c>
      <c r="H132" s="52">
        <f t="shared" si="74"/>
        <v>0</v>
      </c>
      <c r="I132" s="52">
        <f t="shared" si="74"/>
        <v>0</v>
      </c>
      <c r="J132" s="52">
        <f t="shared" si="74"/>
        <v>0</v>
      </c>
      <c r="K132" s="52">
        <f t="shared" si="74"/>
        <v>0</v>
      </c>
      <c r="L132" s="52">
        <f t="shared" si="74"/>
        <v>0</v>
      </c>
      <c r="M132" s="52">
        <f t="shared" si="74"/>
        <v>0</v>
      </c>
      <c r="N132" s="52">
        <f t="shared" si="74"/>
        <v>0</v>
      </c>
      <c r="O132" s="52">
        <f t="shared" si="74"/>
        <v>0</v>
      </c>
      <c r="P132" s="52">
        <f t="shared" si="74"/>
        <v>0</v>
      </c>
      <c r="Q132" s="52">
        <f t="shared" si="74"/>
        <v>0</v>
      </c>
      <c r="R132" s="52">
        <f t="shared" si="74"/>
        <v>1</v>
      </c>
      <c r="S132" s="52">
        <f t="shared" si="74"/>
        <v>1</v>
      </c>
      <c r="T132" s="52">
        <f t="shared" si="74"/>
        <v>1</v>
      </c>
      <c r="U132" s="52">
        <f t="shared" si="74"/>
        <v>1</v>
      </c>
      <c r="V132" s="52">
        <f t="shared" si="74"/>
        <v>1</v>
      </c>
      <c r="W132" s="52">
        <f t="shared" si="74"/>
        <v>1</v>
      </c>
      <c r="X132" s="52">
        <f t="shared" si="75"/>
        <v>1</v>
      </c>
      <c r="Y132" s="52">
        <f t="shared" si="75"/>
        <v>1</v>
      </c>
      <c r="Z132" s="52">
        <f t="shared" si="75"/>
        <v>1</v>
      </c>
      <c r="AA132" s="52">
        <f t="shared" si="75"/>
        <v>1</v>
      </c>
      <c r="AB132" s="52">
        <f t="shared" si="75"/>
        <v>1</v>
      </c>
      <c r="AC132" s="52">
        <f t="shared" si="75"/>
        <v>1</v>
      </c>
      <c r="AD132" s="52">
        <f t="shared" si="75"/>
        <v>1</v>
      </c>
      <c r="AE132" s="52">
        <f t="shared" si="75"/>
        <v>1</v>
      </c>
      <c r="AF132" s="52">
        <f t="shared" si="75"/>
        <v>1</v>
      </c>
      <c r="AG132" s="52">
        <f t="shared" si="75"/>
        <v>1</v>
      </c>
      <c r="AH132" s="52">
        <f t="shared" si="75"/>
        <v>1</v>
      </c>
      <c r="AI132" s="52">
        <f t="shared" si="75"/>
        <v>1</v>
      </c>
      <c r="AJ132" s="52">
        <f t="shared" si="75"/>
        <v>1</v>
      </c>
      <c r="AK132" s="52">
        <f t="shared" si="75"/>
        <v>1</v>
      </c>
      <c r="AL132" s="52">
        <f t="shared" si="75"/>
        <v>1</v>
      </c>
      <c r="AM132" s="52">
        <f t="shared" si="75"/>
        <v>1</v>
      </c>
      <c r="AN132" s="52">
        <f t="shared" si="75"/>
        <v>1</v>
      </c>
      <c r="AO132" s="52">
        <f t="shared" si="75"/>
        <v>1</v>
      </c>
      <c r="AP132" s="52">
        <f t="shared" si="75"/>
        <v>1</v>
      </c>
      <c r="AQ132" s="52">
        <f t="shared" si="75"/>
        <v>1</v>
      </c>
      <c r="AR132" s="52">
        <f t="shared" si="75"/>
        <v>1</v>
      </c>
      <c r="AS132" s="52">
        <f t="shared" si="75"/>
        <v>1</v>
      </c>
      <c r="AT132" s="52">
        <f t="shared" si="75"/>
        <v>1</v>
      </c>
      <c r="AU132" s="52">
        <f t="shared" si="75"/>
        <v>1</v>
      </c>
      <c r="AV132" s="52">
        <f t="shared" si="75"/>
        <v>1</v>
      </c>
      <c r="AW132" s="52">
        <f t="shared" si="75"/>
        <v>1</v>
      </c>
      <c r="AX132" s="52">
        <f t="shared" si="75"/>
        <v>1</v>
      </c>
      <c r="AY132" s="52">
        <f t="shared" si="75"/>
        <v>1</v>
      </c>
      <c r="AZ132" s="52">
        <f t="shared" si="75"/>
        <v>1</v>
      </c>
      <c r="BA132" s="52">
        <f t="shared" si="75"/>
        <v>1</v>
      </c>
      <c r="BB132" s="52">
        <f t="shared" si="75"/>
        <v>1</v>
      </c>
      <c r="BC132" s="52">
        <f t="shared" si="75"/>
        <v>1</v>
      </c>
      <c r="BD132" s="52">
        <f t="shared" si="76"/>
        <v>1</v>
      </c>
      <c r="BE132" s="52">
        <f t="shared" si="76"/>
        <v>1</v>
      </c>
      <c r="BF132" s="52">
        <f t="shared" si="76"/>
        <v>1</v>
      </c>
      <c r="BG132" s="52">
        <f t="shared" si="76"/>
        <v>1</v>
      </c>
      <c r="BH132" s="52">
        <f t="shared" si="76"/>
        <v>1</v>
      </c>
      <c r="BI132" s="52">
        <f t="shared" si="76"/>
        <v>1</v>
      </c>
      <c r="BJ132" s="52">
        <f t="shared" si="76"/>
        <v>1</v>
      </c>
      <c r="BK132" s="52">
        <f t="shared" si="76"/>
        <v>1</v>
      </c>
      <c r="BL132" s="52">
        <f t="shared" si="76"/>
        <v>1</v>
      </c>
      <c r="BM132" s="52">
        <f t="shared" si="76"/>
        <v>1</v>
      </c>
      <c r="BN132" s="52">
        <f t="shared" si="76"/>
        <v>1</v>
      </c>
      <c r="BO132" s="32">
        <f t="shared" si="40"/>
        <v>0.83050847457627119</v>
      </c>
    </row>
    <row r="133" spans="1:67" s="27" customFormat="1" ht="18.75" customHeight="1" x14ac:dyDescent="0.25">
      <c r="A133" s="50" t="s">
        <v>272</v>
      </c>
      <c r="B133" s="50" t="s">
        <v>273</v>
      </c>
      <c r="C133" s="50" t="s">
        <v>238</v>
      </c>
      <c r="D133" s="51">
        <f>VLOOKUP(A133,'[1]Cuadro Control'!C153:J2063,8,FALSE)</f>
        <v>179436034.15411764</v>
      </c>
      <c r="E133" s="52">
        <f t="shared" si="73"/>
        <v>3.3799272126209236E-2</v>
      </c>
      <c r="F133" s="53">
        <v>46282</v>
      </c>
      <c r="G133" s="53">
        <v>46288</v>
      </c>
      <c r="H133" s="52">
        <f t="shared" si="74"/>
        <v>0</v>
      </c>
      <c r="I133" s="52">
        <f t="shared" si="74"/>
        <v>0</v>
      </c>
      <c r="J133" s="52">
        <f t="shared" si="74"/>
        <v>0</v>
      </c>
      <c r="K133" s="52">
        <f t="shared" si="74"/>
        <v>0</v>
      </c>
      <c r="L133" s="52">
        <f t="shared" si="74"/>
        <v>0</v>
      </c>
      <c r="M133" s="52">
        <f t="shared" si="74"/>
        <v>0</v>
      </c>
      <c r="N133" s="52">
        <f t="shared" si="74"/>
        <v>0</v>
      </c>
      <c r="O133" s="52">
        <f t="shared" si="74"/>
        <v>0</v>
      </c>
      <c r="P133" s="52">
        <f t="shared" si="74"/>
        <v>0</v>
      </c>
      <c r="Q133" s="52">
        <f t="shared" si="74"/>
        <v>0</v>
      </c>
      <c r="R133" s="52">
        <f t="shared" si="74"/>
        <v>0.2857142857142857</v>
      </c>
      <c r="S133" s="52">
        <f t="shared" si="74"/>
        <v>1</v>
      </c>
      <c r="T133" s="52">
        <f t="shared" si="74"/>
        <v>1</v>
      </c>
      <c r="U133" s="52">
        <f t="shared" si="74"/>
        <v>1</v>
      </c>
      <c r="V133" s="52">
        <f t="shared" si="74"/>
        <v>1</v>
      </c>
      <c r="W133" s="52">
        <f t="shared" si="74"/>
        <v>1</v>
      </c>
      <c r="X133" s="52">
        <f t="shared" si="75"/>
        <v>1</v>
      </c>
      <c r="Y133" s="52">
        <f t="shared" si="75"/>
        <v>1</v>
      </c>
      <c r="Z133" s="52">
        <f t="shared" si="75"/>
        <v>1</v>
      </c>
      <c r="AA133" s="52">
        <f t="shared" si="75"/>
        <v>1</v>
      </c>
      <c r="AB133" s="52">
        <f t="shared" si="75"/>
        <v>1</v>
      </c>
      <c r="AC133" s="52">
        <f t="shared" si="75"/>
        <v>1</v>
      </c>
      <c r="AD133" s="52">
        <f t="shared" si="75"/>
        <v>1</v>
      </c>
      <c r="AE133" s="52">
        <f t="shared" si="75"/>
        <v>1</v>
      </c>
      <c r="AF133" s="52">
        <f t="shared" si="75"/>
        <v>1</v>
      </c>
      <c r="AG133" s="52">
        <f t="shared" si="75"/>
        <v>1</v>
      </c>
      <c r="AH133" s="52">
        <f t="shared" si="75"/>
        <v>1</v>
      </c>
      <c r="AI133" s="52">
        <f t="shared" si="75"/>
        <v>1</v>
      </c>
      <c r="AJ133" s="52">
        <f t="shared" si="75"/>
        <v>1</v>
      </c>
      <c r="AK133" s="52">
        <f t="shared" si="75"/>
        <v>1</v>
      </c>
      <c r="AL133" s="52">
        <f t="shared" si="75"/>
        <v>1</v>
      </c>
      <c r="AM133" s="52">
        <f t="shared" si="75"/>
        <v>1</v>
      </c>
      <c r="AN133" s="52">
        <f t="shared" si="75"/>
        <v>1</v>
      </c>
      <c r="AO133" s="52">
        <f t="shared" si="75"/>
        <v>1</v>
      </c>
      <c r="AP133" s="52">
        <f t="shared" si="75"/>
        <v>1</v>
      </c>
      <c r="AQ133" s="52">
        <f t="shared" si="75"/>
        <v>1</v>
      </c>
      <c r="AR133" s="52">
        <f t="shared" si="75"/>
        <v>1</v>
      </c>
      <c r="AS133" s="52">
        <f t="shared" si="75"/>
        <v>1</v>
      </c>
      <c r="AT133" s="52">
        <f t="shared" si="75"/>
        <v>1</v>
      </c>
      <c r="AU133" s="52">
        <f t="shared" si="75"/>
        <v>1</v>
      </c>
      <c r="AV133" s="52">
        <f t="shared" si="75"/>
        <v>1</v>
      </c>
      <c r="AW133" s="52">
        <f t="shared" si="75"/>
        <v>1</v>
      </c>
      <c r="AX133" s="52">
        <f t="shared" si="75"/>
        <v>1</v>
      </c>
      <c r="AY133" s="52">
        <f t="shared" si="75"/>
        <v>1</v>
      </c>
      <c r="AZ133" s="52">
        <f t="shared" si="75"/>
        <v>1</v>
      </c>
      <c r="BA133" s="52">
        <f t="shared" si="75"/>
        <v>1</v>
      </c>
      <c r="BB133" s="52">
        <f t="shared" si="75"/>
        <v>1</v>
      </c>
      <c r="BC133" s="52">
        <f t="shared" si="75"/>
        <v>1</v>
      </c>
      <c r="BD133" s="52">
        <f t="shared" si="76"/>
        <v>1</v>
      </c>
      <c r="BE133" s="52">
        <f t="shared" si="76"/>
        <v>1</v>
      </c>
      <c r="BF133" s="52">
        <f t="shared" si="76"/>
        <v>1</v>
      </c>
      <c r="BG133" s="52">
        <f t="shared" si="76"/>
        <v>1</v>
      </c>
      <c r="BH133" s="52">
        <f t="shared" si="76"/>
        <v>1</v>
      </c>
      <c r="BI133" s="52">
        <f t="shared" si="76"/>
        <v>1</v>
      </c>
      <c r="BJ133" s="52">
        <f t="shared" si="76"/>
        <v>1</v>
      </c>
      <c r="BK133" s="52">
        <f t="shared" si="76"/>
        <v>1</v>
      </c>
      <c r="BL133" s="52">
        <f t="shared" si="76"/>
        <v>1</v>
      </c>
      <c r="BM133" s="52">
        <f t="shared" si="76"/>
        <v>1</v>
      </c>
      <c r="BN133" s="52">
        <f t="shared" si="76"/>
        <v>1</v>
      </c>
      <c r="BO133" s="32">
        <f t="shared" si="40"/>
        <v>0.81840193704600483</v>
      </c>
    </row>
    <row r="134" spans="1:67" s="27" customFormat="1" ht="18.75" customHeight="1" x14ac:dyDescent="0.25">
      <c r="A134" s="50" t="s">
        <v>274</v>
      </c>
      <c r="B134" s="50" t="s">
        <v>275</v>
      </c>
      <c r="C134" s="50" t="s">
        <v>58</v>
      </c>
      <c r="D134" s="51">
        <f>VLOOKUP(A134,'[1]Cuadro Control'!C154:J2064,8,FALSE)</f>
        <v>1212623361.2117648</v>
      </c>
      <c r="E134" s="52">
        <f t="shared" si="73"/>
        <v>0.22841447185013161</v>
      </c>
      <c r="F134" s="53">
        <v>46288</v>
      </c>
      <c r="G134" s="53">
        <v>46303</v>
      </c>
      <c r="H134" s="52">
        <f t="shared" si="74"/>
        <v>0</v>
      </c>
      <c r="I134" s="52">
        <f t="shared" si="74"/>
        <v>0</v>
      </c>
      <c r="J134" s="52">
        <f t="shared" si="74"/>
        <v>0</v>
      </c>
      <c r="K134" s="52">
        <f t="shared" si="74"/>
        <v>0</v>
      </c>
      <c r="L134" s="52">
        <f t="shared" si="74"/>
        <v>0</v>
      </c>
      <c r="M134" s="52">
        <f t="shared" si="74"/>
        <v>0</v>
      </c>
      <c r="N134" s="52">
        <f t="shared" si="74"/>
        <v>0</v>
      </c>
      <c r="O134" s="52">
        <f t="shared" si="74"/>
        <v>0</v>
      </c>
      <c r="P134" s="52">
        <f t="shared" si="74"/>
        <v>0</v>
      </c>
      <c r="Q134" s="52">
        <f t="shared" si="74"/>
        <v>0</v>
      </c>
      <c r="R134" s="52">
        <f t="shared" si="74"/>
        <v>0</v>
      </c>
      <c r="S134" s="52">
        <f t="shared" si="74"/>
        <v>0.1875</v>
      </c>
      <c r="T134" s="52">
        <f t="shared" si="74"/>
        <v>0.625</v>
      </c>
      <c r="U134" s="52">
        <f t="shared" si="74"/>
        <v>1</v>
      </c>
      <c r="V134" s="52">
        <f t="shared" si="74"/>
        <v>1</v>
      </c>
      <c r="W134" s="52">
        <f t="shared" si="74"/>
        <v>1</v>
      </c>
      <c r="X134" s="52">
        <f t="shared" si="75"/>
        <v>1</v>
      </c>
      <c r="Y134" s="52">
        <f t="shared" si="75"/>
        <v>1</v>
      </c>
      <c r="Z134" s="52">
        <f t="shared" si="75"/>
        <v>1</v>
      </c>
      <c r="AA134" s="52">
        <f t="shared" si="75"/>
        <v>1</v>
      </c>
      <c r="AB134" s="52">
        <f t="shared" si="75"/>
        <v>1</v>
      </c>
      <c r="AC134" s="52">
        <f t="shared" si="75"/>
        <v>1</v>
      </c>
      <c r="AD134" s="52">
        <f t="shared" si="75"/>
        <v>1</v>
      </c>
      <c r="AE134" s="52">
        <f t="shared" si="75"/>
        <v>1</v>
      </c>
      <c r="AF134" s="52">
        <f t="shared" si="75"/>
        <v>1</v>
      </c>
      <c r="AG134" s="52">
        <f t="shared" si="75"/>
        <v>1</v>
      </c>
      <c r="AH134" s="52">
        <f t="shared" si="75"/>
        <v>1</v>
      </c>
      <c r="AI134" s="52">
        <f t="shared" si="75"/>
        <v>1</v>
      </c>
      <c r="AJ134" s="52">
        <f t="shared" si="75"/>
        <v>1</v>
      </c>
      <c r="AK134" s="52">
        <f t="shared" si="75"/>
        <v>1</v>
      </c>
      <c r="AL134" s="52">
        <f t="shared" si="75"/>
        <v>1</v>
      </c>
      <c r="AM134" s="52">
        <f t="shared" si="75"/>
        <v>1</v>
      </c>
      <c r="AN134" s="52">
        <f t="shared" si="75"/>
        <v>1</v>
      </c>
      <c r="AO134" s="52">
        <f t="shared" si="75"/>
        <v>1</v>
      </c>
      <c r="AP134" s="52">
        <f t="shared" si="75"/>
        <v>1</v>
      </c>
      <c r="AQ134" s="52">
        <f t="shared" si="75"/>
        <v>1</v>
      </c>
      <c r="AR134" s="52">
        <f t="shared" si="75"/>
        <v>1</v>
      </c>
      <c r="AS134" s="52">
        <f t="shared" si="75"/>
        <v>1</v>
      </c>
      <c r="AT134" s="52">
        <f t="shared" si="75"/>
        <v>1</v>
      </c>
      <c r="AU134" s="52">
        <f t="shared" si="75"/>
        <v>1</v>
      </c>
      <c r="AV134" s="52">
        <f t="shared" si="75"/>
        <v>1</v>
      </c>
      <c r="AW134" s="52">
        <f t="shared" si="75"/>
        <v>1</v>
      </c>
      <c r="AX134" s="52">
        <f t="shared" si="75"/>
        <v>1</v>
      </c>
      <c r="AY134" s="52">
        <f t="shared" si="75"/>
        <v>1</v>
      </c>
      <c r="AZ134" s="52">
        <f t="shared" si="75"/>
        <v>1</v>
      </c>
      <c r="BA134" s="52">
        <f t="shared" si="75"/>
        <v>1</v>
      </c>
      <c r="BB134" s="52">
        <f t="shared" si="75"/>
        <v>1</v>
      </c>
      <c r="BC134" s="52">
        <f t="shared" si="75"/>
        <v>1</v>
      </c>
      <c r="BD134" s="52">
        <f t="shared" si="76"/>
        <v>1</v>
      </c>
      <c r="BE134" s="52">
        <f t="shared" si="76"/>
        <v>1</v>
      </c>
      <c r="BF134" s="52">
        <f t="shared" si="76"/>
        <v>1</v>
      </c>
      <c r="BG134" s="52">
        <f t="shared" si="76"/>
        <v>1</v>
      </c>
      <c r="BH134" s="52">
        <f t="shared" si="76"/>
        <v>1</v>
      </c>
      <c r="BI134" s="52">
        <f t="shared" si="76"/>
        <v>1</v>
      </c>
      <c r="BJ134" s="52">
        <f t="shared" si="76"/>
        <v>1</v>
      </c>
      <c r="BK134" s="52">
        <f t="shared" si="76"/>
        <v>1</v>
      </c>
      <c r="BL134" s="52">
        <f t="shared" si="76"/>
        <v>1</v>
      </c>
      <c r="BM134" s="52">
        <f t="shared" si="76"/>
        <v>1</v>
      </c>
      <c r="BN134" s="52">
        <f t="shared" si="76"/>
        <v>1</v>
      </c>
      <c r="BO134" s="32">
        <f t="shared" si="40"/>
        <v>0.79343220338983056</v>
      </c>
    </row>
    <row r="135" spans="1:67" s="27" customFormat="1" ht="18.75" customHeight="1" x14ac:dyDescent="0.25">
      <c r="A135" s="50" t="s">
        <v>276</v>
      </c>
      <c r="B135" s="50" t="s">
        <v>277</v>
      </c>
      <c r="C135" s="50" t="s">
        <v>126</v>
      </c>
      <c r="D135" s="51">
        <f>VLOOKUP(A135,'[1]Cuadro Control'!C155:J2065,8,FALSE)</f>
        <v>0</v>
      </c>
      <c r="E135" s="52">
        <f t="shared" si="73"/>
        <v>0</v>
      </c>
      <c r="F135" s="53">
        <v>46303</v>
      </c>
      <c r="G135" s="53">
        <v>46308</v>
      </c>
      <c r="H135" s="52">
        <f t="shared" si="74"/>
        <v>0</v>
      </c>
      <c r="I135" s="52">
        <f t="shared" si="74"/>
        <v>0</v>
      </c>
      <c r="J135" s="52">
        <f t="shared" si="74"/>
        <v>0</v>
      </c>
      <c r="K135" s="52">
        <f t="shared" si="74"/>
        <v>0</v>
      </c>
      <c r="L135" s="52">
        <f t="shared" si="74"/>
        <v>0</v>
      </c>
      <c r="M135" s="52">
        <f t="shared" si="74"/>
        <v>0</v>
      </c>
      <c r="N135" s="52">
        <f t="shared" si="74"/>
        <v>0</v>
      </c>
      <c r="O135" s="52">
        <f t="shared" si="74"/>
        <v>0</v>
      </c>
      <c r="P135" s="52">
        <f t="shared" si="74"/>
        <v>0</v>
      </c>
      <c r="Q135" s="52">
        <f t="shared" si="74"/>
        <v>0</v>
      </c>
      <c r="R135" s="52">
        <f t="shared" si="74"/>
        <v>0</v>
      </c>
      <c r="S135" s="52">
        <f t="shared" si="74"/>
        <v>0</v>
      </c>
      <c r="T135" s="52">
        <f t="shared" si="74"/>
        <v>0</v>
      </c>
      <c r="U135" s="52">
        <f t="shared" si="74"/>
        <v>0.33333333333333331</v>
      </c>
      <c r="V135" s="52">
        <f t="shared" si="74"/>
        <v>1</v>
      </c>
      <c r="W135" s="52">
        <f t="shared" si="74"/>
        <v>1</v>
      </c>
      <c r="X135" s="52">
        <f t="shared" si="75"/>
        <v>1</v>
      </c>
      <c r="Y135" s="52">
        <f t="shared" si="75"/>
        <v>1</v>
      </c>
      <c r="Z135" s="52">
        <f t="shared" si="75"/>
        <v>1</v>
      </c>
      <c r="AA135" s="52">
        <f t="shared" si="75"/>
        <v>1</v>
      </c>
      <c r="AB135" s="52">
        <f t="shared" si="75"/>
        <v>1</v>
      </c>
      <c r="AC135" s="52">
        <f t="shared" si="75"/>
        <v>1</v>
      </c>
      <c r="AD135" s="52">
        <f t="shared" si="75"/>
        <v>1</v>
      </c>
      <c r="AE135" s="52">
        <f t="shared" si="75"/>
        <v>1</v>
      </c>
      <c r="AF135" s="52">
        <f t="shared" si="75"/>
        <v>1</v>
      </c>
      <c r="AG135" s="52">
        <f t="shared" si="75"/>
        <v>1</v>
      </c>
      <c r="AH135" s="52">
        <f t="shared" si="75"/>
        <v>1</v>
      </c>
      <c r="AI135" s="52">
        <f t="shared" si="75"/>
        <v>1</v>
      </c>
      <c r="AJ135" s="52">
        <f t="shared" si="75"/>
        <v>1</v>
      </c>
      <c r="AK135" s="52">
        <f t="shared" si="75"/>
        <v>1</v>
      </c>
      <c r="AL135" s="52">
        <f t="shared" si="75"/>
        <v>1</v>
      </c>
      <c r="AM135" s="52">
        <f t="shared" si="75"/>
        <v>1</v>
      </c>
      <c r="AN135" s="52">
        <f t="shared" si="75"/>
        <v>1</v>
      </c>
      <c r="AO135" s="52">
        <f t="shared" si="75"/>
        <v>1</v>
      </c>
      <c r="AP135" s="52">
        <f t="shared" si="75"/>
        <v>1</v>
      </c>
      <c r="AQ135" s="52">
        <f t="shared" si="75"/>
        <v>1</v>
      </c>
      <c r="AR135" s="52">
        <f t="shared" si="75"/>
        <v>1</v>
      </c>
      <c r="AS135" s="52">
        <f t="shared" si="75"/>
        <v>1</v>
      </c>
      <c r="AT135" s="52">
        <f t="shared" si="75"/>
        <v>1</v>
      </c>
      <c r="AU135" s="52">
        <f t="shared" si="75"/>
        <v>1</v>
      </c>
      <c r="AV135" s="52">
        <f t="shared" si="75"/>
        <v>1</v>
      </c>
      <c r="AW135" s="52">
        <f t="shared" si="75"/>
        <v>1</v>
      </c>
      <c r="AX135" s="52">
        <f t="shared" si="75"/>
        <v>1</v>
      </c>
      <c r="AY135" s="52">
        <f t="shared" si="75"/>
        <v>1</v>
      </c>
      <c r="AZ135" s="52">
        <f t="shared" si="75"/>
        <v>1</v>
      </c>
      <c r="BA135" s="52">
        <f t="shared" si="75"/>
        <v>1</v>
      </c>
      <c r="BB135" s="52">
        <f t="shared" si="75"/>
        <v>1</v>
      </c>
      <c r="BC135" s="52">
        <f t="shared" ref="BC135:BN142" si="77">IF($F135=0,0,IF(BC$6&lt;$F135,0,IF(BC$6&gt;$G135,1,(BC$6-$F135+1)/($G135-$F135+1))))</f>
        <v>1</v>
      </c>
      <c r="BD135" s="52">
        <f t="shared" si="77"/>
        <v>1</v>
      </c>
      <c r="BE135" s="52">
        <f t="shared" si="77"/>
        <v>1</v>
      </c>
      <c r="BF135" s="52">
        <f t="shared" si="77"/>
        <v>1</v>
      </c>
      <c r="BG135" s="52">
        <f t="shared" si="77"/>
        <v>1</v>
      </c>
      <c r="BH135" s="52">
        <f t="shared" si="77"/>
        <v>1</v>
      </c>
      <c r="BI135" s="52">
        <f t="shared" si="77"/>
        <v>1</v>
      </c>
      <c r="BJ135" s="52">
        <f t="shared" si="77"/>
        <v>1</v>
      </c>
      <c r="BK135" s="52">
        <f t="shared" si="77"/>
        <v>1</v>
      </c>
      <c r="BL135" s="52">
        <f t="shared" si="77"/>
        <v>1</v>
      </c>
      <c r="BM135" s="52">
        <f t="shared" si="77"/>
        <v>1</v>
      </c>
      <c r="BN135" s="52">
        <f t="shared" si="77"/>
        <v>1</v>
      </c>
      <c r="BO135" s="32">
        <f t="shared" si="40"/>
        <v>0.76836158192090387</v>
      </c>
    </row>
    <row r="136" spans="1:67" s="27" customFormat="1" ht="18.75" customHeight="1" x14ac:dyDescent="0.25">
      <c r="A136" s="55" t="s">
        <v>278</v>
      </c>
      <c r="B136" s="55" t="s">
        <v>279</v>
      </c>
      <c r="C136" s="55" t="s">
        <v>14</v>
      </c>
      <c r="D136" s="56">
        <f>VLOOKUP(A136,'[1]Cuadro Control'!C156:J2066,8,FALSE)</f>
        <v>0</v>
      </c>
      <c r="E136" s="57">
        <f t="shared" si="73"/>
        <v>0</v>
      </c>
      <c r="F136" s="58">
        <v>46303</v>
      </c>
      <c r="G136" s="58">
        <v>46303</v>
      </c>
      <c r="H136" s="57">
        <f t="shared" si="74"/>
        <v>0</v>
      </c>
      <c r="I136" s="57">
        <f t="shared" si="74"/>
        <v>0</v>
      </c>
      <c r="J136" s="57">
        <f t="shared" si="74"/>
        <v>0</v>
      </c>
      <c r="K136" s="57">
        <f t="shared" si="74"/>
        <v>0</v>
      </c>
      <c r="L136" s="57">
        <f t="shared" si="74"/>
        <v>0</v>
      </c>
      <c r="M136" s="57">
        <f t="shared" si="74"/>
        <v>0</v>
      </c>
      <c r="N136" s="57">
        <f t="shared" si="74"/>
        <v>0</v>
      </c>
      <c r="O136" s="57">
        <f t="shared" si="74"/>
        <v>0</v>
      </c>
      <c r="P136" s="57">
        <f t="shared" si="74"/>
        <v>0</v>
      </c>
      <c r="Q136" s="57">
        <f t="shared" si="74"/>
        <v>0</v>
      </c>
      <c r="R136" s="57">
        <f t="shared" si="74"/>
        <v>0</v>
      </c>
      <c r="S136" s="57">
        <f t="shared" si="74"/>
        <v>0</v>
      </c>
      <c r="T136" s="57">
        <f t="shared" si="74"/>
        <v>0</v>
      </c>
      <c r="U136" s="57">
        <f t="shared" si="74"/>
        <v>1</v>
      </c>
      <c r="V136" s="57">
        <f t="shared" si="74"/>
        <v>1</v>
      </c>
      <c r="W136" s="57">
        <f t="shared" si="74"/>
        <v>1</v>
      </c>
      <c r="X136" s="57">
        <f t="shared" ref="X136:BC142" si="78">IF($F136=0,0,IF(X$6&lt;$F136,0,IF(X$6&gt;$G136,1,(X$6-$F136+1)/($G136-$F136+1))))</f>
        <v>1</v>
      </c>
      <c r="Y136" s="57">
        <f t="shared" si="78"/>
        <v>1</v>
      </c>
      <c r="Z136" s="57">
        <f t="shared" si="78"/>
        <v>1</v>
      </c>
      <c r="AA136" s="57">
        <f t="shared" si="78"/>
        <v>1</v>
      </c>
      <c r="AB136" s="57">
        <f t="shared" si="78"/>
        <v>1</v>
      </c>
      <c r="AC136" s="57">
        <f t="shared" si="78"/>
        <v>1</v>
      </c>
      <c r="AD136" s="57">
        <f t="shared" si="78"/>
        <v>1</v>
      </c>
      <c r="AE136" s="57">
        <f t="shared" si="78"/>
        <v>1</v>
      </c>
      <c r="AF136" s="57">
        <f t="shared" si="78"/>
        <v>1</v>
      </c>
      <c r="AG136" s="57">
        <f t="shared" si="78"/>
        <v>1</v>
      </c>
      <c r="AH136" s="57">
        <f t="shared" si="78"/>
        <v>1</v>
      </c>
      <c r="AI136" s="57">
        <f t="shared" si="78"/>
        <v>1</v>
      </c>
      <c r="AJ136" s="57">
        <f t="shared" si="78"/>
        <v>1</v>
      </c>
      <c r="AK136" s="57">
        <f t="shared" si="78"/>
        <v>1</v>
      </c>
      <c r="AL136" s="57">
        <f t="shared" si="78"/>
        <v>1</v>
      </c>
      <c r="AM136" s="57">
        <f t="shared" si="78"/>
        <v>1</v>
      </c>
      <c r="AN136" s="57">
        <f t="shared" si="78"/>
        <v>1</v>
      </c>
      <c r="AO136" s="57">
        <f t="shared" si="78"/>
        <v>1</v>
      </c>
      <c r="AP136" s="57">
        <f t="shared" si="78"/>
        <v>1</v>
      </c>
      <c r="AQ136" s="57">
        <f t="shared" si="78"/>
        <v>1</v>
      </c>
      <c r="AR136" s="57">
        <f t="shared" si="78"/>
        <v>1</v>
      </c>
      <c r="AS136" s="57">
        <f t="shared" si="78"/>
        <v>1</v>
      </c>
      <c r="AT136" s="57">
        <f t="shared" si="78"/>
        <v>1</v>
      </c>
      <c r="AU136" s="57">
        <f t="shared" si="78"/>
        <v>1</v>
      </c>
      <c r="AV136" s="57">
        <f t="shared" si="78"/>
        <v>1</v>
      </c>
      <c r="AW136" s="57">
        <f t="shared" si="78"/>
        <v>1</v>
      </c>
      <c r="AX136" s="57">
        <f t="shared" si="78"/>
        <v>1</v>
      </c>
      <c r="AY136" s="57">
        <f t="shared" si="78"/>
        <v>1</v>
      </c>
      <c r="AZ136" s="57">
        <f t="shared" si="78"/>
        <v>1</v>
      </c>
      <c r="BA136" s="57">
        <f t="shared" si="78"/>
        <v>1</v>
      </c>
      <c r="BB136" s="57">
        <f t="shared" si="78"/>
        <v>1</v>
      </c>
      <c r="BC136" s="57">
        <f t="shared" si="78"/>
        <v>1</v>
      </c>
      <c r="BD136" s="57">
        <f t="shared" si="77"/>
        <v>1</v>
      </c>
      <c r="BE136" s="57">
        <f t="shared" si="77"/>
        <v>1</v>
      </c>
      <c r="BF136" s="57">
        <f t="shared" si="77"/>
        <v>1</v>
      </c>
      <c r="BG136" s="57">
        <f t="shared" si="77"/>
        <v>1</v>
      </c>
      <c r="BH136" s="57">
        <f t="shared" si="77"/>
        <v>1</v>
      </c>
      <c r="BI136" s="57">
        <f t="shared" si="77"/>
        <v>1</v>
      </c>
      <c r="BJ136" s="57">
        <f t="shared" si="77"/>
        <v>1</v>
      </c>
      <c r="BK136" s="57">
        <f t="shared" si="77"/>
        <v>1</v>
      </c>
      <c r="BL136" s="57">
        <f t="shared" si="77"/>
        <v>1</v>
      </c>
      <c r="BM136" s="57">
        <f t="shared" si="77"/>
        <v>1</v>
      </c>
      <c r="BN136" s="57">
        <f t="shared" si="77"/>
        <v>1</v>
      </c>
      <c r="BO136" s="32">
        <f t="shared" si="40"/>
        <v>0.77966101694915257</v>
      </c>
    </row>
    <row r="137" spans="1:67" s="27" customFormat="1" ht="18.75" customHeight="1" x14ac:dyDescent="0.25">
      <c r="A137" s="50" t="s">
        <v>280</v>
      </c>
      <c r="B137" s="50" t="s">
        <v>281</v>
      </c>
      <c r="C137" s="50" t="s">
        <v>111</v>
      </c>
      <c r="D137" s="51">
        <f>VLOOKUP(A137,'[1]Cuadro Control'!C158:J2067,8,FALSE)</f>
        <v>1230815225.9452939</v>
      </c>
      <c r="E137" s="52">
        <f t="shared" si="73"/>
        <v>0.2318411625341423</v>
      </c>
      <c r="F137" s="53">
        <v>46308</v>
      </c>
      <c r="G137" s="53">
        <v>46309</v>
      </c>
      <c r="H137" s="52">
        <f t="shared" si="74"/>
        <v>0</v>
      </c>
      <c r="I137" s="52">
        <f t="shared" si="74"/>
        <v>0</v>
      </c>
      <c r="J137" s="52">
        <f t="shared" si="74"/>
        <v>0</v>
      </c>
      <c r="K137" s="52">
        <f t="shared" si="74"/>
        <v>0</v>
      </c>
      <c r="L137" s="52">
        <f t="shared" si="74"/>
        <v>0</v>
      </c>
      <c r="M137" s="52">
        <f t="shared" si="74"/>
        <v>0</v>
      </c>
      <c r="N137" s="52">
        <f t="shared" si="74"/>
        <v>0</v>
      </c>
      <c r="O137" s="52">
        <f t="shared" si="74"/>
        <v>0</v>
      </c>
      <c r="P137" s="52">
        <f t="shared" si="74"/>
        <v>0</v>
      </c>
      <c r="Q137" s="52">
        <f t="shared" si="74"/>
        <v>0</v>
      </c>
      <c r="R137" s="52">
        <f t="shared" si="74"/>
        <v>0</v>
      </c>
      <c r="S137" s="52">
        <f t="shared" si="74"/>
        <v>0</v>
      </c>
      <c r="T137" s="52">
        <f t="shared" si="74"/>
        <v>0</v>
      </c>
      <c r="U137" s="52">
        <f t="shared" si="74"/>
        <v>0</v>
      </c>
      <c r="V137" s="52">
        <f t="shared" si="74"/>
        <v>1</v>
      </c>
      <c r="W137" s="52">
        <f t="shared" si="74"/>
        <v>1</v>
      </c>
      <c r="X137" s="52">
        <f t="shared" si="78"/>
        <v>1</v>
      </c>
      <c r="Y137" s="52">
        <f t="shared" si="78"/>
        <v>1</v>
      </c>
      <c r="Z137" s="52">
        <f t="shared" si="78"/>
        <v>1</v>
      </c>
      <c r="AA137" s="52">
        <f t="shared" si="78"/>
        <v>1</v>
      </c>
      <c r="AB137" s="52">
        <f t="shared" si="78"/>
        <v>1</v>
      </c>
      <c r="AC137" s="52">
        <f t="shared" si="78"/>
        <v>1</v>
      </c>
      <c r="AD137" s="52">
        <f t="shared" si="78"/>
        <v>1</v>
      </c>
      <c r="AE137" s="52">
        <f t="shared" si="78"/>
        <v>1</v>
      </c>
      <c r="AF137" s="52">
        <f t="shared" si="78"/>
        <v>1</v>
      </c>
      <c r="AG137" s="52">
        <f t="shared" si="78"/>
        <v>1</v>
      </c>
      <c r="AH137" s="52">
        <f t="shared" si="78"/>
        <v>1</v>
      </c>
      <c r="AI137" s="52">
        <f t="shared" si="78"/>
        <v>1</v>
      </c>
      <c r="AJ137" s="52">
        <f t="shared" si="78"/>
        <v>1</v>
      </c>
      <c r="AK137" s="52">
        <f t="shared" si="78"/>
        <v>1</v>
      </c>
      <c r="AL137" s="52">
        <f t="shared" si="78"/>
        <v>1</v>
      </c>
      <c r="AM137" s="52">
        <f t="shared" si="78"/>
        <v>1</v>
      </c>
      <c r="AN137" s="52">
        <f t="shared" si="78"/>
        <v>1</v>
      </c>
      <c r="AO137" s="52">
        <f t="shared" si="78"/>
        <v>1</v>
      </c>
      <c r="AP137" s="52">
        <f t="shared" si="78"/>
        <v>1</v>
      </c>
      <c r="AQ137" s="52">
        <f t="shared" si="78"/>
        <v>1</v>
      </c>
      <c r="AR137" s="52">
        <f t="shared" si="78"/>
        <v>1</v>
      </c>
      <c r="AS137" s="52">
        <f t="shared" si="78"/>
        <v>1</v>
      </c>
      <c r="AT137" s="52">
        <f t="shared" si="78"/>
        <v>1</v>
      </c>
      <c r="AU137" s="52">
        <f t="shared" si="78"/>
        <v>1</v>
      </c>
      <c r="AV137" s="52">
        <f t="shared" si="78"/>
        <v>1</v>
      </c>
      <c r="AW137" s="52">
        <f t="shared" si="78"/>
        <v>1</v>
      </c>
      <c r="AX137" s="52">
        <f t="shared" si="78"/>
        <v>1</v>
      </c>
      <c r="AY137" s="52">
        <f t="shared" si="78"/>
        <v>1</v>
      </c>
      <c r="AZ137" s="52">
        <f t="shared" si="78"/>
        <v>1</v>
      </c>
      <c r="BA137" s="52">
        <f t="shared" si="78"/>
        <v>1</v>
      </c>
      <c r="BB137" s="52">
        <f t="shared" si="78"/>
        <v>1</v>
      </c>
      <c r="BC137" s="52">
        <f t="shared" si="78"/>
        <v>1</v>
      </c>
      <c r="BD137" s="52">
        <f t="shared" si="77"/>
        <v>1</v>
      </c>
      <c r="BE137" s="52">
        <f t="shared" si="77"/>
        <v>1</v>
      </c>
      <c r="BF137" s="52">
        <f t="shared" si="77"/>
        <v>1</v>
      </c>
      <c r="BG137" s="52">
        <f t="shared" si="77"/>
        <v>1</v>
      </c>
      <c r="BH137" s="52">
        <f t="shared" si="77"/>
        <v>1</v>
      </c>
      <c r="BI137" s="52">
        <f t="shared" si="77"/>
        <v>1</v>
      </c>
      <c r="BJ137" s="52">
        <f t="shared" si="77"/>
        <v>1</v>
      </c>
      <c r="BK137" s="52">
        <f t="shared" si="77"/>
        <v>1</v>
      </c>
      <c r="BL137" s="52">
        <f t="shared" si="77"/>
        <v>1</v>
      </c>
      <c r="BM137" s="52">
        <f t="shared" si="77"/>
        <v>1</v>
      </c>
      <c r="BN137" s="52">
        <f t="shared" si="77"/>
        <v>1</v>
      </c>
      <c r="BO137" s="32">
        <f t="shared" si="40"/>
        <v>0.76271186440677963</v>
      </c>
    </row>
    <row r="138" spans="1:67" s="27" customFormat="1" ht="18.75" customHeight="1" x14ac:dyDescent="0.25">
      <c r="A138" s="50" t="s">
        <v>282</v>
      </c>
      <c r="B138" s="50" t="s">
        <v>283</v>
      </c>
      <c r="C138" s="50" t="s">
        <v>238</v>
      </c>
      <c r="D138" s="51">
        <f>VLOOKUP(A138,'[1]Cuadro Control'!C160:J2068,8,FALSE)</f>
        <v>0</v>
      </c>
      <c r="E138" s="52">
        <f t="shared" si="73"/>
        <v>0</v>
      </c>
      <c r="F138" s="53">
        <v>46309</v>
      </c>
      <c r="G138" s="53">
        <v>46316</v>
      </c>
      <c r="H138" s="52">
        <f t="shared" si="74"/>
        <v>0</v>
      </c>
      <c r="I138" s="52">
        <f t="shared" si="74"/>
        <v>0</v>
      </c>
      <c r="J138" s="52">
        <f t="shared" si="74"/>
        <v>0</v>
      </c>
      <c r="K138" s="52">
        <f t="shared" si="74"/>
        <v>0</v>
      </c>
      <c r="L138" s="52">
        <f t="shared" si="74"/>
        <v>0</v>
      </c>
      <c r="M138" s="52">
        <f t="shared" si="74"/>
        <v>0</v>
      </c>
      <c r="N138" s="52">
        <f t="shared" si="74"/>
        <v>0</v>
      </c>
      <c r="O138" s="52">
        <f t="shared" si="74"/>
        <v>0</v>
      </c>
      <c r="P138" s="52">
        <f t="shared" si="74"/>
        <v>0</v>
      </c>
      <c r="Q138" s="52">
        <f t="shared" si="74"/>
        <v>0</v>
      </c>
      <c r="R138" s="52">
        <f t="shared" si="74"/>
        <v>0</v>
      </c>
      <c r="S138" s="52">
        <f t="shared" si="74"/>
        <v>0</v>
      </c>
      <c r="T138" s="52">
        <f t="shared" si="74"/>
        <v>0</v>
      </c>
      <c r="U138" s="52">
        <f t="shared" si="74"/>
        <v>0</v>
      </c>
      <c r="V138" s="52">
        <f t="shared" si="74"/>
        <v>0.375</v>
      </c>
      <c r="W138" s="52">
        <f t="shared" si="74"/>
        <v>1</v>
      </c>
      <c r="X138" s="52">
        <f t="shared" si="78"/>
        <v>1</v>
      </c>
      <c r="Y138" s="52">
        <f t="shared" si="78"/>
        <v>1</v>
      </c>
      <c r="Z138" s="52">
        <f t="shared" si="78"/>
        <v>1</v>
      </c>
      <c r="AA138" s="52">
        <f t="shared" si="78"/>
        <v>1</v>
      </c>
      <c r="AB138" s="52">
        <f t="shared" si="78"/>
        <v>1</v>
      </c>
      <c r="AC138" s="52">
        <f t="shared" si="78"/>
        <v>1</v>
      </c>
      <c r="AD138" s="52">
        <f t="shared" si="78"/>
        <v>1</v>
      </c>
      <c r="AE138" s="52">
        <f t="shared" si="78"/>
        <v>1</v>
      </c>
      <c r="AF138" s="52">
        <f t="shared" si="78"/>
        <v>1</v>
      </c>
      <c r="AG138" s="52">
        <f t="shared" si="78"/>
        <v>1</v>
      </c>
      <c r="AH138" s="52">
        <f t="shared" si="78"/>
        <v>1</v>
      </c>
      <c r="AI138" s="52">
        <f t="shared" si="78"/>
        <v>1</v>
      </c>
      <c r="AJ138" s="52">
        <f t="shared" si="78"/>
        <v>1</v>
      </c>
      <c r="AK138" s="52">
        <f t="shared" si="78"/>
        <v>1</v>
      </c>
      <c r="AL138" s="52">
        <f t="shared" si="78"/>
        <v>1</v>
      </c>
      <c r="AM138" s="52">
        <f t="shared" si="78"/>
        <v>1</v>
      </c>
      <c r="AN138" s="52">
        <f t="shared" si="78"/>
        <v>1</v>
      </c>
      <c r="AO138" s="52">
        <f t="shared" si="78"/>
        <v>1</v>
      </c>
      <c r="AP138" s="52">
        <f t="shared" si="78"/>
        <v>1</v>
      </c>
      <c r="AQ138" s="52">
        <f t="shared" si="78"/>
        <v>1</v>
      </c>
      <c r="AR138" s="52">
        <f t="shared" si="78"/>
        <v>1</v>
      </c>
      <c r="AS138" s="52">
        <f t="shared" si="78"/>
        <v>1</v>
      </c>
      <c r="AT138" s="52">
        <f t="shared" si="78"/>
        <v>1</v>
      </c>
      <c r="AU138" s="52">
        <f t="shared" si="78"/>
        <v>1</v>
      </c>
      <c r="AV138" s="52">
        <f t="shared" si="78"/>
        <v>1</v>
      </c>
      <c r="AW138" s="52">
        <f t="shared" si="78"/>
        <v>1</v>
      </c>
      <c r="AX138" s="52">
        <f t="shared" si="78"/>
        <v>1</v>
      </c>
      <c r="AY138" s="52">
        <f t="shared" si="78"/>
        <v>1</v>
      </c>
      <c r="AZ138" s="52">
        <f t="shared" si="78"/>
        <v>1</v>
      </c>
      <c r="BA138" s="52">
        <f t="shared" si="78"/>
        <v>1</v>
      </c>
      <c r="BB138" s="52">
        <f t="shared" si="78"/>
        <v>1</v>
      </c>
      <c r="BC138" s="52">
        <f t="shared" si="78"/>
        <v>1</v>
      </c>
      <c r="BD138" s="52">
        <f t="shared" si="77"/>
        <v>1</v>
      </c>
      <c r="BE138" s="52">
        <f t="shared" si="77"/>
        <v>1</v>
      </c>
      <c r="BF138" s="52">
        <f t="shared" si="77"/>
        <v>1</v>
      </c>
      <c r="BG138" s="52">
        <f t="shared" si="77"/>
        <v>1</v>
      </c>
      <c r="BH138" s="52">
        <f t="shared" si="77"/>
        <v>1</v>
      </c>
      <c r="BI138" s="52">
        <f t="shared" si="77"/>
        <v>1</v>
      </c>
      <c r="BJ138" s="52">
        <f t="shared" si="77"/>
        <v>1</v>
      </c>
      <c r="BK138" s="52">
        <f t="shared" si="77"/>
        <v>1</v>
      </c>
      <c r="BL138" s="52">
        <f t="shared" si="77"/>
        <v>1</v>
      </c>
      <c r="BM138" s="52">
        <f t="shared" si="77"/>
        <v>1</v>
      </c>
      <c r="BN138" s="52">
        <f t="shared" si="77"/>
        <v>1</v>
      </c>
      <c r="BO138" s="32">
        <f t="shared" ref="BO138:BO201" si="79">+AVERAGE(H138:BN138)</f>
        <v>0.7521186440677966</v>
      </c>
    </row>
    <row r="139" spans="1:67" s="27" customFormat="1" ht="18.75" customHeight="1" x14ac:dyDescent="0.25">
      <c r="A139" s="50" t="s">
        <v>284</v>
      </c>
      <c r="B139" s="50" t="s">
        <v>285</v>
      </c>
      <c r="C139" s="50" t="s">
        <v>126</v>
      </c>
      <c r="D139" s="51">
        <f>VLOOKUP(A139,'[1]Cuadro Control'!C162:J2069,8,FALSE)</f>
        <v>52736347.43270281</v>
      </c>
      <c r="E139" s="52">
        <f t="shared" si="73"/>
        <v>9.933624348213644E-3</v>
      </c>
      <c r="F139" s="53">
        <v>46316</v>
      </c>
      <c r="G139" s="53">
        <v>46319</v>
      </c>
      <c r="H139" s="52">
        <f t="shared" si="74"/>
        <v>0</v>
      </c>
      <c r="I139" s="52">
        <f t="shared" si="74"/>
        <v>0</v>
      </c>
      <c r="J139" s="52">
        <f t="shared" si="74"/>
        <v>0</v>
      </c>
      <c r="K139" s="52">
        <f t="shared" si="74"/>
        <v>0</v>
      </c>
      <c r="L139" s="52">
        <f t="shared" si="74"/>
        <v>0</v>
      </c>
      <c r="M139" s="52">
        <f t="shared" si="74"/>
        <v>0</v>
      </c>
      <c r="N139" s="52">
        <f t="shared" si="74"/>
        <v>0</v>
      </c>
      <c r="O139" s="52">
        <f t="shared" si="74"/>
        <v>0</v>
      </c>
      <c r="P139" s="52">
        <f t="shared" si="74"/>
        <v>0</v>
      </c>
      <c r="Q139" s="52">
        <f t="shared" si="74"/>
        <v>0</v>
      </c>
      <c r="R139" s="52">
        <f t="shared" si="74"/>
        <v>0</v>
      </c>
      <c r="S139" s="52">
        <f t="shared" si="74"/>
        <v>0</v>
      </c>
      <c r="T139" s="52">
        <f t="shared" si="74"/>
        <v>0</v>
      </c>
      <c r="U139" s="52">
        <f t="shared" si="74"/>
        <v>0</v>
      </c>
      <c r="V139" s="52">
        <f t="shared" si="74"/>
        <v>0</v>
      </c>
      <c r="W139" s="52">
        <f t="shared" si="74"/>
        <v>0.75</v>
      </c>
      <c r="X139" s="52">
        <f t="shared" si="78"/>
        <v>1</v>
      </c>
      <c r="Y139" s="52">
        <f t="shared" si="78"/>
        <v>1</v>
      </c>
      <c r="Z139" s="52">
        <f t="shared" si="78"/>
        <v>1</v>
      </c>
      <c r="AA139" s="52">
        <f t="shared" si="78"/>
        <v>1</v>
      </c>
      <c r="AB139" s="52">
        <f t="shared" si="78"/>
        <v>1</v>
      </c>
      <c r="AC139" s="52">
        <f t="shared" si="78"/>
        <v>1</v>
      </c>
      <c r="AD139" s="52">
        <f t="shared" si="78"/>
        <v>1</v>
      </c>
      <c r="AE139" s="52">
        <f t="shared" si="78"/>
        <v>1</v>
      </c>
      <c r="AF139" s="52">
        <f t="shared" si="78"/>
        <v>1</v>
      </c>
      <c r="AG139" s="52">
        <f t="shared" si="78"/>
        <v>1</v>
      </c>
      <c r="AH139" s="52">
        <f t="shared" si="78"/>
        <v>1</v>
      </c>
      <c r="AI139" s="52">
        <f t="shared" si="78"/>
        <v>1</v>
      </c>
      <c r="AJ139" s="52">
        <f t="shared" si="78"/>
        <v>1</v>
      </c>
      <c r="AK139" s="52">
        <f t="shared" si="78"/>
        <v>1</v>
      </c>
      <c r="AL139" s="52">
        <f t="shared" si="78"/>
        <v>1</v>
      </c>
      <c r="AM139" s="52">
        <f t="shared" si="78"/>
        <v>1</v>
      </c>
      <c r="AN139" s="52">
        <f t="shared" si="78"/>
        <v>1</v>
      </c>
      <c r="AO139" s="52">
        <f t="shared" si="78"/>
        <v>1</v>
      </c>
      <c r="AP139" s="52">
        <f t="shared" si="78"/>
        <v>1</v>
      </c>
      <c r="AQ139" s="52">
        <f t="shared" si="78"/>
        <v>1</v>
      </c>
      <c r="AR139" s="52">
        <f t="shared" si="78"/>
        <v>1</v>
      </c>
      <c r="AS139" s="52">
        <f t="shared" si="78"/>
        <v>1</v>
      </c>
      <c r="AT139" s="52">
        <f t="shared" si="78"/>
        <v>1</v>
      </c>
      <c r="AU139" s="52">
        <f t="shared" si="78"/>
        <v>1</v>
      </c>
      <c r="AV139" s="52">
        <f t="shared" si="78"/>
        <v>1</v>
      </c>
      <c r="AW139" s="52">
        <f t="shared" si="78"/>
        <v>1</v>
      </c>
      <c r="AX139" s="52">
        <f t="shared" si="78"/>
        <v>1</v>
      </c>
      <c r="AY139" s="52">
        <f t="shared" si="78"/>
        <v>1</v>
      </c>
      <c r="AZ139" s="52">
        <f t="shared" si="78"/>
        <v>1</v>
      </c>
      <c r="BA139" s="52">
        <f t="shared" si="78"/>
        <v>1</v>
      </c>
      <c r="BB139" s="52">
        <f t="shared" si="78"/>
        <v>1</v>
      </c>
      <c r="BC139" s="52">
        <f t="shared" si="78"/>
        <v>1</v>
      </c>
      <c r="BD139" s="52">
        <f t="shared" si="77"/>
        <v>1</v>
      </c>
      <c r="BE139" s="52">
        <f t="shared" si="77"/>
        <v>1</v>
      </c>
      <c r="BF139" s="52">
        <f t="shared" si="77"/>
        <v>1</v>
      </c>
      <c r="BG139" s="52">
        <f t="shared" si="77"/>
        <v>1</v>
      </c>
      <c r="BH139" s="52">
        <f t="shared" si="77"/>
        <v>1</v>
      </c>
      <c r="BI139" s="52">
        <f t="shared" si="77"/>
        <v>1</v>
      </c>
      <c r="BJ139" s="52">
        <f t="shared" si="77"/>
        <v>1</v>
      </c>
      <c r="BK139" s="52">
        <f t="shared" si="77"/>
        <v>1</v>
      </c>
      <c r="BL139" s="52">
        <f t="shared" si="77"/>
        <v>1</v>
      </c>
      <c r="BM139" s="52">
        <f t="shared" si="77"/>
        <v>1</v>
      </c>
      <c r="BN139" s="52">
        <f t="shared" si="77"/>
        <v>1</v>
      </c>
      <c r="BO139" s="32">
        <f t="shared" si="79"/>
        <v>0.74152542372881358</v>
      </c>
    </row>
    <row r="140" spans="1:67" s="27" customFormat="1" ht="18.75" customHeight="1" x14ac:dyDescent="0.25">
      <c r="A140" s="50" t="s">
        <v>286</v>
      </c>
      <c r="B140" s="50" t="s">
        <v>287</v>
      </c>
      <c r="C140" s="50" t="s">
        <v>117</v>
      </c>
      <c r="D140" s="51">
        <f>VLOOKUP(A140,'[1]Cuadro Control'!C164:J2070,8,FALSE)</f>
        <v>46410609.014634147</v>
      </c>
      <c r="E140" s="52">
        <f t="shared" si="73"/>
        <v>8.742083556535862E-3</v>
      </c>
      <c r="F140" s="53">
        <v>46319</v>
      </c>
      <c r="G140" s="53">
        <v>46322</v>
      </c>
      <c r="H140" s="52">
        <f t="shared" si="74"/>
        <v>0</v>
      </c>
      <c r="I140" s="52">
        <f t="shared" si="74"/>
        <v>0</v>
      </c>
      <c r="J140" s="52">
        <f t="shared" si="74"/>
        <v>0</v>
      </c>
      <c r="K140" s="52">
        <f t="shared" si="74"/>
        <v>0</v>
      </c>
      <c r="L140" s="52">
        <f t="shared" si="74"/>
        <v>0</v>
      </c>
      <c r="M140" s="52">
        <f t="shared" si="74"/>
        <v>0</v>
      </c>
      <c r="N140" s="52">
        <f t="shared" si="74"/>
        <v>0</v>
      </c>
      <c r="O140" s="52">
        <f t="shared" si="74"/>
        <v>0</v>
      </c>
      <c r="P140" s="52">
        <f t="shared" si="74"/>
        <v>0</v>
      </c>
      <c r="Q140" s="52">
        <f t="shared" si="74"/>
        <v>0</v>
      </c>
      <c r="R140" s="52">
        <f t="shared" si="74"/>
        <v>0</v>
      </c>
      <c r="S140" s="52">
        <f t="shared" si="74"/>
        <v>0</v>
      </c>
      <c r="T140" s="52">
        <f t="shared" si="74"/>
        <v>0</v>
      </c>
      <c r="U140" s="52">
        <f t="shared" si="74"/>
        <v>0</v>
      </c>
      <c r="V140" s="52">
        <f t="shared" si="74"/>
        <v>0</v>
      </c>
      <c r="W140" s="52">
        <f t="shared" si="74"/>
        <v>0</v>
      </c>
      <c r="X140" s="52">
        <f t="shared" si="78"/>
        <v>1</v>
      </c>
      <c r="Y140" s="52">
        <f t="shared" si="78"/>
        <v>1</v>
      </c>
      <c r="Z140" s="52">
        <f t="shared" si="78"/>
        <v>1</v>
      </c>
      <c r="AA140" s="52">
        <f t="shared" si="78"/>
        <v>1</v>
      </c>
      <c r="AB140" s="52">
        <f t="shared" si="78"/>
        <v>1</v>
      </c>
      <c r="AC140" s="52">
        <f t="shared" si="78"/>
        <v>1</v>
      </c>
      <c r="AD140" s="52">
        <f t="shared" si="78"/>
        <v>1</v>
      </c>
      <c r="AE140" s="52">
        <f t="shared" si="78"/>
        <v>1</v>
      </c>
      <c r="AF140" s="52">
        <f t="shared" si="78"/>
        <v>1</v>
      </c>
      <c r="AG140" s="52">
        <f t="shared" si="78"/>
        <v>1</v>
      </c>
      <c r="AH140" s="52">
        <f t="shared" si="78"/>
        <v>1</v>
      </c>
      <c r="AI140" s="52">
        <f t="shared" si="78"/>
        <v>1</v>
      </c>
      <c r="AJ140" s="52">
        <f t="shared" si="78"/>
        <v>1</v>
      </c>
      <c r="AK140" s="52">
        <f t="shared" si="78"/>
        <v>1</v>
      </c>
      <c r="AL140" s="52">
        <f t="shared" si="78"/>
        <v>1</v>
      </c>
      <c r="AM140" s="52">
        <f t="shared" si="78"/>
        <v>1</v>
      </c>
      <c r="AN140" s="52">
        <f t="shared" si="78"/>
        <v>1</v>
      </c>
      <c r="AO140" s="52">
        <f t="shared" si="78"/>
        <v>1</v>
      </c>
      <c r="AP140" s="52">
        <f t="shared" si="78"/>
        <v>1</v>
      </c>
      <c r="AQ140" s="52">
        <f t="shared" si="78"/>
        <v>1</v>
      </c>
      <c r="AR140" s="52">
        <f t="shared" si="78"/>
        <v>1</v>
      </c>
      <c r="AS140" s="52">
        <f t="shared" si="78"/>
        <v>1</v>
      </c>
      <c r="AT140" s="52">
        <f t="shared" si="78"/>
        <v>1</v>
      </c>
      <c r="AU140" s="52">
        <f t="shared" si="78"/>
        <v>1</v>
      </c>
      <c r="AV140" s="52">
        <f t="shared" si="78"/>
        <v>1</v>
      </c>
      <c r="AW140" s="52">
        <f t="shared" si="78"/>
        <v>1</v>
      </c>
      <c r="AX140" s="52">
        <f t="shared" si="78"/>
        <v>1</v>
      </c>
      <c r="AY140" s="52">
        <f t="shared" si="78"/>
        <v>1</v>
      </c>
      <c r="AZ140" s="52">
        <f t="shared" si="78"/>
        <v>1</v>
      </c>
      <c r="BA140" s="52">
        <f t="shared" si="78"/>
        <v>1</v>
      </c>
      <c r="BB140" s="52">
        <f t="shared" si="78"/>
        <v>1</v>
      </c>
      <c r="BC140" s="52">
        <f t="shared" si="78"/>
        <v>1</v>
      </c>
      <c r="BD140" s="52">
        <f t="shared" si="77"/>
        <v>1</v>
      </c>
      <c r="BE140" s="52">
        <f t="shared" si="77"/>
        <v>1</v>
      </c>
      <c r="BF140" s="52">
        <f t="shared" si="77"/>
        <v>1</v>
      </c>
      <c r="BG140" s="52">
        <f t="shared" si="77"/>
        <v>1</v>
      </c>
      <c r="BH140" s="52">
        <f t="shared" si="77"/>
        <v>1</v>
      </c>
      <c r="BI140" s="52">
        <f t="shared" si="77"/>
        <v>1</v>
      </c>
      <c r="BJ140" s="52">
        <f t="shared" si="77"/>
        <v>1</v>
      </c>
      <c r="BK140" s="52">
        <f t="shared" si="77"/>
        <v>1</v>
      </c>
      <c r="BL140" s="52">
        <f t="shared" si="77"/>
        <v>1</v>
      </c>
      <c r="BM140" s="52">
        <f t="shared" si="77"/>
        <v>1</v>
      </c>
      <c r="BN140" s="52">
        <f t="shared" si="77"/>
        <v>1</v>
      </c>
      <c r="BO140" s="32">
        <f t="shared" si="79"/>
        <v>0.72881355932203384</v>
      </c>
    </row>
    <row r="141" spans="1:67" s="27" customFormat="1" ht="18.75" customHeight="1" x14ac:dyDescent="0.25">
      <c r="A141" s="50" t="s">
        <v>288</v>
      </c>
      <c r="B141" s="50" t="s">
        <v>289</v>
      </c>
      <c r="C141" s="50" t="s">
        <v>61</v>
      </c>
      <c r="D141" s="51">
        <f>VLOOKUP(A141,'[1]Cuadro Control'!C166:J2071,8,FALSE)</f>
        <v>1587346329.5488234</v>
      </c>
      <c r="E141" s="52">
        <f t="shared" si="73"/>
        <v>0.29899875353285565</v>
      </c>
      <c r="F141" s="53">
        <v>46326</v>
      </c>
      <c r="G141" s="53">
        <v>46338</v>
      </c>
      <c r="H141" s="52">
        <f t="shared" si="74"/>
        <v>0</v>
      </c>
      <c r="I141" s="52">
        <f t="shared" si="74"/>
        <v>0</v>
      </c>
      <c r="J141" s="52">
        <f t="shared" si="74"/>
        <v>0</v>
      </c>
      <c r="K141" s="52">
        <f t="shared" si="74"/>
        <v>0</v>
      </c>
      <c r="L141" s="52">
        <f t="shared" si="74"/>
        <v>0</v>
      </c>
      <c r="M141" s="52">
        <f t="shared" si="74"/>
        <v>0</v>
      </c>
      <c r="N141" s="52">
        <f t="shared" si="74"/>
        <v>0</v>
      </c>
      <c r="O141" s="52">
        <f t="shared" si="74"/>
        <v>0</v>
      </c>
      <c r="P141" s="52">
        <f t="shared" si="74"/>
        <v>0</v>
      </c>
      <c r="Q141" s="52">
        <f t="shared" si="74"/>
        <v>0</v>
      </c>
      <c r="R141" s="52">
        <f t="shared" si="74"/>
        <v>0</v>
      </c>
      <c r="S141" s="52">
        <f t="shared" si="74"/>
        <v>0</v>
      </c>
      <c r="T141" s="52">
        <f t="shared" si="74"/>
        <v>0</v>
      </c>
      <c r="U141" s="52">
        <f t="shared" si="74"/>
        <v>0</v>
      </c>
      <c r="V141" s="52">
        <f t="shared" si="74"/>
        <v>0</v>
      </c>
      <c r="W141" s="52">
        <f t="shared" si="74"/>
        <v>0</v>
      </c>
      <c r="X141" s="52">
        <f t="shared" si="78"/>
        <v>0</v>
      </c>
      <c r="Y141" s="52">
        <f t="shared" si="78"/>
        <v>0.53846153846153844</v>
      </c>
      <c r="Z141" s="52">
        <f t="shared" si="78"/>
        <v>1</v>
      </c>
      <c r="AA141" s="52">
        <f t="shared" si="78"/>
        <v>1</v>
      </c>
      <c r="AB141" s="52">
        <f t="shared" si="78"/>
        <v>1</v>
      </c>
      <c r="AC141" s="52">
        <f t="shared" si="78"/>
        <v>1</v>
      </c>
      <c r="AD141" s="52">
        <f t="shared" si="78"/>
        <v>1</v>
      </c>
      <c r="AE141" s="52">
        <f t="shared" si="78"/>
        <v>1</v>
      </c>
      <c r="AF141" s="52">
        <f t="shared" si="78"/>
        <v>1</v>
      </c>
      <c r="AG141" s="52">
        <f t="shared" si="78"/>
        <v>1</v>
      </c>
      <c r="AH141" s="52">
        <f t="shared" si="78"/>
        <v>1</v>
      </c>
      <c r="AI141" s="52">
        <f t="shared" si="78"/>
        <v>1</v>
      </c>
      <c r="AJ141" s="52">
        <f t="shared" si="78"/>
        <v>1</v>
      </c>
      <c r="AK141" s="52">
        <f t="shared" si="78"/>
        <v>1</v>
      </c>
      <c r="AL141" s="52">
        <f t="shared" si="78"/>
        <v>1</v>
      </c>
      <c r="AM141" s="52">
        <f t="shared" si="78"/>
        <v>1</v>
      </c>
      <c r="AN141" s="52">
        <f t="shared" si="78"/>
        <v>1</v>
      </c>
      <c r="AO141" s="52">
        <f t="shared" si="78"/>
        <v>1</v>
      </c>
      <c r="AP141" s="52">
        <f t="shared" si="78"/>
        <v>1</v>
      </c>
      <c r="AQ141" s="52">
        <f t="shared" si="78"/>
        <v>1</v>
      </c>
      <c r="AR141" s="52">
        <f t="shared" si="78"/>
        <v>1</v>
      </c>
      <c r="AS141" s="52">
        <f t="shared" si="78"/>
        <v>1</v>
      </c>
      <c r="AT141" s="52">
        <f t="shared" si="78"/>
        <v>1</v>
      </c>
      <c r="AU141" s="52">
        <f t="shared" si="78"/>
        <v>1</v>
      </c>
      <c r="AV141" s="52">
        <f t="shared" si="78"/>
        <v>1</v>
      </c>
      <c r="AW141" s="52">
        <f t="shared" si="78"/>
        <v>1</v>
      </c>
      <c r="AX141" s="52">
        <f t="shared" si="78"/>
        <v>1</v>
      </c>
      <c r="AY141" s="52">
        <f t="shared" si="78"/>
        <v>1</v>
      </c>
      <c r="AZ141" s="52">
        <f t="shared" si="78"/>
        <v>1</v>
      </c>
      <c r="BA141" s="52">
        <f t="shared" si="78"/>
        <v>1</v>
      </c>
      <c r="BB141" s="52">
        <f t="shared" si="78"/>
        <v>1</v>
      </c>
      <c r="BC141" s="52">
        <f t="shared" si="78"/>
        <v>1</v>
      </c>
      <c r="BD141" s="52">
        <f t="shared" si="77"/>
        <v>1</v>
      </c>
      <c r="BE141" s="52">
        <f t="shared" si="77"/>
        <v>1</v>
      </c>
      <c r="BF141" s="52">
        <f t="shared" si="77"/>
        <v>1</v>
      </c>
      <c r="BG141" s="52">
        <f t="shared" si="77"/>
        <v>1</v>
      </c>
      <c r="BH141" s="52">
        <f t="shared" si="77"/>
        <v>1</v>
      </c>
      <c r="BI141" s="52">
        <f t="shared" si="77"/>
        <v>1</v>
      </c>
      <c r="BJ141" s="52">
        <f t="shared" si="77"/>
        <v>1</v>
      </c>
      <c r="BK141" s="52">
        <f t="shared" si="77"/>
        <v>1</v>
      </c>
      <c r="BL141" s="52">
        <f t="shared" si="77"/>
        <v>1</v>
      </c>
      <c r="BM141" s="52">
        <f t="shared" si="77"/>
        <v>1</v>
      </c>
      <c r="BN141" s="52">
        <f t="shared" si="77"/>
        <v>1</v>
      </c>
      <c r="BO141" s="32">
        <f t="shared" si="79"/>
        <v>0.70404172099087359</v>
      </c>
    </row>
    <row r="142" spans="1:67" s="27" customFormat="1" ht="18.75" customHeight="1" x14ac:dyDescent="0.25">
      <c r="A142" s="46" t="s">
        <v>290</v>
      </c>
      <c r="B142" s="46" t="s">
        <v>291</v>
      </c>
      <c r="C142" s="46" t="s">
        <v>61</v>
      </c>
      <c r="D142" s="47">
        <f>VLOOKUP(A142,'[1]Cuadro Control'!C167:J2072,8,FALSE)</f>
        <v>179532477.23999998</v>
      </c>
      <c r="E142" s="48">
        <f t="shared" si="73"/>
        <v>3.3817438522495219E-2</v>
      </c>
      <c r="F142" s="49">
        <v>46330</v>
      </c>
      <c r="G142" s="49">
        <v>46343</v>
      </c>
      <c r="H142" s="48">
        <f t="shared" si="74"/>
        <v>0</v>
      </c>
      <c r="I142" s="48">
        <f t="shared" si="74"/>
        <v>0</v>
      </c>
      <c r="J142" s="48">
        <f t="shared" si="74"/>
        <v>0</v>
      </c>
      <c r="K142" s="48">
        <f t="shared" si="74"/>
        <v>0</v>
      </c>
      <c r="L142" s="48">
        <f t="shared" si="74"/>
        <v>0</v>
      </c>
      <c r="M142" s="48">
        <f t="shared" si="74"/>
        <v>0</v>
      </c>
      <c r="N142" s="48">
        <f t="shared" si="74"/>
        <v>0</v>
      </c>
      <c r="O142" s="48">
        <f t="shared" si="74"/>
        <v>0</v>
      </c>
      <c r="P142" s="48">
        <f t="shared" si="74"/>
        <v>0</v>
      </c>
      <c r="Q142" s="48">
        <f t="shared" si="74"/>
        <v>0</v>
      </c>
      <c r="R142" s="48">
        <f t="shared" si="74"/>
        <v>0</v>
      </c>
      <c r="S142" s="48">
        <f t="shared" si="74"/>
        <v>0</v>
      </c>
      <c r="T142" s="48">
        <f t="shared" si="74"/>
        <v>0</v>
      </c>
      <c r="U142" s="48">
        <f t="shared" si="74"/>
        <v>0</v>
      </c>
      <c r="V142" s="48">
        <f t="shared" si="74"/>
        <v>0</v>
      </c>
      <c r="W142" s="48">
        <f t="shared" si="74"/>
        <v>0</v>
      </c>
      <c r="X142" s="48">
        <f t="shared" si="78"/>
        <v>0</v>
      </c>
      <c r="Y142" s="48">
        <f t="shared" si="78"/>
        <v>0.21428571428571427</v>
      </c>
      <c r="Z142" s="48">
        <f t="shared" si="78"/>
        <v>0.7142857142857143</v>
      </c>
      <c r="AA142" s="48">
        <f t="shared" si="78"/>
        <v>1</v>
      </c>
      <c r="AB142" s="48">
        <f t="shared" si="78"/>
        <v>1</v>
      </c>
      <c r="AC142" s="48">
        <f t="shared" si="78"/>
        <v>1</v>
      </c>
      <c r="AD142" s="48">
        <f t="shared" si="78"/>
        <v>1</v>
      </c>
      <c r="AE142" s="48">
        <f t="shared" si="78"/>
        <v>1</v>
      </c>
      <c r="AF142" s="48">
        <f t="shared" si="78"/>
        <v>1</v>
      </c>
      <c r="AG142" s="48">
        <f t="shared" si="78"/>
        <v>1</v>
      </c>
      <c r="AH142" s="48">
        <f t="shared" si="78"/>
        <v>1</v>
      </c>
      <c r="AI142" s="48">
        <f t="shared" si="78"/>
        <v>1</v>
      </c>
      <c r="AJ142" s="48">
        <f t="shared" si="78"/>
        <v>1</v>
      </c>
      <c r="AK142" s="48">
        <f t="shared" si="78"/>
        <v>1</v>
      </c>
      <c r="AL142" s="48">
        <f t="shared" si="78"/>
        <v>1</v>
      </c>
      <c r="AM142" s="48">
        <f t="shared" si="78"/>
        <v>1</v>
      </c>
      <c r="AN142" s="48">
        <f t="shared" si="78"/>
        <v>1</v>
      </c>
      <c r="AO142" s="48">
        <f t="shared" si="78"/>
        <v>1</v>
      </c>
      <c r="AP142" s="48">
        <f t="shared" si="78"/>
        <v>1</v>
      </c>
      <c r="AQ142" s="48">
        <f t="shared" si="78"/>
        <v>1</v>
      </c>
      <c r="AR142" s="48">
        <f t="shared" si="78"/>
        <v>1</v>
      </c>
      <c r="AS142" s="48">
        <f t="shared" si="78"/>
        <v>1</v>
      </c>
      <c r="AT142" s="48">
        <f t="shared" si="78"/>
        <v>1</v>
      </c>
      <c r="AU142" s="48">
        <f t="shared" si="78"/>
        <v>1</v>
      </c>
      <c r="AV142" s="48">
        <f t="shared" si="78"/>
        <v>1</v>
      </c>
      <c r="AW142" s="48">
        <f t="shared" si="78"/>
        <v>1</v>
      </c>
      <c r="AX142" s="48">
        <f t="shared" si="78"/>
        <v>1</v>
      </c>
      <c r="AY142" s="48">
        <f t="shared" si="78"/>
        <v>1</v>
      </c>
      <c r="AZ142" s="48">
        <f t="shared" si="78"/>
        <v>1</v>
      </c>
      <c r="BA142" s="48">
        <f t="shared" si="78"/>
        <v>1</v>
      </c>
      <c r="BB142" s="48">
        <f t="shared" si="78"/>
        <v>1</v>
      </c>
      <c r="BC142" s="48">
        <f t="shared" si="78"/>
        <v>1</v>
      </c>
      <c r="BD142" s="48">
        <f t="shared" si="77"/>
        <v>1</v>
      </c>
      <c r="BE142" s="48">
        <f t="shared" si="77"/>
        <v>1</v>
      </c>
      <c r="BF142" s="48">
        <f t="shared" si="77"/>
        <v>1</v>
      </c>
      <c r="BG142" s="48">
        <f t="shared" si="77"/>
        <v>1</v>
      </c>
      <c r="BH142" s="48">
        <f t="shared" si="77"/>
        <v>1</v>
      </c>
      <c r="BI142" s="48">
        <f t="shared" si="77"/>
        <v>1</v>
      </c>
      <c r="BJ142" s="48">
        <f t="shared" si="77"/>
        <v>1</v>
      </c>
      <c r="BK142" s="48">
        <f t="shared" si="77"/>
        <v>1</v>
      </c>
      <c r="BL142" s="48">
        <f t="shared" si="77"/>
        <v>1</v>
      </c>
      <c r="BM142" s="48">
        <f t="shared" si="77"/>
        <v>1</v>
      </c>
      <c r="BN142" s="48">
        <f t="shared" si="77"/>
        <v>1</v>
      </c>
      <c r="BO142" s="32">
        <f t="shared" si="79"/>
        <v>0.69370460048426152</v>
      </c>
    </row>
    <row r="143" spans="1:67" s="27" customFormat="1" ht="18.75" customHeight="1" x14ac:dyDescent="0.25">
      <c r="A143" s="55" t="s">
        <v>292</v>
      </c>
      <c r="B143" s="55" t="s">
        <v>293</v>
      </c>
      <c r="C143" s="55" t="s">
        <v>14</v>
      </c>
      <c r="D143" s="56">
        <f>VLOOKUP(A143,'[1]Cuadro Control'!C168:J2073,8,FALSE)</f>
        <v>0</v>
      </c>
      <c r="E143" s="57">
        <f>IFERROR(D143/$D$127,0)</f>
        <v>0</v>
      </c>
      <c r="F143" s="58">
        <v>46344</v>
      </c>
      <c r="G143" s="58">
        <v>46344</v>
      </c>
      <c r="H143" s="57">
        <f t="shared" si="74"/>
        <v>0</v>
      </c>
      <c r="I143" s="57">
        <f t="shared" si="74"/>
        <v>0</v>
      </c>
      <c r="J143" s="57">
        <f t="shared" si="74"/>
        <v>0</v>
      </c>
      <c r="K143" s="57">
        <f t="shared" si="74"/>
        <v>0</v>
      </c>
      <c r="L143" s="57">
        <f t="shared" si="74"/>
        <v>0</v>
      </c>
      <c r="M143" s="57">
        <f t="shared" si="74"/>
        <v>0</v>
      </c>
      <c r="N143" s="57">
        <f t="shared" si="74"/>
        <v>0</v>
      </c>
      <c r="O143" s="57">
        <f t="shared" si="74"/>
        <v>0</v>
      </c>
      <c r="P143" s="57">
        <f t="shared" si="74"/>
        <v>0</v>
      </c>
      <c r="Q143" s="57">
        <f t="shared" si="74"/>
        <v>0</v>
      </c>
      <c r="R143" s="57">
        <f t="shared" si="74"/>
        <v>0</v>
      </c>
      <c r="S143" s="57">
        <f t="shared" si="74"/>
        <v>0</v>
      </c>
      <c r="T143" s="57">
        <f t="shared" si="74"/>
        <v>0</v>
      </c>
      <c r="U143" s="57">
        <f t="shared" si="74"/>
        <v>0</v>
      </c>
      <c r="V143" s="57">
        <f t="shared" si="74"/>
        <v>0</v>
      </c>
      <c r="W143" s="57">
        <f t="shared" ref="W143:BN143" si="80">IF($F143=0,0,IF(W$6&lt;$F143,0,IF(W$6&gt;$G143,1,(W$6-$F143+1)/($G143-$F143+1))))</f>
        <v>0</v>
      </c>
      <c r="X143" s="57">
        <f t="shared" si="80"/>
        <v>0</v>
      </c>
      <c r="Y143" s="57">
        <f t="shared" si="80"/>
        <v>0</v>
      </c>
      <c r="Z143" s="57">
        <f t="shared" si="80"/>
        <v>0</v>
      </c>
      <c r="AA143" s="57">
        <f t="shared" si="80"/>
        <v>1</v>
      </c>
      <c r="AB143" s="57">
        <f t="shared" si="80"/>
        <v>1</v>
      </c>
      <c r="AC143" s="57">
        <f t="shared" si="80"/>
        <v>1</v>
      </c>
      <c r="AD143" s="57">
        <f t="shared" si="80"/>
        <v>1</v>
      </c>
      <c r="AE143" s="57">
        <f t="shared" si="80"/>
        <v>1</v>
      </c>
      <c r="AF143" s="57">
        <f t="shared" si="80"/>
        <v>1</v>
      </c>
      <c r="AG143" s="57">
        <f t="shared" si="80"/>
        <v>1</v>
      </c>
      <c r="AH143" s="57">
        <f t="shared" si="80"/>
        <v>1</v>
      </c>
      <c r="AI143" s="57">
        <f t="shared" si="80"/>
        <v>1</v>
      </c>
      <c r="AJ143" s="57">
        <f t="shared" si="80"/>
        <v>1</v>
      </c>
      <c r="AK143" s="57">
        <f t="shared" si="80"/>
        <v>1</v>
      </c>
      <c r="AL143" s="57">
        <f t="shared" si="80"/>
        <v>1</v>
      </c>
      <c r="AM143" s="57">
        <f t="shared" si="80"/>
        <v>1</v>
      </c>
      <c r="AN143" s="57">
        <f t="shared" si="80"/>
        <v>1</v>
      </c>
      <c r="AO143" s="57">
        <f t="shared" si="80"/>
        <v>1</v>
      </c>
      <c r="AP143" s="57">
        <f t="shared" si="80"/>
        <v>1</v>
      </c>
      <c r="AQ143" s="57">
        <f t="shared" si="80"/>
        <v>1</v>
      </c>
      <c r="AR143" s="57">
        <f t="shared" si="80"/>
        <v>1</v>
      </c>
      <c r="AS143" s="57">
        <f t="shared" si="80"/>
        <v>1</v>
      </c>
      <c r="AT143" s="57">
        <f t="shared" si="80"/>
        <v>1</v>
      </c>
      <c r="AU143" s="57">
        <f t="shared" si="80"/>
        <v>1</v>
      </c>
      <c r="AV143" s="57">
        <f t="shared" si="80"/>
        <v>1</v>
      </c>
      <c r="AW143" s="57">
        <f t="shared" si="80"/>
        <v>1</v>
      </c>
      <c r="AX143" s="57">
        <f t="shared" si="80"/>
        <v>1</v>
      </c>
      <c r="AY143" s="57">
        <f t="shared" si="80"/>
        <v>1</v>
      </c>
      <c r="AZ143" s="57">
        <f t="shared" si="80"/>
        <v>1</v>
      </c>
      <c r="BA143" s="57">
        <f t="shared" si="80"/>
        <v>1</v>
      </c>
      <c r="BB143" s="57">
        <f t="shared" si="80"/>
        <v>1</v>
      </c>
      <c r="BC143" s="57">
        <f t="shared" si="80"/>
        <v>1</v>
      </c>
      <c r="BD143" s="57">
        <f t="shared" si="80"/>
        <v>1</v>
      </c>
      <c r="BE143" s="57">
        <f t="shared" si="80"/>
        <v>1</v>
      </c>
      <c r="BF143" s="57">
        <f t="shared" si="80"/>
        <v>1</v>
      </c>
      <c r="BG143" s="57">
        <f t="shared" si="80"/>
        <v>1</v>
      </c>
      <c r="BH143" s="57">
        <f t="shared" si="80"/>
        <v>1</v>
      </c>
      <c r="BI143" s="57">
        <f t="shared" si="80"/>
        <v>1</v>
      </c>
      <c r="BJ143" s="57">
        <f t="shared" si="80"/>
        <v>1</v>
      </c>
      <c r="BK143" s="57">
        <f t="shared" si="80"/>
        <v>1</v>
      </c>
      <c r="BL143" s="57">
        <f t="shared" si="80"/>
        <v>1</v>
      </c>
      <c r="BM143" s="57">
        <f t="shared" si="80"/>
        <v>1</v>
      </c>
      <c r="BN143" s="57">
        <f t="shared" si="80"/>
        <v>1</v>
      </c>
      <c r="BO143" s="32">
        <f t="shared" si="79"/>
        <v>0.67796610169491522</v>
      </c>
    </row>
    <row r="144" spans="1:67" s="27" customFormat="1" ht="18.75" customHeight="1" x14ac:dyDescent="0.25">
      <c r="A144" s="42" t="s">
        <v>294</v>
      </c>
      <c r="B144" s="42" t="s">
        <v>295</v>
      </c>
      <c r="C144" s="42" t="s">
        <v>261</v>
      </c>
      <c r="D144" s="43">
        <f>SUM(D145:D160)</f>
        <v>5308872732.0543728</v>
      </c>
      <c r="E144" s="44">
        <f>IFERROR(D144/$D$109,0)</f>
        <v>2.9408554574576196E-2</v>
      </c>
      <c r="F144" s="45">
        <v>46266</v>
      </c>
      <c r="G144" s="45">
        <v>46346</v>
      </c>
      <c r="H144" s="44">
        <f>SUMPRODUCT($E145:$E159,H145:H159)</f>
        <v>0</v>
      </c>
      <c r="I144" s="44">
        <f t="shared" ref="I144:BN144" si="81">SUMPRODUCT($E145:$E159,I145:I159)</f>
        <v>0</v>
      </c>
      <c r="J144" s="44">
        <f t="shared" si="81"/>
        <v>0</v>
      </c>
      <c r="K144" s="44">
        <f t="shared" si="81"/>
        <v>0</v>
      </c>
      <c r="L144" s="44">
        <f t="shared" si="81"/>
        <v>0</v>
      </c>
      <c r="M144" s="44">
        <f t="shared" si="81"/>
        <v>0</v>
      </c>
      <c r="N144" s="44">
        <f t="shared" si="81"/>
        <v>0</v>
      </c>
      <c r="O144" s="44">
        <f t="shared" si="81"/>
        <v>0</v>
      </c>
      <c r="P144" s="44">
        <f t="shared" si="81"/>
        <v>7.8426989199921922E-3</v>
      </c>
      <c r="Q144" s="44">
        <f t="shared" si="81"/>
        <v>4.5105438725758645E-2</v>
      </c>
      <c r="R144" s="44">
        <f t="shared" si="81"/>
        <v>8.6381780999194982E-2</v>
      </c>
      <c r="S144" s="44">
        <f t="shared" si="81"/>
        <v>0.16411012842261916</v>
      </c>
      <c r="T144" s="44">
        <f t="shared" si="81"/>
        <v>0.2285609018644725</v>
      </c>
      <c r="U144" s="44">
        <f t="shared" si="81"/>
        <v>0.32261391968511494</v>
      </c>
      <c r="V144" s="44">
        <f t="shared" si="81"/>
        <v>0.41666693750575734</v>
      </c>
      <c r="W144" s="44">
        <f t="shared" si="81"/>
        <v>0.64850810003989967</v>
      </c>
      <c r="X144" s="44">
        <f t="shared" si="81"/>
        <v>0.65595831830105988</v>
      </c>
      <c r="Y144" s="44">
        <f t="shared" si="81"/>
        <v>0.72923805455272006</v>
      </c>
      <c r="Z144" s="44">
        <f t="shared" si="81"/>
        <v>0.95431865333621668</v>
      </c>
      <c r="AA144" s="44">
        <f t="shared" si="81"/>
        <v>1</v>
      </c>
      <c r="AB144" s="44">
        <f t="shared" si="81"/>
        <v>1</v>
      </c>
      <c r="AC144" s="44">
        <f t="shared" si="81"/>
        <v>1</v>
      </c>
      <c r="AD144" s="44">
        <f t="shared" si="81"/>
        <v>1</v>
      </c>
      <c r="AE144" s="44">
        <f t="shared" si="81"/>
        <v>1</v>
      </c>
      <c r="AF144" s="44">
        <f t="shared" si="81"/>
        <v>1</v>
      </c>
      <c r="AG144" s="44">
        <f t="shared" si="81"/>
        <v>1</v>
      </c>
      <c r="AH144" s="44">
        <f t="shared" si="81"/>
        <v>1</v>
      </c>
      <c r="AI144" s="44">
        <f t="shared" si="81"/>
        <v>1</v>
      </c>
      <c r="AJ144" s="44">
        <f t="shared" si="81"/>
        <v>1</v>
      </c>
      <c r="AK144" s="44">
        <f t="shared" si="81"/>
        <v>1</v>
      </c>
      <c r="AL144" s="44">
        <f t="shared" si="81"/>
        <v>1</v>
      </c>
      <c r="AM144" s="44">
        <f t="shared" si="81"/>
        <v>1</v>
      </c>
      <c r="AN144" s="44">
        <f t="shared" si="81"/>
        <v>1</v>
      </c>
      <c r="AO144" s="44">
        <f t="shared" si="81"/>
        <v>1</v>
      </c>
      <c r="AP144" s="44">
        <f t="shared" si="81"/>
        <v>1</v>
      </c>
      <c r="AQ144" s="44">
        <f t="shared" si="81"/>
        <v>1</v>
      </c>
      <c r="AR144" s="44">
        <f t="shared" si="81"/>
        <v>1</v>
      </c>
      <c r="AS144" s="44">
        <f t="shared" si="81"/>
        <v>1</v>
      </c>
      <c r="AT144" s="44">
        <f t="shared" si="81"/>
        <v>1</v>
      </c>
      <c r="AU144" s="44">
        <f t="shared" si="81"/>
        <v>1</v>
      </c>
      <c r="AV144" s="44">
        <f t="shared" si="81"/>
        <v>1</v>
      </c>
      <c r="AW144" s="44">
        <f t="shared" si="81"/>
        <v>1</v>
      </c>
      <c r="AX144" s="44">
        <f t="shared" si="81"/>
        <v>1</v>
      </c>
      <c r="AY144" s="44">
        <f t="shared" si="81"/>
        <v>1</v>
      </c>
      <c r="AZ144" s="44">
        <f t="shared" si="81"/>
        <v>1</v>
      </c>
      <c r="BA144" s="44">
        <f t="shared" si="81"/>
        <v>1</v>
      </c>
      <c r="BB144" s="44">
        <f t="shared" si="81"/>
        <v>1</v>
      </c>
      <c r="BC144" s="44">
        <f t="shared" si="81"/>
        <v>1</v>
      </c>
      <c r="BD144" s="44">
        <f t="shared" si="81"/>
        <v>1</v>
      </c>
      <c r="BE144" s="44">
        <f t="shared" si="81"/>
        <v>1</v>
      </c>
      <c r="BF144" s="44">
        <f t="shared" si="81"/>
        <v>1</v>
      </c>
      <c r="BG144" s="44">
        <f t="shared" si="81"/>
        <v>1</v>
      </c>
      <c r="BH144" s="44">
        <f t="shared" si="81"/>
        <v>1</v>
      </c>
      <c r="BI144" s="44">
        <f t="shared" si="81"/>
        <v>1</v>
      </c>
      <c r="BJ144" s="44">
        <f t="shared" si="81"/>
        <v>1</v>
      </c>
      <c r="BK144" s="44">
        <f t="shared" si="81"/>
        <v>1</v>
      </c>
      <c r="BL144" s="44">
        <f t="shared" si="81"/>
        <v>1</v>
      </c>
      <c r="BM144" s="44">
        <f t="shared" si="81"/>
        <v>1</v>
      </c>
      <c r="BN144" s="44">
        <f t="shared" si="81"/>
        <v>1</v>
      </c>
      <c r="BO144" s="32">
        <f t="shared" si="79"/>
        <v>0.75015771071784421</v>
      </c>
    </row>
    <row r="145" spans="1:67" s="27" customFormat="1" ht="18.75" customHeight="1" x14ac:dyDescent="0.25">
      <c r="A145" s="50" t="s">
        <v>296</v>
      </c>
      <c r="B145" s="50" t="s">
        <v>297</v>
      </c>
      <c r="C145" s="50" t="s">
        <v>74</v>
      </c>
      <c r="D145" s="51">
        <f>VLOOKUP(A145,'[1]Cuadro Control'!C170:J2075,8,FALSE)</f>
        <v>83271780.884117648</v>
      </c>
      <c r="E145" s="52">
        <f t="shared" ref="E145:E159" si="82">IFERROR(D145/$D$144,0)</f>
        <v>1.5685397839984384E-2</v>
      </c>
      <c r="F145" s="53">
        <v>46266</v>
      </c>
      <c r="G145" s="53">
        <v>46273</v>
      </c>
      <c r="H145" s="52">
        <f t="shared" ref="H145:BN149" si="83">IF($F145=0,0,IF(H$6&lt;$F145,0,IF(H$6&gt;$G145,1,(H$6-$F145+1)/($G145-$F145+1))))</f>
        <v>0</v>
      </c>
      <c r="I145" s="52">
        <f t="shared" si="83"/>
        <v>0</v>
      </c>
      <c r="J145" s="52">
        <f t="shared" si="83"/>
        <v>0</v>
      </c>
      <c r="K145" s="52">
        <f t="shared" si="83"/>
        <v>0</v>
      </c>
      <c r="L145" s="52">
        <f t="shared" si="83"/>
        <v>0</v>
      </c>
      <c r="M145" s="52">
        <f t="shared" si="83"/>
        <v>0</v>
      </c>
      <c r="N145" s="52">
        <f t="shared" si="83"/>
        <v>0</v>
      </c>
      <c r="O145" s="52">
        <f t="shared" si="83"/>
        <v>0</v>
      </c>
      <c r="P145" s="52">
        <f t="shared" si="83"/>
        <v>0.5</v>
      </c>
      <c r="Q145" s="52">
        <f t="shared" si="83"/>
        <v>1</v>
      </c>
      <c r="R145" s="52">
        <f t="shared" si="83"/>
        <v>1</v>
      </c>
      <c r="S145" s="52">
        <f t="shared" si="83"/>
        <v>1</v>
      </c>
      <c r="T145" s="52">
        <f t="shared" si="83"/>
        <v>1</v>
      </c>
      <c r="U145" s="52">
        <f t="shared" si="83"/>
        <v>1</v>
      </c>
      <c r="V145" s="52">
        <f t="shared" si="83"/>
        <v>1</v>
      </c>
      <c r="W145" s="52">
        <f t="shared" si="83"/>
        <v>1</v>
      </c>
      <c r="X145" s="52">
        <f t="shared" si="83"/>
        <v>1</v>
      </c>
      <c r="Y145" s="52">
        <f t="shared" si="83"/>
        <v>1</v>
      </c>
      <c r="Z145" s="52">
        <f t="shared" si="83"/>
        <v>1</v>
      </c>
      <c r="AA145" s="52">
        <f t="shared" si="83"/>
        <v>1</v>
      </c>
      <c r="AB145" s="52">
        <f t="shared" si="83"/>
        <v>1</v>
      </c>
      <c r="AC145" s="52">
        <f t="shared" si="83"/>
        <v>1</v>
      </c>
      <c r="AD145" s="52">
        <f t="shared" si="83"/>
        <v>1</v>
      </c>
      <c r="AE145" s="52">
        <f t="shared" si="83"/>
        <v>1</v>
      </c>
      <c r="AF145" s="52">
        <f t="shared" si="83"/>
        <v>1</v>
      </c>
      <c r="AG145" s="52">
        <f t="shared" si="83"/>
        <v>1</v>
      </c>
      <c r="AH145" s="52">
        <f t="shared" si="83"/>
        <v>1</v>
      </c>
      <c r="AI145" s="52">
        <f t="shared" si="83"/>
        <v>1</v>
      </c>
      <c r="AJ145" s="52">
        <f t="shared" si="83"/>
        <v>1</v>
      </c>
      <c r="AK145" s="52">
        <f t="shared" si="83"/>
        <v>1</v>
      </c>
      <c r="AL145" s="52">
        <f t="shared" si="83"/>
        <v>1</v>
      </c>
      <c r="AM145" s="52">
        <f t="shared" si="83"/>
        <v>1</v>
      </c>
      <c r="AN145" s="52">
        <f t="shared" si="83"/>
        <v>1</v>
      </c>
      <c r="AO145" s="52">
        <f t="shared" si="83"/>
        <v>1</v>
      </c>
      <c r="AP145" s="52">
        <f t="shared" si="83"/>
        <v>1</v>
      </c>
      <c r="AQ145" s="52">
        <f t="shared" si="83"/>
        <v>1</v>
      </c>
      <c r="AR145" s="52">
        <f t="shared" si="83"/>
        <v>1</v>
      </c>
      <c r="AS145" s="52">
        <f t="shared" si="83"/>
        <v>1</v>
      </c>
      <c r="AT145" s="52">
        <f t="shared" si="83"/>
        <v>1</v>
      </c>
      <c r="AU145" s="52">
        <f t="shared" si="83"/>
        <v>1</v>
      </c>
      <c r="AV145" s="52">
        <f t="shared" si="83"/>
        <v>1</v>
      </c>
      <c r="AW145" s="52">
        <f t="shared" si="83"/>
        <v>1</v>
      </c>
      <c r="AX145" s="52">
        <f t="shared" si="83"/>
        <v>1</v>
      </c>
      <c r="AY145" s="52">
        <f t="shared" si="83"/>
        <v>1</v>
      </c>
      <c r="AZ145" s="52">
        <f t="shared" si="83"/>
        <v>1</v>
      </c>
      <c r="BA145" s="52">
        <f t="shared" si="83"/>
        <v>1</v>
      </c>
      <c r="BB145" s="52">
        <f t="shared" si="83"/>
        <v>1</v>
      </c>
      <c r="BC145" s="52">
        <f t="shared" si="83"/>
        <v>1</v>
      </c>
      <c r="BD145" s="52">
        <f t="shared" si="83"/>
        <v>1</v>
      </c>
      <c r="BE145" s="52">
        <f t="shared" si="83"/>
        <v>1</v>
      </c>
      <c r="BF145" s="52">
        <f t="shared" si="83"/>
        <v>1</v>
      </c>
      <c r="BG145" s="52">
        <f t="shared" si="83"/>
        <v>1</v>
      </c>
      <c r="BH145" s="52">
        <f t="shared" si="83"/>
        <v>1</v>
      </c>
      <c r="BI145" s="52">
        <f t="shared" si="83"/>
        <v>1</v>
      </c>
      <c r="BJ145" s="52">
        <f t="shared" si="83"/>
        <v>1</v>
      </c>
      <c r="BK145" s="52">
        <f t="shared" si="83"/>
        <v>1</v>
      </c>
      <c r="BL145" s="52">
        <f t="shared" si="83"/>
        <v>1</v>
      </c>
      <c r="BM145" s="52">
        <f t="shared" si="83"/>
        <v>1</v>
      </c>
      <c r="BN145" s="52">
        <f t="shared" si="83"/>
        <v>1</v>
      </c>
      <c r="BO145" s="32">
        <f t="shared" si="79"/>
        <v>0.85593220338983056</v>
      </c>
    </row>
    <row r="146" spans="1:67" s="27" customFormat="1" ht="18.75" customHeight="1" x14ac:dyDescent="0.25">
      <c r="A146" s="50" t="s">
        <v>298</v>
      </c>
      <c r="B146" s="50" t="s">
        <v>299</v>
      </c>
      <c r="C146" s="50" t="s">
        <v>61</v>
      </c>
      <c r="D146" s="51">
        <f>VLOOKUP(A146,'[1]Cuadro Control'!C171:J2076,8,FALSE)</f>
        <v>312374505.66882348</v>
      </c>
      <c r="E146" s="52">
        <f t="shared" si="82"/>
        <v>5.8840081771548515E-2</v>
      </c>
      <c r="F146" s="53">
        <v>46273</v>
      </c>
      <c r="G146" s="53">
        <v>46280</v>
      </c>
      <c r="H146" s="52">
        <f t="shared" si="83"/>
        <v>0</v>
      </c>
      <c r="I146" s="52">
        <f t="shared" si="83"/>
        <v>0</v>
      </c>
      <c r="J146" s="52">
        <f t="shared" si="83"/>
        <v>0</v>
      </c>
      <c r="K146" s="52">
        <f t="shared" si="83"/>
        <v>0</v>
      </c>
      <c r="L146" s="52">
        <f t="shared" si="83"/>
        <v>0</v>
      </c>
      <c r="M146" s="52">
        <f t="shared" si="83"/>
        <v>0</v>
      </c>
      <c r="N146" s="52">
        <f t="shared" si="83"/>
        <v>0</v>
      </c>
      <c r="O146" s="52">
        <f t="shared" si="83"/>
        <v>0</v>
      </c>
      <c r="P146" s="52">
        <f t="shared" si="83"/>
        <v>0</v>
      </c>
      <c r="Q146" s="52">
        <f t="shared" si="83"/>
        <v>0.5</v>
      </c>
      <c r="R146" s="52">
        <f t="shared" si="83"/>
        <v>1</v>
      </c>
      <c r="S146" s="52">
        <f t="shared" si="83"/>
        <v>1</v>
      </c>
      <c r="T146" s="52">
        <f t="shared" si="83"/>
        <v>1</v>
      </c>
      <c r="U146" s="52">
        <f t="shared" si="83"/>
        <v>1</v>
      </c>
      <c r="V146" s="52">
        <f t="shared" si="83"/>
        <v>1</v>
      </c>
      <c r="W146" s="52">
        <f t="shared" si="83"/>
        <v>1</v>
      </c>
      <c r="X146" s="52">
        <f t="shared" si="83"/>
        <v>1</v>
      </c>
      <c r="Y146" s="52">
        <f t="shared" si="83"/>
        <v>1</v>
      </c>
      <c r="Z146" s="52">
        <f t="shared" si="83"/>
        <v>1</v>
      </c>
      <c r="AA146" s="52">
        <f t="shared" si="83"/>
        <v>1</v>
      </c>
      <c r="AB146" s="52">
        <f t="shared" si="83"/>
        <v>1</v>
      </c>
      <c r="AC146" s="52">
        <f t="shared" si="83"/>
        <v>1</v>
      </c>
      <c r="AD146" s="52">
        <f t="shared" si="83"/>
        <v>1</v>
      </c>
      <c r="AE146" s="52">
        <f t="shared" si="83"/>
        <v>1</v>
      </c>
      <c r="AF146" s="52">
        <f t="shared" si="83"/>
        <v>1</v>
      </c>
      <c r="AG146" s="52">
        <f t="shared" si="83"/>
        <v>1</v>
      </c>
      <c r="AH146" s="52">
        <f t="shared" si="83"/>
        <v>1</v>
      </c>
      <c r="AI146" s="52">
        <f t="shared" si="83"/>
        <v>1</v>
      </c>
      <c r="AJ146" s="52">
        <f t="shared" si="83"/>
        <v>1</v>
      </c>
      <c r="AK146" s="52">
        <f t="shared" si="83"/>
        <v>1</v>
      </c>
      <c r="AL146" s="52">
        <f t="shared" si="83"/>
        <v>1</v>
      </c>
      <c r="AM146" s="52">
        <f t="shared" si="83"/>
        <v>1</v>
      </c>
      <c r="AN146" s="52">
        <f t="shared" si="83"/>
        <v>1</v>
      </c>
      <c r="AO146" s="52">
        <f t="shared" si="83"/>
        <v>1</v>
      </c>
      <c r="AP146" s="52">
        <f t="shared" si="83"/>
        <v>1</v>
      </c>
      <c r="AQ146" s="52">
        <f t="shared" si="83"/>
        <v>1</v>
      </c>
      <c r="AR146" s="52">
        <f t="shared" si="83"/>
        <v>1</v>
      </c>
      <c r="AS146" s="52">
        <f t="shared" si="83"/>
        <v>1</v>
      </c>
      <c r="AT146" s="52">
        <f t="shared" si="83"/>
        <v>1</v>
      </c>
      <c r="AU146" s="52">
        <f t="shared" si="83"/>
        <v>1</v>
      </c>
      <c r="AV146" s="52">
        <f t="shared" si="83"/>
        <v>1</v>
      </c>
      <c r="AW146" s="52">
        <f t="shared" si="83"/>
        <v>1</v>
      </c>
      <c r="AX146" s="52">
        <f t="shared" si="83"/>
        <v>1</v>
      </c>
      <c r="AY146" s="52">
        <f t="shared" si="83"/>
        <v>1</v>
      </c>
      <c r="AZ146" s="52">
        <f t="shared" si="83"/>
        <v>1</v>
      </c>
      <c r="BA146" s="52">
        <f t="shared" si="83"/>
        <v>1</v>
      </c>
      <c r="BB146" s="52">
        <f t="shared" si="83"/>
        <v>1</v>
      </c>
      <c r="BC146" s="52">
        <f t="shared" si="83"/>
        <v>1</v>
      </c>
      <c r="BD146" s="52">
        <f t="shared" si="83"/>
        <v>1</v>
      </c>
      <c r="BE146" s="52">
        <f t="shared" si="83"/>
        <v>1</v>
      </c>
      <c r="BF146" s="52">
        <f t="shared" si="83"/>
        <v>1</v>
      </c>
      <c r="BG146" s="52">
        <f t="shared" si="83"/>
        <v>1</v>
      </c>
      <c r="BH146" s="52">
        <f t="shared" si="83"/>
        <v>1</v>
      </c>
      <c r="BI146" s="52">
        <f t="shared" si="83"/>
        <v>1</v>
      </c>
      <c r="BJ146" s="52">
        <f t="shared" si="83"/>
        <v>1</v>
      </c>
      <c r="BK146" s="52">
        <f t="shared" si="83"/>
        <v>1</v>
      </c>
      <c r="BL146" s="52">
        <f t="shared" si="83"/>
        <v>1</v>
      </c>
      <c r="BM146" s="52">
        <f t="shared" si="83"/>
        <v>1</v>
      </c>
      <c r="BN146" s="52">
        <f t="shared" si="83"/>
        <v>1</v>
      </c>
      <c r="BO146" s="32">
        <f t="shared" si="79"/>
        <v>0.83898305084745761</v>
      </c>
    </row>
    <row r="147" spans="1:67" s="27" customFormat="1" ht="18.75" customHeight="1" x14ac:dyDescent="0.25">
      <c r="A147" s="46" t="s">
        <v>300</v>
      </c>
      <c r="B147" s="46" t="s">
        <v>301</v>
      </c>
      <c r="C147" s="46" t="s">
        <v>126</v>
      </c>
      <c r="D147" s="47">
        <f>VLOOKUP(A147,'[1]Cuadro Control'!C172:J2077,8,FALSE)</f>
        <v>9527825.6870364472</v>
      </c>
      <c r="E147" s="48">
        <f t="shared" si="82"/>
        <v>1.794698454439963E-3</v>
      </c>
      <c r="F147" s="49">
        <v>46280</v>
      </c>
      <c r="G147" s="49">
        <v>46283</v>
      </c>
      <c r="H147" s="48">
        <f t="shared" si="83"/>
        <v>0</v>
      </c>
      <c r="I147" s="48">
        <f t="shared" si="83"/>
        <v>0</v>
      </c>
      <c r="J147" s="48">
        <f t="shared" si="83"/>
        <v>0</v>
      </c>
      <c r="K147" s="48">
        <f t="shared" si="83"/>
        <v>0</v>
      </c>
      <c r="L147" s="48">
        <f t="shared" si="83"/>
        <v>0</v>
      </c>
      <c r="M147" s="48">
        <f t="shared" si="83"/>
        <v>0</v>
      </c>
      <c r="N147" s="48">
        <f t="shared" si="83"/>
        <v>0</v>
      </c>
      <c r="O147" s="48">
        <f t="shared" si="83"/>
        <v>0</v>
      </c>
      <c r="P147" s="48">
        <f t="shared" si="83"/>
        <v>0</v>
      </c>
      <c r="Q147" s="48">
        <f t="shared" si="83"/>
        <v>0</v>
      </c>
      <c r="R147" s="48">
        <f t="shared" si="83"/>
        <v>1</v>
      </c>
      <c r="S147" s="48">
        <f t="shared" si="83"/>
        <v>1</v>
      </c>
      <c r="T147" s="48">
        <f t="shared" si="83"/>
        <v>1</v>
      </c>
      <c r="U147" s="48">
        <f t="shared" si="83"/>
        <v>1</v>
      </c>
      <c r="V147" s="48">
        <f t="shared" si="83"/>
        <v>1</v>
      </c>
      <c r="W147" s="48">
        <f t="shared" si="83"/>
        <v>1</v>
      </c>
      <c r="X147" s="48">
        <f t="shared" si="83"/>
        <v>1</v>
      </c>
      <c r="Y147" s="48">
        <f t="shared" si="83"/>
        <v>1</v>
      </c>
      <c r="Z147" s="48">
        <f t="shared" si="83"/>
        <v>1</v>
      </c>
      <c r="AA147" s="48">
        <f t="shared" si="83"/>
        <v>1</v>
      </c>
      <c r="AB147" s="48">
        <f t="shared" si="83"/>
        <v>1</v>
      </c>
      <c r="AC147" s="48">
        <f t="shared" si="83"/>
        <v>1</v>
      </c>
      <c r="AD147" s="48">
        <f t="shared" si="83"/>
        <v>1</v>
      </c>
      <c r="AE147" s="48">
        <f t="shared" si="83"/>
        <v>1</v>
      </c>
      <c r="AF147" s="48">
        <f t="shared" si="83"/>
        <v>1</v>
      </c>
      <c r="AG147" s="48">
        <f t="shared" si="83"/>
        <v>1</v>
      </c>
      <c r="AH147" s="48">
        <f t="shared" si="83"/>
        <v>1</v>
      </c>
      <c r="AI147" s="48">
        <f t="shared" si="83"/>
        <v>1</v>
      </c>
      <c r="AJ147" s="48">
        <f t="shared" si="83"/>
        <v>1</v>
      </c>
      <c r="AK147" s="48">
        <f t="shared" si="83"/>
        <v>1</v>
      </c>
      <c r="AL147" s="48">
        <f t="shared" si="83"/>
        <v>1</v>
      </c>
      <c r="AM147" s="48">
        <f t="shared" si="83"/>
        <v>1</v>
      </c>
      <c r="AN147" s="48">
        <f t="shared" si="83"/>
        <v>1</v>
      </c>
      <c r="AO147" s="48">
        <f t="shared" si="83"/>
        <v>1</v>
      </c>
      <c r="AP147" s="48">
        <f t="shared" si="83"/>
        <v>1</v>
      </c>
      <c r="AQ147" s="48">
        <f t="shared" si="83"/>
        <v>1</v>
      </c>
      <c r="AR147" s="48">
        <f t="shared" si="83"/>
        <v>1</v>
      </c>
      <c r="AS147" s="48">
        <f t="shared" si="83"/>
        <v>1</v>
      </c>
      <c r="AT147" s="48">
        <f t="shared" si="83"/>
        <v>1</v>
      </c>
      <c r="AU147" s="48">
        <f t="shared" si="83"/>
        <v>1</v>
      </c>
      <c r="AV147" s="48">
        <f t="shared" si="83"/>
        <v>1</v>
      </c>
      <c r="AW147" s="48">
        <f t="shared" si="83"/>
        <v>1</v>
      </c>
      <c r="AX147" s="48">
        <f t="shared" si="83"/>
        <v>1</v>
      </c>
      <c r="AY147" s="48">
        <f t="shared" si="83"/>
        <v>1</v>
      </c>
      <c r="AZ147" s="48">
        <f t="shared" si="83"/>
        <v>1</v>
      </c>
      <c r="BA147" s="48">
        <f t="shared" si="83"/>
        <v>1</v>
      </c>
      <c r="BB147" s="48">
        <f t="shared" si="83"/>
        <v>1</v>
      </c>
      <c r="BC147" s="48">
        <f t="shared" si="83"/>
        <v>1</v>
      </c>
      <c r="BD147" s="48">
        <f t="shared" si="83"/>
        <v>1</v>
      </c>
      <c r="BE147" s="48">
        <f t="shared" si="83"/>
        <v>1</v>
      </c>
      <c r="BF147" s="48">
        <f t="shared" si="83"/>
        <v>1</v>
      </c>
      <c r="BG147" s="48">
        <f t="shared" si="83"/>
        <v>1</v>
      </c>
      <c r="BH147" s="48">
        <f t="shared" si="83"/>
        <v>1</v>
      </c>
      <c r="BI147" s="48">
        <f t="shared" si="83"/>
        <v>1</v>
      </c>
      <c r="BJ147" s="48">
        <f t="shared" si="83"/>
        <v>1</v>
      </c>
      <c r="BK147" s="48">
        <f t="shared" si="83"/>
        <v>1</v>
      </c>
      <c r="BL147" s="48">
        <f t="shared" si="83"/>
        <v>1</v>
      </c>
      <c r="BM147" s="48">
        <f t="shared" si="83"/>
        <v>1</v>
      </c>
      <c r="BN147" s="48">
        <f t="shared" si="83"/>
        <v>1</v>
      </c>
      <c r="BO147" s="32">
        <f t="shared" si="79"/>
        <v>0.83050847457627119</v>
      </c>
    </row>
    <row r="148" spans="1:67" s="27" customFormat="1" ht="18.75" customHeight="1" x14ac:dyDescent="0.25">
      <c r="A148" s="50" t="s">
        <v>302</v>
      </c>
      <c r="B148" s="50" t="s">
        <v>303</v>
      </c>
      <c r="C148" s="50" t="s">
        <v>117</v>
      </c>
      <c r="D148" s="51">
        <f>VLOOKUP(A148,'[1]Cuadro Control'!C173:J2078,8,FALSE)</f>
        <v>320494616.71764702</v>
      </c>
      <c r="E148" s="52">
        <f t="shared" si="82"/>
        <v>6.0369617599332674E-2</v>
      </c>
      <c r="F148" s="53">
        <v>46283</v>
      </c>
      <c r="G148" s="53">
        <v>46288</v>
      </c>
      <c r="H148" s="52">
        <f t="shared" si="83"/>
        <v>0</v>
      </c>
      <c r="I148" s="52">
        <f t="shared" si="83"/>
        <v>0</v>
      </c>
      <c r="J148" s="52">
        <f t="shared" si="83"/>
        <v>0</v>
      </c>
      <c r="K148" s="52">
        <f t="shared" si="83"/>
        <v>0</v>
      </c>
      <c r="L148" s="52">
        <f t="shared" si="83"/>
        <v>0</v>
      </c>
      <c r="M148" s="52">
        <f t="shared" si="83"/>
        <v>0</v>
      </c>
      <c r="N148" s="52">
        <f t="shared" si="83"/>
        <v>0</v>
      </c>
      <c r="O148" s="52">
        <f t="shared" si="83"/>
        <v>0</v>
      </c>
      <c r="P148" s="52">
        <f t="shared" si="83"/>
        <v>0</v>
      </c>
      <c r="Q148" s="52">
        <f t="shared" si="83"/>
        <v>0</v>
      </c>
      <c r="R148" s="52">
        <f t="shared" si="83"/>
        <v>0.16666666666666666</v>
      </c>
      <c r="S148" s="52">
        <f t="shared" si="83"/>
        <v>1</v>
      </c>
      <c r="T148" s="52">
        <f t="shared" si="83"/>
        <v>1</v>
      </c>
      <c r="U148" s="52">
        <f t="shared" si="83"/>
        <v>1</v>
      </c>
      <c r="V148" s="52">
        <f t="shared" si="83"/>
        <v>1</v>
      </c>
      <c r="W148" s="52">
        <f t="shared" si="83"/>
        <v>1</v>
      </c>
      <c r="X148" s="52">
        <f t="shared" si="83"/>
        <v>1</v>
      </c>
      <c r="Y148" s="52">
        <f t="shared" si="83"/>
        <v>1</v>
      </c>
      <c r="Z148" s="52">
        <f t="shared" si="83"/>
        <v>1</v>
      </c>
      <c r="AA148" s="52">
        <f t="shared" si="83"/>
        <v>1</v>
      </c>
      <c r="AB148" s="52">
        <f t="shared" si="83"/>
        <v>1</v>
      </c>
      <c r="AC148" s="52">
        <f t="shared" si="83"/>
        <v>1</v>
      </c>
      <c r="AD148" s="52">
        <f t="shared" si="83"/>
        <v>1</v>
      </c>
      <c r="AE148" s="52">
        <f t="shared" si="83"/>
        <v>1</v>
      </c>
      <c r="AF148" s="52">
        <f t="shared" si="83"/>
        <v>1</v>
      </c>
      <c r="AG148" s="52">
        <f t="shared" si="83"/>
        <v>1</v>
      </c>
      <c r="AH148" s="52">
        <f t="shared" si="83"/>
        <v>1</v>
      </c>
      <c r="AI148" s="52">
        <f t="shared" si="83"/>
        <v>1</v>
      </c>
      <c r="AJ148" s="52">
        <f t="shared" si="83"/>
        <v>1</v>
      </c>
      <c r="AK148" s="52">
        <f t="shared" si="83"/>
        <v>1</v>
      </c>
      <c r="AL148" s="52">
        <f t="shared" si="83"/>
        <v>1</v>
      </c>
      <c r="AM148" s="52">
        <f t="shared" si="83"/>
        <v>1</v>
      </c>
      <c r="AN148" s="52">
        <f t="shared" si="83"/>
        <v>1</v>
      </c>
      <c r="AO148" s="52">
        <f t="shared" si="83"/>
        <v>1</v>
      </c>
      <c r="AP148" s="52">
        <f t="shared" si="83"/>
        <v>1</v>
      </c>
      <c r="AQ148" s="52">
        <f t="shared" si="83"/>
        <v>1</v>
      </c>
      <c r="AR148" s="52">
        <f t="shared" si="83"/>
        <v>1</v>
      </c>
      <c r="AS148" s="52">
        <f t="shared" si="83"/>
        <v>1</v>
      </c>
      <c r="AT148" s="52">
        <f t="shared" si="83"/>
        <v>1</v>
      </c>
      <c r="AU148" s="52">
        <f t="shared" si="83"/>
        <v>1</v>
      </c>
      <c r="AV148" s="52">
        <f t="shared" si="83"/>
        <v>1</v>
      </c>
      <c r="AW148" s="52">
        <f t="shared" si="83"/>
        <v>1</v>
      </c>
      <c r="AX148" s="52">
        <f t="shared" si="83"/>
        <v>1</v>
      </c>
      <c r="AY148" s="52">
        <f t="shared" si="83"/>
        <v>1</v>
      </c>
      <c r="AZ148" s="52">
        <f t="shared" si="83"/>
        <v>1</v>
      </c>
      <c r="BA148" s="52">
        <f t="shared" si="83"/>
        <v>1</v>
      </c>
      <c r="BB148" s="52">
        <f t="shared" si="83"/>
        <v>1</v>
      </c>
      <c r="BC148" s="52">
        <f t="shared" si="83"/>
        <v>1</v>
      </c>
      <c r="BD148" s="52">
        <f t="shared" si="83"/>
        <v>1</v>
      </c>
      <c r="BE148" s="52">
        <f t="shared" si="83"/>
        <v>1</v>
      </c>
      <c r="BF148" s="52">
        <f t="shared" si="83"/>
        <v>1</v>
      </c>
      <c r="BG148" s="52">
        <f t="shared" si="83"/>
        <v>1</v>
      </c>
      <c r="BH148" s="52">
        <f t="shared" si="83"/>
        <v>1</v>
      </c>
      <c r="BI148" s="52">
        <f t="shared" si="83"/>
        <v>1</v>
      </c>
      <c r="BJ148" s="52">
        <f t="shared" si="83"/>
        <v>1</v>
      </c>
      <c r="BK148" s="52">
        <f t="shared" si="83"/>
        <v>1</v>
      </c>
      <c r="BL148" s="52">
        <f t="shared" si="83"/>
        <v>1</v>
      </c>
      <c r="BM148" s="52">
        <f t="shared" si="83"/>
        <v>1</v>
      </c>
      <c r="BN148" s="52">
        <f t="shared" si="83"/>
        <v>1</v>
      </c>
      <c r="BO148" s="32">
        <f t="shared" si="79"/>
        <v>0.81638418079096053</v>
      </c>
    </row>
    <row r="149" spans="1:67" s="27" customFormat="1" ht="18.75" customHeight="1" x14ac:dyDescent="0.25">
      <c r="A149" s="50" t="s">
        <v>304</v>
      </c>
      <c r="B149" s="50" t="s">
        <v>305</v>
      </c>
      <c r="C149" s="50" t="s">
        <v>111</v>
      </c>
      <c r="D149" s="51">
        <f>VLOOKUP(A149,'[1]Cuadro Control'!C174:J2079,8,FALSE)</f>
        <v>94303618.549411759</v>
      </c>
      <c r="E149" s="52">
        <f t="shared" si="82"/>
        <v>1.7763397864110998E-2</v>
      </c>
      <c r="F149" s="53">
        <v>46288</v>
      </c>
      <c r="G149" s="53">
        <v>46289</v>
      </c>
      <c r="H149" s="52">
        <f t="shared" si="83"/>
        <v>0</v>
      </c>
      <c r="I149" s="52">
        <f t="shared" si="83"/>
        <v>0</v>
      </c>
      <c r="J149" s="52">
        <f t="shared" si="83"/>
        <v>0</v>
      </c>
      <c r="K149" s="52">
        <f t="shared" si="83"/>
        <v>0</v>
      </c>
      <c r="L149" s="52">
        <f t="shared" si="83"/>
        <v>0</v>
      </c>
      <c r="M149" s="52">
        <f t="shared" si="83"/>
        <v>0</v>
      </c>
      <c r="N149" s="52">
        <f t="shared" si="83"/>
        <v>0</v>
      </c>
      <c r="O149" s="52">
        <f t="shared" si="83"/>
        <v>0</v>
      </c>
      <c r="P149" s="52">
        <f t="shared" si="83"/>
        <v>0</v>
      </c>
      <c r="Q149" s="52">
        <f t="shared" si="83"/>
        <v>0</v>
      </c>
      <c r="R149" s="52">
        <f t="shared" si="83"/>
        <v>0</v>
      </c>
      <c r="S149" s="52">
        <f t="shared" si="83"/>
        <v>1</v>
      </c>
      <c r="T149" s="52">
        <f t="shared" si="83"/>
        <v>1</v>
      </c>
      <c r="U149" s="52">
        <f t="shared" si="83"/>
        <v>1</v>
      </c>
      <c r="V149" s="52">
        <f t="shared" si="83"/>
        <v>1</v>
      </c>
      <c r="W149" s="52">
        <f t="shared" si="83"/>
        <v>1</v>
      </c>
      <c r="X149" s="52">
        <f t="shared" si="83"/>
        <v>1</v>
      </c>
      <c r="Y149" s="52">
        <f t="shared" si="83"/>
        <v>1</v>
      </c>
      <c r="Z149" s="52">
        <f t="shared" si="83"/>
        <v>1</v>
      </c>
      <c r="AA149" s="52">
        <f t="shared" ref="AA149:BF160" si="84">IF($F149=0,0,IF(AA$6&lt;$F149,0,IF(AA$6&gt;$G149,1,(AA$6-$F149+1)/($G149-$F149+1))))</f>
        <v>1</v>
      </c>
      <c r="AB149" s="52">
        <f t="shared" si="84"/>
        <v>1</v>
      </c>
      <c r="AC149" s="52">
        <f t="shared" si="84"/>
        <v>1</v>
      </c>
      <c r="AD149" s="52">
        <f t="shared" si="84"/>
        <v>1</v>
      </c>
      <c r="AE149" s="52">
        <f t="shared" si="84"/>
        <v>1</v>
      </c>
      <c r="AF149" s="52">
        <f t="shared" si="84"/>
        <v>1</v>
      </c>
      <c r="AG149" s="52">
        <f t="shared" si="84"/>
        <v>1</v>
      </c>
      <c r="AH149" s="52">
        <f t="shared" si="84"/>
        <v>1</v>
      </c>
      <c r="AI149" s="52">
        <f t="shared" si="84"/>
        <v>1</v>
      </c>
      <c r="AJ149" s="52">
        <f t="shared" si="84"/>
        <v>1</v>
      </c>
      <c r="AK149" s="52">
        <f t="shared" si="84"/>
        <v>1</v>
      </c>
      <c r="AL149" s="52">
        <f t="shared" si="84"/>
        <v>1</v>
      </c>
      <c r="AM149" s="52">
        <f t="shared" si="84"/>
        <v>1</v>
      </c>
      <c r="AN149" s="52">
        <f t="shared" si="84"/>
        <v>1</v>
      </c>
      <c r="AO149" s="52">
        <f t="shared" si="84"/>
        <v>1</v>
      </c>
      <c r="AP149" s="52">
        <f t="shared" si="84"/>
        <v>1</v>
      </c>
      <c r="AQ149" s="52">
        <f t="shared" si="84"/>
        <v>1</v>
      </c>
      <c r="AR149" s="52">
        <f t="shared" si="84"/>
        <v>1</v>
      </c>
      <c r="AS149" s="52">
        <f t="shared" si="84"/>
        <v>1</v>
      </c>
      <c r="AT149" s="52">
        <f t="shared" si="84"/>
        <v>1</v>
      </c>
      <c r="AU149" s="52">
        <f t="shared" si="84"/>
        <v>1</v>
      </c>
      <c r="AV149" s="52">
        <f t="shared" si="84"/>
        <v>1</v>
      </c>
      <c r="AW149" s="52">
        <f t="shared" si="84"/>
        <v>1</v>
      </c>
      <c r="AX149" s="52">
        <f t="shared" si="84"/>
        <v>1</v>
      </c>
      <c r="AY149" s="52">
        <f t="shared" si="84"/>
        <v>1</v>
      </c>
      <c r="AZ149" s="52">
        <f t="shared" si="84"/>
        <v>1</v>
      </c>
      <c r="BA149" s="52">
        <f t="shared" si="84"/>
        <v>1</v>
      </c>
      <c r="BB149" s="52">
        <f t="shared" si="84"/>
        <v>1</v>
      </c>
      <c r="BC149" s="52">
        <f t="shared" si="84"/>
        <v>1</v>
      </c>
      <c r="BD149" s="52">
        <f t="shared" si="84"/>
        <v>1</v>
      </c>
      <c r="BE149" s="52">
        <f t="shared" si="84"/>
        <v>1</v>
      </c>
      <c r="BF149" s="52">
        <f t="shared" si="84"/>
        <v>1</v>
      </c>
      <c r="BG149" s="52">
        <f t="shared" ref="BG149:BN160" si="85">IF($F149=0,0,IF(BG$6&lt;$F149,0,IF(BG$6&gt;$G149,1,(BG$6-$F149+1)/($G149-$F149+1))))</f>
        <v>1</v>
      </c>
      <c r="BH149" s="52">
        <f t="shared" si="85"/>
        <v>1</v>
      </c>
      <c r="BI149" s="52">
        <f t="shared" si="85"/>
        <v>1</v>
      </c>
      <c r="BJ149" s="52">
        <f t="shared" si="85"/>
        <v>1</v>
      </c>
      <c r="BK149" s="52">
        <f t="shared" si="85"/>
        <v>1</v>
      </c>
      <c r="BL149" s="52">
        <f t="shared" si="85"/>
        <v>1</v>
      </c>
      <c r="BM149" s="52">
        <f t="shared" si="85"/>
        <v>1</v>
      </c>
      <c r="BN149" s="52">
        <f t="shared" si="85"/>
        <v>1</v>
      </c>
      <c r="BO149" s="32">
        <f t="shared" si="79"/>
        <v>0.81355932203389836</v>
      </c>
    </row>
    <row r="150" spans="1:67" s="27" customFormat="1" ht="18.75" customHeight="1" x14ac:dyDescent="0.25">
      <c r="A150" s="50" t="s">
        <v>306</v>
      </c>
      <c r="B150" s="50" t="s">
        <v>307</v>
      </c>
      <c r="C150" s="50" t="s">
        <v>238</v>
      </c>
      <c r="D150" s="51">
        <f>VLOOKUP(A150,'[1]Cuadro Control'!C175:J2080,8,FALSE)</f>
        <v>179436034.15411764</v>
      </c>
      <c r="E150" s="52">
        <f t="shared" si="82"/>
        <v>3.3799272126209236E-2</v>
      </c>
      <c r="F150" s="53">
        <v>46289</v>
      </c>
      <c r="G150" s="53">
        <v>46295</v>
      </c>
      <c r="H150" s="52">
        <f t="shared" ref="H150:W160" si="86">IF($F150=0,0,IF(H$6&lt;$F150,0,IF(H$6&gt;$G150,1,(H$6-$F150+1)/($G150-$F150+1))))</f>
        <v>0</v>
      </c>
      <c r="I150" s="52">
        <f t="shared" si="86"/>
        <v>0</v>
      </c>
      <c r="J150" s="52">
        <f t="shared" si="86"/>
        <v>0</v>
      </c>
      <c r="K150" s="52">
        <f t="shared" si="86"/>
        <v>0</v>
      </c>
      <c r="L150" s="52">
        <f t="shared" si="86"/>
        <v>0</v>
      </c>
      <c r="M150" s="52">
        <f t="shared" si="86"/>
        <v>0</v>
      </c>
      <c r="N150" s="52">
        <f t="shared" si="86"/>
        <v>0</v>
      </c>
      <c r="O150" s="52">
        <f t="shared" si="86"/>
        <v>0</v>
      </c>
      <c r="P150" s="52">
        <f t="shared" si="86"/>
        <v>0</v>
      </c>
      <c r="Q150" s="52">
        <f t="shared" si="86"/>
        <v>0</v>
      </c>
      <c r="R150" s="52">
        <f t="shared" si="86"/>
        <v>0</v>
      </c>
      <c r="S150" s="52">
        <f t="shared" si="86"/>
        <v>0.2857142857142857</v>
      </c>
      <c r="T150" s="52">
        <f t="shared" si="86"/>
        <v>1</v>
      </c>
      <c r="U150" s="52">
        <f t="shared" si="86"/>
        <v>1</v>
      </c>
      <c r="V150" s="52">
        <f t="shared" si="86"/>
        <v>1</v>
      </c>
      <c r="W150" s="52">
        <f t="shared" si="86"/>
        <v>1</v>
      </c>
      <c r="X150" s="52">
        <f t="shared" ref="X150:BC160" si="87">IF($F150=0,0,IF(X$6&lt;$F150,0,IF(X$6&gt;$G150,1,(X$6-$F150+1)/($G150-$F150+1))))</f>
        <v>1</v>
      </c>
      <c r="Y150" s="52">
        <f t="shared" si="87"/>
        <v>1</v>
      </c>
      <c r="Z150" s="52">
        <f t="shared" si="87"/>
        <v>1</v>
      </c>
      <c r="AA150" s="52">
        <f t="shared" si="87"/>
        <v>1</v>
      </c>
      <c r="AB150" s="52">
        <f t="shared" si="87"/>
        <v>1</v>
      </c>
      <c r="AC150" s="52">
        <f t="shared" si="87"/>
        <v>1</v>
      </c>
      <c r="AD150" s="52">
        <f t="shared" si="87"/>
        <v>1</v>
      </c>
      <c r="AE150" s="52">
        <f t="shared" si="87"/>
        <v>1</v>
      </c>
      <c r="AF150" s="52">
        <f t="shared" si="87"/>
        <v>1</v>
      </c>
      <c r="AG150" s="52">
        <f t="shared" si="87"/>
        <v>1</v>
      </c>
      <c r="AH150" s="52">
        <f t="shared" si="87"/>
        <v>1</v>
      </c>
      <c r="AI150" s="52">
        <f t="shared" si="87"/>
        <v>1</v>
      </c>
      <c r="AJ150" s="52">
        <f t="shared" si="87"/>
        <v>1</v>
      </c>
      <c r="AK150" s="52">
        <f t="shared" si="87"/>
        <v>1</v>
      </c>
      <c r="AL150" s="52">
        <f t="shared" si="87"/>
        <v>1</v>
      </c>
      <c r="AM150" s="52">
        <f t="shared" si="87"/>
        <v>1</v>
      </c>
      <c r="AN150" s="52">
        <f t="shared" si="87"/>
        <v>1</v>
      </c>
      <c r="AO150" s="52">
        <f t="shared" si="84"/>
        <v>1</v>
      </c>
      <c r="AP150" s="52">
        <f t="shared" si="84"/>
        <v>1</v>
      </c>
      <c r="AQ150" s="52">
        <f t="shared" si="84"/>
        <v>1</v>
      </c>
      <c r="AR150" s="52">
        <f t="shared" si="84"/>
        <v>1</v>
      </c>
      <c r="AS150" s="52">
        <f t="shared" si="84"/>
        <v>1</v>
      </c>
      <c r="AT150" s="52">
        <f t="shared" si="84"/>
        <v>1</v>
      </c>
      <c r="AU150" s="52">
        <f t="shared" si="84"/>
        <v>1</v>
      </c>
      <c r="AV150" s="52">
        <f t="shared" si="84"/>
        <v>1</v>
      </c>
      <c r="AW150" s="52">
        <f t="shared" si="84"/>
        <v>1</v>
      </c>
      <c r="AX150" s="52">
        <f t="shared" si="84"/>
        <v>1</v>
      </c>
      <c r="AY150" s="52">
        <f t="shared" si="84"/>
        <v>1</v>
      </c>
      <c r="AZ150" s="52">
        <f t="shared" si="84"/>
        <v>1</v>
      </c>
      <c r="BA150" s="52">
        <f t="shared" si="84"/>
        <v>1</v>
      </c>
      <c r="BB150" s="52">
        <f t="shared" si="84"/>
        <v>1</v>
      </c>
      <c r="BC150" s="52">
        <f t="shared" si="84"/>
        <v>1</v>
      </c>
      <c r="BD150" s="52">
        <f t="shared" si="84"/>
        <v>1</v>
      </c>
      <c r="BE150" s="52">
        <f t="shared" si="84"/>
        <v>1</v>
      </c>
      <c r="BF150" s="52">
        <f t="shared" si="84"/>
        <v>1</v>
      </c>
      <c r="BG150" s="52">
        <f t="shared" si="85"/>
        <v>1</v>
      </c>
      <c r="BH150" s="52">
        <f t="shared" si="85"/>
        <v>1</v>
      </c>
      <c r="BI150" s="52">
        <f t="shared" si="85"/>
        <v>1</v>
      </c>
      <c r="BJ150" s="52">
        <f t="shared" si="85"/>
        <v>1</v>
      </c>
      <c r="BK150" s="52">
        <f t="shared" si="85"/>
        <v>1</v>
      </c>
      <c r="BL150" s="52">
        <f t="shared" si="85"/>
        <v>1</v>
      </c>
      <c r="BM150" s="52">
        <f t="shared" si="85"/>
        <v>1</v>
      </c>
      <c r="BN150" s="52">
        <f t="shared" si="85"/>
        <v>1</v>
      </c>
      <c r="BO150" s="32">
        <f t="shared" si="79"/>
        <v>0.801452784503632</v>
      </c>
    </row>
    <row r="151" spans="1:67" s="27" customFormat="1" ht="18.75" customHeight="1" x14ac:dyDescent="0.25">
      <c r="A151" s="50" t="s">
        <v>308</v>
      </c>
      <c r="B151" s="50" t="s">
        <v>309</v>
      </c>
      <c r="C151" s="50" t="s">
        <v>58</v>
      </c>
      <c r="D151" s="51">
        <f>VLOOKUP(A151,'[1]Cuadro Control'!C176:J2081,8,FALSE)</f>
        <v>1212623361.2117648</v>
      </c>
      <c r="E151" s="52">
        <f t="shared" si="82"/>
        <v>0.22841447185013161</v>
      </c>
      <c r="F151" s="53">
        <v>46295</v>
      </c>
      <c r="G151" s="53">
        <v>46311</v>
      </c>
      <c r="H151" s="52">
        <f t="shared" si="86"/>
        <v>0</v>
      </c>
      <c r="I151" s="52">
        <f t="shared" si="86"/>
        <v>0</v>
      </c>
      <c r="J151" s="52">
        <f t="shared" si="86"/>
        <v>0</v>
      </c>
      <c r="K151" s="52">
        <f t="shared" si="86"/>
        <v>0</v>
      </c>
      <c r="L151" s="52">
        <f t="shared" si="86"/>
        <v>0</v>
      </c>
      <c r="M151" s="52">
        <f t="shared" si="86"/>
        <v>0</v>
      </c>
      <c r="N151" s="52">
        <f t="shared" si="86"/>
        <v>0</v>
      </c>
      <c r="O151" s="52">
        <f t="shared" si="86"/>
        <v>0</v>
      </c>
      <c r="P151" s="52">
        <f t="shared" si="86"/>
        <v>0</v>
      </c>
      <c r="Q151" s="52">
        <f t="shared" si="86"/>
        <v>0</v>
      </c>
      <c r="R151" s="52">
        <f t="shared" si="86"/>
        <v>0</v>
      </c>
      <c r="S151" s="52">
        <f t="shared" si="86"/>
        <v>0</v>
      </c>
      <c r="T151" s="52">
        <f t="shared" si="86"/>
        <v>0.17647058823529413</v>
      </c>
      <c r="U151" s="52">
        <f t="shared" si="86"/>
        <v>0.58823529411764708</v>
      </c>
      <c r="V151" s="52">
        <f t="shared" si="86"/>
        <v>1</v>
      </c>
      <c r="W151" s="52">
        <f t="shared" si="86"/>
        <v>1</v>
      </c>
      <c r="X151" s="52">
        <f t="shared" si="87"/>
        <v>1</v>
      </c>
      <c r="Y151" s="52">
        <f t="shared" si="87"/>
        <v>1</v>
      </c>
      <c r="Z151" s="52">
        <f t="shared" si="87"/>
        <v>1</v>
      </c>
      <c r="AA151" s="52">
        <f t="shared" si="87"/>
        <v>1</v>
      </c>
      <c r="AB151" s="52">
        <f t="shared" si="87"/>
        <v>1</v>
      </c>
      <c r="AC151" s="52">
        <f t="shared" si="87"/>
        <v>1</v>
      </c>
      <c r="AD151" s="52">
        <f t="shared" si="87"/>
        <v>1</v>
      </c>
      <c r="AE151" s="52">
        <f t="shared" si="87"/>
        <v>1</v>
      </c>
      <c r="AF151" s="52">
        <f t="shared" si="87"/>
        <v>1</v>
      </c>
      <c r="AG151" s="52">
        <f t="shared" si="87"/>
        <v>1</v>
      </c>
      <c r="AH151" s="52">
        <f t="shared" si="87"/>
        <v>1</v>
      </c>
      <c r="AI151" s="52">
        <f t="shared" si="87"/>
        <v>1</v>
      </c>
      <c r="AJ151" s="52">
        <f t="shared" si="87"/>
        <v>1</v>
      </c>
      <c r="AK151" s="52">
        <f t="shared" si="87"/>
        <v>1</v>
      </c>
      <c r="AL151" s="52">
        <f t="shared" si="87"/>
        <v>1</v>
      </c>
      <c r="AM151" s="52">
        <f t="shared" si="87"/>
        <v>1</v>
      </c>
      <c r="AN151" s="52">
        <f t="shared" si="87"/>
        <v>1</v>
      </c>
      <c r="AO151" s="52">
        <f t="shared" si="84"/>
        <v>1</v>
      </c>
      <c r="AP151" s="52">
        <f t="shared" si="84"/>
        <v>1</v>
      </c>
      <c r="AQ151" s="52">
        <f t="shared" si="84"/>
        <v>1</v>
      </c>
      <c r="AR151" s="52">
        <f t="shared" si="84"/>
        <v>1</v>
      </c>
      <c r="AS151" s="52">
        <f t="shared" si="84"/>
        <v>1</v>
      </c>
      <c r="AT151" s="52">
        <f t="shared" si="84"/>
        <v>1</v>
      </c>
      <c r="AU151" s="52">
        <f t="shared" si="84"/>
        <v>1</v>
      </c>
      <c r="AV151" s="52">
        <f t="shared" si="84"/>
        <v>1</v>
      </c>
      <c r="AW151" s="52">
        <f t="shared" si="84"/>
        <v>1</v>
      </c>
      <c r="AX151" s="52">
        <f t="shared" si="84"/>
        <v>1</v>
      </c>
      <c r="AY151" s="52">
        <f t="shared" si="84"/>
        <v>1</v>
      </c>
      <c r="AZ151" s="52">
        <f t="shared" si="84"/>
        <v>1</v>
      </c>
      <c r="BA151" s="52">
        <f t="shared" si="84"/>
        <v>1</v>
      </c>
      <c r="BB151" s="52">
        <f t="shared" si="84"/>
        <v>1</v>
      </c>
      <c r="BC151" s="52">
        <f t="shared" si="84"/>
        <v>1</v>
      </c>
      <c r="BD151" s="52">
        <f t="shared" si="84"/>
        <v>1</v>
      </c>
      <c r="BE151" s="52">
        <f t="shared" si="84"/>
        <v>1</v>
      </c>
      <c r="BF151" s="52">
        <f t="shared" si="84"/>
        <v>1</v>
      </c>
      <c r="BG151" s="52">
        <f t="shared" si="85"/>
        <v>1</v>
      </c>
      <c r="BH151" s="52">
        <f t="shared" si="85"/>
        <v>1</v>
      </c>
      <c r="BI151" s="52">
        <f t="shared" si="85"/>
        <v>1</v>
      </c>
      <c r="BJ151" s="52">
        <f t="shared" si="85"/>
        <v>1</v>
      </c>
      <c r="BK151" s="52">
        <f t="shared" si="85"/>
        <v>1</v>
      </c>
      <c r="BL151" s="52">
        <f t="shared" si="85"/>
        <v>1</v>
      </c>
      <c r="BM151" s="52">
        <f t="shared" si="85"/>
        <v>1</v>
      </c>
      <c r="BN151" s="52">
        <f t="shared" si="85"/>
        <v>1</v>
      </c>
      <c r="BO151" s="32">
        <f t="shared" si="79"/>
        <v>0.77567298105682958</v>
      </c>
    </row>
    <row r="152" spans="1:67" s="27" customFormat="1" ht="18.75" customHeight="1" x14ac:dyDescent="0.25">
      <c r="A152" s="50" t="s">
        <v>310</v>
      </c>
      <c r="B152" s="50" t="s">
        <v>311</v>
      </c>
      <c r="C152" s="50" t="s">
        <v>126</v>
      </c>
      <c r="D152" s="51">
        <f>VLOOKUP(A152,'[1]Cuadro Control'!C177:J2082,8,FALSE)</f>
        <v>0</v>
      </c>
      <c r="E152" s="52">
        <f t="shared" si="82"/>
        <v>0</v>
      </c>
      <c r="F152" s="53">
        <v>46311</v>
      </c>
      <c r="G152" s="53">
        <v>46315</v>
      </c>
      <c r="H152" s="52">
        <f t="shared" si="86"/>
        <v>0</v>
      </c>
      <c r="I152" s="52">
        <f t="shared" si="86"/>
        <v>0</v>
      </c>
      <c r="J152" s="52">
        <f t="shared" si="86"/>
        <v>0</v>
      </c>
      <c r="K152" s="52">
        <f t="shared" si="86"/>
        <v>0</v>
      </c>
      <c r="L152" s="52">
        <f t="shared" si="86"/>
        <v>0</v>
      </c>
      <c r="M152" s="52">
        <f t="shared" si="86"/>
        <v>0</v>
      </c>
      <c r="N152" s="52">
        <f t="shared" si="86"/>
        <v>0</v>
      </c>
      <c r="O152" s="52">
        <f t="shared" si="86"/>
        <v>0</v>
      </c>
      <c r="P152" s="52">
        <f t="shared" si="86"/>
        <v>0</v>
      </c>
      <c r="Q152" s="52">
        <f t="shared" si="86"/>
        <v>0</v>
      </c>
      <c r="R152" s="52">
        <f t="shared" si="86"/>
        <v>0</v>
      </c>
      <c r="S152" s="52">
        <f t="shared" si="86"/>
        <v>0</v>
      </c>
      <c r="T152" s="52">
        <f t="shared" si="86"/>
        <v>0</v>
      </c>
      <c r="U152" s="52">
        <f t="shared" si="86"/>
        <v>0</v>
      </c>
      <c r="V152" s="52">
        <f t="shared" si="86"/>
        <v>0.2</v>
      </c>
      <c r="W152" s="52">
        <f t="shared" si="86"/>
        <v>1</v>
      </c>
      <c r="X152" s="52">
        <f t="shared" si="87"/>
        <v>1</v>
      </c>
      <c r="Y152" s="52">
        <f t="shared" si="87"/>
        <v>1</v>
      </c>
      <c r="Z152" s="52">
        <f t="shared" si="87"/>
        <v>1</v>
      </c>
      <c r="AA152" s="52">
        <f t="shared" si="87"/>
        <v>1</v>
      </c>
      <c r="AB152" s="52">
        <f t="shared" si="87"/>
        <v>1</v>
      </c>
      <c r="AC152" s="52">
        <f t="shared" si="87"/>
        <v>1</v>
      </c>
      <c r="AD152" s="52">
        <f t="shared" si="87"/>
        <v>1</v>
      </c>
      <c r="AE152" s="52">
        <f t="shared" si="87"/>
        <v>1</v>
      </c>
      <c r="AF152" s="52">
        <f t="shared" si="87"/>
        <v>1</v>
      </c>
      <c r="AG152" s="52">
        <f t="shared" si="87"/>
        <v>1</v>
      </c>
      <c r="AH152" s="52">
        <f t="shared" si="87"/>
        <v>1</v>
      </c>
      <c r="AI152" s="52">
        <f t="shared" si="87"/>
        <v>1</v>
      </c>
      <c r="AJ152" s="52">
        <f t="shared" si="87"/>
        <v>1</v>
      </c>
      <c r="AK152" s="52">
        <f t="shared" si="87"/>
        <v>1</v>
      </c>
      <c r="AL152" s="52">
        <f t="shared" si="87"/>
        <v>1</v>
      </c>
      <c r="AM152" s="52">
        <f t="shared" si="87"/>
        <v>1</v>
      </c>
      <c r="AN152" s="52">
        <f t="shared" si="87"/>
        <v>1</v>
      </c>
      <c r="AO152" s="52">
        <f t="shared" si="84"/>
        <v>1</v>
      </c>
      <c r="AP152" s="52">
        <f t="shared" si="84"/>
        <v>1</v>
      </c>
      <c r="AQ152" s="52">
        <f t="shared" si="84"/>
        <v>1</v>
      </c>
      <c r="AR152" s="52">
        <f t="shared" si="84"/>
        <v>1</v>
      </c>
      <c r="AS152" s="52">
        <f t="shared" si="84"/>
        <v>1</v>
      </c>
      <c r="AT152" s="52">
        <f t="shared" si="84"/>
        <v>1</v>
      </c>
      <c r="AU152" s="52">
        <f t="shared" si="84"/>
        <v>1</v>
      </c>
      <c r="AV152" s="52">
        <f t="shared" si="84"/>
        <v>1</v>
      </c>
      <c r="AW152" s="52">
        <f t="shared" si="84"/>
        <v>1</v>
      </c>
      <c r="AX152" s="52">
        <f t="shared" si="84"/>
        <v>1</v>
      </c>
      <c r="AY152" s="52">
        <f t="shared" si="84"/>
        <v>1</v>
      </c>
      <c r="AZ152" s="52">
        <f t="shared" si="84"/>
        <v>1</v>
      </c>
      <c r="BA152" s="52">
        <f t="shared" si="84"/>
        <v>1</v>
      </c>
      <c r="BB152" s="52">
        <f t="shared" si="84"/>
        <v>1</v>
      </c>
      <c r="BC152" s="52">
        <f t="shared" si="84"/>
        <v>1</v>
      </c>
      <c r="BD152" s="52">
        <f t="shared" si="84"/>
        <v>1</v>
      </c>
      <c r="BE152" s="52">
        <f t="shared" si="84"/>
        <v>1</v>
      </c>
      <c r="BF152" s="52">
        <f t="shared" si="84"/>
        <v>1</v>
      </c>
      <c r="BG152" s="52">
        <f t="shared" si="85"/>
        <v>1</v>
      </c>
      <c r="BH152" s="52">
        <f t="shared" si="85"/>
        <v>1</v>
      </c>
      <c r="BI152" s="52">
        <f t="shared" si="85"/>
        <v>1</v>
      </c>
      <c r="BJ152" s="52">
        <f t="shared" si="85"/>
        <v>1</v>
      </c>
      <c r="BK152" s="52">
        <f t="shared" si="85"/>
        <v>1</v>
      </c>
      <c r="BL152" s="52">
        <f t="shared" si="85"/>
        <v>1</v>
      </c>
      <c r="BM152" s="52">
        <f t="shared" si="85"/>
        <v>1</v>
      </c>
      <c r="BN152" s="52">
        <f t="shared" si="85"/>
        <v>1</v>
      </c>
      <c r="BO152" s="32">
        <f t="shared" si="79"/>
        <v>0.74915254237288142</v>
      </c>
    </row>
    <row r="153" spans="1:67" s="27" customFormat="1" ht="18.75" customHeight="1" x14ac:dyDescent="0.25">
      <c r="A153" s="55" t="s">
        <v>312</v>
      </c>
      <c r="B153" s="55" t="s">
        <v>313</v>
      </c>
      <c r="C153" s="55" t="s">
        <v>14</v>
      </c>
      <c r="D153" s="56">
        <f>VLOOKUP(A153,'[1]Cuadro Control'!C178:J2083,8,FALSE)</f>
        <v>0</v>
      </c>
      <c r="E153" s="57">
        <f t="shared" si="82"/>
        <v>0</v>
      </c>
      <c r="F153" s="58">
        <v>46311</v>
      </c>
      <c r="G153" s="58">
        <v>46311</v>
      </c>
      <c r="H153" s="57">
        <f t="shared" si="86"/>
        <v>0</v>
      </c>
      <c r="I153" s="57">
        <f t="shared" si="86"/>
        <v>0</v>
      </c>
      <c r="J153" s="57">
        <f t="shared" si="86"/>
        <v>0</v>
      </c>
      <c r="K153" s="57">
        <f t="shared" si="86"/>
        <v>0</v>
      </c>
      <c r="L153" s="57">
        <f t="shared" si="86"/>
        <v>0</v>
      </c>
      <c r="M153" s="57">
        <f t="shared" si="86"/>
        <v>0</v>
      </c>
      <c r="N153" s="57">
        <f t="shared" si="86"/>
        <v>0</v>
      </c>
      <c r="O153" s="57">
        <f t="shared" si="86"/>
        <v>0</v>
      </c>
      <c r="P153" s="57">
        <f t="shared" si="86"/>
        <v>0</v>
      </c>
      <c r="Q153" s="57">
        <f t="shared" si="86"/>
        <v>0</v>
      </c>
      <c r="R153" s="57">
        <f t="shared" si="86"/>
        <v>0</v>
      </c>
      <c r="S153" s="57">
        <f t="shared" si="86"/>
        <v>0</v>
      </c>
      <c r="T153" s="57">
        <f t="shared" si="86"/>
        <v>0</v>
      </c>
      <c r="U153" s="57">
        <f t="shared" si="86"/>
        <v>0</v>
      </c>
      <c r="V153" s="57">
        <f t="shared" si="86"/>
        <v>1</v>
      </c>
      <c r="W153" s="57">
        <f t="shared" si="86"/>
        <v>1</v>
      </c>
      <c r="X153" s="57">
        <f t="shared" si="87"/>
        <v>1</v>
      </c>
      <c r="Y153" s="57">
        <f t="shared" si="87"/>
        <v>1</v>
      </c>
      <c r="Z153" s="57">
        <f t="shared" si="87"/>
        <v>1</v>
      </c>
      <c r="AA153" s="57">
        <f t="shared" si="87"/>
        <v>1</v>
      </c>
      <c r="AB153" s="57">
        <f t="shared" si="87"/>
        <v>1</v>
      </c>
      <c r="AC153" s="57">
        <f t="shared" si="87"/>
        <v>1</v>
      </c>
      <c r="AD153" s="57">
        <f t="shared" si="87"/>
        <v>1</v>
      </c>
      <c r="AE153" s="57">
        <f t="shared" si="87"/>
        <v>1</v>
      </c>
      <c r="AF153" s="57">
        <f t="shared" si="87"/>
        <v>1</v>
      </c>
      <c r="AG153" s="57">
        <f t="shared" si="87"/>
        <v>1</v>
      </c>
      <c r="AH153" s="57">
        <f t="shared" si="87"/>
        <v>1</v>
      </c>
      <c r="AI153" s="57">
        <f t="shared" si="87"/>
        <v>1</v>
      </c>
      <c r="AJ153" s="57">
        <f t="shared" si="87"/>
        <v>1</v>
      </c>
      <c r="AK153" s="57">
        <f t="shared" si="87"/>
        <v>1</v>
      </c>
      <c r="AL153" s="57">
        <f t="shared" si="87"/>
        <v>1</v>
      </c>
      <c r="AM153" s="57">
        <f t="shared" si="87"/>
        <v>1</v>
      </c>
      <c r="AN153" s="57">
        <f t="shared" si="87"/>
        <v>1</v>
      </c>
      <c r="AO153" s="57">
        <f t="shared" si="84"/>
        <v>1</v>
      </c>
      <c r="AP153" s="57">
        <f t="shared" si="84"/>
        <v>1</v>
      </c>
      <c r="AQ153" s="57">
        <f t="shared" si="84"/>
        <v>1</v>
      </c>
      <c r="AR153" s="57">
        <f t="shared" si="84"/>
        <v>1</v>
      </c>
      <c r="AS153" s="57">
        <f t="shared" si="84"/>
        <v>1</v>
      </c>
      <c r="AT153" s="57">
        <f t="shared" si="84"/>
        <v>1</v>
      </c>
      <c r="AU153" s="57">
        <f t="shared" si="84"/>
        <v>1</v>
      </c>
      <c r="AV153" s="57">
        <f t="shared" si="84"/>
        <v>1</v>
      </c>
      <c r="AW153" s="57">
        <f t="shared" si="84"/>
        <v>1</v>
      </c>
      <c r="AX153" s="57">
        <f t="shared" si="84"/>
        <v>1</v>
      </c>
      <c r="AY153" s="57">
        <f t="shared" si="84"/>
        <v>1</v>
      </c>
      <c r="AZ153" s="57">
        <f t="shared" si="84"/>
        <v>1</v>
      </c>
      <c r="BA153" s="57">
        <f t="shared" si="84"/>
        <v>1</v>
      </c>
      <c r="BB153" s="57">
        <f t="shared" si="84"/>
        <v>1</v>
      </c>
      <c r="BC153" s="57">
        <f t="shared" si="84"/>
        <v>1</v>
      </c>
      <c r="BD153" s="57">
        <f t="shared" si="84"/>
        <v>1</v>
      </c>
      <c r="BE153" s="57">
        <f t="shared" si="84"/>
        <v>1</v>
      </c>
      <c r="BF153" s="57">
        <f t="shared" si="84"/>
        <v>1</v>
      </c>
      <c r="BG153" s="57">
        <f t="shared" si="85"/>
        <v>1</v>
      </c>
      <c r="BH153" s="57">
        <f t="shared" si="85"/>
        <v>1</v>
      </c>
      <c r="BI153" s="57">
        <f t="shared" si="85"/>
        <v>1</v>
      </c>
      <c r="BJ153" s="57">
        <f t="shared" si="85"/>
        <v>1</v>
      </c>
      <c r="BK153" s="57">
        <f t="shared" si="85"/>
        <v>1</v>
      </c>
      <c r="BL153" s="57">
        <f t="shared" si="85"/>
        <v>1</v>
      </c>
      <c r="BM153" s="57">
        <f t="shared" si="85"/>
        <v>1</v>
      </c>
      <c r="BN153" s="57">
        <f t="shared" si="85"/>
        <v>1</v>
      </c>
      <c r="BO153" s="32">
        <f t="shared" si="79"/>
        <v>0.76271186440677963</v>
      </c>
    </row>
    <row r="154" spans="1:67" s="27" customFormat="1" ht="18.75" customHeight="1" x14ac:dyDescent="0.25">
      <c r="A154" s="50" t="s">
        <v>314</v>
      </c>
      <c r="B154" s="50" t="s">
        <v>315</v>
      </c>
      <c r="C154" s="50" t="s">
        <v>111</v>
      </c>
      <c r="D154" s="51">
        <f>VLOOKUP(A154,'[1]Cuadro Control'!C179:J2084,8,FALSE)</f>
        <v>1230815225.9452939</v>
      </c>
      <c r="E154" s="52">
        <f t="shared" si="82"/>
        <v>0.2318411625341423</v>
      </c>
      <c r="F154" s="53">
        <v>46315</v>
      </c>
      <c r="G154" s="53">
        <v>46316</v>
      </c>
      <c r="H154" s="52">
        <f t="shared" si="86"/>
        <v>0</v>
      </c>
      <c r="I154" s="52">
        <f t="shared" si="86"/>
        <v>0</v>
      </c>
      <c r="J154" s="52">
        <f t="shared" si="86"/>
        <v>0</v>
      </c>
      <c r="K154" s="52">
        <f t="shared" si="86"/>
        <v>0</v>
      </c>
      <c r="L154" s="52">
        <f t="shared" si="86"/>
        <v>0</v>
      </c>
      <c r="M154" s="52">
        <f t="shared" si="86"/>
        <v>0</v>
      </c>
      <c r="N154" s="52">
        <f t="shared" si="86"/>
        <v>0</v>
      </c>
      <c r="O154" s="52">
        <f t="shared" si="86"/>
        <v>0</v>
      </c>
      <c r="P154" s="52">
        <f t="shared" si="86"/>
        <v>0</v>
      </c>
      <c r="Q154" s="52">
        <f t="shared" si="86"/>
        <v>0</v>
      </c>
      <c r="R154" s="52">
        <f t="shared" si="86"/>
        <v>0</v>
      </c>
      <c r="S154" s="52">
        <f t="shared" si="86"/>
        <v>0</v>
      </c>
      <c r="T154" s="52">
        <f t="shared" si="86"/>
        <v>0</v>
      </c>
      <c r="U154" s="52">
        <f t="shared" si="86"/>
        <v>0</v>
      </c>
      <c r="V154" s="52">
        <f t="shared" si="86"/>
        <v>0</v>
      </c>
      <c r="W154" s="52">
        <f t="shared" si="86"/>
        <v>1</v>
      </c>
      <c r="X154" s="52">
        <f t="shared" si="87"/>
        <v>1</v>
      </c>
      <c r="Y154" s="52">
        <f t="shared" si="87"/>
        <v>1</v>
      </c>
      <c r="Z154" s="52">
        <f t="shared" si="87"/>
        <v>1</v>
      </c>
      <c r="AA154" s="52">
        <f t="shared" si="87"/>
        <v>1</v>
      </c>
      <c r="AB154" s="52">
        <f t="shared" si="87"/>
        <v>1</v>
      </c>
      <c r="AC154" s="52">
        <f t="shared" si="87"/>
        <v>1</v>
      </c>
      <c r="AD154" s="52">
        <f t="shared" si="87"/>
        <v>1</v>
      </c>
      <c r="AE154" s="52">
        <f t="shared" si="87"/>
        <v>1</v>
      </c>
      <c r="AF154" s="52">
        <f t="shared" si="87"/>
        <v>1</v>
      </c>
      <c r="AG154" s="52">
        <f t="shared" si="87"/>
        <v>1</v>
      </c>
      <c r="AH154" s="52">
        <f t="shared" si="87"/>
        <v>1</v>
      </c>
      <c r="AI154" s="52">
        <f t="shared" si="87"/>
        <v>1</v>
      </c>
      <c r="AJ154" s="52">
        <f t="shared" si="87"/>
        <v>1</v>
      </c>
      <c r="AK154" s="52">
        <f t="shared" si="87"/>
        <v>1</v>
      </c>
      <c r="AL154" s="52">
        <f t="shared" si="87"/>
        <v>1</v>
      </c>
      <c r="AM154" s="52">
        <f t="shared" si="87"/>
        <v>1</v>
      </c>
      <c r="AN154" s="52">
        <f t="shared" si="87"/>
        <v>1</v>
      </c>
      <c r="AO154" s="52">
        <f t="shared" si="84"/>
        <v>1</v>
      </c>
      <c r="AP154" s="52">
        <f t="shared" si="84"/>
        <v>1</v>
      </c>
      <c r="AQ154" s="52">
        <f t="shared" si="84"/>
        <v>1</v>
      </c>
      <c r="AR154" s="52">
        <f t="shared" si="84"/>
        <v>1</v>
      </c>
      <c r="AS154" s="52">
        <f t="shared" si="84"/>
        <v>1</v>
      </c>
      <c r="AT154" s="52">
        <f t="shared" si="84"/>
        <v>1</v>
      </c>
      <c r="AU154" s="52">
        <f t="shared" si="84"/>
        <v>1</v>
      </c>
      <c r="AV154" s="52">
        <f t="shared" si="84"/>
        <v>1</v>
      </c>
      <c r="AW154" s="52">
        <f t="shared" si="84"/>
        <v>1</v>
      </c>
      <c r="AX154" s="52">
        <f t="shared" si="84"/>
        <v>1</v>
      </c>
      <c r="AY154" s="52">
        <f t="shared" si="84"/>
        <v>1</v>
      </c>
      <c r="AZ154" s="52">
        <f t="shared" si="84"/>
        <v>1</v>
      </c>
      <c r="BA154" s="52">
        <f t="shared" si="84"/>
        <v>1</v>
      </c>
      <c r="BB154" s="52">
        <f t="shared" si="84"/>
        <v>1</v>
      </c>
      <c r="BC154" s="52">
        <f t="shared" si="84"/>
        <v>1</v>
      </c>
      <c r="BD154" s="52">
        <f t="shared" si="84"/>
        <v>1</v>
      </c>
      <c r="BE154" s="52">
        <f t="shared" si="84"/>
        <v>1</v>
      </c>
      <c r="BF154" s="52">
        <f t="shared" si="84"/>
        <v>1</v>
      </c>
      <c r="BG154" s="52">
        <f t="shared" si="85"/>
        <v>1</v>
      </c>
      <c r="BH154" s="52">
        <f t="shared" si="85"/>
        <v>1</v>
      </c>
      <c r="BI154" s="52">
        <f t="shared" si="85"/>
        <v>1</v>
      </c>
      <c r="BJ154" s="52">
        <f t="shared" si="85"/>
        <v>1</v>
      </c>
      <c r="BK154" s="52">
        <f t="shared" si="85"/>
        <v>1</v>
      </c>
      <c r="BL154" s="52">
        <f t="shared" si="85"/>
        <v>1</v>
      </c>
      <c r="BM154" s="52">
        <f t="shared" si="85"/>
        <v>1</v>
      </c>
      <c r="BN154" s="52">
        <f t="shared" si="85"/>
        <v>1</v>
      </c>
      <c r="BO154" s="32">
        <f t="shared" si="79"/>
        <v>0.74576271186440679</v>
      </c>
    </row>
    <row r="155" spans="1:67" s="27" customFormat="1" ht="18.75" customHeight="1" x14ac:dyDescent="0.25">
      <c r="A155" s="50" t="s">
        <v>316</v>
      </c>
      <c r="B155" s="50" t="s">
        <v>317</v>
      </c>
      <c r="C155" s="50" t="s">
        <v>238</v>
      </c>
      <c r="D155" s="51">
        <f>VLOOKUP(A155,'[1]Cuadro Control'!C180:J2085,8,FALSE)</f>
        <v>0</v>
      </c>
      <c r="E155" s="52">
        <f t="shared" si="82"/>
        <v>0</v>
      </c>
      <c r="F155" s="53">
        <v>46316</v>
      </c>
      <c r="G155" s="53">
        <v>46323</v>
      </c>
      <c r="H155" s="52">
        <f t="shared" si="86"/>
        <v>0</v>
      </c>
      <c r="I155" s="52">
        <f t="shared" si="86"/>
        <v>0</v>
      </c>
      <c r="J155" s="52">
        <f t="shared" si="86"/>
        <v>0</v>
      </c>
      <c r="K155" s="52">
        <f t="shared" si="86"/>
        <v>0</v>
      </c>
      <c r="L155" s="52">
        <f t="shared" si="86"/>
        <v>0</v>
      </c>
      <c r="M155" s="52">
        <f t="shared" si="86"/>
        <v>0</v>
      </c>
      <c r="N155" s="52">
        <f t="shared" si="86"/>
        <v>0</v>
      </c>
      <c r="O155" s="52">
        <f t="shared" si="86"/>
        <v>0</v>
      </c>
      <c r="P155" s="52">
        <f t="shared" si="86"/>
        <v>0</v>
      </c>
      <c r="Q155" s="52">
        <f t="shared" si="86"/>
        <v>0</v>
      </c>
      <c r="R155" s="52">
        <f t="shared" si="86"/>
        <v>0</v>
      </c>
      <c r="S155" s="52">
        <f t="shared" si="86"/>
        <v>0</v>
      </c>
      <c r="T155" s="52">
        <f t="shared" si="86"/>
        <v>0</v>
      </c>
      <c r="U155" s="52">
        <f t="shared" si="86"/>
        <v>0</v>
      </c>
      <c r="V155" s="52">
        <f t="shared" si="86"/>
        <v>0</v>
      </c>
      <c r="W155" s="52">
        <f t="shared" si="86"/>
        <v>0.375</v>
      </c>
      <c r="X155" s="52">
        <f t="shared" si="87"/>
        <v>1</v>
      </c>
      <c r="Y155" s="52">
        <f t="shared" si="87"/>
        <v>1</v>
      </c>
      <c r="Z155" s="52">
        <f t="shared" si="87"/>
        <v>1</v>
      </c>
      <c r="AA155" s="52">
        <f t="shared" si="87"/>
        <v>1</v>
      </c>
      <c r="AB155" s="52">
        <f t="shared" si="87"/>
        <v>1</v>
      </c>
      <c r="AC155" s="52">
        <f t="shared" si="87"/>
        <v>1</v>
      </c>
      <c r="AD155" s="52">
        <f t="shared" si="87"/>
        <v>1</v>
      </c>
      <c r="AE155" s="52">
        <f t="shared" si="87"/>
        <v>1</v>
      </c>
      <c r="AF155" s="52">
        <f t="shared" si="87"/>
        <v>1</v>
      </c>
      <c r="AG155" s="52">
        <f t="shared" si="87"/>
        <v>1</v>
      </c>
      <c r="AH155" s="52">
        <f t="shared" si="87"/>
        <v>1</v>
      </c>
      <c r="AI155" s="52">
        <f t="shared" si="87"/>
        <v>1</v>
      </c>
      <c r="AJ155" s="52">
        <f t="shared" si="87"/>
        <v>1</v>
      </c>
      <c r="AK155" s="52">
        <f t="shared" si="87"/>
        <v>1</v>
      </c>
      <c r="AL155" s="52">
        <f t="shared" si="87"/>
        <v>1</v>
      </c>
      <c r="AM155" s="52">
        <f t="shared" si="87"/>
        <v>1</v>
      </c>
      <c r="AN155" s="52">
        <f t="shared" si="87"/>
        <v>1</v>
      </c>
      <c r="AO155" s="52">
        <f t="shared" si="84"/>
        <v>1</v>
      </c>
      <c r="AP155" s="52">
        <f t="shared" si="84"/>
        <v>1</v>
      </c>
      <c r="AQ155" s="52">
        <f t="shared" si="84"/>
        <v>1</v>
      </c>
      <c r="AR155" s="52">
        <f t="shared" si="84"/>
        <v>1</v>
      </c>
      <c r="AS155" s="52">
        <f t="shared" si="84"/>
        <v>1</v>
      </c>
      <c r="AT155" s="52">
        <f t="shared" si="84"/>
        <v>1</v>
      </c>
      <c r="AU155" s="52">
        <f t="shared" si="84"/>
        <v>1</v>
      </c>
      <c r="AV155" s="52">
        <f t="shared" si="84"/>
        <v>1</v>
      </c>
      <c r="AW155" s="52">
        <f t="shared" si="84"/>
        <v>1</v>
      </c>
      <c r="AX155" s="52">
        <f t="shared" si="84"/>
        <v>1</v>
      </c>
      <c r="AY155" s="52">
        <f t="shared" si="84"/>
        <v>1</v>
      </c>
      <c r="AZ155" s="52">
        <f t="shared" si="84"/>
        <v>1</v>
      </c>
      <c r="BA155" s="52">
        <f t="shared" si="84"/>
        <v>1</v>
      </c>
      <c r="BB155" s="52">
        <f t="shared" si="84"/>
        <v>1</v>
      </c>
      <c r="BC155" s="52">
        <f t="shared" si="84"/>
        <v>1</v>
      </c>
      <c r="BD155" s="52">
        <f t="shared" si="84"/>
        <v>1</v>
      </c>
      <c r="BE155" s="52">
        <f t="shared" si="84"/>
        <v>1</v>
      </c>
      <c r="BF155" s="52">
        <f t="shared" si="84"/>
        <v>1</v>
      </c>
      <c r="BG155" s="52">
        <f t="shared" si="85"/>
        <v>1</v>
      </c>
      <c r="BH155" s="52">
        <f t="shared" si="85"/>
        <v>1</v>
      </c>
      <c r="BI155" s="52">
        <f t="shared" si="85"/>
        <v>1</v>
      </c>
      <c r="BJ155" s="52">
        <f t="shared" si="85"/>
        <v>1</v>
      </c>
      <c r="BK155" s="52">
        <f t="shared" si="85"/>
        <v>1</v>
      </c>
      <c r="BL155" s="52">
        <f t="shared" si="85"/>
        <v>1</v>
      </c>
      <c r="BM155" s="52">
        <f t="shared" si="85"/>
        <v>1</v>
      </c>
      <c r="BN155" s="52">
        <f t="shared" si="85"/>
        <v>1</v>
      </c>
      <c r="BO155" s="32">
        <f t="shared" si="79"/>
        <v>0.73516949152542377</v>
      </c>
    </row>
    <row r="156" spans="1:67" s="27" customFormat="1" ht="18.75" customHeight="1" x14ac:dyDescent="0.25">
      <c r="A156" s="50" t="s">
        <v>318</v>
      </c>
      <c r="B156" s="50" t="s">
        <v>319</v>
      </c>
      <c r="C156" s="50" t="s">
        <v>126</v>
      </c>
      <c r="D156" s="51">
        <f>VLOOKUP(A156,'[1]Cuadro Control'!C182:J2086,8,FALSE)</f>
        <v>52736347.43270281</v>
      </c>
      <c r="E156" s="52">
        <f t="shared" si="82"/>
        <v>9.933624348213644E-3</v>
      </c>
      <c r="F156" s="53">
        <v>46323</v>
      </c>
      <c r="G156" s="53">
        <v>46326</v>
      </c>
      <c r="H156" s="52">
        <f t="shared" si="86"/>
        <v>0</v>
      </c>
      <c r="I156" s="52">
        <f t="shared" si="86"/>
        <v>0</v>
      </c>
      <c r="J156" s="52">
        <f t="shared" si="86"/>
        <v>0</v>
      </c>
      <c r="K156" s="52">
        <f t="shared" si="86"/>
        <v>0</v>
      </c>
      <c r="L156" s="52">
        <f t="shared" si="86"/>
        <v>0</v>
      </c>
      <c r="M156" s="52">
        <f t="shared" si="86"/>
        <v>0</v>
      </c>
      <c r="N156" s="52">
        <f t="shared" si="86"/>
        <v>0</v>
      </c>
      <c r="O156" s="52">
        <f t="shared" si="86"/>
        <v>0</v>
      </c>
      <c r="P156" s="52">
        <f t="shared" si="86"/>
        <v>0</v>
      </c>
      <c r="Q156" s="52">
        <f t="shared" si="86"/>
        <v>0</v>
      </c>
      <c r="R156" s="52">
        <f t="shared" si="86"/>
        <v>0</v>
      </c>
      <c r="S156" s="52">
        <f t="shared" si="86"/>
        <v>0</v>
      </c>
      <c r="T156" s="52">
        <f t="shared" si="86"/>
        <v>0</v>
      </c>
      <c r="U156" s="52">
        <f t="shared" si="86"/>
        <v>0</v>
      </c>
      <c r="V156" s="52">
        <f t="shared" si="86"/>
        <v>0</v>
      </c>
      <c r="W156" s="52">
        <f t="shared" si="86"/>
        <v>0</v>
      </c>
      <c r="X156" s="52">
        <f t="shared" si="87"/>
        <v>0.75</v>
      </c>
      <c r="Y156" s="52">
        <f t="shared" si="87"/>
        <v>1</v>
      </c>
      <c r="Z156" s="52">
        <f t="shared" si="87"/>
        <v>1</v>
      </c>
      <c r="AA156" s="52">
        <f t="shared" si="87"/>
        <v>1</v>
      </c>
      <c r="AB156" s="52">
        <f t="shared" si="87"/>
        <v>1</v>
      </c>
      <c r="AC156" s="52">
        <f t="shared" si="87"/>
        <v>1</v>
      </c>
      <c r="AD156" s="52">
        <f t="shared" si="87"/>
        <v>1</v>
      </c>
      <c r="AE156" s="52">
        <f t="shared" si="87"/>
        <v>1</v>
      </c>
      <c r="AF156" s="52">
        <f t="shared" si="87"/>
        <v>1</v>
      </c>
      <c r="AG156" s="52">
        <f t="shared" si="87"/>
        <v>1</v>
      </c>
      <c r="AH156" s="52">
        <f t="shared" si="87"/>
        <v>1</v>
      </c>
      <c r="AI156" s="52">
        <f t="shared" si="87"/>
        <v>1</v>
      </c>
      <c r="AJ156" s="52">
        <f t="shared" si="87"/>
        <v>1</v>
      </c>
      <c r="AK156" s="52">
        <f t="shared" si="87"/>
        <v>1</v>
      </c>
      <c r="AL156" s="52">
        <f t="shared" si="87"/>
        <v>1</v>
      </c>
      <c r="AM156" s="52">
        <f t="shared" si="87"/>
        <v>1</v>
      </c>
      <c r="AN156" s="52">
        <f t="shared" si="87"/>
        <v>1</v>
      </c>
      <c r="AO156" s="52">
        <f t="shared" si="84"/>
        <v>1</v>
      </c>
      <c r="AP156" s="52">
        <f t="shared" si="84"/>
        <v>1</v>
      </c>
      <c r="AQ156" s="52">
        <f t="shared" si="84"/>
        <v>1</v>
      </c>
      <c r="AR156" s="52">
        <f t="shared" si="84"/>
        <v>1</v>
      </c>
      <c r="AS156" s="52">
        <f t="shared" si="84"/>
        <v>1</v>
      </c>
      <c r="AT156" s="52">
        <f t="shared" si="84"/>
        <v>1</v>
      </c>
      <c r="AU156" s="52">
        <f t="shared" si="84"/>
        <v>1</v>
      </c>
      <c r="AV156" s="52">
        <f t="shared" si="84"/>
        <v>1</v>
      </c>
      <c r="AW156" s="52">
        <f t="shared" si="84"/>
        <v>1</v>
      </c>
      <c r="AX156" s="52">
        <f t="shared" si="84"/>
        <v>1</v>
      </c>
      <c r="AY156" s="52">
        <f t="shared" si="84"/>
        <v>1</v>
      </c>
      <c r="AZ156" s="52">
        <f t="shared" si="84"/>
        <v>1</v>
      </c>
      <c r="BA156" s="52">
        <f t="shared" si="84"/>
        <v>1</v>
      </c>
      <c r="BB156" s="52">
        <f t="shared" si="84"/>
        <v>1</v>
      </c>
      <c r="BC156" s="52">
        <f t="shared" si="84"/>
        <v>1</v>
      </c>
      <c r="BD156" s="52">
        <f t="shared" si="84"/>
        <v>1</v>
      </c>
      <c r="BE156" s="52">
        <f t="shared" si="84"/>
        <v>1</v>
      </c>
      <c r="BF156" s="52">
        <f t="shared" si="84"/>
        <v>1</v>
      </c>
      <c r="BG156" s="52">
        <f t="shared" si="85"/>
        <v>1</v>
      </c>
      <c r="BH156" s="52">
        <f t="shared" si="85"/>
        <v>1</v>
      </c>
      <c r="BI156" s="52">
        <f t="shared" si="85"/>
        <v>1</v>
      </c>
      <c r="BJ156" s="52">
        <f t="shared" si="85"/>
        <v>1</v>
      </c>
      <c r="BK156" s="52">
        <f t="shared" si="85"/>
        <v>1</v>
      </c>
      <c r="BL156" s="52">
        <f t="shared" si="85"/>
        <v>1</v>
      </c>
      <c r="BM156" s="52">
        <f t="shared" si="85"/>
        <v>1</v>
      </c>
      <c r="BN156" s="52">
        <f t="shared" si="85"/>
        <v>1</v>
      </c>
      <c r="BO156" s="32">
        <f t="shared" si="79"/>
        <v>0.72457627118644063</v>
      </c>
    </row>
    <row r="157" spans="1:67" s="27" customFormat="1" ht="18.75" customHeight="1" x14ac:dyDescent="0.25">
      <c r="A157" s="50" t="s">
        <v>320</v>
      </c>
      <c r="B157" s="50" t="s">
        <v>321</v>
      </c>
      <c r="C157" s="50" t="s">
        <v>117</v>
      </c>
      <c r="D157" s="51">
        <f>VLOOKUP(A157,'[1]Cuadro Control'!C184:J2087,8,FALSE)</f>
        <v>46410609.014634147</v>
      </c>
      <c r="E157" s="52">
        <f t="shared" si="82"/>
        <v>8.742083556535862E-3</v>
      </c>
      <c r="F157" s="53">
        <v>46326</v>
      </c>
      <c r="G157" s="53">
        <v>46330</v>
      </c>
      <c r="H157" s="52">
        <f t="shared" si="86"/>
        <v>0</v>
      </c>
      <c r="I157" s="52">
        <f t="shared" si="86"/>
        <v>0</v>
      </c>
      <c r="J157" s="52">
        <f t="shared" si="86"/>
        <v>0</v>
      </c>
      <c r="K157" s="52">
        <f t="shared" si="86"/>
        <v>0</v>
      </c>
      <c r="L157" s="52">
        <f t="shared" si="86"/>
        <v>0</v>
      </c>
      <c r="M157" s="52">
        <f t="shared" si="86"/>
        <v>0</v>
      </c>
      <c r="N157" s="52">
        <f t="shared" si="86"/>
        <v>0</v>
      </c>
      <c r="O157" s="52">
        <f t="shared" si="86"/>
        <v>0</v>
      </c>
      <c r="P157" s="52">
        <f t="shared" si="86"/>
        <v>0</v>
      </c>
      <c r="Q157" s="52">
        <f t="shared" si="86"/>
        <v>0</v>
      </c>
      <c r="R157" s="52">
        <f t="shared" si="86"/>
        <v>0</v>
      </c>
      <c r="S157" s="52">
        <f t="shared" si="86"/>
        <v>0</v>
      </c>
      <c r="T157" s="52">
        <f t="shared" si="86"/>
        <v>0</v>
      </c>
      <c r="U157" s="52">
        <f t="shared" si="86"/>
        <v>0</v>
      </c>
      <c r="V157" s="52">
        <f t="shared" si="86"/>
        <v>0</v>
      </c>
      <c r="W157" s="52">
        <f t="shared" si="86"/>
        <v>0</v>
      </c>
      <c r="X157" s="52">
        <f t="shared" si="87"/>
        <v>0</v>
      </c>
      <c r="Y157" s="52">
        <f t="shared" si="87"/>
        <v>1</v>
      </c>
      <c r="Z157" s="52">
        <f t="shared" si="87"/>
        <v>1</v>
      </c>
      <c r="AA157" s="52">
        <f t="shared" si="87"/>
        <v>1</v>
      </c>
      <c r="AB157" s="52">
        <f t="shared" si="87"/>
        <v>1</v>
      </c>
      <c r="AC157" s="52">
        <f t="shared" si="87"/>
        <v>1</v>
      </c>
      <c r="AD157" s="52">
        <f t="shared" si="87"/>
        <v>1</v>
      </c>
      <c r="AE157" s="52">
        <f t="shared" si="87"/>
        <v>1</v>
      </c>
      <c r="AF157" s="52">
        <f t="shared" si="87"/>
        <v>1</v>
      </c>
      <c r="AG157" s="52">
        <f t="shared" si="87"/>
        <v>1</v>
      </c>
      <c r="AH157" s="52">
        <f t="shared" si="87"/>
        <v>1</v>
      </c>
      <c r="AI157" s="52">
        <f t="shared" si="87"/>
        <v>1</v>
      </c>
      <c r="AJ157" s="52">
        <f t="shared" si="87"/>
        <v>1</v>
      </c>
      <c r="AK157" s="52">
        <f t="shared" si="87"/>
        <v>1</v>
      </c>
      <c r="AL157" s="52">
        <f t="shared" si="87"/>
        <v>1</v>
      </c>
      <c r="AM157" s="52">
        <f t="shared" si="87"/>
        <v>1</v>
      </c>
      <c r="AN157" s="52">
        <f t="shared" si="87"/>
        <v>1</v>
      </c>
      <c r="AO157" s="52">
        <f t="shared" si="84"/>
        <v>1</v>
      </c>
      <c r="AP157" s="52">
        <f t="shared" si="84"/>
        <v>1</v>
      </c>
      <c r="AQ157" s="52">
        <f t="shared" si="84"/>
        <v>1</v>
      </c>
      <c r="AR157" s="52">
        <f t="shared" si="84"/>
        <v>1</v>
      </c>
      <c r="AS157" s="52">
        <f t="shared" si="84"/>
        <v>1</v>
      </c>
      <c r="AT157" s="52">
        <f t="shared" si="84"/>
        <v>1</v>
      </c>
      <c r="AU157" s="52">
        <f t="shared" si="84"/>
        <v>1</v>
      </c>
      <c r="AV157" s="52">
        <f t="shared" si="84"/>
        <v>1</v>
      </c>
      <c r="AW157" s="52">
        <f t="shared" si="84"/>
        <v>1</v>
      </c>
      <c r="AX157" s="52">
        <f t="shared" si="84"/>
        <v>1</v>
      </c>
      <c r="AY157" s="52">
        <f t="shared" si="84"/>
        <v>1</v>
      </c>
      <c r="AZ157" s="52">
        <f t="shared" si="84"/>
        <v>1</v>
      </c>
      <c r="BA157" s="52">
        <f t="shared" si="84"/>
        <v>1</v>
      </c>
      <c r="BB157" s="52">
        <f t="shared" si="84"/>
        <v>1</v>
      </c>
      <c r="BC157" s="52">
        <f t="shared" si="84"/>
        <v>1</v>
      </c>
      <c r="BD157" s="52">
        <f t="shared" si="84"/>
        <v>1</v>
      </c>
      <c r="BE157" s="52">
        <f t="shared" si="84"/>
        <v>1</v>
      </c>
      <c r="BF157" s="52">
        <f t="shared" si="84"/>
        <v>1</v>
      </c>
      <c r="BG157" s="52">
        <f t="shared" si="85"/>
        <v>1</v>
      </c>
      <c r="BH157" s="52">
        <f t="shared" si="85"/>
        <v>1</v>
      </c>
      <c r="BI157" s="52">
        <f t="shared" si="85"/>
        <v>1</v>
      </c>
      <c r="BJ157" s="52">
        <f t="shared" si="85"/>
        <v>1</v>
      </c>
      <c r="BK157" s="52">
        <f t="shared" si="85"/>
        <v>1</v>
      </c>
      <c r="BL157" s="52">
        <f t="shared" si="85"/>
        <v>1</v>
      </c>
      <c r="BM157" s="52">
        <f t="shared" si="85"/>
        <v>1</v>
      </c>
      <c r="BN157" s="52">
        <f t="shared" si="85"/>
        <v>1</v>
      </c>
      <c r="BO157" s="32">
        <f t="shared" si="79"/>
        <v>0.71186440677966101</v>
      </c>
    </row>
    <row r="158" spans="1:67" s="27" customFormat="1" ht="18.75" customHeight="1" x14ac:dyDescent="0.25">
      <c r="A158" s="50" t="s">
        <v>322</v>
      </c>
      <c r="B158" s="50" t="s">
        <v>323</v>
      </c>
      <c r="C158" s="50" t="s">
        <v>61</v>
      </c>
      <c r="D158" s="51">
        <f>VLOOKUP(A158,'[1]Cuadro Control'!C186:J2088,8,FALSE)</f>
        <v>1587346329.5488234</v>
      </c>
      <c r="E158" s="52">
        <f t="shared" si="82"/>
        <v>0.29899875353285565</v>
      </c>
      <c r="F158" s="53">
        <v>46331</v>
      </c>
      <c r="G158" s="53">
        <v>46340</v>
      </c>
      <c r="H158" s="52">
        <f t="shared" si="86"/>
        <v>0</v>
      </c>
      <c r="I158" s="52">
        <f t="shared" si="86"/>
        <v>0</v>
      </c>
      <c r="J158" s="52">
        <f t="shared" si="86"/>
        <v>0</v>
      </c>
      <c r="K158" s="52">
        <f t="shared" si="86"/>
        <v>0</v>
      </c>
      <c r="L158" s="52">
        <f t="shared" si="86"/>
        <v>0</v>
      </c>
      <c r="M158" s="52">
        <f t="shared" si="86"/>
        <v>0</v>
      </c>
      <c r="N158" s="52">
        <f t="shared" si="86"/>
        <v>0</v>
      </c>
      <c r="O158" s="52">
        <f t="shared" si="86"/>
        <v>0</v>
      </c>
      <c r="P158" s="52">
        <f t="shared" si="86"/>
        <v>0</v>
      </c>
      <c r="Q158" s="52">
        <f t="shared" si="86"/>
        <v>0</v>
      </c>
      <c r="R158" s="52">
        <f t="shared" si="86"/>
        <v>0</v>
      </c>
      <c r="S158" s="52">
        <f t="shared" si="86"/>
        <v>0</v>
      </c>
      <c r="T158" s="52">
        <f t="shared" si="86"/>
        <v>0</v>
      </c>
      <c r="U158" s="52">
        <f t="shared" si="86"/>
        <v>0</v>
      </c>
      <c r="V158" s="52">
        <f t="shared" si="86"/>
        <v>0</v>
      </c>
      <c r="W158" s="52">
        <f t="shared" si="86"/>
        <v>0</v>
      </c>
      <c r="X158" s="52">
        <f t="shared" si="87"/>
        <v>0</v>
      </c>
      <c r="Y158" s="52">
        <f t="shared" si="87"/>
        <v>0.2</v>
      </c>
      <c r="Z158" s="52">
        <f t="shared" si="87"/>
        <v>0.9</v>
      </c>
      <c r="AA158" s="52">
        <f t="shared" si="87"/>
        <v>1</v>
      </c>
      <c r="AB158" s="52">
        <f t="shared" si="87"/>
        <v>1</v>
      </c>
      <c r="AC158" s="52">
        <f t="shared" si="87"/>
        <v>1</v>
      </c>
      <c r="AD158" s="52">
        <f t="shared" si="87"/>
        <v>1</v>
      </c>
      <c r="AE158" s="52">
        <f t="shared" si="87"/>
        <v>1</v>
      </c>
      <c r="AF158" s="52">
        <f t="shared" si="87"/>
        <v>1</v>
      </c>
      <c r="AG158" s="52">
        <f t="shared" si="87"/>
        <v>1</v>
      </c>
      <c r="AH158" s="52">
        <f t="shared" si="87"/>
        <v>1</v>
      </c>
      <c r="AI158" s="52">
        <f t="shared" si="87"/>
        <v>1</v>
      </c>
      <c r="AJ158" s="52">
        <f t="shared" si="87"/>
        <v>1</v>
      </c>
      <c r="AK158" s="52">
        <f t="shared" si="87"/>
        <v>1</v>
      </c>
      <c r="AL158" s="52">
        <f t="shared" si="87"/>
        <v>1</v>
      </c>
      <c r="AM158" s="52">
        <f t="shared" si="87"/>
        <v>1</v>
      </c>
      <c r="AN158" s="52">
        <f t="shared" si="87"/>
        <v>1</v>
      </c>
      <c r="AO158" s="52">
        <f t="shared" si="84"/>
        <v>1</v>
      </c>
      <c r="AP158" s="52">
        <f t="shared" si="84"/>
        <v>1</v>
      </c>
      <c r="AQ158" s="52">
        <f t="shared" si="84"/>
        <v>1</v>
      </c>
      <c r="AR158" s="52">
        <f t="shared" si="84"/>
        <v>1</v>
      </c>
      <c r="AS158" s="52">
        <f t="shared" si="84"/>
        <v>1</v>
      </c>
      <c r="AT158" s="52">
        <f t="shared" si="84"/>
        <v>1</v>
      </c>
      <c r="AU158" s="52">
        <f t="shared" si="84"/>
        <v>1</v>
      </c>
      <c r="AV158" s="52">
        <f t="shared" si="84"/>
        <v>1</v>
      </c>
      <c r="AW158" s="52">
        <f t="shared" si="84"/>
        <v>1</v>
      </c>
      <c r="AX158" s="52">
        <f t="shared" si="84"/>
        <v>1</v>
      </c>
      <c r="AY158" s="52">
        <f t="shared" si="84"/>
        <v>1</v>
      </c>
      <c r="AZ158" s="52">
        <f t="shared" si="84"/>
        <v>1</v>
      </c>
      <c r="BA158" s="52">
        <f t="shared" si="84"/>
        <v>1</v>
      </c>
      <c r="BB158" s="52">
        <f t="shared" si="84"/>
        <v>1</v>
      </c>
      <c r="BC158" s="52">
        <f t="shared" si="84"/>
        <v>1</v>
      </c>
      <c r="BD158" s="52">
        <f t="shared" si="84"/>
        <v>1</v>
      </c>
      <c r="BE158" s="52">
        <f t="shared" si="84"/>
        <v>1</v>
      </c>
      <c r="BF158" s="52">
        <f t="shared" si="84"/>
        <v>1</v>
      </c>
      <c r="BG158" s="52">
        <f t="shared" si="85"/>
        <v>1</v>
      </c>
      <c r="BH158" s="52">
        <f t="shared" si="85"/>
        <v>1</v>
      </c>
      <c r="BI158" s="52">
        <f t="shared" si="85"/>
        <v>1</v>
      </c>
      <c r="BJ158" s="52">
        <f t="shared" si="85"/>
        <v>1</v>
      </c>
      <c r="BK158" s="52">
        <f t="shared" si="85"/>
        <v>1</v>
      </c>
      <c r="BL158" s="52">
        <f t="shared" si="85"/>
        <v>1</v>
      </c>
      <c r="BM158" s="52">
        <f t="shared" si="85"/>
        <v>1</v>
      </c>
      <c r="BN158" s="52">
        <f t="shared" si="85"/>
        <v>1</v>
      </c>
      <c r="BO158" s="32">
        <f t="shared" si="79"/>
        <v>0.69661016949152543</v>
      </c>
    </row>
    <row r="159" spans="1:67" s="27" customFormat="1" ht="18.75" customHeight="1" x14ac:dyDescent="0.25">
      <c r="A159" s="46" t="s">
        <v>324</v>
      </c>
      <c r="B159" s="46" t="s">
        <v>325</v>
      </c>
      <c r="C159" s="46" t="s">
        <v>61</v>
      </c>
      <c r="D159" s="47">
        <f>VLOOKUP(A159,'[1]Cuadro Control'!C188:J2089,8,FALSE)</f>
        <v>179532477.23999998</v>
      </c>
      <c r="E159" s="48">
        <f t="shared" si="82"/>
        <v>3.3817438522495219E-2</v>
      </c>
      <c r="F159" s="49">
        <v>46332</v>
      </c>
      <c r="G159" s="49">
        <v>46346</v>
      </c>
      <c r="H159" s="48">
        <f t="shared" si="86"/>
        <v>0</v>
      </c>
      <c r="I159" s="48">
        <f t="shared" si="86"/>
        <v>0</v>
      </c>
      <c r="J159" s="48">
        <f t="shared" si="86"/>
        <v>0</v>
      </c>
      <c r="K159" s="48">
        <f t="shared" si="86"/>
        <v>0</v>
      </c>
      <c r="L159" s="48">
        <f t="shared" si="86"/>
        <v>0</v>
      </c>
      <c r="M159" s="48">
        <f t="shared" si="86"/>
        <v>0</v>
      </c>
      <c r="N159" s="48">
        <f t="shared" si="86"/>
        <v>0</v>
      </c>
      <c r="O159" s="48">
        <f t="shared" si="86"/>
        <v>0</v>
      </c>
      <c r="P159" s="48">
        <f t="shared" si="86"/>
        <v>0</v>
      </c>
      <c r="Q159" s="48">
        <f t="shared" si="86"/>
        <v>0</v>
      </c>
      <c r="R159" s="48">
        <f t="shared" si="86"/>
        <v>0</v>
      </c>
      <c r="S159" s="48">
        <f t="shared" si="86"/>
        <v>0</v>
      </c>
      <c r="T159" s="48">
        <f t="shared" si="86"/>
        <v>0</v>
      </c>
      <c r="U159" s="48">
        <f t="shared" si="86"/>
        <v>0</v>
      </c>
      <c r="V159" s="48">
        <f t="shared" si="86"/>
        <v>0</v>
      </c>
      <c r="W159" s="48">
        <f t="shared" si="86"/>
        <v>0</v>
      </c>
      <c r="X159" s="48">
        <f t="shared" si="87"/>
        <v>0</v>
      </c>
      <c r="Y159" s="48">
        <f t="shared" si="87"/>
        <v>6.6666666666666666E-2</v>
      </c>
      <c r="Z159" s="48">
        <f t="shared" si="87"/>
        <v>0.53333333333333333</v>
      </c>
      <c r="AA159" s="48">
        <f t="shared" si="87"/>
        <v>1</v>
      </c>
      <c r="AB159" s="48">
        <f t="shared" si="87"/>
        <v>1</v>
      </c>
      <c r="AC159" s="48">
        <f t="shared" si="87"/>
        <v>1</v>
      </c>
      <c r="AD159" s="48">
        <f t="shared" si="87"/>
        <v>1</v>
      </c>
      <c r="AE159" s="48">
        <f t="shared" si="87"/>
        <v>1</v>
      </c>
      <c r="AF159" s="48">
        <f t="shared" si="87"/>
        <v>1</v>
      </c>
      <c r="AG159" s="48">
        <f t="shared" si="87"/>
        <v>1</v>
      </c>
      <c r="AH159" s="48">
        <f t="shared" si="87"/>
        <v>1</v>
      </c>
      <c r="AI159" s="48">
        <f t="shared" si="87"/>
        <v>1</v>
      </c>
      <c r="AJ159" s="48">
        <f t="shared" si="87"/>
        <v>1</v>
      </c>
      <c r="AK159" s="48">
        <f t="shared" si="87"/>
        <v>1</v>
      </c>
      <c r="AL159" s="48">
        <f t="shared" si="87"/>
        <v>1</v>
      </c>
      <c r="AM159" s="48">
        <f t="shared" si="87"/>
        <v>1</v>
      </c>
      <c r="AN159" s="48">
        <f t="shared" si="87"/>
        <v>1</v>
      </c>
      <c r="AO159" s="48">
        <f t="shared" si="84"/>
        <v>1</v>
      </c>
      <c r="AP159" s="48">
        <f t="shared" si="84"/>
        <v>1</v>
      </c>
      <c r="AQ159" s="48">
        <f t="shared" si="84"/>
        <v>1</v>
      </c>
      <c r="AR159" s="48">
        <f t="shared" si="84"/>
        <v>1</v>
      </c>
      <c r="AS159" s="48">
        <f t="shared" si="84"/>
        <v>1</v>
      </c>
      <c r="AT159" s="48">
        <f t="shared" si="84"/>
        <v>1</v>
      </c>
      <c r="AU159" s="48">
        <f t="shared" si="84"/>
        <v>1</v>
      </c>
      <c r="AV159" s="48">
        <f t="shared" si="84"/>
        <v>1</v>
      </c>
      <c r="AW159" s="48">
        <f t="shared" si="84"/>
        <v>1</v>
      </c>
      <c r="AX159" s="48">
        <f t="shared" si="84"/>
        <v>1</v>
      </c>
      <c r="AY159" s="48">
        <f t="shared" si="84"/>
        <v>1</v>
      </c>
      <c r="AZ159" s="48">
        <f t="shared" si="84"/>
        <v>1</v>
      </c>
      <c r="BA159" s="48">
        <f t="shared" si="84"/>
        <v>1</v>
      </c>
      <c r="BB159" s="48">
        <f t="shared" si="84"/>
        <v>1</v>
      </c>
      <c r="BC159" s="48">
        <f t="shared" si="84"/>
        <v>1</v>
      </c>
      <c r="BD159" s="48">
        <f t="shared" si="84"/>
        <v>1</v>
      </c>
      <c r="BE159" s="48">
        <f t="shared" si="84"/>
        <v>1</v>
      </c>
      <c r="BF159" s="48">
        <f t="shared" si="84"/>
        <v>1</v>
      </c>
      <c r="BG159" s="48">
        <f t="shared" si="85"/>
        <v>1</v>
      </c>
      <c r="BH159" s="48">
        <f t="shared" si="85"/>
        <v>1</v>
      </c>
      <c r="BI159" s="48">
        <f t="shared" si="85"/>
        <v>1</v>
      </c>
      <c r="BJ159" s="48">
        <f t="shared" si="85"/>
        <v>1</v>
      </c>
      <c r="BK159" s="48">
        <f t="shared" si="85"/>
        <v>1</v>
      </c>
      <c r="BL159" s="48">
        <f t="shared" si="85"/>
        <v>1</v>
      </c>
      <c r="BM159" s="48">
        <f t="shared" si="85"/>
        <v>1</v>
      </c>
      <c r="BN159" s="48">
        <f t="shared" si="85"/>
        <v>1</v>
      </c>
      <c r="BO159" s="32">
        <f t="shared" si="79"/>
        <v>0.68813559322033901</v>
      </c>
    </row>
    <row r="160" spans="1:67" s="27" customFormat="1" ht="18.75" customHeight="1" x14ac:dyDescent="0.25">
      <c r="A160" s="55" t="s">
        <v>326</v>
      </c>
      <c r="B160" s="55" t="s">
        <v>327</v>
      </c>
      <c r="C160" s="55" t="s">
        <v>14</v>
      </c>
      <c r="D160" s="56">
        <f>VLOOKUP(A160,'[1]Cuadro Control'!C190:J2090,8,FALSE)</f>
        <v>0</v>
      </c>
      <c r="E160" s="57">
        <f>IFERROR(D160/$D$144,0)</f>
        <v>0</v>
      </c>
      <c r="F160" s="58">
        <v>46346</v>
      </c>
      <c r="G160" s="58">
        <v>46346</v>
      </c>
      <c r="H160" s="57">
        <f t="shared" si="86"/>
        <v>0</v>
      </c>
      <c r="I160" s="57">
        <f t="shared" si="86"/>
        <v>0</v>
      </c>
      <c r="J160" s="57">
        <f t="shared" si="86"/>
        <v>0</v>
      </c>
      <c r="K160" s="57">
        <f t="shared" si="86"/>
        <v>0</v>
      </c>
      <c r="L160" s="57">
        <f t="shared" si="86"/>
        <v>0</v>
      </c>
      <c r="M160" s="57">
        <f t="shared" si="86"/>
        <v>0</v>
      </c>
      <c r="N160" s="57">
        <f t="shared" si="86"/>
        <v>0</v>
      </c>
      <c r="O160" s="57">
        <f t="shared" si="86"/>
        <v>0</v>
      </c>
      <c r="P160" s="57">
        <f t="shared" si="86"/>
        <v>0</v>
      </c>
      <c r="Q160" s="57">
        <f t="shared" si="86"/>
        <v>0</v>
      </c>
      <c r="R160" s="57">
        <f t="shared" si="86"/>
        <v>0</v>
      </c>
      <c r="S160" s="57">
        <f t="shared" si="86"/>
        <v>0</v>
      </c>
      <c r="T160" s="57">
        <f t="shared" si="86"/>
        <v>0</v>
      </c>
      <c r="U160" s="57">
        <f t="shared" si="86"/>
        <v>0</v>
      </c>
      <c r="V160" s="57">
        <f t="shared" si="86"/>
        <v>0</v>
      </c>
      <c r="W160" s="57">
        <f t="shared" si="86"/>
        <v>0</v>
      </c>
      <c r="X160" s="57">
        <f t="shared" si="87"/>
        <v>0</v>
      </c>
      <c r="Y160" s="57">
        <f t="shared" si="87"/>
        <v>0</v>
      </c>
      <c r="Z160" s="57">
        <f t="shared" si="87"/>
        <v>0</v>
      </c>
      <c r="AA160" s="57">
        <f t="shared" si="87"/>
        <v>1</v>
      </c>
      <c r="AB160" s="57">
        <f t="shared" si="87"/>
        <v>1</v>
      </c>
      <c r="AC160" s="57">
        <f t="shared" si="87"/>
        <v>1</v>
      </c>
      <c r="AD160" s="57">
        <f t="shared" si="87"/>
        <v>1</v>
      </c>
      <c r="AE160" s="57">
        <f t="shared" si="87"/>
        <v>1</v>
      </c>
      <c r="AF160" s="57">
        <f t="shared" si="87"/>
        <v>1</v>
      </c>
      <c r="AG160" s="57">
        <f t="shared" si="87"/>
        <v>1</v>
      </c>
      <c r="AH160" s="57">
        <f t="shared" si="87"/>
        <v>1</v>
      </c>
      <c r="AI160" s="57">
        <f t="shared" si="87"/>
        <v>1</v>
      </c>
      <c r="AJ160" s="57">
        <f t="shared" si="87"/>
        <v>1</v>
      </c>
      <c r="AK160" s="57">
        <f t="shared" si="87"/>
        <v>1</v>
      </c>
      <c r="AL160" s="57">
        <f t="shared" si="87"/>
        <v>1</v>
      </c>
      <c r="AM160" s="57">
        <f t="shared" si="87"/>
        <v>1</v>
      </c>
      <c r="AN160" s="57">
        <f t="shared" si="87"/>
        <v>1</v>
      </c>
      <c r="AO160" s="57">
        <f t="shared" si="87"/>
        <v>1</v>
      </c>
      <c r="AP160" s="57">
        <f t="shared" si="87"/>
        <v>1</v>
      </c>
      <c r="AQ160" s="57">
        <f t="shared" si="87"/>
        <v>1</v>
      </c>
      <c r="AR160" s="57">
        <f t="shared" si="87"/>
        <v>1</v>
      </c>
      <c r="AS160" s="57">
        <f t="shared" si="87"/>
        <v>1</v>
      </c>
      <c r="AT160" s="57">
        <f t="shared" si="87"/>
        <v>1</v>
      </c>
      <c r="AU160" s="57">
        <f t="shared" si="87"/>
        <v>1</v>
      </c>
      <c r="AV160" s="57">
        <f t="shared" si="87"/>
        <v>1</v>
      </c>
      <c r="AW160" s="57">
        <f t="shared" si="87"/>
        <v>1</v>
      </c>
      <c r="AX160" s="57">
        <f t="shared" si="87"/>
        <v>1</v>
      </c>
      <c r="AY160" s="57">
        <f t="shared" si="87"/>
        <v>1</v>
      </c>
      <c r="AZ160" s="57">
        <f t="shared" si="87"/>
        <v>1</v>
      </c>
      <c r="BA160" s="57">
        <f t="shared" si="87"/>
        <v>1</v>
      </c>
      <c r="BB160" s="57">
        <f t="shared" si="87"/>
        <v>1</v>
      </c>
      <c r="BC160" s="57">
        <f t="shared" si="87"/>
        <v>1</v>
      </c>
      <c r="BD160" s="57">
        <f t="shared" si="84"/>
        <v>1</v>
      </c>
      <c r="BE160" s="57">
        <f t="shared" si="84"/>
        <v>1</v>
      </c>
      <c r="BF160" s="57">
        <f t="shared" si="84"/>
        <v>1</v>
      </c>
      <c r="BG160" s="57">
        <f t="shared" si="85"/>
        <v>1</v>
      </c>
      <c r="BH160" s="57">
        <f t="shared" si="85"/>
        <v>1</v>
      </c>
      <c r="BI160" s="57">
        <f t="shared" si="85"/>
        <v>1</v>
      </c>
      <c r="BJ160" s="57">
        <f t="shared" si="85"/>
        <v>1</v>
      </c>
      <c r="BK160" s="57">
        <f t="shared" si="85"/>
        <v>1</v>
      </c>
      <c r="BL160" s="57">
        <f t="shared" si="85"/>
        <v>1</v>
      </c>
      <c r="BM160" s="57">
        <f t="shared" si="85"/>
        <v>1</v>
      </c>
      <c r="BN160" s="57">
        <f t="shared" si="85"/>
        <v>1</v>
      </c>
      <c r="BO160" s="32">
        <f t="shared" si="79"/>
        <v>0.67796610169491522</v>
      </c>
    </row>
    <row r="161" spans="1:67" s="27" customFormat="1" ht="18.75" customHeight="1" x14ac:dyDescent="0.25">
      <c r="A161" s="59" t="s">
        <v>328</v>
      </c>
      <c r="B161" s="59" t="s">
        <v>329</v>
      </c>
      <c r="C161" s="59" t="s">
        <v>261</v>
      </c>
      <c r="D161" s="60">
        <f>SUM(D162:D177)</f>
        <v>5308872732.0543728</v>
      </c>
      <c r="E161" s="61">
        <f>IFERROR(D161/$D$109,0)</f>
        <v>2.9408554574576196E-2</v>
      </c>
      <c r="F161" s="62">
        <v>46273</v>
      </c>
      <c r="G161" s="62">
        <v>46357</v>
      </c>
      <c r="H161" s="61">
        <f>SUMPRODUCT($E162:$E176,H162:H176)</f>
        <v>0</v>
      </c>
      <c r="I161" s="61">
        <f t="shared" ref="I161:BN161" si="88">SUMPRODUCT($E162:$E176,I162:I176)</f>
        <v>0</v>
      </c>
      <c r="J161" s="61">
        <f t="shared" si="88"/>
        <v>0</v>
      </c>
      <c r="K161" s="61">
        <f t="shared" si="88"/>
        <v>0</v>
      </c>
      <c r="L161" s="61">
        <f t="shared" si="88"/>
        <v>0</v>
      </c>
      <c r="M161" s="61">
        <f t="shared" si="88"/>
        <v>0</v>
      </c>
      <c r="N161" s="61">
        <f t="shared" si="88"/>
        <v>0</v>
      </c>
      <c r="O161" s="61">
        <f t="shared" si="88"/>
        <v>0</v>
      </c>
      <c r="P161" s="61">
        <f t="shared" si="88"/>
        <v>0</v>
      </c>
      <c r="Q161" s="61">
        <f t="shared" si="88"/>
        <v>7.8426989199921922E-3</v>
      </c>
      <c r="R161" s="61">
        <f t="shared" si="88"/>
        <v>4.1836545294005947E-2</v>
      </c>
      <c r="S161" s="61">
        <f t="shared" si="88"/>
        <v>8.6381780999194982E-2</v>
      </c>
      <c r="T161" s="61">
        <f t="shared" si="88"/>
        <v>0.16008640555045139</v>
      </c>
      <c r="U161" s="61">
        <f t="shared" si="88"/>
        <v>0.22632154429731435</v>
      </c>
      <c r="V161" s="61">
        <f t="shared" si="88"/>
        <v>0.31514939446125445</v>
      </c>
      <c r="W161" s="61">
        <f t="shared" si="88"/>
        <v>0.40397724462519446</v>
      </c>
      <c r="X161" s="61">
        <f t="shared" si="88"/>
        <v>0.64850810003989967</v>
      </c>
      <c r="Y161" s="61">
        <f t="shared" si="88"/>
        <v>0.65099150612695311</v>
      </c>
      <c r="Z161" s="61">
        <f t="shared" si="88"/>
        <v>0.69018371206256113</v>
      </c>
      <c r="AA161" s="61">
        <f t="shared" si="88"/>
        <v>0.85842963485705104</v>
      </c>
      <c r="AB161" s="61">
        <f t="shared" si="88"/>
        <v>0.9903378747078585</v>
      </c>
      <c r="AC161" s="61">
        <f t="shared" si="88"/>
        <v>1</v>
      </c>
      <c r="AD161" s="61">
        <f t="shared" si="88"/>
        <v>1</v>
      </c>
      <c r="AE161" s="61">
        <f t="shared" si="88"/>
        <v>1</v>
      </c>
      <c r="AF161" s="61">
        <f t="shared" si="88"/>
        <v>1</v>
      </c>
      <c r="AG161" s="61">
        <f t="shared" si="88"/>
        <v>1</v>
      </c>
      <c r="AH161" s="61">
        <f t="shared" si="88"/>
        <v>1</v>
      </c>
      <c r="AI161" s="61">
        <f t="shared" si="88"/>
        <v>1</v>
      </c>
      <c r="AJ161" s="61">
        <f t="shared" si="88"/>
        <v>1</v>
      </c>
      <c r="AK161" s="61">
        <f t="shared" si="88"/>
        <v>1</v>
      </c>
      <c r="AL161" s="61">
        <f t="shared" si="88"/>
        <v>1</v>
      </c>
      <c r="AM161" s="61">
        <f t="shared" si="88"/>
        <v>1</v>
      </c>
      <c r="AN161" s="61">
        <f t="shared" si="88"/>
        <v>1</v>
      </c>
      <c r="AO161" s="61">
        <f t="shared" si="88"/>
        <v>1</v>
      </c>
      <c r="AP161" s="61">
        <f t="shared" si="88"/>
        <v>1</v>
      </c>
      <c r="AQ161" s="61">
        <f t="shared" si="88"/>
        <v>1</v>
      </c>
      <c r="AR161" s="61">
        <f t="shared" si="88"/>
        <v>1</v>
      </c>
      <c r="AS161" s="61">
        <f t="shared" si="88"/>
        <v>1</v>
      </c>
      <c r="AT161" s="61">
        <f t="shared" si="88"/>
        <v>1</v>
      </c>
      <c r="AU161" s="61">
        <f t="shared" si="88"/>
        <v>1</v>
      </c>
      <c r="AV161" s="61">
        <f t="shared" si="88"/>
        <v>1</v>
      </c>
      <c r="AW161" s="61">
        <f t="shared" si="88"/>
        <v>1</v>
      </c>
      <c r="AX161" s="61">
        <f t="shared" si="88"/>
        <v>1</v>
      </c>
      <c r="AY161" s="61">
        <f t="shared" si="88"/>
        <v>1</v>
      </c>
      <c r="AZ161" s="61">
        <f t="shared" si="88"/>
        <v>1</v>
      </c>
      <c r="BA161" s="61">
        <f t="shared" si="88"/>
        <v>1</v>
      </c>
      <c r="BB161" s="61">
        <f t="shared" si="88"/>
        <v>1</v>
      </c>
      <c r="BC161" s="61">
        <f t="shared" si="88"/>
        <v>1</v>
      </c>
      <c r="BD161" s="61">
        <f t="shared" si="88"/>
        <v>1</v>
      </c>
      <c r="BE161" s="61">
        <f t="shared" si="88"/>
        <v>1</v>
      </c>
      <c r="BF161" s="61">
        <f t="shared" si="88"/>
        <v>1</v>
      </c>
      <c r="BG161" s="61">
        <f t="shared" si="88"/>
        <v>1</v>
      </c>
      <c r="BH161" s="61">
        <f t="shared" si="88"/>
        <v>1</v>
      </c>
      <c r="BI161" s="61">
        <f t="shared" si="88"/>
        <v>1</v>
      </c>
      <c r="BJ161" s="61">
        <f t="shared" si="88"/>
        <v>1</v>
      </c>
      <c r="BK161" s="61">
        <f t="shared" si="88"/>
        <v>1</v>
      </c>
      <c r="BL161" s="61">
        <f t="shared" si="88"/>
        <v>1</v>
      </c>
      <c r="BM161" s="61">
        <f t="shared" si="88"/>
        <v>1</v>
      </c>
      <c r="BN161" s="61">
        <f t="shared" si="88"/>
        <v>1</v>
      </c>
      <c r="BO161" s="32">
        <f t="shared" si="79"/>
        <v>0.73017027867697848</v>
      </c>
    </row>
    <row r="162" spans="1:67" s="27" customFormat="1" ht="18.75" customHeight="1" x14ac:dyDescent="0.25">
      <c r="A162" s="50" t="s">
        <v>330</v>
      </c>
      <c r="B162" s="50" t="s">
        <v>331</v>
      </c>
      <c r="C162" s="50" t="s">
        <v>74</v>
      </c>
      <c r="D162" s="51">
        <f>VLOOKUP(A162,'[1]Cuadro Control'!C192:J2092,8,FALSE)</f>
        <v>83271780.884117648</v>
      </c>
      <c r="E162" s="52">
        <f t="shared" ref="E162:E176" si="89">IFERROR(D162/$D$161,0)</f>
        <v>1.5685397839984384E-2</v>
      </c>
      <c r="F162" s="53">
        <v>46273</v>
      </c>
      <c r="G162" s="53">
        <v>46280</v>
      </c>
      <c r="H162" s="52">
        <f t="shared" ref="H162:BN166" si="90">IF($F162=0,0,IF(H$6&lt;$F162,0,IF(H$6&gt;$G162,1,(H$6-$F162+1)/($G162-$F162+1))))</f>
        <v>0</v>
      </c>
      <c r="I162" s="52">
        <f t="shared" si="90"/>
        <v>0</v>
      </c>
      <c r="J162" s="52">
        <f t="shared" si="90"/>
        <v>0</v>
      </c>
      <c r="K162" s="52">
        <f t="shared" si="90"/>
        <v>0</v>
      </c>
      <c r="L162" s="52">
        <f t="shared" si="90"/>
        <v>0</v>
      </c>
      <c r="M162" s="52">
        <f t="shared" si="90"/>
        <v>0</v>
      </c>
      <c r="N162" s="52">
        <f t="shared" si="90"/>
        <v>0</v>
      </c>
      <c r="O162" s="52">
        <f t="shared" si="90"/>
        <v>0</v>
      </c>
      <c r="P162" s="52">
        <f t="shared" si="90"/>
        <v>0</v>
      </c>
      <c r="Q162" s="52">
        <f t="shared" si="90"/>
        <v>0.5</v>
      </c>
      <c r="R162" s="52">
        <f t="shared" si="90"/>
        <v>1</v>
      </c>
      <c r="S162" s="52">
        <f t="shared" si="90"/>
        <v>1</v>
      </c>
      <c r="T162" s="52">
        <f t="shared" si="90"/>
        <v>1</v>
      </c>
      <c r="U162" s="52">
        <f t="shared" si="90"/>
        <v>1</v>
      </c>
      <c r="V162" s="52">
        <f t="shared" si="90"/>
        <v>1</v>
      </c>
      <c r="W162" s="52">
        <f t="shared" si="90"/>
        <v>1</v>
      </c>
      <c r="X162" s="52">
        <f t="shared" si="90"/>
        <v>1</v>
      </c>
      <c r="Y162" s="52">
        <f t="shared" si="90"/>
        <v>1</v>
      </c>
      <c r="Z162" s="52">
        <f t="shared" si="90"/>
        <v>1</v>
      </c>
      <c r="AA162" s="52">
        <f t="shared" si="90"/>
        <v>1</v>
      </c>
      <c r="AB162" s="52">
        <f t="shared" si="90"/>
        <v>1</v>
      </c>
      <c r="AC162" s="52">
        <f t="shared" si="90"/>
        <v>1</v>
      </c>
      <c r="AD162" s="52">
        <f t="shared" si="90"/>
        <v>1</v>
      </c>
      <c r="AE162" s="52">
        <f t="shared" si="90"/>
        <v>1</v>
      </c>
      <c r="AF162" s="52">
        <f t="shared" si="90"/>
        <v>1</v>
      </c>
      <c r="AG162" s="52">
        <f t="shared" si="90"/>
        <v>1</v>
      </c>
      <c r="AH162" s="52">
        <f t="shared" si="90"/>
        <v>1</v>
      </c>
      <c r="AI162" s="52">
        <f t="shared" si="90"/>
        <v>1</v>
      </c>
      <c r="AJ162" s="52">
        <f t="shared" si="90"/>
        <v>1</v>
      </c>
      <c r="AK162" s="52">
        <f t="shared" si="90"/>
        <v>1</v>
      </c>
      <c r="AL162" s="52">
        <f t="shared" si="90"/>
        <v>1</v>
      </c>
      <c r="AM162" s="52">
        <f t="shared" si="90"/>
        <v>1</v>
      </c>
      <c r="AN162" s="52">
        <f t="shared" si="90"/>
        <v>1</v>
      </c>
      <c r="AO162" s="52">
        <f t="shared" si="90"/>
        <v>1</v>
      </c>
      <c r="AP162" s="52">
        <f t="shared" si="90"/>
        <v>1</v>
      </c>
      <c r="AQ162" s="52">
        <f t="shared" si="90"/>
        <v>1</v>
      </c>
      <c r="AR162" s="52">
        <f t="shared" si="90"/>
        <v>1</v>
      </c>
      <c r="AS162" s="52">
        <f t="shared" si="90"/>
        <v>1</v>
      </c>
      <c r="AT162" s="52">
        <f t="shared" si="90"/>
        <v>1</v>
      </c>
      <c r="AU162" s="52">
        <f t="shared" si="90"/>
        <v>1</v>
      </c>
      <c r="AV162" s="52">
        <f t="shared" si="90"/>
        <v>1</v>
      </c>
      <c r="AW162" s="52">
        <f t="shared" si="90"/>
        <v>1</v>
      </c>
      <c r="AX162" s="52">
        <f t="shared" si="90"/>
        <v>1</v>
      </c>
      <c r="AY162" s="52">
        <f t="shared" si="90"/>
        <v>1</v>
      </c>
      <c r="AZ162" s="52">
        <f t="shared" si="90"/>
        <v>1</v>
      </c>
      <c r="BA162" s="52">
        <f t="shared" si="90"/>
        <v>1</v>
      </c>
      <c r="BB162" s="52">
        <f t="shared" si="90"/>
        <v>1</v>
      </c>
      <c r="BC162" s="52">
        <f t="shared" si="90"/>
        <v>1</v>
      </c>
      <c r="BD162" s="52">
        <f t="shared" si="90"/>
        <v>1</v>
      </c>
      <c r="BE162" s="52">
        <f t="shared" si="90"/>
        <v>1</v>
      </c>
      <c r="BF162" s="52">
        <f t="shared" si="90"/>
        <v>1</v>
      </c>
      <c r="BG162" s="52">
        <f t="shared" si="90"/>
        <v>1</v>
      </c>
      <c r="BH162" s="52">
        <f t="shared" si="90"/>
        <v>1</v>
      </c>
      <c r="BI162" s="52">
        <f t="shared" si="90"/>
        <v>1</v>
      </c>
      <c r="BJ162" s="52">
        <f t="shared" si="90"/>
        <v>1</v>
      </c>
      <c r="BK162" s="52">
        <f t="shared" si="90"/>
        <v>1</v>
      </c>
      <c r="BL162" s="52">
        <f t="shared" si="90"/>
        <v>1</v>
      </c>
      <c r="BM162" s="52">
        <f t="shared" si="90"/>
        <v>1</v>
      </c>
      <c r="BN162" s="52">
        <f t="shared" si="90"/>
        <v>1</v>
      </c>
      <c r="BO162" s="32">
        <f t="shared" si="79"/>
        <v>0.83898305084745761</v>
      </c>
    </row>
    <row r="163" spans="1:67" s="27" customFormat="1" ht="18.75" customHeight="1" x14ac:dyDescent="0.25">
      <c r="A163" s="50" t="s">
        <v>332</v>
      </c>
      <c r="B163" s="50" t="s">
        <v>333</v>
      </c>
      <c r="C163" s="50" t="s">
        <v>61</v>
      </c>
      <c r="D163" s="51">
        <f>VLOOKUP(A163,'[1]Cuadro Control'!C193:J2093,8,FALSE)</f>
        <v>312374505.66882348</v>
      </c>
      <c r="E163" s="52">
        <f t="shared" si="89"/>
        <v>5.8840081771548515E-2</v>
      </c>
      <c r="F163" s="53">
        <v>46280</v>
      </c>
      <c r="G163" s="53">
        <v>46288</v>
      </c>
      <c r="H163" s="52">
        <f t="shared" si="90"/>
        <v>0</v>
      </c>
      <c r="I163" s="52">
        <f t="shared" si="90"/>
        <v>0</v>
      </c>
      <c r="J163" s="52">
        <f t="shared" si="90"/>
        <v>0</v>
      </c>
      <c r="K163" s="52">
        <f t="shared" si="90"/>
        <v>0</v>
      </c>
      <c r="L163" s="52">
        <f t="shared" si="90"/>
        <v>0</v>
      </c>
      <c r="M163" s="52">
        <f t="shared" si="90"/>
        <v>0</v>
      </c>
      <c r="N163" s="52">
        <f t="shared" si="90"/>
        <v>0</v>
      </c>
      <c r="O163" s="52">
        <f t="shared" si="90"/>
        <v>0</v>
      </c>
      <c r="P163" s="52">
        <f t="shared" si="90"/>
        <v>0</v>
      </c>
      <c r="Q163" s="52">
        <f t="shared" si="90"/>
        <v>0</v>
      </c>
      <c r="R163" s="52">
        <f t="shared" si="90"/>
        <v>0.44444444444444442</v>
      </c>
      <c r="S163" s="52">
        <f t="shared" si="90"/>
        <v>1</v>
      </c>
      <c r="T163" s="52">
        <f t="shared" si="90"/>
        <v>1</v>
      </c>
      <c r="U163" s="52">
        <f t="shared" si="90"/>
        <v>1</v>
      </c>
      <c r="V163" s="52">
        <f t="shared" si="90"/>
        <v>1</v>
      </c>
      <c r="W163" s="52">
        <f t="shared" si="90"/>
        <v>1</v>
      </c>
      <c r="X163" s="52">
        <f t="shared" si="90"/>
        <v>1</v>
      </c>
      <c r="Y163" s="52">
        <f t="shared" si="90"/>
        <v>1</v>
      </c>
      <c r="Z163" s="52">
        <f t="shared" si="90"/>
        <v>1</v>
      </c>
      <c r="AA163" s="52">
        <f t="shared" si="90"/>
        <v>1</v>
      </c>
      <c r="AB163" s="52">
        <f t="shared" si="90"/>
        <v>1</v>
      </c>
      <c r="AC163" s="52">
        <f t="shared" si="90"/>
        <v>1</v>
      </c>
      <c r="AD163" s="52">
        <f t="shared" si="90"/>
        <v>1</v>
      </c>
      <c r="AE163" s="52">
        <f t="shared" si="90"/>
        <v>1</v>
      </c>
      <c r="AF163" s="52">
        <f t="shared" si="90"/>
        <v>1</v>
      </c>
      <c r="AG163" s="52">
        <f t="shared" si="90"/>
        <v>1</v>
      </c>
      <c r="AH163" s="52">
        <f t="shared" si="90"/>
        <v>1</v>
      </c>
      <c r="AI163" s="52">
        <f t="shared" si="90"/>
        <v>1</v>
      </c>
      <c r="AJ163" s="52">
        <f t="shared" si="90"/>
        <v>1</v>
      </c>
      <c r="AK163" s="52">
        <f t="shared" si="90"/>
        <v>1</v>
      </c>
      <c r="AL163" s="52">
        <f t="shared" si="90"/>
        <v>1</v>
      </c>
      <c r="AM163" s="52">
        <f t="shared" si="90"/>
        <v>1</v>
      </c>
      <c r="AN163" s="52">
        <f t="shared" si="90"/>
        <v>1</v>
      </c>
      <c r="AO163" s="52">
        <f t="shared" si="90"/>
        <v>1</v>
      </c>
      <c r="AP163" s="52">
        <f t="shared" si="90"/>
        <v>1</v>
      </c>
      <c r="AQ163" s="52">
        <f t="shared" si="90"/>
        <v>1</v>
      </c>
      <c r="AR163" s="52">
        <f t="shared" si="90"/>
        <v>1</v>
      </c>
      <c r="AS163" s="52">
        <f t="shared" si="90"/>
        <v>1</v>
      </c>
      <c r="AT163" s="52">
        <f t="shared" si="90"/>
        <v>1</v>
      </c>
      <c r="AU163" s="52">
        <f t="shared" si="90"/>
        <v>1</v>
      </c>
      <c r="AV163" s="52">
        <f t="shared" si="90"/>
        <v>1</v>
      </c>
      <c r="AW163" s="52">
        <f t="shared" si="90"/>
        <v>1</v>
      </c>
      <c r="AX163" s="52">
        <f t="shared" si="90"/>
        <v>1</v>
      </c>
      <c r="AY163" s="52">
        <f t="shared" si="90"/>
        <v>1</v>
      </c>
      <c r="AZ163" s="52">
        <f t="shared" si="90"/>
        <v>1</v>
      </c>
      <c r="BA163" s="52">
        <f t="shared" si="90"/>
        <v>1</v>
      </c>
      <c r="BB163" s="52">
        <f t="shared" si="90"/>
        <v>1</v>
      </c>
      <c r="BC163" s="52">
        <f t="shared" si="90"/>
        <v>1</v>
      </c>
      <c r="BD163" s="52">
        <f t="shared" si="90"/>
        <v>1</v>
      </c>
      <c r="BE163" s="52">
        <f t="shared" si="90"/>
        <v>1</v>
      </c>
      <c r="BF163" s="52">
        <f t="shared" si="90"/>
        <v>1</v>
      </c>
      <c r="BG163" s="52">
        <f t="shared" si="90"/>
        <v>1</v>
      </c>
      <c r="BH163" s="52">
        <f t="shared" si="90"/>
        <v>1</v>
      </c>
      <c r="BI163" s="52">
        <f t="shared" si="90"/>
        <v>1</v>
      </c>
      <c r="BJ163" s="52">
        <f t="shared" si="90"/>
        <v>1</v>
      </c>
      <c r="BK163" s="52">
        <f t="shared" si="90"/>
        <v>1</v>
      </c>
      <c r="BL163" s="52">
        <f t="shared" si="90"/>
        <v>1</v>
      </c>
      <c r="BM163" s="52">
        <f t="shared" si="90"/>
        <v>1</v>
      </c>
      <c r="BN163" s="52">
        <f t="shared" si="90"/>
        <v>1</v>
      </c>
      <c r="BO163" s="32">
        <f t="shared" si="79"/>
        <v>0.82109227871939738</v>
      </c>
    </row>
    <row r="164" spans="1:67" s="27" customFormat="1" ht="18.75" customHeight="1" x14ac:dyDescent="0.25">
      <c r="A164" s="46" t="s">
        <v>334</v>
      </c>
      <c r="B164" s="46" t="s">
        <v>335</v>
      </c>
      <c r="C164" s="46" t="s">
        <v>126</v>
      </c>
      <c r="D164" s="47">
        <f>VLOOKUP(A164,'[1]Cuadro Control'!C194:J2094,8,FALSE)</f>
        <v>9527825.6870364472</v>
      </c>
      <c r="E164" s="48">
        <f t="shared" si="89"/>
        <v>1.794698454439963E-3</v>
      </c>
      <c r="F164" s="49">
        <v>46288</v>
      </c>
      <c r="G164" s="49">
        <v>46290</v>
      </c>
      <c r="H164" s="48">
        <f t="shared" si="90"/>
        <v>0</v>
      </c>
      <c r="I164" s="48">
        <f t="shared" si="90"/>
        <v>0</v>
      </c>
      <c r="J164" s="48">
        <f t="shared" si="90"/>
        <v>0</v>
      </c>
      <c r="K164" s="48">
        <f t="shared" si="90"/>
        <v>0</v>
      </c>
      <c r="L164" s="48">
        <f t="shared" si="90"/>
        <v>0</v>
      </c>
      <c r="M164" s="48">
        <f t="shared" si="90"/>
        <v>0</v>
      </c>
      <c r="N164" s="48">
        <f t="shared" si="90"/>
        <v>0</v>
      </c>
      <c r="O164" s="48">
        <f t="shared" si="90"/>
        <v>0</v>
      </c>
      <c r="P164" s="48">
        <f t="shared" si="90"/>
        <v>0</v>
      </c>
      <c r="Q164" s="48">
        <f t="shared" si="90"/>
        <v>0</v>
      </c>
      <c r="R164" s="48">
        <f t="shared" si="90"/>
        <v>0</v>
      </c>
      <c r="S164" s="48">
        <f t="shared" si="90"/>
        <v>1</v>
      </c>
      <c r="T164" s="48">
        <f t="shared" si="90"/>
        <v>1</v>
      </c>
      <c r="U164" s="48">
        <f t="shared" si="90"/>
        <v>1</v>
      </c>
      <c r="V164" s="48">
        <f t="shared" si="90"/>
        <v>1</v>
      </c>
      <c r="W164" s="48">
        <f t="shared" si="90"/>
        <v>1</v>
      </c>
      <c r="X164" s="48">
        <f t="shared" si="90"/>
        <v>1</v>
      </c>
      <c r="Y164" s="48">
        <f t="shared" si="90"/>
        <v>1</v>
      </c>
      <c r="Z164" s="48">
        <f t="shared" si="90"/>
        <v>1</v>
      </c>
      <c r="AA164" s="48">
        <f t="shared" si="90"/>
        <v>1</v>
      </c>
      <c r="AB164" s="48">
        <f t="shared" si="90"/>
        <v>1</v>
      </c>
      <c r="AC164" s="48">
        <f t="shared" si="90"/>
        <v>1</v>
      </c>
      <c r="AD164" s="48">
        <f t="shared" si="90"/>
        <v>1</v>
      </c>
      <c r="AE164" s="48">
        <f t="shared" si="90"/>
        <v>1</v>
      </c>
      <c r="AF164" s="48">
        <f t="shared" si="90"/>
        <v>1</v>
      </c>
      <c r="AG164" s="48">
        <f t="shared" si="90"/>
        <v>1</v>
      </c>
      <c r="AH164" s="48">
        <f t="shared" si="90"/>
        <v>1</v>
      </c>
      <c r="AI164" s="48">
        <f t="shared" si="90"/>
        <v>1</v>
      </c>
      <c r="AJ164" s="48">
        <f t="shared" si="90"/>
        <v>1</v>
      </c>
      <c r="AK164" s="48">
        <f t="shared" si="90"/>
        <v>1</v>
      </c>
      <c r="AL164" s="48">
        <f t="shared" si="90"/>
        <v>1</v>
      </c>
      <c r="AM164" s="48">
        <f t="shared" si="90"/>
        <v>1</v>
      </c>
      <c r="AN164" s="48">
        <f t="shared" si="90"/>
        <v>1</v>
      </c>
      <c r="AO164" s="48">
        <f t="shared" si="90"/>
        <v>1</v>
      </c>
      <c r="AP164" s="48">
        <f t="shared" si="90"/>
        <v>1</v>
      </c>
      <c r="AQ164" s="48">
        <f t="shared" si="90"/>
        <v>1</v>
      </c>
      <c r="AR164" s="48">
        <f t="shared" si="90"/>
        <v>1</v>
      </c>
      <c r="AS164" s="48">
        <f t="shared" si="90"/>
        <v>1</v>
      </c>
      <c r="AT164" s="48">
        <f t="shared" si="90"/>
        <v>1</v>
      </c>
      <c r="AU164" s="48">
        <f t="shared" si="90"/>
        <v>1</v>
      </c>
      <c r="AV164" s="48">
        <f t="shared" si="90"/>
        <v>1</v>
      </c>
      <c r="AW164" s="48">
        <f t="shared" si="90"/>
        <v>1</v>
      </c>
      <c r="AX164" s="48">
        <f t="shared" si="90"/>
        <v>1</v>
      </c>
      <c r="AY164" s="48">
        <f t="shared" si="90"/>
        <v>1</v>
      </c>
      <c r="AZ164" s="48">
        <f t="shared" si="90"/>
        <v>1</v>
      </c>
      <c r="BA164" s="48">
        <f t="shared" si="90"/>
        <v>1</v>
      </c>
      <c r="BB164" s="48">
        <f t="shared" si="90"/>
        <v>1</v>
      </c>
      <c r="BC164" s="48">
        <f t="shared" si="90"/>
        <v>1</v>
      </c>
      <c r="BD164" s="48">
        <f t="shared" si="90"/>
        <v>1</v>
      </c>
      <c r="BE164" s="48">
        <f t="shared" si="90"/>
        <v>1</v>
      </c>
      <c r="BF164" s="48">
        <f t="shared" si="90"/>
        <v>1</v>
      </c>
      <c r="BG164" s="48">
        <f t="shared" si="90"/>
        <v>1</v>
      </c>
      <c r="BH164" s="48">
        <f t="shared" si="90"/>
        <v>1</v>
      </c>
      <c r="BI164" s="48">
        <f t="shared" si="90"/>
        <v>1</v>
      </c>
      <c r="BJ164" s="48">
        <f t="shared" si="90"/>
        <v>1</v>
      </c>
      <c r="BK164" s="48">
        <f t="shared" si="90"/>
        <v>1</v>
      </c>
      <c r="BL164" s="48">
        <f t="shared" si="90"/>
        <v>1</v>
      </c>
      <c r="BM164" s="48">
        <f t="shared" si="90"/>
        <v>1</v>
      </c>
      <c r="BN164" s="48">
        <f t="shared" si="90"/>
        <v>1</v>
      </c>
      <c r="BO164" s="32">
        <f t="shared" si="79"/>
        <v>0.81355932203389836</v>
      </c>
    </row>
    <row r="165" spans="1:67" s="27" customFormat="1" ht="18.75" customHeight="1" x14ac:dyDescent="0.25">
      <c r="A165" s="50" t="s">
        <v>336</v>
      </c>
      <c r="B165" s="50" t="s">
        <v>337</v>
      </c>
      <c r="C165" s="50" t="s">
        <v>117</v>
      </c>
      <c r="D165" s="51">
        <f>VLOOKUP(A165,'[1]Cuadro Control'!C195:J2095,8,FALSE)</f>
        <v>320494616.71764702</v>
      </c>
      <c r="E165" s="52">
        <f t="shared" si="89"/>
        <v>6.0369617599332674E-2</v>
      </c>
      <c r="F165" s="53">
        <v>46290</v>
      </c>
      <c r="G165" s="53">
        <v>46295</v>
      </c>
      <c r="H165" s="52">
        <f t="shared" si="90"/>
        <v>0</v>
      </c>
      <c r="I165" s="52">
        <f t="shared" si="90"/>
        <v>0</v>
      </c>
      <c r="J165" s="52">
        <f t="shared" si="90"/>
        <v>0</v>
      </c>
      <c r="K165" s="52">
        <f t="shared" si="90"/>
        <v>0</v>
      </c>
      <c r="L165" s="52">
        <f t="shared" si="90"/>
        <v>0</v>
      </c>
      <c r="M165" s="52">
        <f t="shared" si="90"/>
        <v>0</v>
      </c>
      <c r="N165" s="52">
        <f t="shared" si="90"/>
        <v>0</v>
      </c>
      <c r="O165" s="52">
        <f t="shared" si="90"/>
        <v>0</v>
      </c>
      <c r="P165" s="52">
        <f t="shared" si="90"/>
        <v>0</v>
      </c>
      <c r="Q165" s="52">
        <f t="shared" si="90"/>
        <v>0</v>
      </c>
      <c r="R165" s="52">
        <f t="shared" si="90"/>
        <v>0</v>
      </c>
      <c r="S165" s="52">
        <f t="shared" si="90"/>
        <v>0.16666666666666666</v>
      </c>
      <c r="T165" s="52">
        <f t="shared" si="90"/>
        <v>1</v>
      </c>
      <c r="U165" s="52">
        <f t="shared" si="90"/>
        <v>1</v>
      </c>
      <c r="V165" s="52">
        <f t="shared" si="90"/>
        <v>1</v>
      </c>
      <c r="W165" s="52">
        <f t="shared" si="90"/>
        <v>1</v>
      </c>
      <c r="X165" s="52">
        <f t="shared" si="90"/>
        <v>1</v>
      </c>
      <c r="Y165" s="52">
        <f t="shared" si="90"/>
        <v>1</v>
      </c>
      <c r="Z165" s="52">
        <f t="shared" si="90"/>
        <v>1</v>
      </c>
      <c r="AA165" s="52">
        <f t="shared" si="90"/>
        <v>1</v>
      </c>
      <c r="AB165" s="52">
        <f t="shared" si="90"/>
        <v>1</v>
      </c>
      <c r="AC165" s="52">
        <f t="shared" si="90"/>
        <v>1</v>
      </c>
      <c r="AD165" s="52">
        <f t="shared" si="90"/>
        <v>1</v>
      </c>
      <c r="AE165" s="52">
        <f t="shared" si="90"/>
        <v>1</v>
      </c>
      <c r="AF165" s="52">
        <f t="shared" si="90"/>
        <v>1</v>
      </c>
      <c r="AG165" s="52">
        <f t="shared" si="90"/>
        <v>1</v>
      </c>
      <c r="AH165" s="52">
        <f t="shared" si="90"/>
        <v>1</v>
      </c>
      <c r="AI165" s="52">
        <f t="shared" si="90"/>
        <v>1</v>
      </c>
      <c r="AJ165" s="52">
        <f t="shared" si="90"/>
        <v>1</v>
      </c>
      <c r="AK165" s="52">
        <f t="shared" si="90"/>
        <v>1</v>
      </c>
      <c r="AL165" s="52">
        <f t="shared" si="90"/>
        <v>1</v>
      </c>
      <c r="AM165" s="52">
        <f t="shared" si="90"/>
        <v>1</v>
      </c>
      <c r="AN165" s="52">
        <f t="shared" si="90"/>
        <v>1</v>
      </c>
      <c r="AO165" s="52">
        <f t="shared" si="90"/>
        <v>1</v>
      </c>
      <c r="AP165" s="52">
        <f t="shared" si="90"/>
        <v>1</v>
      </c>
      <c r="AQ165" s="52">
        <f t="shared" si="90"/>
        <v>1</v>
      </c>
      <c r="AR165" s="52">
        <f t="shared" si="90"/>
        <v>1</v>
      </c>
      <c r="AS165" s="52">
        <f t="shared" si="90"/>
        <v>1</v>
      </c>
      <c r="AT165" s="52">
        <f t="shared" si="90"/>
        <v>1</v>
      </c>
      <c r="AU165" s="52">
        <f t="shared" si="90"/>
        <v>1</v>
      </c>
      <c r="AV165" s="52">
        <f t="shared" si="90"/>
        <v>1</v>
      </c>
      <c r="AW165" s="52">
        <f t="shared" si="90"/>
        <v>1</v>
      </c>
      <c r="AX165" s="52">
        <f t="shared" si="90"/>
        <v>1</v>
      </c>
      <c r="AY165" s="52">
        <f t="shared" si="90"/>
        <v>1</v>
      </c>
      <c r="AZ165" s="52">
        <f t="shared" si="90"/>
        <v>1</v>
      </c>
      <c r="BA165" s="52">
        <f t="shared" si="90"/>
        <v>1</v>
      </c>
      <c r="BB165" s="52">
        <f t="shared" si="90"/>
        <v>1</v>
      </c>
      <c r="BC165" s="52">
        <f t="shared" si="90"/>
        <v>1</v>
      </c>
      <c r="BD165" s="52">
        <f t="shared" si="90"/>
        <v>1</v>
      </c>
      <c r="BE165" s="52">
        <f t="shared" si="90"/>
        <v>1</v>
      </c>
      <c r="BF165" s="52">
        <f t="shared" si="90"/>
        <v>1</v>
      </c>
      <c r="BG165" s="52">
        <f t="shared" si="90"/>
        <v>1</v>
      </c>
      <c r="BH165" s="52">
        <f t="shared" si="90"/>
        <v>1</v>
      </c>
      <c r="BI165" s="52">
        <f t="shared" si="90"/>
        <v>1</v>
      </c>
      <c r="BJ165" s="52">
        <f t="shared" si="90"/>
        <v>1</v>
      </c>
      <c r="BK165" s="52">
        <f t="shared" si="90"/>
        <v>1</v>
      </c>
      <c r="BL165" s="52">
        <f t="shared" si="90"/>
        <v>1</v>
      </c>
      <c r="BM165" s="52">
        <f t="shared" si="90"/>
        <v>1</v>
      </c>
      <c r="BN165" s="52">
        <f t="shared" si="90"/>
        <v>1</v>
      </c>
      <c r="BO165" s="32">
        <f t="shared" si="79"/>
        <v>0.7994350282485877</v>
      </c>
    </row>
    <row r="166" spans="1:67" s="27" customFormat="1" ht="18.75" customHeight="1" x14ac:dyDescent="0.25">
      <c r="A166" s="50" t="s">
        <v>338</v>
      </c>
      <c r="B166" s="50" t="s">
        <v>339</v>
      </c>
      <c r="C166" s="50" t="s">
        <v>111</v>
      </c>
      <c r="D166" s="51">
        <f>VLOOKUP(A166,'[1]Cuadro Control'!C196:J2096,8,FALSE)</f>
        <v>94303618.549411759</v>
      </c>
      <c r="E166" s="52">
        <f t="shared" si="89"/>
        <v>1.7763397864110998E-2</v>
      </c>
      <c r="F166" s="53">
        <v>46295</v>
      </c>
      <c r="G166" s="53">
        <v>46297</v>
      </c>
      <c r="H166" s="52">
        <f t="shared" si="90"/>
        <v>0</v>
      </c>
      <c r="I166" s="52">
        <f t="shared" si="90"/>
        <v>0</v>
      </c>
      <c r="J166" s="52">
        <f t="shared" si="90"/>
        <v>0</v>
      </c>
      <c r="K166" s="52">
        <f t="shared" si="90"/>
        <v>0</v>
      </c>
      <c r="L166" s="52">
        <f t="shared" si="90"/>
        <v>0</v>
      </c>
      <c r="M166" s="52">
        <f t="shared" si="90"/>
        <v>0</v>
      </c>
      <c r="N166" s="52">
        <f t="shared" si="90"/>
        <v>0</v>
      </c>
      <c r="O166" s="52">
        <f t="shared" si="90"/>
        <v>0</v>
      </c>
      <c r="P166" s="52">
        <f t="shared" si="90"/>
        <v>0</v>
      </c>
      <c r="Q166" s="52">
        <f t="shared" si="90"/>
        <v>0</v>
      </c>
      <c r="R166" s="52">
        <f t="shared" si="90"/>
        <v>0</v>
      </c>
      <c r="S166" s="52">
        <f t="shared" si="90"/>
        <v>0</v>
      </c>
      <c r="T166" s="52">
        <f t="shared" si="90"/>
        <v>1</v>
      </c>
      <c r="U166" s="52">
        <f t="shared" si="90"/>
        <v>1</v>
      </c>
      <c r="V166" s="52">
        <f t="shared" si="90"/>
        <v>1</v>
      </c>
      <c r="W166" s="52">
        <f t="shared" si="90"/>
        <v>1</v>
      </c>
      <c r="X166" s="52">
        <f t="shared" si="90"/>
        <v>1</v>
      </c>
      <c r="Y166" s="52">
        <f t="shared" si="90"/>
        <v>1</v>
      </c>
      <c r="Z166" s="52">
        <f t="shared" si="90"/>
        <v>1</v>
      </c>
      <c r="AA166" s="52">
        <f t="shared" ref="AA166:BF177" si="91">IF($F166=0,0,IF(AA$6&lt;$F166,0,IF(AA$6&gt;$G166,1,(AA$6-$F166+1)/($G166-$F166+1))))</f>
        <v>1</v>
      </c>
      <c r="AB166" s="52">
        <f t="shared" si="91"/>
        <v>1</v>
      </c>
      <c r="AC166" s="52">
        <f t="shared" si="91"/>
        <v>1</v>
      </c>
      <c r="AD166" s="52">
        <f t="shared" si="91"/>
        <v>1</v>
      </c>
      <c r="AE166" s="52">
        <f t="shared" si="91"/>
        <v>1</v>
      </c>
      <c r="AF166" s="52">
        <f t="shared" si="91"/>
        <v>1</v>
      </c>
      <c r="AG166" s="52">
        <f t="shared" si="91"/>
        <v>1</v>
      </c>
      <c r="AH166" s="52">
        <f t="shared" si="91"/>
        <v>1</v>
      </c>
      <c r="AI166" s="52">
        <f t="shared" si="91"/>
        <v>1</v>
      </c>
      <c r="AJ166" s="52">
        <f t="shared" si="91"/>
        <v>1</v>
      </c>
      <c r="AK166" s="52">
        <f t="shared" si="91"/>
        <v>1</v>
      </c>
      <c r="AL166" s="52">
        <f t="shared" si="91"/>
        <v>1</v>
      </c>
      <c r="AM166" s="52">
        <f t="shared" si="91"/>
        <v>1</v>
      </c>
      <c r="AN166" s="52">
        <f t="shared" si="91"/>
        <v>1</v>
      </c>
      <c r="AO166" s="52">
        <f t="shared" si="91"/>
        <v>1</v>
      </c>
      <c r="AP166" s="52">
        <f t="shared" si="91"/>
        <v>1</v>
      </c>
      <c r="AQ166" s="52">
        <f t="shared" si="91"/>
        <v>1</v>
      </c>
      <c r="AR166" s="52">
        <f t="shared" si="91"/>
        <v>1</v>
      </c>
      <c r="AS166" s="52">
        <f t="shared" si="91"/>
        <v>1</v>
      </c>
      <c r="AT166" s="52">
        <f t="shared" si="91"/>
        <v>1</v>
      </c>
      <c r="AU166" s="52">
        <f t="shared" si="91"/>
        <v>1</v>
      </c>
      <c r="AV166" s="52">
        <f t="shared" si="91"/>
        <v>1</v>
      </c>
      <c r="AW166" s="52">
        <f t="shared" si="91"/>
        <v>1</v>
      </c>
      <c r="AX166" s="52">
        <f t="shared" si="91"/>
        <v>1</v>
      </c>
      <c r="AY166" s="52">
        <f t="shared" si="91"/>
        <v>1</v>
      </c>
      <c r="AZ166" s="52">
        <f t="shared" si="91"/>
        <v>1</v>
      </c>
      <c r="BA166" s="52">
        <f t="shared" si="91"/>
        <v>1</v>
      </c>
      <c r="BB166" s="52">
        <f t="shared" si="91"/>
        <v>1</v>
      </c>
      <c r="BC166" s="52">
        <f t="shared" si="91"/>
        <v>1</v>
      </c>
      <c r="BD166" s="52">
        <f t="shared" si="91"/>
        <v>1</v>
      </c>
      <c r="BE166" s="52">
        <f t="shared" si="91"/>
        <v>1</v>
      </c>
      <c r="BF166" s="52">
        <f t="shared" si="91"/>
        <v>1</v>
      </c>
      <c r="BG166" s="52">
        <f t="shared" ref="BG166:BN177" si="92">IF($F166=0,0,IF(BG$6&lt;$F166,0,IF(BG$6&gt;$G166,1,(BG$6-$F166+1)/($G166-$F166+1))))</f>
        <v>1</v>
      </c>
      <c r="BH166" s="52">
        <f t="shared" si="92"/>
        <v>1</v>
      </c>
      <c r="BI166" s="52">
        <f t="shared" si="92"/>
        <v>1</v>
      </c>
      <c r="BJ166" s="52">
        <f t="shared" si="92"/>
        <v>1</v>
      </c>
      <c r="BK166" s="52">
        <f t="shared" si="92"/>
        <v>1</v>
      </c>
      <c r="BL166" s="52">
        <f t="shared" si="92"/>
        <v>1</v>
      </c>
      <c r="BM166" s="52">
        <f t="shared" si="92"/>
        <v>1</v>
      </c>
      <c r="BN166" s="52">
        <f t="shared" si="92"/>
        <v>1</v>
      </c>
      <c r="BO166" s="32">
        <f t="shared" si="79"/>
        <v>0.79661016949152541</v>
      </c>
    </row>
    <row r="167" spans="1:67" s="27" customFormat="1" ht="18.75" customHeight="1" x14ac:dyDescent="0.25">
      <c r="A167" s="50" t="s">
        <v>340</v>
      </c>
      <c r="B167" s="50" t="s">
        <v>341</v>
      </c>
      <c r="C167" s="50" t="s">
        <v>238</v>
      </c>
      <c r="D167" s="51">
        <f>VLOOKUP(A167,'[1]Cuadro Control'!C197:J2097,8,FALSE)</f>
        <v>179436034.15411764</v>
      </c>
      <c r="E167" s="52">
        <f t="shared" si="89"/>
        <v>3.3799272126209236E-2</v>
      </c>
      <c r="F167" s="53">
        <v>46297</v>
      </c>
      <c r="G167" s="53">
        <v>46302</v>
      </c>
      <c r="H167" s="52">
        <f t="shared" ref="H167:W177" si="93">IF($F167=0,0,IF(H$6&lt;$F167,0,IF(H$6&gt;$G167,1,(H$6-$F167+1)/($G167-$F167+1))))</f>
        <v>0</v>
      </c>
      <c r="I167" s="52">
        <f t="shared" si="93"/>
        <v>0</v>
      </c>
      <c r="J167" s="52">
        <f t="shared" si="93"/>
        <v>0</v>
      </c>
      <c r="K167" s="52">
        <f t="shared" si="93"/>
        <v>0</v>
      </c>
      <c r="L167" s="52">
        <f t="shared" si="93"/>
        <v>0</v>
      </c>
      <c r="M167" s="52">
        <f t="shared" si="93"/>
        <v>0</v>
      </c>
      <c r="N167" s="52">
        <f t="shared" si="93"/>
        <v>0</v>
      </c>
      <c r="O167" s="52">
        <f t="shared" si="93"/>
        <v>0</v>
      </c>
      <c r="P167" s="52">
        <f t="shared" si="93"/>
        <v>0</v>
      </c>
      <c r="Q167" s="52">
        <f t="shared" si="93"/>
        <v>0</v>
      </c>
      <c r="R167" s="52">
        <f t="shared" si="93"/>
        <v>0</v>
      </c>
      <c r="S167" s="52">
        <f t="shared" si="93"/>
        <v>0</v>
      </c>
      <c r="T167" s="52">
        <f t="shared" si="93"/>
        <v>0.16666666666666666</v>
      </c>
      <c r="U167" s="52">
        <f t="shared" si="93"/>
        <v>1</v>
      </c>
      <c r="V167" s="52">
        <f t="shared" si="93"/>
        <v>1</v>
      </c>
      <c r="W167" s="52">
        <f t="shared" si="93"/>
        <v>1</v>
      </c>
      <c r="X167" s="52">
        <f t="shared" ref="X167:BC177" si="94">IF($F167=0,0,IF(X$6&lt;$F167,0,IF(X$6&gt;$G167,1,(X$6-$F167+1)/($G167-$F167+1))))</f>
        <v>1</v>
      </c>
      <c r="Y167" s="52">
        <f t="shared" si="94"/>
        <v>1</v>
      </c>
      <c r="Z167" s="52">
        <f t="shared" si="94"/>
        <v>1</v>
      </c>
      <c r="AA167" s="52">
        <f t="shared" si="94"/>
        <v>1</v>
      </c>
      <c r="AB167" s="52">
        <f t="shared" si="94"/>
        <v>1</v>
      </c>
      <c r="AC167" s="52">
        <f t="shared" si="94"/>
        <v>1</v>
      </c>
      <c r="AD167" s="52">
        <f t="shared" si="94"/>
        <v>1</v>
      </c>
      <c r="AE167" s="52">
        <f t="shared" si="94"/>
        <v>1</v>
      </c>
      <c r="AF167" s="52">
        <f t="shared" si="94"/>
        <v>1</v>
      </c>
      <c r="AG167" s="52">
        <f t="shared" si="94"/>
        <v>1</v>
      </c>
      <c r="AH167" s="52">
        <f t="shared" si="94"/>
        <v>1</v>
      </c>
      <c r="AI167" s="52">
        <f t="shared" si="94"/>
        <v>1</v>
      </c>
      <c r="AJ167" s="52">
        <f t="shared" si="94"/>
        <v>1</v>
      </c>
      <c r="AK167" s="52">
        <f t="shared" si="94"/>
        <v>1</v>
      </c>
      <c r="AL167" s="52">
        <f t="shared" si="94"/>
        <v>1</v>
      </c>
      <c r="AM167" s="52">
        <f t="shared" si="94"/>
        <v>1</v>
      </c>
      <c r="AN167" s="52">
        <f t="shared" si="94"/>
        <v>1</v>
      </c>
      <c r="AO167" s="52">
        <f t="shared" si="91"/>
        <v>1</v>
      </c>
      <c r="AP167" s="52">
        <f t="shared" si="91"/>
        <v>1</v>
      </c>
      <c r="AQ167" s="52">
        <f t="shared" si="91"/>
        <v>1</v>
      </c>
      <c r="AR167" s="52">
        <f t="shared" si="91"/>
        <v>1</v>
      </c>
      <c r="AS167" s="52">
        <f t="shared" si="91"/>
        <v>1</v>
      </c>
      <c r="AT167" s="52">
        <f t="shared" si="91"/>
        <v>1</v>
      </c>
      <c r="AU167" s="52">
        <f t="shared" si="91"/>
        <v>1</v>
      </c>
      <c r="AV167" s="52">
        <f t="shared" si="91"/>
        <v>1</v>
      </c>
      <c r="AW167" s="52">
        <f t="shared" si="91"/>
        <v>1</v>
      </c>
      <c r="AX167" s="52">
        <f t="shared" si="91"/>
        <v>1</v>
      </c>
      <c r="AY167" s="52">
        <f t="shared" si="91"/>
        <v>1</v>
      </c>
      <c r="AZ167" s="52">
        <f t="shared" si="91"/>
        <v>1</v>
      </c>
      <c r="BA167" s="52">
        <f t="shared" si="91"/>
        <v>1</v>
      </c>
      <c r="BB167" s="52">
        <f t="shared" si="91"/>
        <v>1</v>
      </c>
      <c r="BC167" s="52">
        <f t="shared" si="91"/>
        <v>1</v>
      </c>
      <c r="BD167" s="52">
        <f t="shared" si="91"/>
        <v>1</v>
      </c>
      <c r="BE167" s="52">
        <f t="shared" si="91"/>
        <v>1</v>
      </c>
      <c r="BF167" s="52">
        <f t="shared" si="91"/>
        <v>1</v>
      </c>
      <c r="BG167" s="52">
        <f t="shared" si="92"/>
        <v>1</v>
      </c>
      <c r="BH167" s="52">
        <f t="shared" si="92"/>
        <v>1</v>
      </c>
      <c r="BI167" s="52">
        <f t="shared" si="92"/>
        <v>1</v>
      </c>
      <c r="BJ167" s="52">
        <f t="shared" si="92"/>
        <v>1</v>
      </c>
      <c r="BK167" s="52">
        <f t="shared" si="92"/>
        <v>1</v>
      </c>
      <c r="BL167" s="52">
        <f t="shared" si="92"/>
        <v>1</v>
      </c>
      <c r="BM167" s="52">
        <f t="shared" si="92"/>
        <v>1</v>
      </c>
      <c r="BN167" s="52">
        <f t="shared" si="92"/>
        <v>1</v>
      </c>
      <c r="BO167" s="32">
        <f t="shared" si="79"/>
        <v>0.78248587570621475</v>
      </c>
    </row>
    <row r="168" spans="1:67" s="27" customFormat="1" ht="18.75" customHeight="1" x14ac:dyDescent="0.25">
      <c r="A168" s="50" t="s">
        <v>342</v>
      </c>
      <c r="B168" s="50" t="s">
        <v>343</v>
      </c>
      <c r="C168" s="50" t="s">
        <v>58</v>
      </c>
      <c r="D168" s="51">
        <f>VLOOKUP(A168,'[1]Cuadro Control'!C198:J2098,8,FALSE)</f>
        <v>1212623361.2117648</v>
      </c>
      <c r="E168" s="52">
        <f t="shared" si="89"/>
        <v>0.22841447185013161</v>
      </c>
      <c r="F168" s="53">
        <v>46302</v>
      </c>
      <c r="G168" s="53">
        <v>46319</v>
      </c>
      <c r="H168" s="52">
        <f t="shared" si="93"/>
        <v>0</v>
      </c>
      <c r="I168" s="52">
        <f t="shared" si="93"/>
        <v>0</v>
      </c>
      <c r="J168" s="52">
        <f t="shared" si="93"/>
        <v>0</v>
      </c>
      <c r="K168" s="52">
        <f t="shared" si="93"/>
        <v>0</v>
      </c>
      <c r="L168" s="52">
        <f t="shared" si="93"/>
        <v>0</v>
      </c>
      <c r="M168" s="52">
        <f t="shared" si="93"/>
        <v>0</v>
      </c>
      <c r="N168" s="52">
        <f t="shared" si="93"/>
        <v>0</v>
      </c>
      <c r="O168" s="52">
        <f t="shared" si="93"/>
        <v>0</v>
      </c>
      <c r="P168" s="52">
        <f t="shared" si="93"/>
        <v>0</v>
      </c>
      <c r="Q168" s="52">
        <f t="shared" si="93"/>
        <v>0</v>
      </c>
      <c r="R168" s="52">
        <f t="shared" si="93"/>
        <v>0</v>
      </c>
      <c r="S168" s="52">
        <f t="shared" si="93"/>
        <v>0</v>
      </c>
      <c r="T168" s="52">
        <f t="shared" si="93"/>
        <v>0</v>
      </c>
      <c r="U168" s="52">
        <f t="shared" si="93"/>
        <v>0.16666666666666666</v>
      </c>
      <c r="V168" s="52">
        <f t="shared" si="93"/>
        <v>0.55555555555555558</v>
      </c>
      <c r="W168" s="52">
        <f t="shared" si="93"/>
        <v>0.94444444444444442</v>
      </c>
      <c r="X168" s="52">
        <f t="shared" si="94"/>
        <v>1</v>
      </c>
      <c r="Y168" s="52">
        <f t="shared" si="94"/>
        <v>1</v>
      </c>
      <c r="Z168" s="52">
        <f t="shared" si="94"/>
        <v>1</v>
      </c>
      <c r="AA168" s="52">
        <f t="shared" si="94"/>
        <v>1</v>
      </c>
      <c r="AB168" s="52">
        <f t="shared" si="94"/>
        <v>1</v>
      </c>
      <c r="AC168" s="52">
        <f t="shared" si="94"/>
        <v>1</v>
      </c>
      <c r="AD168" s="52">
        <f t="shared" si="94"/>
        <v>1</v>
      </c>
      <c r="AE168" s="52">
        <f t="shared" si="94"/>
        <v>1</v>
      </c>
      <c r="AF168" s="52">
        <f t="shared" si="94"/>
        <v>1</v>
      </c>
      <c r="AG168" s="52">
        <f t="shared" si="94"/>
        <v>1</v>
      </c>
      <c r="AH168" s="52">
        <f t="shared" si="94"/>
        <v>1</v>
      </c>
      <c r="AI168" s="52">
        <f t="shared" si="94"/>
        <v>1</v>
      </c>
      <c r="AJ168" s="52">
        <f t="shared" si="94"/>
        <v>1</v>
      </c>
      <c r="AK168" s="52">
        <f t="shared" si="94"/>
        <v>1</v>
      </c>
      <c r="AL168" s="52">
        <f t="shared" si="94"/>
        <v>1</v>
      </c>
      <c r="AM168" s="52">
        <f t="shared" si="94"/>
        <v>1</v>
      </c>
      <c r="AN168" s="52">
        <f t="shared" si="94"/>
        <v>1</v>
      </c>
      <c r="AO168" s="52">
        <f t="shared" si="91"/>
        <v>1</v>
      </c>
      <c r="AP168" s="52">
        <f t="shared" si="91"/>
        <v>1</v>
      </c>
      <c r="AQ168" s="52">
        <f t="shared" si="91"/>
        <v>1</v>
      </c>
      <c r="AR168" s="52">
        <f t="shared" si="91"/>
        <v>1</v>
      </c>
      <c r="AS168" s="52">
        <f t="shared" si="91"/>
        <v>1</v>
      </c>
      <c r="AT168" s="52">
        <f t="shared" si="91"/>
        <v>1</v>
      </c>
      <c r="AU168" s="52">
        <f t="shared" si="91"/>
        <v>1</v>
      </c>
      <c r="AV168" s="52">
        <f t="shared" si="91"/>
        <v>1</v>
      </c>
      <c r="AW168" s="52">
        <f t="shared" si="91"/>
        <v>1</v>
      </c>
      <c r="AX168" s="52">
        <f t="shared" si="91"/>
        <v>1</v>
      </c>
      <c r="AY168" s="52">
        <f t="shared" si="91"/>
        <v>1</v>
      </c>
      <c r="AZ168" s="52">
        <f t="shared" si="91"/>
        <v>1</v>
      </c>
      <c r="BA168" s="52">
        <f t="shared" si="91"/>
        <v>1</v>
      </c>
      <c r="BB168" s="52">
        <f t="shared" si="91"/>
        <v>1</v>
      </c>
      <c r="BC168" s="52">
        <f t="shared" si="91"/>
        <v>1</v>
      </c>
      <c r="BD168" s="52">
        <f t="shared" si="91"/>
        <v>1</v>
      </c>
      <c r="BE168" s="52">
        <f t="shared" si="91"/>
        <v>1</v>
      </c>
      <c r="BF168" s="52">
        <f t="shared" si="91"/>
        <v>1</v>
      </c>
      <c r="BG168" s="52">
        <f t="shared" si="92"/>
        <v>1</v>
      </c>
      <c r="BH168" s="52">
        <f t="shared" si="92"/>
        <v>1</v>
      </c>
      <c r="BI168" s="52">
        <f t="shared" si="92"/>
        <v>1</v>
      </c>
      <c r="BJ168" s="52">
        <f t="shared" si="92"/>
        <v>1</v>
      </c>
      <c r="BK168" s="52">
        <f t="shared" si="92"/>
        <v>1</v>
      </c>
      <c r="BL168" s="52">
        <f t="shared" si="92"/>
        <v>1</v>
      </c>
      <c r="BM168" s="52">
        <f t="shared" si="92"/>
        <v>1</v>
      </c>
      <c r="BN168" s="52">
        <f t="shared" si="92"/>
        <v>1</v>
      </c>
      <c r="BO168" s="32">
        <f t="shared" si="79"/>
        <v>0.75706214689265527</v>
      </c>
    </row>
    <row r="169" spans="1:67" s="27" customFormat="1" ht="18.75" customHeight="1" x14ac:dyDescent="0.25">
      <c r="A169" s="50" t="s">
        <v>344</v>
      </c>
      <c r="B169" s="50" t="s">
        <v>345</v>
      </c>
      <c r="C169" s="50" t="s">
        <v>126</v>
      </c>
      <c r="D169" s="51">
        <f>VLOOKUP(A169,'[1]Cuadro Control'!C199:J2099,8,FALSE)</f>
        <v>0</v>
      </c>
      <c r="E169" s="52">
        <f t="shared" si="89"/>
        <v>0</v>
      </c>
      <c r="F169" s="53">
        <v>46319</v>
      </c>
      <c r="G169" s="53">
        <v>46322</v>
      </c>
      <c r="H169" s="52">
        <f t="shared" si="93"/>
        <v>0</v>
      </c>
      <c r="I169" s="52">
        <f t="shared" si="93"/>
        <v>0</v>
      </c>
      <c r="J169" s="52">
        <f t="shared" si="93"/>
        <v>0</v>
      </c>
      <c r="K169" s="52">
        <f t="shared" si="93"/>
        <v>0</v>
      </c>
      <c r="L169" s="52">
        <f t="shared" si="93"/>
        <v>0</v>
      </c>
      <c r="M169" s="52">
        <f t="shared" si="93"/>
        <v>0</v>
      </c>
      <c r="N169" s="52">
        <f t="shared" si="93"/>
        <v>0</v>
      </c>
      <c r="O169" s="52">
        <f t="shared" si="93"/>
        <v>0</v>
      </c>
      <c r="P169" s="52">
        <f t="shared" si="93"/>
        <v>0</v>
      </c>
      <c r="Q169" s="52">
        <f t="shared" si="93"/>
        <v>0</v>
      </c>
      <c r="R169" s="52">
        <f t="shared" si="93"/>
        <v>0</v>
      </c>
      <c r="S169" s="52">
        <f t="shared" si="93"/>
        <v>0</v>
      </c>
      <c r="T169" s="52">
        <f t="shared" si="93"/>
        <v>0</v>
      </c>
      <c r="U169" s="52">
        <f t="shared" si="93"/>
        <v>0</v>
      </c>
      <c r="V169" s="52">
        <f t="shared" si="93"/>
        <v>0</v>
      </c>
      <c r="W169" s="52">
        <f t="shared" si="93"/>
        <v>0</v>
      </c>
      <c r="X169" s="52">
        <f t="shared" si="94"/>
        <v>1</v>
      </c>
      <c r="Y169" s="52">
        <f t="shared" si="94"/>
        <v>1</v>
      </c>
      <c r="Z169" s="52">
        <f t="shared" si="94"/>
        <v>1</v>
      </c>
      <c r="AA169" s="52">
        <f t="shared" si="94"/>
        <v>1</v>
      </c>
      <c r="AB169" s="52">
        <f t="shared" si="94"/>
        <v>1</v>
      </c>
      <c r="AC169" s="52">
        <f t="shared" si="94"/>
        <v>1</v>
      </c>
      <c r="AD169" s="52">
        <f t="shared" si="94"/>
        <v>1</v>
      </c>
      <c r="AE169" s="52">
        <f t="shared" si="94"/>
        <v>1</v>
      </c>
      <c r="AF169" s="52">
        <f t="shared" si="94"/>
        <v>1</v>
      </c>
      <c r="AG169" s="52">
        <f t="shared" si="94"/>
        <v>1</v>
      </c>
      <c r="AH169" s="52">
        <f t="shared" si="94"/>
        <v>1</v>
      </c>
      <c r="AI169" s="52">
        <f t="shared" si="94"/>
        <v>1</v>
      </c>
      <c r="AJ169" s="52">
        <f t="shared" si="94"/>
        <v>1</v>
      </c>
      <c r="AK169" s="52">
        <f t="shared" si="94"/>
        <v>1</v>
      </c>
      <c r="AL169" s="52">
        <f t="shared" si="94"/>
        <v>1</v>
      </c>
      <c r="AM169" s="52">
        <f t="shared" si="94"/>
        <v>1</v>
      </c>
      <c r="AN169" s="52">
        <f t="shared" si="94"/>
        <v>1</v>
      </c>
      <c r="AO169" s="52">
        <f t="shared" si="91"/>
        <v>1</v>
      </c>
      <c r="AP169" s="52">
        <f t="shared" si="91"/>
        <v>1</v>
      </c>
      <c r="AQ169" s="52">
        <f t="shared" si="91"/>
        <v>1</v>
      </c>
      <c r="AR169" s="52">
        <f t="shared" si="91"/>
        <v>1</v>
      </c>
      <c r="AS169" s="52">
        <f t="shared" si="91"/>
        <v>1</v>
      </c>
      <c r="AT169" s="52">
        <f t="shared" si="91"/>
        <v>1</v>
      </c>
      <c r="AU169" s="52">
        <f t="shared" si="91"/>
        <v>1</v>
      </c>
      <c r="AV169" s="52">
        <f t="shared" si="91"/>
        <v>1</v>
      </c>
      <c r="AW169" s="52">
        <f t="shared" si="91"/>
        <v>1</v>
      </c>
      <c r="AX169" s="52">
        <f t="shared" si="91"/>
        <v>1</v>
      </c>
      <c r="AY169" s="52">
        <f t="shared" si="91"/>
        <v>1</v>
      </c>
      <c r="AZ169" s="52">
        <f t="shared" si="91"/>
        <v>1</v>
      </c>
      <c r="BA169" s="52">
        <f t="shared" si="91"/>
        <v>1</v>
      </c>
      <c r="BB169" s="52">
        <f t="shared" si="91"/>
        <v>1</v>
      </c>
      <c r="BC169" s="52">
        <f t="shared" si="91"/>
        <v>1</v>
      </c>
      <c r="BD169" s="52">
        <f t="shared" si="91"/>
        <v>1</v>
      </c>
      <c r="BE169" s="52">
        <f t="shared" si="91"/>
        <v>1</v>
      </c>
      <c r="BF169" s="52">
        <f t="shared" si="91"/>
        <v>1</v>
      </c>
      <c r="BG169" s="52">
        <f t="shared" si="92"/>
        <v>1</v>
      </c>
      <c r="BH169" s="52">
        <f t="shared" si="92"/>
        <v>1</v>
      </c>
      <c r="BI169" s="52">
        <f t="shared" si="92"/>
        <v>1</v>
      </c>
      <c r="BJ169" s="52">
        <f t="shared" si="92"/>
        <v>1</v>
      </c>
      <c r="BK169" s="52">
        <f t="shared" si="92"/>
        <v>1</v>
      </c>
      <c r="BL169" s="52">
        <f t="shared" si="92"/>
        <v>1</v>
      </c>
      <c r="BM169" s="52">
        <f t="shared" si="92"/>
        <v>1</v>
      </c>
      <c r="BN169" s="52">
        <f t="shared" si="92"/>
        <v>1</v>
      </c>
      <c r="BO169" s="32">
        <f t="shared" si="79"/>
        <v>0.72881355932203384</v>
      </c>
    </row>
    <row r="170" spans="1:67" s="27" customFormat="1" ht="18.75" customHeight="1" x14ac:dyDescent="0.25">
      <c r="A170" s="55" t="s">
        <v>346</v>
      </c>
      <c r="B170" s="55" t="s">
        <v>347</v>
      </c>
      <c r="C170" s="55" t="s">
        <v>14</v>
      </c>
      <c r="D170" s="56">
        <f>VLOOKUP(A170,'[1]Cuadro Control'!C200:J2100,8,FALSE)</f>
        <v>0</v>
      </c>
      <c r="E170" s="57">
        <f t="shared" si="89"/>
        <v>0</v>
      </c>
      <c r="F170" s="58">
        <v>46319</v>
      </c>
      <c r="G170" s="58">
        <v>46319</v>
      </c>
      <c r="H170" s="57">
        <f t="shared" si="93"/>
        <v>0</v>
      </c>
      <c r="I170" s="57">
        <f t="shared" si="93"/>
        <v>0</v>
      </c>
      <c r="J170" s="57">
        <f t="shared" si="93"/>
        <v>0</v>
      </c>
      <c r="K170" s="57">
        <f t="shared" si="93"/>
        <v>0</v>
      </c>
      <c r="L170" s="57">
        <f t="shared" si="93"/>
        <v>0</v>
      </c>
      <c r="M170" s="57">
        <f t="shared" si="93"/>
        <v>0</v>
      </c>
      <c r="N170" s="57">
        <f t="shared" si="93"/>
        <v>0</v>
      </c>
      <c r="O170" s="57">
        <f t="shared" si="93"/>
        <v>0</v>
      </c>
      <c r="P170" s="57">
        <f t="shared" si="93"/>
        <v>0</v>
      </c>
      <c r="Q170" s="57">
        <f t="shared" si="93"/>
        <v>0</v>
      </c>
      <c r="R170" s="57">
        <f t="shared" si="93"/>
        <v>0</v>
      </c>
      <c r="S170" s="57">
        <f t="shared" si="93"/>
        <v>0</v>
      </c>
      <c r="T170" s="57">
        <f t="shared" si="93"/>
        <v>0</v>
      </c>
      <c r="U170" s="57">
        <f t="shared" si="93"/>
        <v>0</v>
      </c>
      <c r="V170" s="57">
        <f t="shared" si="93"/>
        <v>0</v>
      </c>
      <c r="W170" s="57">
        <f t="shared" si="93"/>
        <v>0</v>
      </c>
      <c r="X170" s="57">
        <f t="shared" si="94"/>
        <v>1</v>
      </c>
      <c r="Y170" s="57">
        <f t="shared" si="94"/>
        <v>1</v>
      </c>
      <c r="Z170" s="57">
        <f t="shared" si="94"/>
        <v>1</v>
      </c>
      <c r="AA170" s="57">
        <f t="shared" si="94"/>
        <v>1</v>
      </c>
      <c r="AB170" s="57">
        <f t="shared" si="94"/>
        <v>1</v>
      </c>
      <c r="AC170" s="57">
        <f t="shared" si="94"/>
        <v>1</v>
      </c>
      <c r="AD170" s="57">
        <f t="shared" si="94"/>
        <v>1</v>
      </c>
      <c r="AE170" s="57">
        <f t="shared" si="94"/>
        <v>1</v>
      </c>
      <c r="AF170" s="57">
        <f t="shared" si="94"/>
        <v>1</v>
      </c>
      <c r="AG170" s="57">
        <f t="shared" si="94"/>
        <v>1</v>
      </c>
      <c r="AH170" s="57">
        <f t="shared" si="94"/>
        <v>1</v>
      </c>
      <c r="AI170" s="57">
        <f t="shared" si="94"/>
        <v>1</v>
      </c>
      <c r="AJ170" s="57">
        <f t="shared" si="94"/>
        <v>1</v>
      </c>
      <c r="AK170" s="57">
        <f t="shared" si="94"/>
        <v>1</v>
      </c>
      <c r="AL170" s="57">
        <f t="shared" si="94"/>
        <v>1</v>
      </c>
      <c r="AM170" s="57">
        <f t="shared" si="94"/>
        <v>1</v>
      </c>
      <c r="AN170" s="57">
        <f t="shared" si="94"/>
        <v>1</v>
      </c>
      <c r="AO170" s="57">
        <f t="shared" si="91"/>
        <v>1</v>
      </c>
      <c r="AP170" s="57">
        <f t="shared" si="91"/>
        <v>1</v>
      </c>
      <c r="AQ170" s="57">
        <f t="shared" si="91"/>
        <v>1</v>
      </c>
      <c r="AR170" s="57">
        <f t="shared" si="91"/>
        <v>1</v>
      </c>
      <c r="AS170" s="57">
        <f t="shared" si="91"/>
        <v>1</v>
      </c>
      <c r="AT170" s="57">
        <f t="shared" si="91"/>
        <v>1</v>
      </c>
      <c r="AU170" s="57">
        <f t="shared" si="91"/>
        <v>1</v>
      </c>
      <c r="AV170" s="57">
        <f t="shared" si="91"/>
        <v>1</v>
      </c>
      <c r="AW170" s="57">
        <f t="shared" si="91"/>
        <v>1</v>
      </c>
      <c r="AX170" s="57">
        <f t="shared" si="91"/>
        <v>1</v>
      </c>
      <c r="AY170" s="57">
        <f t="shared" si="91"/>
        <v>1</v>
      </c>
      <c r="AZ170" s="57">
        <f t="shared" si="91"/>
        <v>1</v>
      </c>
      <c r="BA170" s="57">
        <f t="shared" si="91"/>
        <v>1</v>
      </c>
      <c r="BB170" s="57">
        <f t="shared" si="91"/>
        <v>1</v>
      </c>
      <c r="BC170" s="57">
        <f t="shared" si="91"/>
        <v>1</v>
      </c>
      <c r="BD170" s="57">
        <f t="shared" si="91"/>
        <v>1</v>
      </c>
      <c r="BE170" s="57">
        <f t="shared" si="91"/>
        <v>1</v>
      </c>
      <c r="BF170" s="57">
        <f t="shared" si="91"/>
        <v>1</v>
      </c>
      <c r="BG170" s="57">
        <f t="shared" si="92"/>
        <v>1</v>
      </c>
      <c r="BH170" s="57">
        <f t="shared" si="92"/>
        <v>1</v>
      </c>
      <c r="BI170" s="57">
        <f t="shared" si="92"/>
        <v>1</v>
      </c>
      <c r="BJ170" s="57">
        <f t="shared" si="92"/>
        <v>1</v>
      </c>
      <c r="BK170" s="57">
        <f t="shared" si="92"/>
        <v>1</v>
      </c>
      <c r="BL170" s="57">
        <f t="shared" si="92"/>
        <v>1</v>
      </c>
      <c r="BM170" s="57">
        <f t="shared" si="92"/>
        <v>1</v>
      </c>
      <c r="BN170" s="57">
        <f t="shared" si="92"/>
        <v>1</v>
      </c>
      <c r="BO170" s="32">
        <f t="shared" si="79"/>
        <v>0.72881355932203384</v>
      </c>
    </row>
    <row r="171" spans="1:67" s="27" customFormat="1" ht="18.75" customHeight="1" x14ac:dyDescent="0.25">
      <c r="A171" s="50" t="s">
        <v>348</v>
      </c>
      <c r="B171" s="50" t="s">
        <v>349</v>
      </c>
      <c r="C171" s="50" t="s">
        <v>111</v>
      </c>
      <c r="D171" s="51">
        <f>VLOOKUP(A171,'[1]Cuadro Control'!C201:J2101,8,FALSE)</f>
        <v>1230815225.9452939</v>
      </c>
      <c r="E171" s="52">
        <f t="shared" si="89"/>
        <v>0.2318411625341423</v>
      </c>
      <c r="F171" s="53">
        <v>46323</v>
      </c>
      <c r="G171" s="53">
        <v>46323</v>
      </c>
      <c r="H171" s="52">
        <f t="shared" si="93"/>
        <v>0</v>
      </c>
      <c r="I171" s="52">
        <f t="shared" si="93"/>
        <v>0</v>
      </c>
      <c r="J171" s="52">
        <f t="shared" si="93"/>
        <v>0</v>
      </c>
      <c r="K171" s="52">
        <f t="shared" si="93"/>
        <v>0</v>
      </c>
      <c r="L171" s="52">
        <f t="shared" si="93"/>
        <v>0</v>
      </c>
      <c r="M171" s="52">
        <f t="shared" si="93"/>
        <v>0</v>
      </c>
      <c r="N171" s="52">
        <f t="shared" si="93"/>
        <v>0</v>
      </c>
      <c r="O171" s="52">
        <f t="shared" si="93"/>
        <v>0</v>
      </c>
      <c r="P171" s="52">
        <f t="shared" si="93"/>
        <v>0</v>
      </c>
      <c r="Q171" s="52">
        <f t="shared" si="93"/>
        <v>0</v>
      </c>
      <c r="R171" s="52">
        <f t="shared" si="93"/>
        <v>0</v>
      </c>
      <c r="S171" s="52">
        <f t="shared" si="93"/>
        <v>0</v>
      </c>
      <c r="T171" s="52">
        <f t="shared" si="93"/>
        <v>0</v>
      </c>
      <c r="U171" s="52">
        <f t="shared" si="93"/>
        <v>0</v>
      </c>
      <c r="V171" s="52">
        <f t="shared" si="93"/>
        <v>0</v>
      </c>
      <c r="W171" s="52">
        <f t="shared" si="93"/>
        <v>0</v>
      </c>
      <c r="X171" s="52">
        <f t="shared" si="94"/>
        <v>1</v>
      </c>
      <c r="Y171" s="52">
        <f t="shared" si="94"/>
        <v>1</v>
      </c>
      <c r="Z171" s="52">
        <f t="shared" si="94"/>
        <v>1</v>
      </c>
      <c r="AA171" s="52">
        <f t="shared" si="94"/>
        <v>1</v>
      </c>
      <c r="AB171" s="52">
        <f t="shared" si="94"/>
        <v>1</v>
      </c>
      <c r="AC171" s="52">
        <f t="shared" si="94"/>
        <v>1</v>
      </c>
      <c r="AD171" s="52">
        <f t="shared" si="94"/>
        <v>1</v>
      </c>
      <c r="AE171" s="52">
        <f t="shared" si="94"/>
        <v>1</v>
      </c>
      <c r="AF171" s="52">
        <f t="shared" si="94"/>
        <v>1</v>
      </c>
      <c r="AG171" s="52">
        <f t="shared" si="94"/>
        <v>1</v>
      </c>
      <c r="AH171" s="52">
        <f t="shared" si="94"/>
        <v>1</v>
      </c>
      <c r="AI171" s="52">
        <f t="shared" si="94"/>
        <v>1</v>
      </c>
      <c r="AJ171" s="52">
        <f t="shared" si="94"/>
        <v>1</v>
      </c>
      <c r="AK171" s="52">
        <f t="shared" si="94"/>
        <v>1</v>
      </c>
      <c r="AL171" s="52">
        <f t="shared" si="94"/>
        <v>1</v>
      </c>
      <c r="AM171" s="52">
        <f t="shared" si="94"/>
        <v>1</v>
      </c>
      <c r="AN171" s="52">
        <f t="shared" si="94"/>
        <v>1</v>
      </c>
      <c r="AO171" s="52">
        <f t="shared" si="91"/>
        <v>1</v>
      </c>
      <c r="AP171" s="52">
        <f t="shared" si="91"/>
        <v>1</v>
      </c>
      <c r="AQ171" s="52">
        <f t="shared" si="91"/>
        <v>1</v>
      </c>
      <c r="AR171" s="52">
        <f t="shared" si="91"/>
        <v>1</v>
      </c>
      <c r="AS171" s="52">
        <f t="shared" si="91"/>
        <v>1</v>
      </c>
      <c r="AT171" s="52">
        <f t="shared" si="91"/>
        <v>1</v>
      </c>
      <c r="AU171" s="52">
        <f t="shared" si="91"/>
        <v>1</v>
      </c>
      <c r="AV171" s="52">
        <f t="shared" si="91"/>
        <v>1</v>
      </c>
      <c r="AW171" s="52">
        <f t="shared" si="91"/>
        <v>1</v>
      </c>
      <c r="AX171" s="52">
        <f t="shared" si="91"/>
        <v>1</v>
      </c>
      <c r="AY171" s="52">
        <f t="shared" si="91"/>
        <v>1</v>
      </c>
      <c r="AZ171" s="52">
        <f t="shared" si="91"/>
        <v>1</v>
      </c>
      <c r="BA171" s="52">
        <f t="shared" si="91"/>
        <v>1</v>
      </c>
      <c r="BB171" s="52">
        <f t="shared" si="91"/>
        <v>1</v>
      </c>
      <c r="BC171" s="52">
        <f t="shared" si="91"/>
        <v>1</v>
      </c>
      <c r="BD171" s="52">
        <f t="shared" si="91"/>
        <v>1</v>
      </c>
      <c r="BE171" s="52">
        <f t="shared" si="91"/>
        <v>1</v>
      </c>
      <c r="BF171" s="52">
        <f t="shared" si="91"/>
        <v>1</v>
      </c>
      <c r="BG171" s="52">
        <f t="shared" si="92"/>
        <v>1</v>
      </c>
      <c r="BH171" s="52">
        <f t="shared" si="92"/>
        <v>1</v>
      </c>
      <c r="BI171" s="52">
        <f t="shared" si="92"/>
        <v>1</v>
      </c>
      <c r="BJ171" s="52">
        <f t="shared" si="92"/>
        <v>1</v>
      </c>
      <c r="BK171" s="52">
        <f t="shared" si="92"/>
        <v>1</v>
      </c>
      <c r="BL171" s="52">
        <f t="shared" si="92"/>
        <v>1</v>
      </c>
      <c r="BM171" s="52">
        <f t="shared" si="92"/>
        <v>1</v>
      </c>
      <c r="BN171" s="52">
        <f t="shared" si="92"/>
        <v>1</v>
      </c>
      <c r="BO171" s="32">
        <f t="shared" si="79"/>
        <v>0.72881355932203384</v>
      </c>
    </row>
    <row r="172" spans="1:67" s="27" customFormat="1" ht="18.75" customHeight="1" x14ac:dyDescent="0.25">
      <c r="A172" s="50" t="s">
        <v>350</v>
      </c>
      <c r="B172" s="50" t="s">
        <v>351</v>
      </c>
      <c r="C172" s="50" t="s">
        <v>238</v>
      </c>
      <c r="D172" s="51">
        <f>VLOOKUP(A172,'[1]Cuadro Control'!C202:J2102,8,FALSE)</f>
        <v>0</v>
      </c>
      <c r="E172" s="52">
        <f t="shared" si="89"/>
        <v>0</v>
      </c>
      <c r="F172" s="53">
        <v>46323</v>
      </c>
      <c r="G172" s="53">
        <v>46332</v>
      </c>
      <c r="H172" s="52">
        <f t="shared" si="93"/>
        <v>0</v>
      </c>
      <c r="I172" s="52">
        <f t="shared" si="93"/>
        <v>0</v>
      </c>
      <c r="J172" s="52">
        <f t="shared" si="93"/>
        <v>0</v>
      </c>
      <c r="K172" s="52">
        <f t="shared" si="93"/>
        <v>0</v>
      </c>
      <c r="L172" s="52">
        <f t="shared" si="93"/>
        <v>0</v>
      </c>
      <c r="M172" s="52">
        <f t="shared" si="93"/>
        <v>0</v>
      </c>
      <c r="N172" s="52">
        <f t="shared" si="93"/>
        <v>0</v>
      </c>
      <c r="O172" s="52">
        <f t="shared" si="93"/>
        <v>0</v>
      </c>
      <c r="P172" s="52">
        <f t="shared" si="93"/>
        <v>0</v>
      </c>
      <c r="Q172" s="52">
        <f t="shared" si="93"/>
        <v>0</v>
      </c>
      <c r="R172" s="52">
        <f t="shared" si="93"/>
        <v>0</v>
      </c>
      <c r="S172" s="52">
        <f t="shared" si="93"/>
        <v>0</v>
      </c>
      <c r="T172" s="52">
        <f t="shared" si="93"/>
        <v>0</v>
      </c>
      <c r="U172" s="52">
        <f t="shared" si="93"/>
        <v>0</v>
      </c>
      <c r="V172" s="52">
        <f t="shared" si="93"/>
        <v>0</v>
      </c>
      <c r="W172" s="52">
        <f t="shared" si="93"/>
        <v>0</v>
      </c>
      <c r="X172" s="52">
        <f t="shared" si="94"/>
        <v>0.3</v>
      </c>
      <c r="Y172" s="52">
        <f t="shared" si="94"/>
        <v>1</v>
      </c>
      <c r="Z172" s="52">
        <f t="shared" si="94"/>
        <v>1</v>
      </c>
      <c r="AA172" s="52">
        <f t="shared" si="94"/>
        <v>1</v>
      </c>
      <c r="AB172" s="52">
        <f t="shared" si="94"/>
        <v>1</v>
      </c>
      <c r="AC172" s="52">
        <f t="shared" si="94"/>
        <v>1</v>
      </c>
      <c r="AD172" s="52">
        <f t="shared" si="94"/>
        <v>1</v>
      </c>
      <c r="AE172" s="52">
        <f t="shared" si="94"/>
        <v>1</v>
      </c>
      <c r="AF172" s="52">
        <f t="shared" si="94"/>
        <v>1</v>
      </c>
      <c r="AG172" s="52">
        <f t="shared" si="94"/>
        <v>1</v>
      </c>
      <c r="AH172" s="52">
        <f t="shared" si="94"/>
        <v>1</v>
      </c>
      <c r="AI172" s="52">
        <f t="shared" si="94"/>
        <v>1</v>
      </c>
      <c r="AJ172" s="52">
        <f t="shared" si="94"/>
        <v>1</v>
      </c>
      <c r="AK172" s="52">
        <f t="shared" si="94"/>
        <v>1</v>
      </c>
      <c r="AL172" s="52">
        <f t="shared" si="94"/>
        <v>1</v>
      </c>
      <c r="AM172" s="52">
        <f t="shared" si="94"/>
        <v>1</v>
      </c>
      <c r="AN172" s="52">
        <f t="shared" si="94"/>
        <v>1</v>
      </c>
      <c r="AO172" s="52">
        <f t="shared" si="91"/>
        <v>1</v>
      </c>
      <c r="AP172" s="52">
        <f t="shared" si="91"/>
        <v>1</v>
      </c>
      <c r="AQ172" s="52">
        <f t="shared" si="91"/>
        <v>1</v>
      </c>
      <c r="AR172" s="52">
        <f t="shared" si="91"/>
        <v>1</v>
      </c>
      <c r="AS172" s="52">
        <f t="shared" si="91"/>
        <v>1</v>
      </c>
      <c r="AT172" s="52">
        <f t="shared" si="91"/>
        <v>1</v>
      </c>
      <c r="AU172" s="52">
        <f t="shared" si="91"/>
        <v>1</v>
      </c>
      <c r="AV172" s="52">
        <f t="shared" si="91"/>
        <v>1</v>
      </c>
      <c r="AW172" s="52">
        <f t="shared" si="91"/>
        <v>1</v>
      </c>
      <c r="AX172" s="52">
        <f t="shared" si="91"/>
        <v>1</v>
      </c>
      <c r="AY172" s="52">
        <f t="shared" si="91"/>
        <v>1</v>
      </c>
      <c r="AZ172" s="52">
        <f t="shared" si="91"/>
        <v>1</v>
      </c>
      <c r="BA172" s="52">
        <f t="shared" si="91"/>
        <v>1</v>
      </c>
      <c r="BB172" s="52">
        <f t="shared" si="91"/>
        <v>1</v>
      </c>
      <c r="BC172" s="52">
        <f t="shared" si="91"/>
        <v>1</v>
      </c>
      <c r="BD172" s="52">
        <f t="shared" si="91"/>
        <v>1</v>
      </c>
      <c r="BE172" s="52">
        <f t="shared" si="91"/>
        <v>1</v>
      </c>
      <c r="BF172" s="52">
        <f t="shared" si="91"/>
        <v>1</v>
      </c>
      <c r="BG172" s="52">
        <f t="shared" si="92"/>
        <v>1</v>
      </c>
      <c r="BH172" s="52">
        <f t="shared" si="92"/>
        <v>1</v>
      </c>
      <c r="BI172" s="52">
        <f t="shared" si="92"/>
        <v>1</v>
      </c>
      <c r="BJ172" s="52">
        <f t="shared" si="92"/>
        <v>1</v>
      </c>
      <c r="BK172" s="52">
        <f t="shared" si="92"/>
        <v>1</v>
      </c>
      <c r="BL172" s="52">
        <f t="shared" si="92"/>
        <v>1</v>
      </c>
      <c r="BM172" s="52">
        <f t="shared" si="92"/>
        <v>1</v>
      </c>
      <c r="BN172" s="52">
        <f t="shared" si="92"/>
        <v>1</v>
      </c>
      <c r="BO172" s="32">
        <f t="shared" si="79"/>
        <v>0.71694915254237279</v>
      </c>
    </row>
    <row r="173" spans="1:67" s="27" customFormat="1" ht="18.75" customHeight="1" x14ac:dyDescent="0.25">
      <c r="A173" s="50" t="s">
        <v>352</v>
      </c>
      <c r="B173" s="50" t="s">
        <v>353</v>
      </c>
      <c r="C173" s="50" t="s">
        <v>126</v>
      </c>
      <c r="D173" s="51">
        <f>VLOOKUP(A173,'[1]Cuadro Control'!C203:J2103,8,FALSE)</f>
        <v>52736347.43270281</v>
      </c>
      <c r="E173" s="52">
        <f t="shared" si="89"/>
        <v>9.933624348213644E-3</v>
      </c>
      <c r="F173" s="53">
        <v>46332</v>
      </c>
      <c r="G173" s="53">
        <v>46335</v>
      </c>
      <c r="H173" s="52">
        <f t="shared" si="93"/>
        <v>0</v>
      </c>
      <c r="I173" s="52">
        <f t="shared" si="93"/>
        <v>0</v>
      </c>
      <c r="J173" s="52">
        <f t="shared" si="93"/>
        <v>0</v>
      </c>
      <c r="K173" s="52">
        <f t="shared" si="93"/>
        <v>0</v>
      </c>
      <c r="L173" s="52">
        <f t="shared" si="93"/>
        <v>0</v>
      </c>
      <c r="M173" s="52">
        <f t="shared" si="93"/>
        <v>0</v>
      </c>
      <c r="N173" s="52">
        <f t="shared" si="93"/>
        <v>0</v>
      </c>
      <c r="O173" s="52">
        <f t="shared" si="93"/>
        <v>0</v>
      </c>
      <c r="P173" s="52">
        <f t="shared" si="93"/>
        <v>0</v>
      </c>
      <c r="Q173" s="52">
        <f t="shared" si="93"/>
        <v>0</v>
      </c>
      <c r="R173" s="52">
        <f t="shared" si="93"/>
        <v>0</v>
      </c>
      <c r="S173" s="52">
        <f t="shared" si="93"/>
        <v>0</v>
      </c>
      <c r="T173" s="52">
        <f t="shared" si="93"/>
        <v>0</v>
      </c>
      <c r="U173" s="52">
        <f t="shared" si="93"/>
        <v>0</v>
      </c>
      <c r="V173" s="52">
        <f t="shared" si="93"/>
        <v>0</v>
      </c>
      <c r="W173" s="52">
        <f t="shared" si="93"/>
        <v>0</v>
      </c>
      <c r="X173" s="52">
        <f t="shared" si="94"/>
        <v>0</v>
      </c>
      <c r="Y173" s="52">
        <f t="shared" si="94"/>
        <v>0.25</v>
      </c>
      <c r="Z173" s="52">
        <f t="shared" si="94"/>
        <v>1</v>
      </c>
      <c r="AA173" s="52">
        <f t="shared" si="94"/>
        <v>1</v>
      </c>
      <c r="AB173" s="52">
        <f t="shared" si="94"/>
        <v>1</v>
      </c>
      <c r="AC173" s="52">
        <f t="shared" si="94"/>
        <v>1</v>
      </c>
      <c r="AD173" s="52">
        <f t="shared" si="94"/>
        <v>1</v>
      </c>
      <c r="AE173" s="52">
        <f t="shared" si="94"/>
        <v>1</v>
      </c>
      <c r="AF173" s="52">
        <f t="shared" si="94"/>
        <v>1</v>
      </c>
      <c r="AG173" s="52">
        <f t="shared" si="94"/>
        <v>1</v>
      </c>
      <c r="AH173" s="52">
        <f t="shared" si="94"/>
        <v>1</v>
      </c>
      <c r="AI173" s="52">
        <f t="shared" si="94"/>
        <v>1</v>
      </c>
      <c r="AJ173" s="52">
        <f t="shared" si="94"/>
        <v>1</v>
      </c>
      <c r="AK173" s="52">
        <f t="shared" si="94"/>
        <v>1</v>
      </c>
      <c r="AL173" s="52">
        <f t="shared" si="94"/>
        <v>1</v>
      </c>
      <c r="AM173" s="52">
        <f t="shared" si="94"/>
        <v>1</v>
      </c>
      <c r="AN173" s="52">
        <f t="shared" si="94"/>
        <v>1</v>
      </c>
      <c r="AO173" s="52">
        <f t="shared" si="91"/>
        <v>1</v>
      </c>
      <c r="AP173" s="52">
        <f t="shared" si="91"/>
        <v>1</v>
      </c>
      <c r="AQ173" s="52">
        <f t="shared" si="91"/>
        <v>1</v>
      </c>
      <c r="AR173" s="52">
        <f t="shared" si="91"/>
        <v>1</v>
      </c>
      <c r="AS173" s="52">
        <f t="shared" si="91"/>
        <v>1</v>
      </c>
      <c r="AT173" s="52">
        <f t="shared" si="91"/>
        <v>1</v>
      </c>
      <c r="AU173" s="52">
        <f t="shared" si="91"/>
        <v>1</v>
      </c>
      <c r="AV173" s="52">
        <f t="shared" si="91"/>
        <v>1</v>
      </c>
      <c r="AW173" s="52">
        <f t="shared" si="91"/>
        <v>1</v>
      </c>
      <c r="AX173" s="52">
        <f t="shared" si="91"/>
        <v>1</v>
      </c>
      <c r="AY173" s="52">
        <f t="shared" si="91"/>
        <v>1</v>
      </c>
      <c r="AZ173" s="52">
        <f t="shared" si="91"/>
        <v>1</v>
      </c>
      <c r="BA173" s="52">
        <f t="shared" si="91"/>
        <v>1</v>
      </c>
      <c r="BB173" s="52">
        <f t="shared" si="91"/>
        <v>1</v>
      </c>
      <c r="BC173" s="52">
        <f t="shared" si="91"/>
        <v>1</v>
      </c>
      <c r="BD173" s="52">
        <f t="shared" si="91"/>
        <v>1</v>
      </c>
      <c r="BE173" s="52">
        <f t="shared" si="91"/>
        <v>1</v>
      </c>
      <c r="BF173" s="52">
        <f t="shared" si="91"/>
        <v>1</v>
      </c>
      <c r="BG173" s="52">
        <f t="shared" si="92"/>
        <v>1</v>
      </c>
      <c r="BH173" s="52">
        <f t="shared" si="92"/>
        <v>1</v>
      </c>
      <c r="BI173" s="52">
        <f t="shared" si="92"/>
        <v>1</v>
      </c>
      <c r="BJ173" s="52">
        <f t="shared" si="92"/>
        <v>1</v>
      </c>
      <c r="BK173" s="52">
        <f t="shared" si="92"/>
        <v>1</v>
      </c>
      <c r="BL173" s="52">
        <f t="shared" si="92"/>
        <v>1</v>
      </c>
      <c r="BM173" s="52">
        <f t="shared" si="92"/>
        <v>1</v>
      </c>
      <c r="BN173" s="52">
        <f t="shared" si="92"/>
        <v>1</v>
      </c>
      <c r="BO173" s="32">
        <f t="shared" si="79"/>
        <v>0.69915254237288138</v>
      </c>
    </row>
    <row r="174" spans="1:67" s="27" customFormat="1" ht="18.75" customHeight="1" x14ac:dyDescent="0.25">
      <c r="A174" s="50" t="s">
        <v>354</v>
      </c>
      <c r="B174" s="50" t="s">
        <v>355</v>
      </c>
      <c r="C174" s="50" t="s">
        <v>117</v>
      </c>
      <c r="D174" s="51">
        <f>VLOOKUP(A174,'[1]Cuadro Control'!C204:J2104,8,FALSE)</f>
        <v>46410609.014634147</v>
      </c>
      <c r="E174" s="52">
        <f t="shared" si="89"/>
        <v>8.742083556535862E-3</v>
      </c>
      <c r="F174" s="53">
        <v>46335</v>
      </c>
      <c r="G174" s="53">
        <v>46337</v>
      </c>
      <c r="H174" s="52">
        <f t="shared" si="93"/>
        <v>0</v>
      </c>
      <c r="I174" s="52">
        <f t="shared" si="93"/>
        <v>0</v>
      </c>
      <c r="J174" s="52">
        <f t="shared" si="93"/>
        <v>0</v>
      </c>
      <c r="K174" s="52">
        <f t="shared" si="93"/>
        <v>0</v>
      </c>
      <c r="L174" s="52">
        <f t="shared" si="93"/>
        <v>0</v>
      </c>
      <c r="M174" s="52">
        <f t="shared" si="93"/>
        <v>0</v>
      </c>
      <c r="N174" s="52">
        <f t="shared" si="93"/>
        <v>0</v>
      </c>
      <c r="O174" s="52">
        <f t="shared" si="93"/>
        <v>0</v>
      </c>
      <c r="P174" s="52">
        <f t="shared" si="93"/>
        <v>0</v>
      </c>
      <c r="Q174" s="52">
        <f t="shared" si="93"/>
        <v>0</v>
      </c>
      <c r="R174" s="52">
        <f t="shared" si="93"/>
        <v>0</v>
      </c>
      <c r="S174" s="52">
        <f t="shared" si="93"/>
        <v>0</v>
      </c>
      <c r="T174" s="52">
        <f t="shared" si="93"/>
        <v>0</v>
      </c>
      <c r="U174" s="52">
        <f t="shared" si="93"/>
        <v>0</v>
      </c>
      <c r="V174" s="52">
        <f t="shared" si="93"/>
        <v>0</v>
      </c>
      <c r="W174" s="52">
        <f t="shared" si="93"/>
        <v>0</v>
      </c>
      <c r="X174" s="52">
        <f t="shared" si="94"/>
        <v>0</v>
      </c>
      <c r="Y174" s="52">
        <f t="shared" si="94"/>
        <v>0</v>
      </c>
      <c r="Z174" s="52">
        <f t="shared" si="94"/>
        <v>1</v>
      </c>
      <c r="AA174" s="52">
        <f t="shared" si="94"/>
        <v>1</v>
      </c>
      <c r="AB174" s="52">
        <f t="shared" si="94"/>
        <v>1</v>
      </c>
      <c r="AC174" s="52">
        <f t="shared" si="94"/>
        <v>1</v>
      </c>
      <c r="AD174" s="52">
        <f t="shared" si="94"/>
        <v>1</v>
      </c>
      <c r="AE174" s="52">
        <f t="shared" si="94"/>
        <v>1</v>
      </c>
      <c r="AF174" s="52">
        <f t="shared" si="94"/>
        <v>1</v>
      </c>
      <c r="AG174" s="52">
        <f t="shared" si="94"/>
        <v>1</v>
      </c>
      <c r="AH174" s="52">
        <f t="shared" si="94"/>
        <v>1</v>
      </c>
      <c r="AI174" s="52">
        <f t="shared" si="94"/>
        <v>1</v>
      </c>
      <c r="AJ174" s="52">
        <f t="shared" si="94"/>
        <v>1</v>
      </c>
      <c r="AK174" s="52">
        <f t="shared" si="94"/>
        <v>1</v>
      </c>
      <c r="AL174" s="52">
        <f t="shared" si="94"/>
        <v>1</v>
      </c>
      <c r="AM174" s="52">
        <f t="shared" si="94"/>
        <v>1</v>
      </c>
      <c r="AN174" s="52">
        <f t="shared" si="94"/>
        <v>1</v>
      </c>
      <c r="AO174" s="52">
        <f t="shared" si="91"/>
        <v>1</v>
      </c>
      <c r="AP174" s="52">
        <f t="shared" si="91"/>
        <v>1</v>
      </c>
      <c r="AQ174" s="52">
        <f t="shared" si="91"/>
        <v>1</v>
      </c>
      <c r="AR174" s="52">
        <f t="shared" si="91"/>
        <v>1</v>
      </c>
      <c r="AS174" s="52">
        <f t="shared" si="91"/>
        <v>1</v>
      </c>
      <c r="AT174" s="52">
        <f t="shared" si="91"/>
        <v>1</v>
      </c>
      <c r="AU174" s="52">
        <f t="shared" si="91"/>
        <v>1</v>
      </c>
      <c r="AV174" s="52">
        <f t="shared" si="91"/>
        <v>1</v>
      </c>
      <c r="AW174" s="52">
        <f t="shared" si="91"/>
        <v>1</v>
      </c>
      <c r="AX174" s="52">
        <f t="shared" si="91"/>
        <v>1</v>
      </c>
      <c r="AY174" s="52">
        <f t="shared" si="91"/>
        <v>1</v>
      </c>
      <c r="AZ174" s="52">
        <f t="shared" si="91"/>
        <v>1</v>
      </c>
      <c r="BA174" s="52">
        <f t="shared" si="91"/>
        <v>1</v>
      </c>
      <c r="BB174" s="52">
        <f t="shared" si="91"/>
        <v>1</v>
      </c>
      <c r="BC174" s="52">
        <f t="shared" si="91"/>
        <v>1</v>
      </c>
      <c r="BD174" s="52">
        <f t="shared" si="91"/>
        <v>1</v>
      </c>
      <c r="BE174" s="52">
        <f t="shared" si="91"/>
        <v>1</v>
      </c>
      <c r="BF174" s="52">
        <f t="shared" si="91"/>
        <v>1</v>
      </c>
      <c r="BG174" s="52">
        <f t="shared" si="92"/>
        <v>1</v>
      </c>
      <c r="BH174" s="52">
        <f t="shared" si="92"/>
        <v>1</v>
      </c>
      <c r="BI174" s="52">
        <f t="shared" si="92"/>
        <v>1</v>
      </c>
      <c r="BJ174" s="52">
        <f t="shared" si="92"/>
        <v>1</v>
      </c>
      <c r="BK174" s="52">
        <f t="shared" si="92"/>
        <v>1</v>
      </c>
      <c r="BL174" s="52">
        <f t="shared" si="92"/>
        <v>1</v>
      </c>
      <c r="BM174" s="52">
        <f t="shared" si="92"/>
        <v>1</v>
      </c>
      <c r="BN174" s="52">
        <f t="shared" si="92"/>
        <v>1</v>
      </c>
      <c r="BO174" s="32">
        <f t="shared" si="79"/>
        <v>0.69491525423728817</v>
      </c>
    </row>
    <row r="175" spans="1:67" s="27" customFormat="1" ht="18.75" customHeight="1" x14ac:dyDescent="0.25">
      <c r="A175" s="50" t="s">
        <v>356</v>
      </c>
      <c r="B175" s="50" t="s">
        <v>357</v>
      </c>
      <c r="C175" s="50" t="s">
        <v>61</v>
      </c>
      <c r="D175" s="51">
        <f>VLOOKUP(A175,'[1]Cuadro Control'!C206:J2105,8,FALSE)</f>
        <v>1587346329.5488234</v>
      </c>
      <c r="E175" s="52">
        <f t="shared" si="89"/>
        <v>0.29899875353285565</v>
      </c>
      <c r="F175" s="53">
        <v>46339</v>
      </c>
      <c r="G175" s="53">
        <v>46351</v>
      </c>
      <c r="H175" s="52">
        <f t="shared" si="93"/>
        <v>0</v>
      </c>
      <c r="I175" s="52">
        <f t="shared" si="93"/>
        <v>0</v>
      </c>
      <c r="J175" s="52">
        <f t="shared" si="93"/>
        <v>0</v>
      </c>
      <c r="K175" s="52">
        <f t="shared" si="93"/>
        <v>0</v>
      </c>
      <c r="L175" s="52">
        <f t="shared" si="93"/>
        <v>0</v>
      </c>
      <c r="M175" s="52">
        <f t="shared" si="93"/>
        <v>0</v>
      </c>
      <c r="N175" s="52">
        <f t="shared" si="93"/>
        <v>0</v>
      </c>
      <c r="O175" s="52">
        <f t="shared" si="93"/>
        <v>0</v>
      </c>
      <c r="P175" s="52">
        <f t="shared" si="93"/>
        <v>0</v>
      </c>
      <c r="Q175" s="52">
        <f t="shared" si="93"/>
        <v>0</v>
      </c>
      <c r="R175" s="52">
        <f t="shared" si="93"/>
        <v>0</v>
      </c>
      <c r="S175" s="52">
        <f t="shared" si="93"/>
        <v>0</v>
      </c>
      <c r="T175" s="52">
        <f t="shared" si="93"/>
        <v>0</v>
      </c>
      <c r="U175" s="52">
        <f t="shared" si="93"/>
        <v>0</v>
      </c>
      <c r="V175" s="52">
        <f t="shared" si="93"/>
        <v>0</v>
      </c>
      <c r="W175" s="52">
        <f t="shared" si="93"/>
        <v>0</v>
      </c>
      <c r="X175" s="52">
        <f t="shared" si="94"/>
        <v>0</v>
      </c>
      <c r="Y175" s="52">
        <f t="shared" si="94"/>
        <v>0</v>
      </c>
      <c r="Z175" s="52">
        <f t="shared" si="94"/>
        <v>7.6923076923076927E-2</v>
      </c>
      <c r="AA175" s="52">
        <f t="shared" si="94"/>
        <v>0.61538461538461542</v>
      </c>
      <c r="AB175" s="52">
        <f t="shared" si="94"/>
        <v>1</v>
      </c>
      <c r="AC175" s="52">
        <f t="shared" si="94"/>
        <v>1</v>
      </c>
      <c r="AD175" s="52">
        <f t="shared" si="94"/>
        <v>1</v>
      </c>
      <c r="AE175" s="52">
        <f t="shared" si="94"/>
        <v>1</v>
      </c>
      <c r="AF175" s="52">
        <f t="shared" si="94"/>
        <v>1</v>
      </c>
      <c r="AG175" s="52">
        <f t="shared" si="94"/>
        <v>1</v>
      </c>
      <c r="AH175" s="52">
        <f t="shared" si="94"/>
        <v>1</v>
      </c>
      <c r="AI175" s="52">
        <f t="shared" si="94"/>
        <v>1</v>
      </c>
      <c r="AJ175" s="52">
        <f t="shared" si="94"/>
        <v>1</v>
      </c>
      <c r="AK175" s="52">
        <f t="shared" si="94"/>
        <v>1</v>
      </c>
      <c r="AL175" s="52">
        <f t="shared" si="94"/>
        <v>1</v>
      </c>
      <c r="AM175" s="52">
        <f t="shared" si="94"/>
        <v>1</v>
      </c>
      <c r="AN175" s="52">
        <f t="shared" si="94"/>
        <v>1</v>
      </c>
      <c r="AO175" s="52">
        <f t="shared" si="91"/>
        <v>1</v>
      </c>
      <c r="AP175" s="52">
        <f t="shared" si="91"/>
        <v>1</v>
      </c>
      <c r="AQ175" s="52">
        <f t="shared" si="91"/>
        <v>1</v>
      </c>
      <c r="AR175" s="52">
        <f t="shared" si="91"/>
        <v>1</v>
      </c>
      <c r="AS175" s="52">
        <f t="shared" si="91"/>
        <v>1</v>
      </c>
      <c r="AT175" s="52">
        <f t="shared" si="91"/>
        <v>1</v>
      </c>
      <c r="AU175" s="52">
        <f t="shared" si="91"/>
        <v>1</v>
      </c>
      <c r="AV175" s="52">
        <f t="shared" si="91"/>
        <v>1</v>
      </c>
      <c r="AW175" s="52">
        <f t="shared" si="91"/>
        <v>1</v>
      </c>
      <c r="AX175" s="52">
        <f t="shared" si="91"/>
        <v>1</v>
      </c>
      <c r="AY175" s="52">
        <f t="shared" si="91"/>
        <v>1</v>
      </c>
      <c r="AZ175" s="52">
        <f t="shared" si="91"/>
        <v>1</v>
      </c>
      <c r="BA175" s="52">
        <f t="shared" si="91"/>
        <v>1</v>
      </c>
      <c r="BB175" s="52">
        <f t="shared" si="91"/>
        <v>1</v>
      </c>
      <c r="BC175" s="52">
        <f t="shared" si="91"/>
        <v>1</v>
      </c>
      <c r="BD175" s="52">
        <f t="shared" si="91"/>
        <v>1</v>
      </c>
      <c r="BE175" s="52">
        <f t="shared" si="91"/>
        <v>1</v>
      </c>
      <c r="BF175" s="52">
        <f t="shared" si="91"/>
        <v>1</v>
      </c>
      <c r="BG175" s="52">
        <f t="shared" si="92"/>
        <v>1</v>
      </c>
      <c r="BH175" s="52">
        <f t="shared" si="92"/>
        <v>1</v>
      </c>
      <c r="BI175" s="52">
        <f t="shared" si="92"/>
        <v>1</v>
      </c>
      <c r="BJ175" s="52">
        <f t="shared" si="92"/>
        <v>1</v>
      </c>
      <c r="BK175" s="52">
        <f t="shared" si="92"/>
        <v>1</v>
      </c>
      <c r="BL175" s="52">
        <f t="shared" si="92"/>
        <v>1</v>
      </c>
      <c r="BM175" s="52">
        <f t="shared" si="92"/>
        <v>1</v>
      </c>
      <c r="BN175" s="52">
        <f t="shared" si="92"/>
        <v>1</v>
      </c>
      <c r="BO175" s="32">
        <f t="shared" si="79"/>
        <v>0.67275097783572357</v>
      </c>
    </row>
    <row r="176" spans="1:67" s="27" customFormat="1" ht="18.75" customHeight="1" x14ac:dyDescent="0.25">
      <c r="A176" s="46" t="s">
        <v>358</v>
      </c>
      <c r="B176" s="46" t="s">
        <v>359</v>
      </c>
      <c r="C176" s="46" t="s">
        <v>61</v>
      </c>
      <c r="D176" s="47">
        <f>VLOOKUP(A176,'[1]Cuadro Control'!C208:J2106,8,FALSE)</f>
        <v>179532477.23999998</v>
      </c>
      <c r="E176" s="48">
        <f t="shared" si="89"/>
        <v>3.3817438522495219E-2</v>
      </c>
      <c r="F176" s="49">
        <v>46344</v>
      </c>
      <c r="G176" s="49">
        <v>46357</v>
      </c>
      <c r="H176" s="48">
        <f t="shared" si="93"/>
        <v>0</v>
      </c>
      <c r="I176" s="48">
        <f t="shared" si="93"/>
        <v>0</v>
      </c>
      <c r="J176" s="48">
        <f t="shared" si="93"/>
        <v>0</v>
      </c>
      <c r="K176" s="48">
        <f t="shared" si="93"/>
        <v>0</v>
      </c>
      <c r="L176" s="48">
        <f t="shared" si="93"/>
        <v>0</v>
      </c>
      <c r="M176" s="48">
        <f t="shared" si="93"/>
        <v>0</v>
      </c>
      <c r="N176" s="48">
        <f t="shared" si="93"/>
        <v>0</v>
      </c>
      <c r="O176" s="48">
        <f t="shared" si="93"/>
        <v>0</v>
      </c>
      <c r="P176" s="48">
        <f t="shared" si="93"/>
        <v>0</v>
      </c>
      <c r="Q176" s="48">
        <f t="shared" si="93"/>
        <v>0</v>
      </c>
      <c r="R176" s="48">
        <f t="shared" si="93"/>
        <v>0</v>
      </c>
      <c r="S176" s="48">
        <f t="shared" si="93"/>
        <v>0</v>
      </c>
      <c r="T176" s="48">
        <f t="shared" si="93"/>
        <v>0</v>
      </c>
      <c r="U176" s="48">
        <f t="shared" si="93"/>
        <v>0</v>
      </c>
      <c r="V176" s="48">
        <f t="shared" si="93"/>
        <v>0</v>
      </c>
      <c r="W176" s="48">
        <f t="shared" si="93"/>
        <v>0</v>
      </c>
      <c r="X176" s="48">
        <f t="shared" si="94"/>
        <v>0</v>
      </c>
      <c r="Y176" s="48">
        <f t="shared" si="94"/>
        <v>0</v>
      </c>
      <c r="Z176" s="48">
        <f t="shared" si="94"/>
        <v>0</v>
      </c>
      <c r="AA176" s="48">
        <f t="shared" si="94"/>
        <v>0.21428571428571427</v>
      </c>
      <c r="AB176" s="48">
        <f t="shared" si="94"/>
        <v>0.7142857142857143</v>
      </c>
      <c r="AC176" s="48">
        <f t="shared" si="94"/>
        <v>1</v>
      </c>
      <c r="AD176" s="48">
        <f t="shared" si="94"/>
        <v>1</v>
      </c>
      <c r="AE176" s="48">
        <f t="shared" si="94"/>
        <v>1</v>
      </c>
      <c r="AF176" s="48">
        <f t="shared" si="94"/>
        <v>1</v>
      </c>
      <c r="AG176" s="48">
        <f t="shared" si="94"/>
        <v>1</v>
      </c>
      <c r="AH176" s="48">
        <f t="shared" si="94"/>
        <v>1</v>
      </c>
      <c r="AI176" s="48">
        <f t="shared" si="94"/>
        <v>1</v>
      </c>
      <c r="AJ176" s="48">
        <f t="shared" si="94"/>
        <v>1</v>
      </c>
      <c r="AK176" s="48">
        <f t="shared" si="94"/>
        <v>1</v>
      </c>
      <c r="AL176" s="48">
        <f t="shared" si="94"/>
        <v>1</v>
      </c>
      <c r="AM176" s="48">
        <f t="shared" si="94"/>
        <v>1</v>
      </c>
      <c r="AN176" s="48">
        <f t="shared" si="94"/>
        <v>1</v>
      </c>
      <c r="AO176" s="48">
        <f t="shared" si="91"/>
        <v>1</v>
      </c>
      <c r="AP176" s="48">
        <f t="shared" si="91"/>
        <v>1</v>
      </c>
      <c r="AQ176" s="48">
        <f t="shared" si="91"/>
        <v>1</v>
      </c>
      <c r="AR176" s="48">
        <f t="shared" si="91"/>
        <v>1</v>
      </c>
      <c r="AS176" s="48">
        <f t="shared" si="91"/>
        <v>1</v>
      </c>
      <c r="AT176" s="48">
        <f t="shared" si="91"/>
        <v>1</v>
      </c>
      <c r="AU176" s="48">
        <f t="shared" si="91"/>
        <v>1</v>
      </c>
      <c r="AV176" s="48">
        <f t="shared" si="91"/>
        <v>1</v>
      </c>
      <c r="AW176" s="48">
        <f t="shared" si="91"/>
        <v>1</v>
      </c>
      <c r="AX176" s="48">
        <f t="shared" si="91"/>
        <v>1</v>
      </c>
      <c r="AY176" s="48">
        <f t="shared" si="91"/>
        <v>1</v>
      </c>
      <c r="AZ176" s="48">
        <f t="shared" si="91"/>
        <v>1</v>
      </c>
      <c r="BA176" s="48">
        <f t="shared" si="91"/>
        <v>1</v>
      </c>
      <c r="BB176" s="48">
        <f t="shared" si="91"/>
        <v>1</v>
      </c>
      <c r="BC176" s="48">
        <f t="shared" si="91"/>
        <v>1</v>
      </c>
      <c r="BD176" s="48">
        <f t="shared" si="91"/>
        <v>1</v>
      </c>
      <c r="BE176" s="48">
        <f t="shared" si="91"/>
        <v>1</v>
      </c>
      <c r="BF176" s="48">
        <f t="shared" si="91"/>
        <v>1</v>
      </c>
      <c r="BG176" s="48">
        <f t="shared" si="92"/>
        <v>1</v>
      </c>
      <c r="BH176" s="48">
        <f t="shared" si="92"/>
        <v>1</v>
      </c>
      <c r="BI176" s="48">
        <f t="shared" si="92"/>
        <v>1</v>
      </c>
      <c r="BJ176" s="48">
        <f t="shared" si="92"/>
        <v>1</v>
      </c>
      <c r="BK176" s="48">
        <f t="shared" si="92"/>
        <v>1</v>
      </c>
      <c r="BL176" s="48">
        <f t="shared" si="92"/>
        <v>1</v>
      </c>
      <c r="BM176" s="48">
        <f t="shared" si="92"/>
        <v>1</v>
      </c>
      <c r="BN176" s="48">
        <f t="shared" si="92"/>
        <v>1</v>
      </c>
      <c r="BO176" s="32">
        <f t="shared" si="79"/>
        <v>0.65980629539951574</v>
      </c>
    </row>
    <row r="177" spans="1:67" s="27" customFormat="1" ht="18.75" customHeight="1" x14ac:dyDescent="0.25">
      <c r="A177" s="55" t="s">
        <v>360</v>
      </c>
      <c r="B177" s="55" t="s">
        <v>361</v>
      </c>
      <c r="C177" s="55" t="s">
        <v>14</v>
      </c>
      <c r="D177" s="56">
        <f>VLOOKUP(A177,'[1]Cuadro Control'!C210:J2107,8,FALSE)</f>
        <v>0</v>
      </c>
      <c r="E177" s="57">
        <f>IFERROR(D177/$D$161,0)</f>
        <v>0</v>
      </c>
      <c r="F177" s="58">
        <v>46357</v>
      </c>
      <c r="G177" s="58">
        <v>46357</v>
      </c>
      <c r="H177" s="57">
        <f t="shared" si="93"/>
        <v>0</v>
      </c>
      <c r="I177" s="57">
        <f t="shared" si="93"/>
        <v>0</v>
      </c>
      <c r="J177" s="57">
        <f t="shared" si="93"/>
        <v>0</v>
      </c>
      <c r="K177" s="57">
        <f t="shared" si="93"/>
        <v>0</v>
      </c>
      <c r="L177" s="57">
        <f t="shared" si="93"/>
        <v>0</v>
      </c>
      <c r="M177" s="57">
        <f t="shared" si="93"/>
        <v>0</v>
      </c>
      <c r="N177" s="57">
        <f t="shared" si="93"/>
        <v>0</v>
      </c>
      <c r="O177" s="57">
        <f t="shared" si="93"/>
        <v>0</v>
      </c>
      <c r="P177" s="57">
        <f t="shared" si="93"/>
        <v>0</v>
      </c>
      <c r="Q177" s="57">
        <f t="shared" si="93"/>
        <v>0</v>
      </c>
      <c r="R177" s="57">
        <f t="shared" si="93"/>
        <v>0</v>
      </c>
      <c r="S177" s="57">
        <f t="shared" si="93"/>
        <v>0</v>
      </c>
      <c r="T177" s="57">
        <f t="shared" si="93"/>
        <v>0</v>
      </c>
      <c r="U177" s="57">
        <f t="shared" si="93"/>
        <v>0</v>
      </c>
      <c r="V177" s="57">
        <f t="shared" si="93"/>
        <v>0</v>
      </c>
      <c r="W177" s="57">
        <f t="shared" si="93"/>
        <v>0</v>
      </c>
      <c r="X177" s="57">
        <f t="shared" si="94"/>
        <v>0</v>
      </c>
      <c r="Y177" s="57">
        <f t="shared" si="94"/>
        <v>0</v>
      </c>
      <c r="Z177" s="57">
        <f t="shared" si="94"/>
        <v>0</v>
      </c>
      <c r="AA177" s="57">
        <f t="shared" si="94"/>
        <v>0</v>
      </c>
      <c r="AB177" s="57">
        <f t="shared" si="94"/>
        <v>0</v>
      </c>
      <c r="AC177" s="57">
        <f t="shared" si="94"/>
        <v>1</v>
      </c>
      <c r="AD177" s="57">
        <f t="shared" si="94"/>
        <v>1</v>
      </c>
      <c r="AE177" s="57">
        <f t="shared" si="94"/>
        <v>1</v>
      </c>
      <c r="AF177" s="57">
        <f t="shared" si="94"/>
        <v>1</v>
      </c>
      <c r="AG177" s="57">
        <f t="shared" si="94"/>
        <v>1</v>
      </c>
      <c r="AH177" s="57">
        <f t="shared" si="94"/>
        <v>1</v>
      </c>
      <c r="AI177" s="57">
        <f t="shared" si="94"/>
        <v>1</v>
      </c>
      <c r="AJ177" s="57">
        <f t="shared" si="94"/>
        <v>1</v>
      </c>
      <c r="AK177" s="57">
        <f t="shared" si="94"/>
        <v>1</v>
      </c>
      <c r="AL177" s="57">
        <f t="shared" si="94"/>
        <v>1</v>
      </c>
      <c r="AM177" s="57">
        <f t="shared" si="94"/>
        <v>1</v>
      </c>
      <c r="AN177" s="57">
        <f t="shared" si="94"/>
        <v>1</v>
      </c>
      <c r="AO177" s="57">
        <f t="shared" si="94"/>
        <v>1</v>
      </c>
      <c r="AP177" s="57">
        <f t="shared" si="94"/>
        <v>1</v>
      </c>
      <c r="AQ177" s="57">
        <f t="shared" si="94"/>
        <v>1</v>
      </c>
      <c r="AR177" s="57">
        <f t="shared" si="94"/>
        <v>1</v>
      </c>
      <c r="AS177" s="57">
        <f t="shared" si="94"/>
        <v>1</v>
      </c>
      <c r="AT177" s="57">
        <f t="shared" si="94"/>
        <v>1</v>
      </c>
      <c r="AU177" s="57">
        <f t="shared" si="94"/>
        <v>1</v>
      </c>
      <c r="AV177" s="57">
        <f t="shared" si="94"/>
        <v>1</v>
      </c>
      <c r="AW177" s="57">
        <f t="shared" si="94"/>
        <v>1</v>
      </c>
      <c r="AX177" s="57">
        <f t="shared" si="94"/>
        <v>1</v>
      </c>
      <c r="AY177" s="57">
        <f t="shared" si="94"/>
        <v>1</v>
      </c>
      <c r="AZ177" s="57">
        <f t="shared" si="94"/>
        <v>1</v>
      </c>
      <c r="BA177" s="57">
        <f t="shared" si="94"/>
        <v>1</v>
      </c>
      <c r="BB177" s="57">
        <f t="shared" si="94"/>
        <v>1</v>
      </c>
      <c r="BC177" s="57">
        <f t="shared" si="94"/>
        <v>1</v>
      </c>
      <c r="BD177" s="57">
        <f t="shared" si="91"/>
        <v>1</v>
      </c>
      <c r="BE177" s="57">
        <f t="shared" si="91"/>
        <v>1</v>
      </c>
      <c r="BF177" s="57">
        <f t="shared" si="91"/>
        <v>1</v>
      </c>
      <c r="BG177" s="57">
        <f t="shared" si="92"/>
        <v>1</v>
      </c>
      <c r="BH177" s="57">
        <f t="shared" si="92"/>
        <v>1</v>
      </c>
      <c r="BI177" s="57">
        <f t="shared" si="92"/>
        <v>1</v>
      </c>
      <c r="BJ177" s="57">
        <f t="shared" si="92"/>
        <v>1</v>
      </c>
      <c r="BK177" s="57">
        <f t="shared" si="92"/>
        <v>1</v>
      </c>
      <c r="BL177" s="57">
        <f t="shared" si="92"/>
        <v>1</v>
      </c>
      <c r="BM177" s="57">
        <f t="shared" si="92"/>
        <v>1</v>
      </c>
      <c r="BN177" s="57">
        <f t="shared" si="92"/>
        <v>1</v>
      </c>
      <c r="BO177" s="32">
        <f t="shared" si="79"/>
        <v>0.64406779661016944</v>
      </c>
    </row>
    <row r="178" spans="1:67" s="27" customFormat="1" ht="18.75" customHeight="1" x14ac:dyDescent="0.25">
      <c r="A178" s="59" t="s">
        <v>362</v>
      </c>
      <c r="B178" s="59" t="s">
        <v>363</v>
      </c>
      <c r="C178" s="59" t="s">
        <v>261</v>
      </c>
      <c r="D178" s="60">
        <f>SUM(D179:D194)</f>
        <v>5308872732.0543728</v>
      </c>
      <c r="E178" s="61">
        <f>IFERROR(D178/$D$109,0)</f>
        <v>2.9408554574576196E-2</v>
      </c>
      <c r="F178" s="62">
        <v>46227</v>
      </c>
      <c r="G178" s="62">
        <v>46360</v>
      </c>
      <c r="H178" s="61">
        <f>SUMPRODUCT($E179:$E193,H179:H193)</f>
        <v>0</v>
      </c>
      <c r="I178" s="61">
        <f t="shared" ref="I178:BN178" si="95">SUMPRODUCT($E179:$E193,I179:I193)</f>
        <v>0</v>
      </c>
      <c r="J178" s="61">
        <f t="shared" si="95"/>
        <v>2.5299028774168359E-4</v>
      </c>
      <c r="K178" s="61">
        <f t="shared" si="95"/>
        <v>2.0239223019334687E-3</v>
      </c>
      <c r="L178" s="61">
        <f t="shared" si="95"/>
        <v>3.7948543161252543E-3</v>
      </c>
      <c r="M178" s="61">
        <f t="shared" si="95"/>
        <v>5.5657863303170399E-3</v>
      </c>
      <c r="N178" s="61">
        <f t="shared" si="95"/>
        <v>7.3367183445088241E-3</v>
      </c>
      <c r="O178" s="61">
        <f t="shared" si="95"/>
        <v>9.107650358700611E-3</v>
      </c>
      <c r="P178" s="61">
        <f t="shared" si="95"/>
        <v>1.0878582372892397E-2</v>
      </c>
      <c r="Q178" s="61">
        <f t="shared" si="95"/>
        <v>1.264951438708418E-2</v>
      </c>
      <c r="R178" s="61">
        <f t="shared" si="95"/>
        <v>1.4420446401275966E-2</v>
      </c>
      <c r="S178" s="61">
        <f t="shared" si="95"/>
        <v>3.7750428504315078E-2</v>
      </c>
      <c r="T178" s="61">
        <f t="shared" si="95"/>
        <v>7.5721945247826203E-2</v>
      </c>
      <c r="U178" s="61">
        <f t="shared" si="95"/>
        <v>0.14853206090804622</v>
      </c>
      <c r="V178" s="61">
        <f t="shared" si="95"/>
        <v>0.20027427996352742</v>
      </c>
      <c r="W178" s="61">
        <f t="shared" si="95"/>
        <v>0.28442698011883905</v>
      </c>
      <c r="X178" s="61">
        <f t="shared" si="95"/>
        <v>0.36857968027415072</v>
      </c>
      <c r="Y178" s="61">
        <f t="shared" si="95"/>
        <v>0.64850810003989967</v>
      </c>
      <c r="Z178" s="61">
        <f t="shared" si="95"/>
        <v>0.64850810003989967</v>
      </c>
      <c r="AA178" s="61">
        <f t="shared" si="95"/>
        <v>0.71701693353345841</v>
      </c>
      <c r="AB178" s="61">
        <f t="shared" si="95"/>
        <v>0.90834159235553846</v>
      </c>
      <c r="AC178" s="61">
        <f t="shared" si="95"/>
        <v>1</v>
      </c>
      <c r="AD178" s="61">
        <f t="shared" si="95"/>
        <v>1</v>
      </c>
      <c r="AE178" s="61">
        <f t="shared" si="95"/>
        <v>1</v>
      </c>
      <c r="AF178" s="61">
        <f t="shared" si="95"/>
        <v>1</v>
      </c>
      <c r="AG178" s="61">
        <f t="shared" si="95"/>
        <v>1</v>
      </c>
      <c r="AH178" s="61">
        <f t="shared" si="95"/>
        <v>1</v>
      </c>
      <c r="AI178" s="61">
        <f t="shared" si="95"/>
        <v>1</v>
      </c>
      <c r="AJ178" s="61">
        <f t="shared" si="95"/>
        <v>1</v>
      </c>
      <c r="AK178" s="61">
        <f t="shared" si="95"/>
        <v>1</v>
      </c>
      <c r="AL178" s="61">
        <f t="shared" si="95"/>
        <v>1</v>
      </c>
      <c r="AM178" s="61">
        <f t="shared" si="95"/>
        <v>1</v>
      </c>
      <c r="AN178" s="61">
        <f t="shared" si="95"/>
        <v>1</v>
      </c>
      <c r="AO178" s="61">
        <f t="shared" si="95"/>
        <v>1</v>
      </c>
      <c r="AP178" s="61">
        <f t="shared" si="95"/>
        <v>1</v>
      </c>
      <c r="AQ178" s="61">
        <f t="shared" si="95"/>
        <v>1</v>
      </c>
      <c r="AR178" s="61">
        <f t="shared" si="95"/>
        <v>1</v>
      </c>
      <c r="AS178" s="61">
        <f t="shared" si="95"/>
        <v>1</v>
      </c>
      <c r="AT178" s="61">
        <f t="shared" si="95"/>
        <v>1</v>
      </c>
      <c r="AU178" s="61">
        <f t="shared" si="95"/>
        <v>1</v>
      </c>
      <c r="AV178" s="61">
        <f t="shared" si="95"/>
        <v>1</v>
      </c>
      <c r="AW178" s="61">
        <f t="shared" si="95"/>
        <v>1</v>
      </c>
      <c r="AX178" s="61">
        <f t="shared" si="95"/>
        <v>1</v>
      </c>
      <c r="AY178" s="61">
        <f t="shared" si="95"/>
        <v>1</v>
      </c>
      <c r="AZ178" s="61">
        <f t="shared" si="95"/>
        <v>1</v>
      </c>
      <c r="BA178" s="61">
        <f t="shared" si="95"/>
        <v>1</v>
      </c>
      <c r="BB178" s="61">
        <f t="shared" si="95"/>
        <v>1</v>
      </c>
      <c r="BC178" s="61">
        <f t="shared" si="95"/>
        <v>1</v>
      </c>
      <c r="BD178" s="61">
        <f t="shared" si="95"/>
        <v>1</v>
      </c>
      <c r="BE178" s="61">
        <f t="shared" si="95"/>
        <v>1</v>
      </c>
      <c r="BF178" s="61">
        <f t="shared" si="95"/>
        <v>1</v>
      </c>
      <c r="BG178" s="61">
        <f t="shared" si="95"/>
        <v>1</v>
      </c>
      <c r="BH178" s="61">
        <f t="shared" si="95"/>
        <v>1</v>
      </c>
      <c r="BI178" s="61">
        <f t="shared" si="95"/>
        <v>1</v>
      </c>
      <c r="BJ178" s="61">
        <f t="shared" si="95"/>
        <v>1</v>
      </c>
      <c r="BK178" s="61">
        <f t="shared" si="95"/>
        <v>1</v>
      </c>
      <c r="BL178" s="61">
        <f t="shared" si="95"/>
        <v>1</v>
      </c>
      <c r="BM178" s="61">
        <f t="shared" si="95"/>
        <v>1</v>
      </c>
      <c r="BN178" s="61">
        <f t="shared" si="95"/>
        <v>1</v>
      </c>
      <c r="BO178" s="32">
        <f t="shared" si="79"/>
        <v>0.71362187400145893</v>
      </c>
    </row>
    <row r="179" spans="1:67" s="27" customFormat="1" ht="18.75" customHeight="1" x14ac:dyDescent="0.25">
      <c r="A179" s="50" t="s">
        <v>364</v>
      </c>
      <c r="B179" s="50" t="s">
        <v>365</v>
      </c>
      <c r="C179" s="50" t="s">
        <v>74</v>
      </c>
      <c r="D179" s="51">
        <f>VLOOKUP(A179,'[1]Cuadro Control'!C214:J2109,8,FALSE)</f>
        <v>83271780.884117648</v>
      </c>
      <c r="E179" s="52">
        <f t="shared" ref="E179:E193" si="96">IFERROR(D179/$D$178,0)</f>
        <v>1.5685397839984384E-2</v>
      </c>
      <c r="F179" s="53">
        <v>46227</v>
      </c>
      <c r="G179" s="53">
        <v>46288</v>
      </c>
      <c r="H179" s="52">
        <f t="shared" ref="H179:BN183" si="97">IF($F179=0,0,IF(H$6&lt;$F179,0,IF(H$6&gt;$G179,1,(H$6-$F179+1)/($G179-$F179+1))))</f>
        <v>0</v>
      </c>
      <c r="I179" s="52">
        <f t="shared" si="97"/>
        <v>0</v>
      </c>
      <c r="J179" s="52">
        <f t="shared" si="97"/>
        <v>1.6129032258064516E-2</v>
      </c>
      <c r="K179" s="52">
        <f t="shared" si="97"/>
        <v>0.12903225806451613</v>
      </c>
      <c r="L179" s="52">
        <f t="shared" si="97"/>
        <v>0.24193548387096775</v>
      </c>
      <c r="M179" s="52">
        <f t="shared" si="97"/>
        <v>0.35483870967741937</v>
      </c>
      <c r="N179" s="52">
        <f t="shared" si="97"/>
        <v>0.46774193548387094</v>
      </c>
      <c r="O179" s="52">
        <f t="shared" si="97"/>
        <v>0.58064516129032262</v>
      </c>
      <c r="P179" s="52">
        <f t="shared" si="97"/>
        <v>0.69354838709677424</v>
      </c>
      <c r="Q179" s="52">
        <f t="shared" si="97"/>
        <v>0.80645161290322576</v>
      </c>
      <c r="R179" s="52">
        <f t="shared" si="97"/>
        <v>0.91935483870967738</v>
      </c>
      <c r="S179" s="52">
        <f t="shared" si="97"/>
        <v>1</v>
      </c>
      <c r="T179" s="52">
        <f t="shared" si="97"/>
        <v>1</v>
      </c>
      <c r="U179" s="52">
        <f t="shared" si="97"/>
        <v>1</v>
      </c>
      <c r="V179" s="52">
        <f t="shared" si="97"/>
        <v>1</v>
      </c>
      <c r="W179" s="52">
        <f t="shared" si="97"/>
        <v>1</v>
      </c>
      <c r="X179" s="52">
        <f t="shared" si="97"/>
        <v>1</v>
      </c>
      <c r="Y179" s="52">
        <f t="shared" si="97"/>
        <v>1</v>
      </c>
      <c r="Z179" s="52">
        <f t="shared" si="97"/>
        <v>1</v>
      </c>
      <c r="AA179" s="52">
        <f t="shared" si="97"/>
        <v>1</v>
      </c>
      <c r="AB179" s="52">
        <f t="shared" si="97"/>
        <v>1</v>
      </c>
      <c r="AC179" s="52">
        <f t="shared" si="97"/>
        <v>1</v>
      </c>
      <c r="AD179" s="52">
        <f t="shared" si="97"/>
        <v>1</v>
      </c>
      <c r="AE179" s="52">
        <f t="shared" si="97"/>
        <v>1</v>
      </c>
      <c r="AF179" s="52">
        <f t="shared" si="97"/>
        <v>1</v>
      </c>
      <c r="AG179" s="52">
        <f t="shared" si="97"/>
        <v>1</v>
      </c>
      <c r="AH179" s="52">
        <f t="shared" si="97"/>
        <v>1</v>
      </c>
      <c r="AI179" s="52">
        <f t="shared" si="97"/>
        <v>1</v>
      </c>
      <c r="AJ179" s="52">
        <f t="shared" si="97"/>
        <v>1</v>
      </c>
      <c r="AK179" s="52">
        <f t="shared" si="97"/>
        <v>1</v>
      </c>
      <c r="AL179" s="52">
        <f t="shared" si="97"/>
        <v>1</v>
      </c>
      <c r="AM179" s="52">
        <f t="shared" si="97"/>
        <v>1</v>
      </c>
      <c r="AN179" s="52">
        <f t="shared" si="97"/>
        <v>1</v>
      </c>
      <c r="AO179" s="52">
        <f t="shared" si="97"/>
        <v>1</v>
      </c>
      <c r="AP179" s="52">
        <f t="shared" si="97"/>
        <v>1</v>
      </c>
      <c r="AQ179" s="52">
        <f t="shared" si="97"/>
        <v>1</v>
      </c>
      <c r="AR179" s="52">
        <f t="shared" si="97"/>
        <v>1</v>
      </c>
      <c r="AS179" s="52">
        <f t="shared" si="97"/>
        <v>1</v>
      </c>
      <c r="AT179" s="52">
        <f t="shared" si="97"/>
        <v>1</v>
      </c>
      <c r="AU179" s="52">
        <f t="shared" si="97"/>
        <v>1</v>
      </c>
      <c r="AV179" s="52">
        <f t="shared" si="97"/>
        <v>1</v>
      </c>
      <c r="AW179" s="52">
        <f t="shared" si="97"/>
        <v>1</v>
      </c>
      <c r="AX179" s="52">
        <f t="shared" si="97"/>
        <v>1</v>
      </c>
      <c r="AY179" s="52">
        <f t="shared" si="97"/>
        <v>1</v>
      </c>
      <c r="AZ179" s="52">
        <f t="shared" si="97"/>
        <v>1</v>
      </c>
      <c r="BA179" s="52">
        <f t="shared" si="97"/>
        <v>1</v>
      </c>
      <c r="BB179" s="52">
        <f t="shared" si="97"/>
        <v>1</v>
      </c>
      <c r="BC179" s="52">
        <f t="shared" si="97"/>
        <v>1</v>
      </c>
      <c r="BD179" s="52">
        <f t="shared" si="97"/>
        <v>1</v>
      </c>
      <c r="BE179" s="52">
        <f t="shared" si="97"/>
        <v>1</v>
      </c>
      <c r="BF179" s="52">
        <f t="shared" si="97"/>
        <v>1</v>
      </c>
      <c r="BG179" s="52">
        <f t="shared" si="97"/>
        <v>1</v>
      </c>
      <c r="BH179" s="52">
        <f t="shared" si="97"/>
        <v>1</v>
      </c>
      <c r="BI179" s="52">
        <f t="shared" si="97"/>
        <v>1</v>
      </c>
      <c r="BJ179" s="52">
        <f t="shared" si="97"/>
        <v>1</v>
      </c>
      <c r="BK179" s="52">
        <f t="shared" si="97"/>
        <v>1</v>
      </c>
      <c r="BL179" s="52">
        <f t="shared" si="97"/>
        <v>1</v>
      </c>
      <c r="BM179" s="52">
        <f t="shared" si="97"/>
        <v>1</v>
      </c>
      <c r="BN179" s="52">
        <f t="shared" si="97"/>
        <v>1</v>
      </c>
      <c r="BO179" s="32">
        <f t="shared" si="79"/>
        <v>0.88490978676872611</v>
      </c>
    </row>
    <row r="180" spans="1:67" s="27" customFormat="1" ht="18.75" customHeight="1" x14ac:dyDescent="0.25">
      <c r="A180" s="50" t="s">
        <v>366</v>
      </c>
      <c r="B180" s="50" t="s">
        <v>367</v>
      </c>
      <c r="C180" s="50" t="s">
        <v>61</v>
      </c>
      <c r="D180" s="51">
        <f>VLOOKUP(A180,'[1]Cuadro Control'!C215:J2110,8,FALSE)</f>
        <v>312374505.66882348</v>
      </c>
      <c r="E180" s="52">
        <f t="shared" si="96"/>
        <v>5.8840081771548515E-2</v>
      </c>
      <c r="F180" s="53">
        <v>46288</v>
      </c>
      <c r="G180" s="53">
        <v>46295</v>
      </c>
      <c r="H180" s="52">
        <f t="shared" si="97"/>
        <v>0</v>
      </c>
      <c r="I180" s="52">
        <f t="shared" si="97"/>
        <v>0</v>
      </c>
      <c r="J180" s="52">
        <f t="shared" si="97"/>
        <v>0</v>
      </c>
      <c r="K180" s="52">
        <f t="shared" si="97"/>
        <v>0</v>
      </c>
      <c r="L180" s="52">
        <f t="shared" si="97"/>
        <v>0</v>
      </c>
      <c r="M180" s="52">
        <f t="shared" si="97"/>
        <v>0</v>
      </c>
      <c r="N180" s="52">
        <f t="shared" si="97"/>
        <v>0</v>
      </c>
      <c r="O180" s="52">
        <f t="shared" si="97"/>
        <v>0</v>
      </c>
      <c r="P180" s="52">
        <f t="shared" si="97"/>
        <v>0</v>
      </c>
      <c r="Q180" s="52">
        <f t="shared" si="97"/>
        <v>0</v>
      </c>
      <c r="R180" s="52">
        <f t="shared" si="97"/>
        <v>0</v>
      </c>
      <c r="S180" s="52">
        <f t="shared" si="97"/>
        <v>0.375</v>
      </c>
      <c r="T180" s="52">
        <f t="shared" si="97"/>
        <v>1</v>
      </c>
      <c r="U180" s="52">
        <f t="shared" si="97"/>
        <v>1</v>
      </c>
      <c r="V180" s="52">
        <f t="shared" si="97"/>
        <v>1</v>
      </c>
      <c r="W180" s="52">
        <f t="shared" si="97"/>
        <v>1</v>
      </c>
      <c r="X180" s="52">
        <f t="shared" si="97"/>
        <v>1</v>
      </c>
      <c r="Y180" s="52">
        <f t="shared" si="97"/>
        <v>1</v>
      </c>
      <c r="Z180" s="52">
        <f t="shared" si="97"/>
        <v>1</v>
      </c>
      <c r="AA180" s="52">
        <f t="shared" si="97"/>
        <v>1</v>
      </c>
      <c r="AB180" s="52">
        <f t="shared" si="97"/>
        <v>1</v>
      </c>
      <c r="AC180" s="52">
        <f t="shared" si="97"/>
        <v>1</v>
      </c>
      <c r="AD180" s="52">
        <f t="shared" si="97"/>
        <v>1</v>
      </c>
      <c r="AE180" s="52">
        <f t="shared" si="97"/>
        <v>1</v>
      </c>
      <c r="AF180" s="52">
        <f t="shared" si="97"/>
        <v>1</v>
      </c>
      <c r="AG180" s="52">
        <f t="shared" si="97"/>
        <v>1</v>
      </c>
      <c r="AH180" s="52">
        <f t="shared" si="97"/>
        <v>1</v>
      </c>
      <c r="AI180" s="52">
        <f t="shared" si="97"/>
        <v>1</v>
      </c>
      <c r="AJ180" s="52">
        <f t="shared" si="97"/>
        <v>1</v>
      </c>
      <c r="AK180" s="52">
        <f t="shared" si="97"/>
        <v>1</v>
      </c>
      <c r="AL180" s="52">
        <f t="shared" si="97"/>
        <v>1</v>
      </c>
      <c r="AM180" s="52">
        <f t="shared" si="97"/>
        <v>1</v>
      </c>
      <c r="AN180" s="52">
        <f t="shared" si="97"/>
        <v>1</v>
      </c>
      <c r="AO180" s="52">
        <f t="shared" si="97"/>
        <v>1</v>
      </c>
      <c r="AP180" s="52">
        <f t="shared" si="97"/>
        <v>1</v>
      </c>
      <c r="AQ180" s="52">
        <f t="shared" si="97"/>
        <v>1</v>
      </c>
      <c r="AR180" s="52">
        <f t="shared" si="97"/>
        <v>1</v>
      </c>
      <c r="AS180" s="52">
        <f t="shared" si="97"/>
        <v>1</v>
      </c>
      <c r="AT180" s="52">
        <f t="shared" si="97"/>
        <v>1</v>
      </c>
      <c r="AU180" s="52">
        <f t="shared" si="97"/>
        <v>1</v>
      </c>
      <c r="AV180" s="52">
        <f t="shared" si="97"/>
        <v>1</v>
      </c>
      <c r="AW180" s="52">
        <f t="shared" si="97"/>
        <v>1</v>
      </c>
      <c r="AX180" s="52">
        <f t="shared" si="97"/>
        <v>1</v>
      </c>
      <c r="AY180" s="52">
        <f t="shared" si="97"/>
        <v>1</v>
      </c>
      <c r="AZ180" s="52">
        <f t="shared" si="97"/>
        <v>1</v>
      </c>
      <c r="BA180" s="52">
        <f t="shared" si="97"/>
        <v>1</v>
      </c>
      <c r="BB180" s="52">
        <f t="shared" si="97"/>
        <v>1</v>
      </c>
      <c r="BC180" s="52">
        <f t="shared" si="97"/>
        <v>1</v>
      </c>
      <c r="BD180" s="52">
        <f t="shared" si="97"/>
        <v>1</v>
      </c>
      <c r="BE180" s="52">
        <f t="shared" si="97"/>
        <v>1</v>
      </c>
      <c r="BF180" s="52">
        <f t="shared" si="97"/>
        <v>1</v>
      </c>
      <c r="BG180" s="52">
        <f t="shared" si="97"/>
        <v>1</v>
      </c>
      <c r="BH180" s="52">
        <f t="shared" si="97"/>
        <v>1</v>
      </c>
      <c r="BI180" s="52">
        <f t="shared" si="97"/>
        <v>1</v>
      </c>
      <c r="BJ180" s="52">
        <f t="shared" si="97"/>
        <v>1</v>
      </c>
      <c r="BK180" s="52">
        <f t="shared" si="97"/>
        <v>1</v>
      </c>
      <c r="BL180" s="52">
        <f t="shared" si="97"/>
        <v>1</v>
      </c>
      <c r="BM180" s="52">
        <f t="shared" si="97"/>
        <v>1</v>
      </c>
      <c r="BN180" s="52">
        <f t="shared" si="97"/>
        <v>1</v>
      </c>
      <c r="BO180" s="32">
        <f t="shared" si="79"/>
        <v>0.80296610169491522</v>
      </c>
    </row>
    <row r="181" spans="1:67" s="27" customFormat="1" ht="18.75" customHeight="1" x14ac:dyDescent="0.25">
      <c r="A181" s="46" t="s">
        <v>368</v>
      </c>
      <c r="B181" s="46" t="s">
        <v>369</v>
      </c>
      <c r="C181" s="46" t="s">
        <v>126</v>
      </c>
      <c r="D181" s="47">
        <f>VLOOKUP(A181,'[1]Cuadro Control'!C216:J2111,8,FALSE)</f>
        <v>9527825.6870364472</v>
      </c>
      <c r="E181" s="48">
        <f t="shared" si="96"/>
        <v>1.794698454439963E-3</v>
      </c>
      <c r="F181" s="49">
        <v>46296</v>
      </c>
      <c r="G181" s="49">
        <v>46298</v>
      </c>
      <c r="H181" s="48">
        <f t="shared" si="97"/>
        <v>0</v>
      </c>
      <c r="I181" s="48">
        <f t="shared" si="97"/>
        <v>0</v>
      </c>
      <c r="J181" s="48">
        <f t="shared" si="97"/>
        <v>0</v>
      </c>
      <c r="K181" s="48">
        <f t="shared" si="97"/>
        <v>0</v>
      </c>
      <c r="L181" s="48">
        <f t="shared" si="97"/>
        <v>0</v>
      </c>
      <c r="M181" s="48">
        <f t="shared" si="97"/>
        <v>0</v>
      </c>
      <c r="N181" s="48">
        <f t="shared" si="97"/>
        <v>0</v>
      </c>
      <c r="O181" s="48">
        <f t="shared" si="97"/>
        <v>0</v>
      </c>
      <c r="P181" s="48">
        <f t="shared" si="97"/>
        <v>0</v>
      </c>
      <c r="Q181" s="48">
        <f t="shared" si="97"/>
        <v>0</v>
      </c>
      <c r="R181" s="48">
        <f t="shared" si="97"/>
        <v>0</v>
      </c>
      <c r="S181" s="48">
        <f t="shared" si="97"/>
        <v>0</v>
      </c>
      <c r="T181" s="48">
        <f t="shared" si="97"/>
        <v>0.66666666666666663</v>
      </c>
      <c r="U181" s="48">
        <f t="shared" si="97"/>
        <v>1</v>
      </c>
      <c r="V181" s="48">
        <f t="shared" si="97"/>
        <v>1</v>
      </c>
      <c r="W181" s="48">
        <f t="shared" si="97"/>
        <v>1</v>
      </c>
      <c r="X181" s="48">
        <f t="shared" si="97"/>
        <v>1</v>
      </c>
      <c r="Y181" s="48">
        <f t="shared" si="97"/>
        <v>1</v>
      </c>
      <c r="Z181" s="48">
        <f t="shared" si="97"/>
        <v>1</v>
      </c>
      <c r="AA181" s="48">
        <f t="shared" si="97"/>
        <v>1</v>
      </c>
      <c r="AB181" s="48">
        <f t="shared" si="97"/>
        <v>1</v>
      </c>
      <c r="AC181" s="48">
        <f t="shared" si="97"/>
        <v>1</v>
      </c>
      <c r="AD181" s="48">
        <f t="shared" si="97"/>
        <v>1</v>
      </c>
      <c r="AE181" s="48">
        <f t="shared" si="97"/>
        <v>1</v>
      </c>
      <c r="AF181" s="48">
        <f t="shared" si="97"/>
        <v>1</v>
      </c>
      <c r="AG181" s="48">
        <f t="shared" si="97"/>
        <v>1</v>
      </c>
      <c r="AH181" s="48">
        <f t="shared" si="97"/>
        <v>1</v>
      </c>
      <c r="AI181" s="48">
        <f t="shared" si="97"/>
        <v>1</v>
      </c>
      <c r="AJ181" s="48">
        <f t="shared" si="97"/>
        <v>1</v>
      </c>
      <c r="AK181" s="48">
        <f t="shared" si="97"/>
        <v>1</v>
      </c>
      <c r="AL181" s="48">
        <f t="shared" si="97"/>
        <v>1</v>
      </c>
      <c r="AM181" s="48">
        <f t="shared" si="97"/>
        <v>1</v>
      </c>
      <c r="AN181" s="48">
        <f t="shared" si="97"/>
        <v>1</v>
      </c>
      <c r="AO181" s="48">
        <f t="shared" si="97"/>
        <v>1</v>
      </c>
      <c r="AP181" s="48">
        <f t="shared" si="97"/>
        <v>1</v>
      </c>
      <c r="AQ181" s="48">
        <f t="shared" si="97"/>
        <v>1</v>
      </c>
      <c r="AR181" s="48">
        <f t="shared" si="97"/>
        <v>1</v>
      </c>
      <c r="AS181" s="48">
        <f t="shared" si="97"/>
        <v>1</v>
      </c>
      <c r="AT181" s="48">
        <f t="shared" si="97"/>
        <v>1</v>
      </c>
      <c r="AU181" s="48">
        <f t="shared" si="97"/>
        <v>1</v>
      </c>
      <c r="AV181" s="48">
        <f t="shared" si="97"/>
        <v>1</v>
      </c>
      <c r="AW181" s="48">
        <f t="shared" si="97"/>
        <v>1</v>
      </c>
      <c r="AX181" s="48">
        <f t="shared" si="97"/>
        <v>1</v>
      </c>
      <c r="AY181" s="48">
        <f t="shared" si="97"/>
        <v>1</v>
      </c>
      <c r="AZ181" s="48">
        <f t="shared" si="97"/>
        <v>1</v>
      </c>
      <c r="BA181" s="48">
        <f t="shared" si="97"/>
        <v>1</v>
      </c>
      <c r="BB181" s="48">
        <f t="shared" si="97"/>
        <v>1</v>
      </c>
      <c r="BC181" s="48">
        <f t="shared" si="97"/>
        <v>1</v>
      </c>
      <c r="BD181" s="48">
        <f t="shared" si="97"/>
        <v>1</v>
      </c>
      <c r="BE181" s="48">
        <f t="shared" si="97"/>
        <v>1</v>
      </c>
      <c r="BF181" s="48">
        <f t="shared" si="97"/>
        <v>1</v>
      </c>
      <c r="BG181" s="48">
        <f t="shared" si="97"/>
        <v>1</v>
      </c>
      <c r="BH181" s="48">
        <f t="shared" si="97"/>
        <v>1</v>
      </c>
      <c r="BI181" s="48">
        <f t="shared" si="97"/>
        <v>1</v>
      </c>
      <c r="BJ181" s="48">
        <f t="shared" si="97"/>
        <v>1</v>
      </c>
      <c r="BK181" s="48">
        <f t="shared" si="97"/>
        <v>1</v>
      </c>
      <c r="BL181" s="48">
        <f t="shared" si="97"/>
        <v>1</v>
      </c>
      <c r="BM181" s="48">
        <f t="shared" si="97"/>
        <v>1</v>
      </c>
      <c r="BN181" s="48">
        <f t="shared" si="97"/>
        <v>1</v>
      </c>
      <c r="BO181" s="32">
        <f t="shared" si="79"/>
        <v>0.79096045197740106</v>
      </c>
    </row>
    <row r="182" spans="1:67" s="27" customFormat="1" ht="18.75" customHeight="1" x14ac:dyDescent="0.25">
      <c r="A182" s="50" t="s">
        <v>370</v>
      </c>
      <c r="B182" s="50" t="s">
        <v>371</v>
      </c>
      <c r="C182" s="50" t="s">
        <v>117</v>
      </c>
      <c r="D182" s="51">
        <f>VLOOKUP(A182,'[1]Cuadro Control'!C217:J2112,8,FALSE)</f>
        <v>320494616.71764702</v>
      </c>
      <c r="E182" s="52">
        <f t="shared" si="96"/>
        <v>6.0369617599332674E-2</v>
      </c>
      <c r="F182" s="53">
        <v>46298</v>
      </c>
      <c r="G182" s="53">
        <v>46303</v>
      </c>
      <c r="H182" s="52">
        <f t="shared" si="97"/>
        <v>0</v>
      </c>
      <c r="I182" s="52">
        <f t="shared" si="97"/>
        <v>0</v>
      </c>
      <c r="J182" s="52">
        <f t="shared" si="97"/>
        <v>0</v>
      </c>
      <c r="K182" s="52">
        <f t="shared" si="97"/>
        <v>0</v>
      </c>
      <c r="L182" s="52">
        <f t="shared" si="97"/>
        <v>0</v>
      </c>
      <c r="M182" s="52">
        <f t="shared" si="97"/>
        <v>0</v>
      </c>
      <c r="N182" s="52">
        <f t="shared" si="97"/>
        <v>0</v>
      </c>
      <c r="O182" s="52">
        <f t="shared" si="97"/>
        <v>0</v>
      </c>
      <c r="P182" s="52">
        <f t="shared" si="97"/>
        <v>0</v>
      </c>
      <c r="Q182" s="52">
        <f t="shared" si="97"/>
        <v>0</v>
      </c>
      <c r="R182" s="52">
        <f t="shared" si="97"/>
        <v>0</v>
      </c>
      <c r="S182" s="52">
        <f t="shared" si="97"/>
        <v>0</v>
      </c>
      <c r="T182" s="52">
        <f t="shared" si="97"/>
        <v>0</v>
      </c>
      <c r="U182" s="52">
        <f t="shared" si="97"/>
        <v>1</v>
      </c>
      <c r="V182" s="52">
        <f t="shared" si="97"/>
        <v>1</v>
      </c>
      <c r="W182" s="52">
        <f t="shared" si="97"/>
        <v>1</v>
      </c>
      <c r="X182" s="52">
        <f t="shared" si="97"/>
        <v>1</v>
      </c>
      <c r="Y182" s="52">
        <f t="shared" si="97"/>
        <v>1</v>
      </c>
      <c r="Z182" s="52">
        <f t="shared" si="97"/>
        <v>1</v>
      </c>
      <c r="AA182" s="52">
        <f t="shared" si="97"/>
        <v>1</v>
      </c>
      <c r="AB182" s="52">
        <f t="shared" si="97"/>
        <v>1</v>
      </c>
      <c r="AC182" s="52">
        <f t="shared" si="97"/>
        <v>1</v>
      </c>
      <c r="AD182" s="52">
        <f t="shared" si="97"/>
        <v>1</v>
      </c>
      <c r="AE182" s="52">
        <f t="shared" si="97"/>
        <v>1</v>
      </c>
      <c r="AF182" s="52">
        <f t="shared" si="97"/>
        <v>1</v>
      </c>
      <c r="AG182" s="52">
        <f t="shared" si="97"/>
        <v>1</v>
      </c>
      <c r="AH182" s="52">
        <f t="shared" si="97"/>
        <v>1</v>
      </c>
      <c r="AI182" s="52">
        <f t="shared" si="97"/>
        <v>1</v>
      </c>
      <c r="AJ182" s="52">
        <f t="shared" si="97"/>
        <v>1</v>
      </c>
      <c r="AK182" s="52">
        <f t="shared" si="97"/>
        <v>1</v>
      </c>
      <c r="AL182" s="52">
        <f t="shared" si="97"/>
        <v>1</v>
      </c>
      <c r="AM182" s="52">
        <f t="shared" si="97"/>
        <v>1</v>
      </c>
      <c r="AN182" s="52">
        <f t="shared" si="97"/>
        <v>1</v>
      </c>
      <c r="AO182" s="52">
        <f t="shared" si="97"/>
        <v>1</v>
      </c>
      <c r="AP182" s="52">
        <f t="shared" si="97"/>
        <v>1</v>
      </c>
      <c r="AQ182" s="52">
        <f t="shared" si="97"/>
        <v>1</v>
      </c>
      <c r="AR182" s="52">
        <f t="shared" si="97"/>
        <v>1</v>
      </c>
      <c r="AS182" s="52">
        <f t="shared" si="97"/>
        <v>1</v>
      </c>
      <c r="AT182" s="52">
        <f t="shared" si="97"/>
        <v>1</v>
      </c>
      <c r="AU182" s="52">
        <f t="shared" si="97"/>
        <v>1</v>
      </c>
      <c r="AV182" s="52">
        <f t="shared" si="97"/>
        <v>1</v>
      </c>
      <c r="AW182" s="52">
        <f t="shared" si="97"/>
        <v>1</v>
      </c>
      <c r="AX182" s="52">
        <f t="shared" si="97"/>
        <v>1</v>
      </c>
      <c r="AY182" s="52">
        <f t="shared" si="97"/>
        <v>1</v>
      </c>
      <c r="AZ182" s="52">
        <f t="shared" si="97"/>
        <v>1</v>
      </c>
      <c r="BA182" s="52">
        <f t="shared" si="97"/>
        <v>1</v>
      </c>
      <c r="BB182" s="52">
        <f t="shared" si="97"/>
        <v>1</v>
      </c>
      <c r="BC182" s="52">
        <f t="shared" si="97"/>
        <v>1</v>
      </c>
      <c r="BD182" s="52">
        <f t="shared" si="97"/>
        <v>1</v>
      </c>
      <c r="BE182" s="52">
        <f t="shared" si="97"/>
        <v>1</v>
      </c>
      <c r="BF182" s="52">
        <f t="shared" si="97"/>
        <v>1</v>
      </c>
      <c r="BG182" s="52">
        <f t="shared" si="97"/>
        <v>1</v>
      </c>
      <c r="BH182" s="52">
        <f t="shared" si="97"/>
        <v>1</v>
      </c>
      <c r="BI182" s="52">
        <f t="shared" si="97"/>
        <v>1</v>
      </c>
      <c r="BJ182" s="52">
        <f t="shared" si="97"/>
        <v>1</v>
      </c>
      <c r="BK182" s="52">
        <f t="shared" si="97"/>
        <v>1</v>
      </c>
      <c r="BL182" s="52">
        <f t="shared" si="97"/>
        <v>1</v>
      </c>
      <c r="BM182" s="52">
        <f t="shared" si="97"/>
        <v>1</v>
      </c>
      <c r="BN182" s="52">
        <f t="shared" si="97"/>
        <v>1</v>
      </c>
      <c r="BO182" s="32">
        <f t="shared" si="79"/>
        <v>0.77966101694915257</v>
      </c>
    </row>
    <row r="183" spans="1:67" s="27" customFormat="1" ht="18.75" customHeight="1" x14ac:dyDescent="0.25">
      <c r="A183" s="50" t="s">
        <v>372</v>
      </c>
      <c r="B183" s="50" t="s">
        <v>373</v>
      </c>
      <c r="C183" s="50" t="s">
        <v>111</v>
      </c>
      <c r="D183" s="51">
        <f>VLOOKUP(A183,'[1]Cuadro Control'!C218:J2113,8,FALSE)</f>
        <v>94303618.549411759</v>
      </c>
      <c r="E183" s="52">
        <f t="shared" si="96"/>
        <v>1.7763397864110998E-2</v>
      </c>
      <c r="F183" s="53">
        <v>46303</v>
      </c>
      <c r="G183" s="53">
        <v>46305</v>
      </c>
      <c r="H183" s="52">
        <f t="shared" si="97"/>
        <v>0</v>
      </c>
      <c r="I183" s="52">
        <f t="shared" si="97"/>
        <v>0</v>
      </c>
      <c r="J183" s="52">
        <f t="shared" si="97"/>
        <v>0</v>
      </c>
      <c r="K183" s="52">
        <f t="shared" si="97"/>
        <v>0</v>
      </c>
      <c r="L183" s="52">
        <f t="shared" si="97"/>
        <v>0</v>
      </c>
      <c r="M183" s="52">
        <f t="shared" si="97"/>
        <v>0</v>
      </c>
      <c r="N183" s="52">
        <f t="shared" si="97"/>
        <v>0</v>
      </c>
      <c r="O183" s="52">
        <f t="shared" si="97"/>
        <v>0</v>
      </c>
      <c r="P183" s="52">
        <f t="shared" si="97"/>
        <v>0</v>
      </c>
      <c r="Q183" s="52">
        <f t="shared" si="97"/>
        <v>0</v>
      </c>
      <c r="R183" s="52">
        <f t="shared" si="97"/>
        <v>0</v>
      </c>
      <c r="S183" s="52">
        <f t="shared" si="97"/>
        <v>0</v>
      </c>
      <c r="T183" s="52">
        <f t="shared" si="97"/>
        <v>0</v>
      </c>
      <c r="U183" s="52">
        <f t="shared" si="97"/>
        <v>0.66666666666666663</v>
      </c>
      <c r="V183" s="52">
        <f t="shared" si="97"/>
        <v>1</v>
      </c>
      <c r="W183" s="52">
        <f t="shared" si="97"/>
        <v>1</v>
      </c>
      <c r="X183" s="52">
        <f t="shared" si="97"/>
        <v>1</v>
      </c>
      <c r="Y183" s="52">
        <f t="shared" si="97"/>
        <v>1</v>
      </c>
      <c r="Z183" s="52">
        <f t="shared" si="97"/>
        <v>1</v>
      </c>
      <c r="AA183" s="52">
        <f t="shared" ref="AA183:BF194" si="98">IF($F183=0,0,IF(AA$6&lt;$F183,0,IF(AA$6&gt;$G183,1,(AA$6-$F183+1)/($G183-$F183+1))))</f>
        <v>1</v>
      </c>
      <c r="AB183" s="52">
        <f t="shared" si="98"/>
        <v>1</v>
      </c>
      <c r="AC183" s="52">
        <f t="shared" si="98"/>
        <v>1</v>
      </c>
      <c r="AD183" s="52">
        <f t="shared" si="98"/>
        <v>1</v>
      </c>
      <c r="AE183" s="52">
        <f t="shared" si="98"/>
        <v>1</v>
      </c>
      <c r="AF183" s="52">
        <f t="shared" si="98"/>
        <v>1</v>
      </c>
      <c r="AG183" s="52">
        <f t="shared" si="98"/>
        <v>1</v>
      </c>
      <c r="AH183" s="52">
        <f t="shared" si="98"/>
        <v>1</v>
      </c>
      <c r="AI183" s="52">
        <f t="shared" si="98"/>
        <v>1</v>
      </c>
      <c r="AJ183" s="52">
        <f t="shared" si="98"/>
        <v>1</v>
      </c>
      <c r="AK183" s="52">
        <f t="shared" si="98"/>
        <v>1</v>
      </c>
      <c r="AL183" s="52">
        <f t="shared" si="98"/>
        <v>1</v>
      </c>
      <c r="AM183" s="52">
        <f t="shared" si="98"/>
        <v>1</v>
      </c>
      <c r="AN183" s="52">
        <f t="shared" si="98"/>
        <v>1</v>
      </c>
      <c r="AO183" s="52">
        <f t="shared" si="98"/>
        <v>1</v>
      </c>
      <c r="AP183" s="52">
        <f t="shared" si="98"/>
        <v>1</v>
      </c>
      <c r="AQ183" s="52">
        <f t="shared" si="98"/>
        <v>1</v>
      </c>
      <c r="AR183" s="52">
        <f t="shared" si="98"/>
        <v>1</v>
      </c>
      <c r="AS183" s="52">
        <f t="shared" si="98"/>
        <v>1</v>
      </c>
      <c r="AT183" s="52">
        <f t="shared" si="98"/>
        <v>1</v>
      </c>
      <c r="AU183" s="52">
        <f t="shared" si="98"/>
        <v>1</v>
      </c>
      <c r="AV183" s="52">
        <f t="shared" si="98"/>
        <v>1</v>
      </c>
      <c r="AW183" s="52">
        <f t="shared" si="98"/>
        <v>1</v>
      </c>
      <c r="AX183" s="52">
        <f t="shared" si="98"/>
        <v>1</v>
      </c>
      <c r="AY183" s="52">
        <f t="shared" si="98"/>
        <v>1</v>
      </c>
      <c r="AZ183" s="52">
        <f t="shared" si="98"/>
        <v>1</v>
      </c>
      <c r="BA183" s="52">
        <f t="shared" si="98"/>
        <v>1</v>
      </c>
      <c r="BB183" s="52">
        <f t="shared" si="98"/>
        <v>1</v>
      </c>
      <c r="BC183" s="52">
        <f t="shared" si="98"/>
        <v>1</v>
      </c>
      <c r="BD183" s="52">
        <f t="shared" si="98"/>
        <v>1</v>
      </c>
      <c r="BE183" s="52">
        <f t="shared" si="98"/>
        <v>1</v>
      </c>
      <c r="BF183" s="52">
        <f t="shared" si="98"/>
        <v>1</v>
      </c>
      <c r="BG183" s="52">
        <f t="shared" ref="BG183:BN194" si="99">IF($F183=0,0,IF(BG$6&lt;$F183,0,IF(BG$6&gt;$G183,1,(BG$6-$F183+1)/($G183-$F183+1))))</f>
        <v>1</v>
      </c>
      <c r="BH183" s="52">
        <f t="shared" si="99"/>
        <v>1</v>
      </c>
      <c r="BI183" s="52">
        <f t="shared" si="99"/>
        <v>1</v>
      </c>
      <c r="BJ183" s="52">
        <f t="shared" si="99"/>
        <v>1</v>
      </c>
      <c r="BK183" s="52">
        <f t="shared" si="99"/>
        <v>1</v>
      </c>
      <c r="BL183" s="52">
        <f t="shared" si="99"/>
        <v>1</v>
      </c>
      <c r="BM183" s="52">
        <f t="shared" si="99"/>
        <v>1</v>
      </c>
      <c r="BN183" s="52">
        <f t="shared" si="99"/>
        <v>1</v>
      </c>
      <c r="BO183" s="32">
        <f t="shared" si="79"/>
        <v>0.77401129943502822</v>
      </c>
    </row>
    <row r="184" spans="1:67" s="27" customFormat="1" ht="18.75" customHeight="1" x14ac:dyDescent="0.25">
      <c r="A184" s="50" t="s">
        <v>374</v>
      </c>
      <c r="B184" s="50" t="s">
        <v>375</v>
      </c>
      <c r="C184" s="50" t="s">
        <v>238</v>
      </c>
      <c r="D184" s="51">
        <f>VLOOKUP(A184,'[1]Cuadro Control'!C219:J2114,8,FALSE)</f>
        <v>179436034.15411764</v>
      </c>
      <c r="E184" s="52">
        <f t="shared" si="96"/>
        <v>3.3799272126209236E-2</v>
      </c>
      <c r="F184" s="53">
        <v>46305</v>
      </c>
      <c r="G184" s="53">
        <v>46311</v>
      </c>
      <c r="H184" s="52">
        <f t="shared" ref="H184:W194" si="100">IF($F184=0,0,IF(H$6&lt;$F184,0,IF(H$6&gt;$G184,1,(H$6-$F184+1)/($G184-$F184+1))))</f>
        <v>0</v>
      </c>
      <c r="I184" s="52">
        <f t="shared" si="100"/>
        <v>0</v>
      </c>
      <c r="J184" s="52">
        <f t="shared" si="100"/>
        <v>0</v>
      </c>
      <c r="K184" s="52">
        <f t="shared" si="100"/>
        <v>0</v>
      </c>
      <c r="L184" s="52">
        <f t="shared" si="100"/>
        <v>0</v>
      </c>
      <c r="M184" s="52">
        <f t="shared" si="100"/>
        <v>0</v>
      </c>
      <c r="N184" s="52">
        <f t="shared" si="100"/>
        <v>0</v>
      </c>
      <c r="O184" s="52">
        <f t="shared" si="100"/>
        <v>0</v>
      </c>
      <c r="P184" s="52">
        <f t="shared" si="100"/>
        <v>0</v>
      </c>
      <c r="Q184" s="52">
        <f t="shared" si="100"/>
        <v>0</v>
      </c>
      <c r="R184" s="52">
        <f t="shared" si="100"/>
        <v>0</v>
      </c>
      <c r="S184" s="52">
        <f t="shared" si="100"/>
        <v>0</v>
      </c>
      <c r="T184" s="52">
        <f t="shared" si="100"/>
        <v>0</v>
      </c>
      <c r="U184" s="52">
        <f t="shared" si="100"/>
        <v>0</v>
      </c>
      <c r="V184" s="52">
        <f t="shared" si="100"/>
        <v>1</v>
      </c>
      <c r="W184" s="52">
        <f t="shared" si="100"/>
        <v>1</v>
      </c>
      <c r="X184" s="52">
        <f t="shared" ref="X184:BC194" si="101">IF($F184=0,0,IF(X$6&lt;$F184,0,IF(X$6&gt;$G184,1,(X$6-$F184+1)/($G184-$F184+1))))</f>
        <v>1</v>
      </c>
      <c r="Y184" s="52">
        <f t="shared" si="101"/>
        <v>1</v>
      </c>
      <c r="Z184" s="52">
        <f t="shared" si="101"/>
        <v>1</v>
      </c>
      <c r="AA184" s="52">
        <f t="shared" si="101"/>
        <v>1</v>
      </c>
      <c r="AB184" s="52">
        <f t="shared" si="101"/>
        <v>1</v>
      </c>
      <c r="AC184" s="52">
        <f t="shared" si="101"/>
        <v>1</v>
      </c>
      <c r="AD184" s="52">
        <f t="shared" si="101"/>
        <v>1</v>
      </c>
      <c r="AE184" s="52">
        <f t="shared" si="101"/>
        <v>1</v>
      </c>
      <c r="AF184" s="52">
        <f t="shared" si="101"/>
        <v>1</v>
      </c>
      <c r="AG184" s="52">
        <f t="shared" si="101"/>
        <v>1</v>
      </c>
      <c r="AH184" s="52">
        <f t="shared" si="101"/>
        <v>1</v>
      </c>
      <c r="AI184" s="52">
        <f t="shared" si="101"/>
        <v>1</v>
      </c>
      <c r="AJ184" s="52">
        <f t="shared" si="101"/>
        <v>1</v>
      </c>
      <c r="AK184" s="52">
        <f t="shared" si="101"/>
        <v>1</v>
      </c>
      <c r="AL184" s="52">
        <f t="shared" si="101"/>
        <v>1</v>
      </c>
      <c r="AM184" s="52">
        <f t="shared" si="101"/>
        <v>1</v>
      </c>
      <c r="AN184" s="52">
        <f t="shared" si="101"/>
        <v>1</v>
      </c>
      <c r="AO184" s="52">
        <f t="shared" si="98"/>
        <v>1</v>
      </c>
      <c r="AP184" s="52">
        <f t="shared" si="98"/>
        <v>1</v>
      </c>
      <c r="AQ184" s="52">
        <f t="shared" si="98"/>
        <v>1</v>
      </c>
      <c r="AR184" s="52">
        <f t="shared" si="98"/>
        <v>1</v>
      </c>
      <c r="AS184" s="52">
        <f t="shared" si="98"/>
        <v>1</v>
      </c>
      <c r="AT184" s="52">
        <f t="shared" si="98"/>
        <v>1</v>
      </c>
      <c r="AU184" s="52">
        <f t="shared" si="98"/>
        <v>1</v>
      </c>
      <c r="AV184" s="52">
        <f t="shared" si="98"/>
        <v>1</v>
      </c>
      <c r="AW184" s="52">
        <f t="shared" si="98"/>
        <v>1</v>
      </c>
      <c r="AX184" s="52">
        <f t="shared" si="98"/>
        <v>1</v>
      </c>
      <c r="AY184" s="52">
        <f t="shared" si="98"/>
        <v>1</v>
      </c>
      <c r="AZ184" s="52">
        <f t="shared" si="98"/>
        <v>1</v>
      </c>
      <c r="BA184" s="52">
        <f t="shared" si="98"/>
        <v>1</v>
      </c>
      <c r="BB184" s="52">
        <f t="shared" si="98"/>
        <v>1</v>
      </c>
      <c r="BC184" s="52">
        <f t="shared" si="98"/>
        <v>1</v>
      </c>
      <c r="BD184" s="52">
        <f t="shared" si="98"/>
        <v>1</v>
      </c>
      <c r="BE184" s="52">
        <f t="shared" si="98"/>
        <v>1</v>
      </c>
      <c r="BF184" s="52">
        <f t="shared" si="98"/>
        <v>1</v>
      </c>
      <c r="BG184" s="52">
        <f t="shared" si="99"/>
        <v>1</v>
      </c>
      <c r="BH184" s="52">
        <f t="shared" si="99"/>
        <v>1</v>
      </c>
      <c r="BI184" s="52">
        <f t="shared" si="99"/>
        <v>1</v>
      </c>
      <c r="BJ184" s="52">
        <f t="shared" si="99"/>
        <v>1</v>
      </c>
      <c r="BK184" s="52">
        <f t="shared" si="99"/>
        <v>1</v>
      </c>
      <c r="BL184" s="52">
        <f t="shared" si="99"/>
        <v>1</v>
      </c>
      <c r="BM184" s="52">
        <f t="shared" si="99"/>
        <v>1</v>
      </c>
      <c r="BN184" s="52">
        <f t="shared" si="99"/>
        <v>1</v>
      </c>
      <c r="BO184" s="32">
        <f t="shared" si="79"/>
        <v>0.76271186440677963</v>
      </c>
    </row>
    <row r="185" spans="1:67" s="27" customFormat="1" ht="18.75" customHeight="1" x14ac:dyDescent="0.25">
      <c r="A185" s="50" t="s">
        <v>376</v>
      </c>
      <c r="B185" s="50" t="s">
        <v>377</v>
      </c>
      <c r="C185" s="50" t="s">
        <v>58</v>
      </c>
      <c r="D185" s="51">
        <f>VLOOKUP(A185,'[1]Cuadro Control'!C220:J2115,8,FALSE)</f>
        <v>1212623361.2117648</v>
      </c>
      <c r="E185" s="52">
        <f t="shared" si="96"/>
        <v>0.22841447185013161</v>
      </c>
      <c r="F185" s="53">
        <v>46311</v>
      </c>
      <c r="G185" s="53">
        <v>46329</v>
      </c>
      <c r="H185" s="52">
        <f t="shared" si="100"/>
        <v>0</v>
      </c>
      <c r="I185" s="52">
        <f t="shared" si="100"/>
        <v>0</v>
      </c>
      <c r="J185" s="52">
        <f t="shared" si="100"/>
        <v>0</v>
      </c>
      <c r="K185" s="52">
        <f t="shared" si="100"/>
        <v>0</v>
      </c>
      <c r="L185" s="52">
        <f t="shared" si="100"/>
        <v>0</v>
      </c>
      <c r="M185" s="52">
        <f t="shared" si="100"/>
        <v>0</v>
      </c>
      <c r="N185" s="52">
        <f t="shared" si="100"/>
        <v>0</v>
      </c>
      <c r="O185" s="52">
        <f t="shared" si="100"/>
        <v>0</v>
      </c>
      <c r="P185" s="52">
        <f t="shared" si="100"/>
        <v>0</v>
      </c>
      <c r="Q185" s="52">
        <f t="shared" si="100"/>
        <v>0</v>
      </c>
      <c r="R185" s="52">
        <f t="shared" si="100"/>
        <v>0</v>
      </c>
      <c r="S185" s="52">
        <f t="shared" si="100"/>
        <v>0</v>
      </c>
      <c r="T185" s="52">
        <f t="shared" si="100"/>
        <v>0</v>
      </c>
      <c r="U185" s="52">
        <f t="shared" si="100"/>
        <v>0</v>
      </c>
      <c r="V185" s="52">
        <f t="shared" si="100"/>
        <v>5.2631578947368418E-2</v>
      </c>
      <c r="W185" s="52">
        <f t="shared" si="100"/>
        <v>0.42105263157894735</v>
      </c>
      <c r="X185" s="52">
        <f t="shared" si="101"/>
        <v>0.78947368421052633</v>
      </c>
      <c r="Y185" s="52">
        <f t="shared" si="101"/>
        <v>1</v>
      </c>
      <c r="Z185" s="52">
        <f t="shared" si="101"/>
        <v>1</v>
      </c>
      <c r="AA185" s="52">
        <f t="shared" si="101"/>
        <v>1</v>
      </c>
      <c r="AB185" s="52">
        <f t="shared" si="101"/>
        <v>1</v>
      </c>
      <c r="AC185" s="52">
        <f t="shared" si="101"/>
        <v>1</v>
      </c>
      <c r="AD185" s="52">
        <f t="shared" si="101"/>
        <v>1</v>
      </c>
      <c r="AE185" s="52">
        <f t="shared" si="101"/>
        <v>1</v>
      </c>
      <c r="AF185" s="52">
        <f t="shared" si="101"/>
        <v>1</v>
      </c>
      <c r="AG185" s="52">
        <f t="shared" si="101"/>
        <v>1</v>
      </c>
      <c r="AH185" s="52">
        <f t="shared" si="101"/>
        <v>1</v>
      </c>
      <c r="AI185" s="52">
        <f t="shared" si="101"/>
        <v>1</v>
      </c>
      <c r="AJ185" s="52">
        <f t="shared" si="101"/>
        <v>1</v>
      </c>
      <c r="AK185" s="52">
        <f t="shared" si="101"/>
        <v>1</v>
      </c>
      <c r="AL185" s="52">
        <f t="shared" si="101"/>
        <v>1</v>
      </c>
      <c r="AM185" s="52">
        <f t="shared" si="101"/>
        <v>1</v>
      </c>
      <c r="AN185" s="52">
        <f t="shared" si="101"/>
        <v>1</v>
      </c>
      <c r="AO185" s="52">
        <f t="shared" si="98"/>
        <v>1</v>
      </c>
      <c r="AP185" s="52">
        <f t="shared" si="98"/>
        <v>1</v>
      </c>
      <c r="AQ185" s="52">
        <f t="shared" si="98"/>
        <v>1</v>
      </c>
      <c r="AR185" s="52">
        <f t="shared" si="98"/>
        <v>1</v>
      </c>
      <c r="AS185" s="52">
        <f t="shared" si="98"/>
        <v>1</v>
      </c>
      <c r="AT185" s="52">
        <f t="shared" si="98"/>
        <v>1</v>
      </c>
      <c r="AU185" s="52">
        <f t="shared" si="98"/>
        <v>1</v>
      </c>
      <c r="AV185" s="52">
        <f t="shared" si="98"/>
        <v>1</v>
      </c>
      <c r="AW185" s="52">
        <f t="shared" si="98"/>
        <v>1</v>
      </c>
      <c r="AX185" s="52">
        <f t="shared" si="98"/>
        <v>1</v>
      </c>
      <c r="AY185" s="52">
        <f t="shared" si="98"/>
        <v>1</v>
      </c>
      <c r="AZ185" s="52">
        <f t="shared" si="98"/>
        <v>1</v>
      </c>
      <c r="BA185" s="52">
        <f t="shared" si="98"/>
        <v>1</v>
      </c>
      <c r="BB185" s="52">
        <f t="shared" si="98"/>
        <v>1</v>
      </c>
      <c r="BC185" s="52">
        <f t="shared" si="98"/>
        <v>1</v>
      </c>
      <c r="BD185" s="52">
        <f t="shared" si="98"/>
        <v>1</v>
      </c>
      <c r="BE185" s="52">
        <f t="shared" si="98"/>
        <v>1</v>
      </c>
      <c r="BF185" s="52">
        <f t="shared" si="98"/>
        <v>1</v>
      </c>
      <c r="BG185" s="52">
        <f t="shared" si="99"/>
        <v>1</v>
      </c>
      <c r="BH185" s="52">
        <f t="shared" si="99"/>
        <v>1</v>
      </c>
      <c r="BI185" s="52">
        <f t="shared" si="99"/>
        <v>1</v>
      </c>
      <c r="BJ185" s="52">
        <f t="shared" si="99"/>
        <v>1</v>
      </c>
      <c r="BK185" s="52">
        <f t="shared" si="99"/>
        <v>1</v>
      </c>
      <c r="BL185" s="52">
        <f t="shared" si="99"/>
        <v>1</v>
      </c>
      <c r="BM185" s="52">
        <f t="shared" si="99"/>
        <v>1</v>
      </c>
      <c r="BN185" s="52">
        <f t="shared" si="99"/>
        <v>1</v>
      </c>
      <c r="BO185" s="32">
        <f t="shared" si="79"/>
        <v>0.73327386262265837</v>
      </c>
    </row>
    <row r="186" spans="1:67" s="27" customFormat="1" ht="18.75" customHeight="1" x14ac:dyDescent="0.25">
      <c r="A186" s="50" t="s">
        <v>378</v>
      </c>
      <c r="B186" s="50" t="s">
        <v>379</v>
      </c>
      <c r="C186" s="50" t="s">
        <v>126</v>
      </c>
      <c r="D186" s="51">
        <f>VLOOKUP(A186,'[1]Cuadro Control'!C221:J2116,8,FALSE)</f>
        <v>0</v>
      </c>
      <c r="E186" s="52">
        <f t="shared" si="96"/>
        <v>0</v>
      </c>
      <c r="F186" s="53">
        <v>46329</v>
      </c>
      <c r="G186" s="53">
        <v>46331</v>
      </c>
      <c r="H186" s="52">
        <f t="shared" si="100"/>
        <v>0</v>
      </c>
      <c r="I186" s="52">
        <f t="shared" si="100"/>
        <v>0</v>
      </c>
      <c r="J186" s="52">
        <f t="shared" si="100"/>
        <v>0</v>
      </c>
      <c r="K186" s="52">
        <f t="shared" si="100"/>
        <v>0</v>
      </c>
      <c r="L186" s="52">
        <f t="shared" si="100"/>
        <v>0</v>
      </c>
      <c r="M186" s="52">
        <f t="shared" si="100"/>
        <v>0</v>
      </c>
      <c r="N186" s="52">
        <f t="shared" si="100"/>
        <v>0</v>
      </c>
      <c r="O186" s="52">
        <f t="shared" si="100"/>
        <v>0</v>
      </c>
      <c r="P186" s="52">
        <f t="shared" si="100"/>
        <v>0</v>
      </c>
      <c r="Q186" s="52">
        <f t="shared" si="100"/>
        <v>0</v>
      </c>
      <c r="R186" s="52">
        <f t="shared" si="100"/>
        <v>0</v>
      </c>
      <c r="S186" s="52">
        <f t="shared" si="100"/>
        <v>0</v>
      </c>
      <c r="T186" s="52">
        <f t="shared" si="100"/>
        <v>0</v>
      </c>
      <c r="U186" s="52">
        <f t="shared" si="100"/>
        <v>0</v>
      </c>
      <c r="V186" s="52">
        <f t="shared" si="100"/>
        <v>0</v>
      </c>
      <c r="W186" s="52">
        <f t="shared" si="100"/>
        <v>0</v>
      </c>
      <c r="X186" s="52">
        <f t="shared" si="101"/>
        <v>0</v>
      </c>
      <c r="Y186" s="52">
        <f t="shared" si="101"/>
        <v>1</v>
      </c>
      <c r="Z186" s="52">
        <f t="shared" si="101"/>
        <v>1</v>
      </c>
      <c r="AA186" s="52">
        <f t="shared" si="101"/>
        <v>1</v>
      </c>
      <c r="AB186" s="52">
        <f t="shared" si="101"/>
        <v>1</v>
      </c>
      <c r="AC186" s="52">
        <f t="shared" si="101"/>
        <v>1</v>
      </c>
      <c r="AD186" s="52">
        <f t="shared" si="101"/>
        <v>1</v>
      </c>
      <c r="AE186" s="52">
        <f t="shared" si="101"/>
        <v>1</v>
      </c>
      <c r="AF186" s="52">
        <f t="shared" si="101"/>
        <v>1</v>
      </c>
      <c r="AG186" s="52">
        <f t="shared" si="101"/>
        <v>1</v>
      </c>
      <c r="AH186" s="52">
        <f t="shared" si="101"/>
        <v>1</v>
      </c>
      <c r="AI186" s="52">
        <f t="shared" si="101"/>
        <v>1</v>
      </c>
      <c r="AJ186" s="52">
        <f t="shared" si="101"/>
        <v>1</v>
      </c>
      <c r="AK186" s="52">
        <f t="shared" si="101"/>
        <v>1</v>
      </c>
      <c r="AL186" s="52">
        <f t="shared" si="101"/>
        <v>1</v>
      </c>
      <c r="AM186" s="52">
        <f t="shared" si="101"/>
        <v>1</v>
      </c>
      <c r="AN186" s="52">
        <f t="shared" si="101"/>
        <v>1</v>
      </c>
      <c r="AO186" s="52">
        <f t="shared" si="98"/>
        <v>1</v>
      </c>
      <c r="AP186" s="52">
        <f t="shared" si="98"/>
        <v>1</v>
      </c>
      <c r="AQ186" s="52">
        <f t="shared" si="98"/>
        <v>1</v>
      </c>
      <c r="AR186" s="52">
        <f t="shared" si="98"/>
        <v>1</v>
      </c>
      <c r="AS186" s="52">
        <f t="shared" si="98"/>
        <v>1</v>
      </c>
      <c r="AT186" s="52">
        <f t="shared" si="98"/>
        <v>1</v>
      </c>
      <c r="AU186" s="52">
        <f t="shared" si="98"/>
        <v>1</v>
      </c>
      <c r="AV186" s="52">
        <f t="shared" si="98"/>
        <v>1</v>
      </c>
      <c r="AW186" s="52">
        <f t="shared" si="98"/>
        <v>1</v>
      </c>
      <c r="AX186" s="52">
        <f t="shared" si="98"/>
        <v>1</v>
      </c>
      <c r="AY186" s="52">
        <f t="shared" si="98"/>
        <v>1</v>
      </c>
      <c r="AZ186" s="52">
        <f t="shared" si="98"/>
        <v>1</v>
      </c>
      <c r="BA186" s="52">
        <f t="shared" si="98"/>
        <v>1</v>
      </c>
      <c r="BB186" s="52">
        <f t="shared" si="98"/>
        <v>1</v>
      </c>
      <c r="BC186" s="52">
        <f t="shared" si="98"/>
        <v>1</v>
      </c>
      <c r="BD186" s="52">
        <f t="shared" si="98"/>
        <v>1</v>
      </c>
      <c r="BE186" s="52">
        <f t="shared" si="98"/>
        <v>1</v>
      </c>
      <c r="BF186" s="52">
        <f t="shared" si="98"/>
        <v>1</v>
      </c>
      <c r="BG186" s="52">
        <f t="shared" si="99"/>
        <v>1</v>
      </c>
      <c r="BH186" s="52">
        <f t="shared" si="99"/>
        <v>1</v>
      </c>
      <c r="BI186" s="52">
        <f t="shared" si="99"/>
        <v>1</v>
      </c>
      <c r="BJ186" s="52">
        <f t="shared" si="99"/>
        <v>1</v>
      </c>
      <c r="BK186" s="52">
        <f t="shared" si="99"/>
        <v>1</v>
      </c>
      <c r="BL186" s="52">
        <f t="shared" si="99"/>
        <v>1</v>
      </c>
      <c r="BM186" s="52">
        <f t="shared" si="99"/>
        <v>1</v>
      </c>
      <c r="BN186" s="52">
        <f t="shared" si="99"/>
        <v>1</v>
      </c>
      <c r="BO186" s="32">
        <f t="shared" si="79"/>
        <v>0.71186440677966101</v>
      </c>
    </row>
    <row r="187" spans="1:67" s="27" customFormat="1" ht="18.75" customHeight="1" x14ac:dyDescent="0.25">
      <c r="A187" s="55" t="s">
        <v>380</v>
      </c>
      <c r="B187" s="55" t="s">
        <v>381</v>
      </c>
      <c r="C187" s="55" t="s">
        <v>14</v>
      </c>
      <c r="D187" s="56">
        <f>VLOOKUP(A187,'[1]Cuadro Control'!C222:J2117,8,FALSE)</f>
        <v>0</v>
      </c>
      <c r="E187" s="57">
        <f t="shared" si="96"/>
        <v>0</v>
      </c>
      <c r="F187" s="58">
        <v>46329</v>
      </c>
      <c r="G187" s="58">
        <v>46329</v>
      </c>
      <c r="H187" s="57">
        <f t="shared" si="100"/>
        <v>0</v>
      </c>
      <c r="I187" s="57">
        <f t="shared" si="100"/>
        <v>0</v>
      </c>
      <c r="J187" s="57">
        <f t="shared" si="100"/>
        <v>0</v>
      </c>
      <c r="K187" s="57">
        <f t="shared" si="100"/>
        <v>0</v>
      </c>
      <c r="L187" s="57">
        <f t="shared" si="100"/>
        <v>0</v>
      </c>
      <c r="M187" s="57">
        <f t="shared" si="100"/>
        <v>0</v>
      </c>
      <c r="N187" s="57">
        <f t="shared" si="100"/>
        <v>0</v>
      </c>
      <c r="O187" s="57">
        <f t="shared" si="100"/>
        <v>0</v>
      </c>
      <c r="P187" s="57">
        <f t="shared" si="100"/>
        <v>0</v>
      </c>
      <c r="Q187" s="57">
        <f t="shared" si="100"/>
        <v>0</v>
      </c>
      <c r="R187" s="57">
        <f t="shared" si="100"/>
        <v>0</v>
      </c>
      <c r="S187" s="57">
        <f t="shared" si="100"/>
        <v>0</v>
      </c>
      <c r="T187" s="57">
        <f t="shared" si="100"/>
        <v>0</v>
      </c>
      <c r="U187" s="57">
        <f t="shared" si="100"/>
        <v>0</v>
      </c>
      <c r="V187" s="57">
        <f t="shared" si="100"/>
        <v>0</v>
      </c>
      <c r="W187" s="57">
        <f t="shared" si="100"/>
        <v>0</v>
      </c>
      <c r="X187" s="57">
        <f t="shared" si="101"/>
        <v>0</v>
      </c>
      <c r="Y187" s="57">
        <f t="shared" si="101"/>
        <v>1</v>
      </c>
      <c r="Z187" s="57">
        <f t="shared" si="101"/>
        <v>1</v>
      </c>
      <c r="AA187" s="57">
        <f t="shared" si="101"/>
        <v>1</v>
      </c>
      <c r="AB187" s="57">
        <f t="shared" si="101"/>
        <v>1</v>
      </c>
      <c r="AC187" s="57">
        <f t="shared" si="101"/>
        <v>1</v>
      </c>
      <c r="AD187" s="57">
        <f t="shared" si="101"/>
        <v>1</v>
      </c>
      <c r="AE187" s="57">
        <f t="shared" si="101"/>
        <v>1</v>
      </c>
      <c r="AF187" s="57">
        <f t="shared" si="101"/>
        <v>1</v>
      </c>
      <c r="AG187" s="57">
        <f t="shared" si="101"/>
        <v>1</v>
      </c>
      <c r="AH187" s="57">
        <f t="shared" si="101"/>
        <v>1</v>
      </c>
      <c r="AI187" s="57">
        <f t="shared" si="101"/>
        <v>1</v>
      </c>
      <c r="AJ187" s="57">
        <f t="shared" si="101"/>
        <v>1</v>
      </c>
      <c r="AK187" s="57">
        <f t="shared" si="101"/>
        <v>1</v>
      </c>
      <c r="AL187" s="57">
        <f t="shared" si="101"/>
        <v>1</v>
      </c>
      <c r="AM187" s="57">
        <f t="shared" si="101"/>
        <v>1</v>
      </c>
      <c r="AN187" s="57">
        <f t="shared" si="101"/>
        <v>1</v>
      </c>
      <c r="AO187" s="57">
        <f t="shared" si="98"/>
        <v>1</v>
      </c>
      <c r="AP187" s="57">
        <f t="shared" si="98"/>
        <v>1</v>
      </c>
      <c r="AQ187" s="57">
        <f t="shared" si="98"/>
        <v>1</v>
      </c>
      <c r="AR187" s="57">
        <f t="shared" si="98"/>
        <v>1</v>
      </c>
      <c r="AS187" s="57">
        <f t="shared" si="98"/>
        <v>1</v>
      </c>
      <c r="AT187" s="57">
        <f t="shared" si="98"/>
        <v>1</v>
      </c>
      <c r="AU187" s="57">
        <f t="shared" si="98"/>
        <v>1</v>
      </c>
      <c r="AV187" s="57">
        <f t="shared" si="98"/>
        <v>1</v>
      </c>
      <c r="AW187" s="57">
        <f t="shared" si="98"/>
        <v>1</v>
      </c>
      <c r="AX187" s="57">
        <f t="shared" si="98"/>
        <v>1</v>
      </c>
      <c r="AY187" s="57">
        <f t="shared" si="98"/>
        <v>1</v>
      </c>
      <c r="AZ187" s="57">
        <f t="shared" si="98"/>
        <v>1</v>
      </c>
      <c r="BA187" s="57">
        <f t="shared" si="98"/>
        <v>1</v>
      </c>
      <c r="BB187" s="57">
        <f t="shared" si="98"/>
        <v>1</v>
      </c>
      <c r="BC187" s="57">
        <f t="shared" si="98"/>
        <v>1</v>
      </c>
      <c r="BD187" s="57">
        <f t="shared" si="98"/>
        <v>1</v>
      </c>
      <c r="BE187" s="57">
        <f t="shared" si="98"/>
        <v>1</v>
      </c>
      <c r="BF187" s="57">
        <f t="shared" si="98"/>
        <v>1</v>
      </c>
      <c r="BG187" s="57">
        <f t="shared" si="99"/>
        <v>1</v>
      </c>
      <c r="BH187" s="57">
        <f t="shared" si="99"/>
        <v>1</v>
      </c>
      <c r="BI187" s="57">
        <f t="shared" si="99"/>
        <v>1</v>
      </c>
      <c r="BJ187" s="57">
        <f t="shared" si="99"/>
        <v>1</v>
      </c>
      <c r="BK187" s="57">
        <f t="shared" si="99"/>
        <v>1</v>
      </c>
      <c r="BL187" s="57">
        <f t="shared" si="99"/>
        <v>1</v>
      </c>
      <c r="BM187" s="57">
        <f t="shared" si="99"/>
        <v>1</v>
      </c>
      <c r="BN187" s="57">
        <f t="shared" si="99"/>
        <v>1</v>
      </c>
      <c r="BO187" s="32">
        <f t="shared" si="79"/>
        <v>0.71186440677966101</v>
      </c>
    </row>
    <row r="188" spans="1:67" s="27" customFormat="1" ht="18.75" customHeight="1" x14ac:dyDescent="0.25">
      <c r="A188" s="50" t="s">
        <v>382</v>
      </c>
      <c r="B188" s="50" t="s">
        <v>383</v>
      </c>
      <c r="C188" s="50" t="s">
        <v>111</v>
      </c>
      <c r="D188" s="51">
        <f>VLOOKUP(A188,'[1]Cuadro Control'!C223:J2118,8,FALSE)</f>
        <v>1230815225.9452939</v>
      </c>
      <c r="E188" s="52">
        <f t="shared" si="96"/>
        <v>0.2318411625341423</v>
      </c>
      <c r="F188" s="53">
        <v>46331</v>
      </c>
      <c r="G188" s="53">
        <v>46332</v>
      </c>
      <c r="H188" s="52">
        <f t="shared" si="100"/>
        <v>0</v>
      </c>
      <c r="I188" s="52">
        <f t="shared" si="100"/>
        <v>0</v>
      </c>
      <c r="J188" s="52">
        <f t="shared" si="100"/>
        <v>0</v>
      </c>
      <c r="K188" s="52">
        <f t="shared" si="100"/>
        <v>0</v>
      </c>
      <c r="L188" s="52">
        <f t="shared" si="100"/>
        <v>0</v>
      </c>
      <c r="M188" s="52">
        <f t="shared" si="100"/>
        <v>0</v>
      </c>
      <c r="N188" s="52">
        <f t="shared" si="100"/>
        <v>0</v>
      </c>
      <c r="O188" s="52">
        <f t="shared" si="100"/>
        <v>0</v>
      </c>
      <c r="P188" s="52">
        <f t="shared" si="100"/>
        <v>0</v>
      </c>
      <c r="Q188" s="52">
        <f t="shared" si="100"/>
        <v>0</v>
      </c>
      <c r="R188" s="52">
        <f t="shared" si="100"/>
        <v>0</v>
      </c>
      <c r="S188" s="52">
        <f t="shared" si="100"/>
        <v>0</v>
      </c>
      <c r="T188" s="52">
        <f t="shared" si="100"/>
        <v>0</v>
      </c>
      <c r="U188" s="52">
        <f t="shared" si="100"/>
        <v>0</v>
      </c>
      <c r="V188" s="52">
        <f t="shared" si="100"/>
        <v>0</v>
      </c>
      <c r="W188" s="52">
        <f t="shared" si="100"/>
        <v>0</v>
      </c>
      <c r="X188" s="52">
        <f t="shared" si="101"/>
        <v>0</v>
      </c>
      <c r="Y188" s="52">
        <f t="shared" si="101"/>
        <v>1</v>
      </c>
      <c r="Z188" s="52">
        <f t="shared" si="101"/>
        <v>1</v>
      </c>
      <c r="AA188" s="52">
        <f t="shared" si="101"/>
        <v>1</v>
      </c>
      <c r="AB188" s="52">
        <f t="shared" si="101"/>
        <v>1</v>
      </c>
      <c r="AC188" s="52">
        <f t="shared" si="101"/>
        <v>1</v>
      </c>
      <c r="AD188" s="52">
        <f t="shared" si="101"/>
        <v>1</v>
      </c>
      <c r="AE188" s="52">
        <f t="shared" si="101"/>
        <v>1</v>
      </c>
      <c r="AF188" s="52">
        <f t="shared" si="101"/>
        <v>1</v>
      </c>
      <c r="AG188" s="52">
        <f t="shared" si="101"/>
        <v>1</v>
      </c>
      <c r="AH188" s="52">
        <f t="shared" si="101"/>
        <v>1</v>
      </c>
      <c r="AI188" s="52">
        <f t="shared" si="101"/>
        <v>1</v>
      </c>
      <c r="AJ188" s="52">
        <f t="shared" si="101"/>
        <v>1</v>
      </c>
      <c r="AK188" s="52">
        <f t="shared" si="101"/>
        <v>1</v>
      </c>
      <c r="AL188" s="52">
        <f t="shared" si="101"/>
        <v>1</v>
      </c>
      <c r="AM188" s="52">
        <f t="shared" si="101"/>
        <v>1</v>
      </c>
      <c r="AN188" s="52">
        <f t="shared" si="101"/>
        <v>1</v>
      </c>
      <c r="AO188" s="52">
        <f t="shared" si="98"/>
        <v>1</v>
      </c>
      <c r="AP188" s="52">
        <f t="shared" si="98"/>
        <v>1</v>
      </c>
      <c r="AQ188" s="52">
        <f t="shared" si="98"/>
        <v>1</v>
      </c>
      <c r="AR188" s="52">
        <f t="shared" si="98"/>
        <v>1</v>
      </c>
      <c r="AS188" s="52">
        <f t="shared" si="98"/>
        <v>1</v>
      </c>
      <c r="AT188" s="52">
        <f t="shared" si="98"/>
        <v>1</v>
      </c>
      <c r="AU188" s="52">
        <f t="shared" si="98"/>
        <v>1</v>
      </c>
      <c r="AV188" s="52">
        <f t="shared" si="98"/>
        <v>1</v>
      </c>
      <c r="AW188" s="52">
        <f t="shared" si="98"/>
        <v>1</v>
      </c>
      <c r="AX188" s="52">
        <f t="shared" si="98"/>
        <v>1</v>
      </c>
      <c r="AY188" s="52">
        <f t="shared" si="98"/>
        <v>1</v>
      </c>
      <c r="AZ188" s="52">
        <f t="shared" si="98"/>
        <v>1</v>
      </c>
      <c r="BA188" s="52">
        <f t="shared" si="98"/>
        <v>1</v>
      </c>
      <c r="BB188" s="52">
        <f t="shared" si="98"/>
        <v>1</v>
      </c>
      <c r="BC188" s="52">
        <f t="shared" si="98"/>
        <v>1</v>
      </c>
      <c r="BD188" s="52">
        <f t="shared" si="98"/>
        <v>1</v>
      </c>
      <c r="BE188" s="52">
        <f t="shared" si="98"/>
        <v>1</v>
      </c>
      <c r="BF188" s="52">
        <f t="shared" si="98"/>
        <v>1</v>
      </c>
      <c r="BG188" s="52">
        <f t="shared" si="99"/>
        <v>1</v>
      </c>
      <c r="BH188" s="52">
        <f t="shared" si="99"/>
        <v>1</v>
      </c>
      <c r="BI188" s="52">
        <f t="shared" si="99"/>
        <v>1</v>
      </c>
      <c r="BJ188" s="52">
        <f t="shared" si="99"/>
        <v>1</v>
      </c>
      <c r="BK188" s="52">
        <f t="shared" si="99"/>
        <v>1</v>
      </c>
      <c r="BL188" s="52">
        <f t="shared" si="99"/>
        <v>1</v>
      </c>
      <c r="BM188" s="52">
        <f t="shared" si="99"/>
        <v>1</v>
      </c>
      <c r="BN188" s="52">
        <f t="shared" si="99"/>
        <v>1</v>
      </c>
      <c r="BO188" s="32">
        <f t="shared" si="79"/>
        <v>0.71186440677966101</v>
      </c>
    </row>
    <row r="189" spans="1:67" s="27" customFormat="1" ht="18.75" customHeight="1" x14ac:dyDescent="0.25">
      <c r="A189" s="50" t="s">
        <v>384</v>
      </c>
      <c r="B189" s="50" t="s">
        <v>385</v>
      </c>
      <c r="C189" s="50" t="s">
        <v>238</v>
      </c>
      <c r="D189" s="51">
        <f>VLOOKUP(A189,'[1]Cuadro Control'!C224:J2119,8,FALSE)</f>
        <v>0</v>
      </c>
      <c r="E189" s="52">
        <f t="shared" si="96"/>
        <v>0</v>
      </c>
      <c r="F189" s="53">
        <v>46332</v>
      </c>
      <c r="G189" s="53">
        <v>46339</v>
      </c>
      <c r="H189" s="52">
        <f t="shared" si="100"/>
        <v>0</v>
      </c>
      <c r="I189" s="52">
        <f t="shared" si="100"/>
        <v>0</v>
      </c>
      <c r="J189" s="52">
        <f t="shared" si="100"/>
        <v>0</v>
      </c>
      <c r="K189" s="52">
        <f t="shared" si="100"/>
        <v>0</v>
      </c>
      <c r="L189" s="52">
        <f t="shared" si="100"/>
        <v>0</v>
      </c>
      <c r="M189" s="52">
        <f t="shared" si="100"/>
        <v>0</v>
      </c>
      <c r="N189" s="52">
        <f t="shared" si="100"/>
        <v>0</v>
      </c>
      <c r="O189" s="52">
        <f t="shared" si="100"/>
        <v>0</v>
      </c>
      <c r="P189" s="52">
        <f t="shared" si="100"/>
        <v>0</v>
      </c>
      <c r="Q189" s="52">
        <f t="shared" si="100"/>
        <v>0</v>
      </c>
      <c r="R189" s="52">
        <f t="shared" si="100"/>
        <v>0</v>
      </c>
      <c r="S189" s="52">
        <f t="shared" si="100"/>
        <v>0</v>
      </c>
      <c r="T189" s="52">
        <f t="shared" si="100"/>
        <v>0</v>
      </c>
      <c r="U189" s="52">
        <f t="shared" si="100"/>
        <v>0</v>
      </c>
      <c r="V189" s="52">
        <f t="shared" si="100"/>
        <v>0</v>
      </c>
      <c r="W189" s="52">
        <f t="shared" si="100"/>
        <v>0</v>
      </c>
      <c r="X189" s="52">
        <f t="shared" si="101"/>
        <v>0</v>
      </c>
      <c r="Y189" s="52">
        <f t="shared" si="101"/>
        <v>0.125</v>
      </c>
      <c r="Z189" s="52">
        <f t="shared" si="101"/>
        <v>1</v>
      </c>
      <c r="AA189" s="52">
        <f t="shared" si="101"/>
        <v>1</v>
      </c>
      <c r="AB189" s="52">
        <f t="shared" si="101"/>
        <v>1</v>
      </c>
      <c r="AC189" s="52">
        <f t="shared" si="101"/>
        <v>1</v>
      </c>
      <c r="AD189" s="52">
        <f t="shared" si="101"/>
        <v>1</v>
      </c>
      <c r="AE189" s="52">
        <f t="shared" si="101"/>
        <v>1</v>
      </c>
      <c r="AF189" s="52">
        <f t="shared" si="101"/>
        <v>1</v>
      </c>
      <c r="AG189" s="52">
        <f t="shared" si="101"/>
        <v>1</v>
      </c>
      <c r="AH189" s="52">
        <f t="shared" si="101"/>
        <v>1</v>
      </c>
      <c r="AI189" s="52">
        <f t="shared" si="101"/>
        <v>1</v>
      </c>
      <c r="AJ189" s="52">
        <f t="shared" si="101"/>
        <v>1</v>
      </c>
      <c r="AK189" s="52">
        <f t="shared" si="101"/>
        <v>1</v>
      </c>
      <c r="AL189" s="52">
        <f t="shared" si="101"/>
        <v>1</v>
      </c>
      <c r="AM189" s="52">
        <f t="shared" si="101"/>
        <v>1</v>
      </c>
      <c r="AN189" s="52">
        <f t="shared" si="101"/>
        <v>1</v>
      </c>
      <c r="AO189" s="52">
        <f t="shared" si="98"/>
        <v>1</v>
      </c>
      <c r="AP189" s="52">
        <f t="shared" si="98"/>
        <v>1</v>
      </c>
      <c r="AQ189" s="52">
        <f t="shared" si="98"/>
        <v>1</v>
      </c>
      <c r="AR189" s="52">
        <f t="shared" si="98"/>
        <v>1</v>
      </c>
      <c r="AS189" s="52">
        <f t="shared" si="98"/>
        <v>1</v>
      </c>
      <c r="AT189" s="52">
        <f t="shared" si="98"/>
        <v>1</v>
      </c>
      <c r="AU189" s="52">
        <f t="shared" si="98"/>
        <v>1</v>
      </c>
      <c r="AV189" s="52">
        <f t="shared" si="98"/>
        <v>1</v>
      </c>
      <c r="AW189" s="52">
        <f t="shared" si="98"/>
        <v>1</v>
      </c>
      <c r="AX189" s="52">
        <f t="shared" si="98"/>
        <v>1</v>
      </c>
      <c r="AY189" s="52">
        <f t="shared" si="98"/>
        <v>1</v>
      </c>
      <c r="AZ189" s="52">
        <f t="shared" si="98"/>
        <v>1</v>
      </c>
      <c r="BA189" s="52">
        <f t="shared" si="98"/>
        <v>1</v>
      </c>
      <c r="BB189" s="52">
        <f t="shared" si="98"/>
        <v>1</v>
      </c>
      <c r="BC189" s="52">
        <f t="shared" si="98"/>
        <v>1</v>
      </c>
      <c r="BD189" s="52">
        <f t="shared" si="98"/>
        <v>1</v>
      </c>
      <c r="BE189" s="52">
        <f t="shared" si="98"/>
        <v>1</v>
      </c>
      <c r="BF189" s="52">
        <f t="shared" si="98"/>
        <v>1</v>
      </c>
      <c r="BG189" s="52">
        <f t="shared" si="99"/>
        <v>1</v>
      </c>
      <c r="BH189" s="52">
        <f t="shared" si="99"/>
        <v>1</v>
      </c>
      <c r="BI189" s="52">
        <f t="shared" si="99"/>
        <v>1</v>
      </c>
      <c r="BJ189" s="52">
        <f t="shared" si="99"/>
        <v>1</v>
      </c>
      <c r="BK189" s="52">
        <f t="shared" si="99"/>
        <v>1</v>
      </c>
      <c r="BL189" s="52">
        <f t="shared" si="99"/>
        <v>1</v>
      </c>
      <c r="BM189" s="52">
        <f t="shared" si="99"/>
        <v>1</v>
      </c>
      <c r="BN189" s="52">
        <f t="shared" si="99"/>
        <v>1</v>
      </c>
      <c r="BO189" s="32">
        <f t="shared" si="79"/>
        <v>0.69703389830508478</v>
      </c>
    </row>
    <row r="190" spans="1:67" s="27" customFormat="1" ht="18.75" customHeight="1" x14ac:dyDescent="0.25">
      <c r="A190" s="50" t="s">
        <v>386</v>
      </c>
      <c r="B190" s="50" t="s">
        <v>387</v>
      </c>
      <c r="C190" s="50" t="s">
        <v>126</v>
      </c>
      <c r="D190" s="51">
        <f>VLOOKUP(A190,'[1]Cuadro Control'!C225:J2120,8,FALSE)</f>
        <v>52736347.43270281</v>
      </c>
      <c r="E190" s="52">
        <f t="shared" si="96"/>
        <v>9.933624348213644E-3</v>
      </c>
      <c r="F190" s="53">
        <v>46340</v>
      </c>
      <c r="G190" s="53">
        <v>46344</v>
      </c>
      <c r="H190" s="52">
        <f t="shared" si="100"/>
        <v>0</v>
      </c>
      <c r="I190" s="52">
        <f t="shared" si="100"/>
        <v>0</v>
      </c>
      <c r="J190" s="52">
        <f t="shared" si="100"/>
        <v>0</v>
      </c>
      <c r="K190" s="52">
        <f t="shared" si="100"/>
        <v>0</v>
      </c>
      <c r="L190" s="52">
        <f t="shared" si="100"/>
        <v>0</v>
      </c>
      <c r="M190" s="52">
        <f t="shared" si="100"/>
        <v>0</v>
      </c>
      <c r="N190" s="52">
        <f t="shared" si="100"/>
        <v>0</v>
      </c>
      <c r="O190" s="52">
        <f t="shared" si="100"/>
        <v>0</v>
      </c>
      <c r="P190" s="52">
        <f t="shared" si="100"/>
        <v>0</v>
      </c>
      <c r="Q190" s="52">
        <f t="shared" si="100"/>
        <v>0</v>
      </c>
      <c r="R190" s="52">
        <f t="shared" si="100"/>
        <v>0</v>
      </c>
      <c r="S190" s="52">
        <f t="shared" si="100"/>
        <v>0</v>
      </c>
      <c r="T190" s="52">
        <f t="shared" si="100"/>
        <v>0</v>
      </c>
      <c r="U190" s="52">
        <f t="shared" si="100"/>
        <v>0</v>
      </c>
      <c r="V190" s="52">
        <f t="shared" si="100"/>
        <v>0</v>
      </c>
      <c r="W190" s="52">
        <f t="shared" si="100"/>
        <v>0</v>
      </c>
      <c r="X190" s="52">
        <f t="shared" si="101"/>
        <v>0</v>
      </c>
      <c r="Y190" s="52">
        <f t="shared" si="101"/>
        <v>0</v>
      </c>
      <c r="Z190" s="52">
        <f t="shared" si="101"/>
        <v>0</v>
      </c>
      <c r="AA190" s="52">
        <f t="shared" si="101"/>
        <v>1</v>
      </c>
      <c r="AB190" s="52">
        <f t="shared" si="101"/>
        <v>1</v>
      </c>
      <c r="AC190" s="52">
        <f t="shared" si="101"/>
        <v>1</v>
      </c>
      <c r="AD190" s="52">
        <f t="shared" si="101"/>
        <v>1</v>
      </c>
      <c r="AE190" s="52">
        <f t="shared" si="101"/>
        <v>1</v>
      </c>
      <c r="AF190" s="52">
        <f t="shared" si="101"/>
        <v>1</v>
      </c>
      <c r="AG190" s="52">
        <f t="shared" si="101"/>
        <v>1</v>
      </c>
      <c r="AH190" s="52">
        <f t="shared" si="101"/>
        <v>1</v>
      </c>
      <c r="AI190" s="52">
        <f t="shared" si="101"/>
        <v>1</v>
      </c>
      <c r="AJ190" s="52">
        <f t="shared" si="101"/>
        <v>1</v>
      </c>
      <c r="AK190" s="52">
        <f t="shared" si="101"/>
        <v>1</v>
      </c>
      <c r="AL190" s="52">
        <f t="shared" si="101"/>
        <v>1</v>
      </c>
      <c r="AM190" s="52">
        <f t="shared" si="101"/>
        <v>1</v>
      </c>
      <c r="AN190" s="52">
        <f t="shared" si="101"/>
        <v>1</v>
      </c>
      <c r="AO190" s="52">
        <f t="shared" si="98"/>
        <v>1</v>
      </c>
      <c r="AP190" s="52">
        <f t="shared" si="98"/>
        <v>1</v>
      </c>
      <c r="AQ190" s="52">
        <f t="shared" si="98"/>
        <v>1</v>
      </c>
      <c r="AR190" s="52">
        <f t="shared" si="98"/>
        <v>1</v>
      </c>
      <c r="AS190" s="52">
        <f t="shared" si="98"/>
        <v>1</v>
      </c>
      <c r="AT190" s="52">
        <f t="shared" si="98"/>
        <v>1</v>
      </c>
      <c r="AU190" s="52">
        <f t="shared" si="98"/>
        <v>1</v>
      </c>
      <c r="AV190" s="52">
        <f t="shared" si="98"/>
        <v>1</v>
      </c>
      <c r="AW190" s="52">
        <f t="shared" si="98"/>
        <v>1</v>
      </c>
      <c r="AX190" s="52">
        <f t="shared" si="98"/>
        <v>1</v>
      </c>
      <c r="AY190" s="52">
        <f t="shared" si="98"/>
        <v>1</v>
      </c>
      <c r="AZ190" s="52">
        <f t="shared" si="98"/>
        <v>1</v>
      </c>
      <c r="BA190" s="52">
        <f t="shared" si="98"/>
        <v>1</v>
      </c>
      <c r="BB190" s="52">
        <f t="shared" si="98"/>
        <v>1</v>
      </c>
      <c r="BC190" s="52">
        <f t="shared" si="98"/>
        <v>1</v>
      </c>
      <c r="BD190" s="52">
        <f t="shared" si="98"/>
        <v>1</v>
      </c>
      <c r="BE190" s="52">
        <f t="shared" si="98"/>
        <v>1</v>
      </c>
      <c r="BF190" s="52">
        <f t="shared" si="98"/>
        <v>1</v>
      </c>
      <c r="BG190" s="52">
        <f t="shared" si="99"/>
        <v>1</v>
      </c>
      <c r="BH190" s="52">
        <f t="shared" si="99"/>
        <v>1</v>
      </c>
      <c r="BI190" s="52">
        <f t="shared" si="99"/>
        <v>1</v>
      </c>
      <c r="BJ190" s="52">
        <f t="shared" si="99"/>
        <v>1</v>
      </c>
      <c r="BK190" s="52">
        <f t="shared" si="99"/>
        <v>1</v>
      </c>
      <c r="BL190" s="52">
        <f t="shared" si="99"/>
        <v>1</v>
      </c>
      <c r="BM190" s="52">
        <f t="shared" si="99"/>
        <v>1</v>
      </c>
      <c r="BN190" s="52">
        <f t="shared" si="99"/>
        <v>1</v>
      </c>
      <c r="BO190" s="32">
        <f t="shared" si="79"/>
        <v>0.67796610169491522</v>
      </c>
    </row>
    <row r="191" spans="1:67" s="27" customFormat="1" ht="18.75" customHeight="1" x14ac:dyDescent="0.25">
      <c r="A191" s="50" t="s">
        <v>388</v>
      </c>
      <c r="B191" s="50" t="s">
        <v>389</v>
      </c>
      <c r="C191" s="50" t="s">
        <v>117</v>
      </c>
      <c r="D191" s="51">
        <f>VLOOKUP(A191,'[1]Cuadro Control'!C226:J2121,8,FALSE)</f>
        <v>46410609.014634147</v>
      </c>
      <c r="E191" s="52">
        <f t="shared" si="96"/>
        <v>8.742083556535862E-3</v>
      </c>
      <c r="F191" s="53">
        <v>46344</v>
      </c>
      <c r="G191" s="53">
        <v>46346</v>
      </c>
      <c r="H191" s="52">
        <f t="shared" si="100"/>
        <v>0</v>
      </c>
      <c r="I191" s="52">
        <f t="shared" si="100"/>
        <v>0</v>
      </c>
      <c r="J191" s="52">
        <f t="shared" si="100"/>
        <v>0</v>
      </c>
      <c r="K191" s="52">
        <f t="shared" si="100"/>
        <v>0</v>
      </c>
      <c r="L191" s="52">
        <f t="shared" si="100"/>
        <v>0</v>
      </c>
      <c r="M191" s="52">
        <f t="shared" si="100"/>
        <v>0</v>
      </c>
      <c r="N191" s="52">
        <f t="shared" si="100"/>
        <v>0</v>
      </c>
      <c r="O191" s="52">
        <f t="shared" si="100"/>
        <v>0</v>
      </c>
      <c r="P191" s="52">
        <f t="shared" si="100"/>
        <v>0</v>
      </c>
      <c r="Q191" s="52">
        <f t="shared" si="100"/>
        <v>0</v>
      </c>
      <c r="R191" s="52">
        <f t="shared" si="100"/>
        <v>0</v>
      </c>
      <c r="S191" s="52">
        <f t="shared" si="100"/>
        <v>0</v>
      </c>
      <c r="T191" s="52">
        <f t="shared" si="100"/>
        <v>0</v>
      </c>
      <c r="U191" s="52">
        <f t="shared" si="100"/>
        <v>0</v>
      </c>
      <c r="V191" s="52">
        <f t="shared" si="100"/>
        <v>0</v>
      </c>
      <c r="W191" s="52">
        <f t="shared" si="100"/>
        <v>0</v>
      </c>
      <c r="X191" s="52">
        <f t="shared" si="101"/>
        <v>0</v>
      </c>
      <c r="Y191" s="52">
        <f t="shared" si="101"/>
        <v>0</v>
      </c>
      <c r="Z191" s="52">
        <f t="shared" si="101"/>
        <v>0</v>
      </c>
      <c r="AA191" s="52">
        <f t="shared" si="101"/>
        <v>1</v>
      </c>
      <c r="AB191" s="52">
        <f t="shared" si="101"/>
        <v>1</v>
      </c>
      <c r="AC191" s="52">
        <f t="shared" si="101"/>
        <v>1</v>
      </c>
      <c r="AD191" s="52">
        <f t="shared" si="101"/>
        <v>1</v>
      </c>
      <c r="AE191" s="52">
        <f t="shared" si="101"/>
        <v>1</v>
      </c>
      <c r="AF191" s="52">
        <f t="shared" si="101"/>
        <v>1</v>
      </c>
      <c r="AG191" s="52">
        <f t="shared" si="101"/>
        <v>1</v>
      </c>
      <c r="AH191" s="52">
        <f t="shared" si="101"/>
        <v>1</v>
      </c>
      <c r="AI191" s="52">
        <f t="shared" si="101"/>
        <v>1</v>
      </c>
      <c r="AJ191" s="52">
        <f t="shared" si="101"/>
        <v>1</v>
      </c>
      <c r="AK191" s="52">
        <f t="shared" si="101"/>
        <v>1</v>
      </c>
      <c r="AL191" s="52">
        <f t="shared" si="101"/>
        <v>1</v>
      </c>
      <c r="AM191" s="52">
        <f t="shared" si="101"/>
        <v>1</v>
      </c>
      <c r="AN191" s="52">
        <f t="shared" si="101"/>
        <v>1</v>
      </c>
      <c r="AO191" s="52">
        <f t="shared" si="98"/>
        <v>1</v>
      </c>
      <c r="AP191" s="52">
        <f t="shared" si="98"/>
        <v>1</v>
      </c>
      <c r="AQ191" s="52">
        <f t="shared" si="98"/>
        <v>1</v>
      </c>
      <c r="AR191" s="52">
        <f t="shared" si="98"/>
        <v>1</v>
      </c>
      <c r="AS191" s="52">
        <f t="shared" si="98"/>
        <v>1</v>
      </c>
      <c r="AT191" s="52">
        <f t="shared" si="98"/>
        <v>1</v>
      </c>
      <c r="AU191" s="52">
        <f t="shared" si="98"/>
        <v>1</v>
      </c>
      <c r="AV191" s="52">
        <f t="shared" si="98"/>
        <v>1</v>
      </c>
      <c r="AW191" s="52">
        <f t="shared" si="98"/>
        <v>1</v>
      </c>
      <c r="AX191" s="52">
        <f t="shared" si="98"/>
        <v>1</v>
      </c>
      <c r="AY191" s="52">
        <f t="shared" si="98"/>
        <v>1</v>
      </c>
      <c r="AZ191" s="52">
        <f t="shared" si="98"/>
        <v>1</v>
      </c>
      <c r="BA191" s="52">
        <f t="shared" si="98"/>
        <v>1</v>
      </c>
      <c r="BB191" s="52">
        <f t="shared" si="98"/>
        <v>1</v>
      </c>
      <c r="BC191" s="52">
        <f t="shared" si="98"/>
        <v>1</v>
      </c>
      <c r="BD191" s="52">
        <f t="shared" si="98"/>
        <v>1</v>
      </c>
      <c r="BE191" s="52">
        <f t="shared" si="98"/>
        <v>1</v>
      </c>
      <c r="BF191" s="52">
        <f t="shared" si="98"/>
        <v>1</v>
      </c>
      <c r="BG191" s="52">
        <f t="shared" si="99"/>
        <v>1</v>
      </c>
      <c r="BH191" s="52">
        <f t="shared" si="99"/>
        <v>1</v>
      </c>
      <c r="BI191" s="52">
        <f t="shared" si="99"/>
        <v>1</v>
      </c>
      <c r="BJ191" s="52">
        <f t="shared" si="99"/>
        <v>1</v>
      </c>
      <c r="BK191" s="52">
        <f t="shared" si="99"/>
        <v>1</v>
      </c>
      <c r="BL191" s="52">
        <f t="shared" si="99"/>
        <v>1</v>
      </c>
      <c r="BM191" s="52">
        <f t="shared" si="99"/>
        <v>1</v>
      </c>
      <c r="BN191" s="52">
        <f t="shared" si="99"/>
        <v>1</v>
      </c>
      <c r="BO191" s="32">
        <f t="shared" si="79"/>
        <v>0.67796610169491522</v>
      </c>
    </row>
    <row r="192" spans="1:67" s="27" customFormat="1" ht="18.75" customHeight="1" x14ac:dyDescent="0.25">
      <c r="A192" s="50" t="s">
        <v>390</v>
      </c>
      <c r="B192" s="50" t="s">
        <v>391</v>
      </c>
      <c r="C192" s="50" t="s">
        <v>61</v>
      </c>
      <c r="D192" s="51">
        <f>VLOOKUP(A192,'[1]Cuadro Control'!C227:J2122,8,FALSE)</f>
        <v>1587346329.5488234</v>
      </c>
      <c r="E192" s="52">
        <f t="shared" si="96"/>
        <v>0.29899875353285565</v>
      </c>
      <c r="F192" s="53">
        <v>46345</v>
      </c>
      <c r="G192" s="53">
        <v>46356</v>
      </c>
      <c r="H192" s="52">
        <f t="shared" si="100"/>
        <v>0</v>
      </c>
      <c r="I192" s="52">
        <f t="shared" si="100"/>
        <v>0</v>
      </c>
      <c r="J192" s="52">
        <f t="shared" si="100"/>
        <v>0</v>
      </c>
      <c r="K192" s="52">
        <f t="shared" si="100"/>
        <v>0</v>
      </c>
      <c r="L192" s="52">
        <f t="shared" si="100"/>
        <v>0</v>
      </c>
      <c r="M192" s="52">
        <f t="shared" si="100"/>
        <v>0</v>
      </c>
      <c r="N192" s="52">
        <f t="shared" si="100"/>
        <v>0</v>
      </c>
      <c r="O192" s="52">
        <f t="shared" si="100"/>
        <v>0</v>
      </c>
      <c r="P192" s="52">
        <f t="shared" si="100"/>
        <v>0</v>
      </c>
      <c r="Q192" s="52">
        <f t="shared" si="100"/>
        <v>0</v>
      </c>
      <c r="R192" s="52">
        <f t="shared" si="100"/>
        <v>0</v>
      </c>
      <c r="S192" s="52">
        <f t="shared" si="100"/>
        <v>0</v>
      </c>
      <c r="T192" s="52">
        <f t="shared" si="100"/>
        <v>0</v>
      </c>
      <c r="U192" s="52">
        <f t="shared" si="100"/>
        <v>0</v>
      </c>
      <c r="V192" s="52">
        <f t="shared" si="100"/>
        <v>0</v>
      </c>
      <c r="W192" s="52">
        <f t="shared" si="100"/>
        <v>0</v>
      </c>
      <c r="X192" s="52">
        <f t="shared" si="101"/>
        <v>0</v>
      </c>
      <c r="Y192" s="52">
        <f t="shared" si="101"/>
        <v>0</v>
      </c>
      <c r="Z192" s="52">
        <f t="shared" si="101"/>
        <v>0</v>
      </c>
      <c r="AA192" s="52">
        <f t="shared" si="101"/>
        <v>0.16666666666666666</v>
      </c>
      <c r="AB192" s="52">
        <f t="shared" si="101"/>
        <v>0.75</v>
      </c>
      <c r="AC192" s="52">
        <f t="shared" si="101"/>
        <v>1</v>
      </c>
      <c r="AD192" s="52">
        <f t="shared" si="101"/>
        <v>1</v>
      </c>
      <c r="AE192" s="52">
        <f t="shared" si="101"/>
        <v>1</v>
      </c>
      <c r="AF192" s="52">
        <f t="shared" si="101"/>
        <v>1</v>
      </c>
      <c r="AG192" s="52">
        <f t="shared" si="101"/>
        <v>1</v>
      </c>
      <c r="AH192" s="52">
        <f t="shared" si="101"/>
        <v>1</v>
      </c>
      <c r="AI192" s="52">
        <f t="shared" si="101"/>
        <v>1</v>
      </c>
      <c r="AJ192" s="52">
        <f t="shared" si="101"/>
        <v>1</v>
      </c>
      <c r="AK192" s="52">
        <f t="shared" si="101"/>
        <v>1</v>
      </c>
      <c r="AL192" s="52">
        <f t="shared" si="101"/>
        <v>1</v>
      </c>
      <c r="AM192" s="52">
        <f t="shared" si="101"/>
        <v>1</v>
      </c>
      <c r="AN192" s="52">
        <f t="shared" si="101"/>
        <v>1</v>
      </c>
      <c r="AO192" s="52">
        <f t="shared" si="98"/>
        <v>1</v>
      </c>
      <c r="AP192" s="52">
        <f t="shared" si="98"/>
        <v>1</v>
      </c>
      <c r="AQ192" s="52">
        <f t="shared" si="98"/>
        <v>1</v>
      </c>
      <c r="AR192" s="52">
        <f t="shared" si="98"/>
        <v>1</v>
      </c>
      <c r="AS192" s="52">
        <f t="shared" si="98"/>
        <v>1</v>
      </c>
      <c r="AT192" s="52">
        <f t="shared" si="98"/>
        <v>1</v>
      </c>
      <c r="AU192" s="52">
        <f t="shared" si="98"/>
        <v>1</v>
      </c>
      <c r="AV192" s="52">
        <f t="shared" si="98"/>
        <v>1</v>
      </c>
      <c r="AW192" s="52">
        <f t="shared" si="98"/>
        <v>1</v>
      </c>
      <c r="AX192" s="52">
        <f t="shared" si="98"/>
        <v>1</v>
      </c>
      <c r="AY192" s="52">
        <f t="shared" si="98"/>
        <v>1</v>
      </c>
      <c r="AZ192" s="52">
        <f t="shared" si="98"/>
        <v>1</v>
      </c>
      <c r="BA192" s="52">
        <f t="shared" si="98"/>
        <v>1</v>
      </c>
      <c r="BB192" s="52">
        <f t="shared" si="98"/>
        <v>1</v>
      </c>
      <c r="BC192" s="52">
        <f t="shared" si="98"/>
        <v>1</v>
      </c>
      <c r="BD192" s="52">
        <f t="shared" si="98"/>
        <v>1</v>
      </c>
      <c r="BE192" s="52">
        <f t="shared" si="98"/>
        <v>1</v>
      </c>
      <c r="BF192" s="52">
        <f t="shared" si="98"/>
        <v>1</v>
      </c>
      <c r="BG192" s="52">
        <f t="shared" si="99"/>
        <v>1</v>
      </c>
      <c r="BH192" s="52">
        <f t="shared" si="99"/>
        <v>1</v>
      </c>
      <c r="BI192" s="52">
        <f t="shared" si="99"/>
        <v>1</v>
      </c>
      <c r="BJ192" s="52">
        <f t="shared" si="99"/>
        <v>1</v>
      </c>
      <c r="BK192" s="52">
        <f t="shared" si="99"/>
        <v>1</v>
      </c>
      <c r="BL192" s="52">
        <f t="shared" si="99"/>
        <v>1</v>
      </c>
      <c r="BM192" s="52">
        <f t="shared" si="99"/>
        <v>1</v>
      </c>
      <c r="BN192" s="52">
        <f t="shared" si="99"/>
        <v>1</v>
      </c>
      <c r="BO192" s="32">
        <f t="shared" si="79"/>
        <v>0.65960451977401124</v>
      </c>
    </row>
    <row r="193" spans="1:67" s="27" customFormat="1" ht="18.75" customHeight="1" x14ac:dyDescent="0.25">
      <c r="A193" s="46" t="s">
        <v>392</v>
      </c>
      <c r="B193" s="46" t="s">
        <v>393</v>
      </c>
      <c r="C193" s="46" t="s">
        <v>61</v>
      </c>
      <c r="D193" s="47">
        <f>VLOOKUP(A193,'[1]Cuadro Control'!C228:J2123,8,FALSE)</f>
        <v>179532477.23999998</v>
      </c>
      <c r="E193" s="48">
        <f t="shared" si="96"/>
        <v>3.3817438522495219E-2</v>
      </c>
      <c r="F193" s="49">
        <v>46347</v>
      </c>
      <c r="G193" s="49">
        <v>46360</v>
      </c>
      <c r="H193" s="48">
        <f t="shared" si="100"/>
        <v>0</v>
      </c>
      <c r="I193" s="48">
        <f t="shared" si="100"/>
        <v>0</v>
      </c>
      <c r="J193" s="48">
        <f t="shared" si="100"/>
        <v>0</v>
      </c>
      <c r="K193" s="48">
        <f t="shared" si="100"/>
        <v>0</v>
      </c>
      <c r="L193" s="48">
        <f t="shared" si="100"/>
        <v>0</v>
      </c>
      <c r="M193" s="48">
        <f t="shared" si="100"/>
        <v>0</v>
      </c>
      <c r="N193" s="48">
        <f t="shared" si="100"/>
        <v>0</v>
      </c>
      <c r="O193" s="48">
        <f t="shared" si="100"/>
        <v>0</v>
      </c>
      <c r="P193" s="48">
        <f t="shared" si="100"/>
        <v>0</v>
      </c>
      <c r="Q193" s="48">
        <f t="shared" si="100"/>
        <v>0</v>
      </c>
      <c r="R193" s="48">
        <f t="shared" si="100"/>
        <v>0</v>
      </c>
      <c r="S193" s="48">
        <f t="shared" si="100"/>
        <v>0</v>
      </c>
      <c r="T193" s="48">
        <f t="shared" si="100"/>
        <v>0</v>
      </c>
      <c r="U193" s="48">
        <f t="shared" si="100"/>
        <v>0</v>
      </c>
      <c r="V193" s="48">
        <f t="shared" si="100"/>
        <v>0</v>
      </c>
      <c r="W193" s="48">
        <f t="shared" si="100"/>
        <v>0</v>
      </c>
      <c r="X193" s="48">
        <f t="shared" si="101"/>
        <v>0</v>
      </c>
      <c r="Y193" s="48">
        <f t="shared" si="101"/>
        <v>0</v>
      </c>
      <c r="Z193" s="48">
        <f t="shared" si="101"/>
        <v>0</v>
      </c>
      <c r="AA193" s="48">
        <f t="shared" si="101"/>
        <v>0</v>
      </c>
      <c r="AB193" s="48">
        <f t="shared" si="101"/>
        <v>0.5</v>
      </c>
      <c r="AC193" s="48">
        <f t="shared" si="101"/>
        <v>1</v>
      </c>
      <c r="AD193" s="48">
        <f t="shared" si="101"/>
        <v>1</v>
      </c>
      <c r="AE193" s="48">
        <f t="shared" si="101"/>
        <v>1</v>
      </c>
      <c r="AF193" s="48">
        <f t="shared" si="101"/>
        <v>1</v>
      </c>
      <c r="AG193" s="48">
        <f t="shared" si="101"/>
        <v>1</v>
      </c>
      <c r="AH193" s="48">
        <f t="shared" si="101"/>
        <v>1</v>
      </c>
      <c r="AI193" s="48">
        <f t="shared" si="101"/>
        <v>1</v>
      </c>
      <c r="AJ193" s="48">
        <f t="shared" si="101"/>
        <v>1</v>
      </c>
      <c r="AK193" s="48">
        <f t="shared" si="101"/>
        <v>1</v>
      </c>
      <c r="AL193" s="48">
        <f t="shared" si="101"/>
        <v>1</v>
      </c>
      <c r="AM193" s="48">
        <f t="shared" si="101"/>
        <v>1</v>
      </c>
      <c r="AN193" s="48">
        <f t="shared" si="101"/>
        <v>1</v>
      </c>
      <c r="AO193" s="48">
        <f t="shared" si="98"/>
        <v>1</v>
      </c>
      <c r="AP193" s="48">
        <f t="shared" si="98"/>
        <v>1</v>
      </c>
      <c r="AQ193" s="48">
        <f t="shared" si="98"/>
        <v>1</v>
      </c>
      <c r="AR193" s="48">
        <f t="shared" si="98"/>
        <v>1</v>
      </c>
      <c r="AS193" s="48">
        <f t="shared" si="98"/>
        <v>1</v>
      </c>
      <c r="AT193" s="48">
        <f t="shared" si="98"/>
        <v>1</v>
      </c>
      <c r="AU193" s="48">
        <f t="shared" si="98"/>
        <v>1</v>
      </c>
      <c r="AV193" s="48">
        <f t="shared" si="98"/>
        <v>1</v>
      </c>
      <c r="AW193" s="48">
        <f t="shared" si="98"/>
        <v>1</v>
      </c>
      <c r="AX193" s="48">
        <f t="shared" si="98"/>
        <v>1</v>
      </c>
      <c r="AY193" s="48">
        <f t="shared" si="98"/>
        <v>1</v>
      </c>
      <c r="AZ193" s="48">
        <f t="shared" si="98"/>
        <v>1</v>
      </c>
      <c r="BA193" s="48">
        <f t="shared" si="98"/>
        <v>1</v>
      </c>
      <c r="BB193" s="48">
        <f t="shared" si="98"/>
        <v>1</v>
      </c>
      <c r="BC193" s="48">
        <f t="shared" si="98"/>
        <v>1</v>
      </c>
      <c r="BD193" s="48">
        <f t="shared" si="98"/>
        <v>1</v>
      </c>
      <c r="BE193" s="48">
        <f t="shared" si="98"/>
        <v>1</v>
      </c>
      <c r="BF193" s="48">
        <f t="shared" si="98"/>
        <v>1</v>
      </c>
      <c r="BG193" s="48">
        <f t="shared" si="99"/>
        <v>1</v>
      </c>
      <c r="BH193" s="48">
        <f t="shared" si="99"/>
        <v>1</v>
      </c>
      <c r="BI193" s="48">
        <f t="shared" si="99"/>
        <v>1</v>
      </c>
      <c r="BJ193" s="48">
        <f t="shared" si="99"/>
        <v>1</v>
      </c>
      <c r="BK193" s="48">
        <f t="shared" si="99"/>
        <v>1</v>
      </c>
      <c r="BL193" s="48">
        <f t="shared" si="99"/>
        <v>1</v>
      </c>
      <c r="BM193" s="48">
        <f t="shared" si="99"/>
        <v>1</v>
      </c>
      <c r="BN193" s="48">
        <f t="shared" si="99"/>
        <v>1</v>
      </c>
      <c r="BO193" s="32">
        <f t="shared" si="79"/>
        <v>0.65254237288135597</v>
      </c>
    </row>
    <row r="194" spans="1:67" s="27" customFormat="1" ht="18.75" customHeight="1" x14ac:dyDescent="0.25">
      <c r="A194" s="55" t="s">
        <v>394</v>
      </c>
      <c r="B194" s="55" t="s">
        <v>395</v>
      </c>
      <c r="C194" s="55" t="s">
        <v>14</v>
      </c>
      <c r="D194" s="56">
        <f>VLOOKUP(A194,'[1]Cuadro Control'!C229:J2124,8,FALSE)</f>
        <v>0</v>
      </c>
      <c r="E194" s="57">
        <f>IFERROR(D194/$D$178,0)</f>
        <v>0</v>
      </c>
      <c r="F194" s="58">
        <v>46360</v>
      </c>
      <c r="G194" s="58">
        <v>46360</v>
      </c>
      <c r="H194" s="57">
        <f t="shared" si="100"/>
        <v>0</v>
      </c>
      <c r="I194" s="57">
        <f t="shared" si="100"/>
        <v>0</v>
      </c>
      <c r="J194" s="57">
        <f t="shared" si="100"/>
        <v>0</v>
      </c>
      <c r="K194" s="57">
        <f t="shared" si="100"/>
        <v>0</v>
      </c>
      <c r="L194" s="57">
        <f t="shared" si="100"/>
        <v>0</v>
      </c>
      <c r="M194" s="57">
        <f t="shared" si="100"/>
        <v>0</v>
      </c>
      <c r="N194" s="57">
        <f t="shared" si="100"/>
        <v>0</v>
      </c>
      <c r="O194" s="57">
        <f t="shared" si="100"/>
        <v>0</v>
      </c>
      <c r="P194" s="57">
        <f t="shared" si="100"/>
        <v>0</v>
      </c>
      <c r="Q194" s="57">
        <f t="shared" si="100"/>
        <v>0</v>
      </c>
      <c r="R194" s="57">
        <f t="shared" si="100"/>
        <v>0</v>
      </c>
      <c r="S194" s="57">
        <f t="shared" si="100"/>
        <v>0</v>
      </c>
      <c r="T194" s="57">
        <f t="shared" si="100"/>
        <v>0</v>
      </c>
      <c r="U194" s="57">
        <f t="shared" si="100"/>
        <v>0</v>
      </c>
      <c r="V194" s="57">
        <f t="shared" si="100"/>
        <v>0</v>
      </c>
      <c r="W194" s="57">
        <f t="shared" si="100"/>
        <v>0</v>
      </c>
      <c r="X194" s="57">
        <f t="shared" si="101"/>
        <v>0</v>
      </c>
      <c r="Y194" s="57">
        <f t="shared" si="101"/>
        <v>0</v>
      </c>
      <c r="Z194" s="57">
        <f t="shared" si="101"/>
        <v>0</v>
      </c>
      <c r="AA194" s="57">
        <f t="shared" si="101"/>
        <v>0</v>
      </c>
      <c r="AB194" s="57">
        <f t="shared" si="101"/>
        <v>0</v>
      </c>
      <c r="AC194" s="57">
        <f t="shared" si="101"/>
        <v>1</v>
      </c>
      <c r="AD194" s="57">
        <f t="shared" si="101"/>
        <v>1</v>
      </c>
      <c r="AE194" s="57">
        <f t="shared" si="101"/>
        <v>1</v>
      </c>
      <c r="AF194" s="57">
        <f t="shared" si="101"/>
        <v>1</v>
      </c>
      <c r="AG194" s="57">
        <f t="shared" si="101"/>
        <v>1</v>
      </c>
      <c r="AH194" s="57">
        <f t="shared" si="101"/>
        <v>1</v>
      </c>
      <c r="AI194" s="57">
        <f t="shared" si="101"/>
        <v>1</v>
      </c>
      <c r="AJ194" s="57">
        <f t="shared" si="101"/>
        <v>1</v>
      </c>
      <c r="AK194" s="57">
        <f t="shared" si="101"/>
        <v>1</v>
      </c>
      <c r="AL194" s="57">
        <f t="shared" si="101"/>
        <v>1</v>
      </c>
      <c r="AM194" s="57">
        <f t="shared" si="101"/>
        <v>1</v>
      </c>
      <c r="AN194" s="57">
        <f t="shared" si="101"/>
        <v>1</v>
      </c>
      <c r="AO194" s="57">
        <f t="shared" si="101"/>
        <v>1</v>
      </c>
      <c r="AP194" s="57">
        <f t="shared" si="101"/>
        <v>1</v>
      </c>
      <c r="AQ194" s="57">
        <f t="shared" si="101"/>
        <v>1</v>
      </c>
      <c r="AR194" s="57">
        <f t="shared" si="101"/>
        <v>1</v>
      </c>
      <c r="AS194" s="57">
        <f t="shared" si="101"/>
        <v>1</v>
      </c>
      <c r="AT194" s="57">
        <f t="shared" si="101"/>
        <v>1</v>
      </c>
      <c r="AU194" s="57">
        <f t="shared" si="101"/>
        <v>1</v>
      </c>
      <c r="AV194" s="57">
        <f t="shared" si="101"/>
        <v>1</v>
      </c>
      <c r="AW194" s="57">
        <f t="shared" si="101"/>
        <v>1</v>
      </c>
      <c r="AX194" s="57">
        <f t="shared" si="101"/>
        <v>1</v>
      </c>
      <c r="AY194" s="57">
        <f t="shared" si="101"/>
        <v>1</v>
      </c>
      <c r="AZ194" s="57">
        <f t="shared" si="101"/>
        <v>1</v>
      </c>
      <c r="BA194" s="57">
        <f t="shared" si="101"/>
        <v>1</v>
      </c>
      <c r="BB194" s="57">
        <f t="shared" si="101"/>
        <v>1</v>
      </c>
      <c r="BC194" s="57">
        <f t="shared" si="101"/>
        <v>1</v>
      </c>
      <c r="BD194" s="57">
        <f t="shared" si="98"/>
        <v>1</v>
      </c>
      <c r="BE194" s="57">
        <f t="shared" si="98"/>
        <v>1</v>
      </c>
      <c r="BF194" s="57">
        <f t="shared" si="98"/>
        <v>1</v>
      </c>
      <c r="BG194" s="57">
        <f t="shared" si="99"/>
        <v>1</v>
      </c>
      <c r="BH194" s="57">
        <f t="shared" si="99"/>
        <v>1</v>
      </c>
      <c r="BI194" s="57">
        <f t="shared" si="99"/>
        <v>1</v>
      </c>
      <c r="BJ194" s="57">
        <f t="shared" si="99"/>
        <v>1</v>
      </c>
      <c r="BK194" s="57">
        <f t="shared" si="99"/>
        <v>1</v>
      </c>
      <c r="BL194" s="57">
        <f t="shared" si="99"/>
        <v>1</v>
      </c>
      <c r="BM194" s="57">
        <f t="shared" si="99"/>
        <v>1</v>
      </c>
      <c r="BN194" s="57">
        <f t="shared" si="99"/>
        <v>1</v>
      </c>
      <c r="BO194" s="32">
        <f t="shared" si="79"/>
        <v>0.64406779661016944</v>
      </c>
    </row>
    <row r="195" spans="1:67" s="27" customFormat="1" ht="18.75" customHeight="1" x14ac:dyDescent="0.25">
      <c r="A195" s="59" t="s">
        <v>396</v>
      </c>
      <c r="B195" s="59" t="s">
        <v>397</v>
      </c>
      <c r="C195" s="59" t="s">
        <v>261</v>
      </c>
      <c r="D195" s="60">
        <f>SUM(D196:D211)</f>
        <v>5308872732.0543728</v>
      </c>
      <c r="E195" s="61">
        <f>IFERROR(D195/$D$109,0)</f>
        <v>2.9408554574576196E-2</v>
      </c>
      <c r="F195" s="62">
        <v>46227</v>
      </c>
      <c r="G195" s="62">
        <v>46368</v>
      </c>
      <c r="H195" s="61">
        <f>SUMPRODUCT($E196:$E210,H196:H210)</f>
        <v>0</v>
      </c>
      <c r="I195" s="61">
        <f t="shared" ref="I195:BN195" si="102">SUMPRODUCT($E196:$E210,I196:I210)</f>
        <v>0</v>
      </c>
      <c r="J195" s="61">
        <f t="shared" si="102"/>
        <v>2.2732460637658528E-4</v>
      </c>
      <c r="K195" s="61">
        <f t="shared" si="102"/>
        <v>1.8185968510126822E-3</v>
      </c>
      <c r="L195" s="61">
        <f t="shared" si="102"/>
        <v>3.4098690956487791E-3</v>
      </c>
      <c r="M195" s="61">
        <f t="shared" si="102"/>
        <v>5.0011413402848755E-3</v>
      </c>
      <c r="N195" s="61">
        <f t="shared" si="102"/>
        <v>6.5924135849209729E-3</v>
      </c>
      <c r="O195" s="61">
        <f t="shared" si="102"/>
        <v>8.1836858295570702E-3</v>
      </c>
      <c r="P195" s="61">
        <f t="shared" si="102"/>
        <v>9.7749580741931675E-3</v>
      </c>
      <c r="Q195" s="61">
        <f t="shared" si="102"/>
        <v>1.1366230318829265E-2</v>
      </c>
      <c r="R195" s="61">
        <f t="shared" si="102"/>
        <v>1.295750256346536E-2</v>
      </c>
      <c r="S195" s="61">
        <f t="shared" si="102"/>
        <v>1.4548774808101458E-2</v>
      </c>
      <c r="T195" s="61">
        <f t="shared" si="102"/>
        <v>3.0395418282871511E-2</v>
      </c>
      <c r="U195" s="61">
        <f t="shared" si="102"/>
        <v>7.5721945247826203E-2</v>
      </c>
      <c r="V195" s="61">
        <f t="shared" si="102"/>
        <v>0.14113064513133328</v>
      </c>
      <c r="W195" s="61">
        <f t="shared" si="102"/>
        <v>0.18261925363459089</v>
      </c>
      <c r="X195" s="61">
        <f t="shared" si="102"/>
        <v>0.27708031581956583</v>
      </c>
      <c r="Y195" s="61">
        <f t="shared" si="102"/>
        <v>0.3659081659835059</v>
      </c>
      <c r="Z195" s="61">
        <f t="shared" si="102"/>
        <v>0.53258751877282851</v>
      </c>
      <c r="AA195" s="61">
        <f t="shared" si="102"/>
        <v>0.64850810003989967</v>
      </c>
      <c r="AB195" s="61">
        <f t="shared" si="102"/>
        <v>0.68726968421038259</v>
      </c>
      <c r="AC195" s="61">
        <f t="shared" si="102"/>
        <v>0.86418974801198156</v>
      </c>
      <c r="AD195" s="61">
        <f t="shared" si="102"/>
        <v>0.99739865857519272</v>
      </c>
      <c r="AE195" s="61">
        <f t="shared" si="102"/>
        <v>1</v>
      </c>
      <c r="AF195" s="61">
        <f t="shared" si="102"/>
        <v>1</v>
      </c>
      <c r="AG195" s="61">
        <f t="shared" si="102"/>
        <v>1</v>
      </c>
      <c r="AH195" s="61">
        <f t="shared" si="102"/>
        <v>1</v>
      </c>
      <c r="AI195" s="61">
        <f t="shared" si="102"/>
        <v>1</v>
      </c>
      <c r="AJ195" s="61">
        <f t="shared" si="102"/>
        <v>1</v>
      </c>
      <c r="AK195" s="61">
        <f t="shared" si="102"/>
        <v>1</v>
      </c>
      <c r="AL195" s="61">
        <f t="shared" si="102"/>
        <v>1</v>
      </c>
      <c r="AM195" s="61">
        <f t="shared" si="102"/>
        <v>1</v>
      </c>
      <c r="AN195" s="61">
        <f t="shared" si="102"/>
        <v>1</v>
      </c>
      <c r="AO195" s="61">
        <f t="shared" si="102"/>
        <v>1</v>
      </c>
      <c r="AP195" s="61">
        <f t="shared" si="102"/>
        <v>1</v>
      </c>
      <c r="AQ195" s="61">
        <f t="shared" si="102"/>
        <v>1</v>
      </c>
      <c r="AR195" s="61">
        <f t="shared" si="102"/>
        <v>1</v>
      </c>
      <c r="AS195" s="61">
        <f t="shared" si="102"/>
        <v>1</v>
      </c>
      <c r="AT195" s="61">
        <f t="shared" si="102"/>
        <v>1</v>
      </c>
      <c r="AU195" s="61">
        <f t="shared" si="102"/>
        <v>1</v>
      </c>
      <c r="AV195" s="61">
        <f t="shared" si="102"/>
        <v>1</v>
      </c>
      <c r="AW195" s="61">
        <f t="shared" si="102"/>
        <v>1</v>
      </c>
      <c r="AX195" s="61">
        <f t="shared" si="102"/>
        <v>1</v>
      </c>
      <c r="AY195" s="61">
        <f t="shared" si="102"/>
        <v>1</v>
      </c>
      <c r="AZ195" s="61">
        <f t="shared" si="102"/>
        <v>1</v>
      </c>
      <c r="BA195" s="61">
        <f t="shared" si="102"/>
        <v>1</v>
      </c>
      <c r="BB195" s="61">
        <f t="shared" si="102"/>
        <v>1</v>
      </c>
      <c r="BC195" s="61">
        <f t="shared" si="102"/>
        <v>1</v>
      </c>
      <c r="BD195" s="61">
        <f t="shared" si="102"/>
        <v>1</v>
      </c>
      <c r="BE195" s="61">
        <f t="shared" si="102"/>
        <v>1</v>
      </c>
      <c r="BF195" s="61">
        <f t="shared" si="102"/>
        <v>1</v>
      </c>
      <c r="BG195" s="61">
        <f t="shared" si="102"/>
        <v>1</v>
      </c>
      <c r="BH195" s="61">
        <f t="shared" si="102"/>
        <v>1</v>
      </c>
      <c r="BI195" s="61">
        <f t="shared" si="102"/>
        <v>1</v>
      </c>
      <c r="BJ195" s="61">
        <f t="shared" si="102"/>
        <v>1</v>
      </c>
      <c r="BK195" s="61">
        <f t="shared" si="102"/>
        <v>1</v>
      </c>
      <c r="BL195" s="61">
        <f t="shared" si="102"/>
        <v>1</v>
      </c>
      <c r="BM195" s="61">
        <f t="shared" si="102"/>
        <v>1</v>
      </c>
      <c r="BN195" s="61">
        <f t="shared" si="102"/>
        <v>1</v>
      </c>
      <c r="BO195" s="32">
        <f t="shared" si="79"/>
        <v>0.69282525340309098</v>
      </c>
    </row>
    <row r="196" spans="1:67" s="27" customFormat="1" ht="18.75" customHeight="1" x14ac:dyDescent="0.25">
      <c r="A196" s="50" t="s">
        <v>398</v>
      </c>
      <c r="B196" s="50" t="s">
        <v>399</v>
      </c>
      <c r="C196" s="50" t="s">
        <v>74</v>
      </c>
      <c r="D196" s="51">
        <f>VLOOKUP(A196,'[1]Cuadro Control'!C231:J2126,8,FALSE)</f>
        <v>83271780.884117648</v>
      </c>
      <c r="E196" s="52">
        <f t="shared" ref="E196:E210" si="103">IFERROR(D196/$D$195,0)</f>
        <v>1.5685397839984384E-2</v>
      </c>
      <c r="F196" s="53">
        <v>46227</v>
      </c>
      <c r="G196" s="53">
        <v>46295</v>
      </c>
      <c r="H196" s="52">
        <f t="shared" ref="H196:BN200" si="104">IF($F196=0,0,IF(H$6&lt;$F196,0,IF(H$6&gt;$G196,1,(H$6-$F196+1)/($G196-$F196+1))))</f>
        <v>0</v>
      </c>
      <c r="I196" s="52">
        <f t="shared" si="104"/>
        <v>0</v>
      </c>
      <c r="J196" s="52">
        <f t="shared" si="104"/>
        <v>1.4492753623188406E-2</v>
      </c>
      <c r="K196" s="52">
        <f t="shared" si="104"/>
        <v>0.11594202898550725</v>
      </c>
      <c r="L196" s="52">
        <f t="shared" si="104"/>
        <v>0.21739130434782608</v>
      </c>
      <c r="M196" s="52">
        <f t="shared" si="104"/>
        <v>0.3188405797101449</v>
      </c>
      <c r="N196" s="52">
        <f t="shared" si="104"/>
        <v>0.42028985507246375</v>
      </c>
      <c r="O196" s="52">
        <f t="shared" si="104"/>
        <v>0.52173913043478259</v>
      </c>
      <c r="P196" s="52">
        <f t="shared" si="104"/>
        <v>0.62318840579710144</v>
      </c>
      <c r="Q196" s="52">
        <f t="shared" si="104"/>
        <v>0.72463768115942029</v>
      </c>
      <c r="R196" s="52">
        <f t="shared" si="104"/>
        <v>0.82608695652173914</v>
      </c>
      <c r="S196" s="52">
        <f t="shared" si="104"/>
        <v>0.92753623188405798</v>
      </c>
      <c r="T196" s="52">
        <f t="shared" si="104"/>
        <v>1</v>
      </c>
      <c r="U196" s="52">
        <f t="shared" si="104"/>
        <v>1</v>
      </c>
      <c r="V196" s="52">
        <f t="shared" si="104"/>
        <v>1</v>
      </c>
      <c r="W196" s="52">
        <f t="shared" si="104"/>
        <v>1</v>
      </c>
      <c r="X196" s="52">
        <f t="shared" si="104"/>
        <v>1</v>
      </c>
      <c r="Y196" s="52">
        <f t="shared" si="104"/>
        <v>1</v>
      </c>
      <c r="Z196" s="52">
        <f t="shared" si="104"/>
        <v>1</v>
      </c>
      <c r="AA196" s="52">
        <f t="shared" si="104"/>
        <v>1</v>
      </c>
      <c r="AB196" s="52">
        <f t="shared" si="104"/>
        <v>1</v>
      </c>
      <c r="AC196" s="52">
        <f t="shared" si="104"/>
        <v>1</v>
      </c>
      <c r="AD196" s="52">
        <f t="shared" si="104"/>
        <v>1</v>
      </c>
      <c r="AE196" s="52">
        <f t="shared" si="104"/>
        <v>1</v>
      </c>
      <c r="AF196" s="52">
        <f t="shared" si="104"/>
        <v>1</v>
      </c>
      <c r="AG196" s="52">
        <f t="shared" si="104"/>
        <v>1</v>
      </c>
      <c r="AH196" s="52">
        <f t="shared" si="104"/>
        <v>1</v>
      </c>
      <c r="AI196" s="52">
        <f t="shared" si="104"/>
        <v>1</v>
      </c>
      <c r="AJ196" s="52">
        <f t="shared" si="104"/>
        <v>1</v>
      </c>
      <c r="AK196" s="52">
        <f t="shared" si="104"/>
        <v>1</v>
      </c>
      <c r="AL196" s="52">
        <f t="shared" si="104"/>
        <v>1</v>
      </c>
      <c r="AM196" s="52">
        <f t="shared" si="104"/>
        <v>1</v>
      </c>
      <c r="AN196" s="52">
        <f t="shared" si="104"/>
        <v>1</v>
      </c>
      <c r="AO196" s="52">
        <f t="shared" si="104"/>
        <v>1</v>
      </c>
      <c r="AP196" s="52">
        <f t="shared" si="104"/>
        <v>1</v>
      </c>
      <c r="AQ196" s="52">
        <f t="shared" si="104"/>
        <v>1</v>
      </c>
      <c r="AR196" s="52">
        <f t="shared" si="104"/>
        <v>1</v>
      </c>
      <c r="AS196" s="52">
        <f t="shared" si="104"/>
        <v>1</v>
      </c>
      <c r="AT196" s="52">
        <f t="shared" si="104"/>
        <v>1</v>
      </c>
      <c r="AU196" s="52">
        <f t="shared" si="104"/>
        <v>1</v>
      </c>
      <c r="AV196" s="52">
        <f t="shared" si="104"/>
        <v>1</v>
      </c>
      <c r="AW196" s="52">
        <f t="shared" si="104"/>
        <v>1</v>
      </c>
      <c r="AX196" s="52">
        <f t="shared" si="104"/>
        <v>1</v>
      </c>
      <c r="AY196" s="52">
        <f t="shared" si="104"/>
        <v>1</v>
      </c>
      <c r="AZ196" s="52">
        <f t="shared" si="104"/>
        <v>1</v>
      </c>
      <c r="BA196" s="52">
        <f t="shared" si="104"/>
        <v>1</v>
      </c>
      <c r="BB196" s="52">
        <f t="shared" si="104"/>
        <v>1</v>
      </c>
      <c r="BC196" s="52">
        <f t="shared" si="104"/>
        <v>1</v>
      </c>
      <c r="BD196" s="52">
        <f t="shared" si="104"/>
        <v>1</v>
      </c>
      <c r="BE196" s="52">
        <f t="shared" si="104"/>
        <v>1</v>
      </c>
      <c r="BF196" s="52">
        <f t="shared" si="104"/>
        <v>1</v>
      </c>
      <c r="BG196" s="52">
        <f t="shared" si="104"/>
        <v>1</v>
      </c>
      <c r="BH196" s="52">
        <f t="shared" si="104"/>
        <v>1</v>
      </c>
      <c r="BI196" s="52">
        <f t="shared" si="104"/>
        <v>1</v>
      </c>
      <c r="BJ196" s="52">
        <f t="shared" si="104"/>
        <v>1</v>
      </c>
      <c r="BK196" s="52">
        <f t="shared" si="104"/>
        <v>1</v>
      </c>
      <c r="BL196" s="52">
        <f t="shared" si="104"/>
        <v>1</v>
      </c>
      <c r="BM196" s="52">
        <f t="shared" si="104"/>
        <v>1</v>
      </c>
      <c r="BN196" s="52">
        <f t="shared" si="104"/>
        <v>1</v>
      </c>
      <c r="BO196" s="32">
        <f t="shared" si="79"/>
        <v>0.87644313436502097</v>
      </c>
    </row>
    <row r="197" spans="1:67" s="27" customFormat="1" ht="18.75" customHeight="1" x14ac:dyDescent="0.25">
      <c r="A197" s="50" t="s">
        <v>400</v>
      </c>
      <c r="B197" s="50" t="s">
        <v>401</v>
      </c>
      <c r="C197" s="50" t="s">
        <v>61</v>
      </c>
      <c r="D197" s="51">
        <f>VLOOKUP(A197,'[1]Cuadro Control'!C233:J2127,8,FALSE)</f>
        <v>312374505.66882348</v>
      </c>
      <c r="E197" s="52">
        <f t="shared" si="103"/>
        <v>5.8840081771548515E-2</v>
      </c>
      <c r="F197" s="53">
        <v>46296</v>
      </c>
      <c r="G197" s="53">
        <v>46303</v>
      </c>
      <c r="H197" s="52">
        <f t="shared" si="104"/>
        <v>0</v>
      </c>
      <c r="I197" s="52">
        <f t="shared" si="104"/>
        <v>0</v>
      </c>
      <c r="J197" s="52">
        <f t="shared" si="104"/>
        <v>0</v>
      </c>
      <c r="K197" s="52">
        <f t="shared" si="104"/>
        <v>0</v>
      </c>
      <c r="L197" s="52">
        <f t="shared" si="104"/>
        <v>0</v>
      </c>
      <c r="M197" s="52">
        <f t="shared" si="104"/>
        <v>0</v>
      </c>
      <c r="N197" s="52">
        <f t="shared" si="104"/>
        <v>0</v>
      </c>
      <c r="O197" s="52">
        <f t="shared" si="104"/>
        <v>0</v>
      </c>
      <c r="P197" s="52">
        <f t="shared" si="104"/>
        <v>0</v>
      </c>
      <c r="Q197" s="52">
        <f t="shared" si="104"/>
        <v>0</v>
      </c>
      <c r="R197" s="52">
        <f t="shared" si="104"/>
        <v>0</v>
      </c>
      <c r="S197" s="52">
        <f t="shared" si="104"/>
        <v>0</v>
      </c>
      <c r="T197" s="52">
        <f t="shared" si="104"/>
        <v>0.25</v>
      </c>
      <c r="U197" s="52">
        <f t="shared" si="104"/>
        <v>1</v>
      </c>
      <c r="V197" s="52">
        <f t="shared" si="104"/>
        <v>1</v>
      </c>
      <c r="W197" s="52">
        <f t="shared" si="104"/>
        <v>1</v>
      </c>
      <c r="X197" s="52">
        <f t="shared" si="104"/>
        <v>1</v>
      </c>
      <c r="Y197" s="52">
        <f t="shared" si="104"/>
        <v>1</v>
      </c>
      <c r="Z197" s="52">
        <f t="shared" si="104"/>
        <v>1</v>
      </c>
      <c r="AA197" s="52">
        <f t="shared" si="104"/>
        <v>1</v>
      </c>
      <c r="AB197" s="52">
        <f t="shared" si="104"/>
        <v>1</v>
      </c>
      <c r="AC197" s="52">
        <f t="shared" si="104"/>
        <v>1</v>
      </c>
      <c r="AD197" s="52">
        <f t="shared" si="104"/>
        <v>1</v>
      </c>
      <c r="AE197" s="52">
        <f t="shared" si="104"/>
        <v>1</v>
      </c>
      <c r="AF197" s="52">
        <f t="shared" si="104"/>
        <v>1</v>
      </c>
      <c r="AG197" s="52">
        <f t="shared" si="104"/>
        <v>1</v>
      </c>
      <c r="AH197" s="52">
        <f t="shared" si="104"/>
        <v>1</v>
      </c>
      <c r="AI197" s="52">
        <f t="shared" si="104"/>
        <v>1</v>
      </c>
      <c r="AJ197" s="52">
        <f t="shared" si="104"/>
        <v>1</v>
      </c>
      <c r="AK197" s="52">
        <f t="shared" si="104"/>
        <v>1</v>
      </c>
      <c r="AL197" s="52">
        <f t="shared" si="104"/>
        <v>1</v>
      </c>
      <c r="AM197" s="52">
        <f t="shared" si="104"/>
        <v>1</v>
      </c>
      <c r="AN197" s="52">
        <f t="shared" si="104"/>
        <v>1</v>
      </c>
      <c r="AO197" s="52">
        <f t="shared" si="104"/>
        <v>1</v>
      </c>
      <c r="AP197" s="52">
        <f t="shared" si="104"/>
        <v>1</v>
      </c>
      <c r="AQ197" s="52">
        <f t="shared" si="104"/>
        <v>1</v>
      </c>
      <c r="AR197" s="52">
        <f t="shared" si="104"/>
        <v>1</v>
      </c>
      <c r="AS197" s="52">
        <f t="shared" si="104"/>
        <v>1</v>
      </c>
      <c r="AT197" s="52">
        <f t="shared" si="104"/>
        <v>1</v>
      </c>
      <c r="AU197" s="52">
        <f t="shared" si="104"/>
        <v>1</v>
      </c>
      <c r="AV197" s="52">
        <f t="shared" si="104"/>
        <v>1</v>
      </c>
      <c r="AW197" s="52">
        <f t="shared" si="104"/>
        <v>1</v>
      </c>
      <c r="AX197" s="52">
        <f t="shared" si="104"/>
        <v>1</v>
      </c>
      <c r="AY197" s="52">
        <f t="shared" si="104"/>
        <v>1</v>
      </c>
      <c r="AZ197" s="52">
        <f t="shared" si="104"/>
        <v>1</v>
      </c>
      <c r="BA197" s="52">
        <f t="shared" si="104"/>
        <v>1</v>
      </c>
      <c r="BB197" s="52">
        <f t="shared" si="104"/>
        <v>1</v>
      </c>
      <c r="BC197" s="52">
        <f t="shared" si="104"/>
        <v>1</v>
      </c>
      <c r="BD197" s="52">
        <f t="shared" si="104"/>
        <v>1</v>
      </c>
      <c r="BE197" s="52">
        <f t="shared" si="104"/>
        <v>1</v>
      </c>
      <c r="BF197" s="52">
        <f t="shared" si="104"/>
        <v>1</v>
      </c>
      <c r="BG197" s="52">
        <f t="shared" si="104"/>
        <v>1</v>
      </c>
      <c r="BH197" s="52">
        <f t="shared" si="104"/>
        <v>1</v>
      </c>
      <c r="BI197" s="52">
        <f t="shared" si="104"/>
        <v>1</v>
      </c>
      <c r="BJ197" s="52">
        <f t="shared" si="104"/>
        <v>1</v>
      </c>
      <c r="BK197" s="52">
        <f t="shared" si="104"/>
        <v>1</v>
      </c>
      <c r="BL197" s="52">
        <f t="shared" si="104"/>
        <v>1</v>
      </c>
      <c r="BM197" s="52">
        <f t="shared" si="104"/>
        <v>1</v>
      </c>
      <c r="BN197" s="52">
        <f t="shared" si="104"/>
        <v>1</v>
      </c>
      <c r="BO197" s="32">
        <f t="shared" si="79"/>
        <v>0.78389830508474578</v>
      </c>
    </row>
    <row r="198" spans="1:67" s="27" customFormat="1" ht="18.75" customHeight="1" x14ac:dyDescent="0.25">
      <c r="A198" s="46" t="s">
        <v>402</v>
      </c>
      <c r="B198" s="46" t="s">
        <v>403</v>
      </c>
      <c r="C198" s="46" t="s">
        <v>126</v>
      </c>
      <c r="D198" s="47">
        <f>VLOOKUP(A198,'[1]Cuadro Control'!C234:J2128,8,FALSE)</f>
        <v>9527825.6870364472</v>
      </c>
      <c r="E198" s="48">
        <f t="shared" si="103"/>
        <v>1.794698454439963E-3</v>
      </c>
      <c r="F198" s="49">
        <v>46303</v>
      </c>
      <c r="G198" s="49">
        <v>46305</v>
      </c>
      <c r="H198" s="48">
        <f t="shared" si="104"/>
        <v>0</v>
      </c>
      <c r="I198" s="48">
        <f t="shared" si="104"/>
        <v>0</v>
      </c>
      <c r="J198" s="48">
        <f t="shared" si="104"/>
        <v>0</v>
      </c>
      <c r="K198" s="48">
        <f t="shared" si="104"/>
        <v>0</v>
      </c>
      <c r="L198" s="48">
        <f t="shared" si="104"/>
        <v>0</v>
      </c>
      <c r="M198" s="48">
        <f t="shared" si="104"/>
        <v>0</v>
      </c>
      <c r="N198" s="48">
        <f t="shared" si="104"/>
        <v>0</v>
      </c>
      <c r="O198" s="48">
        <f t="shared" si="104"/>
        <v>0</v>
      </c>
      <c r="P198" s="48">
        <f t="shared" si="104"/>
        <v>0</v>
      </c>
      <c r="Q198" s="48">
        <f t="shared" si="104"/>
        <v>0</v>
      </c>
      <c r="R198" s="48">
        <f t="shared" si="104"/>
        <v>0</v>
      </c>
      <c r="S198" s="48">
        <f t="shared" si="104"/>
        <v>0</v>
      </c>
      <c r="T198" s="48">
        <f t="shared" si="104"/>
        <v>0</v>
      </c>
      <c r="U198" s="48">
        <f t="shared" si="104"/>
        <v>0.66666666666666663</v>
      </c>
      <c r="V198" s="48">
        <f t="shared" si="104"/>
        <v>1</v>
      </c>
      <c r="W198" s="48">
        <f t="shared" si="104"/>
        <v>1</v>
      </c>
      <c r="X198" s="48">
        <f t="shared" si="104"/>
        <v>1</v>
      </c>
      <c r="Y198" s="48">
        <f t="shared" si="104"/>
        <v>1</v>
      </c>
      <c r="Z198" s="48">
        <f t="shared" si="104"/>
        <v>1</v>
      </c>
      <c r="AA198" s="48">
        <f t="shared" si="104"/>
        <v>1</v>
      </c>
      <c r="AB198" s="48">
        <f t="shared" si="104"/>
        <v>1</v>
      </c>
      <c r="AC198" s="48">
        <f t="shared" si="104"/>
        <v>1</v>
      </c>
      <c r="AD198" s="48">
        <f t="shared" si="104"/>
        <v>1</v>
      </c>
      <c r="AE198" s="48">
        <f t="shared" si="104"/>
        <v>1</v>
      </c>
      <c r="AF198" s="48">
        <f t="shared" si="104"/>
        <v>1</v>
      </c>
      <c r="AG198" s="48">
        <f t="shared" si="104"/>
        <v>1</v>
      </c>
      <c r="AH198" s="48">
        <f t="shared" si="104"/>
        <v>1</v>
      </c>
      <c r="AI198" s="48">
        <f t="shared" si="104"/>
        <v>1</v>
      </c>
      <c r="AJ198" s="48">
        <f t="shared" si="104"/>
        <v>1</v>
      </c>
      <c r="AK198" s="48">
        <f t="shared" si="104"/>
        <v>1</v>
      </c>
      <c r="AL198" s="48">
        <f t="shared" si="104"/>
        <v>1</v>
      </c>
      <c r="AM198" s="48">
        <f t="shared" si="104"/>
        <v>1</v>
      </c>
      <c r="AN198" s="48">
        <f t="shared" si="104"/>
        <v>1</v>
      </c>
      <c r="AO198" s="48">
        <f t="shared" si="104"/>
        <v>1</v>
      </c>
      <c r="AP198" s="48">
        <f t="shared" si="104"/>
        <v>1</v>
      </c>
      <c r="AQ198" s="48">
        <f t="shared" si="104"/>
        <v>1</v>
      </c>
      <c r="AR198" s="48">
        <f t="shared" si="104"/>
        <v>1</v>
      </c>
      <c r="AS198" s="48">
        <f t="shared" si="104"/>
        <v>1</v>
      </c>
      <c r="AT198" s="48">
        <f t="shared" si="104"/>
        <v>1</v>
      </c>
      <c r="AU198" s="48">
        <f t="shared" si="104"/>
        <v>1</v>
      </c>
      <c r="AV198" s="48">
        <f t="shared" si="104"/>
        <v>1</v>
      </c>
      <c r="AW198" s="48">
        <f t="shared" si="104"/>
        <v>1</v>
      </c>
      <c r="AX198" s="48">
        <f t="shared" si="104"/>
        <v>1</v>
      </c>
      <c r="AY198" s="48">
        <f t="shared" si="104"/>
        <v>1</v>
      </c>
      <c r="AZ198" s="48">
        <f t="shared" si="104"/>
        <v>1</v>
      </c>
      <c r="BA198" s="48">
        <f t="shared" si="104"/>
        <v>1</v>
      </c>
      <c r="BB198" s="48">
        <f t="shared" si="104"/>
        <v>1</v>
      </c>
      <c r="BC198" s="48">
        <f t="shared" si="104"/>
        <v>1</v>
      </c>
      <c r="BD198" s="48">
        <f t="shared" si="104"/>
        <v>1</v>
      </c>
      <c r="BE198" s="48">
        <f t="shared" si="104"/>
        <v>1</v>
      </c>
      <c r="BF198" s="48">
        <f t="shared" si="104"/>
        <v>1</v>
      </c>
      <c r="BG198" s="48">
        <f t="shared" si="104"/>
        <v>1</v>
      </c>
      <c r="BH198" s="48">
        <f t="shared" si="104"/>
        <v>1</v>
      </c>
      <c r="BI198" s="48">
        <f t="shared" si="104"/>
        <v>1</v>
      </c>
      <c r="BJ198" s="48">
        <f t="shared" si="104"/>
        <v>1</v>
      </c>
      <c r="BK198" s="48">
        <f t="shared" si="104"/>
        <v>1</v>
      </c>
      <c r="BL198" s="48">
        <f t="shared" si="104"/>
        <v>1</v>
      </c>
      <c r="BM198" s="48">
        <f t="shared" si="104"/>
        <v>1</v>
      </c>
      <c r="BN198" s="48">
        <f t="shared" si="104"/>
        <v>1</v>
      </c>
      <c r="BO198" s="32">
        <f t="shared" si="79"/>
        <v>0.77401129943502822</v>
      </c>
    </row>
    <row r="199" spans="1:67" s="27" customFormat="1" ht="18.75" customHeight="1" x14ac:dyDescent="0.25">
      <c r="A199" s="50" t="s">
        <v>404</v>
      </c>
      <c r="B199" s="50" t="s">
        <v>405</v>
      </c>
      <c r="C199" s="50" t="s">
        <v>117</v>
      </c>
      <c r="D199" s="51">
        <f>VLOOKUP(A199,'[1]Cuadro Control'!C235:J2129,8,FALSE)</f>
        <v>320494616.71764702</v>
      </c>
      <c r="E199" s="52">
        <f t="shared" si="103"/>
        <v>6.0369617599332674E-2</v>
      </c>
      <c r="F199" s="53">
        <v>46308</v>
      </c>
      <c r="G199" s="53">
        <v>46311</v>
      </c>
      <c r="H199" s="52">
        <f t="shared" si="104"/>
        <v>0</v>
      </c>
      <c r="I199" s="52">
        <f t="shared" si="104"/>
        <v>0</v>
      </c>
      <c r="J199" s="52">
        <f t="shared" si="104"/>
        <v>0</v>
      </c>
      <c r="K199" s="52">
        <f t="shared" si="104"/>
        <v>0</v>
      </c>
      <c r="L199" s="52">
        <f t="shared" si="104"/>
        <v>0</v>
      </c>
      <c r="M199" s="52">
        <f t="shared" si="104"/>
        <v>0</v>
      </c>
      <c r="N199" s="52">
        <f t="shared" si="104"/>
        <v>0</v>
      </c>
      <c r="O199" s="52">
        <f t="shared" si="104"/>
        <v>0</v>
      </c>
      <c r="P199" s="52">
        <f t="shared" si="104"/>
        <v>0</v>
      </c>
      <c r="Q199" s="52">
        <f t="shared" si="104"/>
        <v>0</v>
      </c>
      <c r="R199" s="52">
        <f t="shared" si="104"/>
        <v>0</v>
      </c>
      <c r="S199" s="52">
        <f t="shared" si="104"/>
        <v>0</v>
      </c>
      <c r="T199" s="52">
        <f t="shared" si="104"/>
        <v>0</v>
      </c>
      <c r="U199" s="52">
        <f t="shared" si="104"/>
        <v>0</v>
      </c>
      <c r="V199" s="52">
        <f t="shared" si="104"/>
        <v>1</v>
      </c>
      <c r="W199" s="52">
        <f t="shared" si="104"/>
        <v>1</v>
      </c>
      <c r="X199" s="52">
        <f t="shared" si="104"/>
        <v>1</v>
      </c>
      <c r="Y199" s="52">
        <f t="shared" si="104"/>
        <v>1</v>
      </c>
      <c r="Z199" s="52">
        <f t="shared" si="104"/>
        <v>1</v>
      </c>
      <c r="AA199" s="52">
        <f t="shared" si="104"/>
        <v>1</v>
      </c>
      <c r="AB199" s="52">
        <f t="shared" si="104"/>
        <v>1</v>
      </c>
      <c r="AC199" s="52">
        <f t="shared" si="104"/>
        <v>1</v>
      </c>
      <c r="AD199" s="52">
        <f t="shared" si="104"/>
        <v>1</v>
      </c>
      <c r="AE199" s="52">
        <f t="shared" si="104"/>
        <v>1</v>
      </c>
      <c r="AF199" s="52">
        <f t="shared" si="104"/>
        <v>1</v>
      </c>
      <c r="AG199" s="52">
        <f t="shared" si="104"/>
        <v>1</v>
      </c>
      <c r="AH199" s="52">
        <f t="shared" si="104"/>
        <v>1</v>
      </c>
      <c r="AI199" s="52">
        <f t="shared" si="104"/>
        <v>1</v>
      </c>
      <c r="AJ199" s="52">
        <f t="shared" si="104"/>
        <v>1</v>
      </c>
      <c r="AK199" s="52">
        <f t="shared" si="104"/>
        <v>1</v>
      </c>
      <c r="AL199" s="52">
        <f t="shared" si="104"/>
        <v>1</v>
      </c>
      <c r="AM199" s="52">
        <f t="shared" si="104"/>
        <v>1</v>
      </c>
      <c r="AN199" s="52">
        <f t="shared" si="104"/>
        <v>1</v>
      </c>
      <c r="AO199" s="52">
        <f t="shared" si="104"/>
        <v>1</v>
      </c>
      <c r="AP199" s="52">
        <f t="shared" si="104"/>
        <v>1</v>
      </c>
      <c r="AQ199" s="52">
        <f t="shared" si="104"/>
        <v>1</v>
      </c>
      <c r="AR199" s="52">
        <f t="shared" si="104"/>
        <v>1</v>
      </c>
      <c r="AS199" s="52">
        <f t="shared" si="104"/>
        <v>1</v>
      </c>
      <c r="AT199" s="52">
        <f t="shared" si="104"/>
        <v>1</v>
      </c>
      <c r="AU199" s="52">
        <f t="shared" si="104"/>
        <v>1</v>
      </c>
      <c r="AV199" s="52">
        <f t="shared" si="104"/>
        <v>1</v>
      </c>
      <c r="AW199" s="52">
        <f t="shared" si="104"/>
        <v>1</v>
      </c>
      <c r="AX199" s="52">
        <f t="shared" si="104"/>
        <v>1</v>
      </c>
      <c r="AY199" s="52">
        <f t="shared" si="104"/>
        <v>1</v>
      </c>
      <c r="AZ199" s="52">
        <f t="shared" si="104"/>
        <v>1</v>
      </c>
      <c r="BA199" s="52">
        <f t="shared" si="104"/>
        <v>1</v>
      </c>
      <c r="BB199" s="52">
        <f t="shared" si="104"/>
        <v>1</v>
      </c>
      <c r="BC199" s="52">
        <f t="shared" si="104"/>
        <v>1</v>
      </c>
      <c r="BD199" s="52">
        <f t="shared" si="104"/>
        <v>1</v>
      </c>
      <c r="BE199" s="52">
        <f t="shared" si="104"/>
        <v>1</v>
      </c>
      <c r="BF199" s="52">
        <f t="shared" si="104"/>
        <v>1</v>
      </c>
      <c r="BG199" s="52">
        <f t="shared" si="104"/>
        <v>1</v>
      </c>
      <c r="BH199" s="52">
        <f t="shared" si="104"/>
        <v>1</v>
      </c>
      <c r="BI199" s="52">
        <f t="shared" si="104"/>
        <v>1</v>
      </c>
      <c r="BJ199" s="52">
        <f t="shared" si="104"/>
        <v>1</v>
      </c>
      <c r="BK199" s="52">
        <f t="shared" si="104"/>
        <v>1</v>
      </c>
      <c r="BL199" s="52">
        <f t="shared" si="104"/>
        <v>1</v>
      </c>
      <c r="BM199" s="52">
        <f t="shared" si="104"/>
        <v>1</v>
      </c>
      <c r="BN199" s="52">
        <f t="shared" si="104"/>
        <v>1</v>
      </c>
      <c r="BO199" s="32">
        <f t="shared" si="79"/>
        <v>0.76271186440677963</v>
      </c>
    </row>
    <row r="200" spans="1:67" s="27" customFormat="1" ht="18.75" customHeight="1" x14ac:dyDescent="0.25">
      <c r="A200" s="50" t="s">
        <v>406</v>
      </c>
      <c r="B200" s="50" t="s">
        <v>407</v>
      </c>
      <c r="C200" s="50" t="s">
        <v>111</v>
      </c>
      <c r="D200" s="51">
        <f>VLOOKUP(A200,'[1]Cuadro Control'!C236:J2130,8,FALSE)</f>
        <v>94303618.549411759</v>
      </c>
      <c r="E200" s="52">
        <f t="shared" si="103"/>
        <v>1.7763397864110998E-2</v>
      </c>
      <c r="F200" s="53">
        <v>46311</v>
      </c>
      <c r="G200" s="53">
        <v>46314</v>
      </c>
      <c r="H200" s="52">
        <f t="shared" si="104"/>
        <v>0</v>
      </c>
      <c r="I200" s="52">
        <f t="shared" si="104"/>
        <v>0</v>
      </c>
      <c r="J200" s="52">
        <f t="shared" si="104"/>
        <v>0</v>
      </c>
      <c r="K200" s="52">
        <f t="shared" si="104"/>
        <v>0</v>
      </c>
      <c r="L200" s="52">
        <f t="shared" si="104"/>
        <v>0</v>
      </c>
      <c r="M200" s="52">
        <f t="shared" si="104"/>
        <v>0</v>
      </c>
      <c r="N200" s="52">
        <f t="shared" si="104"/>
        <v>0</v>
      </c>
      <c r="O200" s="52">
        <f t="shared" si="104"/>
        <v>0</v>
      </c>
      <c r="P200" s="52">
        <f t="shared" si="104"/>
        <v>0</v>
      </c>
      <c r="Q200" s="52">
        <f t="shared" si="104"/>
        <v>0</v>
      </c>
      <c r="R200" s="52">
        <f t="shared" si="104"/>
        <v>0</v>
      </c>
      <c r="S200" s="52">
        <f t="shared" si="104"/>
        <v>0</v>
      </c>
      <c r="T200" s="52">
        <f t="shared" si="104"/>
        <v>0</v>
      </c>
      <c r="U200" s="52">
        <f t="shared" si="104"/>
        <v>0</v>
      </c>
      <c r="V200" s="52">
        <f t="shared" si="104"/>
        <v>0.25</v>
      </c>
      <c r="W200" s="52">
        <f t="shared" si="104"/>
        <v>1</v>
      </c>
      <c r="X200" s="52">
        <f t="shared" si="104"/>
        <v>1</v>
      </c>
      <c r="Y200" s="52">
        <f t="shared" si="104"/>
        <v>1</v>
      </c>
      <c r="Z200" s="52">
        <f t="shared" si="104"/>
        <v>1</v>
      </c>
      <c r="AA200" s="52">
        <f t="shared" ref="AA200:BF211" si="105">IF($F200=0,0,IF(AA$6&lt;$F200,0,IF(AA$6&gt;$G200,1,(AA$6-$F200+1)/($G200-$F200+1))))</f>
        <v>1</v>
      </c>
      <c r="AB200" s="52">
        <f t="shared" si="105"/>
        <v>1</v>
      </c>
      <c r="AC200" s="52">
        <f t="shared" si="105"/>
        <v>1</v>
      </c>
      <c r="AD200" s="52">
        <f t="shared" si="105"/>
        <v>1</v>
      </c>
      <c r="AE200" s="52">
        <f t="shared" si="105"/>
        <v>1</v>
      </c>
      <c r="AF200" s="52">
        <f t="shared" si="105"/>
        <v>1</v>
      </c>
      <c r="AG200" s="52">
        <f t="shared" si="105"/>
        <v>1</v>
      </c>
      <c r="AH200" s="52">
        <f t="shared" si="105"/>
        <v>1</v>
      </c>
      <c r="AI200" s="52">
        <f t="shared" si="105"/>
        <v>1</v>
      </c>
      <c r="AJ200" s="52">
        <f t="shared" si="105"/>
        <v>1</v>
      </c>
      <c r="AK200" s="52">
        <f t="shared" si="105"/>
        <v>1</v>
      </c>
      <c r="AL200" s="52">
        <f t="shared" si="105"/>
        <v>1</v>
      </c>
      <c r="AM200" s="52">
        <f t="shared" si="105"/>
        <v>1</v>
      </c>
      <c r="AN200" s="52">
        <f t="shared" si="105"/>
        <v>1</v>
      </c>
      <c r="AO200" s="52">
        <f t="shared" si="105"/>
        <v>1</v>
      </c>
      <c r="AP200" s="52">
        <f t="shared" si="105"/>
        <v>1</v>
      </c>
      <c r="AQ200" s="52">
        <f t="shared" si="105"/>
        <v>1</v>
      </c>
      <c r="AR200" s="52">
        <f t="shared" si="105"/>
        <v>1</v>
      </c>
      <c r="AS200" s="52">
        <f t="shared" si="105"/>
        <v>1</v>
      </c>
      <c r="AT200" s="52">
        <f t="shared" si="105"/>
        <v>1</v>
      </c>
      <c r="AU200" s="52">
        <f t="shared" si="105"/>
        <v>1</v>
      </c>
      <c r="AV200" s="52">
        <f t="shared" si="105"/>
        <v>1</v>
      </c>
      <c r="AW200" s="52">
        <f t="shared" si="105"/>
        <v>1</v>
      </c>
      <c r="AX200" s="52">
        <f t="shared" si="105"/>
        <v>1</v>
      </c>
      <c r="AY200" s="52">
        <f t="shared" si="105"/>
        <v>1</v>
      </c>
      <c r="AZ200" s="52">
        <f t="shared" si="105"/>
        <v>1</v>
      </c>
      <c r="BA200" s="52">
        <f t="shared" si="105"/>
        <v>1</v>
      </c>
      <c r="BB200" s="52">
        <f t="shared" si="105"/>
        <v>1</v>
      </c>
      <c r="BC200" s="52">
        <f t="shared" si="105"/>
        <v>1</v>
      </c>
      <c r="BD200" s="52">
        <f t="shared" si="105"/>
        <v>1</v>
      </c>
      <c r="BE200" s="52">
        <f t="shared" si="105"/>
        <v>1</v>
      </c>
      <c r="BF200" s="52">
        <f t="shared" si="105"/>
        <v>1</v>
      </c>
      <c r="BG200" s="52">
        <f t="shared" ref="BG200:BN211" si="106">IF($F200=0,0,IF(BG$6&lt;$F200,0,IF(BG$6&gt;$G200,1,(BG$6-$F200+1)/($G200-$F200+1))))</f>
        <v>1</v>
      </c>
      <c r="BH200" s="52">
        <f t="shared" si="106"/>
        <v>1</v>
      </c>
      <c r="BI200" s="52">
        <f t="shared" si="106"/>
        <v>1</v>
      </c>
      <c r="BJ200" s="52">
        <f t="shared" si="106"/>
        <v>1</v>
      </c>
      <c r="BK200" s="52">
        <f t="shared" si="106"/>
        <v>1</v>
      </c>
      <c r="BL200" s="52">
        <f t="shared" si="106"/>
        <v>1</v>
      </c>
      <c r="BM200" s="52">
        <f t="shared" si="106"/>
        <v>1</v>
      </c>
      <c r="BN200" s="52">
        <f t="shared" si="106"/>
        <v>1</v>
      </c>
      <c r="BO200" s="32">
        <f t="shared" si="79"/>
        <v>0.75</v>
      </c>
    </row>
    <row r="201" spans="1:67" s="27" customFormat="1" ht="18.75" customHeight="1" x14ac:dyDescent="0.25">
      <c r="A201" s="50" t="s">
        <v>408</v>
      </c>
      <c r="B201" s="50" t="s">
        <v>409</v>
      </c>
      <c r="C201" s="50" t="s">
        <v>238</v>
      </c>
      <c r="D201" s="51">
        <f>VLOOKUP(A201,'[1]Cuadro Control'!C237:J2131,8,FALSE)</f>
        <v>179436034.15411764</v>
      </c>
      <c r="E201" s="52">
        <f t="shared" si="103"/>
        <v>3.3799272126209236E-2</v>
      </c>
      <c r="F201" s="53">
        <v>46314</v>
      </c>
      <c r="G201" s="53">
        <v>46319</v>
      </c>
      <c r="H201" s="52">
        <f t="shared" ref="H201:W211" si="107">IF($F201=0,0,IF(H$6&lt;$F201,0,IF(H$6&gt;$G201,1,(H$6-$F201+1)/($G201-$F201+1))))</f>
        <v>0</v>
      </c>
      <c r="I201" s="52">
        <f t="shared" si="107"/>
        <v>0</v>
      </c>
      <c r="J201" s="52">
        <f t="shared" si="107"/>
        <v>0</v>
      </c>
      <c r="K201" s="52">
        <f t="shared" si="107"/>
        <v>0</v>
      </c>
      <c r="L201" s="52">
        <f t="shared" si="107"/>
        <v>0</v>
      </c>
      <c r="M201" s="52">
        <f t="shared" si="107"/>
        <v>0</v>
      </c>
      <c r="N201" s="52">
        <f t="shared" si="107"/>
        <v>0</v>
      </c>
      <c r="O201" s="52">
        <f t="shared" si="107"/>
        <v>0</v>
      </c>
      <c r="P201" s="52">
        <f t="shared" si="107"/>
        <v>0</v>
      </c>
      <c r="Q201" s="52">
        <f t="shared" si="107"/>
        <v>0</v>
      </c>
      <c r="R201" s="52">
        <f t="shared" si="107"/>
        <v>0</v>
      </c>
      <c r="S201" s="52">
        <f t="shared" si="107"/>
        <v>0</v>
      </c>
      <c r="T201" s="52">
        <f t="shared" si="107"/>
        <v>0</v>
      </c>
      <c r="U201" s="52">
        <f t="shared" si="107"/>
        <v>0</v>
      </c>
      <c r="V201" s="52">
        <f t="shared" si="107"/>
        <v>0</v>
      </c>
      <c r="W201" s="52">
        <f t="shared" si="107"/>
        <v>0.83333333333333337</v>
      </c>
      <c r="X201" s="52">
        <f t="shared" ref="X201:BC211" si="108">IF($F201=0,0,IF(X$6&lt;$F201,0,IF(X$6&gt;$G201,1,(X$6-$F201+1)/($G201-$F201+1))))</f>
        <v>1</v>
      </c>
      <c r="Y201" s="52">
        <f t="shared" si="108"/>
        <v>1</v>
      </c>
      <c r="Z201" s="52">
        <f t="shared" si="108"/>
        <v>1</v>
      </c>
      <c r="AA201" s="52">
        <f t="shared" si="108"/>
        <v>1</v>
      </c>
      <c r="AB201" s="52">
        <f t="shared" si="108"/>
        <v>1</v>
      </c>
      <c r="AC201" s="52">
        <f t="shared" si="108"/>
        <v>1</v>
      </c>
      <c r="AD201" s="52">
        <f t="shared" si="108"/>
        <v>1</v>
      </c>
      <c r="AE201" s="52">
        <f t="shared" si="108"/>
        <v>1</v>
      </c>
      <c r="AF201" s="52">
        <f t="shared" si="108"/>
        <v>1</v>
      </c>
      <c r="AG201" s="52">
        <f t="shared" si="108"/>
        <v>1</v>
      </c>
      <c r="AH201" s="52">
        <f t="shared" si="108"/>
        <v>1</v>
      </c>
      <c r="AI201" s="52">
        <f t="shared" si="108"/>
        <v>1</v>
      </c>
      <c r="AJ201" s="52">
        <f t="shared" si="108"/>
        <v>1</v>
      </c>
      <c r="AK201" s="52">
        <f t="shared" si="108"/>
        <v>1</v>
      </c>
      <c r="AL201" s="52">
        <f t="shared" si="108"/>
        <v>1</v>
      </c>
      <c r="AM201" s="52">
        <f t="shared" si="108"/>
        <v>1</v>
      </c>
      <c r="AN201" s="52">
        <f t="shared" si="108"/>
        <v>1</v>
      </c>
      <c r="AO201" s="52">
        <f t="shared" si="105"/>
        <v>1</v>
      </c>
      <c r="AP201" s="52">
        <f t="shared" si="105"/>
        <v>1</v>
      </c>
      <c r="AQ201" s="52">
        <f t="shared" si="105"/>
        <v>1</v>
      </c>
      <c r="AR201" s="52">
        <f t="shared" si="105"/>
        <v>1</v>
      </c>
      <c r="AS201" s="52">
        <f t="shared" si="105"/>
        <v>1</v>
      </c>
      <c r="AT201" s="52">
        <f t="shared" si="105"/>
        <v>1</v>
      </c>
      <c r="AU201" s="52">
        <f t="shared" si="105"/>
        <v>1</v>
      </c>
      <c r="AV201" s="52">
        <f t="shared" si="105"/>
        <v>1</v>
      </c>
      <c r="AW201" s="52">
        <f t="shared" si="105"/>
        <v>1</v>
      </c>
      <c r="AX201" s="52">
        <f t="shared" si="105"/>
        <v>1</v>
      </c>
      <c r="AY201" s="52">
        <f t="shared" si="105"/>
        <v>1</v>
      </c>
      <c r="AZ201" s="52">
        <f t="shared" si="105"/>
        <v>1</v>
      </c>
      <c r="BA201" s="52">
        <f t="shared" si="105"/>
        <v>1</v>
      </c>
      <c r="BB201" s="52">
        <f t="shared" si="105"/>
        <v>1</v>
      </c>
      <c r="BC201" s="52">
        <f t="shared" si="105"/>
        <v>1</v>
      </c>
      <c r="BD201" s="52">
        <f t="shared" si="105"/>
        <v>1</v>
      </c>
      <c r="BE201" s="52">
        <f t="shared" si="105"/>
        <v>1</v>
      </c>
      <c r="BF201" s="52">
        <f t="shared" si="105"/>
        <v>1</v>
      </c>
      <c r="BG201" s="52">
        <f t="shared" si="106"/>
        <v>1</v>
      </c>
      <c r="BH201" s="52">
        <f t="shared" si="106"/>
        <v>1</v>
      </c>
      <c r="BI201" s="52">
        <f t="shared" si="106"/>
        <v>1</v>
      </c>
      <c r="BJ201" s="52">
        <f t="shared" si="106"/>
        <v>1</v>
      </c>
      <c r="BK201" s="52">
        <f t="shared" si="106"/>
        <v>1</v>
      </c>
      <c r="BL201" s="52">
        <f t="shared" si="106"/>
        <v>1</v>
      </c>
      <c r="BM201" s="52">
        <f t="shared" si="106"/>
        <v>1</v>
      </c>
      <c r="BN201" s="52">
        <f t="shared" si="106"/>
        <v>1</v>
      </c>
      <c r="BO201" s="32">
        <f t="shared" si="79"/>
        <v>0.74293785310734473</v>
      </c>
    </row>
    <row r="202" spans="1:67" s="27" customFormat="1" ht="18.75" customHeight="1" x14ac:dyDescent="0.25">
      <c r="A202" s="50" t="s">
        <v>410</v>
      </c>
      <c r="B202" s="50" t="s">
        <v>411</v>
      </c>
      <c r="C202" s="50" t="s">
        <v>58</v>
      </c>
      <c r="D202" s="51">
        <f>VLOOKUP(A202,'[1]Cuadro Control'!C238:J2132,8,FALSE)</f>
        <v>1212623361.2117648</v>
      </c>
      <c r="E202" s="52">
        <f t="shared" si="103"/>
        <v>0.22841447185013161</v>
      </c>
      <c r="F202" s="53">
        <v>46319</v>
      </c>
      <c r="G202" s="53">
        <v>46336</v>
      </c>
      <c r="H202" s="52">
        <f t="shared" si="107"/>
        <v>0</v>
      </c>
      <c r="I202" s="52">
        <f t="shared" si="107"/>
        <v>0</v>
      </c>
      <c r="J202" s="52">
        <f t="shared" si="107"/>
        <v>0</v>
      </c>
      <c r="K202" s="52">
        <f t="shared" si="107"/>
        <v>0</v>
      </c>
      <c r="L202" s="52">
        <f t="shared" si="107"/>
        <v>0</v>
      </c>
      <c r="M202" s="52">
        <f t="shared" si="107"/>
        <v>0</v>
      </c>
      <c r="N202" s="52">
        <f t="shared" si="107"/>
        <v>0</v>
      </c>
      <c r="O202" s="52">
        <f t="shared" si="107"/>
        <v>0</v>
      </c>
      <c r="P202" s="52">
        <f t="shared" si="107"/>
        <v>0</v>
      </c>
      <c r="Q202" s="52">
        <f t="shared" si="107"/>
        <v>0</v>
      </c>
      <c r="R202" s="52">
        <f t="shared" si="107"/>
        <v>0</v>
      </c>
      <c r="S202" s="52">
        <f t="shared" si="107"/>
        <v>0</v>
      </c>
      <c r="T202" s="52">
        <f t="shared" si="107"/>
        <v>0</v>
      </c>
      <c r="U202" s="52">
        <f t="shared" si="107"/>
        <v>0</v>
      </c>
      <c r="V202" s="52">
        <f t="shared" si="107"/>
        <v>0</v>
      </c>
      <c r="W202" s="52">
        <f t="shared" si="107"/>
        <v>0</v>
      </c>
      <c r="X202" s="52">
        <f t="shared" si="108"/>
        <v>0.3888888888888889</v>
      </c>
      <c r="Y202" s="52">
        <f t="shared" si="108"/>
        <v>0.77777777777777779</v>
      </c>
      <c r="Z202" s="52">
        <f t="shared" si="108"/>
        <v>1</v>
      </c>
      <c r="AA202" s="52">
        <f t="shared" si="108"/>
        <v>1</v>
      </c>
      <c r="AB202" s="52">
        <f t="shared" si="108"/>
        <v>1</v>
      </c>
      <c r="AC202" s="52">
        <f t="shared" si="108"/>
        <v>1</v>
      </c>
      <c r="AD202" s="52">
        <f t="shared" si="108"/>
        <v>1</v>
      </c>
      <c r="AE202" s="52">
        <f t="shared" si="108"/>
        <v>1</v>
      </c>
      <c r="AF202" s="52">
        <f t="shared" si="108"/>
        <v>1</v>
      </c>
      <c r="AG202" s="52">
        <f t="shared" si="108"/>
        <v>1</v>
      </c>
      <c r="AH202" s="52">
        <f t="shared" si="108"/>
        <v>1</v>
      </c>
      <c r="AI202" s="52">
        <f t="shared" si="108"/>
        <v>1</v>
      </c>
      <c r="AJ202" s="52">
        <f t="shared" si="108"/>
        <v>1</v>
      </c>
      <c r="AK202" s="52">
        <f t="shared" si="108"/>
        <v>1</v>
      </c>
      <c r="AL202" s="52">
        <f t="shared" si="108"/>
        <v>1</v>
      </c>
      <c r="AM202" s="52">
        <f t="shared" si="108"/>
        <v>1</v>
      </c>
      <c r="AN202" s="52">
        <f t="shared" si="108"/>
        <v>1</v>
      </c>
      <c r="AO202" s="52">
        <f t="shared" si="105"/>
        <v>1</v>
      </c>
      <c r="AP202" s="52">
        <f t="shared" si="105"/>
        <v>1</v>
      </c>
      <c r="AQ202" s="52">
        <f t="shared" si="105"/>
        <v>1</v>
      </c>
      <c r="AR202" s="52">
        <f t="shared" si="105"/>
        <v>1</v>
      </c>
      <c r="AS202" s="52">
        <f t="shared" si="105"/>
        <v>1</v>
      </c>
      <c r="AT202" s="52">
        <f t="shared" si="105"/>
        <v>1</v>
      </c>
      <c r="AU202" s="52">
        <f t="shared" si="105"/>
        <v>1</v>
      </c>
      <c r="AV202" s="52">
        <f t="shared" si="105"/>
        <v>1</v>
      </c>
      <c r="AW202" s="52">
        <f t="shared" si="105"/>
        <v>1</v>
      </c>
      <c r="AX202" s="52">
        <f t="shared" si="105"/>
        <v>1</v>
      </c>
      <c r="AY202" s="52">
        <f t="shared" si="105"/>
        <v>1</v>
      </c>
      <c r="AZ202" s="52">
        <f t="shared" si="105"/>
        <v>1</v>
      </c>
      <c r="BA202" s="52">
        <f t="shared" si="105"/>
        <v>1</v>
      </c>
      <c r="BB202" s="52">
        <f t="shared" si="105"/>
        <v>1</v>
      </c>
      <c r="BC202" s="52">
        <f t="shared" si="105"/>
        <v>1</v>
      </c>
      <c r="BD202" s="52">
        <f t="shared" si="105"/>
        <v>1</v>
      </c>
      <c r="BE202" s="52">
        <f t="shared" si="105"/>
        <v>1</v>
      </c>
      <c r="BF202" s="52">
        <f t="shared" si="105"/>
        <v>1</v>
      </c>
      <c r="BG202" s="52">
        <f t="shared" si="106"/>
        <v>1</v>
      </c>
      <c r="BH202" s="52">
        <f t="shared" si="106"/>
        <v>1</v>
      </c>
      <c r="BI202" s="52">
        <f t="shared" si="106"/>
        <v>1</v>
      </c>
      <c r="BJ202" s="52">
        <f t="shared" si="106"/>
        <v>1</v>
      </c>
      <c r="BK202" s="52">
        <f t="shared" si="106"/>
        <v>1</v>
      </c>
      <c r="BL202" s="52">
        <f t="shared" si="106"/>
        <v>1</v>
      </c>
      <c r="BM202" s="52">
        <f t="shared" si="106"/>
        <v>1</v>
      </c>
      <c r="BN202" s="52">
        <f t="shared" si="106"/>
        <v>1</v>
      </c>
      <c r="BO202" s="32">
        <f t="shared" ref="BO202:BO265" si="109">+AVERAGE(H202:BN202)</f>
        <v>0.71468926553672329</v>
      </c>
    </row>
    <row r="203" spans="1:67" s="27" customFormat="1" ht="18.75" customHeight="1" x14ac:dyDescent="0.25">
      <c r="A203" s="50" t="s">
        <v>412</v>
      </c>
      <c r="B203" s="50" t="s">
        <v>413</v>
      </c>
      <c r="C203" s="50" t="s">
        <v>126</v>
      </c>
      <c r="D203" s="51">
        <f>VLOOKUP(A203,'[1]Cuadro Control'!C239:J2133,8,FALSE)</f>
        <v>0</v>
      </c>
      <c r="E203" s="52">
        <f t="shared" si="103"/>
        <v>0</v>
      </c>
      <c r="F203" s="53">
        <v>46336</v>
      </c>
      <c r="G203" s="53">
        <v>46339</v>
      </c>
      <c r="H203" s="52">
        <f t="shared" si="107"/>
        <v>0</v>
      </c>
      <c r="I203" s="52">
        <f t="shared" si="107"/>
        <v>0</v>
      </c>
      <c r="J203" s="52">
        <f t="shared" si="107"/>
        <v>0</v>
      </c>
      <c r="K203" s="52">
        <f t="shared" si="107"/>
        <v>0</v>
      </c>
      <c r="L203" s="52">
        <f t="shared" si="107"/>
        <v>0</v>
      </c>
      <c r="M203" s="52">
        <f t="shared" si="107"/>
        <v>0</v>
      </c>
      <c r="N203" s="52">
        <f t="shared" si="107"/>
        <v>0</v>
      </c>
      <c r="O203" s="52">
        <f t="shared" si="107"/>
        <v>0</v>
      </c>
      <c r="P203" s="52">
        <f t="shared" si="107"/>
        <v>0</v>
      </c>
      <c r="Q203" s="52">
        <f t="shared" si="107"/>
        <v>0</v>
      </c>
      <c r="R203" s="52">
        <f t="shared" si="107"/>
        <v>0</v>
      </c>
      <c r="S203" s="52">
        <f t="shared" si="107"/>
        <v>0</v>
      </c>
      <c r="T203" s="52">
        <f t="shared" si="107"/>
        <v>0</v>
      </c>
      <c r="U203" s="52">
        <f t="shared" si="107"/>
        <v>0</v>
      </c>
      <c r="V203" s="52">
        <f t="shared" si="107"/>
        <v>0</v>
      </c>
      <c r="W203" s="52">
        <f t="shared" si="107"/>
        <v>0</v>
      </c>
      <c r="X203" s="52">
        <f t="shared" si="108"/>
        <v>0</v>
      </c>
      <c r="Y203" s="52">
        <f t="shared" si="108"/>
        <v>0</v>
      </c>
      <c r="Z203" s="52">
        <f t="shared" si="108"/>
        <v>1</v>
      </c>
      <c r="AA203" s="52">
        <f t="shared" si="108"/>
        <v>1</v>
      </c>
      <c r="AB203" s="52">
        <f t="shared" si="108"/>
        <v>1</v>
      </c>
      <c r="AC203" s="52">
        <f t="shared" si="108"/>
        <v>1</v>
      </c>
      <c r="AD203" s="52">
        <f t="shared" si="108"/>
        <v>1</v>
      </c>
      <c r="AE203" s="52">
        <f t="shared" si="108"/>
        <v>1</v>
      </c>
      <c r="AF203" s="52">
        <f t="shared" si="108"/>
        <v>1</v>
      </c>
      <c r="AG203" s="52">
        <f t="shared" si="108"/>
        <v>1</v>
      </c>
      <c r="AH203" s="52">
        <f t="shared" si="108"/>
        <v>1</v>
      </c>
      <c r="AI203" s="52">
        <f t="shared" si="108"/>
        <v>1</v>
      </c>
      <c r="AJ203" s="52">
        <f t="shared" si="108"/>
        <v>1</v>
      </c>
      <c r="AK203" s="52">
        <f t="shared" si="108"/>
        <v>1</v>
      </c>
      <c r="AL203" s="52">
        <f t="shared" si="108"/>
        <v>1</v>
      </c>
      <c r="AM203" s="52">
        <f t="shared" si="108"/>
        <v>1</v>
      </c>
      <c r="AN203" s="52">
        <f t="shared" si="108"/>
        <v>1</v>
      </c>
      <c r="AO203" s="52">
        <f t="shared" si="105"/>
        <v>1</v>
      </c>
      <c r="AP203" s="52">
        <f t="shared" si="105"/>
        <v>1</v>
      </c>
      <c r="AQ203" s="52">
        <f t="shared" si="105"/>
        <v>1</v>
      </c>
      <c r="AR203" s="52">
        <f t="shared" si="105"/>
        <v>1</v>
      </c>
      <c r="AS203" s="52">
        <f t="shared" si="105"/>
        <v>1</v>
      </c>
      <c r="AT203" s="52">
        <f t="shared" si="105"/>
        <v>1</v>
      </c>
      <c r="AU203" s="52">
        <f t="shared" si="105"/>
        <v>1</v>
      </c>
      <c r="AV203" s="52">
        <f t="shared" si="105"/>
        <v>1</v>
      </c>
      <c r="AW203" s="52">
        <f t="shared" si="105"/>
        <v>1</v>
      </c>
      <c r="AX203" s="52">
        <f t="shared" si="105"/>
        <v>1</v>
      </c>
      <c r="AY203" s="52">
        <f t="shared" si="105"/>
        <v>1</v>
      </c>
      <c r="AZ203" s="52">
        <f t="shared" si="105"/>
        <v>1</v>
      </c>
      <c r="BA203" s="52">
        <f t="shared" si="105"/>
        <v>1</v>
      </c>
      <c r="BB203" s="52">
        <f t="shared" si="105"/>
        <v>1</v>
      </c>
      <c r="BC203" s="52">
        <f t="shared" si="105"/>
        <v>1</v>
      </c>
      <c r="BD203" s="52">
        <f t="shared" si="105"/>
        <v>1</v>
      </c>
      <c r="BE203" s="52">
        <f t="shared" si="105"/>
        <v>1</v>
      </c>
      <c r="BF203" s="52">
        <f t="shared" si="105"/>
        <v>1</v>
      </c>
      <c r="BG203" s="52">
        <f t="shared" si="106"/>
        <v>1</v>
      </c>
      <c r="BH203" s="52">
        <f t="shared" si="106"/>
        <v>1</v>
      </c>
      <c r="BI203" s="52">
        <f t="shared" si="106"/>
        <v>1</v>
      </c>
      <c r="BJ203" s="52">
        <f t="shared" si="106"/>
        <v>1</v>
      </c>
      <c r="BK203" s="52">
        <f t="shared" si="106"/>
        <v>1</v>
      </c>
      <c r="BL203" s="52">
        <f t="shared" si="106"/>
        <v>1</v>
      </c>
      <c r="BM203" s="52">
        <f t="shared" si="106"/>
        <v>1</v>
      </c>
      <c r="BN203" s="52">
        <f t="shared" si="106"/>
        <v>1</v>
      </c>
      <c r="BO203" s="32">
        <f t="shared" si="109"/>
        <v>0.69491525423728817</v>
      </c>
    </row>
    <row r="204" spans="1:67" s="27" customFormat="1" ht="18.75" customHeight="1" x14ac:dyDescent="0.25">
      <c r="A204" s="55" t="s">
        <v>414</v>
      </c>
      <c r="B204" s="55" t="s">
        <v>415</v>
      </c>
      <c r="C204" s="55" t="s">
        <v>14</v>
      </c>
      <c r="D204" s="56">
        <f>VLOOKUP(A204,'[1]Cuadro Control'!C240:J2134,8,FALSE)</f>
        <v>0</v>
      </c>
      <c r="E204" s="57">
        <f t="shared" si="103"/>
        <v>0</v>
      </c>
      <c r="F204" s="58">
        <v>46336</v>
      </c>
      <c r="G204" s="58">
        <v>46336</v>
      </c>
      <c r="H204" s="57">
        <f t="shared" si="107"/>
        <v>0</v>
      </c>
      <c r="I204" s="57">
        <f t="shared" si="107"/>
        <v>0</v>
      </c>
      <c r="J204" s="57">
        <f t="shared" si="107"/>
        <v>0</v>
      </c>
      <c r="K204" s="57">
        <f t="shared" si="107"/>
        <v>0</v>
      </c>
      <c r="L204" s="57">
        <f t="shared" si="107"/>
        <v>0</v>
      </c>
      <c r="M204" s="57">
        <f t="shared" si="107"/>
        <v>0</v>
      </c>
      <c r="N204" s="57">
        <f t="shared" si="107"/>
        <v>0</v>
      </c>
      <c r="O204" s="57">
        <f t="shared" si="107"/>
        <v>0</v>
      </c>
      <c r="P204" s="57">
        <f t="shared" si="107"/>
        <v>0</v>
      </c>
      <c r="Q204" s="57">
        <f t="shared" si="107"/>
        <v>0</v>
      </c>
      <c r="R204" s="57">
        <f t="shared" si="107"/>
        <v>0</v>
      </c>
      <c r="S204" s="57">
        <f t="shared" si="107"/>
        <v>0</v>
      </c>
      <c r="T204" s="57">
        <f t="shared" si="107"/>
        <v>0</v>
      </c>
      <c r="U204" s="57">
        <f t="shared" si="107"/>
        <v>0</v>
      </c>
      <c r="V204" s="57">
        <f t="shared" si="107"/>
        <v>0</v>
      </c>
      <c r="W204" s="57">
        <f t="shared" si="107"/>
        <v>0</v>
      </c>
      <c r="X204" s="57">
        <f t="shared" si="108"/>
        <v>0</v>
      </c>
      <c r="Y204" s="57">
        <f t="shared" si="108"/>
        <v>0</v>
      </c>
      <c r="Z204" s="57">
        <f t="shared" si="108"/>
        <v>1</v>
      </c>
      <c r="AA204" s="57">
        <f t="shared" si="108"/>
        <v>1</v>
      </c>
      <c r="AB204" s="57">
        <f t="shared" si="108"/>
        <v>1</v>
      </c>
      <c r="AC204" s="57">
        <f t="shared" si="108"/>
        <v>1</v>
      </c>
      <c r="AD204" s="57">
        <f t="shared" si="108"/>
        <v>1</v>
      </c>
      <c r="AE204" s="57">
        <f t="shared" si="108"/>
        <v>1</v>
      </c>
      <c r="AF204" s="57">
        <f t="shared" si="108"/>
        <v>1</v>
      </c>
      <c r="AG204" s="57">
        <f t="shared" si="108"/>
        <v>1</v>
      </c>
      <c r="AH204" s="57">
        <f t="shared" si="108"/>
        <v>1</v>
      </c>
      <c r="AI204" s="57">
        <f t="shared" si="108"/>
        <v>1</v>
      </c>
      <c r="AJ204" s="57">
        <f t="shared" si="108"/>
        <v>1</v>
      </c>
      <c r="AK204" s="57">
        <f t="shared" si="108"/>
        <v>1</v>
      </c>
      <c r="AL204" s="57">
        <f t="shared" si="108"/>
        <v>1</v>
      </c>
      <c r="AM204" s="57">
        <f t="shared" si="108"/>
        <v>1</v>
      </c>
      <c r="AN204" s="57">
        <f t="shared" si="108"/>
        <v>1</v>
      </c>
      <c r="AO204" s="57">
        <f t="shared" si="105"/>
        <v>1</v>
      </c>
      <c r="AP204" s="57">
        <f t="shared" si="105"/>
        <v>1</v>
      </c>
      <c r="AQ204" s="57">
        <f t="shared" si="105"/>
        <v>1</v>
      </c>
      <c r="AR204" s="57">
        <f t="shared" si="105"/>
        <v>1</v>
      </c>
      <c r="AS204" s="57">
        <f t="shared" si="105"/>
        <v>1</v>
      </c>
      <c r="AT204" s="57">
        <f t="shared" si="105"/>
        <v>1</v>
      </c>
      <c r="AU204" s="57">
        <f t="shared" si="105"/>
        <v>1</v>
      </c>
      <c r="AV204" s="57">
        <f t="shared" si="105"/>
        <v>1</v>
      </c>
      <c r="AW204" s="57">
        <f t="shared" si="105"/>
        <v>1</v>
      </c>
      <c r="AX204" s="57">
        <f t="shared" si="105"/>
        <v>1</v>
      </c>
      <c r="AY204" s="57">
        <f t="shared" si="105"/>
        <v>1</v>
      </c>
      <c r="AZ204" s="57">
        <f t="shared" si="105"/>
        <v>1</v>
      </c>
      <c r="BA204" s="57">
        <f t="shared" si="105"/>
        <v>1</v>
      </c>
      <c r="BB204" s="57">
        <f t="shared" si="105"/>
        <v>1</v>
      </c>
      <c r="BC204" s="57">
        <f t="shared" si="105"/>
        <v>1</v>
      </c>
      <c r="BD204" s="57">
        <f t="shared" si="105"/>
        <v>1</v>
      </c>
      <c r="BE204" s="57">
        <f t="shared" si="105"/>
        <v>1</v>
      </c>
      <c r="BF204" s="57">
        <f t="shared" si="105"/>
        <v>1</v>
      </c>
      <c r="BG204" s="57">
        <f t="shared" si="106"/>
        <v>1</v>
      </c>
      <c r="BH204" s="57">
        <f t="shared" si="106"/>
        <v>1</v>
      </c>
      <c r="BI204" s="57">
        <f t="shared" si="106"/>
        <v>1</v>
      </c>
      <c r="BJ204" s="57">
        <f t="shared" si="106"/>
        <v>1</v>
      </c>
      <c r="BK204" s="57">
        <f t="shared" si="106"/>
        <v>1</v>
      </c>
      <c r="BL204" s="57">
        <f t="shared" si="106"/>
        <v>1</v>
      </c>
      <c r="BM204" s="57">
        <f t="shared" si="106"/>
        <v>1</v>
      </c>
      <c r="BN204" s="57">
        <f t="shared" si="106"/>
        <v>1</v>
      </c>
      <c r="BO204" s="32">
        <f t="shared" si="109"/>
        <v>0.69491525423728817</v>
      </c>
    </row>
    <row r="205" spans="1:67" s="27" customFormat="1" ht="18.75" customHeight="1" x14ac:dyDescent="0.25">
      <c r="A205" s="50" t="s">
        <v>416</v>
      </c>
      <c r="B205" s="50" t="s">
        <v>417</v>
      </c>
      <c r="C205" s="50" t="s">
        <v>111</v>
      </c>
      <c r="D205" s="51">
        <f>VLOOKUP(A205,'[1]Cuadro Control'!C241:J2135,8,FALSE)</f>
        <v>1230815225.9452939</v>
      </c>
      <c r="E205" s="52">
        <f t="shared" si="103"/>
        <v>0.2318411625341423</v>
      </c>
      <c r="F205" s="53">
        <v>46339</v>
      </c>
      <c r="G205" s="53">
        <v>46340</v>
      </c>
      <c r="H205" s="52">
        <f t="shared" si="107"/>
        <v>0</v>
      </c>
      <c r="I205" s="52">
        <f t="shared" si="107"/>
        <v>0</v>
      </c>
      <c r="J205" s="52">
        <f t="shared" si="107"/>
        <v>0</v>
      </c>
      <c r="K205" s="52">
        <f t="shared" si="107"/>
        <v>0</v>
      </c>
      <c r="L205" s="52">
        <f t="shared" si="107"/>
        <v>0</v>
      </c>
      <c r="M205" s="52">
        <f t="shared" si="107"/>
        <v>0</v>
      </c>
      <c r="N205" s="52">
        <f t="shared" si="107"/>
        <v>0</v>
      </c>
      <c r="O205" s="52">
        <f t="shared" si="107"/>
        <v>0</v>
      </c>
      <c r="P205" s="52">
        <f t="shared" si="107"/>
        <v>0</v>
      </c>
      <c r="Q205" s="52">
        <f t="shared" si="107"/>
        <v>0</v>
      </c>
      <c r="R205" s="52">
        <f t="shared" si="107"/>
        <v>0</v>
      </c>
      <c r="S205" s="52">
        <f t="shared" si="107"/>
        <v>0</v>
      </c>
      <c r="T205" s="52">
        <f t="shared" si="107"/>
        <v>0</v>
      </c>
      <c r="U205" s="52">
        <f t="shared" si="107"/>
        <v>0</v>
      </c>
      <c r="V205" s="52">
        <f t="shared" si="107"/>
        <v>0</v>
      </c>
      <c r="W205" s="52">
        <f t="shared" si="107"/>
        <v>0</v>
      </c>
      <c r="X205" s="52">
        <f t="shared" si="108"/>
        <v>0</v>
      </c>
      <c r="Y205" s="52">
        <f t="shared" si="108"/>
        <v>0</v>
      </c>
      <c r="Z205" s="52">
        <f t="shared" si="108"/>
        <v>0.5</v>
      </c>
      <c r="AA205" s="52">
        <f t="shared" si="108"/>
        <v>1</v>
      </c>
      <c r="AB205" s="52">
        <f t="shared" si="108"/>
        <v>1</v>
      </c>
      <c r="AC205" s="52">
        <f t="shared" si="108"/>
        <v>1</v>
      </c>
      <c r="AD205" s="52">
        <f t="shared" si="108"/>
        <v>1</v>
      </c>
      <c r="AE205" s="52">
        <f t="shared" si="108"/>
        <v>1</v>
      </c>
      <c r="AF205" s="52">
        <f t="shared" si="108"/>
        <v>1</v>
      </c>
      <c r="AG205" s="52">
        <f t="shared" si="108"/>
        <v>1</v>
      </c>
      <c r="AH205" s="52">
        <f t="shared" si="108"/>
        <v>1</v>
      </c>
      <c r="AI205" s="52">
        <f t="shared" si="108"/>
        <v>1</v>
      </c>
      <c r="AJ205" s="52">
        <f t="shared" si="108"/>
        <v>1</v>
      </c>
      <c r="AK205" s="52">
        <f t="shared" si="108"/>
        <v>1</v>
      </c>
      <c r="AL205" s="52">
        <f t="shared" si="108"/>
        <v>1</v>
      </c>
      <c r="AM205" s="52">
        <f t="shared" si="108"/>
        <v>1</v>
      </c>
      <c r="AN205" s="52">
        <f t="shared" si="108"/>
        <v>1</v>
      </c>
      <c r="AO205" s="52">
        <f t="shared" si="105"/>
        <v>1</v>
      </c>
      <c r="AP205" s="52">
        <f t="shared" si="105"/>
        <v>1</v>
      </c>
      <c r="AQ205" s="52">
        <f t="shared" si="105"/>
        <v>1</v>
      </c>
      <c r="AR205" s="52">
        <f t="shared" si="105"/>
        <v>1</v>
      </c>
      <c r="AS205" s="52">
        <f t="shared" si="105"/>
        <v>1</v>
      </c>
      <c r="AT205" s="52">
        <f t="shared" si="105"/>
        <v>1</v>
      </c>
      <c r="AU205" s="52">
        <f t="shared" si="105"/>
        <v>1</v>
      </c>
      <c r="AV205" s="52">
        <f t="shared" si="105"/>
        <v>1</v>
      </c>
      <c r="AW205" s="52">
        <f t="shared" si="105"/>
        <v>1</v>
      </c>
      <c r="AX205" s="52">
        <f t="shared" si="105"/>
        <v>1</v>
      </c>
      <c r="AY205" s="52">
        <f t="shared" si="105"/>
        <v>1</v>
      </c>
      <c r="AZ205" s="52">
        <f t="shared" si="105"/>
        <v>1</v>
      </c>
      <c r="BA205" s="52">
        <f t="shared" si="105"/>
        <v>1</v>
      </c>
      <c r="BB205" s="52">
        <f t="shared" si="105"/>
        <v>1</v>
      </c>
      <c r="BC205" s="52">
        <f t="shared" si="105"/>
        <v>1</v>
      </c>
      <c r="BD205" s="52">
        <f t="shared" si="105"/>
        <v>1</v>
      </c>
      <c r="BE205" s="52">
        <f t="shared" si="105"/>
        <v>1</v>
      </c>
      <c r="BF205" s="52">
        <f t="shared" si="105"/>
        <v>1</v>
      </c>
      <c r="BG205" s="52">
        <f t="shared" si="106"/>
        <v>1</v>
      </c>
      <c r="BH205" s="52">
        <f t="shared" si="106"/>
        <v>1</v>
      </c>
      <c r="BI205" s="52">
        <f t="shared" si="106"/>
        <v>1</v>
      </c>
      <c r="BJ205" s="52">
        <f t="shared" si="106"/>
        <v>1</v>
      </c>
      <c r="BK205" s="52">
        <f t="shared" si="106"/>
        <v>1</v>
      </c>
      <c r="BL205" s="52">
        <f t="shared" si="106"/>
        <v>1</v>
      </c>
      <c r="BM205" s="52">
        <f t="shared" si="106"/>
        <v>1</v>
      </c>
      <c r="BN205" s="52">
        <f t="shared" si="106"/>
        <v>1</v>
      </c>
      <c r="BO205" s="32">
        <f t="shared" si="109"/>
        <v>0.68644067796610164</v>
      </c>
    </row>
    <row r="206" spans="1:67" s="27" customFormat="1" ht="18.75" customHeight="1" x14ac:dyDescent="0.25">
      <c r="A206" s="50" t="s">
        <v>418</v>
      </c>
      <c r="B206" s="50" t="s">
        <v>419</v>
      </c>
      <c r="C206" s="50" t="s">
        <v>238</v>
      </c>
      <c r="D206" s="51">
        <f>VLOOKUP(A206,'[1]Cuadro Control'!C242:J2136,8,FALSE)</f>
        <v>0</v>
      </c>
      <c r="E206" s="52">
        <f t="shared" si="103"/>
        <v>0</v>
      </c>
      <c r="F206" s="53">
        <v>46340</v>
      </c>
      <c r="G206" s="53">
        <v>46349</v>
      </c>
      <c r="H206" s="52">
        <f t="shared" si="107"/>
        <v>0</v>
      </c>
      <c r="I206" s="52">
        <f t="shared" si="107"/>
        <v>0</v>
      </c>
      <c r="J206" s="52">
        <f t="shared" si="107"/>
        <v>0</v>
      </c>
      <c r="K206" s="52">
        <f t="shared" si="107"/>
        <v>0</v>
      </c>
      <c r="L206" s="52">
        <f t="shared" si="107"/>
        <v>0</v>
      </c>
      <c r="M206" s="52">
        <f t="shared" si="107"/>
        <v>0</v>
      </c>
      <c r="N206" s="52">
        <f t="shared" si="107"/>
        <v>0</v>
      </c>
      <c r="O206" s="52">
        <f t="shared" si="107"/>
        <v>0</v>
      </c>
      <c r="P206" s="52">
        <f t="shared" si="107"/>
        <v>0</v>
      </c>
      <c r="Q206" s="52">
        <f t="shared" si="107"/>
        <v>0</v>
      </c>
      <c r="R206" s="52">
        <f t="shared" si="107"/>
        <v>0</v>
      </c>
      <c r="S206" s="52">
        <f t="shared" si="107"/>
        <v>0</v>
      </c>
      <c r="T206" s="52">
        <f t="shared" si="107"/>
        <v>0</v>
      </c>
      <c r="U206" s="52">
        <f t="shared" si="107"/>
        <v>0</v>
      </c>
      <c r="V206" s="52">
        <f t="shared" si="107"/>
        <v>0</v>
      </c>
      <c r="W206" s="52">
        <f t="shared" si="107"/>
        <v>0</v>
      </c>
      <c r="X206" s="52">
        <f t="shared" si="108"/>
        <v>0</v>
      </c>
      <c r="Y206" s="52">
        <f t="shared" si="108"/>
        <v>0</v>
      </c>
      <c r="Z206" s="52">
        <f t="shared" si="108"/>
        <v>0</v>
      </c>
      <c r="AA206" s="52">
        <f t="shared" si="108"/>
        <v>0.7</v>
      </c>
      <c r="AB206" s="52">
        <f t="shared" si="108"/>
        <v>1</v>
      </c>
      <c r="AC206" s="52">
        <f t="shared" si="108"/>
        <v>1</v>
      </c>
      <c r="AD206" s="52">
        <f t="shared" si="108"/>
        <v>1</v>
      </c>
      <c r="AE206" s="52">
        <f t="shared" si="108"/>
        <v>1</v>
      </c>
      <c r="AF206" s="52">
        <f t="shared" si="108"/>
        <v>1</v>
      </c>
      <c r="AG206" s="52">
        <f t="shared" si="108"/>
        <v>1</v>
      </c>
      <c r="AH206" s="52">
        <f t="shared" si="108"/>
        <v>1</v>
      </c>
      <c r="AI206" s="52">
        <f t="shared" si="108"/>
        <v>1</v>
      </c>
      <c r="AJ206" s="52">
        <f t="shared" si="108"/>
        <v>1</v>
      </c>
      <c r="AK206" s="52">
        <f t="shared" si="108"/>
        <v>1</v>
      </c>
      <c r="AL206" s="52">
        <f t="shared" si="108"/>
        <v>1</v>
      </c>
      <c r="AM206" s="52">
        <f t="shared" si="108"/>
        <v>1</v>
      </c>
      <c r="AN206" s="52">
        <f t="shared" si="108"/>
        <v>1</v>
      </c>
      <c r="AO206" s="52">
        <f t="shared" si="105"/>
        <v>1</v>
      </c>
      <c r="AP206" s="52">
        <f t="shared" si="105"/>
        <v>1</v>
      </c>
      <c r="AQ206" s="52">
        <f t="shared" si="105"/>
        <v>1</v>
      </c>
      <c r="AR206" s="52">
        <f t="shared" si="105"/>
        <v>1</v>
      </c>
      <c r="AS206" s="52">
        <f t="shared" si="105"/>
        <v>1</v>
      </c>
      <c r="AT206" s="52">
        <f t="shared" si="105"/>
        <v>1</v>
      </c>
      <c r="AU206" s="52">
        <f t="shared" si="105"/>
        <v>1</v>
      </c>
      <c r="AV206" s="52">
        <f t="shared" si="105"/>
        <v>1</v>
      </c>
      <c r="AW206" s="52">
        <f t="shared" si="105"/>
        <v>1</v>
      </c>
      <c r="AX206" s="52">
        <f t="shared" si="105"/>
        <v>1</v>
      </c>
      <c r="AY206" s="52">
        <f t="shared" si="105"/>
        <v>1</v>
      </c>
      <c r="AZ206" s="52">
        <f t="shared" si="105"/>
        <v>1</v>
      </c>
      <c r="BA206" s="52">
        <f t="shared" si="105"/>
        <v>1</v>
      </c>
      <c r="BB206" s="52">
        <f t="shared" si="105"/>
        <v>1</v>
      </c>
      <c r="BC206" s="52">
        <f t="shared" si="105"/>
        <v>1</v>
      </c>
      <c r="BD206" s="52">
        <f t="shared" si="105"/>
        <v>1</v>
      </c>
      <c r="BE206" s="52">
        <f t="shared" si="105"/>
        <v>1</v>
      </c>
      <c r="BF206" s="52">
        <f t="shared" si="105"/>
        <v>1</v>
      </c>
      <c r="BG206" s="52">
        <f t="shared" si="106"/>
        <v>1</v>
      </c>
      <c r="BH206" s="52">
        <f t="shared" si="106"/>
        <v>1</v>
      </c>
      <c r="BI206" s="52">
        <f t="shared" si="106"/>
        <v>1</v>
      </c>
      <c r="BJ206" s="52">
        <f t="shared" si="106"/>
        <v>1</v>
      </c>
      <c r="BK206" s="52">
        <f t="shared" si="106"/>
        <v>1</v>
      </c>
      <c r="BL206" s="52">
        <f t="shared" si="106"/>
        <v>1</v>
      </c>
      <c r="BM206" s="52">
        <f t="shared" si="106"/>
        <v>1</v>
      </c>
      <c r="BN206" s="52">
        <f t="shared" si="106"/>
        <v>1</v>
      </c>
      <c r="BO206" s="32">
        <f t="shared" si="109"/>
        <v>0.67288135593220344</v>
      </c>
    </row>
    <row r="207" spans="1:67" s="27" customFormat="1" ht="18.75" customHeight="1" x14ac:dyDescent="0.25">
      <c r="A207" s="50" t="s">
        <v>420</v>
      </c>
      <c r="B207" s="50" t="s">
        <v>421</v>
      </c>
      <c r="C207" s="50" t="s">
        <v>126</v>
      </c>
      <c r="D207" s="51">
        <f>VLOOKUP(A207,'[1]Cuadro Control'!C243:J2137,8,FALSE)</f>
        <v>52736347.43270281</v>
      </c>
      <c r="E207" s="52">
        <f t="shared" si="103"/>
        <v>9.933624348213644E-3</v>
      </c>
      <c r="F207" s="53">
        <v>46349</v>
      </c>
      <c r="G207" s="53">
        <v>46352</v>
      </c>
      <c r="H207" s="52">
        <f t="shared" si="107"/>
        <v>0</v>
      </c>
      <c r="I207" s="52">
        <f t="shared" si="107"/>
        <v>0</v>
      </c>
      <c r="J207" s="52">
        <f t="shared" si="107"/>
        <v>0</v>
      </c>
      <c r="K207" s="52">
        <f t="shared" si="107"/>
        <v>0</v>
      </c>
      <c r="L207" s="52">
        <f t="shared" si="107"/>
        <v>0</v>
      </c>
      <c r="M207" s="52">
        <f t="shared" si="107"/>
        <v>0</v>
      </c>
      <c r="N207" s="52">
        <f t="shared" si="107"/>
        <v>0</v>
      </c>
      <c r="O207" s="52">
        <f t="shared" si="107"/>
        <v>0</v>
      </c>
      <c r="P207" s="52">
        <f t="shared" si="107"/>
        <v>0</v>
      </c>
      <c r="Q207" s="52">
        <f t="shared" si="107"/>
        <v>0</v>
      </c>
      <c r="R207" s="52">
        <f t="shared" si="107"/>
        <v>0</v>
      </c>
      <c r="S207" s="52">
        <f t="shared" si="107"/>
        <v>0</v>
      </c>
      <c r="T207" s="52">
        <f t="shared" si="107"/>
        <v>0</v>
      </c>
      <c r="U207" s="52">
        <f t="shared" si="107"/>
        <v>0</v>
      </c>
      <c r="V207" s="52">
        <f t="shared" si="107"/>
        <v>0</v>
      </c>
      <c r="W207" s="52">
        <f t="shared" si="107"/>
        <v>0</v>
      </c>
      <c r="X207" s="52">
        <f t="shared" si="108"/>
        <v>0</v>
      </c>
      <c r="Y207" s="52">
        <f t="shared" si="108"/>
        <v>0</v>
      </c>
      <c r="Z207" s="52">
        <f t="shared" si="108"/>
        <v>0</v>
      </c>
      <c r="AA207" s="52">
        <f t="shared" si="108"/>
        <v>0</v>
      </c>
      <c r="AB207" s="52">
        <f t="shared" si="108"/>
        <v>1</v>
      </c>
      <c r="AC207" s="52">
        <f t="shared" si="108"/>
        <v>1</v>
      </c>
      <c r="AD207" s="52">
        <f t="shared" si="108"/>
        <v>1</v>
      </c>
      <c r="AE207" s="52">
        <f t="shared" si="108"/>
        <v>1</v>
      </c>
      <c r="AF207" s="52">
        <f t="shared" si="108"/>
        <v>1</v>
      </c>
      <c r="AG207" s="52">
        <f t="shared" si="108"/>
        <v>1</v>
      </c>
      <c r="AH207" s="52">
        <f t="shared" si="108"/>
        <v>1</v>
      </c>
      <c r="AI207" s="52">
        <f t="shared" si="108"/>
        <v>1</v>
      </c>
      <c r="AJ207" s="52">
        <f t="shared" si="108"/>
        <v>1</v>
      </c>
      <c r="AK207" s="52">
        <f t="shared" si="108"/>
        <v>1</v>
      </c>
      <c r="AL207" s="52">
        <f t="shared" si="108"/>
        <v>1</v>
      </c>
      <c r="AM207" s="52">
        <f t="shared" si="108"/>
        <v>1</v>
      </c>
      <c r="AN207" s="52">
        <f t="shared" si="108"/>
        <v>1</v>
      </c>
      <c r="AO207" s="52">
        <f t="shared" si="105"/>
        <v>1</v>
      </c>
      <c r="AP207" s="52">
        <f t="shared" si="105"/>
        <v>1</v>
      </c>
      <c r="AQ207" s="52">
        <f t="shared" si="105"/>
        <v>1</v>
      </c>
      <c r="AR207" s="52">
        <f t="shared" si="105"/>
        <v>1</v>
      </c>
      <c r="AS207" s="52">
        <f t="shared" si="105"/>
        <v>1</v>
      </c>
      <c r="AT207" s="52">
        <f t="shared" si="105"/>
        <v>1</v>
      </c>
      <c r="AU207" s="52">
        <f t="shared" si="105"/>
        <v>1</v>
      </c>
      <c r="AV207" s="52">
        <f t="shared" si="105"/>
        <v>1</v>
      </c>
      <c r="AW207" s="52">
        <f t="shared" si="105"/>
        <v>1</v>
      </c>
      <c r="AX207" s="52">
        <f t="shared" si="105"/>
        <v>1</v>
      </c>
      <c r="AY207" s="52">
        <f t="shared" si="105"/>
        <v>1</v>
      </c>
      <c r="AZ207" s="52">
        <f t="shared" si="105"/>
        <v>1</v>
      </c>
      <c r="BA207" s="52">
        <f t="shared" si="105"/>
        <v>1</v>
      </c>
      <c r="BB207" s="52">
        <f t="shared" si="105"/>
        <v>1</v>
      </c>
      <c r="BC207" s="52">
        <f t="shared" si="105"/>
        <v>1</v>
      </c>
      <c r="BD207" s="52">
        <f t="shared" si="105"/>
        <v>1</v>
      </c>
      <c r="BE207" s="52">
        <f t="shared" si="105"/>
        <v>1</v>
      </c>
      <c r="BF207" s="52">
        <f t="shared" si="105"/>
        <v>1</v>
      </c>
      <c r="BG207" s="52">
        <f t="shared" si="106"/>
        <v>1</v>
      </c>
      <c r="BH207" s="52">
        <f t="shared" si="106"/>
        <v>1</v>
      </c>
      <c r="BI207" s="52">
        <f t="shared" si="106"/>
        <v>1</v>
      </c>
      <c r="BJ207" s="52">
        <f t="shared" si="106"/>
        <v>1</v>
      </c>
      <c r="BK207" s="52">
        <f t="shared" si="106"/>
        <v>1</v>
      </c>
      <c r="BL207" s="52">
        <f t="shared" si="106"/>
        <v>1</v>
      </c>
      <c r="BM207" s="52">
        <f t="shared" si="106"/>
        <v>1</v>
      </c>
      <c r="BN207" s="52">
        <f t="shared" si="106"/>
        <v>1</v>
      </c>
      <c r="BO207" s="32">
        <f t="shared" si="109"/>
        <v>0.66101694915254239</v>
      </c>
    </row>
    <row r="208" spans="1:67" s="27" customFormat="1" ht="18.75" customHeight="1" x14ac:dyDescent="0.25">
      <c r="A208" s="50" t="s">
        <v>422</v>
      </c>
      <c r="B208" s="50" t="s">
        <v>423</v>
      </c>
      <c r="C208" s="50" t="s">
        <v>117</v>
      </c>
      <c r="D208" s="51">
        <f>VLOOKUP(A208,'[1]Cuadro Control'!C244:J2138,8,FALSE)</f>
        <v>46410609.014634147</v>
      </c>
      <c r="E208" s="52">
        <f t="shared" si="103"/>
        <v>8.742083556535862E-3</v>
      </c>
      <c r="F208" s="53">
        <v>46352</v>
      </c>
      <c r="G208" s="53">
        <v>46354</v>
      </c>
      <c r="H208" s="52">
        <f t="shared" si="107"/>
        <v>0</v>
      </c>
      <c r="I208" s="52">
        <f t="shared" si="107"/>
        <v>0</v>
      </c>
      <c r="J208" s="52">
        <f t="shared" si="107"/>
        <v>0</v>
      </c>
      <c r="K208" s="52">
        <f t="shared" si="107"/>
        <v>0</v>
      </c>
      <c r="L208" s="52">
        <f t="shared" si="107"/>
        <v>0</v>
      </c>
      <c r="M208" s="52">
        <f t="shared" si="107"/>
        <v>0</v>
      </c>
      <c r="N208" s="52">
        <f t="shared" si="107"/>
        <v>0</v>
      </c>
      <c r="O208" s="52">
        <f t="shared" si="107"/>
        <v>0</v>
      </c>
      <c r="P208" s="52">
        <f t="shared" si="107"/>
        <v>0</v>
      </c>
      <c r="Q208" s="52">
        <f t="shared" si="107"/>
        <v>0</v>
      </c>
      <c r="R208" s="52">
        <f t="shared" si="107"/>
        <v>0</v>
      </c>
      <c r="S208" s="52">
        <f t="shared" si="107"/>
        <v>0</v>
      </c>
      <c r="T208" s="52">
        <f t="shared" si="107"/>
        <v>0</v>
      </c>
      <c r="U208" s="52">
        <f t="shared" si="107"/>
        <v>0</v>
      </c>
      <c r="V208" s="52">
        <f t="shared" si="107"/>
        <v>0</v>
      </c>
      <c r="W208" s="52">
        <f t="shared" si="107"/>
        <v>0</v>
      </c>
      <c r="X208" s="52">
        <f t="shared" si="108"/>
        <v>0</v>
      </c>
      <c r="Y208" s="52">
        <f t="shared" si="108"/>
        <v>0</v>
      </c>
      <c r="Z208" s="52">
        <f t="shared" si="108"/>
        <v>0</v>
      </c>
      <c r="AA208" s="52">
        <f t="shared" si="108"/>
        <v>0</v>
      </c>
      <c r="AB208" s="52">
        <f t="shared" si="108"/>
        <v>0.66666666666666663</v>
      </c>
      <c r="AC208" s="52">
        <f t="shared" si="108"/>
        <v>1</v>
      </c>
      <c r="AD208" s="52">
        <f t="shared" si="108"/>
        <v>1</v>
      </c>
      <c r="AE208" s="52">
        <f t="shared" si="108"/>
        <v>1</v>
      </c>
      <c r="AF208" s="52">
        <f t="shared" si="108"/>
        <v>1</v>
      </c>
      <c r="AG208" s="52">
        <f t="shared" si="108"/>
        <v>1</v>
      </c>
      <c r="AH208" s="52">
        <f t="shared" si="108"/>
        <v>1</v>
      </c>
      <c r="AI208" s="52">
        <f t="shared" si="108"/>
        <v>1</v>
      </c>
      <c r="AJ208" s="52">
        <f t="shared" si="108"/>
        <v>1</v>
      </c>
      <c r="AK208" s="52">
        <f t="shared" si="108"/>
        <v>1</v>
      </c>
      <c r="AL208" s="52">
        <f t="shared" si="108"/>
        <v>1</v>
      </c>
      <c r="AM208" s="52">
        <f t="shared" si="108"/>
        <v>1</v>
      </c>
      <c r="AN208" s="52">
        <f t="shared" si="108"/>
        <v>1</v>
      </c>
      <c r="AO208" s="52">
        <f t="shared" si="105"/>
        <v>1</v>
      </c>
      <c r="AP208" s="52">
        <f t="shared" si="105"/>
        <v>1</v>
      </c>
      <c r="AQ208" s="52">
        <f t="shared" si="105"/>
        <v>1</v>
      </c>
      <c r="AR208" s="52">
        <f t="shared" si="105"/>
        <v>1</v>
      </c>
      <c r="AS208" s="52">
        <f t="shared" si="105"/>
        <v>1</v>
      </c>
      <c r="AT208" s="52">
        <f t="shared" si="105"/>
        <v>1</v>
      </c>
      <c r="AU208" s="52">
        <f t="shared" si="105"/>
        <v>1</v>
      </c>
      <c r="AV208" s="52">
        <f t="shared" si="105"/>
        <v>1</v>
      </c>
      <c r="AW208" s="52">
        <f t="shared" si="105"/>
        <v>1</v>
      </c>
      <c r="AX208" s="52">
        <f t="shared" si="105"/>
        <v>1</v>
      </c>
      <c r="AY208" s="52">
        <f t="shared" si="105"/>
        <v>1</v>
      </c>
      <c r="AZ208" s="52">
        <f t="shared" si="105"/>
        <v>1</v>
      </c>
      <c r="BA208" s="52">
        <f t="shared" si="105"/>
        <v>1</v>
      </c>
      <c r="BB208" s="52">
        <f t="shared" si="105"/>
        <v>1</v>
      </c>
      <c r="BC208" s="52">
        <f t="shared" si="105"/>
        <v>1</v>
      </c>
      <c r="BD208" s="52">
        <f t="shared" si="105"/>
        <v>1</v>
      </c>
      <c r="BE208" s="52">
        <f t="shared" si="105"/>
        <v>1</v>
      </c>
      <c r="BF208" s="52">
        <f t="shared" si="105"/>
        <v>1</v>
      </c>
      <c r="BG208" s="52">
        <f t="shared" si="106"/>
        <v>1</v>
      </c>
      <c r="BH208" s="52">
        <f t="shared" si="106"/>
        <v>1</v>
      </c>
      <c r="BI208" s="52">
        <f t="shared" si="106"/>
        <v>1</v>
      </c>
      <c r="BJ208" s="52">
        <f t="shared" si="106"/>
        <v>1</v>
      </c>
      <c r="BK208" s="52">
        <f t="shared" si="106"/>
        <v>1</v>
      </c>
      <c r="BL208" s="52">
        <f t="shared" si="106"/>
        <v>1</v>
      </c>
      <c r="BM208" s="52">
        <f t="shared" si="106"/>
        <v>1</v>
      </c>
      <c r="BN208" s="52">
        <f t="shared" si="106"/>
        <v>1</v>
      </c>
      <c r="BO208" s="32">
        <f t="shared" si="109"/>
        <v>0.65536723163841804</v>
      </c>
    </row>
    <row r="209" spans="1:67" s="27" customFormat="1" ht="18.75" customHeight="1" x14ac:dyDescent="0.25">
      <c r="A209" s="50" t="s">
        <v>424</v>
      </c>
      <c r="B209" s="50" t="s">
        <v>425</v>
      </c>
      <c r="C209" s="50" t="s">
        <v>61</v>
      </c>
      <c r="D209" s="51">
        <f>VLOOKUP(A209,'[1]Cuadro Control'!C245:J2139,8,FALSE)</f>
        <v>1587346329.5488234</v>
      </c>
      <c r="E209" s="52">
        <f t="shared" si="103"/>
        <v>0.29899875353285565</v>
      </c>
      <c r="F209" s="53">
        <v>46353</v>
      </c>
      <c r="G209" s="53">
        <v>46365</v>
      </c>
      <c r="H209" s="52">
        <f t="shared" si="107"/>
        <v>0</v>
      </c>
      <c r="I209" s="52">
        <f t="shared" si="107"/>
        <v>0</v>
      </c>
      <c r="J209" s="52">
        <f t="shared" si="107"/>
        <v>0</v>
      </c>
      <c r="K209" s="52">
        <f t="shared" si="107"/>
        <v>0</v>
      </c>
      <c r="L209" s="52">
        <f t="shared" si="107"/>
        <v>0</v>
      </c>
      <c r="M209" s="52">
        <f t="shared" si="107"/>
        <v>0</v>
      </c>
      <c r="N209" s="52">
        <f t="shared" si="107"/>
        <v>0</v>
      </c>
      <c r="O209" s="52">
        <f t="shared" si="107"/>
        <v>0</v>
      </c>
      <c r="P209" s="52">
        <f t="shared" si="107"/>
        <v>0</v>
      </c>
      <c r="Q209" s="52">
        <f t="shared" si="107"/>
        <v>0</v>
      </c>
      <c r="R209" s="52">
        <f t="shared" si="107"/>
        <v>0</v>
      </c>
      <c r="S209" s="52">
        <f t="shared" si="107"/>
        <v>0</v>
      </c>
      <c r="T209" s="52">
        <f t="shared" si="107"/>
        <v>0</v>
      </c>
      <c r="U209" s="52">
        <f t="shared" si="107"/>
        <v>0</v>
      </c>
      <c r="V209" s="52">
        <f t="shared" si="107"/>
        <v>0</v>
      </c>
      <c r="W209" s="52">
        <f t="shared" si="107"/>
        <v>0</v>
      </c>
      <c r="X209" s="52">
        <f t="shared" si="108"/>
        <v>0</v>
      </c>
      <c r="Y209" s="52">
        <f t="shared" si="108"/>
        <v>0</v>
      </c>
      <c r="Z209" s="52">
        <f t="shared" si="108"/>
        <v>0</v>
      </c>
      <c r="AA209" s="52">
        <f t="shared" si="108"/>
        <v>0</v>
      </c>
      <c r="AB209" s="52">
        <f t="shared" si="108"/>
        <v>7.6923076923076927E-2</v>
      </c>
      <c r="AC209" s="52">
        <f t="shared" si="108"/>
        <v>0.61538461538461542</v>
      </c>
      <c r="AD209" s="52">
        <f t="shared" si="108"/>
        <v>1</v>
      </c>
      <c r="AE209" s="52">
        <f t="shared" si="108"/>
        <v>1</v>
      </c>
      <c r="AF209" s="52">
        <f t="shared" si="108"/>
        <v>1</v>
      </c>
      <c r="AG209" s="52">
        <f t="shared" si="108"/>
        <v>1</v>
      </c>
      <c r="AH209" s="52">
        <f t="shared" si="108"/>
        <v>1</v>
      </c>
      <c r="AI209" s="52">
        <f t="shared" si="108"/>
        <v>1</v>
      </c>
      <c r="AJ209" s="52">
        <f t="shared" si="108"/>
        <v>1</v>
      </c>
      <c r="AK209" s="52">
        <f t="shared" si="108"/>
        <v>1</v>
      </c>
      <c r="AL209" s="52">
        <f t="shared" si="108"/>
        <v>1</v>
      </c>
      <c r="AM209" s="52">
        <f t="shared" si="108"/>
        <v>1</v>
      </c>
      <c r="AN209" s="52">
        <f t="shared" si="108"/>
        <v>1</v>
      </c>
      <c r="AO209" s="52">
        <f t="shared" si="105"/>
        <v>1</v>
      </c>
      <c r="AP209" s="52">
        <f t="shared" si="105"/>
        <v>1</v>
      </c>
      <c r="AQ209" s="52">
        <f t="shared" si="105"/>
        <v>1</v>
      </c>
      <c r="AR209" s="52">
        <f t="shared" si="105"/>
        <v>1</v>
      </c>
      <c r="AS209" s="52">
        <f t="shared" si="105"/>
        <v>1</v>
      </c>
      <c r="AT209" s="52">
        <f t="shared" si="105"/>
        <v>1</v>
      </c>
      <c r="AU209" s="52">
        <f t="shared" si="105"/>
        <v>1</v>
      </c>
      <c r="AV209" s="52">
        <f t="shared" si="105"/>
        <v>1</v>
      </c>
      <c r="AW209" s="52">
        <f t="shared" si="105"/>
        <v>1</v>
      </c>
      <c r="AX209" s="52">
        <f t="shared" si="105"/>
        <v>1</v>
      </c>
      <c r="AY209" s="52">
        <f t="shared" si="105"/>
        <v>1</v>
      </c>
      <c r="AZ209" s="52">
        <f t="shared" si="105"/>
        <v>1</v>
      </c>
      <c r="BA209" s="52">
        <f t="shared" si="105"/>
        <v>1</v>
      </c>
      <c r="BB209" s="52">
        <f t="shared" si="105"/>
        <v>1</v>
      </c>
      <c r="BC209" s="52">
        <f t="shared" si="105"/>
        <v>1</v>
      </c>
      <c r="BD209" s="52">
        <f t="shared" si="105"/>
        <v>1</v>
      </c>
      <c r="BE209" s="52">
        <f t="shared" si="105"/>
        <v>1</v>
      </c>
      <c r="BF209" s="52">
        <f t="shared" si="105"/>
        <v>1</v>
      </c>
      <c r="BG209" s="52">
        <f t="shared" si="106"/>
        <v>1</v>
      </c>
      <c r="BH209" s="52">
        <f t="shared" si="106"/>
        <v>1</v>
      </c>
      <c r="BI209" s="52">
        <f t="shared" si="106"/>
        <v>1</v>
      </c>
      <c r="BJ209" s="52">
        <f t="shared" si="106"/>
        <v>1</v>
      </c>
      <c r="BK209" s="52">
        <f t="shared" si="106"/>
        <v>1</v>
      </c>
      <c r="BL209" s="52">
        <f t="shared" si="106"/>
        <v>1</v>
      </c>
      <c r="BM209" s="52">
        <f t="shared" si="106"/>
        <v>1</v>
      </c>
      <c r="BN209" s="52">
        <f t="shared" si="106"/>
        <v>1</v>
      </c>
      <c r="BO209" s="32">
        <f t="shared" si="109"/>
        <v>0.6388526727509779</v>
      </c>
    </row>
    <row r="210" spans="1:67" s="27" customFormat="1" ht="18.75" customHeight="1" x14ac:dyDescent="0.25">
      <c r="A210" s="46" t="s">
        <v>426</v>
      </c>
      <c r="B210" s="46" t="s">
        <v>427</v>
      </c>
      <c r="C210" s="46" t="s">
        <v>61</v>
      </c>
      <c r="D210" s="47">
        <f>VLOOKUP(A210,'[1]Cuadro Control'!C246:J2140,8,FALSE)</f>
        <v>179532477.23999998</v>
      </c>
      <c r="E210" s="48">
        <f t="shared" si="103"/>
        <v>3.3817438522495219E-2</v>
      </c>
      <c r="F210" s="49">
        <v>46356</v>
      </c>
      <c r="G210" s="49">
        <v>46368</v>
      </c>
      <c r="H210" s="48">
        <f t="shared" si="107"/>
        <v>0</v>
      </c>
      <c r="I210" s="48">
        <f t="shared" si="107"/>
        <v>0</v>
      </c>
      <c r="J210" s="48">
        <f t="shared" si="107"/>
        <v>0</v>
      </c>
      <c r="K210" s="48">
        <f t="shared" si="107"/>
        <v>0</v>
      </c>
      <c r="L210" s="48">
        <f t="shared" si="107"/>
        <v>0</v>
      </c>
      <c r="M210" s="48">
        <f t="shared" si="107"/>
        <v>0</v>
      </c>
      <c r="N210" s="48">
        <f t="shared" si="107"/>
        <v>0</v>
      </c>
      <c r="O210" s="48">
        <f t="shared" si="107"/>
        <v>0</v>
      </c>
      <c r="P210" s="48">
        <f t="shared" si="107"/>
        <v>0</v>
      </c>
      <c r="Q210" s="48">
        <f t="shared" si="107"/>
        <v>0</v>
      </c>
      <c r="R210" s="48">
        <f t="shared" si="107"/>
        <v>0</v>
      </c>
      <c r="S210" s="48">
        <f t="shared" si="107"/>
        <v>0</v>
      </c>
      <c r="T210" s="48">
        <f t="shared" si="107"/>
        <v>0</v>
      </c>
      <c r="U210" s="48">
        <f t="shared" si="107"/>
        <v>0</v>
      </c>
      <c r="V210" s="48">
        <f t="shared" si="107"/>
        <v>0</v>
      </c>
      <c r="W210" s="48">
        <f t="shared" si="107"/>
        <v>0</v>
      </c>
      <c r="X210" s="48">
        <f t="shared" si="108"/>
        <v>0</v>
      </c>
      <c r="Y210" s="48">
        <f t="shared" si="108"/>
        <v>0</v>
      </c>
      <c r="Z210" s="48">
        <f t="shared" si="108"/>
        <v>0</v>
      </c>
      <c r="AA210" s="48">
        <f t="shared" si="108"/>
        <v>0</v>
      </c>
      <c r="AB210" s="48">
        <f t="shared" si="108"/>
        <v>0</v>
      </c>
      <c r="AC210" s="48">
        <f t="shared" si="108"/>
        <v>0.38461538461538464</v>
      </c>
      <c r="AD210" s="48">
        <f t="shared" si="108"/>
        <v>0.92307692307692313</v>
      </c>
      <c r="AE210" s="48">
        <f t="shared" si="108"/>
        <v>1</v>
      </c>
      <c r="AF210" s="48">
        <f t="shared" si="108"/>
        <v>1</v>
      </c>
      <c r="AG210" s="48">
        <f t="shared" si="108"/>
        <v>1</v>
      </c>
      <c r="AH210" s="48">
        <f t="shared" si="108"/>
        <v>1</v>
      </c>
      <c r="AI210" s="48">
        <f t="shared" si="108"/>
        <v>1</v>
      </c>
      <c r="AJ210" s="48">
        <f t="shared" si="108"/>
        <v>1</v>
      </c>
      <c r="AK210" s="48">
        <f t="shared" si="108"/>
        <v>1</v>
      </c>
      <c r="AL210" s="48">
        <f t="shared" si="108"/>
        <v>1</v>
      </c>
      <c r="AM210" s="48">
        <f t="shared" si="108"/>
        <v>1</v>
      </c>
      <c r="AN210" s="48">
        <f t="shared" si="108"/>
        <v>1</v>
      </c>
      <c r="AO210" s="48">
        <f t="shared" si="105"/>
        <v>1</v>
      </c>
      <c r="AP210" s="48">
        <f t="shared" si="105"/>
        <v>1</v>
      </c>
      <c r="AQ210" s="48">
        <f t="shared" si="105"/>
        <v>1</v>
      </c>
      <c r="AR210" s="48">
        <f t="shared" si="105"/>
        <v>1</v>
      </c>
      <c r="AS210" s="48">
        <f t="shared" si="105"/>
        <v>1</v>
      </c>
      <c r="AT210" s="48">
        <f t="shared" si="105"/>
        <v>1</v>
      </c>
      <c r="AU210" s="48">
        <f t="shared" si="105"/>
        <v>1</v>
      </c>
      <c r="AV210" s="48">
        <f t="shared" si="105"/>
        <v>1</v>
      </c>
      <c r="AW210" s="48">
        <f t="shared" si="105"/>
        <v>1</v>
      </c>
      <c r="AX210" s="48">
        <f t="shared" si="105"/>
        <v>1</v>
      </c>
      <c r="AY210" s="48">
        <f t="shared" si="105"/>
        <v>1</v>
      </c>
      <c r="AZ210" s="48">
        <f t="shared" si="105"/>
        <v>1</v>
      </c>
      <c r="BA210" s="48">
        <f t="shared" si="105"/>
        <v>1</v>
      </c>
      <c r="BB210" s="48">
        <f t="shared" si="105"/>
        <v>1</v>
      </c>
      <c r="BC210" s="48">
        <f t="shared" si="105"/>
        <v>1</v>
      </c>
      <c r="BD210" s="48">
        <f t="shared" si="105"/>
        <v>1</v>
      </c>
      <c r="BE210" s="48">
        <f t="shared" si="105"/>
        <v>1</v>
      </c>
      <c r="BF210" s="48">
        <f t="shared" si="105"/>
        <v>1</v>
      </c>
      <c r="BG210" s="48">
        <f t="shared" si="106"/>
        <v>1</v>
      </c>
      <c r="BH210" s="48">
        <f t="shared" si="106"/>
        <v>1</v>
      </c>
      <c r="BI210" s="48">
        <f t="shared" si="106"/>
        <v>1</v>
      </c>
      <c r="BJ210" s="48">
        <f t="shared" si="106"/>
        <v>1</v>
      </c>
      <c r="BK210" s="48">
        <f t="shared" si="106"/>
        <v>1</v>
      </c>
      <c r="BL210" s="48">
        <f t="shared" si="106"/>
        <v>1</v>
      </c>
      <c r="BM210" s="48">
        <f t="shared" si="106"/>
        <v>1</v>
      </c>
      <c r="BN210" s="48">
        <f t="shared" si="106"/>
        <v>1</v>
      </c>
      <c r="BO210" s="32">
        <f t="shared" si="109"/>
        <v>0.63233376792698825</v>
      </c>
    </row>
    <row r="211" spans="1:67" s="27" customFormat="1" ht="18.75" customHeight="1" x14ac:dyDescent="0.25">
      <c r="A211" s="55" t="s">
        <v>428</v>
      </c>
      <c r="B211" s="55" t="s">
        <v>429</v>
      </c>
      <c r="C211" s="55" t="s">
        <v>14</v>
      </c>
      <c r="D211" s="56">
        <f>VLOOKUP(A211,'[1]Cuadro Control'!C247:J2141,8,FALSE)</f>
        <v>0</v>
      </c>
      <c r="E211" s="57">
        <f>IFERROR(D211/$D$195,0)</f>
        <v>0</v>
      </c>
      <c r="F211" s="58">
        <v>46368</v>
      </c>
      <c r="G211" s="58">
        <v>46368</v>
      </c>
      <c r="H211" s="57">
        <f t="shared" si="107"/>
        <v>0</v>
      </c>
      <c r="I211" s="57">
        <f t="shared" si="107"/>
        <v>0</v>
      </c>
      <c r="J211" s="57">
        <f t="shared" si="107"/>
        <v>0</v>
      </c>
      <c r="K211" s="57">
        <f t="shared" si="107"/>
        <v>0</v>
      </c>
      <c r="L211" s="57">
        <f t="shared" si="107"/>
        <v>0</v>
      </c>
      <c r="M211" s="57">
        <f t="shared" si="107"/>
        <v>0</v>
      </c>
      <c r="N211" s="57">
        <f t="shared" si="107"/>
        <v>0</v>
      </c>
      <c r="O211" s="57">
        <f t="shared" si="107"/>
        <v>0</v>
      </c>
      <c r="P211" s="57">
        <f t="shared" si="107"/>
        <v>0</v>
      </c>
      <c r="Q211" s="57">
        <f t="shared" si="107"/>
        <v>0</v>
      </c>
      <c r="R211" s="57">
        <f t="shared" si="107"/>
        <v>0</v>
      </c>
      <c r="S211" s="57">
        <f t="shared" si="107"/>
        <v>0</v>
      </c>
      <c r="T211" s="57">
        <f t="shared" si="107"/>
        <v>0</v>
      </c>
      <c r="U211" s="57">
        <f t="shared" si="107"/>
        <v>0</v>
      </c>
      <c r="V211" s="57">
        <f t="shared" si="107"/>
        <v>0</v>
      </c>
      <c r="W211" s="57">
        <f t="shared" si="107"/>
        <v>0</v>
      </c>
      <c r="X211" s="57">
        <f t="shared" si="108"/>
        <v>0</v>
      </c>
      <c r="Y211" s="57">
        <f t="shared" si="108"/>
        <v>0</v>
      </c>
      <c r="Z211" s="57">
        <f t="shared" si="108"/>
        <v>0</v>
      </c>
      <c r="AA211" s="57">
        <f t="shared" si="108"/>
        <v>0</v>
      </c>
      <c r="AB211" s="57">
        <f t="shared" si="108"/>
        <v>0</v>
      </c>
      <c r="AC211" s="57">
        <f t="shared" si="108"/>
        <v>0</v>
      </c>
      <c r="AD211" s="57">
        <f t="shared" si="108"/>
        <v>0</v>
      </c>
      <c r="AE211" s="57">
        <f t="shared" si="108"/>
        <v>1</v>
      </c>
      <c r="AF211" s="57">
        <f t="shared" si="108"/>
        <v>1</v>
      </c>
      <c r="AG211" s="57">
        <f t="shared" si="108"/>
        <v>1</v>
      </c>
      <c r="AH211" s="57">
        <f t="shared" si="108"/>
        <v>1</v>
      </c>
      <c r="AI211" s="57">
        <f t="shared" si="108"/>
        <v>1</v>
      </c>
      <c r="AJ211" s="57">
        <f t="shared" si="108"/>
        <v>1</v>
      </c>
      <c r="AK211" s="57">
        <f t="shared" si="108"/>
        <v>1</v>
      </c>
      <c r="AL211" s="57">
        <f t="shared" si="108"/>
        <v>1</v>
      </c>
      <c r="AM211" s="57">
        <f t="shared" si="108"/>
        <v>1</v>
      </c>
      <c r="AN211" s="57">
        <f t="shared" si="108"/>
        <v>1</v>
      </c>
      <c r="AO211" s="57">
        <f t="shared" si="108"/>
        <v>1</v>
      </c>
      <c r="AP211" s="57">
        <f t="shared" si="108"/>
        <v>1</v>
      </c>
      <c r="AQ211" s="57">
        <f t="shared" si="108"/>
        <v>1</v>
      </c>
      <c r="AR211" s="57">
        <f t="shared" si="108"/>
        <v>1</v>
      </c>
      <c r="AS211" s="57">
        <f t="shared" si="108"/>
        <v>1</v>
      </c>
      <c r="AT211" s="57">
        <f t="shared" si="108"/>
        <v>1</v>
      </c>
      <c r="AU211" s="57">
        <f t="shared" si="108"/>
        <v>1</v>
      </c>
      <c r="AV211" s="57">
        <f t="shared" si="108"/>
        <v>1</v>
      </c>
      <c r="AW211" s="57">
        <f t="shared" si="108"/>
        <v>1</v>
      </c>
      <c r="AX211" s="57">
        <f t="shared" si="108"/>
        <v>1</v>
      </c>
      <c r="AY211" s="57">
        <f t="shared" si="108"/>
        <v>1</v>
      </c>
      <c r="AZ211" s="57">
        <f t="shared" si="108"/>
        <v>1</v>
      </c>
      <c r="BA211" s="57">
        <f t="shared" si="108"/>
        <v>1</v>
      </c>
      <c r="BB211" s="57">
        <f t="shared" si="108"/>
        <v>1</v>
      </c>
      <c r="BC211" s="57">
        <f t="shared" si="108"/>
        <v>1</v>
      </c>
      <c r="BD211" s="57">
        <f t="shared" si="105"/>
        <v>1</v>
      </c>
      <c r="BE211" s="57">
        <f t="shared" si="105"/>
        <v>1</v>
      </c>
      <c r="BF211" s="57">
        <f t="shared" si="105"/>
        <v>1</v>
      </c>
      <c r="BG211" s="57">
        <f t="shared" si="106"/>
        <v>1</v>
      </c>
      <c r="BH211" s="57">
        <f t="shared" si="106"/>
        <v>1</v>
      </c>
      <c r="BI211" s="57">
        <f t="shared" si="106"/>
        <v>1</v>
      </c>
      <c r="BJ211" s="57">
        <f t="shared" si="106"/>
        <v>1</v>
      </c>
      <c r="BK211" s="57">
        <f t="shared" si="106"/>
        <v>1</v>
      </c>
      <c r="BL211" s="57">
        <f t="shared" si="106"/>
        <v>1</v>
      </c>
      <c r="BM211" s="57">
        <f t="shared" si="106"/>
        <v>1</v>
      </c>
      <c r="BN211" s="57">
        <f t="shared" si="106"/>
        <v>1</v>
      </c>
      <c r="BO211" s="32">
        <f t="shared" si="109"/>
        <v>0.61016949152542377</v>
      </c>
    </row>
    <row r="212" spans="1:67" s="27" customFormat="1" ht="18.75" customHeight="1" x14ac:dyDescent="0.25">
      <c r="A212" s="42" t="s">
        <v>430</v>
      </c>
      <c r="B212" s="42" t="s">
        <v>431</v>
      </c>
      <c r="C212" s="42" t="s">
        <v>432</v>
      </c>
      <c r="D212" s="43">
        <f>SUM(D213:D228)</f>
        <v>5308872732.0543728</v>
      </c>
      <c r="E212" s="44">
        <f>IFERROR(D212/$D$109,0)</f>
        <v>2.9408554574576196E-2</v>
      </c>
      <c r="F212" s="45">
        <v>46231</v>
      </c>
      <c r="G212" s="45">
        <v>46379</v>
      </c>
      <c r="H212" s="44">
        <f>SUMPRODUCT($E213:$E227,H213:H227)</f>
        <v>0</v>
      </c>
      <c r="I212" s="44">
        <f t="shared" ref="I212:BN212" si="110">SUMPRODUCT($E213:$E227,I213:I227)</f>
        <v>0</v>
      </c>
      <c r="J212" s="44">
        <f t="shared" si="110"/>
        <v>0</v>
      </c>
      <c r="K212" s="44">
        <f t="shared" si="110"/>
        <v>8.5947385424571966E-4</v>
      </c>
      <c r="L212" s="44">
        <f t="shared" si="110"/>
        <v>2.3635530991757288E-3</v>
      </c>
      <c r="M212" s="44">
        <f t="shared" si="110"/>
        <v>3.8676323441057384E-3</v>
      </c>
      <c r="N212" s="44">
        <f t="shared" si="110"/>
        <v>5.3717115890357476E-3</v>
      </c>
      <c r="O212" s="44">
        <f t="shared" si="110"/>
        <v>6.8757908339657572E-3</v>
      </c>
      <c r="P212" s="44">
        <f t="shared" si="110"/>
        <v>8.3798700788957677E-3</v>
      </c>
      <c r="Q212" s="44">
        <f t="shared" si="110"/>
        <v>9.8839493238257765E-3</v>
      </c>
      <c r="R212" s="44">
        <f t="shared" si="110"/>
        <v>1.1388028568755787E-2</v>
      </c>
      <c r="S212" s="44">
        <f t="shared" si="110"/>
        <v>1.2892107813685794E-2</v>
      </c>
      <c r="T212" s="44">
        <f t="shared" si="110"/>
        <v>1.4396187058615804E-2</v>
      </c>
      <c r="U212" s="44">
        <f t="shared" si="110"/>
        <v>2.8760971566995162E-2</v>
      </c>
      <c r="V212" s="44">
        <f t="shared" si="110"/>
        <v>7.4884419302420888E-2</v>
      </c>
      <c r="W212" s="44">
        <f t="shared" si="110"/>
        <v>0.12461587214543901</v>
      </c>
      <c r="X212" s="44">
        <f t="shared" si="110"/>
        <v>0.1814926112303839</v>
      </c>
      <c r="Y212" s="44">
        <f t="shared" si="110"/>
        <v>0.27240516581093738</v>
      </c>
      <c r="Z212" s="44">
        <f t="shared" si="110"/>
        <v>0.35655786596624905</v>
      </c>
      <c r="AA212" s="44">
        <f t="shared" si="110"/>
        <v>0.41666693750575734</v>
      </c>
      <c r="AB212" s="44">
        <f t="shared" si="110"/>
        <v>0.64850810003989967</v>
      </c>
      <c r="AC212" s="44">
        <f t="shared" si="110"/>
        <v>0.65016370409793522</v>
      </c>
      <c r="AD212" s="44">
        <f t="shared" si="110"/>
        <v>0.75133026396932612</v>
      </c>
      <c r="AE212" s="44">
        <f t="shared" si="110"/>
        <v>0.95981158800934019</v>
      </c>
      <c r="AF212" s="44">
        <f t="shared" si="110"/>
        <v>1</v>
      </c>
      <c r="AG212" s="44">
        <f t="shared" si="110"/>
        <v>1</v>
      </c>
      <c r="AH212" s="44">
        <f t="shared" si="110"/>
        <v>1</v>
      </c>
      <c r="AI212" s="44">
        <f t="shared" si="110"/>
        <v>1</v>
      </c>
      <c r="AJ212" s="44">
        <f t="shared" si="110"/>
        <v>1</v>
      </c>
      <c r="AK212" s="44">
        <f t="shared" si="110"/>
        <v>1</v>
      </c>
      <c r="AL212" s="44">
        <f t="shared" si="110"/>
        <v>1</v>
      </c>
      <c r="AM212" s="44">
        <f t="shared" si="110"/>
        <v>1</v>
      </c>
      <c r="AN212" s="44">
        <f t="shared" si="110"/>
        <v>1</v>
      </c>
      <c r="AO212" s="44">
        <f t="shared" si="110"/>
        <v>1</v>
      </c>
      <c r="AP212" s="44">
        <f t="shared" si="110"/>
        <v>1</v>
      </c>
      <c r="AQ212" s="44">
        <f t="shared" si="110"/>
        <v>1</v>
      </c>
      <c r="AR212" s="44">
        <f t="shared" si="110"/>
        <v>1</v>
      </c>
      <c r="AS212" s="44">
        <f t="shared" si="110"/>
        <v>1</v>
      </c>
      <c r="AT212" s="44">
        <f t="shared" si="110"/>
        <v>1</v>
      </c>
      <c r="AU212" s="44">
        <f t="shared" si="110"/>
        <v>1</v>
      </c>
      <c r="AV212" s="44">
        <f t="shared" si="110"/>
        <v>1</v>
      </c>
      <c r="AW212" s="44">
        <f t="shared" si="110"/>
        <v>1</v>
      </c>
      <c r="AX212" s="44">
        <f t="shared" si="110"/>
        <v>1</v>
      </c>
      <c r="AY212" s="44">
        <f t="shared" si="110"/>
        <v>1</v>
      </c>
      <c r="AZ212" s="44">
        <f t="shared" si="110"/>
        <v>1</v>
      </c>
      <c r="BA212" s="44">
        <f t="shared" si="110"/>
        <v>1</v>
      </c>
      <c r="BB212" s="44">
        <f t="shared" si="110"/>
        <v>1</v>
      </c>
      <c r="BC212" s="44">
        <f t="shared" si="110"/>
        <v>1</v>
      </c>
      <c r="BD212" s="44">
        <f t="shared" si="110"/>
        <v>1</v>
      </c>
      <c r="BE212" s="44">
        <f t="shared" si="110"/>
        <v>1</v>
      </c>
      <c r="BF212" s="44">
        <f t="shared" si="110"/>
        <v>1</v>
      </c>
      <c r="BG212" s="44">
        <f t="shared" si="110"/>
        <v>1</v>
      </c>
      <c r="BH212" s="44">
        <f t="shared" si="110"/>
        <v>1</v>
      </c>
      <c r="BI212" s="44">
        <f t="shared" si="110"/>
        <v>1</v>
      </c>
      <c r="BJ212" s="44">
        <f t="shared" si="110"/>
        <v>1</v>
      </c>
      <c r="BK212" s="44">
        <f t="shared" si="110"/>
        <v>1</v>
      </c>
      <c r="BL212" s="44">
        <f t="shared" si="110"/>
        <v>1</v>
      </c>
      <c r="BM212" s="44">
        <f t="shared" si="110"/>
        <v>1</v>
      </c>
      <c r="BN212" s="44">
        <f t="shared" si="110"/>
        <v>1</v>
      </c>
      <c r="BO212" s="32">
        <f t="shared" si="109"/>
        <v>0.67019450515608459</v>
      </c>
    </row>
    <row r="213" spans="1:67" s="27" customFormat="1" ht="18.75" customHeight="1" x14ac:dyDescent="0.25">
      <c r="A213" s="50" t="s">
        <v>433</v>
      </c>
      <c r="B213" s="50" t="s">
        <v>434</v>
      </c>
      <c r="C213" s="50" t="s">
        <v>74</v>
      </c>
      <c r="D213" s="51">
        <f>VLOOKUP(A213,'[1]Cuadro Control'!C249:J2143,8,FALSE)</f>
        <v>83271780.884117648</v>
      </c>
      <c r="E213" s="52">
        <f t="shared" ref="E213:E227" si="111">IFERROR(D213/$D$212,0)</f>
        <v>1.5685397839984384E-2</v>
      </c>
      <c r="F213" s="53">
        <v>46231</v>
      </c>
      <c r="G213" s="53">
        <v>46303</v>
      </c>
      <c r="H213" s="52">
        <f t="shared" ref="H213:BN217" si="112">IF($F213=0,0,IF(H$6&lt;$F213,0,IF(H$6&gt;$G213,1,(H$6-$F213+1)/($G213-$F213+1))))</f>
        <v>0</v>
      </c>
      <c r="I213" s="52">
        <f t="shared" si="112"/>
        <v>0</v>
      </c>
      <c r="J213" s="52">
        <f t="shared" si="112"/>
        <v>0</v>
      </c>
      <c r="K213" s="52">
        <f t="shared" si="112"/>
        <v>5.4794520547945202E-2</v>
      </c>
      <c r="L213" s="52">
        <f t="shared" si="112"/>
        <v>0.15068493150684931</v>
      </c>
      <c r="M213" s="52">
        <f t="shared" si="112"/>
        <v>0.24657534246575341</v>
      </c>
      <c r="N213" s="52">
        <f t="shared" si="112"/>
        <v>0.34246575342465752</v>
      </c>
      <c r="O213" s="52">
        <f t="shared" si="112"/>
        <v>0.43835616438356162</v>
      </c>
      <c r="P213" s="52">
        <f t="shared" si="112"/>
        <v>0.53424657534246578</v>
      </c>
      <c r="Q213" s="52">
        <f t="shared" si="112"/>
        <v>0.63013698630136983</v>
      </c>
      <c r="R213" s="52">
        <f t="shared" si="112"/>
        <v>0.72602739726027399</v>
      </c>
      <c r="S213" s="52">
        <f t="shared" si="112"/>
        <v>0.82191780821917804</v>
      </c>
      <c r="T213" s="52">
        <f t="shared" si="112"/>
        <v>0.9178082191780822</v>
      </c>
      <c r="U213" s="52">
        <f t="shared" si="112"/>
        <v>1</v>
      </c>
      <c r="V213" s="52">
        <f t="shared" si="112"/>
        <v>1</v>
      </c>
      <c r="W213" s="52">
        <f t="shared" si="112"/>
        <v>1</v>
      </c>
      <c r="X213" s="52">
        <f t="shared" si="112"/>
        <v>1</v>
      </c>
      <c r="Y213" s="52">
        <f t="shared" si="112"/>
        <v>1</v>
      </c>
      <c r="Z213" s="52">
        <f t="shared" si="112"/>
        <v>1</v>
      </c>
      <c r="AA213" s="52">
        <f t="shared" si="112"/>
        <v>1</v>
      </c>
      <c r="AB213" s="52">
        <f t="shared" si="112"/>
        <v>1</v>
      </c>
      <c r="AC213" s="52">
        <f t="shared" si="112"/>
        <v>1</v>
      </c>
      <c r="AD213" s="52">
        <f t="shared" si="112"/>
        <v>1</v>
      </c>
      <c r="AE213" s="52">
        <f t="shared" si="112"/>
        <v>1</v>
      </c>
      <c r="AF213" s="52">
        <f t="shared" si="112"/>
        <v>1</v>
      </c>
      <c r="AG213" s="52">
        <f t="shared" si="112"/>
        <v>1</v>
      </c>
      <c r="AH213" s="52">
        <f t="shared" si="112"/>
        <v>1</v>
      </c>
      <c r="AI213" s="52">
        <f t="shared" si="112"/>
        <v>1</v>
      </c>
      <c r="AJ213" s="52">
        <f t="shared" si="112"/>
        <v>1</v>
      </c>
      <c r="AK213" s="52">
        <f t="shared" si="112"/>
        <v>1</v>
      </c>
      <c r="AL213" s="52">
        <f t="shared" si="112"/>
        <v>1</v>
      </c>
      <c r="AM213" s="52">
        <f t="shared" si="112"/>
        <v>1</v>
      </c>
      <c r="AN213" s="52">
        <f t="shared" si="112"/>
        <v>1</v>
      </c>
      <c r="AO213" s="52">
        <f t="shared" si="112"/>
        <v>1</v>
      </c>
      <c r="AP213" s="52">
        <f t="shared" si="112"/>
        <v>1</v>
      </c>
      <c r="AQ213" s="52">
        <f t="shared" si="112"/>
        <v>1</v>
      </c>
      <c r="AR213" s="52">
        <f t="shared" si="112"/>
        <v>1</v>
      </c>
      <c r="AS213" s="52">
        <f t="shared" si="112"/>
        <v>1</v>
      </c>
      <c r="AT213" s="52">
        <f t="shared" si="112"/>
        <v>1</v>
      </c>
      <c r="AU213" s="52">
        <f t="shared" si="112"/>
        <v>1</v>
      </c>
      <c r="AV213" s="52">
        <f t="shared" si="112"/>
        <v>1</v>
      </c>
      <c r="AW213" s="52">
        <f t="shared" si="112"/>
        <v>1</v>
      </c>
      <c r="AX213" s="52">
        <f t="shared" si="112"/>
        <v>1</v>
      </c>
      <c r="AY213" s="52">
        <f t="shared" si="112"/>
        <v>1</v>
      </c>
      <c r="AZ213" s="52">
        <f t="shared" si="112"/>
        <v>1</v>
      </c>
      <c r="BA213" s="52">
        <f t="shared" si="112"/>
        <v>1</v>
      </c>
      <c r="BB213" s="52">
        <f t="shared" si="112"/>
        <v>1</v>
      </c>
      <c r="BC213" s="52">
        <f t="shared" si="112"/>
        <v>1</v>
      </c>
      <c r="BD213" s="52">
        <f t="shared" si="112"/>
        <v>1</v>
      </c>
      <c r="BE213" s="52">
        <f t="shared" si="112"/>
        <v>1</v>
      </c>
      <c r="BF213" s="52">
        <f t="shared" si="112"/>
        <v>1</v>
      </c>
      <c r="BG213" s="52">
        <f t="shared" si="112"/>
        <v>1</v>
      </c>
      <c r="BH213" s="52">
        <f t="shared" si="112"/>
        <v>1</v>
      </c>
      <c r="BI213" s="52">
        <f t="shared" si="112"/>
        <v>1</v>
      </c>
      <c r="BJ213" s="52">
        <f t="shared" si="112"/>
        <v>1</v>
      </c>
      <c r="BK213" s="52">
        <f t="shared" si="112"/>
        <v>1</v>
      </c>
      <c r="BL213" s="52">
        <f t="shared" si="112"/>
        <v>1</v>
      </c>
      <c r="BM213" s="52">
        <f t="shared" si="112"/>
        <v>1</v>
      </c>
      <c r="BN213" s="52">
        <f t="shared" si="112"/>
        <v>1</v>
      </c>
      <c r="BO213" s="32">
        <f t="shared" si="109"/>
        <v>0.86208497794288375</v>
      </c>
    </row>
    <row r="214" spans="1:67" s="27" customFormat="1" ht="18.75" customHeight="1" x14ac:dyDescent="0.25">
      <c r="A214" s="50" t="s">
        <v>435</v>
      </c>
      <c r="B214" s="50" t="s">
        <v>436</v>
      </c>
      <c r="C214" s="50" t="s">
        <v>61</v>
      </c>
      <c r="D214" s="51">
        <f>VLOOKUP(A214,'[1]Cuadro Control'!C250:J2144,8,FALSE)</f>
        <v>312374505.66882348</v>
      </c>
      <c r="E214" s="52">
        <f t="shared" si="111"/>
        <v>5.8840081771548515E-2</v>
      </c>
      <c r="F214" s="53">
        <v>46303</v>
      </c>
      <c r="G214" s="53">
        <v>46311</v>
      </c>
      <c r="H214" s="52">
        <f t="shared" si="112"/>
        <v>0</v>
      </c>
      <c r="I214" s="52">
        <f t="shared" si="112"/>
        <v>0</v>
      </c>
      <c r="J214" s="52">
        <f t="shared" si="112"/>
        <v>0</v>
      </c>
      <c r="K214" s="52">
        <f t="shared" si="112"/>
        <v>0</v>
      </c>
      <c r="L214" s="52">
        <f t="shared" si="112"/>
        <v>0</v>
      </c>
      <c r="M214" s="52">
        <f t="shared" si="112"/>
        <v>0</v>
      </c>
      <c r="N214" s="52">
        <f t="shared" si="112"/>
        <v>0</v>
      </c>
      <c r="O214" s="52">
        <f t="shared" si="112"/>
        <v>0</v>
      </c>
      <c r="P214" s="52">
        <f t="shared" si="112"/>
        <v>0</v>
      </c>
      <c r="Q214" s="52">
        <f t="shared" si="112"/>
        <v>0</v>
      </c>
      <c r="R214" s="52">
        <f t="shared" si="112"/>
        <v>0</v>
      </c>
      <c r="S214" s="52">
        <f t="shared" si="112"/>
        <v>0</v>
      </c>
      <c r="T214" s="52">
        <f t="shared" si="112"/>
        <v>0</v>
      </c>
      <c r="U214" s="52">
        <f t="shared" si="112"/>
        <v>0.22222222222222221</v>
      </c>
      <c r="V214" s="52">
        <f t="shared" si="112"/>
        <v>1</v>
      </c>
      <c r="W214" s="52">
        <f t="shared" si="112"/>
        <v>1</v>
      </c>
      <c r="X214" s="52">
        <f t="shared" si="112"/>
        <v>1</v>
      </c>
      <c r="Y214" s="52">
        <f t="shared" si="112"/>
        <v>1</v>
      </c>
      <c r="Z214" s="52">
        <f t="shared" si="112"/>
        <v>1</v>
      </c>
      <c r="AA214" s="52">
        <f t="shared" si="112"/>
        <v>1</v>
      </c>
      <c r="AB214" s="52">
        <f t="shared" si="112"/>
        <v>1</v>
      </c>
      <c r="AC214" s="52">
        <f t="shared" si="112"/>
        <v>1</v>
      </c>
      <c r="AD214" s="52">
        <f t="shared" si="112"/>
        <v>1</v>
      </c>
      <c r="AE214" s="52">
        <f t="shared" si="112"/>
        <v>1</v>
      </c>
      <c r="AF214" s="52">
        <f t="shared" si="112"/>
        <v>1</v>
      </c>
      <c r="AG214" s="52">
        <f t="shared" si="112"/>
        <v>1</v>
      </c>
      <c r="AH214" s="52">
        <f t="shared" si="112"/>
        <v>1</v>
      </c>
      <c r="AI214" s="52">
        <f t="shared" si="112"/>
        <v>1</v>
      </c>
      <c r="AJ214" s="52">
        <f t="shared" si="112"/>
        <v>1</v>
      </c>
      <c r="AK214" s="52">
        <f t="shared" si="112"/>
        <v>1</v>
      </c>
      <c r="AL214" s="52">
        <f t="shared" si="112"/>
        <v>1</v>
      </c>
      <c r="AM214" s="52">
        <f t="shared" si="112"/>
        <v>1</v>
      </c>
      <c r="AN214" s="52">
        <f t="shared" si="112"/>
        <v>1</v>
      </c>
      <c r="AO214" s="52">
        <f t="shared" si="112"/>
        <v>1</v>
      </c>
      <c r="AP214" s="52">
        <f t="shared" si="112"/>
        <v>1</v>
      </c>
      <c r="AQ214" s="52">
        <f t="shared" si="112"/>
        <v>1</v>
      </c>
      <c r="AR214" s="52">
        <f t="shared" si="112"/>
        <v>1</v>
      </c>
      <c r="AS214" s="52">
        <f t="shared" si="112"/>
        <v>1</v>
      </c>
      <c r="AT214" s="52">
        <f t="shared" si="112"/>
        <v>1</v>
      </c>
      <c r="AU214" s="52">
        <f t="shared" si="112"/>
        <v>1</v>
      </c>
      <c r="AV214" s="52">
        <f t="shared" si="112"/>
        <v>1</v>
      </c>
      <c r="AW214" s="52">
        <f t="shared" si="112"/>
        <v>1</v>
      </c>
      <c r="AX214" s="52">
        <f t="shared" si="112"/>
        <v>1</v>
      </c>
      <c r="AY214" s="52">
        <f t="shared" si="112"/>
        <v>1</v>
      </c>
      <c r="AZ214" s="52">
        <f t="shared" si="112"/>
        <v>1</v>
      </c>
      <c r="BA214" s="52">
        <f t="shared" si="112"/>
        <v>1</v>
      </c>
      <c r="BB214" s="52">
        <f t="shared" si="112"/>
        <v>1</v>
      </c>
      <c r="BC214" s="52">
        <f t="shared" si="112"/>
        <v>1</v>
      </c>
      <c r="BD214" s="52">
        <f t="shared" si="112"/>
        <v>1</v>
      </c>
      <c r="BE214" s="52">
        <f t="shared" si="112"/>
        <v>1</v>
      </c>
      <c r="BF214" s="52">
        <f t="shared" si="112"/>
        <v>1</v>
      </c>
      <c r="BG214" s="52">
        <f t="shared" si="112"/>
        <v>1</v>
      </c>
      <c r="BH214" s="52">
        <f t="shared" si="112"/>
        <v>1</v>
      </c>
      <c r="BI214" s="52">
        <f t="shared" si="112"/>
        <v>1</v>
      </c>
      <c r="BJ214" s="52">
        <f t="shared" si="112"/>
        <v>1</v>
      </c>
      <c r="BK214" s="52">
        <f t="shared" si="112"/>
        <v>1</v>
      </c>
      <c r="BL214" s="52">
        <f t="shared" si="112"/>
        <v>1</v>
      </c>
      <c r="BM214" s="52">
        <f t="shared" si="112"/>
        <v>1</v>
      </c>
      <c r="BN214" s="52">
        <f t="shared" si="112"/>
        <v>1</v>
      </c>
      <c r="BO214" s="32">
        <f t="shared" si="109"/>
        <v>0.7664783427495292</v>
      </c>
    </row>
    <row r="215" spans="1:67" s="27" customFormat="1" ht="18.75" customHeight="1" x14ac:dyDescent="0.25">
      <c r="A215" s="46" t="s">
        <v>437</v>
      </c>
      <c r="B215" s="46" t="s">
        <v>438</v>
      </c>
      <c r="C215" s="46" t="s">
        <v>126</v>
      </c>
      <c r="D215" s="47">
        <f>VLOOKUP(A215,'[1]Cuadro Control'!C251:J2145,8,FALSE)</f>
        <v>9527825.6870364472</v>
      </c>
      <c r="E215" s="48">
        <f t="shared" si="111"/>
        <v>1.794698454439963E-3</v>
      </c>
      <c r="F215" s="49">
        <v>46311</v>
      </c>
      <c r="G215" s="49">
        <v>46315</v>
      </c>
      <c r="H215" s="48">
        <f t="shared" si="112"/>
        <v>0</v>
      </c>
      <c r="I215" s="48">
        <f t="shared" si="112"/>
        <v>0</v>
      </c>
      <c r="J215" s="48">
        <f t="shared" si="112"/>
        <v>0</v>
      </c>
      <c r="K215" s="48">
        <f t="shared" si="112"/>
        <v>0</v>
      </c>
      <c r="L215" s="48">
        <f t="shared" si="112"/>
        <v>0</v>
      </c>
      <c r="M215" s="48">
        <f t="shared" si="112"/>
        <v>0</v>
      </c>
      <c r="N215" s="48">
        <f t="shared" si="112"/>
        <v>0</v>
      </c>
      <c r="O215" s="48">
        <f t="shared" si="112"/>
        <v>0</v>
      </c>
      <c r="P215" s="48">
        <f t="shared" si="112"/>
        <v>0</v>
      </c>
      <c r="Q215" s="48">
        <f t="shared" si="112"/>
        <v>0</v>
      </c>
      <c r="R215" s="48">
        <f t="shared" si="112"/>
        <v>0</v>
      </c>
      <c r="S215" s="48">
        <f t="shared" si="112"/>
        <v>0</v>
      </c>
      <c r="T215" s="48">
        <f t="shared" si="112"/>
        <v>0</v>
      </c>
      <c r="U215" s="48">
        <f t="shared" si="112"/>
        <v>0</v>
      </c>
      <c r="V215" s="48">
        <f t="shared" si="112"/>
        <v>0.2</v>
      </c>
      <c r="W215" s="48">
        <f t="shared" si="112"/>
        <v>1</v>
      </c>
      <c r="X215" s="48">
        <f t="shared" si="112"/>
        <v>1</v>
      </c>
      <c r="Y215" s="48">
        <f t="shared" si="112"/>
        <v>1</v>
      </c>
      <c r="Z215" s="48">
        <f t="shared" si="112"/>
        <v>1</v>
      </c>
      <c r="AA215" s="48">
        <f t="shared" si="112"/>
        <v>1</v>
      </c>
      <c r="AB215" s="48">
        <f t="shared" si="112"/>
        <v>1</v>
      </c>
      <c r="AC215" s="48">
        <f t="shared" si="112"/>
        <v>1</v>
      </c>
      <c r="AD215" s="48">
        <f t="shared" si="112"/>
        <v>1</v>
      </c>
      <c r="AE215" s="48">
        <f t="shared" si="112"/>
        <v>1</v>
      </c>
      <c r="AF215" s="48">
        <f t="shared" si="112"/>
        <v>1</v>
      </c>
      <c r="AG215" s="48">
        <f t="shared" si="112"/>
        <v>1</v>
      </c>
      <c r="AH215" s="48">
        <f t="shared" si="112"/>
        <v>1</v>
      </c>
      <c r="AI215" s="48">
        <f t="shared" si="112"/>
        <v>1</v>
      </c>
      <c r="AJ215" s="48">
        <f t="shared" si="112"/>
        <v>1</v>
      </c>
      <c r="AK215" s="48">
        <f t="shared" si="112"/>
        <v>1</v>
      </c>
      <c r="AL215" s="48">
        <f t="shared" si="112"/>
        <v>1</v>
      </c>
      <c r="AM215" s="48">
        <f t="shared" si="112"/>
        <v>1</v>
      </c>
      <c r="AN215" s="48">
        <f t="shared" si="112"/>
        <v>1</v>
      </c>
      <c r="AO215" s="48">
        <f t="shared" si="112"/>
        <v>1</v>
      </c>
      <c r="AP215" s="48">
        <f t="shared" si="112"/>
        <v>1</v>
      </c>
      <c r="AQ215" s="48">
        <f t="shared" si="112"/>
        <v>1</v>
      </c>
      <c r="AR215" s="48">
        <f t="shared" si="112"/>
        <v>1</v>
      </c>
      <c r="AS215" s="48">
        <f t="shared" si="112"/>
        <v>1</v>
      </c>
      <c r="AT215" s="48">
        <f t="shared" si="112"/>
        <v>1</v>
      </c>
      <c r="AU215" s="48">
        <f t="shared" si="112"/>
        <v>1</v>
      </c>
      <c r="AV215" s="48">
        <f t="shared" si="112"/>
        <v>1</v>
      </c>
      <c r="AW215" s="48">
        <f t="shared" si="112"/>
        <v>1</v>
      </c>
      <c r="AX215" s="48">
        <f t="shared" si="112"/>
        <v>1</v>
      </c>
      <c r="AY215" s="48">
        <f t="shared" si="112"/>
        <v>1</v>
      </c>
      <c r="AZ215" s="48">
        <f t="shared" si="112"/>
        <v>1</v>
      </c>
      <c r="BA215" s="48">
        <f t="shared" si="112"/>
        <v>1</v>
      </c>
      <c r="BB215" s="48">
        <f t="shared" si="112"/>
        <v>1</v>
      </c>
      <c r="BC215" s="48">
        <f t="shared" si="112"/>
        <v>1</v>
      </c>
      <c r="BD215" s="48">
        <f t="shared" si="112"/>
        <v>1</v>
      </c>
      <c r="BE215" s="48">
        <f t="shared" si="112"/>
        <v>1</v>
      </c>
      <c r="BF215" s="48">
        <f t="shared" si="112"/>
        <v>1</v>
      </c>
      <c r="BG215" s="48">
        <f t="shared" si="112"/>
        <v>1</v>
      </c>
      <c r="BH215" s="48">
        <f t="shared" si="112"/>
        <v>1</v>
      </c>
      <c r="BI215" s="48">
        <f t="shared" si="112"/>
        <v>1</v>
      </c>
      <c r="BJ215" s="48">
        <f t="shared" si="112"/>
        <v>1</v>
      </c>
      <c r="BK215" s="48">
        <f t="shared" si="112"/>
        <v>1</v>
      </c>
      <c r="BL215" s="48">
        <f t="shared" si="112"/>
        <v>1</v>
      </c>
      <c r="BM215" s="48">
        <f t="shared" si="112"/>
        <v>1</v>
      </c>
      <c r="BN215" s="48">
        <f t="shared" si="112"/>
        <v>1</v>
      </c>
      <c r="BO215" s="32">
        <f t="shared" si="109"/>
        <v>0.74915254237288142</v>
      </c>
    </row>
    <row r="216" spans="1:67" s="27" customFormat="1" ht="18.75" customHeight="1" x14ac:dyDescent="0.25">
      <c r="A216" s="50" t="s">
        <v>439</v>
      </c>
      <c r="B216" s="50" t="s">
        <v>440</v>
      </c>
      <c r="C216" s="50" t="s">
        <v>117</v>
      </c>
      <c r="D216" s="51">
        <f>VLOOKUP(A216,'[1]Cuadro Control'!C252:J2146,8,FALSE)</f>
        <v>320494616.71764702</v>
      </c>
      <c r="E216" s="52">
        <f t="shared" si="111"/>
        <v>6.0369617599332674E-2</v>
      </c>
      <c r="F216" s="53">
        <v>46315</v>
      </c>
      <c r="G216" s="53">
        <v>46319</v>
      </c>
      <c r="H216" s="52">
        <f t="shared" si="112"/>
        <v>0</v>
      </c>
      <c r="I216" s="52">
        <f t="shared" si="112"/>
        <v>0</v>
      </c>
      <c r="J216" s="52">
        <f t="shared" si="112"/>
        <v>0</v>
      </c>
      <c r="K216" s="52">
        <f t="shared" si="112"/>
        <v>0</v>
      </c>
      <c r="L216" s="52">
        <f t="shared" si="112"/>
        <v>0</v>
      </c>
      <c r="M216" s="52">
        <f t="shared" si="112"/>
        <v>0</v>
      </c>
      <c r="N216" s="52">
        <f t="shared" si="112"/>
        <v>0</v>
      </c>
      <c r="O216" s="52">
        <f t="shared" si="112"/>
        <v>0</v>
      </c>
      <c r="P216" s="52">
        <f t="shared" si="112"/>
        <v>0</v>
      </c>
      <c r="Q216" s="52">
        <f t="shared" si="112"/>
        <v>0</v>
      </c>
      <c r="R216" s="52">
        <f t="shared" si="112"/>
        <v>0</v>
      </c>
      <c r="S216" s="52">
        <f t="shared" si="112"/>
        <v>0</v>
      </c>
      <c r="T216" s="52">
        <f t="shared" si="112"/>
        <v>0</v>
      </c>
      <c r="U216" s="52">
        <f t="shared" si="112"/>
        <v>0</v>
      </c>
      <c r="V216" s="52">
        <f t="shared" si="112"/>
        <v>0</v>
      </c>
      <c r="W216" s="52">
        <f t="shared" si="112"/>
        <v>0.8</v>
      </c>
      <c r="X216" s="52">
        <f t="shared" si="112"/>
        <v>1</v>
      </c>
      <c r="Y216" s="52">
        <f t="shared" si="112"/>
        <v>1</v>
      </c>
      <c r="Z216" s="52">
        <f t="shared" si="112"/>
        <v>1</v>
      </c>
      <c r="AA216" s="52">
        <f t="shared" si="112"/>
        <v>1</v>
      </c>
      <c r="AB216" s="52">
        <f t="shared" si="112"/>
        <v>1</v>
      </c>
      <c r="AC216" s="52">
        <f t="shared" si="112"/>
        <v>1</v>
      </c>
      <c r="AD216" s="52">
        <f t="shared" si="112"/>
        <v>1</v>
      </c>
      <c r="AE216" s="52">
        <f t="shared" si="112"/>
        <v>1</v>
      </c>
      <c r="AF216" s="52">
        <f t="shared" si="112"/>
        <v>1</v>
      </c>
      <c r="AG216" s="52">
        <f t="shared" si="112"/>
        <v>1</v>
      </c>
      <c r="AH216" s="52">
        <f t="shared" si="112"/>
        <v>1</v>
      </c>
      <c r="AI216" s="52">
        <f t="shared" si="112"/>
        <v>1</v>
      </c>
      <c r="AJ216" s="52">
        <f t="shared" si="112"/>
        <v>1</v>
      </c>
      <c r="AK216" s="52">
        <f t="shared" si="112"/>
        <v>1</v>
      </c>
      <c r="AL216" s="52">
        <f t="shared" si="112"/>
        <v>1</v>
      </c>
      <c r="AM216" s="52">
        <f t="shared" si="112"/>
        <v>1</v>
      </c>
      <c r="AN216" s="52">
        <f t="shared" si="112"/>
        <v>1</v>
      </c>
      <c r="AO216" s="52">
        <f t="shared" si="112"/>
        <v>1</v>
      </c>
      <c r="AP216" s="52">
        <f t="shared" si="112"/>
        <v>1</v>
      </c>
      <c r="AQ216" s="52">
        <f t="shared" si="112"/>
        <v>1</v>
      </c>
      <c r="AR216" s="52">
        <f t="shared" si="112"/>
        <v>1</v>
      </c>
      <c r="AS216" s="52">
        <f t="shared" si="112"/>
        <v>1</v>
      </c>
      <c r="AT216" s="52">
        <f t="shared" si="112"/>
        <v>1</v>
      </c>
      <c r="AU216" s="52">
        <f t="shared" si="112"/>
        <v>1</v>
      </c>
      <c r="AV216" s="52">
        <f t="shared" si="112"/>
        <v>1</v>
      </c>
      <c r="AW216" s="52">
        <f t="shared" si="112"/>
        <v>1</v>
      </c>
      <c r="AX216" s="52">
        <f t="shared" si="112"/>
        <v>1</v>
      </c>
      <c r="AY216" s="52">
        <f t="shared" si="112"/>
        <v>1</v>
      </c>
      <c r="AZ216" s="52">
        <f t="shared" si="112"/>
        <v>1</v>
      </c>
      <c r="BA216" s="52">
        <f t="shared" si="112"/>
        <v>1</v>
      </c>
      <c r="BB216" s="52">
        <f t="shared" si="112"/>
        <v>1</v>
      </c>
      <c r="BC216" s="52">
        <f t="shared" si="112"/>
        <v>1</v>
      </c>
      <c r="BD216" s="52">
        <f t="shared" si="112"/>
        <v>1</v>
      </c>
      <c r="BE216" s="52">
        <f t="shared" si="112"/>
        <v>1</v>
      </c>
      <c r="BF216" s="52">
        <f t="shared" si="112"/>
        <v>1</v>
      </c>
      <c r="BG216" s="52">
        <f t="shared" si="112"/>
        <v>1</v>
      </c>
      <c r="BH216" s="52">
        <f t="shared" si="112"/>
        <v>1</v>
      </c>
      <c r="BI216" s="52">
        <f t="shared" si="112"/>
        <v>1</v>
      </c>
      <c r="BJ216" s="52">
        <f t="shared" si="112"/>
        <v>1</v>
      </c>
      <c r="BK216" s="52">
        <f t="shared" si="112"/>
        <v>1</v>
      </c>
      <c r="BL216" s="52">
        <f t="shared" si="112"/>
        <v>1</v>
      </c>
      <c r="BM216" s="52">
        <f t="shared" si="112"/>
        <v>1</v>
      </c>
      <c r="BN216" s="52">
        <f t="shared" si="112"/>
        <v>1</v>
      </c>
      <c r="BO216" s="32">
        <f t="shared" si="109"/>
        <v>0.74237288135593216</v>
      </c>
    </row>
    <row r="217" spans="1:67" s="27" customFormat="1" ht="18.75" customHeight="1" x14ac:dyDescent="0.25">
      <c r="A217" s="50" t="s">
        <v>441</v>
      </c>
      <c r="B217" s="50" t="s">
        <v>442</v>
      </c>
      <c r="C217" s="50" t="s">
        <v>111</v>
      </c>
      <c r="D217" s="51">
        <f>VLOOKUP(A217,'[1]Cuadro Control'!C253:J2147,8,FALSE)</f>
        <v>94303618.549411759</v>
      </c>
      <c r="E217" s="52">
        <f t="shared" si="111"/>
        <v>1.7763397864110998E-2</v>
      </c>
      <c r="F217" s="53">
        <v>46319</v>
      </c>
      <c r="G217" s="53">
        <v>46321</v>
      </c>
      <c r="H217" s="52">
        <f t="shared" si="112"/>
        <v>0</v>
      </c>
      <c r="I217" s="52">
        <f t="shared" si="112"/>
        <v>0</v>
      </c>
      <c r="J217" s="52">
        <f t="shared" si="112"/>
        <v>0</v>
      </c>
      <c r="K217" s="52">
        <f t="shared" si="112"/>
        <v>0</v>
      </c>
      <c r="L217" s="52">
        <f t="shared" si="112"/>
        <v>0</v>
      </c>
      <c r="M217" s="52">
        <f t="shared" si="112"/>
        <v>0</v>
      </c>
      <c r="N217" s="52">
        <f t="shared" si="112"/>
        <v>0</v>
      </c>
      <c r="O217" s="52">
        <f t="shared" si="112"/>
        <v>0</v>
      </c>
      <c r="P217" s="52">
        <f t="shared" si="112"/>
        <v>0</v>
      </c>
      <c r="Q217" s="52">
        <f t="shared" si="112"/>
        <v>0</v>
      </c>
      <c r="R217" s="52">
        <f t="shared" si="112"/>
        <v>0</v>
      </c>
      <c r="S217" s="52">
        <f t="shared" si="112"/>
        <v>0</v>
      </c>
      <c r="T217" s="52">
        <f t="shared" si="112"/>
        <v>0</v>
      </c>
      <c r="U217" s="52">
        <f t="shared" si="112"/>
        <v>0</v>
      </c>
      <c r="V217" s="52">
        <f t="shared" si="112"/>
        <v>0</v>
      </c>
      <c r="W217" s="52">
        <f t="shared" si="112"/>
        <v>0</v>
      </c>
      <c r="X217" s="52">
        <f t="shared" si="112"/>
        <v>1</v>
      </c>
      <c r="Y217" s="52">
        <f t="shared" si="112"/>
        <v>1</v>
      </c>
      <c r="Z217" s="52">
        <f t="shared" si="112"/>
        <v>1</v>
      </c>
      <c r="AA217" s="52">
        <f t="shared" ref="AA217:BF228" si="113">IF($F217=0,0,IF(AA$6&lt;$F217,0,IF(AA$6&gt;$G217,1,(AA$6-$F217+1)/($G217-$F217+1))))</f>
        <v>1</v>
      </c>
      <c r="AB217" s="52">
        <f t="shared" si="113"/>
        <v>1</v>
      </c>
      <c r="AC217" s="52">
        <f t="shared" si="113"/>
        <v>1</v>
      </c>
      <c r="AD217" s="52">
        <f t="shared" si="113"/>
        <v>1</v>
      </c>
      <c r="AE217" s="52">
        <f t="shared" si="113"/>
        <v>1</v>
      </c>
      <c r="AF217" s="52">
        <f t="shared" si="113"/>
        <v>1</v>
      </c>
      <c r="AG217" s="52">
        <f t="shared" si="113"/>
        <v>1</v>
      </c>
      <c r="AH217" s="52">
        <f t="shared" si="113"/>
        <v>1</v>
      </c>
      <c r="AI217" s="52">
        <f t="shared" si="113"/>
        <v>1</v>
      </c>
      <c r="AJ217" s="52">
        <f t="shared" si="113"/>
        <v>1</v>
      </c>
      <c r="AK217" s="52">
        <f t="shared" si="113"/>
        <v>1</v>
      </c>
      <c r="AL217" s="52">
        <f t="shared" si="113"/>
        <v>1</v>
      </c>
      <c r="AM217" s="52">
        <f t="shared" si="113"/>
        <v>1</v>
      </c>
      <c r="AN217" s="52">
        <f t="shared" si="113"/>
        <v>1</v>
      </c>
      <c r="AO217" s="52">
        <f t="shared" si="113"/>
        <v>1</v>
      </c>
      <c r="AP217" s="52">
        <f t="shared" si="113"/>
        <v>1</v>
      </c>
      <c r="AQ217" s="52">
        <f t="shared" si="113"/>
        <v>1</v>
      </c>
      <c r="AR217" s="52">
        <f t="shared" si="113"/>
        <v>1</v>
      </c>
      <c r="AS217" s="52">
        <f t="shared" si="113"/>
        <v>1</v>
      </c>
      <c r="AT217" s="52">
        <f t="shared" si="113"/>
        <v>1</v>
      </c>
      <c r="AU217" s="52">
        <f t="shared" si="113"/>
        <v>1</v>
      </c>
      <c r="AV217" s="52">
        <f t="shared" si="113"/>
        <v>1</v>
      </c>
      <c r="AW217" s="52">
        <f t="shared" si="113"/>
        <v>1</v>
      </c>
      <c r="AX217" s="52">
        <f t="shared" si="113"/>
        <v>1</v>
      </c>
      <c r="AY217" s="52">
        <f t="shared" si="113"/>
        <v>1</v>
      </c>
      <c r="AZ217" s="52">
        <f t="shared" si="113"/>
        <v>1</v>
      </c>
      <c r="BA217" s="52">
        <f t="shared" si="113"/>
        <v>1</v>
      </c>
      <c r="BB217" s="52">
        <f t="shared" si="113"/>
        <v>1</v>
      </c>
      <c r="BC217" s="52">
        <f t="shared" si="113"/>
        <v>1</v>
      </c>
      <c r="BD217" s="52">
        <f t="shared" si="113"/>
        <v>1</v>
      </c>
      <c r="BE217" s="52">
        <f t="shared" si="113"/>
        <v>1</v>
      </c>
      <c r="BF217" s="52">
        <f t="shared" si="113"/>
        <v>1</v>
      </c>
      <c r="BG217" s="52">
        <f t="shared" ref="BG217:BN228" si="114">IF($F217=0,0,IF(BG$6&lt;$F217,0,IF(BG$6&gt;$G217,1,(BG$6-$F217+1)/($G217-$F217+1))))</f>
        <v>1</v>
      </c>
      <c r="BH217" s="52">
        <f t="shared" si="114"/>
        <v>1</v>
      </c>
      <c r="BI217" s="52">
        <f t="shared" si="114"/>
        <v>1</v>
      </c>
      <c r="BJ217" s="52">
        <f t="shared" si="114"/>
        <v>1</v>
      </c>
      <c r="BK217" s="52">
        <f t="shared" si="114"/>
        <v>1</v>
      </c>
      <c r="BL217" s="52">
        <f t="shared" si="114"/>
        <v>1</v>
      </c>
      <c r="BM217" s="52">
        <f t="shared" si="114"/>
        <v>1</v>
      </c>
      <c r="BN217" s="52">
        <f t="shared" si="114"/>
        <v>1</v>
      </c>
      <c r="BO217" s="32">
        <f t="shared" si="109"/>
        <v>0.72881355932203384</v>
      </c>
    </row>
    <row r="218" spans="1:67" s="27" customFormat="1" ht="18.75" customHeight="1" x14ac:dyDescent="0.25">
      <c r="A218" s="50" t="s">
        <v>443</v>
      </c>
      <c r="B218" s="50" t="s">
        <v>444</v>
      </c>
      <c r="C218" s="50" t="s">
        <v>238</v>
      </c>
      <c r="D218" s="51">
        <f>VLOOKUP(A218,'[1]Cuadro Control'!C254:J2148,8,FALSE)</f>
        <v>179436034.15411764</v>
      </c>
      <c r="E218" s="52">
        <f t="shared" si="111"/>
        <v>3.3799272126209236E-2</v>
      </c>
      <c r="F218" s="53">
        <v>46322</v>
      </c>
      <c r="G218" s="53">
        <v>46326</v>
      </c>
      <c r="H218" s="52">
        <f t="shared" ref="H218:W228" si="115">IF($F218=0,0,IF(H$6&lt;$F218,0,IF(H$6&gt;$G218,1,(H$6-$F218+1)/($G218-$F218+1))))</f>
        <v>0</v>
      </c>
      <c r="I218" s="52">
        <f t="shared" si="115"/>
        <v>0</v>
      </c>
      <c r="J218" s="52">
        <f t="shared" si="115"/>
        <v>0</v>
      </c>
      <c r="K218" s="52">
        <f t="shared" si="115"/>
        <v>0</v>
      </c>
      <c r="L218" s="52">
        <f t="shared" si="115"/>
        <v>0</v>
      </c>
      <c r="M218" s="52">
        <f t="shared" si="115"/>
        <v>0</v>
      </c>
      <c r="N218" s="52">
        <f t="shared" si="115"/>
        <v>0</v>
      </c>
      <c r="O218" s="52">
        <f t="shared" si="115"/>
        <v>0</v>
      </c>
      <c r="P218" s="52">
        <f t="shared" si="115"/>
        <v>0</v>
      </c>
      <c r="Q218" s="52">
        <f t="shared" si="115"/>
        <v>0</v>
      </c>
      <c r="R218" s="52">
        <f t="shared" si="115"/>
        <v>0</v>
      </c>
      <c r="S218" s="52">
        <f t="shared" si="115"/>
        <v>0</v>
      </c>
      <c r="T218" s="52">
        <f t="shared" si="115"/>
        <v>0</v>
      </c>
      <c r="U218" s="52">
        <f t="shared" si="115"/>
        <v>0</v>
      </c>
      <c r="V218" s="52">
        <f t="shared" si="115"/>
        <v>0</v>
      </c>
      <c r="W218" s="52">
        <f t="shared" si="115"/>
        <v>0</v>
      </c>
      <c r="X218" s="52">
        <f t="shared" ref="X218:BC228" si="116">IF($F218=0,0,IF(X$6&lt;$F218,0,IF(X$6&gt;$G218,1,(X$6-$F218+1)/($G218-$F218+1))))</f>
        <v>0.8</v>
      </c>
      <c r="Y218" s="52">
        <f t="shared" si="116"/>
        <v>1</v>
      </c>
      <c r="Z218" s="52">
        <f t="shared" si="116"/>
        <v>1</v>
      </c>
      <c r="AA218" s="52">
        <f t="shared" si="116"/>
        <v>1</v>
      </c>
      <c r="AB218" s="52">
        <f t="shared" si="116"/>
        <v>1</v>
      </c>
      <c r="AC218" s="52">
        <f t="shared" si="116"/>
        <v>1</v>
      </c>
      <c r="AD218" s="52">
        <f t="shared" si="116"/>
        <v>1</v>
      </c>
      <c r="AE218" s="52">
        <f t="shared" si="116"/>
        <v>1</v>
      </c>
      <c r="AF218" s="52">
        <f t="shared" si="116"/>
        <v>1</v>
      </c>
      <c r="AG218" s="52">
        <f t="shared" si="116"/>
        <v>1</v>
      </c>
      <c r="AH218" s="52">
        <f t="shared" si="116"/>
        <v>1</v>
      </c>
      <c r="AI218" s="52">
        <f t="shared" si="116"/>
        <v>1</v>
      </c>
      <c r="AJ218" s="52">
        <f t="shared" si="116"/>
        <v>1</v>
      </c>
      <c r="AK218" s="52">
        <f t="shared" si="116"/>
        <v>1</v>
      </c>
      <c r="AL218" s="52">
        <f t="shared" si="116"/>
        <v>1</v>
      </c>
      <c r="AM218" s="52">
        <f t="shared" si="116"/>
        <v>1</v>
      </c>
      <c r="AN218" s="52">
        <f t="shared" si="116"/>
        <v>1</v>
      </c>
      <c r="AO218" s="52">
        <f t="shared" si="113"/>
        <v>1</v>
      </c>
      <c r="AP218" s="52">
        <f t="shared" si="113"/>
        <v>1</v>
      </c>
      <c r="AQ218" s="52">
        <f t="shared" si="113"/>
        <v>1</v>
      </c>
      <c r="AR218" s="52">
        <f t="shared" si="113"/>
        <v>1</v>
      </c>
      <c r="AS218" s="52">
        <f t="shared" si="113"/>
        <v>1</v>
      </c>
      <c r="AT218" s="52">
        <f t="shared" si="113"/>
        <v>1</v>
      </c>
      <c r="AU218" s="52">
        <f t="shared" si="113"/>
        <v>1</v>
      </c>
      <c r="AV218" s="52">
        <f t="shared" si="113"/>
        <v>1</v>
      </c>
      <c r="AW218" s="52">
        <f t="shared" si="113"/>
        <v>1</v>
      </c>
      <c r="AX218" s="52">
        <f t="shared" si="113"/>
        <v>1</v>
      </c>
      <c r="AY218" s="52">
        <f t="shared" si="113"/>
        <v>1</v>
      </c>
      <c r="AZ218" s="52">
        <f t="shared" si="113"/>
        <v>1</v>
      </c>
      <c r="BA218" s="52">
        <f t="shared" si="113"/>
        <v>1</v>
      </c>
      <c r="BB218" s="52">
        <f t="shared" si="113"/>
        <v>1</v>
      </c>
      <c r="BC218" s="52">
        <f t="shared" si="113"/>
        <v>1</v>
      </c>
      <c r="BD218" s="52">
        <f t="shared" si="113"/>
        <v>1</v>
      </c>
      <c r="BE218" s="52">
        <f t="shared" si="113"/>
        <v>1</v>
      </c>
      <c r="BF218" s="52">
        <f t="shared" si="113"/>
        <v>1</v>
      </c>
      <c r="BG218" s="52">
        <f t="shared" si="114"/>
        <v>1</v>
      </c>
      <c r="BH218" s="52">
        <f t="shared" si="114"/>
        <v>1</v>
      </c>
      <c r="BI218" s="52">
        <f t="shared" si="114"/>
        <v>1</v>
      </c>
      <c r="BJ218" s="52">
        <f t="shared" si="114"/>
        <v>1</v>
      </c>
      <c r="BK218" s="52">
        <f t="shared" si="114"/>
        <v>1</v>
      </c>
      <c r="BL218" s="52">
        <f t="shared" si="114"/>
        <v>1</v>
      </c>
      <c r="BM218" s="52">
        <f t="shared" si="114"/>
        <v>1</v>
      </c>
      <c r="BN218" s="52">
        <f t="shared" si="114"/>
        <v>1</v>
      </c>
      <c r="BO218" s="32">
        <f t="shared" si="109"/>
        <v>0.72542372881355932</v>
      </c>
    </row>
    <row r="219" spans="1:67" s="27" customFormat="1" ht="18.75" customHeight="1" x14ac:dyDescent="0.25">
      <c r="A219" s="50" t="s">
        <v>445</v>
      </c>
      <c r="B219" s="50" t="s">
        <v>446</v>
      </c>
      <c r="C219" s="50" t="s">
        <v>58</v>
      </c>
      <c r="D219" s="51">
        <f>VLOOKUP(A219,'[1]Cuadro Control'!C255:J2149,8,FALSE)</f>
        <v>1212623361.2117648</v>
      </c>
      <c r="E219" s="52">
        <f t="shared" si="111"/>
        <v>0.22841447185013161</v>
      </c>
      <c r="F219" s="53">
        <v>46326</v>
      </c>
      <c r="G219" s="53">
        <v>46344</v>
      </c>
      <c r="H219" s="52">
        <f t="shared" si="115"/>
        <v>0</v>
      </c>
      <c r="I219" s="52">
        <f t="shared" si="115"/>
        <v>0</v>
      </c>
      <c r="J219" s="52">
        <f t="shared" si="115"/>
        <v>0</v>
      </c>
      <c r="K219" s="52">
        <f t="shared" si="115"/>
        <v>0</v>
      </c>
      <c r="L219" s="52">
        <f t="shared" si="115"/>
        <v>0</v>
      </c>
      <c r="M219" s="52">
        <f t="shared" si="115"/>
        <v>0</v>
      </c>
      <c r="N219" s="52">
        <f t="shared" si="115"/>
        <v>0</v>
      </c>
      <c r="O219" s="52">
        <f t="shared" si="115"/>
        <v>0</v>
      </c>
      <c r="P219" s="52">
        <f t="shared" si="115"/>
        <v>0</v>
      </c>
      <c r="Q219" s="52">
        <f t="shared" si="115"/>
        <v>0</v>
      </c>
      <c r="R219" s="52">
        <f t="shared" si="115"/>
        <v>0</v>
      </c>
      <c r="S219" s="52">
        <f t="shared" si="115"/>
        <v>0</v>
      </c>
      <c r="T219" s="52">
        <f t="shared" si="115"/>
        <v>0</v>
      </c>
      <c r="U219" s="52">
        <f t="shared" si="115"/>
        <v>0</v>
      </c>
      <c r="V219" s="52">
        <f t="shared" si="115"/>
        <v>0</v>
      </c>
      <c r="W219" s="52">
        <f t="shared" si="115"/>
        <v>0</v>
      </c>
      <c r="X219" s="52">
        <f t="shared" si="116"/>
        <v>0</v>
      </c>
      <c r="Y219" s="52">
        <f t="shared" si="116"/>
        <v>0.36842105263157893</v>
      </c>
      <c r="Z219" s="52">
        <f t="shared" si="116"/>
        <v>0.73684210526315785</v>
      </c>
      <c r="AA219" s="52">
        <f t="shared" si="116"/>
        <v>1</v>
      </c>
      <c r="AB219" s="52">
        <f t="shared" si="116"/>
        <v>1</v>
      </c>
      <c r="AC219" s="52">
        <f t="shared" si="116"/>
        <v>1</v>
      </c>
      <c r="AD219" s="52">
        <f t="shared" si="116"/>
        <v>1</v>
      </c>
      <c r="AE219" s="52">
        <f t="shared" si="116"/>
        <v>1</v>
      </c>
      <c r="AF219" s="52">
        <f t="shared" si="116"/>
        <v>1</v>
      </c>
      <c r="AG219" s="52">
        <f t="shared" si="116"/>
        <v>1</v>
      </c>
      <c r="AH219" s="52">
        <f t="shared" si="116"/>
        <v>1</v>
      </c>
      <c r="AI219" s="52">
        <f t="shared" si="116"/>
        <v>1</v>
      </c>
      <c r="AJ219" s="52">
        <f t="shared" si="116"/>
        <v>1</v>
      </c>
      <c r="AK219" s="52">
        <f t="shared" si="116"/>
        <v>1</v>
      </c>
      <c r="AL219" s="52">
        <f t="shared" si="116"/>
        <v>1</v>
      </c>
      <c r="AM219" s="52">
        <f t="shared" si="116"/>
        <v>1</v>
      </c>
      <c r="AN219" s="52">
        <f t="shared" si="116"/>
        <v>1</v>
      </c>
      <c r="AO219" s="52">
        <f t="shared" si="113"/>
        <v>1</v>
      </c>
      <c r="AP219" s="52">
        <f t="shared" si="113"/>
        <v>1</v>
      </c>
      <c r="AQ219" s="52">
        <f t="shared" si="113"/>
        <v>1</v>
      </c>
      <c r="AR219" s="52">
        <f t="shared" si="113"/>
        <v>1</v>
      </c>
      <c r="AS219" s="52">
        <f t="shared" si="113"/>
        <v>1</v>
      </c>
      <c r="AT219" s="52">
        <f t="shared" si="113"/>
        <v>1</v>
      </c>
      <c r="AU219" s="52">
        <f t="shared" si="113"/>
        <v>1</v>
      </c>
      <c r="AV219" s="52">
        <f t="shared" si="113"/>
        <v>1</v>
      </c>
      <c r="AW219" s="52">
        <f t="shared" si="113"/>
        <v>1</v>
      </c>
      <c r="AX219" s="52">
        <f t="shared" si="113"/>
        <v>1</v>
      </c>
      <c r="AY219" s="52">
        <f t="shared" si="113"/>
        <v>1</v>
      </c>
      <c r="AZ219" s="52">
        <f t="shared" si="113"/>
        <v>1</v>
      </c>
      <c r="BA219" s="52">
        <f t="shared" si="113"/>
        <v>1</v>
      </c>
      <c r="BB219" s="52">
        <f t="shared" si="113"/>
        <v>1</v>
      </c>
      <c r="BC219" s="52">
        <f t="shared" si="113"/>
        <v>1</v>
      </c>
      <c r="BD219" s="52">
        <f t="shared" si="113"/>
        <v>1</v>
      </c>
      <c r="BE219" s="52">
        <f t="shared" si="113"/>
        <v>1</v>
      </c>
      <c r="BF219" s="52">
        <f t="shared" si="113"/>
        <v>1</v>
      </c>
      <c r="BG219" s="52">
        <f t="shared" si="114"/>
        <v>1</v>
      </c>
      <c r="BH219" s="52">
        <f t="shared" si="114"/>
        <v>1</v>
      </c>
      <c r="BI219" s="52">
        <f t="shared" si="114"/>
        <v>1</v>
      </c>
      <c r="BJ219" s="52">
        <f t="shared" si="114"/>
        <v>1</v>
      </c>
      <c r="BK219" s="52">
        <f t="shared" si="114"/>
        <v>1</v>
      </c>
      <c r="BL219" s="52">
        <f t="shared" si="114"/>
        <v>1</v>
      </c>
      <c r="BM219" s="52">
        <f t="shared" si="114"/>
        <v>1</v>
      </c>
      <c r="BN219" s="52">
        <f t="shared" si="114"/>
        <v>1</v>
      </c>
      <c r="BO219" s="32">
        <f t="shared" si="109"/>
        <v>0.69669937555753791</v>
      </c>
    </row>
    <row r="220" spans="1:67" s="27" customFormat="1" ht="18.75" customHeight="1" x14ac:dyDescent="0.25">
      <c r="A220" s="50" t="s">
        <v>447</v>
      </c>
      <c r="B220" s="50" t="s">
        <v>448</v>
      </c>
      <c r="C220" s="50" t="s">
        <v>126</v>
      </c>
      <c r="D220" s="51">
        <f>VLOOKUP(A220,'[1]Cuadro Control'!C256:J2150,8,FALSE)</f>
        <v>0</v>
      </c>
      <c r="E220" s="52">
        <f t="shared" si="111"/>
        <v>0</v>
      </c>
      <c r="F220" s="53">
        <v>46344</v>
      </c>
      <c r="G220" s="53">
        <v>46347</v>
      </c>
      <c r="H220" s="52">
        <f t="shared" si="115"/>
        <v>0</v>
      </c>
      <c r="I220" s="52">
        <f t="shared" si="115"/>
        <v>0</v>
      </c>
      <c r="J220" s="52">
        <f t="shared" si="115"/>
        <v>0</v>
      </c>
      <c r="K220" s="52">
        <f t="shared" si="115"/>
        <v>0</v>
      </c>
      <c r="L220" s="52">
        <f t="shared" si="115"/>
        <v>0</v>
      </c>
      <c r="M220" s="52">
        <f t="shared" si="115"/>
        <v>0</v>
      </c>
      <c r="N220" s="52">
        <f t="shared" si="115"/>
        <v>0</v>
      </c>
      <c r="O220" s="52">
        <f t="shared" si="115"/>
        <v>0</v>
      </c>
      <c r="P220" s="52">
        <f t="shared" si="115"/>
        <v>0</v>
      </c>
      <c r="Q220" s="52">
        <f t="shared" si="115"/>
        <v>0</v>
      </c>
      <c r="R220" s="52">
        <f t="shared" si="115"/>
        <v>0</v>
      </c>
      <c r="S220" s="52">
        <f t="shared" si="115"/>
        <v>0</v>
      </c>
      <c r="T220" s="52">
        <f t="shared" si="115"/>
        <v>0</v>
      </c>
      <c r="U220" s="52">
        <f t="shared" si="115"/>
        <v>0</v>
      </c>
      <c r="V220" s="52">
        <f t="shared" si="115"/>
        <v>0</v>
      </c>
      <c r="W220" s="52">
        <f t="shared" si="115"/>
        <v>0</v>
      </c>
      <c r="X220" s="52">
        <f t="shared" si="116"/>
        <v>0</v>
      </c>
      <c r="Y220" s="52">
        <f t="shared" si="116"/>
        <v>0</v>
      </c>
      <c r="Z220" s="52">
        <f t="shared" si="116"/>
        <v>0</v>
      </c>
      <c r="AA220" s="52">
        <f t="shared" si="116"/>
        <v>0.75</v>
      </c>
      <c r="AB220" s="52">
        <f t="shared" si="116"/>
        <v>1</v>
      </c>
      <c r="AC220" s="52">
        <f t="shared" si="116"/>
        <v>1</v>
      </c>
      <c r="AD220" s="52">
        <f t="shared" si="116"/>
        <v>1</v>
      </c>
      <c r="AE220" s="52">
        <f t="shared" si="116"/>
        <v>1</v>
      </c>
      <c r="AF220" s="52">
        <f t="shared" si="116"/>
        <v>1</v>
      </c>
      <c r="AG220" s="52">
        <f t="shared" si="116"/>
        <v>1</v>
      </c>
      <c r="AH220" s="52">
        <f t="shared" si="116"/>
        <v>1</v>
      </c>
      <c r="AI220" s="52">
        <f t="shared" si="116"/>
        <v>1</v>
      </c>
      <c r="AJ220" s="52">
        <f t="shared" si="116"/>
        <v>1</v>
      </c>
      <c r="AK220" s="52">
        <f t="shared" si="116"/>
        <v>1</v>
      </c>
      <c r="AL220" s="52">
        <f t="shared" si="116"/>
        <v>1</v>
      </c>
      <c r="AM220" s="52">
        <f t="shared" si="116"/>
        <v>1</v>
      </c>
      <c r="AN220" s="52">
        <f t="shared" si="116"/>
        <v>1</v>
      </c>
      <c r="AO220" s="52">
        <f t="shared" si="113"/>
        <v>1</v>
      </c>
      <c r="AP220" s="52">
        <f t="shared" si="113"/>
        <v>1</v>
      </c>
      <c r="AQ220" s="52">
        <f t="shared" si="113"/>
        <v>1</v>
      </c>
      <c r="AR220" s="52">
        <f t="shared" si="113"/>
        <v>1</v>
      </c>
      <c r="AS220" s="52">
        <f t="shared" si="113"/>
        <v>1</v>
      </c>
      <c r="AT220" s="52">
        <f t="shared" si="113"/>
        <v>1</v>
      </c>
      <c r="AU220" s="52">
        <f t="shared" si="113"/>
        <v>1</v>
      </c>
      <c r="AV220" s="52">
        <f t="shared" si="113"/>
        <v>1</v>
      </c>
      <c r="AW220" s="52">
        <f t="shared" si="113"/>
        <v>1</v>
      </c>
      <c r="AX220" s="52">
        <f t="shared" si="113"/>
        <v>1</v>
      </c>
      <c r="AY220" s="52">
        <f t="shared" si="113"/>
        <v>1</v>
      </c>
      <c r="AZ220" s="52">
        <f t="shared" si="113"/>
        <v>1</v>
      </c>
      <c r="BA220" s="52">
        <f t="shared" si="113"/>
        <v>1</v>
      </c>
      <c r="BB220" s="52">
        <f t="shared" si="113"/>
        <v>1</v>
      </c>
      <c r="BC220" s="52">
        <f t="shared" si="113"/>
        <v>1</v>
      </c>
      <c r="BD220" s="52">
        <f t="shared" si="113"/>
        <v>1</v>
      </c>
      <c r="BE220" s="52">
        <f t="shared" si="113"/>
        <v>1</v>
      </c>
      <c r="BF220" s="52">
        <f t="shared" si="113"/>
        <v>1</v>
      </c>
      <c r="BG220" s="52">
        <f t="shared" si="114"/>
        <v>1</v>
      </c>
      <c r="BH220" s="52">
        <f t="shared" si="114"/>
        <v>1</v>
      </c>
      <c r="BI220" s="52">
        <f t="shared" si="114"/>
        <v>1</v>
      </c>
      <c r="BJ220" s="52">
        <f t="shared" si="114"/>
        <v>1</v>
      </c>
      <c r="BK220" s="52">
        <f t="shared" si="114"/>
        <v>1</v>
      </c>
      <c r="BL220" s="52">
        <f t="shared" si="114"/>
        <v>1</v>
      </c>
      <c r="BM220" s="52">
        <f t="shared" si="114"/>
        <v>1</v>
      </c>
      <c r="BN220" s="52">
        <f t="shared" si="114"/>
        <v>1</v>
      </c>
      <c r="BO220" s="32">
        <f t="shared" si="109"/>
        <v>0.67372881355932202</v>
      </c>
    </row>
    <row r="221" spans="1:67" s="27" customFormat="1" ht="18.75" customHeight="1" x14ac:dyDescent="0.25">
      <c r="A221" s="55" t="s">
        <v>449</v>
      </c>
      <c r="B221" s="55" t="s">
        <v>450</v>
      </c>
      <c r="C221" s="55" t="s">
        <v>14</v>
      </c>
      <c r="D221" s="56">
        <f>VLOOKUP(A221,'[1]Cuadro Control'!C257:J2151,8,FALSE)</f>
        <v>0</v>
      </c>
      <c r="E221" s="57">
        <f t="shared" si="111"/>
        <v>0</v>
      </c>
      <c r="F221" s="58">
        <v>46344</v>
      </c>
      <c r="G221" s="58">
        <v>46344</v>
      </c>
      <c r="H221" s="57">
        <f t="shared" si="115"/>
        <v>0</v>
      </c>
      <c r="I221" s="57">
        <f t="shared" si="115"/>
        <v>0</v>
      </c>
      <c r="J221" s="57">
        <f t="shared" si="115"/>
        <v>0</v>
      </c>
      <c r="K221" s="57">
        <f t="shared" si="115"/>
        <v>0</v>
      </c>
      <c r="L221" s="57">
        <f t="shared" si="115"/>
        <v>0</v>
      </c>
      <c r="M221" s="57">
        <f t="shared" si="115"/>
        <v>0</v>
      </c>
      <c r="N221" s="57">
        <f t="shared" si="115"/>
        <v>0</v>
      </c>
      <c r="O221" s="57">
        <f t="shared" si="115"/>
        <v>0</v>
      </c>
      <c r="P221" s="57">
        <f t="shared" si="115"/>
        <v>0</v>
      </c>
      <c r="Q221" s="57">
        <f t="shared" si="115"/>
        <v>0</v>
      </c>
      <c r="R221" s="57">
        <f t="shared" si="115"/>
        <v>0</v>
      </c>
      <c r="S221" s="57">
        <f t="shared" si="115"/>
        <v>0</v>
      </c>
      <c r="T221" s="57">
        <f t="shared" si="115"/>
        <v>0</v>
      </c>
      <c r="U221" s="57">
        <f t="shared" si="115"/>
        <v>0</v>
      </c>
      <c r="V221" s="57">
        <f t="shared" si="115"/>
        <v>0</v>
      </c>
      <c r="W221" s="57">
        <f t="shared" si="115"/>
        <v>0</v>
      </c>
      <c r="X221" s="57">
        <f t="shared" si="116"/>
        <v>0</v>
      </c>
      <c r="Y221" s="57">
        <f t="shared" si="116"/>
        <v>0</v>
      </c>
      <c r="Z221" s="57">
        <f t="shared" si="116"/>
        <v>0</v>
      </c>
      <c r="AA221" s="57">
        <f t="shared" si="116"/>
        <v>1</v>
      </c>
      <c r="AB221" s="57">
        <f t="shared" si="116"/>
        <v>1</v>
      </c>
      <c r="AC221" s="57">
        <f t="shared" si="116"/>
        <v>1</v>
      </c>
      <c r="AD221" s="57">
        <f t="shared" si="116"/>
        <v>1</v>
      </c>
      <c r="AE221" s="57">
        <f t="shared" si="116"/>
        <v>1</v>
      </c>
      <c r="AF221" s="57">
        <f t="shared" si="116"/>
        <v>1</v>
      </c>
      <c r="AG221" s="57">
        <f t="shared" si="116"/>
        <v>1</v>
      </c>
      <c r="AH221" s="57">
        <f t="shared" si="116"/>
        <v>1</v>
      </c>
      <c r="AI221" s="57">
        <f t="shared" si="116"/>
        <v>1</v>
      </c>
      <c r="AJ221" s="57">
        <f t="shared" si="116"/>
        <v>1</v>
      </c>
      <c r="AK221" s="57">
        <f t="shared" si="116"/>
        <v>1</v>
      </c>
      <c r="AL221" s="57">
        <f t="shared" si="116"/>
        <v>1</v>
      </c>
      <c r="AM221" s="57">
        <f t="shared" si="116"/>
        <v>1</v>
      </c>
      <c r="AN221" s="57">
        <f t="shared" si="116"/>
        <v>1</v>
      </c>
      <c r="AO221" s="57">
        <f t="shared" si="113"/>
        <v>1</v>
      </c>
      <c r="AP221" s="57">
        <f t="shared" si="113"/>
        <v>1</v>
      </c>
      <c r="AQ221" s="57">
        <f t="shared" si="113"/>
        <v>1</v>
      </c>
      <c r="AR221" s="57">
        <f t="shared" si="113"/>
        <v>1</v>
      </c>
      <c r="AS221" s="57">
        <f t="shared" si="113"/>
        <v>1</v>
      </c>
      <c r="AT221" s="57">
        <f t="shared" si="113"/>
        <v>1</v>
      </c>
      <c r="AU221" s="57">
        <f t="shared" si="113"/>
        <v>1</v>
      </c>
      <c r="AV221" s="57">
        <f t="shared" si="113"/>
        <v>1</v>
      </c>
      <c r="AW221" s="57">
        <f t="shared" si="113"/>
        <v>1</v>
      </c>
      <c r="AX221" s="57">
        <f t="shared" si="113"/>
        <v>1</v>
      </c>
      <c r="AY221" s="57">
        <f t="shared" si="113"/>
        <v>1</v>
      </c>
      <c r="AZ221" s="57">
        <f t="shared" si="113"/>
        <v>1</v>
      </c>
      <c r="BA221" s="57">
        <f t="shared" si="113"/>
        <v>1</v>
      </c>
      <c r="BB221" s="57">
        <f t="shared" si="113"/>
        <v>1</v>
      </c>
      <c r="BC221" s="57">
        <f t="shared" si="113"/>
        <v>1</v>
      </c>
      <c r="BD221" s="57">
        <f t="shared" si="113"/>
        <v>1</v>
      </c>
      <c r="BE221" s="57">
        <f t="shared" si="113"/>
        <v>1</v>
      </c>
      <c r="BF221" s="57">
        <f t="shared" si="113"/>
        <v>1</v>
      </c>
      <c r="BG221" s="57">
        <f t="shared" si="114"/>
        <v>1</v>
      </c>
      <c r="BH221" s="57">
        <f t="shared" si="114"/>
        <v>1</v>
      </c>
      <c r="BI221" s="57">
        <f t="shared" si="114"/>
        <v>1</v>
      </c>
      <c r="BJ221" s="57">
        <f t="shared" si="114"/>
        <v>1</v>
      </c>
      <c r="BK221" s="57">
        <f t="shared" si="114"/>
        <v>1</v>
      </c>
      <c r="BL221" s="57">
        <f t="shared" si="114"/>
        <v>1</v>
      </c>
      <c r="BM221" s="57">
        <f t="shared" si="114"/>
        <v>1</v>
      </c>
      <c r="BN221" s="57">
        <f t="shared" si="114"/>
        <v>1</v>
      </c>
      <c r="BO221" s="32">
        <f t="shared" si="109"/>
        <v>0.67796610169491522</v>
      </c>
    </row>
    <row r="222" spans="1:67" s="27" customFormat="1" ht="18.75" customHeight="1" x14ac:dyDescent="0.25">
      <c r="A222" s="50" t="s">
        <v>451</v>
      </c>
      <c r="B222" s="50" t="s">
        <v>452</v>
      </c>
      <c r="C222" s="50" t="s">
        <v>111</v>
      </c>
      <c r="D222" s="51">
        <f>VLOOKUP(A222,'[1]Cuadro Control'!C258:J2152,8,FALSE)</f>
        <v>1230815225.9452939</v>
      </c>
      <c r="E222" s="52">
        <f t="shared" si="111"/>
        <v>0.2318411625341423</v>
      </c>
      <c r="F222" s="53">
        <v>46347</v>
      </c>
      <c r="G222" s="53">
        <v>46349</v>
      </c>
      <c r="H222" s="52">
        <f t="shared" si="115"/>
        <v>0</v>
      </c>
      <c r="I222" s="52">
        <f t="shared" si="115"/>
        <v>0</v>
      </c>
      <c r="J222" s="52">
        <f t="shared" si="115"/>
        <v>0</v>
      </c>
      <c r="K222" s="52">
        <f t="shared" si="115"/>
        <v>0</v>
      </c>
      <c r="L222" s="52">
        <f t="shared" si="115"/>
        <v>0</v>
      </c>
      <c r="M222" s="52">
        <f t="shared" si="115"/>
        <v>0</v>
      </c>
      <c r="N222" s="52">
        <f t="shared" si="115"/>
        <v>0</v>
      </c>
      <c r="O222" s="52">
        <f t="shared" si="115"/>
        <v>0</v>
      </c>
      <c r="P222" s="52">
        <f t="shared" si="115"/>
        <v>0</v>
      </c>
      <c r="Q222" s="52">
        <f t="shared" si="115"/>
        <v>0</v>
      </c>
      <c r="R222" s="52">
        <f t="shared" si="115"/>
        <v>0</v>
      </c>
      <c r="S222" s="52">
        <f t="shared" si="115"/>
        <v>0</v>
      </c>
      <c r="T222" s="52">
        <f t="shared" si="115"/>
        <v>0</v>
      </c>
      <c r="U222" s="52">
        <f t="shared" si="115"/>
        <v>0</v>
      </c>
      <c r="V222" s="52">
        <f t="shared" si="115"/>
        <v>0</v>
      </c>
      <c r="W222" s="52">
        <f t="shared" si="115"/>
        <v>0</v>
      </c>
      <c r="X222" s="52">
        <f t="shared" si="116"/>
        <v>0</v>
      </c>
      <c r="Y222" s="52">
        <f t="shared" si="116"/>
        <v>0</v>
      </c>
      <c r="Z222" s="52">
        <f t="shared" si="116"/>
        <v>0</v>
      </c>
      <c r="AA222" s="52">
        <f t="shared" si="116"/>
        <v>0</v>
      </c>
      <c r="AB222" s="52">
        <f t="shared" si="116"/>
        <v>1</v>
      </c>
      <c r="AC222" s="52">
        <f t="shared" si="116"/>
        <v>1</v>
      </c>
      <c r="AD222" s="52">
        <f t="shared" si="116"/>
        <v>1</v>
      </c>
      <c r="AE222" s="52">
        <f t="shared" si="116"/>
        <v>1</v>
      </c>
      <c r="AF222" s="52">
        <f t="shared" si="116"/>
        <v>1</v>
      </c>
      <c r="AG222" s="52">
        <f t="shared" si="116"/>
        <v>1</v>
      </c>
      <c r="AH222" s="52">
        <f t="shared" si="116"/>
        <v>1</v>
      </c>
      <c r="AI222" s="52">
        <f t="shared" si="116"/>
        <v>1</v>
      </c>
      <c r="AJ222" s="52">
        <f t="shared" si="116"/>
        <v>1</v>
      </c>
      <c r="AK222" s="52">
        <f t="shared" si="116"/>
        <v>1</v>
      </c>
      <c r="AL222" s="52">
        <f t="shared" si="116"/>
        <v>1</v>
      </c>
      <c r="AM222" s="52">
        <f t="shared" si="116"/>
        <v>1</v>
      </c>
      <c r="AN222" s="52">
        <f t="shared" si="116"/>
        <v>1</v>
      </c>
      <c r="AO222" s="52">
        <f t="shared" si="113"/>
        <v>1</v>
      </c>
      <c r="AP222" s="52">
        <f t="shared" si="113"/>
        <v>1</v>
      </c>
      <c r="AQ222" s="52">
        <f t="shared" si="113"/>
        <v>1</v>
      </c>
      <c r="AR222" s="52">
        <f t="shared" si="113"/>
        <v>1</v>
      </c>
      <c r="AS222" s="52">
        <f t="shared" si="113"/>
        <v>1</v>
      </c>
      <c r="AT222" s="52">
        <f t="shared" si="113"/>
        <v>1</v>
      </c>
      <c r="AU222" s="52">
        <f t="shared" si="113"/>
        <v>1</v>
      </c>
      <c r="AV222" s="52">
        <f t="shared" si="113"/>
        <v>1</v>
      </c>
      <c r="AW222" s="52">
        <f t="shared" si="113"/>
        <v>1</v>
      </c>
      <c r="AX222" s="52">
        <f t="shared" si="113"/>
        <v>1</v>
      </c>
      <c r="AY222" s="52">
        <f t="shared" si="113"/>
        <v>1</v>
      </c>
      <c r="AZ222" s="52">
        <f t="shared" si="113"/>
        <v>1</v>
      </c>
      <c r="BA222" s="52">
        <f t="shared" si="113"/>
        <v>1</v>
      </c>
      <c r="BB222" s="52">
        <f t="shared" si="113"/>
        <v>1</v>
      </c>
      <c r="BC222" s="52">
        <f t="shared" si="113"/>
        <v>1</v>
      </c>
      <c r="BD222" s="52">
        <f t="shared" si="113"/>
        <v>1</v>
      </c>
      <c r="BE222" s="52">
        <f t="shared" si="113"/>
        <v>1</v>
      </c>
      <c r="BF222" s="52">
        <f t="shared" si="113"/>
        <v>1</v>
      </c>
      <c r="BG222" s="52">
        <f t="shared" si="114"/>
        <v>1</v>
      </c>
      <c r="BH222" s="52">
        <f t="shared" si="114"/>
        <v>1</v>
      </c>
      <c r="BI222" s="52">
        <f t="shared" si="114"/>
        <v>1</v>
      </c>
      <c r="BJ222" s="52">
        <f t="shared" si="114"/>
        <v>1</v>
      </c>
      <c r="BK222" s="52">
        <f t="shared" si="114"/>
        <v>1</v>
      </c>
      <c r="BL222" s="52">
        <f t="shared" si="114"/>
        <v>1</v>
      </c>
      <c r="BM222" s="52">
        <f t="shared" si="114"/>
        <v>1</v>
      </c>
      <c r="BN222" s="52">
        <f t="shared" si="114"/>
        <v>1</v>
      </c>
      <c r="BO222" s="32">
        <f t="shared" si="109"/>
        <v>0.66101694915254239</v>
      </c>
    </row>
    <row r="223" spans="1:67" s="27" customFormat="1" ht="18.75" customHeight="1" x14ac:dyDescent="0.25">
      <c r="A223" s="50" t="s">
        <v>453</v>
      </c>
      <c r="B223" s="50" t="s">
        <v>454</v>
      </c>
      <c r="C223" s="50" t="s">
        <v>238</v>
      </c>
      <c r="D223" s="51">
        <f>VLOOKUP(A223,'[1]Cuadro Control'!C259:J2153,8,FALSE)</f>
        <v>0</v>
      </c>
      <c r="E223" s="52">
        <f t="shared" si="111"/>
        <v>0</v>
      </c>
      <c r="F223" s="53">
        <v>46349</v>
      </c>
      <c r="G223" s="53">
        <v>46356</v>
      </c>
      <c r="H223" s="52">
        <f t="shared" si="115"/>
        <v>0</v>
      </c>
      <c r="I223" s="52">
        <f t="shared" si="115"/>
        <v>0</v>
      </c>
      <c r="J223" s="52">
        <f t="shared" si="115"/>
        <v>0</v>
      </c>
      <c r="K223" s="52">
        <f t="shared" si="115"/>
        <v>0</v>
      </c>
      <c r="L223" s="52">
        <f t="shared" si="115"/>
        <v>0</v>
      </c>
      <c r="M223" s="52">
        <f t="shared" si="115"/>
        <v>0</v>
      </c>
      <c r="N223" s="52">
        <f t="shared" si="115"/>
        <v>0</v>
      </c>
      <c r="O223" s="52">
        <f t="shared" si="115"/>
        <v>0</v>
      </c>
      <c r="P223" s="52">
        <f t="shared" si="115"/>
        <v>0</v>
      </c>
      <c r="Q223" s="52">
        <f t="shared" si="115"/>
        <v>0</v>
      </c>
      <c r="R223" s="52">
        <f t="shared" si="115"/>
        <v>0</v>
      </c>
      <c r="S223" s="52">
        <f t="shared" si="115"/>
        <v>0</v>
      </c>
      <c r="T223" s="52">
        <f t="shared" si="115"/>
        <v>0</v>
      </c>
      <c r="U223" s="52">
        <f t="shared" si="115"/>
        <v>0</v>
      </c>
      <c r="V223" s="52">
        <f t="shared" si="115"/>
        <v>0</v>
      </c>
      <c r="W223" s="52">
        <f t="shared" si="115"/>
        <v>0</v>
      </c>
      <c r="X223" s="52">
        <f t="shared" si="116"/>
        <v>0</v>
      </c>
      <c r="Y223" s="52">
        <f t="shared" si="116"/>
        <v>0</v>
      </c>
      <c r="Z223" s="52">
        <f t="shared" si="116"/>
        <v>0</v>
      </c>
      <c r="AA223" s="52">
        <f t="shared" si="116"/>
        <v>0</v>
      </c>
      <c r="AB223" s="52">
        <f t="shared" si="116"/>
        <v>0.625</v>
      </c>
      <c r="AC223" s="52">
        <f t="shared" si="116"/>
        <v>1</v>
      </c>
      <c r="AD223" s="52">
        <f t="shared" si="116"/>
        <v>1</v>
      </c>
      <c r="AE223" s="52">
        <f t="shared" si="116"/>
        <v>1</v>
      </c>
      <c r="AF223" s="52">
        <f t="shared" si="116"/>
        <v>1</v>
      </c>
      <c r="AG223" s="52">
        <f t="shared" si="116"/>
        <v>1</v>
      </c>
      <c r="AH223" s="52">
        <f t="shared" si="116"/>
        <v>1</v>
      </c>
      <c r="AI223" s="52">
        <f t="shared" si="116"/>
        <v>1</v>
      </c>
      <c r="AJ223" s="52">
        <f t="shared" si="116"/>
        <v>1</v>
      </c>
      <c r="AK223" s="52">
        <f t="shared" si="116"/>
        <v>1</v>
      </c>
      <c r="AL223" s="52">
        <f t="shared" si="116"/>
        <v>1</v>
      </c>
      <c r="AM223" s="52">
        <f t="shared" si="116"/>
        <v>1</v>
      </c>
      <c r="AN223" s="52">
        <f t="shared" si="116"/>
        <v>1</v>
      </c>
      <c r="AO223" s="52">
        <f t="shared" si="113"/>
        <v>1</v>
      </c>
      <c r="AP223" s="52">
        <f t="shared" si="113"/>
        <v>1</v>
      </c>
      <c r="AQ223" s="52">
        <f t="shared" si="113"/>
        <v>1</v>
      </c>
      <c r="AR223" s="52">
        <f t="shared" si="113"/>
        <v>1</v>
      </c>
      <c r="AS223" s="52">
        <f t="shared" si="113"/>
        <v>1</v>
      </c>
      <c r="AT223" s="52">
        <f t="shared" si="113"/>
        <v>1</v>
      </c>
      <c r="AU223" s="52">
        <f t="shared" si="113"/>
        <v>1</v>
      </c>
      <c r="AV223" s="52">
        <f t="shared" si="113"/>
        <v>1</v>
      </c>
      <c r="AW223" s="52">
        <f t="shared" si="113"/>
        <v>1</v>
      </c>
      <c r="AX223" s="52">
        <f t="shared" si="113"/>
        <v>1</v>
      </c>
      <c r="AY223" s="52">
        <f t="shared" si="113"/>
        <v>1</v>
      </c>
      <c r="AZ223" s="52">
        <f t="shared" si="113"/>
        <v>1</v>
      </c>
      <c r="BA223" s="52">
        <f t="shared" si="113"/>
        <v>1</v>
      </c>
      <c r="BB223" s="52">
        <f t="shared" si="113"/>
        <v>1</v>
      </c>
      <c r="BC223" s="52">
        <f t="shared" si="113"/>
        <v>1</v>
      </c>
      <c r="BD223" s="52">
        <f t="shared" si="113"/>
        <v>1</v>
      </c>
      <c r="BE223" s="52">
        <f t="shared" si="113"/>
        <v>1</v>
      </c>
      <c r="BF223" s="52">
        <f t="shared" si="113"/>
        <v>1</v>
      </c>
      <c r="BG223" s="52">
        <f t="shared" si="114"/>
        <v>1</v>
      </c>
      <c r="BH223" s="52">
        <f t="shared" si="114"/>
        <v>1</v>
      </c>
      <c r="BI223" s="52">
        <f t="shared" si="114"/>
        <v>1</v>
      </c>
      <c r="BJ223" s="52">
        <f t="shared" si="114"/>
        <v>1</v>
      </c>
      <c r="BK223" s="52">
        <f t="shared" si="114"/>
        <v>1</v>
      </c>
      <c r="BL223" s="52">
        <f t="shared" si="114"/>
        <v>1</v>
      </c>
      <c r="BM223" s="52">
        <f t="shared" si="114"/>
        <v>1</v>
      </c>
      <c r="BN223" s="52">
        <f t="shared" si="114"/>
        <v>1</v>
      </c>
      <c r="BO223" s="32">
        <f t="shared" si="109"/>
        <v>0.65466101694915257</v>
      </c>
    </row>
    <row r="224" spans="1:67" s="27" customFormat="1" ht="18.75" customHeight="1" x14ac:dyDescent="0.25">
      <c r="A224" s="50" t="s">
        <v>455</v>
      </c>
      <c r="B224" s="50" t="s">
        <v>456</v>
      </c>
      <c r="C224" s="50" t="s">
        <v>126</v>
      </c>
      <c r="D224" s="51">
        <f>VLOOKUP(A224,'[1]Cuadro Control'!C260:J2154,8,FALSE)</f>
        <v>52736347.43270281</v>
      </c>
      <c r="E224" s="52">
        <f t="shared" si="111"/>
        <v>9.933624348213644E-3</v>
      </c>
      <c r="F224" s="53">
        <v>46360</v>
      </c>
      <c r="G224" s="53">
        <v>46365</v>
      </c>
      <c r="H224" s="52">
        <f t="shared" si="115"/>
        <v>0</v>
      </c>
      <c r="I224" s="52">
        <f t="shared" si="115"/>
        <v>0</v>
      </c>
      <c r="J224" s="52">
        <f t="shared" si="115"/>
        <v>0</v>
      </c>
      <c r="K224" s="52">
        <f t="shared" si="115"/>
        <v>0</v>
      </c>
      <c r="L224" s="52">
        <f t="shared" si="115"/>
        <v>0</v>
      </c>
      <c r="M224" s="52">
        <f t="shared" si="115"/>
        <v>0</v>
      </c>
      <c r="N224" s="52">
        <f t="shared" si="115"/>
        <v>0</v>
      </c>
      <c r="O224" s="52">
        <f t="shared" si="115"/>
        <v>0</v>
      </c>
      <c r="P224" s="52">
        <f t="shared" si="115"/>
        <v>0</v>
      </c>
      <c r="Q224" s="52">
        <f t="shared" si="115"/>
        <v>0</v>
      </c>
      <c r="R224" s="52">
        <f t="shared" si="115"/>
        <v>0</v>
      </c>
      <c r="S224" s="52">
        <f t="shared" si="115"/>
        <v>0</v>
      </c>
      <c r="T224" s="52">
        <f t="shared" si="115"/>
        <v>0</v>
      </c>
      <c r="U224" s="52">
        <f t="shared" si="115"/>
        <v>0</v>
      </c>
      <c r="V224" s="52">
        <f t="shared" si="115"/>
        <v>0</v>
      </c>
      <c r="W224" s="52">
        <f t="shared" si="115"/>
        <v>0</v>
      </c>
      <c r="X224" s="52">
        <f t="shared" si="116"/>
        <v>0</v>
      </c>
      <c r="Y224" s="52">
        <f t="shared" si="116"/>
        <v>0</v>
      </c>
      <c r="Z224" s="52">
        <f t="shared" si="116"/>
        <v>0</v>
      </c>
      <c r="AA224" s="52">
        <f t="shared" si="116"/>
        <v>0</v>
      </c>
      <c r="AB224" s="52">
        <f t="shared" si="116"/>
        <v>0</v>
      </c>
      <c r="AC224" s="52">
        <f t="shared" si="116"/>
        <v>0.16666666666666666</v>
      </c>
      <c r="AD224" s="52">
        <f t="shared" si="116"/>
        <v>1</v>
      </c>
      <c r="AE224" s="52">
        <f t="shared" si="116"/>
        <v>1</v>
      </c>
      <c r="AF224" s="52">
        <f t="shared" si="116"/>
        <v>1</v>
      </c>
      <c r="AG224" s="52">
        <f t="shared" si="116"/>
        <v>1</v>
      </c>
      <c r="AH224" s="52">
        <f t="shared" si="116"/>
        <v>1</v>
      </c>
      <c r="AI224" s="52">
        <f t="shared" si="116"/>
        <v>1</v>
      </c>
      <c r="AJ224" s="52">
        <f t="shared" si="116"/>
        <v>1</v>
      </c>
      <c r="AK224" s="52">
        <f t="shared" si="116"/>
        <v>1</v>
      </c>
      <c r="AL224" s="52">
        <f t="shared" si="116"/>
        <v>1</v>
      </c>
      <c r="AM224" s="52">
        <f t="shared" si="116"/>
        <v>1</v>
      </c>
      <c r="AN224" s="52">
        <f t="shared" si="116"/>
        <v>1</v>
      </c>
      <c r="AO224" s="52">
        <f t="shared" si="113"/>
        <v>1</v>
      </c>
      <c r="AP224" s="52">
        <f t="shared" si="113"/>
        <v>1</v>
      </c>
      <c r="AQ224" s="52">
        <f t="shared" si="113"/>
        <v>1</v>
      </c>
      <c r="AR224" s="52">
        <f t="shared" si="113"/>
        <v>1</v>
      </c>
      <c r="AS224" s="52">
        <f t="shared" si="113"/>
        <v>1</v>
      </c>
      <c r="AT224" s="52">
        <f t="shared" si="113"/>
        <v>1</v>
      </c>
      <c r="AU224" s="52">
        <f t="shared" si="113"/>
        <v>1</v>
      </c>
      <c r="AV224" s="52">
        <f t="shared" si="113"/>
        <v>1</v>
      </c>
      <c r="AW224" s="52">
        <f t="shared" si="113"/>
        <v>1</v>
      </c>
      <c r="AX224" s="52">
        <f t="shared" si="113"/>
        <v>1</v>
      </c>
      <c r="AY224" s="52">
        <f t="shared" si="113"/>
        <v>1</v>
      </c>
      <c r="AZ224" s="52">
        <f t="shared" si="113"/>
        <v>1</v>
      </c>
      <c r="BA224" s="52">
        <f t="shared" si="113"/>
        <v>1</v>
      </c>
      <c r="BB224" s="52">
        <f t="shared" si="113"/>
        <v>1</v>
      </c>
      <c r="BC224" s="52">
        <f t="shared" si="113"/>
        <v>1</v>
      </c>
      <c r="BD224" s="52">
        <f t="shared" si="113"/>
        <v>1</v>
      </c>
      <c r="BE224" s="52">
        <f t="shared" si="113"/>
        <v>1</v>
      </c>
      <c r="BF224" s="52">
        <f t="shared" si="113"/>
        <v>1</v>
      </c>
      <c r="BG224" s="52">
        <f t="shared" si="114"/>
        <v>1</v>
      </c>
      <c r="BH224" s="52">
        <f t="shared" si="114"/>
        <v>1</v>
      </c>
      <c r="BI224" s="52">
        <f t="shared" si="114"/>
        <v>1</v>
      </c>
      <c r="BJ224" s="52">
        <f t="shared" si="114"/>
        <v>1</v>
      </c>
      <c r="BK224" s="52">
        <f t="shared" si="114"/>
        <v>1</v>
      </c>
      <c r="BL224" s="52">
        <f t="shared" si="114"/>
        <v>1</v>
      </c>
      <c r="BM224" s="52">
        <f t="shared" si="114"/>
        <v>1</v>
      </c>
      <c r="BN224" s="52">
        <f t="shared" si="114"/>
        <v>1</v>
      </c>
      <c r="BO224" s="32">
        <f t="shared" si="109"/>
        <v>0.62994350282485889</v>
      </c>
    </row>
    <row r="225" spans="1:67" s="27" customFormat="1" ht="18.75" customHeight="1" x14ac:dyDescent="0.25">
      <c r="A225" s="50" t="s">
        <v>457</v>
      </c>
      <c r="B225" s="50" t="s">
        <v>458</v>
      </c>
      <c r="C225" s="50" t="s">
        <v>117</v>
      </c>
      <c r="D225" s="51">
        <f>VLOOKUP(A225,'[1]Cuadro Control'!C261:J2155,8,FALSE)</f>
        <v>46410609.014634147</v>
      </c>
      <c r="E225" s="52">
        <f t="shared" si="111"/>
        <v>8.742083556535862E-3</v>
      </c>
      <c r="F225" s="53">
        <v>46365</v>
      </c>
      <c r="G225" s="53">
        <v>46366</v>
      </c>
      <c r="H225" s="52">
        <f t="shared" si="115"/>
        <v>0</v>
      </c>
      <c r="I225" s="52">
        <f t="shared" si="115"/>
        <v>0</v>
      </c>
      <c r="J225" s="52">
        <f t="shared" si="115"/>
        <v>0</v>
      </c>
      <c r="K225" s="52">
        <f t="shared" si="115"/>
        <v>0</v>
      </c>
      <c r="L225" s="52">
        <f t="shared" si="115"/>
        <v>0</v>
      </c>
      <c r="M225" s="52">
        <f t="shared" si="115"/>
        <v>0</v>
      </c>
      <c r="N225" s="52">
        <f t="shared" si="115"/>
        <v>0</v>
      </c>
      <c r="O225" s="52">
        <f t="shared" si="115"/>
        <v>0</v>
      </c>
      <c r="P225" s="52">
        <f t="shared" si="115"/>
        <v>0</v>
      </c>
      <c r="Q225" s="52">
        <f t="shared" si="115"/>
        <v>0</v>
      </c>
      <c r="R225" s="52">
        <f t="shared" si="115"/>
        <v>0</v>
      </c>
      <c r="S225" s="52">
        <f t="shared" si="115"/>
        <v>0</v>
      </c>
      <c r="T225" s="52">
        <f t="shared" si="115"/>
        <v>0</v>
      </c>
      <c r="U225" s="52">
        <f t="shared" si="115"/>
        <v>0</v>
      </c>
      <c r="V225" s="52">
        <f t="shared" si="115"/>
        <v>0</v>
      </c>
      <c r="W225" s="52">
        <f t="shared" si="115"/>
        <v>0</v>
      </c>
      <c r="X225" s="52">
        <f t="shared" si="116"/>
        <v>0</v>
      </c>
      <c r="Y225" s="52">
        <f t="shared" si="116"/>
        <v>0</v>
      </c>
      <c r="Z225" s="52">
        <f t="shared" si="116"/>
        <v>0</v>
      </c>
      <c r="AA225" s="52">
        <f t="shared" si="116"/>
        <v>0</v>
      </c>
      <c r="AB225" s="52">
        <f t="shared" si="116"/>
        <v>0</v>
      </c>
      <c r="AC225" s="52">
        <f t="shared" si="116"/>
        <v>0</v>
      </c>
      <c r="AD225" s="52">
        <f t="shared" si="116"/>
        <v>1</v>
      </c>
      <c r="AE225" s="52">
        <f t="shared" si="116"/>
        <v>1</v>
      </c>
      <c r="AF225" s="52">
        <f t="shared" si="116"/>
        <v>1</v>
      </c>
      <c r="AG225" s="52">
        <f t="shared" si="116"/>
        <v>1</v>
      </c>
      <c r="AH225" s="52">
        <f t="shared" si="116"/>
        <v>1</v>
      </c>
      <c r="AI225" s="52">
        <f t="shared" si="116"/>
        <v>1</v>
      </c>
      <c r="AJ225" s="52">
        <f t="shared" si="116"/>
        <v>1</v>
      </c>
      <c r="AK225" s="52">
        <f t="shared" si="116"/>
        <v>1</v>
      </c>
      <c r="AL225" s="52">
        <f t="shared" si="116"/>
        <v>1</v>
      </c>
      <c r="AM225" s="52">
        <f t="shared" si="116"/>
        <v>1</v>
      </c>
      <c r="AN225" s="52">
        <f t="shared" si="116"/>
        <v>1</v>
      </c>
      <c r="AO225" s="52">
        <f t="shared" si="113"/>
        <v>1</v>
      </c>
      <c r="AP225" s="52">
        <f t="shared" si="113"/>
        <v>1</v>
      </c>
      <c r="AQ225" s="52">
        <f t="shared" si="113"/>
        <v>1</v>
      </c>
      <c r="AR225" s="52">
        <f t="shared" si="113"/>
        <v>1</v>
      </c>
      <c r="AS225" s="52">
        <f t="shared" si="113"/>
        <v>1</v>
      </c>
      <c r="AT225" s="52">
        <f t="shared" si="113"/>
        <v>1</v>
      </c>
      <c r="AU225" s="52">
        <f t="shared" si="113"/>
        <v>1</v>
      </c>
      <c r="AV225" s="52">
        <f t="shared" si="113"/>
        <v>1</v>
      </c>
      <c r="AW225" s="52">
        <f t="shared" si="113"/>
        <v>1</v>
      </c>
      <c r="AX225" s="52">
        <f t="shared" si="113"/>
        <v>1</v>
      </c>
      <c r="AY225" s="52">
        <f t="shared" si="113"/>
        <v>1</v>
      </c>
      <c r="AZ225" s="52">
        <f t="shared" si="113"/>
        <v>1</v>
      </c>
      <c r="BA225" s="52">
        <f t="shared" si="113"/>
        <v>1</v>
      </c>
      <c r="BB225" s="52">
        <f t="shared" si="113"/>
        <v>1</v>
      </c>
      <c r="BC225" s="52">
        <f t="shared" si="113"/>
        <v>1</v>
      </c>
      <c r="BD225" s="52">
        <f t="shared" si="113"/>
        <v>1</v>
      </c>
      <c r="BE225" s="52">
        <f t="shared" si="113"/>
        <v>1</v>
      </c>
      <c r="BF225" s="52">
        <f t="shared" si="113"/>
        <v>1</v>
      </c>
      <c r="BG225" s="52">
        <f t="shared" si="114"/>
        <v>1</v>
      </c>
      <c r="BH225" s="52">
        <f t="shared" si="114"/>
        <v>1</v>
      </c>
      <c r="BI225" s="52">
        <f t="shared" si="114"/>
        <v>1</v>
      </c>
      <c r="BJ225" s="52">
        <f t="shared" si="114"/>
        <v>1</v>
      </c>
      <c r="BK225" s="52">
        <f t="shared" si="114"/>
        <v>1</v>
      </c>
      <c r="BL225" s="52">
        <f t="shared" si="114"/>
        <v>1</v>
      </c>
      <c r="BM225" s="52">
        <f t="shared" si="114"/>
        <v>1</v>
      </c>
      <c r="BN225" s="52">
        <f t="shared" si="114"/>
        <v>1</v>
      </c>
      <c r="BO225" s="32">
        <f t="shared" si="109"/>
        <v>0.6271186440677966</v>
      </c>
    </row>
    <row r="226" spans="1:67" s="27" customFormat="1" ht="18.75" customHeight="1" x14ac:dyDescent="0.25">
      <c r="A226" s="50" t="s">
        <v>459</v>
      </c>
      <c r="B226" s="50" t="s">
        <v>460</v>
      </c>
      <c r="C226" s="50" t="s">
        <v>61</v>
      </c>
      <c r="D226" s="51">
        <f>VLOOKUP(A226,'[1]Cuadro Control'!C262:J2156,8,FALSE)</f>
        <v>1587346329.5488234</v>
      </c>
      <c r="E226" s="52">
        <f t="shared" si="111"/>
        <v>0.29899875353285565</v>
      </c>
      <c r="F226" s="53">
        <v>46365</v>
      </c>
      <c r="G226" s="53">
        <v>46375</v>
      </c>
      <c r="H226" s="52">
        <f t="shared" si="115"/>
        <v>0</v>
      </c>
      <c r="I226" s="52">
        <f t="shared" si="115"/>
        <v>0</v>
      </c>
      <c r="J226" s="52">
        <f t="shared" si="115"/>
        <v>0</v>
      </c>
      <c r="K226" s="52">
        <f t="shared" si="115"/>
        <v>0</v>
      </c>
      <c r="L226" s="52">
        <f t="shared" si="115"/>
        <v>0</v>
      </c>
      <c r="M226" s="52">
        <f t="shared" si="115"/>
        <v>0</v>
      </c>
      <c r="N226" s="52">
        <f t="shared" si="115"/>
        <v>0</v>
      </c>
      <c r="O226" s="52">
        <f t="shared" si="115"/>
        <v>0</v>
      </c>
      <c r="P226" s="52">
        <f t="shared" si="115"/>
        <v>0</v>
      </c>
      <c r="Q226" s="52">
        <f t="shared" si="115"/>
        <v>0</v>
      </c>
      <c r="R226" s="52">
        <f t="shared" si="115"/>
        <v>0</v>
      </c>
      <c r="S226" s="52">
        <f t="shared" si="115"/>
        <v>0</v>
      </c>
      <c r="T226" s="52">
        <f t="shared" si="115"/>
        <v>0</v>
      </c>
      <c r="U226" s="52">
        <f t="shared" si="115"/>
        <v>0</v>
      </c>
      <c r="V226" s="52">
        <f t="shared" si="115"/>
        <v>0</v>
      </c>
      <c r="W226" s="52">
        <f t="shared" si="115"/>
        <v>0</v>
      </c>
      <c r="X226" s="52">
        <f t="shared" si="116"/>
        <v>0</v>
      </c>
      <c r="Y226" s="52">
        <f t="shared" si="116"/>
        <v>0</v>
      </c>
      <c r="Z226" s="52">
        <f t="shared" si="116"/>
        <v>0</v>
      </c>
      <c r="AA226" s="52">
        <f t="shared" si="116"/>
        <v>0</v>
      </c>
      <c r="AB226" s="52">
        <f t="shared" si="116"/>
        <v>0</v>
      </c>
      <c r="AC226" s="52">
        <f t="shared" si="116"/>
        <v>0</v>
      </c>
      <c r="AD226" s="52">
        <f t="shared" si="116"/>
        <v>0.27272727272727271</v>
      </c>
      <c r="AE226" s="52">
        <f t="shared" si="116"/>
        <v>0.90909090909090906</v>
      </c>
      <c r="AF226" s="52">
        <f t="shared" si="116"/>
        <v>1</v>
      </c>
      <c r="AG226" s="52">
        <f t="shared" si="116"/>
        <v>1</v>
      </c>
      <c r="AH226" s="52">
        <f t="shared" si="116"/>
        <v>1</v>
      </c>
      <c r="AI226" s="52">
        <f t="shared" si="116"/>
        <v>1</v>
      </c>
      <c r="AJ226" s="52">
        <f t="shared" si="116"/>
        <v>1</v>
      </c>
      <c r="AK226" s="52">
        <f t="shared" si="116"/>
        <v>1</v>
      </c>
      <c r="AL226" s="52">
        <f t="shared" si="116"/>
        <v>1</v>
      </c>
      <c r="AM226" s="52">
        <f t="shared" si="116"/>
        <v>1</v>
      </c>
      <c r="AN226" s="52">
        <f t="shared" si="116"/>
        <v>1</v>
      </c>
      <c r="AO226" s="52">
        <f t="shared" si="113"/>
        <v>1</v>
      </c>
      <c r="AP226" s="52">
        <f t="shared" si="113"/>
        <v>1</v>
      </c>
      <c r="AQ226" s="52">
        <f t="shared" si="113"/>
        <v>1</v>
      </c>
      <c r="AR226" s="52">
        <f t="shared" si="113"/>
        <v>1</v>
      </c>
      <c r="AS226" s="52">
        <f t="shared" si="113"/>
        <v>1</v>
      </c>
      <c r="AT226" s="52">
        <f t="shared" si="113"/>
        <v>1</v>
      </c>
      <c r="AU226" s="52">
        <f t="shared" si="113"/>
        <v>1</v>
      </c>
      <c r="AV226" s="52">
        <f t="shared" si="113"/>
        <v>1</v>
      </c>
      <c r="AW226" s="52">
        <f t="shared" si="113"/>
        <v>1</v>
      </c>
      <c r="AX226" s="52">
        <f t="shared" si="113"/>
        <v>1</v>
      </c>
      <c r="AY226" s="52">
        <f t="shared" si="113"/>
        <v>1</v>
      </c>
      <c r="AZ226" s="52">
        <f t="shared" si="113"/>
        <v>1</v>
      </c>
      <c r="BA226" s="52">
        <f t="shared" si="113"/>
        <v>1</v>
      </c>
      <c r="BB226" s="52">
        <f t="shared" si="113"/>
        <v>1</v>
      </c>
      <c r="BC226" s="52">
        <f t="shared" si="113"/>
        <v>1</v>
      </c>
      <c r="BD226" s="52">
        <f t="shared" si="113"/>
        <v>1</v>
      </c>
      <c r="BE226" s="52">
        <f t="shared" si="113"/>
        <v>1</v>
      </c>
      <c r="BF226" s="52">
        <f t="shared" si="113"/>
        <v>1</v>
      </c>
      <c r="BG226" s="52">
        <f t="shared" si="114"/>
        <v>1</v>
      </c>
      <c r="BH226" s="52">
        <f t="shared" si="114"/>
        <v>1</v>
      </c>
      <c r="BI226" s="52">
        <f t="shared" si="114"/>
        <v>1</v>
      </c>
      <c r="BJ226" s="52">
        <f t="shared" si="114"/>
        <v>1</v>
      </c>
      <c r="BK226" s="52">
        <f t="shared" si="114"/>
        <v>1</v>
      </c>
      <c r="BL226" s="52">
        <f t="shared" si="114"/>
        <v>1</v>
      </c>
      <c r="BM226" s="52">
        <f t="shared" si="114"/>
        <v>1</v>
      </c>
      <c r="BN226" s="52">
        <f t="shared" si="114"/>
        <v>1</v>
      </c>
      <c r="BO226" s="32">
        <f t="shared" si="109"/>
        <v>0.61325115562403698</v>
      </c>
    </row>
    <row r="227" spans="1:67" s="27" customFormat="1" ht="18.75" customHeight="1" x14ac:dyDescent="0.25">
      <c r="A227" s="46" t="s">
        <v>461</v>
      </c>
      <c r="B227" s="46" t="s">
        <v>462</v>
      </c>
      <c r="C227" s="46" t="s">
        <v>61</v>
      </c>
      <c r="D227" s="47">
        <f>VLOOKUP(A227,'[1]Cuadro Control'!C263:J2157,8,FALSE)</f>
        <v>179532477.23999998</v>
      </c>
      <c r="E227" s="48">
        <f t="shared" si="111"/>
        <v>3.3817438522495219E-2</v>
      </c>
      <c r="F227" s="49">
        <v>46367</v>
      </c>
      <c r="G227" s="49">
        <v>46379</v>
      </c>
      <c r="H227" s="48">
        <f t="shared" si="115"/>
        <v>0</v>
      </c>
      <c r="I227" s="48">
        <f t="shared" si="115"/>
        <v>0</v>
      </c>
      <c r="J227" s="48">
        <f t="shared" si="115"/>
        <v>0</v>
      </c>
      <c r="K227" s="48">
        <f t="shared" si="115"/>
        <v>0</v>
      </c>
      <c r="L227" s="48">
        <f t="shared" si="115"/>
        <v>0</v>
      </c>
      <c r="M227" s="48">
        <f t="shared" si="115"/>
        <v>0</v>
      </c>
      <c r="N227" s="48">
        <f t="shared" si="115"/>
        <v>0</v>
      </c>
      <c r="O227" s="48">
        <f t="shared" si="115"/>
        <v>0</v>
      </c>
      <c r="P227" s="48">
        <f t="shared" si="115"/>
        <v>0</v>
      </c>
      <c r="Q227" s="48">
        <f t="shared" si="115"/>
        <v>0</v>
      </c>
      <c r="R227" s="48">
        <f t="shared" si="115"/>
        <v>0</v>
      </c>
      <c r="S227" s="48">
        <f t="shared" si="115"/>
        <v>0</v>
      </c>
      <c r="T227" s="48">
        <f t="shared" si="115"/>
        <v>0</v>
      </c>
      <c r="U227" s="48">
        <f t="shared" si="115"/>
        <v>0</v>
      </c>
      <c r="V227" s="48">
        <f t="shared" si="115"/>
        <v>0</v>
      </c>
      <c r="W227" s="48">
        <f t="shared" si="115"/>
        <v>0</v>
      </c>
      <c r="X227" s="48">
        <f t="shared" si="116"/>
        <v>0</v>
      </c>
      <c r="Y227" s="48">
        <f t="shared" si="116"/>
        <v>0</v>
      </c>
      <c r="Z227" s="48">
        <f t="shared" si="116"/>
        <v>0</v>
      </c>
      <c r="AA227" s="48">
        <f t="shared" si="116"/>
        <v>0</v>
      </c>
      <c r="AB227" s="48">
        <f t="shared" si="116"/>
        <v>0</v>
      </c>
      <c r="AC227" s="48">
        <f t="shared" si="116"/>
        <v>0</v>
      </c>
      <c r="AD227" s="48">
        <f t="shared" si="116"/>
        <v>7.6923076923076927E-2</v>
      </c>
      <c r="AE227" s="48">
        <f t="shared" si="116"/>
        <v>0.61538461538461542</v>
      </c>
      <c r="AF227" s="48">
        <f t="shared" si="116"/>
        <v>1</v>
      </c>
      <c r="AG227" s="48">
        <f t="shared" si="116"/>
        <v>1</v>
      </c>
      <c r="AH227" s="48">
        <f t="shared" si="116"/>
        <v>1</v>
      </c>
      <c r="AI227" s="48">
        <f t="shared" si="116"/>
        <v>1</v>
      </c>
      <c r="AJ227" s="48">
        <f t="shared" si="116"/>
        <v>1</v>
      </c>
      <c r="AK227" s="48">
        <f t="shared" si="116"/>
        <v>1</v>
      </c>
      <c r="AL227" s="48">
        <f t="shared" si="116"/>
        <v>1</v>
      </c>
      <c r="AM227" s="48">
        <f t="shared" si="116"/>
        <v>1</v>
      </c>
      <c r="AN227" s="48">
        <f t="shared" si="116"/>
        <v>1</v>
      </c>
      <c r="AO227" s="48">
        <f t="shared" si="113"/>
        <v>1</v>
      </c>
      <c r="AP227" s="48">
        <f t="shared" si="113"/>
        <v>1</v>
      </c>
      <c r="AQ227" s="48">
        <f t="shared" si="113"/>
        <v>1</v>
      </c>
      <c r="AR227" s="48">
        <f t="shared" si="113"/>
        <v>1</v>
      </c>
      <c r="AS227" s="48">
        <f t="shared" si="113"/>
        <v>1</v>
      </c>
      <c r="AT227" s="48">
        <f t="shared" si="113"/>
        <v>1</v>
      </c>
      <c r="AU227" s="48">
        <f t="shared" si="113"/>
        <v>1</v>
      </c>
      <c r="AV227" s="48">
        <f t="shared" si="113"/>
        <v>1</v>
      </c>
      <c r="AW227" s="48">
        <f t="shared" si="113"/>
        <v>1</v>
      </c>
      <c r="AX227" s="48">
        <f t="shared" si="113"/>
        <v>1</v>
      </c>
      <c r="AY227" s="48">
        <f t="shared" si="113"/>
        <v>1</v>
      </c>
      <c r="AZ227" s="48">
        <f t="shared" si="113"/>
        <v>1</v>
      </c>
      <c r="BA227" s="48">
        <f t="shared" si="113"/>
        <v>1</v>
      </c>
      <c r="BB227" s="48">
        <f t="shared" si="113"/>
        <v>1</v>
      </c>
      <c r="BC227" s="48">
        <f t="shared" si="113"/>
        <v>1</v>
      </c>
      <c r="BD227" s="48">
        <f t="shared" si="113"/>
        <v>1</v>
      </c>
      <c r="BE227" s="48">
        <f t="shared" si="113"/>
        <v>1</v>
      </c>
      <c r="BF227" s="48">
        <f t="shared" si="113"/>
        <v>1</v>
      </c>
      <c r="BG227" s="48">
        <f t="shared" si="114"/>
        <v>1</v>
      </c>
      <c r="BH227" s="48">
        <f t="shared" si="114"/>
        <v>1</v>
      </c>
      <c r="BI227" s="48">
        <f t="shared" si="114"/>
        <v>1</v>
      </c>
      <c r="BJ227" s="48">
        <f t="shared" si="114"/>
        <v>1</v>
      </c>
      <c r="BK227" s="48">
        <f t="shared" si="114"/>
        <v>1</v>
      </c>
      <c r="BL227" s="48">
        <f t="shared" si="114"/>
        <v>1</v>
      </c>
      <c r="BM227" s="48">
        <f t="shared" si="114"/>
        <v>1</v>
      </c>
      <c r="BN227" s="48">
        <f t="shared" si="114"/>
        <v>1</v>
      </c>
      <c r="BO227" s="32">
        <f t="shared" si="109"/>
        <v>0.60495436766623212</v>
      </c>
    </row>
    <row r="228" spans="1:67" s="27" customFormat="1" ht="18.75" customHeight="1" x14ac:dyDescent="0.25">
      <c r="A228" s="55" t="s">
        <v>463</v>
      </c>
      <c r="B228" s="55" t="s">
        <v>464</v>
      </c>
      <c r="C228" s="55" t="s">
        <v>14</v>
      </c>
      <c r="D228" s="56">
        <f>VLOOKUP(A228,'[1]Cuadro Control'!C264:J2158,8,FALSE)</f>
        <v>0</v>
      </c>
      <c r="E228" s="57">
        <f>IFERROR(D228/$D$212,0)</f>
        <v>0</v>
      </c>
      <c r="F228" s="58">
        <v>46379</v>
      </c>
      <c r="G228" s="58">
        <v>46379</v>
      </c>
      <c r="H228" s="57">
        <f t="shared" si="115"/>
        <v>0</v>
      </c>
      <c r="I228" s="57">
        <f t="shared" si="115"/>
        <v>0</v>
      </c>
      <c r="J228" s="57">
        <f t="shared" si="115"/>
        <v>0</v>
      </c>
      <c r="K228" s="57">
        <f t="shared" si="115"/>
        <v>0</v>
      </c>
      <c r="L228" s="57">
        <f t="shared" si="115"/>
        <v>0</v>
      </c>
      <c r="M228" s="57">
        <f t="shared" si="115"/>
        <v>0</v>
      </c>
      <c r="N228" s="57">
        <f t="shared" si="115"/>
        <v>0</v>
      </c>
      <c r="O228" s="57">
        <f t="shared" si="115"/>
        <v>0</v>
      </c>
      <c r="P228" s="57">
        <f t="shared" si="115"/>
        <v>0</v>
      </c>
      <c r="Q228" s="57">
        <f t="shared" si="115"/>
        <v>0</v>
      </c>
      <c r="R228" s="57">
        <f t="shared" si="115"/>
        <v>0</v>
      </c>
      <c r="S228" s="57">
        <f t="shared" si="115"/>
        <v>0</v>
      </c>
      <c r="T228" s="57">
        <f t="shared" si="115"/>
        <v>0</v>
      </c>
      <c r="U228" s="57">
        <f t="shared" si="115"/>
        <v>0</v>
      </c>
      <c r="V228" s="57">
        <f t="shared" si="115"/>
        <v>0</v>
      </c>
      <c r="W228" s="57">
        <f t="shared" si="115"/>
        <v>0</v>
      </c>
      <c r="X228" s="57">
        <f t="shared" si="116"/>
        <v>0</v>
      </c>
      <c r="Y228" s="57">
        <f t="shared" si="116"/>
        <v>0</v>
      </c>
      <c r="Z228" s="57">
        <f t="shared" si="116"/>
        <v>0</v>
      </c>
      <c r="AA228" s="57">
        <f t="shared" si="116"/>
        <v>0</v>
      </c>
      <c r="AB228" s="57">
        <f t="shared" si="116"/>
        <v>0</v>
      </c>
      <c r="AC228" s="57">
        <f t="shared" si="116"/>
        <v>0</v>
      </c>
      <c r="AD228" s="57">
        <f t="shared" si="116"/>
        <v>0</v>
      </c>
      <c r="AE228" s="57">
        <f t="shared" si="116"/>
        <v>0</v>
      </c>
      <c r="AF228" s="57">
        <f t="shared" si="116"/>
        <v>1</v>
      </c>
      <c r="AG228" s="57">
        <f t="shared" si="116"/>
        <v>1</v>
      </c>
      <c r="AH228" s="57">
        <f t="shared" si="116"/>
        <v>1</v>
      </c>
      <c r="AI228" s="57">
        <f t="shared" si="116"/>
        <v>1</v>
      </c>
      <c r="AJ228" s="57">
        <f t="shared" si="116"/>
        <v>1</v>
      </c>
      <c r="AK228" s="57">
        <f t="shared" si="116"/>
        <v>1</v>
      </c>
      <c r="AL228" s="57">
        <f t="shared" si="116"/>
        <v>1</v>
      </c>
      <c r="AM228" s="57">
        <f t="shared" si="116"/>
        <v>1</v>
      </c>
      <c r="AN228" s="57">
        <f t="shared" si="116"/>
        <v>1</v>
      </c>
      <c r="AO228" s="57">
        <f t="shared" si="116"/>
        <v>1</v>
      </c>
      <c r="AP228" s="57">
        <f t="shared" si="116"/>
        <v>1</v>
      </c>
      <c r="AQ228" s="57">
        <f t="shared" si="116"/>
        <v>1</v>
      </c>
      <c r="AR228" s="57">
        <f t="shared" si="116"/>
        <v>1</v>
      </c>
      <c r="AS228" s="57">
        <f t="shared" si="116"/>
        <v>1</v>
      </c>
      <c r="AT228" s="57">
        <f t="shared" si="116"/>
        <v>1</v>
      </c>
      <c r="AU228" s="57">
        <f t="shared" si="116"/>
        <v>1</v>
      </c>
      <c r="AV228" s="57">
        <f t="shared" si="116"/>
        <v>1</v>
      </c>
      <c r="AW228" s="57">
        <f t="shared" si="116"/>
        <v>1</v>
      </c>
      <c r="AX228" s="57">
        <f t="shared" si="116"/>
        <v>1</v>
      </c>
      <c r="AY228" s="57">
        <f t="shared" si="116"/>
        <v>1</v>
      </c>
      <c r="AZ228" s="57">
        <f t="shared" si="116"/>
        <v>1</v>
      </c>
      <c r="BA228" s="57">
        <f t="shared" si="116"/>
        <v>1</v>
      </c>
      <c r="BB228" s="57">
        <f t="shared" si="116"/>
        <v>1</v>
      </c>
      <c r="BC228" s="57">
        <f t="shared" si="116"/>
        <v>1</v>
      </c>
      <c r="BD228" s="57">
        <f t="shared" si="113"/>
        <v>1</v>
      </c>
      <c r="BE228" s="57">
        <f t="shared" si="113"/>
        <v>1</v>
      </c>
      <c r="BF228" s="57">
        <f t="shared" si="113"/>
        <v>1</v>
      </c>
      <c r="BG228" s="57">
        <f t="shared" si="114"/>
        <v>1</v>
      </c>
      <c r="BH228" s="57">
        <f t="shared" si="114"/>
        <v>1</v>
      </c>
      <c r="BI228" s="57">
        <f t="shared" si="114"/>
        <v>1</v>
      </c>
      <c r="BJ228" s="57">
        <f t="shared" si="114"/>
        <v>1</v>
      </c>
      <c r="BK228" s="57">
        <f t="shared" si="114"/>
        <v>1</v>
      </c>
      <c r="BL228" s="57">
        <f t="shared" si="114"/>
        <v>1</v>
      </c>
      <c r="BM228" s="57">
        <f t="shared" si="114"/>
        <v>1</v>
      </c>
      <c r="BN228" s="57">
        <f t="shared" si="114"/>
        <v>1</v>
      </c>
      <c r="BO228" s="32">
        <f t="shared" si="109"/>
        <v>0.59322033898305082</v>
      </c>
    </row>
    <row r="229" spans="1:67" s="27" customFormat="1" ht="18.75" customHeight="1" x14ac:dyDescent="0.25">
      <c r="A229" s="42" t="s">
        <v>465</v>
      </c>
      <c r="B229" s="42" t="s">
        <v>466</v>
      </c>
      <c r="C229" s="42" t="s">
        <v>467</v>
      </c>
      <c r="D229" s="43">
        <f>SUM(D230:D245)</f>
        <v>5308872732.0543728</v>
      </c>
      <c r="E229" s="44">
        <f>IFERROR(D229/$D$109,0)</f>
        <v>2.9408554574576196E-2</v>
      </c>
      <c r="F229" s="45">
        <v>46232</v>
      </c>
      <c r="G229" s="45">
        <v>46385</v>
      </c>
      <c r="H229" s="44">
        <f>SUMPRODUCT($E230:$E244,H230:H244)</f>
        <v>0</v>
      </c>
      <c r="I229" s="44">
        <f t="shared" ref="I229:BN229" si="117">SUMPRODUCT($E230:$E244,I230:I244)</f>
        <v>0</v>
      </c>
      <c r="J229" s="44">
        <f t="shared" si="117"/>
        <v>0</v>
      </c>
      <c r="K229" s="44">
        <f t="shared" si="117"/>
        <v>5.8820241899941439E-4</v>
      </c>
      <c r="L229" s="44">
        <f t="shared" si="117"/>
        <v>1.960674729998048E-3</v>
      </c>
      <c r="M229" s="44">
        <f t="shared" si="117"/>
        <v>3.3331470409966816E-3</v>
      </c>
      <c r="N229" s="44">
        <f t="shared" si="117"/>
        <v>4.7056193519953151E-3</v>
      </c>
      <c r="O229" s="44">
        <f t="shared" si="117"/>
        <v>6.0780916629939495E-3</v>
      </c>
      <c r="P229" s="44">
        <f t="shared" si="117"/>
        <v>7.4505639739925822E-3</v>
      </c>
      <c r="Q229" s="44">
        <f t="shared" si="117"/>
        <v>8.8230362849912158E-3</v>
      </c>
      <c r="R229" s="44">
        <f t="shared" si="117"/>
        <v>1.019550859598985E-2</v>
      </c>
      <c r="S229" s="44">
        <f t="shared" si="117"/>
        <v>1.1567980906988485E-2</v>
      </c>
      <c r="T229" s="44">
        <f t="shared" si="117"/>
        <v>1.2940453217987116E-2</v>
      </c>
      <c r="U229" s="44">
        <f t="shared" si="117"/>
        <v>1.431292552898575E-2</v>
      </c>
      <c r="V229" s="44">
        <f t="shared" si="117"/>
        <v>2.2223184703489773E-2</v>
      </c>
      <c r="W229" s="44">
        <f t="shared" si="117"/>
        <v>6.7987692748027503E-2</v>
      </c>
      <c r="X229" s="44">
        <f t="shared" si="117"/>
        <v>0.12159739126547237</v>
      </c>
      <c r="Y229" s="44">
        <f t="shared" si="117"/>
        <v>0.1689385958692205</v>
      </c>
      <c r="Z229" s="44">
        <f t="shared" si="117"/>
        <v>0.24199704726742144</v>
      </c>
      <c r="AA229" s="44">
        <f t="shared" si="117"/>
        <v>0.3360500650880639</v>
      </c>
      <c r="AB229" s="44">
        <f t="shared" si="117"/>
        <v>0.41666693750575734</v>
      </c>
      <c r="AC229" s="44">
        <f t="shared" si="117"/>
        <v>0.64850810003989967</v>
      </c>
      <c r="AD229" s="44">
        <f t="shared" si="117"/>
        <v>0.65595831830105988</v>
      </c>
      <c r="AE229" s="44">
        <f t="shared" si="117"/>
        <v>0.85061773111148031</v>
      </c>
      <c r="AF229" s="44">
        <f t="shared" si="117"/>
        <v>0.9909820163940013</v>
      </c>
      <c r="AG229" s="44">
        <f t="shared" si="117"/>
        <v>1</v>
      </c>
      <c r="AH229" s="44">
        <f t="shared" si="117"/>
        <v>1</v>
      </c>
      <c r="AI229" s="44">
        <f t="shared" si="117"/>
        <v>1</v>
      </c>
      <c r="AJ229" s="44">
        <f t="shared" si="117"/>
        <v>1</v>
      </c>
      <c r="AK229" s="44">
        <f t="shared" si="117"/>
        <v>1</v>
      </c>
      <c r="AL229" s="44">
        <f t="shared" si="117"/>
        <v>1</v>
      </c>
      <c r="AM229" s="44">
        <f t="shared" si="117"/>
        <v>1</v>
      </c>
      <c r="AN229" s="44">
        <f t="shared" si="117"/>
        <v>1</v>
      </c>
      <c r="AO229" s="44">
        <f t="shared" si="117"/>
        <v>1</v>
      </c>
      <c r="AP229" s="44">
        <f t="shared" si="117"/>
        <v>1</v>
      </c>
      <c r="AQ229" s="44">
        <f t="shared" si="117"/>
        <v>1</v>
      </c>
      <c r="AR229" s="44">
        <f t="shared" si="117"/>
        <v>1</v>
      </c>
      <c r="AS229" s="44">
        <f t="shared" si="117"/>
        <v>1</v>
      </c>
      <c r="AT229" s="44">
        <f t="shared" si="117"/>
        <v>1</v>
      </c>
      <c r="AU229" s="44">
        <f t="shared" si="117"/>
        <v>1</v>
      </c>
      <c r="AV229" s="44">
        <f t="shared" si="117"/>
        <v>1</v>
      </c>
      <c r="AW229" s="44">
        <f t="shared" si="117"/>
        <v>1</v>
      </c>
      <c r="AX229" s="44">
        <f t="shared" si="117"/>
        <v>1</v>
      </c>
      <c r="AY229" s="44">
        <f t="shared" si="117"/>
        <v>1</v>
      </c>
      <c r="AZ229" s="44">
        <f t="shared" si="117"/>
        <v>1</v>
      </c>
      <c r="BA229" s="44">
        <f t="shared" si="117"/>
        <v>1</v>
      </c>
      <c r="BB229" s="44">
        <f t="shared" si="117"/>
        <v>1</v>
      </c>
      <c r="BC229" s="44">
        <f t="shared" si="117"/>
        <v>1</v>
      </c>
      <c r="BD229" s="44">
        <f t="shared" si="117"/>
        <v>1</v>
      </c>
      <c r="BE229" s="44">
        <f t="shared" si="117"/>
        <v>1</v>
      </c>
      <c r="BF229" s="44">
        <f t="shared" si="117"/>
        <v>1</v>
      </c>
      <c r="BG229" s="44">
        <f t="shared" si="117"/>
        <v>1</v>
      </c>
      <c r="BH229" s="44">
        <f t="shared" si="117"/>
        <v>1</v>
      </c>
      <c r="BI229" s="44">
        <f t="shared" si="117"/>
        <v>1</v>
      </c>
      <c r="BJ229" s="44">
        <f t="shared" si="117"/>
        <v>1</v>
      </c>
      <c r="BK229" s="44">
        <f t="shared" si="117"/>
        <v>1</v>
      </c>
      <c r="BL229" s="44">
        <f t="shared" si="117"/>
        <v>1</v>
      </c>
      <c r="BM229" s="44">
        <f t="shared" si="117"/>
        <v>1</v>
      </c>
      <c r="BN229" s="44">
        <f t="shared" si="117"/>
        <v>1</v>
      </c>
      <c r="BO229" s="32">
        <f t="shared" si="109"/>
        <v>0.65429632684758998</v>
      </c>
    </row>
    <row r="230" spans="1:67" s="27" customFormat="1" ht="18.75" customHeight="1" x14ac:dyDescent="0.25">
      <c r="A230" s="50" t="s">
        <v>468</v>
      </c>
      <c r="B230" s="50" t="s">
        <v>469</v>
      </c>
      <c r="C230" s="50" t="s">
        <v>74</v>
      </c>
      <c r="D230" s="51">
        <f>VLOOKUP(A230,'[1]Cuadro Control'!C266:J2160,8,FALSE)</f>
        <v>83271780.884117648</v>
      </c>
      <c r="E230" s="52">
        <f t="shared" ref="E230:E244" si="118">IFERROR(D230/$D$229,0)</f>
        <v>1.5685397839984384E-2</v>
      </c>
      <c r="F230" s="53">
        <v>46232</v>
      </c>
      <c r="G230" s="53">
        <v>46311</v>
      </c>
      <c r="H230" s="52">
        <f t="shared" ref="H230:BN234" si="119">IF($F230=0,0,IF(H$6&lt;$F230,0,IF(H$6&gt;$G230,1,(H$6-$F230+1)/($G230-$F230+1))))</f>
        <v>0</v>
      </c>
      <c r="I230" s="52">
        <f t="shared" si="119"/>
        <v>0</v>
      </c>
      <c r="J230" s="52">
        <f t="shared" si="119"/>
        <v>0</v>
      </c>
      <c r="K230" s="52">
        <f t="shared" si="119"/>
        <v>3.7499999999999999E-2</v>
      </c>
      <c r="L230" s="52">
        <f t="shared" si="119"/>
        <v>0.125</v>
      </c>
      <c r="M230" s="52">
        <f t="shared" si="119"/>
        <v>0.21249999999999999</v>
      </c>
      <c r="N230" s="52">
        <f t="shared" si="119"/>
        <v>0.3</v>
      </c>
      <c r="O230" s="52">
        <f t="shared" si="119"/>
        <v>0.38750000000000001</v>
      </c>
      <c r="P230" s="52">
        <f t="shared" si="119"/>
        <v>0.47499999999999998</v>
      </c>
      <c r="Q230" s="52">
        <f t="shared" si="119"/>
        <v>0.5625</v>
      </c>
      <c r="R230" s="52">
        <f t="shared" si="119"/>
        <v>0.65</v>
      </c>
      <c r="S230" s="52">
        <f t="shared" si="119"/>
        <v>0.73750000000000004</v>
      </c>
      <c r="T230" s="52">
        <f t="shared" si="119"/>
        <v>0.82499999999999996</v>
      </c>
      <c r="U230" s="52">
        <f t="shared" si="119"/>
        <v>0.91249999999999998</v>
      </c>
      <c r="V230" s="52">
        <f t="shared" si="119"/>
        <v>1</v>
      </c>
      <c r="W230" s="52">
        <f t="shared" si="119"/>
        <v>1</v>
      </c>
      <c r="X230" s="52">
        <f t="shared" si="119"/>
        <v>1</v>
      </c>
      <c r="Y230" s="52">
        <f t="shared" si="119"/>
        <v>1</v>
      </c>
      <c r="Z230" s="52">
        <f t="shared" si="119"/>
        <v>1</v>
      </c>
      <c r="AA230" s="52">
        <f t="shared" si="119"/>
        <v>1</v>
      </c>
      <c r="AB230" s="52">
        <f t="shared" si="119"/>
        <v>1</v>
      </c>
      <c r="AC230" s="52">
        <f t="shared" si="119"/>
        <v>1</v>
      </c>
      <c r="AD230" s="52">
        <f t="shared" si="119"/>
        <v>1</v>
      </c>
      <c r="AE230" s="52">
        <f t="shared" si="119"/>
        <v>1</v>
      </c>
      <c r="AF230" s="52">
        <f t="shared" si="119"/>
        <v>1</v>
      </c>
      <c r="AG230" s="52">
        <f t="shared" si="119"/>
        <v>1</v>
      </c>
      <c r="AH230" s="52">
        <f t="shared" si="119"/>
        <v>1</v>
      </c>
      <c r="AI230" s="52">
        <f t="shared" si="119"/>
        <v>1</v>
      </c>
      <c r="AJ230" s="52">
        <f t="shared" si="119"/>
        <v>1</v>
      </c>
      <c r="AK230" s="52">
        <f t="shared" si="119"/>
        <v>1</v>
      </c>
      <c r="AL230" s="52">
        <f t="shared" si="119"/>
        <v>1</v>
      </c>
      <c r="AM230" s="52">
        <f t="shared" si="119"/>
        <v>1</v>
      </c>
      <c r="AN230" s="52">
        <f t="shared" si="119"/>
        <v>1</v>
      </c>
      <c r="AO230" s="52">
        <f t="shared" si="119"/>
        <v>1</v>
      </c>
      <c r="AP230" s="52">
        <f t="shared" si="119"/>
        <v>1</v>
      </c>
      <c r="AQ230" s="52">
        <f t="shared" si="119"/>
        <v>1</v>
      </c>
      <c r="AR230" s="52">
        <f t="shared" si="119"/>
        <v>1</v>
      </c>
      <c r="AS230" s="52">
        <f t="shared" si="119"/>
        <v>1</v>
      </c>
      <c r="AT230" s="52">
        <f t="shared" si="119"/>
        <v>1</v>
      </c>
      <c r="AU230" s="52">
        <f t="shared" si="119"/>
        <v>1</v>
      </c>
      <c r="AV230" s="52">
        <f t="shared" si="119"/>
        <v>1</v>
      </c>
      <c r="AW230" s="52">
        <f t="shared" si="119"/>
        <v>1</v>
      </c>
      <c r="AX230" s="52">
        <f t="shared" si="119"/>
        <v>1</v>
      </c>
      <c r="AY230" s="52">
        <f t="shared" si="119"/>
        <v>1</v>
      </c>
      <c r="AZ230" s="52">
        <f t="shared" si="119"/>
        <v>1</v>
      </c>
      <c r="BA230" s="52">
        <f t="shared" si="119"/>
        <v>1</v>
      </c>
      <c r="BB230" s="52">
        <f t="shared" si="119"/>
        <v>1</v>
      </c>
      <c r="BC230" s="52">
        <f t="shared" si="119"/>
        <v>1</v>
      </c>
      <c r="BD230" s="52">
        <f t="shared" si="119"/>
        <v>1</v>
      </c>
      <c r="BE230" s="52">
        <f t="shared" si="119"/>
        <v>1</v>
      </c>
      <c r="BF230" s="52">
        <f t="shared" si="119"/>
        <v>1</v>
      </c>
      <c r="BG230" s="52">
        <f t="shared" si="119"/>
        <v>1</v>
      </c>
      <c r="BH230" s="52">
        <f t="shared" si="119"/>
        <v>1</v>
      </c>
      <c r="BI230" s="52">
        <f t="shared" si="119"/>
        <v>1</v>
      </c>
      <c r="BJ230" s="52">
        <f t="shared" si="119"/>
        <v>1</v>
      </c>
      <c r="BK230" s="52">
        <f t="shared" si="119"/>
        <v>1</v>
      </c>
      <c r="BL230" s="52">
        <f t="shared" si="119"/>
        <v>1</v>
      </c>
      <c r="BM230" s="52">
        <f t="shared" si="119"/>
        <v>1</v>
      </c>
      <c r="BN230" s="52">
        <f t="shared" si="119"/>
        <v>1</v>
      </c>
      <c r="BO230" s="32">
        <f t="shared" si="109"/>
        <v>0.85127118644067801</v>
      </c>
    </row>
    <row r="231" spans="1:67" s="27" customFormat="1" ht="18.75" customHeight="1" x14ac:dyDescent="0.25">
      <c r="A231" s="50" t="s">
        <v>470</v>
      </c>
      <c r="B231" s="50" t="s">
        <v>471</v>
      </c>
      <c r="C231" s="50" t="s">
        <v>61</v>
      </c>
      <c r="D231" s="51">
        <f>VLOOKUP(A231,'[1]Cuadro Control'!C267:J2161,8,FALSE)</f>
        <v>312374505.66882348</v>
      </c>
      <c r="E231" s="52">
        <f t="shared" si="118"/>
        <v>5.8840081771548515E-2</v>
      </c>
      <c r="F231" s="53">
        <v>46311</v>
      </c>
      <c r="G231" s="53">
        <v>46319</v>
      </c>
      <c r="H231" s="52">
        <f t="shared" si="119"/>
        <v>0</v>
      </c>
      <c r="I231" s="52">
        <f t="shared" si="119"/>
        <v>0</v>
      </c>
      <c r="J231" s="52">
        <f t="shared" si="119"/>
        <v>0</v>
      </c>
      <c r="K231" s="52">
        <f t="shared" si="119"/>
        <v>0</v>
      </c>
      <c r="L231" s="52">
        <f t="shared" si="119"/>
        <v>0</v>
      </c>
      <c r="M231" s="52">
        <f t="shared" si="119"/>
        <v>0</v>
      </c>
      <c r="N231" s="52">
        <f t="shared" si="119"/>
        <v>0</v>
      </c>
      <c r="O231" s="52">
        <f t="shared" si="119"/>
        <v>0</v>
      </c>
      <c r="P231" s="52">
        <f t="shared" si="119"/>
        <v>0</v>
      </c>
      <c r="Q231" s="52">
        <f t="shared" si="119"/>
        <v>0</v>
      </c>
      <c r="R231" s="52">
        <f t="shared" si="119"/>
        <v>0</v>
      </c>
      <c r="S231" s="52">
        <f t="shared" si="119"/>
        <v>0</v>
      </c>
      <c r="T231" s="52">
        <f t="shared" si="119"/>
        <v>0</v>
      </c>
      <c r="U231" s="52">
        <f t="shared" si="119"/>
        <v>0</v>
      </c>
      <c r="V231" s="52">
        <f t="shared" si="119"/>
        <v>0.1111111111111111</v>
      </c>
      <c r="W231" s="52">
        <f t="shared" si="119"/>
        <v>0.88888888888888884</v>
      </c>
      <c r="X231" s="52">
        <f t="shared" si="119"/>
        <v>1</v>
      </c>
      <c r="Y231" s="52">
        <f t="shared" si="119"/>
        <v>1</v>
      </c>
      <c r="Z231" s="52">
        <f t="shared" si="119"/>
        <v>1</v>
      </c>
      <c r="AA231" s="52">
        <f t="shared" si="119"/>
        <v>1</v>
      </c>
      <c r="AB231" s="52">
        <f t="shared" si="119"/>
        <v>1</v>
      </c>
      <c r="AC231" s="52">
        <f t="shared" si="119"/>
        <v>1</v>
      </c>
      <c r="AD231" s="52">
        <f t="shared" si="119"/>
        <v>1</v>
      </c>
      <c r="AE231" s="52">
        <f t="shared" si="119"/>
        <v>1</v>
      </c>
      <c r="AF231" s="52">
        <f t="shared" si="119"/>
        <v>1</v>
      </c>
      <c r="AG231" s="52">
        <f t="shared" si="119"/>
        <v>1</v>
      </c>
      <c r="AH231" s="52">
        <f t="shared" si="119"/>
        <v>1</v>
      </c>
      <c r="AI231" s="52">
        <f t="shared" si="119"/>
        <v>1</v>
      </c>
      <c r="AJ231" s="52">
        <f t="shared" si="119"/>
        <v>1</v>
      </c>
      <c r="AK231" s="52">
        <f t="shared" si="119"/>
        <v>1</v>
      </c>
      <c r="AL231" s="52">
        <f t="shared" si="119"/>
        <v>1</v>
      </c>
      <c r="AM231" s="52">
        <f t="shared" si="119"/>
        <v>1</v>
      </c>
      <c r="AN231" s="52">
        <f t="shared" si="119"/>
        <v>1</v>
      </c>
      <c r="AO231" s="52">
        <f t="shared" si="119"/>
        <v>1</v>
      </c>
      <c r="AP231" s="52">
        <f t="shared" si="119"/>
        <v>1</v>
      </c>
      <c r="AQ231" s="52">
        <f t="shared" si="119"/>
        <v>1</v>
      </c>
      <c r="AR231" s="52">
        <f t="shared" si="119"/>
        <v>1</v>
      </c>
      <c r="AS231" s="52">
        <f t="shared" si="119"/>
        <v>1</v>
      </c>
      <c r="AT231" s="52">
        <f t="shared" si="119"/>
        <v>1</v>
      </c>
      <c r="AU231" s="52">
        <f t="shared" si="119"/>
        <v>1</v>
      </c>
      <c r="AV231" s="52">
        <f t="shared" si="119"/>
        <v>1</v>
      </c>
      <c r="AW231" s="52">
        <f t="shared" si="119"/>
        <v>1</v>
      </c>
      <c r="AX231" s="52">
        <f t="shared" si="119"/>
        <v>1</v>
      </c>
      <c r="AY231" s="52">
        <f t="shared" si="119"/>
        <v>1</v>
      </c>
      <c r="AZ231" s="52">
        <f t="shared" si="119"/>
        <v>1</v>
      </c>
      <c r="BA231" s="52">
        <f t="shared" si="119"/>
        <v>1</v>
      </c>
      <c r="BB231" s="52">
        <f t="shared" si="119"/>
        <v>1</v>
      </c>
      <c r="BC231" s="52">
        <f t="shared" si="119"/>
        <v>1</v>
      </c>
      <c r="BD231" s="52">
        <f t="shared" si="119"/>
        <v>1</v>
      </c>
      <c r="BE231" s="52">
        <f t="shared" si="119"/>
        <v>1</v>
      </c>
      <c r="BF231" s="52">
        <f t="shared" si="119"/>
        <v>1</v>
      </c>
      <c r="BG231" s="52">
        <f t="shared" si="119"/>
        <v>1</v>
      </c>
      <c r="BH231" s="52">
        <f t="shared" si="119"/>
        <v>1</v>
      </c>
      <c r="BI231" s="52">
        <f t="shared" si="119"/>
        <v>1</v>
      </c>
      <c r="BJ231" s="52">
        <f t="shared" si="119"/>
        <v>1</v>
      </c>
      <c r="BK231" s="52">
        <f t="shared" si="119"/>
        <v>1</v>
      </c>
      <c r="BL231" s="52">
        <f t="shared" si="119"/>
        <v>1</v>
      </c>
      <c r="BM231" s="52">
        <f t="shared" si="119"/>
        <v>1</v>
      </c>
      <c r="BN231" s="52">
        <f t="shared" si="119"/>
        <v>1</v>
      </c>
      <c r="BO231" s="32">
        <f t="shared" si="109"/>
        <v>0.74576271186440679</v>
      </c>
    </row>
    <row r="232" spans="1:67" s="27" customFormat="1" ht="18.75" customHeight="1" x14ac:dyDescent="0.25">
      <c r="A232" s="46" t="s">
        <v>472</v>
      </c>
      <c r="B232" s="46" t="s">
        <v>473</v>
      </c>
      <c r="C232" s="46" t="s">
        <v>126</v>
      </c>
      <c r="D232" s="47">
        <f>VLOOKUP(A232,'[1]Cuadro Control'!C268:J2162,8,FALSE)</f>
        <v>9527825.6870364472</v>
      </c>
      <c r="E232" s="48">
        <f t="shared" si="118"/>
        <v>1.794698454439963E-3</v>
      </c>
      <c r="F232" s="49">
        <v>46319</v>
      </c>
      <c r="G232" s="49">
        <v>46322</v>
      </c>
      <c r="H232" s="48">
        <f t="shared" si="119"/>
        <v>0</v>
      </c>
      <c r="I232" s="48">
        <f t="shared" si="119"/>
        <v>0</v>
      </c>
      <c r="J232" s="48">
        <f t="shared" si="119"/>
        <v>0</v>
      </c>
      <c r="K232" s="48">
        <f t="shared" si="119"/>
        <v>0</v>
      </c>
      <c r="L232" s="48">
        <f t="shared" si="119"/>
        <v>0</v>
      </c>
      <c r="M232" s="48">
        <f t="shared" si="119"/>
        <v>0</v>
      </c>
      <c r="N232" s="48">
        <f t="shared" si="119"/>
        <v>0</v>
      </c>
      <c r="O232" s="48">
        <f t="shared" si="119"/>
        <v>0</v>
      </c>
      <c r="P232" s="48">
        <f t="shared" si="119"/>
        <v>0</v>
      </c>
      <c r="Q232" s="48">
        <f t="shared" si="119"/>
        <v>0</v>
      </c>
      <c r="R232" s="48">
        <f t="shared" si="119"/>
        <v>0</v>
      </c>
      <c r="S232" s="48">
        <f t="shared" si="119"/>
        <v>0</v>
      </c>
      <c r="T232" s="48">
        <f t="shared" si="119"/>
        <v>0</v>
      </c>
      <c r="U232" s="48">
        <f t="shared" si="119"/>
        <v>0</v>
      </c>
      <c r="V232" s="48">
        <f t="shared" si="119"/>
        <v>0</v>
      </c>
      <c r="W232" s="48">
        <f t="shared" si="119"/>
        <v>0</v>
      </c>
      <c r="X232" s="48">
        <f t="shared" si="119"/>
        <v>1</v>
      </c>
      <c r="Y232" s="48">
        <f t="shared" si="119"/>
        <v>1</v>
      </c>
      <c r="Z232" s="48">
        <f t="shared" si="119"/>
        <v>1</v>
      </c>
      <c r="AA232" s="48">
        <f t="shared" si="119"/>
        <v>1</v>
      </c>
      <c r="AB232" s="48">
        <f t="shared" si="119"/>
        <v>1</v>
      </c>
      <c r="AC232" s="48">
        <f t="shared" si="119"/>
        <v>1</v>
      </c>
      <c r="AD232" s="48">
        <f t="shared" si="119"/>
        <v>1</v>
      </c>
      <c r="AE232" s="48">
        <f t="shared" si="119"/>
        <v>1</v>
      </c>
      <c r="AF232" s="48">
        <f t="shared" si="119"/>
        <v>1</v>
      </c>
      <c r="AG232" s="48">
        <f t="shared" si="119"/>
        <v>1</v>
      </c>
      <c r="AH232" s="48">
        <f t="shared" si="119"/>
        <v>1</v>
      </c>
      <c r="AI232" s="48">
        <f t="shared" si="119"/>
        <v>1</v>
      </c>
      <c r="AJ232" s="48">
        <f t="shared" si="119"/>
        <v>1</v>
      </c>
      <c r="AK232" s="48">
        <f t="shared" si="119"/>
        <v>1</v>
      </c>
      <c r="AL232" s="48">
        <f t="shared" si="119"/>
        <v>1</v>
      </c>
      <c r="AM232" s="48">
        <f t="shared" si="119"/>
        <v>1</v>
      </c>
      <c r="AN232" s="48">
        <f t="shared" si="119"/>
        <v>1</v>
      </c>
      <c r="AO232" s="48">
        <f t="shared" si="119"/>
        <v>1</v>
      </c>
      <c r="AP232" s="48">
        <f t="shared" si="119"/>
        <v>1</v>
      </c>
      <c r="AQ232" s="48">
        <f t="shared" si="119"/>
        <v>1</v>
      </c>
      <c r="AR232" s="48">
        <f t="shared" si="119"/>
        <v>1</v>
      </c>
      <c r="AS232" s="48">
        <f t="shared" si="119"/>
        <v>1</v>
      </c>
      <c r="AT232" s="48">
        <f t="shared" si="119"/>
        <v>1</v>
      </c>
      <c r="AU232" s="48">
        <f t="shared" si="119"/>
        <v>1</v>
      </c>
      <c r="AV232" s="48">
        <f t="shared" si="119"/>
        <v>1</v>
      </c>
      <c r="AW232" s="48">
        <f t="shared" si="119"/>
        <v>1</v>
      </c>
      <c r="AX232" s="48">
        <f t="shared" si="119"/>
        <v>1</v>
      </c>
      <c r="AY232" s="48">
        <f t="shared" si="119"/>
        <v>1</v>
      </c>
      <c r="AZ232" s="48">
        <f t="shared" si="119"/>
        <v>1</v>
      </c>
      <c r="BA232" s="48">
        <f t="shared" si="119"/>
        <v>1</v>
      </c>
      <c r="BB232" s="48">
        <f t="shared" si="119"/>
        <v>1</v>
      </c>
      <c r="BC232" s="48">
        <f t="shared" si="119"/>
        <v>1</v>
      </c>
      <c r="BD232" s="48">
        <f t="shared" si="119"/>
        <v>1</v>
      </c>
      <c r="BE232" s="48">
        <f t="shared" si="119"/>
        <v>1</v>
      </c>
      <c r="BF232" s="48">
        <f t="shared" si="119"/>
        <v>1</v>
      </c>
      <c r="BG232" s="48">
        <f t="shared" si="119"/>
        <v>1</v>
      </c>
      <c r="BH232" s="48">
        <f t="shared" si="119"/>
        <v>1</v>
      </c>
      <c r="BI232" s="48">
        <f t="shared" si="119"/>
        <v>1</v>
      </c>
      <c r="BJ232" s="48">
        <f t="shared" si="119"/>
        <v>1</v>
      </c>
      <c r="BK232" s="48">
        <f t="shared" si="119"/>
        <v>1</v>
      </c>
      <c r="BL232" s="48">
        <f t="shared" si="119"/>
        <v>1</v>
      </c>
      <c r="BM232" s="48">
        <f t="shared" si="119"/>
        <v>1</v>
      </c>
      <c r="BN232" s="48">
        <f t="shared" si="119"/>
        <v>1</v>
      </c>
      <c r="BO232" s="32">
        <f t="shared" si="109"/>
        <v>0.72881355932203384</v>
      </c>
    </row>
    <row r="233" spans="1:67" s="27" customFormat="1" ht="18.75" customHeight="1" x14ac:dyDescent="0.25">
      <c r="A233" s="50" t="s">
        <v>474</v>
      </c>
      <c r="B233" s="50" t="s">
        <v>475</v>
      </c>
      <c r="C233" s="50" t="s">
        <v>117</v>
      </c>
      <c r="D233" s="51">
        <f>VLOOKUP(A233,'[1]Cuadro Control'!C269:J2163,8,FALSE)</f>
        <v>320494616.71764702</v>
      </c>
      <c r="E233" s="52">
        <f t="shared" si="118"/>
        <v>6.0369617599332674E-2</v>
      </c>
      <c r="F233" s="53">
        <v>46323</v>
      </c>
      <c r="G233" s="53">
        <v>46326</v>
      </c>
      <c r="H233" s="52">
        <f t="shared" si="119"/>
        <v>0</v>
      </c>
      <c r="I233" s="52">
        <f t="shared" si="119"/>
        <v>0</v>
      </c>
      <c r="J233" s="52">
        <f t="shared" si="119"/>
        <v>0</v>
      </c>
      <c r="K233" s="52">
        <f t="shared" si="119"/>
        <v>0</v>
      </c>
      <c r="L233" s="52">
        <f t="shared" si="119"/>
        <v>0</v>
      </c>
      <c r="M233" s="52">
        <f t="shared" si="119"/>
        <v>0</v>
      </c>
      <c r="N233" s="52">
        <f t="shared" si="119"/>
        <v>0</v>
      </c>
      <c r="O233" s="52">
        <f t="shared" si="119"/>
        <v>0</v>
      </c>
      <c r="P233" s="52">
        <f t="shared" si="119"/>
        <v>0</v>
      </c>
      <c r="Q233" s="52">
        <f t="shared" si="119"/>
        <v>0</v>
      </c>
      <c r="R233" s="52">
        <f t="shared" si="119"/>
        <v>0</v>
      </c>
      <c r="S233" s="52">
        <f t="shared" si="119"/>
        <v>0</v>
      </c>
      <c r="T233" s="52">
        <f t="shared" si="119"/>
        <v>0</v>
      </c>
      <c r="U233" s="52">
        <f t="shared" si="119"/>
        <v>0</v>
      </c>
      <c r="V233" s="52">
        <f t="shared" si="119"/>
        <v>0</v>
      </c>
      <c r="W233" s="52">
        <f t="shared" si="119"/>
        <v>0</v>
      </c>
      <c r="X233" s="52">
        <f t="shared" si="119"/>
        <v>0.75</v>
      </c>
      <c r="Y233" s="52">
        <f t="shared" si="119"/>
        <v>1</v>
      </c>
      <c r="Z233" s="52">
        <f t="shared" si="119"/>
        <v>1</v>
      </c>
      <c r="AA233" s="52">
        <f t="shared" si="119"/>
        <v>1</v>
      </c>
      <c r="AB233" s="52">
        <f t="shared" si="119"/>
        <v>1</v>
      </c>
      <c r="AC233" s="52">
        <f t="shared" si="119"/>
        <v>1</v>
      </c>
      <c r="AD233" s="52">
        <f t="shared" si="119"/>
        <v>1</v>
      </c>
      <c r="AE233" s="52">
        <f t="shared" si="119"/>
        <v>1</v>
      </c>
      <c r="AF233" s="52">
        <f t="shared" si="119"/>
        <v>1</v>
      </c>
      <c r="AG233" s="52">
        <f t="shared" si="119"/>
        <v>1</v>
      </c>
      <c r="AH233" s="52">
        <f t="shared" si="119"/>
        <v>1</v>
      </c>
      <c r="AI233" s="52">
        <f t="shared" si="119"/>
        <v>1</v>
      </c>
      <c r="AJ233" s="52">
        <f t="shared" si="119"/>
        <v>1</v>
      </c>
      <c r="AK233" s="52">
        <f t="shared" si="119"/>
        <v>1</v>
      </c>
      <c r="AL233" s="52">
        <f t="shared" si="119"/>
        <v>1</v>
      </c>
      <c r="AM233" s="52">
        <f t="shared" si="119"/>
        <v>1</v>
      </c>
      <c r="AN233" s="52">
        <f t="shared" si="119"/>
        <v>1</v>
      </c>
      <c r="AO233" s="52">
        <f t="shared" si="119"/>
        <v>1</v>
      </c>
      <c r="AP233" s="52">
        <f t="shared" si="119"/>
        <v>1</v>
      </c>
      <c r="AQ233" s="52">
        <f t="shared" si="119"/>
        <v>1</v>
      </c>
      <c r="AR233" s="52">
        <f t="shared" si="119"/>
        <v>1</v>
      </c>
      <c r="AS233" s="52">
        <f t="shared" si="119"/>
        <v>1</v>
      </c>
      <c r="AT233" s="52">
        <f t="shared" si="119"/>
        <v>1</v>
      </c>
      <c r="AU233" s="52">
        <f t="shared" si="119"/>
        <v>1</v>
      </c>
      <c r="AV233" s="52">
        <f t="shared" si="119"/>
        <v>1</v>
      </c>
      <c r="AW233" s="52">
        <f t="shared" si="119"/>
        <v>1</v>
      </c>
      <c r="AX233" s="52">
        <f t="shared" si="119"/>
        <v>1</v>
      </c>
      <c r="AY233" s="52">
        <f t="shared" si="119"/>
        <v>1</v>
      </c>
      <c r="AZ233" s="52">
        <f t="shared" si="119"/>
        <v>1</v>
      </c>
      <c r="BA233" s="52">
        <f t="shared" si="119"/>
        <v>1</v>
      </c>
      <c r="BB233" s="52">
        <f t="shared" si="119"/>
        <v>1</v>
      </c>
      <c r="BC233" s="52">
        <f t="shared" si="119"/>
        <v>1</v>
      </c>
      <c r="BD233" s="52">
        <f t="shared" si="119"/>
        <v>1</v>
      </c>
      <c r="BE233" s="52">
        <f t="shared" si="119"/>
        <v>1</v>
      </c>
      <c r="BF233" s="52">
        <f t="shared" si="119"/>
        <v>1</v>
      </c>
      <c r="BG233" s="52">
        <f t="shared" si="119"/>
        <v>1</v>
      </c>
      <c r="BH233" s="52">
        <f t="shared" si="119"/>
        <v>1</v>
      </c>
      <c r="BI233" s="52">
        <f t="shared" si="119"/>
        <v>1</v>
      </c>
      <c r="BJ233" s="52">
        <f t="shared" si="119"/>
        <v>1</v>
      </c>
      <c r="BK233" s="52">
        <f t="shared" si="119"/>
        <v>1</v>
      </c>
      <c r="BL233" s="52">
        <f t="shared" si="119"/>
        <v>1</v>
      </c>
      <c r="BM233" s="52">
        <f t="shared" si="119"/>
        <v>1</v>
      </c>
      <c r="BN233" s="52">
        <f t="shared" si="119"/>
        <v>1</v>
      </c>
      <c r="BO233" s="32">
        <f t="shared" si="109"/>
        <v>0.72457627118644063</v>
      </c>
    </row>
    <row r="234" spans="1:67" s="27" customFormat="1" ht="18.75" customHeight="1" x14ac:dyDescent="0.25">
      <c r="A234" s="50" t="s">
        <v>476</v>
      </c>
      <c r="B234" s="50" t="s">
        <v>477</v>
      </c>
      <c r="C234" s="50" t="s">
        <v>111</v>
      </c>
      <c r="D234" s="51">
        <f>VLOOKUP(A234,'[1]Cuadro Control'!C270:J2164,8,FALSE)</f>
        <v>94303618.549411759</v>
      </c>
      <c r="E234" s="52">
        <f t="shared" si="118"/>
        <v>1.7763397864110998E-2</v>
      </c>
      <c r="F234" s="53">
        <v>46329</v>
      </c>
      <c r="G234" s="53">
        <v>46330</v>
      </c>
      <c r="H234" s="52">
        <f t="shared" si="119"/>
        <v>0</v>
      </c>
      <c r="I234" s="52">
        <f t="shared" si="119"/>
        <v>0</v>
      </c>
      <c r="J234" s="52">
        <f t="shared" si="119"/>
        <v>0</v>
      </c>
      <c r="K234" s="52">
        <f t="shared" si="119"/>
        <v>0</v>
      </c>
      <c r="L234" s="52">
        <f t="shared" si="119"/>
        <v>0</v>
      </c>
      <c r="M234" s="52">
        <f t="shared" si="119"/>
        <v>0</v>
      </c>
      <c r="N234" s="52">
        <f t="shared" si="119"/>
        <v>0</v>
      </c>
      <c r="O234" s="52">
        <f t="shared" si="119"/>
        <v>0</v>
      </c>
      <c r="P234" s="52">
        <f t="shared" si="119"/>
        <v>0</v>
      </c>
      <c r="Q234" s="52">
        <f t="shared" si="119"/>
        <v>0</v>
      </c>
      <c r="R234" s="52">
        <f t="shared" si="119"/>
        <v>0</v>
      </c>
      <c r="S234" s="52">
        <f t="shared" si="119"/>
        <v>0</v>
      </c>
      <c r="T234" s="52">
        <f t="shared" si="119"/>
        <v>0</v>
      </c>
      <c r="U234" s="52">
        <f t="shared" si="119"/>
        <v>0</v>
      </c>
      <c r="V234" s="52">
        <f t="shared" si="119"/>
        <v>0</v>
      </c>
      <c r="W234" s="52">
        <f t="shared" si="119"/>
        <v>0</v>
      </c>
      <c r="X234" s="52">
        <f t="shared" si="119"/>
        <v>0</v>
      </c>
      <c r="Y234" s="52">
        <f t="shared" si="119"/>
        <v>1</v>
      </c>
      <c r="Z234" s="52">
        <f t="shared" si="119"/>
        <v>1</v>
      </c>
      <c r="AA234" s="52">
        <f t="shared" ref="AA234:BF245" si="120">IF($F234=0,0,IF(AA$6&lt;$F234,0,IF(AA$6&gt;$G234,1,(AA$6-$F234+1)/($G234-$F234+1))))</f>
        <v>1</v>
      </c>
      <c r="AB234" s="52">
        <f t="shared" si="120"/>
        <v>1</v>
      </c>
      <c r="AC234" s="52">
        <f t="shared" si="120"/>
        <v>1</v>
      </c>
      <c r="AD234" s="52">
        <f t="shared" si="120"/>
        <v>1</v>
      </c>
      <c r="AE234" s="52">
        <f t="shared" si="120"/>
        <v>1</v>
      </c>
      <c r="AF234" s="52">
        <f t="shared" si="120"/>
        <v>1</v>
      </c>
      <c r="AG234" s="52">
        <f t="shared" si="120"/>
        <v>1</v>
      </c>
      <c r="AH234" s="52">
        <f t="shared" si="120"/>
        <v>1</v>
      </c>
      <c r="AI234" s="52">
        <f t="shared" si="120"/>
        <v>1</v>
      </c>
      <c r="AJ234" s="52">
        <f t="shared" si="120"/>
        <v>1</v>
      </c>
      <c r="AK234" s="52">
        <f t="shared" si="120"/>
        <v>1</v>
      </c>
      <c r="AL234" s="52">
        <f t="shared" si="120"/>
        <v>1</v>
      </c>
      <c r="AM234" s="52">
        <f t="shared" si="120"/>
        <v>1</v>
      </c>
      <c r="AN234" s="52">
        <f t="shared" si="120"/>
        <v>1</v>
      </c>
      <c r="AO234" s="52">
        <f t="shared" si="120"/>
        <v>1</v>
      </c>
      <c r="AP234" s="52">
        <f t="shared" si="120"/>
        <v>1</v>
      </c>
      <c r="AQ234" s="52">
        <f t="shared" si="120"/>
        <v>1</v>
      </c>
      <c r="AR234" s="52">
        <f t="shared" si="120"/>
        <v>1</v>
      </c>
      <c r="AS234" s="52">
        <f t="shared" si="120"/>
        <v>1</v>
      </c>
      <c r="AT234" s="52">
        <f t="shared" si="120"/>
        <v>1</v>
      </c>
      <c r="AU234" s="52">
        <f t="shared" si="120"/>
        <v>1</v>
      </c>
      <c r="AV234" s="52">
        <f t="shared" si="120"/>
        <v>1</v>
      </c>
      <c r="AW234" s="52">
        <f t="shared" si="120"/>
        <v>1</v>
      </c>
      <c r="AX234" s="52">
        <f t="shared" si="120"/>
        <v>1</v>
      </c>
      <c r="AY234" s="52">
        <f t="shared" si="120"/>
        <v>1</v>
      </c>
      <c r="AZ234" s="52">
        <f t="shared" si="120"/>
        <v>1</v>
      </c>
      <c r="BA234" s="52">
        <f t="shared" si="120"/>
        <v>1</v>
      </c>
      <c r="BB234" s="52">
        <f t="shared" si="120"/>
        <v>1</v>
      </c>
      <c r="BC234" s="52">
        <f t="shared" si="120"/>
        <v>1</v>
      </c>
      <c r="BD234" s="52">
        <f t="shared" si="120"/>
        <v>1</v>
      </c>
      <c r="BE234" s="52">
        <f t="shared" si="120"/>
        <v>1</v>
      </c>
      <c r="BF234" s="52">
        <f t="shared" si="120"/>
        <v>1</v>
      </c>
      <c r="BG234" s="52">
        <f t="shared" ref="BG234:BN245" si="121">IF($F234=0,0,IF(BG$6&lt;$F234,0,IF(BG$6&gt;$G234,1,(BG$6-$F234+1)/($G234-$F234+1))))</f>
        <v>1</v>
      </c>
      <c r="BH234" s="52">
        <f t="shared" si="121"/>
        <v>1</v>
      </c>
      <c r="BI234" s="52">
        <f t="shared" si="121"/>
        <v>1</v>
      </c>
      <c r="BJ234" s="52">
        <f t="shared" si="121"/>
        <v>1</v>
      </c>
      <c r="BK234" s="52">
        <f t="shared" si="121"/>
        <v>1</v>
      </c>
      <c r="BL234" s="52">
        <f t="shared" si="121"/>
        <v>1</v>
      </c>
      <c r="BM234" s="52">
        <f t="shared" si="121"/>
        <v>1</v>
      </c>
      <c r="BN234" s="52">
        <f t="shared" si="121"/>
        <v>1</v>
      </c>
      <c r="BO234" s="32">
        <f t="shared" si="109"/>
        <v>0.71186440677966101</v>
      </c>
    </row>
    <row r="235" spans="1:67" s="27" customFormat="1" ht="18.75" customHeight="1" x14ac:dyDescent="0.25">
      <c r="A235" s="50" t="s">
        <v>478</v>
      </c>
      <c r="B235" s="50" t="s">
        <v>479</v>
      </c>
      <c r="C235" s="50" t="s">
        <v>238</v>
      </c>
      <c r="D235" s="51">
        <f>VLOOKUP(A235,'[1]Cuadro Control'!C271:J2165,8,FALSE)</f>
        <v>179436034.15411764</v>
      </c>
      <c r="E235" s="52">
        <f t="shared" si="118"/>
        <v>3.3799272126209236E-2</v>
      </c>
      <c r="F235" s="53">
        <v>46330</v>
      </c>
      <c r="G235" s="53">
        <v>46336</v>
      </c>
      <c r="H235" s="52">
        <f t="shared" ref="H235:W245" si="122">IF($F235=0,0,IF(H$6&lt;$F235,0,IF(H$6&gt;$G235,1,(H$6-$F235+1)/($G235-$F235+1))))</f>
        <v>0</v>
      </c>
      <c r="I235" s="52">
        <f t="shared" si="122"/>
        <v>0</v>
      </c>
      <c r="J235" s="52">
        <f t="shared" si="122"/>
        <v>0</v>
      </c>
      <c r="K235" s="52">
        <f t="shared" si="122"/>
        <v>0</v>
      </c>
      <c r="L235" s="52">
        <f t="shared" si="122"/>
        <v>0</v>
      </c>
      <c r="M235" s="52">
        <f t="shared" si="122"/>
        <v>0</v>
      </c>
      <c r="N235" s="52">
        <f t="shared" si="122"/>
        <v>0</v>
      </c>
      <c r="O235" s="52">
        <f t="shared" si="122"/>
        <v>0</v>
      </c>
      <c r="P235" s="52">
        <f t="shared" si="122"/>
        <v>0</v>
      </c>
      <c r="Q235" s="52">
        <f t="shared" si="122"/>
        <v>0</v>
      </c>
      <c r="R235" s="52">
        <f t="shared" si="122"/>
        <v>0</v>
      </c>
      <c r="S235" s="52">
        <f t="shared" si="122"/>
        <v>0</v>
      </c>
      <c r="T235" s="52">
        <f t="shared" si="122"/>
        <v>0</v>
      </c>
      <c r="U235" s="52">
        <f t="shared" si="122"/>
        <v>0</v>
      </c>
      <c r="V235" s="52">
        <f t="shared" si="122"/>
        <v>0</v>
      </c>
      <c r="W235" s="52">
        <f t="shared" si="122"/>
        <v>0</v>
      </c>
      <c r="X235" s="52">
        <f t="shared" ref="X235:BC245" si="123">IF($F235=0,0,IF(X$6&lt;$F235,0,IF(X$6&gt;$G235,1,(X$6-$F235+1)/($G235-$F235+1))))</f>
        <v>0</v>
      </c>
      <c r="Y235" s="52">
        <f t="shared" si="123"/>
        <v>0.42857142857142855</v>
      </c>
      <c r="Z235" s="52">
        <f t="shared" si="123"/>
        <v>1</v>
      </c>
      <c r="AA235" s="52">
        <f t="shared" si="123"/>
        <v>1</v>
      </c>
      <c r="AB235" s="52">
        <f t="shared" si="123"/>
        <v>1</v>
      </c>
      <c r="AC235" s="52">
        <f t="shared" si="123"/>
        <v>1</v>
      </c>
      <c r="AD235" s="52">
        <f t="shared" si="123"/>
        <v>1</v>
      </c>
      <c r="AE235" s="52">
        <f t="shared" si="123"/>
        <v>1</v>
      </c>
      <c r="AF235" s="52">
        <f t="shared" si="123"/>
        <v>1</v>
      </c>
      <c r="AG235" s="52">
        <f t="shared" si="123"/>
        <v>1</v>
      </c>
      <c r="AH235" s="52">
        <f t="shared" si="123"/>
        <v>1</v>
      </c>
      <c r="AI235" s="52">
        <f t="shared" si="123"/>
        <v>1</v>
      </c>
      <c r="AJ235" s="52">
        <f t="shared" si="123"/>
        <v>1</v>
      </c>
      <c r="AK235" s="52">
        <f t="shared" si="123"/>
        <v>1</v>
      </c>
      <c r="AL235" s="52">
        <f t="shared" si="123"/>
        <v>1</v>
      </c>
      <c r="AM235" s="52">
        <f t="shared" si="123"/>
        <v>1</v>
      </c>
      <c r="AN235" s="52">
        <f t="shared" si="123"/>
        <v>1</v>
      </c>
      <c r="AO235" s="52">
        <f t="shared" si="120"/>
        <v>1</v>
      </c>
      <c r="AP235" s="52">
        <f t="shared" si="120"/>
        <v>1</v>
      </c>
      <c r="AQ235" s="52">
        <f t="shared" si="120"/>
        <v>1</v>
      </c>
      <c r="AR235" s="52">
        <f t="shared" si="120"/>
        <v>1</v>
      </c>
      <c r="AS235" s="52">
        <f t="shared" si="120"/>
        <v>1</v>
      </c>
      <c r="AT235" s="52">
        <f t="shared" si="120"/>
        <v>1</v>
      </c>
      <c r="AU235" s="52">
        <f t="shared" si="120"/>
        <v>1</v>
      </c>
      <c r="AV235" s="52">
        <f t="shared" si="120"/>
        <v>1</v>
      </c>
      <c r="AW235" s="52">
        <f t="shared" si="120"/>
        <v>1</v>
      </c>
      <c r="AX235" s="52">
        <f t="shared" si="120"/>
        <v>1</v>
      </c>
      <c r="AY235" s="52">
        <f t="shared" si="120"/>
        <v>1</v>
      </c>
      <c r="AZ235" s="52">
        <f t="shared" si="120"/>
        <v>1</v>
      </c>
      <c r="BA235" s="52">
        <f t="shared" si="120"/>
        <v>1</v>
      </c>
      <c r="BB235" s="52">
        <f t="shared" si="120"/>
        <v>1</v>
      </c>
      <c r="BC235" s="52">
        <f t="shared" si="120"/>
        <v>1</v>
      </c>
      <c r="BD235" s="52">
        <f t="shared" si="120"/>
        <v>1</v>
      </c>
      <c r="BE235" s="52">
        <f t="shared" si="120"/>
        <v>1</v>
      </c>
      <c r="BF235" s="52">
        <f t="shared" si="120"/>
        <v>1</v>
      </c>
      <c r="BG235" s="52">
        <f t="shared" si="121"/>
        <v>1</v>
      </c>
      <c r="BH235" s="52">
        <f t="shared" si="121"/>
        <v>1</v>
      </c>
      <c r="BI235" s="52">
        <f t="shared" si="121"/>
        <v>1</v>
      </c>
      <c r="BJ235" s="52">
        <f t="shared" si="121"/>
        <v>1</v>
      </c>
      <c r="BK235" s="52">
        <f t="shared" si="121"/>
        <v>1</v>
      </c>
      <c r="BL235" s="52">
        <f t="shared" si="121"/>
        <v>1</v>
      </c>
      <c r="BM235" s="52">
        <f t="shared" si="121"/>
        <v>1</v>
      </c>
      <c r="BN235" s="52">
        <f t="shared" si="121"/>
        <v>1</v>
      </c>
      <c r="BO235" s="32">
        <f t="shared" si="109"/>
        <v>0.70217917675544794</v>
      </c>
    </row>
    <row r="236" spans="1:67" s="27" customFormat="1" ht="18.75" customHeight="1" x14ac:dyDescent="0.25">
      <c r="A236" s="50" t="s">
        <v>480</v>
      </c>
      <c r="B236" s="50" t="s">
        <v>481</v>
      </c>
      <c r="C236" s="50" t="s">
        <v>58</v>
      </c>
      <c r="D236" s="51">
        <f>VLOOKUP(A236,'[1]Cuadro Control'!C272:J2166,8,FALSE)</f>
        <v>1212623361.2117648</v>
      </c>
      <c r="E236" s="52">
        <f t="shared" si="118"/>
        <v>0.22841447185013161</v>
      </c>
      <c r="F236" s="53">
        <v>46336</v>
      </c>
      <c r="G236" s="53">
        <v>46352</v>
      </c>
      <c r="H236" s="52">
        <f t="shared" si="122"/>
        <v>0</v>
      </c>
      <c r="I236" s="52">
        <f t="shared" si="122"/>
        <v>0</v>
      </c>
      <c r="J236" s="52">
        <f t="shared" si="122"/>
        <v>0</v>
      </c>
      <c r="K236" s="52">
        <f t="shared" si="122"/>
        <v>0</v>
      </c>
      <c r="L236" s="52">
        <f t="shared" si="122"/>
        <v>0</v>
      </c>
      <c r="M236" s="52">
        <f t="shared" si="122"/>
        <v>0</v>
      </c>
      <c r="N236" s="52">
        <f t="shared" si="122"/>
        <v>0</v>
      </c>
      <c r="O236" s="52">
        <f t="shared" si="122"/>
        <v>0</v>
      </c>
      <c r="P236" s="52">
        <f t="shared" si="122"/>
        <v>0</v>
      </c>
      <c r="Q236" s="52">
        <f t="shared" si="122"/>
        <v>0</v>
      </c>
      <c r="R236" s="52">
        <f t="shared" si="122"/>
        <v>0</v>
      </c>
      <c r="S236" s="52">
        <f t="shared" si="122"/>
        <v>0</v>
      </c>
      <c r="T236" s="52">
        <f t="shared" si="122"/>
        <v>0</v>
      </c>
      <c r="U236" s="52">
        <f t="shared" si="122"/>
        <v>0</v>
      </c>
      <c r="V236" s="52">
        <f t="shared" si="122"/>
        <v>0</v>
      </c>
      <c r="W236" s="52">
        <f t="shared" si="122"/>
        <v>0</v>
      </c>
      <c r="X236" s="52">
        <f t="shared" si="123"/>
        <v>0</v>
      </c>
      <c r="Y236" s="52">
        <f t="shared" si="123"/>
        <v>0</v>
      </c>
      <c r="Z236" s="52">
        <f t="shared" si="123"/>
        <v>0.23529411764705882</v>
      </c>
      <c r="AA236" s="52">
        <f t="shared" si="123"/>
        <v>0.6470588235294118</v>
      </c>
      <c r="AB236" s="52">
        <f t="shared" si="123"/>
        <v>1</v>
      </c>
      <c r="AC236" s="52">
        <f t="shared" si="123"/>
        <v>1</v>
      </c>
      <c r="AD236" s="52">
        <f t="shared" si="123"/>
        <v>1</v>
      </c>
      <c r="AE236" s="52">
        <f t="shared" si="123"/>
        <v>1</v>
      </c>
      <c r="AF236" s="52">
        <f t="shared" si="123"/>
        <v>1</v>
      </c>
      <c r="AG236" s="52">
        <f t="shared" si="123"/>
        <v>1</v>
      </c>
      <c r="AH236" s="52">
        <f t="shared" si="123"/>
        <v>1</v>
      </c>
      <c r="AI236" s="52">
        <f t="shared" si="123"/>
        <v>1</v>
      </c>
      <c r="AJ236" s="52">
        <f t="shared" si="123"/>
        <v>1</v>
      </c>
      <c r="AK236" s="52">
        <f t="shared" si="123"/>
        <v>1</v>
      </c>
      <c r="AL236" s="52">
        <f t="shared" si="123"/>
        <v>1</v>
      </c>
      <c r="AM236" s="52">
        <f t="shared" si="123"/>
        <v>1</v>
      </c>
      <c r="AN236" s="52">
        <f t="shared" si="123"/>
        <v>1</v>
      </c>
      <c r="AO236" s="52">
        <f t="shared" si="120"/>
        <v>1</v>
      </c>
      <c r="AP236" s="52">
        <f t="shared" si="120"/>
        <v>1</v>
      </c>
      <c r="AQ236" s="52">
        <f t="shared" si="120"/>
        <v>1</v>
      </c>
      <c r="AR236" s="52">
        <f t="shared" si="120"/>
        <v>1</v>
      </c>
      <c r="AS236" s="52">
        <f t="shared" si="120"/>
        <v>1</v>
      </c>
      <c r="AT236" s="52">
        <f t="shared" si="120"/>
        <v>1</v>
      </c>
      <c r="AU236" s="52">
        <f t="shared" si="120"/>
        <v>1</v>
      </c>
      <c r="AV236" s="52">
        <f t="shared" si="120"/>
        <v>1</v>
      </c>
      <c r="AW236" s="52">
        <f t="shared" si="120"/>
        <v>1</v>
      </c>
      <c r="AX236" s="52">
        <f t="shared" si="120"/>
        <v>1</v>
      </c>
      <c r="AY236" s="52">
        <f t="shared" si="120"/>
        <v>1</v>
      </c>
      <c r="AZ236" s="52">
        <f t="shared" si="120"/>
        <v>1</v>
      </c>
      <c r="BA236" s="52">
        <f t="shared" si="120"/>
        <v>1</v>
      </c>
      <c r="BB236" s="52">
        <f t="shared" si="120"/>
        <v>1</v>
      </c>
      <c r="BC236" s="52">
        <f t="shared" si="120"/>
        <v>1</v>
      </c>
      <c r="BD236" s="52">
        <f t="shared" si="120"/>
        <v>1</v>
      </c>
      <c r="BE236" s="52">
        <f t="shared" si="120"/>
        <v>1</v>
      </c>
      <c r="BF236" s="52">
        <f t="shared" si="120"/>
        <v>1</v>
      </c>
      <c r="BG236" s="52">
        <f t="shared" si="121"/>
        <v>1</v>
      </c>
      <c r="BH236" s="52">
        <f t="shared" si="121"/>
        <v>1</v>
      </c>
      <c r="BI236" s="52">
        <f t="shared" si="121"/>
        <v>1</v>
      </c>
      <c r="BJ236" s="52">
        <f t="shared" si="121"/>
        <v>1</v>
      </c>
      <c r="BK236" s="52">
        <f t="shared" si="121"/>
        <v>1</v>
      </c>
      <c r="BL236" s="52">
        <f t="shared" si="121"/>
        <v>1</v>
      </c>
      <c r="BM236" s="52">
        <f t="shared" si="121"/>
        <v>1</v>
      </c>
      <c r="BN236" s="52">
        <f t="shared" si="121"/>
        <v>1</v>
      </c>
      <c r="BO236" s="32">
        <f t="shared" si="109"/>
        <v>0.67597208374875373</v>
      </c>
    </row>
    <row r="237" spans="1:67" s="27" customFormat="1" ht="18.75" customHeight="1" x14ac:dyDescent="0.25">
      <c r="A237" s="50" t="s">
        <v>482</v>
      </c>
      <c r="B237" s="50" t="s">
        <v>483</v>
      </c>
      <c r="C237" s="50" t="s">
        <v>126</v>
      </c>
      <c r="D237" s="51">
        <f>VLOOKUP(A237,'[1]Cuadro Control'!C273:J2167,8,FALSE)</f>
        <v>0</v>
      </c>
      <c r="E237" s="52">
        <f t="shared" si="118"/>
        <v>0</v>
      </c>
      <c r="F237" s="53">
        <v>46352</v>
      </c>
      <c r="G237" s="53">
        <v>46356</v>
      </c>
      <c r="H237" s="52">
        <f t="shared" si="122"/>
        <v>0</v>
      </c>
      <c r="I237" s="52">
        <f t="shared" si="122"/>
        <v>0</v>
      </c>
      <c r="J237" s="52">
        <f t="shared" si="122"/>
        <v>0</v>
      </c>
      <c r="K237" s="52">
        <f t="shared" si="122"/>
        <v>0</v>
      </c>
      <c r="L237" s="52">
        <f t="shared" si="122"/>
        <v>0</v>
      </c>
      <c r="M237" s="52">
        <f t="shared" si="122"/>
        <v>0</v>
      </c>
      <c r="N237" s="52">
        <f t="shared" si="122"/>
        <v>0</v>
      </c>
      <c r="O237" s="52">
        <f t="shared" si="122"/>
        <v>0</v>
      </c>
      <c r="P237" s="52">
        <f t="shared" si="122"/>
        <v>0</v>
      </c>
      <c r="Q237" s="52">
        <f t="shared" si="122"/>
        <v>0</v>
      </c>
      <c r="R237" s="52">
        <f t="shared" si="122"/>
        <v>0</v>
      </c>
      <c r="S237" s="52">
        <f t="shared" si="122"/>
        <v>0</v>
      </c>
      <c r="T237" s="52">
        <f t="shared" si="122"/>
        <v>0</v>
      </c>
      <c r="U237" s="52">
        <f t="shared" si="122"/>
        <v>0</v>
      </c>
      <c r="V237" s="52">
        <f t="shared" si="122"/>
        <v>0</v>
      </c>
      <c r="W237" s="52">
        <f t="shared" si="122"/>
        <v>0</v>
      </c>
      <c r="X237" s="52">
        <f t="shared" si="123"/>
        <v>0</v>
      </c>
      <c r="Y237" s="52">
        <f t="shared" si="123"/>
        <v>0</v>
      </c>
      <c r="Z237" s="52">
        <f t="shared" si="123"/>
        <v>0</v>
      </c>
      <c r="AA237" s="52">
        <f t="shared" si="123"/>
        <v>0</v>
      </c>
      <c r="AB237" s="52">
        <f t="shared" si="123"/>
        <v>0.4</v>
      </c>
      <c r="AC237" s="52">
        <f t="shared" si="123"/>
        <v>1</v>
      </c>
      <c r="AD237" s="52">
        <f t="shared" si="123"/>
        <v>1</v>
      </c>
      <c r="AE237" s="52">
        <f t="shared" si="123"/>
        <v>1</v>
      </c>
      <c r="AF237" s="52">
        <f t="shared" si="123"/>
        <v>1</v>
      </c>
      <c r="AG237" s="52">
        <f t="shared" si="123"/>
        <v>1</v>
      </c>
      <c r="AH237" s="52">
        <f t="shared" si="123"/>
        <v>1</v>
      </c>
      <c r="AI237" s="52">
        <f t="shared" si="123"/>
        <v>1</v>
      </c>
      <c r="AJ237" s="52">
        <f t="shared" si="123"/>
        <v>1</v>
      </c>
      <c r="AK237" s="52">
        <f t="shared" si="123"/>
        <v>1</v>
      </c>
      <c r="AL237" s="52">
        <f t="shared" si="123"/>
        <v>1</v>
      </c>
      <c r="AM237" s="52">
        <f t="shared" si="123"/>
        <v>1</v>
      </c>
      <c r="AN237" s="52">
        <f t="shared" si="123"/>
        <v>1</v>
      </c>
      <c r="AO237" s="52">
        <f t="shared" si="120"/>
        <v>1</v>
      </c>
      <c r="AP237" s="52">
        <f t="shared" si="120"/>
        <v>1</v>
      </c>
      <c r="AQ237" s="52">
        <f t="shared" si="120"/>
        <v>1</v>
      </c>
      <c r="AR237" s="52">
        <f t="shared" si="120"/>
        <v>1</v>
      </c>
      <c r="AS237" s="52">
        <f t="shared" si="120"/>
        <v>1</v>
      </c>
      <c r="AT237" s="52">
        <f t="shared" si="120"/>
        <v>1</v>
      </c>
      <c r="AU237" s="52">
        <f t="shared" si="120"/>
        <v>1</v>
      </c>
      <c r="AV237" s="52">
        <f t="shared" si="120"/>
        <v>1</v>
      </c>
      <c r="AW237" s="52">
        <f t="shared" si="120"/>
        <v>1</v>
      </c>
      <c r="AX237" s="52">
        <f t="shared" si="120"/>
        <v>1</v>
      </c>
      <c r="AY237" s="52">
        <f t="shared" si="120"/>
        <v>1</v>
      </c>
      <c r="AZ237" s="52">
        <f t="shared" si="120"/>
        <v>1</v>
      </c>
      <c r="BA237" s="52">
        <f t="shared" si="120"/>
        <v>1</v>
      </c>
      <c r="BB237" s="52">
        <f t="shared" si="120"/>
        <v>1</v>
      </c>
      <c r="BC237" s="52">
        <f t="shared" si="120"/>
        <v>1</v>
      </c>
      <c r="BD237" s="52">
        <f t="shared" si="120"/>
        <v>1</v>
      </c>
      <c r="BE237" s="52">
        <f t="shared" si="120"/>
        <v>1</v>
      </c>
      <c r="BF237" s="52">
        <f t="shared" si="120"/>
        <v>1</v>
      </c>
      <c r="BG237" s="52">
        <f t="shared" si="121"/>
        <v>1</v>
      </c>
      <c r="BH237" s="52">
        <f t="shared" si="121"/>
        <v>1</v>
      </c>
      <c r="BI237" s="52">
        <f t="shared" si="121"/>
        <v>1</v>
      </c>
      <c r="BJ237" s="52">
        <f t="shared" si="121"/>
        <v>1</v>
      </c>
      <c r="BK237" s="52">
        <f t="shared" si="121"/>
        <v>1</v>
      </c>
      <c r="BL237" s="52">
        <f t="shared" si="121"/>
        <v>1</v>
      </c>
      <c r="BM237" s="52">
        <f t="shared" si="121"/>
        <v>1</v>
      </c>
      <c r="BN237" s="52">
        <f t="shared" si="121"/>
        <v>1</v>
      </c>
      <c r="BO237" s="32">
        <f t="shared" si="109"/>
        <v>0.6508474576271186</v>
      </c>
    </row>
    <row r="238" spans="1:67" s="27" customFormat="1" ht="18.75" customHeight="1" x14ac:dyDescent="0.25">
      <c r="A238" s="55" t="s">
        <v>484</v>
      </c>
      <c r="B238" s="55" t="s">
        <v>485</v>
      </c>
      <c r="C238" s="55" t="s">
        <v>14</v>
      </c>
      <c r="D238" s="56">
        <f>VLOOKUP(A238,'[1]Cuadro Control'!C274:J2168,8,FALSE)</f>
        <v>0</v>
      </c>
      <c r="E238" s="57">
        <f t="shared" si="118"/>
        <v>0</v>
      </c>
      <c r="F238" s="58">
        <v>46352</v>
      </c>
      <c r="G238" s="58">
        <v>46352</v>
      </c>
      <c r="H238" s="57">
        <f t="shared" si="122"/>
        <v>0</v>
      </c>
      <c r="I238" s="57">
        <f t="shared" si="122"/>
        <v>0</v>
      </c>
      <c r="J238" s="57">
        <f t="shared" si="122"/>
        <v>0</v>
      </c>
      <c r="K238" s="57">
        <f t="shared" si="122"/>
        <v>0</v>
      </c>
      <c r="L238" s="57">
        <f t="shared" si="122"/>
        <v>0</v>
      </c>
      <c r="M238" s="57">
        <f t="shared" si="122"/>
        <v>0</v>
      </c>
      <c r="N238" s="57">
        <f t="shared" si="122"/>
        <v>0</v>
      </c>
      <c r="O238" s="57">
        <f t="shared" si="122"/>
        <v>0</v>
      </c>
      <c r="P238" s="57">
        <f t="shared" si="122"/>
        <v>0</v>
      </c>
      <c r="Q238" s="57">
        <f t="shared" si="122"/>
        <v>0</v>
      </c>
      <c r="R238" s="57">
        <f t="shared" si="122"/>
        <v>0</v>
      </c>
      <c r="S238" s="57">
        <f t="shared" si="122"/>
        <v>0</v>
      </c>
      <c r="T238" s="57">
        <f t="shared" si="122"/>
        <v>0</v>
      </c>
      <c r="U238" s="57">
        <f t="shared" si="122"/>
        <v>0</v>
      </c>
      <c r="V238" s="57">
        <f t="shared" si="122"/>
        <v>0</v>
      </c>
      <c r="W238" s="57">
        <f t="shared" si="122"/>
        <v>0</v>
      </c>
      <c r="X238" s="57">
        <f t="shared" si="123"/>
        <v>0</v>
      </c>
      <c r="Y238" s="57">
        <f t="shared" si="123"/>
        <v>0</v>
      </c>
      <c r="Z238" s="57">
        <f t="shared" si="123"/>
        <v>0</v>
      </c>
      <c r="AA238" s="57">
        <f t="shared" si="123"/>
        <v>0</v>
      </c>
      <c r="AB238" s="57">
        <f t="shared" si="123"/>
        <v>1</v>
      </c>
      <c r="AC238" s="57">
        <f t="shared" si="123"/>
        <v>1</v>
      </c>
      <c r="AD238" s="57">
        <f t="shared" si="123"/>
        <v>1</v>
      </c>
      <c r="AE238" s="57">
        <f t="shared" si="123"/>
        <v>1</v>
      </c>
      <c r="AF238" s="57">
        <f t="shared" si="123"/>
        <v>1</v>
      </c>
      <c r="AG238" s="57">
        <f t="shared" si="123"/>
        <v>1</v>
      </c>
      <c r="AH238" s="57">
        <f t="shared" si="123"/>
        <v>1</v>
      </c>
      <c r="AI238" s="57">
        <f t="shared" si="123"/>
        <v>1</v>
      </c>
      <c r="AJ238" s="57">
        <f t="shared" si="123"/>
        <v>1</v>
      </c>
      <c r="AK238" s="57">
        <f t="shared" si="123"/>
        <v>1</v>
      </c>
      <c r="AL238" s="57">
        <f t="shared" si="123"/>
        <v>1</v>
      </c>
      <c r="AM238" s="57">
        <f t="shared" si="123"/>
        <v>1</v>
      </c>
      <c r="AN238" s="57">
        <f t="shared" si="123"/>
        <v>1</v>
      </c>
      <c r="AO238" s="57">
        <f t="shared" si="120"/>
        <v>1</v>
      </c>
      <c r="AP238" s="57">
        <f t="shared" si="120"/>
        <v>1</v>
      </c>
      <c r="AQ238" s="57">
        <f t="shared" si="120"/>
        <v>1</v>
      </c>
      <c r="AR238" s="57">
        <f t="shared" si="120"/>
        <v>1</v>
      </c>
      <c r="AS238" s="57">
        <f t="shared" si="120"/>
        <v>1</v>
      </c>
      <c r="AT238" s="57">
        <f t="shared" si="120"/>
        <v>1</v>
      </c>
      <c r="AU238" s="57">
        <f t="shared" si="120"/>
        <v>1</v>
      </c>
      <c r="AV238" s="57">
        <f t="shared" si="120"/>
        <v>1</v>
      </c>
      <c r="AW238" s="57">
        <f t="shared" si="120"/>
        <v>1</v>
      </c>
      <c r="AX238" s="57">
        <f t="shared" si="120"/>
        <v>1</v>
      </c>
      <c r="AY238" s="57">
        <f t="shared" si="120"/>
        <v>1</v>
      </c>
      <c r="AZ238" s="57">
        <f t="shared" si="120"/>
        <v>1</v>
      </c>
      <c r="BA238" s="57">
        <f t="shared" si="120"/>
        <v>1</v>
      </c>
      <c r="BB238" s="57">
        <f t="shared" si="120"/>
        <v>1</v>
      </c>
      <c r="BC238" s="57">
        <f t="shared" si="120"/>
        <v>1</v>
      </c>
      <c r="BD238" s="57">
        <f t="shared" si="120"/>
        <v>1</v>
      </c>
      <c r="BE238" s="57">
        <f t="shared" si="120"/>
        <v>1</v>
      </c>
      <c r="BF238" s="57">
        <f t="shared" si="120"/>
        <v>1</v>
      </c>
      <c r="BG238" s="57">
        <f t="shared" si="121"/>
        <v>1</v>
      </c>
      <c r="BH238" s="57">
        <f t="shared" si="121"/>
        <v>1</v>
      </c>
      <c r="BI238" s="57">
        <f t="shared" si="121"/>
        <v>1</v>
      </c>
      <c r="BJ238" s="57">
        <f t="shared" si="121"/>
        <v>1</v>
      </c>
      <c r="BK238" s="57">
        <f t="shared" si="121"/>
        <v>1</v>
      </c>
      <c r="BL238" s="57">
        <f t="shared" si="121"/>
        <v>1</v>
      </c>
      <c r="BM238" s="57">
        <f t="shared" si="121"/>
        <v>1</v>
      </c>
      <c r="BN238" s="57">
        <f t="shared" si="121"/>
        <v>1</v>
      </c>
      <c r="BO238" s="32">
        <f t="shared" si="109"/>
        <v>0.66101694915254239</v>
      </c>
    </row>
    <row r="239" spans="1:67" s="27" customFormat="1" ht="18.75" customHeight="1" x14ac:dyDescent="0.25">
      <c r="A239" s="50" t="s">
        <v>486</v>
      </c>
      <c r="B239" s="50" t="s">
        <v>487</v>
      </c>
      <c r="C239" s="50" t="s">
        <v>111</v>
      </c>
      <c r="D239" s="51">
        <f>VLOOKUP(A239,'[1]Cuadro Control'!C275:J2169,8,FALSE)</f>
        <v>1230815225.9452939</v>
      </c>
      <c r="E239" s="52">
        <f t="shared" si="118"/>
        <v>0.2318411625341423</v>
      </c>
      <c r="F239" s="53">
        <v>46356</v>
      </c>
      <c r="G239" s="53">
        <v>46357</v>
      </c>
      <c r="H239" s="52">
        <f t="shared" si="122"/>
        <v>0</v>
      </c>
      <c r="I239" s="52">
        <f t="shared" si="122"/>
        <v>0</v>
      </c>
      <c r="J239" s="52">
        <f t="shared" si="122"/>
        <v>0</v>
      </c>
      <c r="K239" s="52">
        <f t="shared" si="122"/>
        <v>0</v>
      </c>
      <c r="L239" s="52">
        <f t="shared" si="122"/>
        <v>0</v>
      </c>
      <c r="M239" s="52">
        <f t="shared" si="122"/>
        <v>0</v>
      </c>
      <c r="N239" s="52">
        <f t="shared" si="122"/>
        <v>0</v>
      </c>
      <c r="O239" s="52">
        <f t="shared" si="122"/>
        <v>0</v>
      </c>
      <c r="P239" s="52">
        <f t="shared" si="122"/>
        <v>0</v>
      </c>
      <c r="Q239" s="52">
        <f t="shared" si="122"/>
        <v>0</v>
      </c>
      <c r="R239" s="52">
        <f t="shared" si="122"/>
        <v>0</v>
      </c>
      <c r="S239" s="52">
        <f t="shared" si="122"/>
        <v>0</v>
      </c>
      <c r="T239" s="52">
        <f t="shared" si="122"/>
        <v>0</v>
      </c>
      <c r="U239" s="52">
        <f t="shared" si="122"/>
        <v>0</v>
      </c>
      <c r="V239" s="52">
        <f t="shared" si="122"/>
        <v>0</v>
      </c>
      <c r="W239" s="52">
        <f t="shared" si="122"/>
        <v>0</v>
      </c>
      <c r="X239" s="52">
        <f t="shared" si="123"/>
        <v>0</v>
      </c>
      <c r="Y239" s="52">
        <f t="shared" si="123"/>
        <v>0</v>
      </c>
      <c r="Z239" s="52">
        <f t="shared" si="123"/>
        <v>0</v>
      </c>
      <c r="AA239" s="52">
        <f t="shared" si="123"/>
        <v>0</v>
      </c>
      <c r="AB239" s="52">
        <f t="shared" si="123"/>
        <v>0</v>
      </c>
      <c r="AC239" s="52">
        <f t="shared" si="123"/>
        <v>1</v>
      </c>
      <c r="AD239" s="52">
        <f t="shared" si="123"/>
        <v>1</v>
      </c>
      <c r="AE239" s="52">
        <f t="shared" si="123"/>
        <v>1</v>
      </c>
      <c r="AF239" s="52">
        <f t="shared" si="123"/>
        <v>1</v>
      </c>
      <c r="AG239" s="52">
        <f t="shared" si="123"/>
        <v>1</v>
      </c>
      <c r="AH239" s="52">
        <f t="shared" si="123"/>
        <v>1</v>
      </c>
      <c r="AI239" s="52">
        <f t="shared" si="123"/>
        <v>1</v>
      </c>
      <c r="AJ239" s="52">
        <f t="shared" si="123"/>
        <v>1</v>
      </c>
      <c r="AK239" s="52">
        <f t="shared" si="123"/>
        <v>1</v>
      </c>
      <c r="AL239" s="52">
        <f t="shared" si="123"/>
        <v>1</v>
      </c>
      <c r="AM239" s="52">
        <f t="shared" si="123"/>
        <v>1</v>
      </c>
      <c r="AN239" s="52">
        <f t="shared" si="123"/>
        <v>1</v>
      </c>
      <c r="AO239" s="52">
        <f t="shared" si="120"/>
        <v>1</v>
      </c>
      <c r="AP239" s="52">
        <f t="shared" si="120"/>
        <v>1</v>
      </c>
      <c r="AQ239" s="52">
        <f t="shared" si="120"/>
        <v>1</v>
      </c>
      <c r="AR239" s="52">
        <f t="shared" si="120"/>
        <v>1</v>
      </c>
      <c r="AS239" s="52">
        <f t="shared" si="120"/>
        <v>1</v>
      </c>
      <c r="AT239" s="52">
        <f t="shared" si="120"/>
        <v>1</v>
      </c>
      <c r="AU239" s="52">
        <f t="shared" si="120"/>
        <v>1</v>
      </c>
      <c r="AV239" s="52">
        <f t="shared" si="120"/>
        <v>1</v>
      </c>
      <c r="AW239" s="52">
        <f t="shared" si="120"/>
        <v>1</v>
      </c>
      <c r="AX239" s="52">
        <f t="shared" si="120"/>
        <v>1</v>
      </c>
      <c r="AY239" s="52">
        <f t="shared" si="120"/>
        <v>1</v>
      </c>
      <c r="AZ239" s="52">
        <f t="shared" si="120"/>
        <v>1</v>
      </c>
      <c r="BA239" s="52">
        <f t="shared" si="120"/>
        <v>1</v>
      </c>
      <c r="BB239" s="52">
        <f t="shared" si="120"/>
        <v>1</v>
      </c>
      <c r="BC239" s="52">
        <f t="shared" si="120"/>
        <v>1</v>
      </c>
      <c r="BD239" s="52">
        <f t="shared" si="120"/>
        <v>1</v>
      </c>
      <c r="BE239" s="52">
        <f t="shared" si="120"/>
        <v>1</v>
      </c>
      <c r="BF239" s="52">
        <f t="shared" si="120"/>
        <v>1</v>
      </c>
      <c r="BG239" s="52">
        <f t="shared" si="121"/>
        <v>1</v>
      </c>
      <c r="BH239" s="52">
        <f t="shared" si="121"/>
        <v>1</v>
      </c>
      <c r="BI239" s="52">
        <f t="shared" si="121"/>
        <v>1</v>
      </c>
      <c r="BJ239" s="52">
        <f t="shared" si="121"/>
        <v>1</v>
      </c>
      <c r="BK239" s="52">
        <f t="shared" si="121"/>
        <v>1</v>
      </c>
      <c r="BL239" s="52">
        <f t="shared" si="121"/>
        <v>1</v>
      </c>
      <c r="BM239" s="52">
        <f t="shared" si="121"/>
        <v>1</v>
      </c>
      <c r="BN239" s="52">
        <f t="shared" si="121"/>
        <v>1</v>
      </c>
      <c r="BO239" s="32">
        <f t="shared" si="109"/>
        <v>0.64406779661016944</v>
      </c>
    </row>
    <row r="240" spans="1:67" s="27" customFormat="1" ht="18.75" customHeight="1" x14ac:dyDescent="0.25">
      <c r="A240" s="50" t="s">
        <v>488</v>
      </c>
      <c r="B240" s="50" t="s">
        <v>489</v>
      </c>
      <c r="C240" s="50" t="s">
        <v>238</v>
      </c>
      <c r="D240" s="51">
        <f>VLOOKUP(A240,'[1]Cuadro Control'!C276:J2170,8,FALSE)</f>
        <v>0</v>
      </c>
      <c r="E240" s="52">
        <f t="shared" si="118"/>
        <v>0</v>
      </c>
      <c r="F240" s="53">
        <v>46357</v>
      </c>
      <c r="G240" s="53">
        <v>46365</v>
      </c>
      <c r="H240" s="52">
        <f t="shared" si="122"/>
        <v>0</v>
      </c>
      <c r="I240" s="52">
        <f t="shared" si="122"/>
        <v>0</v>
      </c>
      <c r="J240" s="52">
        <f t="shared" si="122"/>
        <v>0</v>
      </c>
      <c r="K240" s="52">
        <f t="shared" si="122"/>
        <v>0</v>
      </c>
      <c r="L240" s="52">
        <f t="shared" si="122"/>
        <v>0</v>
      </c>
      <c r="M240" s="52">
        <f t="shared" si="122"/>
        <v>0</v>
      </c>
      <c r="N240" s="52">
        <f t="shared" si="122"/>
        <v>0</v>
      </c>
      <c r="O240" s="52">
        <f t="shared" si="122"/>
        <v>0</v>
      </c>
      <c r="P240" s="52">
        <f t="shared" si="122"/>
        <v>0</v>
      </c>
      <c r="Q240" s="52">
        <f t="shared" si="122"/>
        <v>0</v>
      </c>
      <c r="R240" s="52">
        <f t="shared" si="122"/>
        <v>0</v>
      </c>
      <c r="S240" s="52">
        <f t="shared" si="122"/>
        <v>0</v>
      </c>
      <c r="T240" s="52">
        <f t="shared" si="122"/>
        <v>0</v>
      </c>
      <c r="U240" s="52">
        <f t="shared" si="122"/>
        <v>0</v>
      </c>
      <c r="V240" s="52">
        <f t="shared" si="122"/>
        <v>0</v>
      </c>
      <c r="W240" s="52">
        <f t="shared" si="122"/>
        <v>0</v>
      </c>
      <c r="X240" s="52">
        <f t="shared" si="123"/>
        <v>0</v>
      </c>
      <c r="Y240" s="52">
        <f t="shared" si="123"/>
        <v>0</v>
      </c>
      <c r="Z240" s="52">
        <f t="shared" si="123"/>
        <v>0</v>
      </c>
      <c r="AA240" s="52">
        <f t="shared" si="123"/>
        <v>0</v>
      </c>
      <c r="AB240" s="52">
        <f t="shared" si="123"/>
        <v>0</v>
      </c>
      <c r="AC240" s="52">
        <f t="shared" si="123"/>
        <v>0.44444444444444442</v>
      </c>
      <c r="AD240" s="52">
        <f t="shared" si="123"/>
        <v>1</v>
      </c>
      <c r="AE240" s="52">
        <f t="shared" si="123"/>
        <v>1</v>
      </c>
      <c r="AF240" s="52">
        <f t="shared" si="123"/>
        <v>1</v>
      </c>
      <c r="AG240" s="52">
        <f t="shared" si="123"/>
        <v>1</v>
      </c>
      <c r="AH240" s="52">
        <f t="shared" si="123"/>
        <v>1</v>
      </c>
      <c r="AI240" s="52">
        <f t="shared" si="123"/>
        <v>1</v>
      </c>
      <c r="AJ240" s="52">
        <f t="shared" si="123"/>
        <v>1</v>
      </c>
      <c r="AK240" s="52">
        <f t="shared" si="123"/>
        <v>1</v>
      </c>
      <c r="AL240" s="52">
        <f t="shared" si="123"/>
        <v>1</v>
      </c>
      <c r="AM240" s="52">
        <f t="shared" si="123"/>
        <v>1</v>
      </c>
      <c r="AN240" s="52">
        <f t="shared" si="123"/>
        <v>1</v>
      </c>
      <c r="AO240" s="52">
        <f t="shared" si="120"/>
        <v>1</v>
      </c>
      <c r="AP240" s="52">
        <f t="shared" si="120"/>
        <v>1</v>
      </c>
      <c r="AQ240" s="52">
        <f t="shared" si="120"/>
        <v>1</v>
      </c>
      <c r="AR240" s="52">
        <f t="shared" si="120"/>
        <v>1</v>
      </c>
      <c r="AS240" s="52">
        <f t="shared" si="120"/>
        <v>1</v>
      </c>
      <c r="AT240" s="52">
        <f t="shared" si="120"/>
        <v>1</v>
      </c>
      <c r="AU240" s="52">
        <f t="shared" si="120"/>
        <v>1</v>
      </c>
      <c r="AV240" s="52">
        <f t="shared" si="120"/>
        <v>1</v>
      </c>
      <c r="AW240" s="52">
        <f t="shared" si="120"/>
        <v>1</v>
      </c>
      <c r="AX240" s="52">
        <f t="shared" si="120"/>
        <v>1</v>
      </c>
      <c r="AY240" s="52">
        <f t="shared" si="120"/>
        <v>1</v>
      </c>
      <c r="AZ240" s="52">
        <f t="shared" si="120"/>
        <v>1</v>
      </c>
      <c r="BA240" s="52">
        <f t="shared" si="120"/>
        <v>1</v>
      </c>
      <c r="BB240" s="52">
        <f t="shared" si="120"/>
        <v>1</v>
      </c>
      <c r="BC240" s="52">
        <f t="shared" si="120"/>
        <v>1</v>
      </c>
      <c r="BD240" s="52">
        <f t="shared" si="120"/>
        <v>1</v>
      </c>
      <c r="BE240" s="52">
        <f t="shared" si="120"/>
        <v>1</v>
      </c>
      <c r="BF240" s="52">
        <f t="shared" si="120"/>
        <v>1</v>
      </c>
      <c r="BG240" s="52">
        <f t="shared" si="121"/>
        <v>1</v>
      </c>
      <c r="BH240" s="52">
        <f t="shared" si="121"/>
        <v>1</v>
      </c>
      <c r="BI240" s="52">
        <f t="shared" si="121"/>
        <v>1</v>
      </c>
      <c r="BJ240" s="52">
        <f t="shared" si="121"/>
        <v>1</v>
      </c>
      <c r="BK240" s="52">
        <f t="shared" si="121"/>
        <v>1</v>
      </c>
      <c r="BL240" s="52">
        <f t="shared" si="121"/>
        <v>1</v>
      </c>
      <c r="BM240" s="52">
        <f t="shared" si="121"/>
        <v>1</v>
      </c>
      <c r="BN240" s="52">
        <f t="shared" si="121"/>
        <v>1</v>
      </c>
      <c r="BO240" s="32">
        <f t="shared" si="109"/>
        <v>0.63465160075329563</v>
      </c>
    </row>
    <row r="241" spans="1:67" s="27" customFormat="1" ht="18.75" customHeight="1" x14ac:dyDescent="0.25">
      <c r="A241" s="50" t="s">
        <v>490</v>
      </c>
      <c r="B241" s="50" t="s">
        <v>491</v>
      </c>
      <c r="C241" s="50" t="s">
        <v>126</v>
      </c>
      <c r="D241" s="51">
        <f>VLOOKUP(A241,'[1]Cuadro Control'!C277:J2171,8,FALSE)</f>
        <v>52736347.43270281</v>
      </c>
      <c r="E241" s="52">
        <f t="shared" si="118"/>
        <v>9.933624348213644E-3</v>
      </c>
      <c r="F241" s="53">
        <v>46365</v>
      </c>
      <c r="G241" s="53">
        <v>46368</v>
      </c>
      <c r="H241" s="52">
        <f t="shared" si="122"/>
        <v>0</v>
      </c>
      <c r="I241" s="52">
        <f t="shared" si="122"/>
        <v>0</v>
      </c>
      <c r="J241" s="52">
        <f t="shared" si="122"/>
        <v>0</v>
      </c>
      <c r="K241" s="52">
        <f t="shared" si="122"/>
        <v>0</v>
      </c>
      <c r="L241" s="52">
        <f t="shared" si="122"/>
        <v>0</v>
      </c>
      <c r="M241" s="52">
        <f t="shared" si="122"/>
        <v>0</v>
      </c>
      <c r="N241" s="52">
        <f t="shared" si="122"/>
        <v>0</v>
      </c>
      <c r="O241" s="52">
        <f t="shared" si="122"/>
        <v>0</v>
      </c>
      <c r="P241" s="52">
        <f t="shared" si="122"/>
        <v>0</v>
      </c>
      <c r="Q241" s="52">
        <f t="shared" si="122"/>
        <v>0</v>
      </c>
      <c r="R241" s="52">
        <f t="shared" si="122"/>
        <v>0</v>
      </c>
      <c r="S241" s="52">
        <f t="shared" si="122"/>
        <v>0</v>
      </c>
      <c r="T241" s="52">
        <f t="shared" si="122"/>
        <v>0</v>
      </c>
      <c r="U241" s="52">
        <f t="shared" si="122"/>
        <v>0</v>
      </c>
      <c r="V241" s="52">
        <f t="shared" si="122"/>
        <v>0</v>
      </c>
      <c r="W241" s="52">
        <f t="shared" si="122"/>
        <v>0</v>
      </c>
      <c r="X241" s="52">
        <f t="shared" si="123"/>
        <v>0</v>
      </c>
      <c r="Y241" s="52">
        <f t="shared" si="123"/>
        <v>0</v>
      </c>
      <c r="Z241" s="52">
        <f t="shared" si="123"/>
        <v>0</v>
      </c>
      <c r="AA241" s="52">
        <f t="shared" si="123"/>
        <v>0</v>
      </c>
      <c r="AB241" s="52">
        <f t="shared" si="123"/>
        <v>0</v>
      </c>
      <c r="AC241" s="52">
        <f t="shared" si="123"/>
        <v>0</v>
      </c>
      <c r="AD241" s="52">
        <f t="shared" si="123"/>
        <v>0.75</v>
      </c>
      <c r="AE241" s="52">
        <f t="shared" si="123"/>
        <v>1</v>
      </c>
      <c r="AF241" s="52">
        <f t="shared" si="123"/>
        <v>1</v>
      </c>
      <c r="AG241" s="52">
        <f t="shared" si="123"/>
        <v>1</v>
      </c>
      <c r="AH241" s="52">
        <f t="shared" si="123"/>
        <v>1</v>
      </c>
      <c r="AI241" s="52">
        <f t="shared" si="123"/>
        <v>1</v>
      </c>
      <c r="AJ241" s="52">
        <f t="shared" si="123"/>
        <v>1</v>
      </c>
      <c r="AK241" s="52">
        <f t="shared" si="123"/>
        <v>1</v>
      </c>
      <c r="AL241" s="52">
        <f t="shared" si="123"/>
        <v>1</v>
      </c>
      <c r="AM241" s="52">
        <f t="shared" si="123"/>
        <v>1</v>
      </c>
      <c r="AN241" s="52">
        <f t="shared" si="123"/>
        <v>1</v>
      </c>
      <c r="AO241" s="52">
        <f t="shared" si="120"/>
        <v>1</v>
      </c>
      <c r="AP241" s="52">
        <f t="shared" si="120"/>
        <v>1</v>
      </c>
      <c r="AQ241" s="52">
        <f t="shared" si="120"/>
        <v>1</v>
      </c>
      <c r="AR241" s="52">
        <f t="shared" si="120"/>
        <v>1</v>
      </c>
      <c r="AS241" s="52">
        <f t="shared" si="120"/>
        <v>1</v>
      </c>
      <c r="AT241" s="52">
        <f t="shared" si="120"/>
        <v>1</v>
      </c>
      <c r="AU241" s="52">
        <f t="shared" si="120"/>
        <v>1</v>
      </c>
      <c r="AV241" s="52">
        <f t="shared" si="120"/>
        <v>1</v>
      </c>
      <c r="AW241" s="52">
        <f t="shared" si="120"/>
        <v>1</v>
      </c>
      <c r="AX241" s="52">
        <f t="shared" si="120"/>
        <v>1</v>
      </c>
      <c r="AY241" s="52">
        <f t="shared" si="120"/>
        <v>1</v>
      </c>
      <c r="AZ241" s="52">
        <f t="shared" si="120"/>
        <v>1</v>
      </c>
      <c r="BA241" s="52">
        <f t="shared" si="120"/>
        <v>1</v>
      </c>
      <c r="BB241" s="52">
        <f t="shared" si="120"/>
        <v>1</v>
      </c>
      <c r="BC241" s="52">
        <f t="shared" si="120"/>
        <v>1</v>
      </c>
      <c r="BD241" s="52">
        <f t="shared" si="120"/>
        <v>1</v>
      </c>
      <c r="BE241" s="52">
        <f t="shared" si="120"/>
        <v>1</v>
      </c>
      <c r="BF241" s="52">
        <f t="shared" si="120"/>
        <v>1</v>
      </c>
      <c r="BG241" s="52">
        <f t="shared" si="121"/>
        <v>1</v>
      </c>
      <c r="BH241" s="52">
        <f t="shared" si="121"/>
        <v>1</v>
      </c>
      <c r="BI241" s="52">
        <f t="shared" si="121"/>
        <v>1</v>
      </c>
      <c r="BJ241" s="52">
        <f t="shared" si="121"/>
        <v>1</v>
      </c>
      <c r="BK241" s="52">
        <f t="shared" si="121"/>
        <v>1</v>
      </c>
      <c r="BL241" s="52">
        <f t="shared" si="121"/>
        <v>1</v>
      </c>
      <c r="BM241" s="52">
        <f t="shared" si="121"/>
        <v>1</v>
      </c>
      <c r="BN241" s="52">
        <f t="shared" si="121"/>
        <v>1</v>
      </c>
      <c r="BO241" s="32">
        <f t="shared" si="109"/>
        <v>0.6228813559322034</v>
      </c>
    </row>
    <row r="242" spans="1:67" s="27" customFormat="1" ht="18.75" customHeight="1" x14ac:dyDescent="0.25">
      <c r="A242" s="50" t="s">
        <v>492</v>
      </c>
      <c r="B242" s="50" t="s">
        <v>493</v>
      </c>
      <c r="C242" s="50" t="s">
        <v>117</v>
      </c>
      <c r="D242" s="51">
        <f>VLOOKUP(A242,'[1]Cuadro Control'!C278:J2172,8,FALSE)</f>
        <v>46410609.014634147</v>
      </c>
      <c r="E242" s="52">
        <f t="shared" si="118"/>
        <v>8.742083556535862E-3</v>
      </c>
      <c r="F242" s="53">
        <v>46368</v>
      </c>
      <c r="G242" s="53">
        <v>46371</v>
      </c>
      <c r="H242" s="52">
        <f t="shared" si="122"/>
        <v>0</v>
      </c>
      <c r="I242" s="52">
        <f t="shared" si="122"/>
        <v>0</v>
      </c>
      <c r="J242" s="52">
        <f t="shared" si="122"/>
        <v>0</v>
      </c>
      <c r="K242" s="52">
        <f t="shared" si="122"/>
        <v>0</v>
      </c>
      <c r="L242" s="52">
        <f t="shared" si="122"/>
        <v>0</v>
      </c>
      <c r="M242" s="52">
        <f t="shared" si="122"/>
        <v>0</v>
      </c>
      <c r="N242" s="52">
        <f t="shared" si="122"/>
        <v>0</v>
      </c>
      <c r="O242" s="52">
        <f t="shared" si="122"/>
        <v>0</v>
      </c>
      <c r="P242" s="52">
        <f t="shared" si="122"/>
        <v>0</v>
      </c>
      <c r="Q242" s="52">
        <f t="shared" si="122"/>
        <v>0</v>
      </c>
      <c r="R242" s="52">
        <f t="shared" si="122"/>
        <v>0</v>
      </c>
      <c r="S242" s="52">
        <f t="shared" si="122"/>
        <v>0</v>
      </c>
      <c r="T242" s="52">
        <f t="shared" si="122"/>
        <v>0</v>
      </c>
      <c r="U242" s="52">
        <f t="shared" si="122"/>
        <v>0</v>
      </c>
      <c r="V242" s="52">
        <f t="shared" si="122"/>
        <v>0</v>
      </c>
      <c r="W242" s="52">
        <f t="shared" si="122"/>
        <v>0</v>
      </c>
      <c r="X242" s="52">
        <f t="shared" si="123"/>
        <v>0</v>
      </c>
      <c r="Y242" s="52">
        <f t="shared" si="123"/>
        <v>0</v>
      </c>
      <c r="Z242" s="52">
        <f t="shared" si="123"/>
        <v>0</v>
      </c>
      <c r="AA242" s="52">
        <f t="shared" si="123"/>
        <v>0</v>
      </c>
      <c r="AB242" s="52">
        <f t="shared" si="123"/>
        <v>0</v>
      </c>
      <c r="AC242" s="52">
        <f t="shared" si="123"/>
        <v>0</v>
      </c>
      <c r="AD242" s="52">
        <f t="shared" si="123"/>
        <v>0</v>
      </c>
      <c r="AE242" s="52">
        <f t="shared" si="123"/>
        <v>1</v>
      </c>
      <c r="AF242" s="52">
        <f t="shared" si="123"/>
        <v>1</v>
      </c>
      <c r="AG242" s="52">
        <f t="shared" si="123"/>
        <v>1</v>
      </c>
      <c r="AH242" s="52">
        <f t="shared" si="123"/>
        <v>1</v>
      </c>
      <c r="AI242" s="52">
        <f t="shared" si="123"/>
        <v>1</v>
      </c>
      <c r="AJ242" s="52">
        <f t="shared" si="123"/>
        <v>1</v>
      </c>
      <c r="AK242" s="52">
        <f t="shared" si="123"/>
        <v>1</v>
      </c>
      <c r="AL242" s="52">
        <f t="shared" si="123"/>
        <v>1</v>
      </c>
      <c r="AM242" s="52">
        <f t="shared" si="123"/>
        <v>1</v>
      </c>
      <c r="AN242" s="52">
        <f t="shared" si="123"/>
        <v>1</v>
      </c>
      <c r="AO242" s="52">
        <f t="shared" si="120"/>
        <v>1</v>
      </c>
      <c r="AP242" s="52">
        <f t="shared" si="120"/>
        <v>1</v>
      </c>
      <c r="AQ242" s="52">
        <f t="shared" si="120"/>
        <v>1</v>
      </c>
      <c r="AR242" s="52">
        <f t="shared" si="120"/>
        <v>1</v>
      </c>
      <c r="AS242" s="52">
        <f t="shared" si="120"/>
        <v>1</v>
      </c>
      <c r="AT242" s="52">
        <f t="shared" si="120"/>
        <v>1</v>
      </c>
      <c r="AU242" s="52">
        <f t="shared" si="120"/>
        <v>1</v>
      </c>
      <c r="AV242" s="52">
        <f t="shared" si="120"/>
        <v>1</v>
      </c>
      <c r="AW242" s="52">
        <f t="shared" si="120"/>
        <v>1</v>
      </c>
      <c r="AX242" s="52">
        <f t="shared" si="120"/>
        <v>1</v>
      </c>
      <c r="AY242" s="52">
        <f t="shared" si="120"/>
        <v>1</v>
      </c>
      <c r="AZ242" s="52">
        <f t="shared" si="120"/>
        <v>1</v>
      </c>
      <c r="BA242" s="52">
        <f t="shared" si="120"/>
        <v>1</v>
      </c>
      <c r="BB242" s="52">
        <f t="shared" si="120"/>
        <v>1</v>
      </c>
      <c r="BC242" s="52">
        <f t="shared" si="120"/>
        <v>1</v>
      </c>
      <c r="BD242" s="52">
        <f t="shared" si="120"/>
        <v>1</v>
      </c>
      <c r="BE242" s="52">
        <f t="shared" si="120"/>
        <v>1</v>
      </c>
      <c r="BF242" s="52">
        <f t="shared" si="120"/>
        <v>1</v>
      </c>
      <c r="BG242" s="52">
        <f t="shared" si="121"/>
        <v>1</v>
      </c>
      <c r="BH242" s="52">
        <f t="shared" si="121"/>
        <v>1</v>
      </c>
      <c r="BI242" s="52">
        <f t="shared" si="121"/>
        <v>1</v>
      </c>
      <c r="BJ242" s="52">
        <f t="shared" si="121"/>
        <v>1</v>
      </c>
      <c r="BK242" s="52">
        <f t="shared" si="121"/>
        <v>1</v>
      </c>
      <c r="BL242" s="52">
        <f t="shared" si="121"/>
        <v>1</v>
      </c>
      <c r="BM242" s="52">
        <f t="shared" si="121"/>
        <v>1</v>
      </c>
      <c r="BN242" s="52">
        <f t="shared" si="121"/>
        <v>1</v>
      </c>
      <c r="BO242" s="32">
        <f t="shared" si="109"/>
        <v>0.61016949152542377</v>
      </c>
    </row>
    <row r="243" spans="1:67" s="27" customFormat="1" ht="18.75" customHeight="1" x14ac:dyDescent="0.25">
      <c r="A243" s="50" t="s">
        <v>494</v>
      </c>
      <c r="B243" s="50" t="s">
        <v>495</v>
      </c>
      <c r="C243" s="50" t="s">
        <v>61</v>
      </c>
      <c r="D243" s="51">
        <f>VLOOKUP(A243,'[1]Cuadro Control'!C279:J2173,8,FALSE)</f>
        <v>1587346329.5488234</v>
      </c>
      <c r="E243" s="52">
        <f t="shared" si="118"/>
        <v>0.29899875353285565</v>
      </c>
      <c r="F243" s="53">
        <v>46368</v>
      </c>
      <c r="G243" s="53">
        <v>46379</v>
      </c>
      <c r="H243" s="52">
        <f t="shared" si="122"/>
        <v>0</v>
      </c>
      <c r="I243" s="52">
        <f t="shared" si="122"/>
        <v>0</v>
      </c>
      <c r="J243" s="52">
        <f t="shared" si="122"/>
        <v>0</v>
      </c>
      <c r="K243" s="52">
        <f t="shared" si="122"/>
        <v>0</v>
      </c>
      <c r="L243" s="52">
        <f t="shared" si="122"/>
        <v>0</v>
      </c>
      <c r="M243" s="52">
        <f t="shared" si="122"/>
        <v>0</v>
      </c>
      <c r="N243" s="52">
        <f t="shared" si="122"/>
        <v>0</v>
      </c>
      <c r="O243" s="52">
        <f t="shared" si="122"/>
        <v>0</v>
      </c>
      <c r="P243" s="52">
        <f t="shared" si="122"/>
        <v>0</v>
      </c>
      <c r="Q243" s="52">
        <f t="shared" si="122"/>
        <v>0</v>
      </c>
      <c r="R243" s="52">
        <f t="shared" si="122"/>
        <v>0</v>
      </c>
      <c r="S243" s="52">
        <f t="shared" si="122"/>
        <v>0</v>
      </c>
      <c r="T243" s="52">
        <f t="shared" si="122"/>
        <v>0</v>
      </c>
      <c r="U243" s="52">
        <f t="shared" si="122"/>
        <v>0</v>
      </c>
      <c r="V243" s="52">
        <f t="shared" si="122"/>
        <v>0</v>
      </c>
      <c r="W243" s="52">
        <f t="shared" si="122"/>
        <v>0</v>
      </c>
      <c r="X243" s="52">
        <f t="shared" si="123"/>
        <v>0</v>
      </c>
      <c r="Y243" s="52">
        <f t="shared" si="123"/>
        <v>0</v>
      </c>
      <c r="Z243" s="52">
        <f t="shared" si="123"/>
        <v>0</v>
      </c>
      <c r="AA243" s="52">
        <f t="shared" si="123"/>
        <v>0</v>
      </c>
      <c r="AB243" s="52">
        <f t="shared" si="123"/>
        <v>0</v>
      </c>
      <c r="AC243" s="52">
        <f t="shared" si="123"/>
        <v>0</v>
      </c>
      <c r="AD243" s="52">
        <f t="shared" si="123"/>
        <v>0</v>
      </c>
      <c r="AE243" s="52">
        <f t="shared" si="123"/>
        <v>0.58333333333333337</v>
      </c>
      <c r="AF243" s="52">
        <f t="shared" si="123"/>
        <v>1</v>
      </c>
      <c r="AG243" s="52">
        <f t="shared" si="123"/>
        <v>1</v>
      </c>
      <c r="AH243" s="52">
        <f t="shared" si="123"/>
        <v>1</v>
      </c>
      <c r="AI243" s="52">
        <f t="shared" si="123"/>
        <v>1</v>
      </c>
      <c r="AJ243" s="52">
        <f t="shared" si="123"/>
        <v>1</v>
      </c>
      <c r="AK243" s="52">
        <f t="shared" si="123"/>
        <v>1</v>
      </c>
      <c r="AL243" s="52">
        <f t="shared" si="123"/>
        <v>1</v>
      </c>
      <c r="AM243" s="52">
        <f t="shared" si="123"/>
        <v>1</v>
      </c>
      <c r="AN243" s="52">
        <f t="shared" si="123"/>
        <v>1</v>
      </c>
      <c r="AO243" s="52">
        <f t="shared" si="120"/>
        <v>1</v>
      </c>
      <c r="AP243" s="52">
        <f t="shared" si="120"/>
        <v>1</v>
      </c>
      <c r="AQ243" s="52">
        <f t="shared" si="120"/>
        <v>1</v>
      </c>
      <c r="AR243" s="52">
        <f t="shared" si="120"/>
        <v>1</v>
      </c>
      <c r="AS243" s="52">
        <f t="shared" si="120"/>
        <v>1</v>
      </c>
      <c r="AT243" s="52">
        <f t="shared" si="120"/>
        <v>1</v>
      </c>
      <c r="AU243" s="52">
        <f t="shared" si="120"/>
        <v>1</v>
      </c>
      <c r="AV243" s="52">
        <f t="shared" si="120"/>
        <v>1</v>
      </c>
      <c r="AW243" s="52">
        <f t="shared" si="120"/>
        <v>1</v>
      </c>
      <c r="AX243" s="52">
        <f t="shared" si="120"/>
        <v>1</v>
      </c>
      <c r="AY243" s="52">
        <f t="shared" si="120"/>
        <v>1</v>
      </c>
      <c r="AZ243" s="52">
        <f t="shared" si="120"/>
        <v>1</v>
      </c>
      <c r="BA243" s="52">
        <f t="shared" si="120"/>
        <v>1</v>
      </c>
      <c r="BB243" s="52">
        <f t="shared" si="120"/>
        <v>1</v>
      </c>
      <c r="BC243" s="52">
        <f t="shared" si="120"/>
        <v>1</v>
      </c>
      <c r="BD243" s="52">
        <f t="shared" si="120"/>
        <v>1</v>
      </c>
      <c r="BE243" s="52">
        <f t="shared" si="120"/>
        <v>1</v>
      </c>
      <c r="BF243" s="52">
        <f t="shared" si="120"/>
        <v>1</v>
      </c>
      <c r="BG243" s="52">
        <f t="shared" si="121"/>
        <v>1</v>
      </c>
      <c r="BH243" s="52">
        <f t="shared" si="121"/>
        <v>1</v>
      </c>
      <c r="BI243" s="52">
        <f t="shared" si="121"/>
        <v>1</v>
      </c>
      <c r="BJ243" s="52">
        <f t="shared" si="121"/>
        <v>1</v>
      </c>
      <c r="BK243" s="52">
        <f t="shared" si="121"/>
        <v>1</v>
      </c>
      <c r="BL243" s="52">
        <f t="shared" si="121"/>
        <v>1</v>
      </c>
      <c r="BM243" s="52">
        <f t="shared" si="121"/>
        <v>1</v>
      </c>
      <c r="BN243" s="52">
        <f t="shared" si="121"/>
        <v>1</v>
      </c>
      <c r="BO243" s="32">
        <f t="shared" si="109"/>
        <v>0.60310734463276838</v>
      </c>
    </row>
    <row r="244" spans="1:67" s="27" customFormat="1" ht="18.75" customHeight="1" x14ac:dyDescent="0.25">
      <c r="A244" s="46" t="s">
        <v>496</v>
      </c>
      <c r="B244" s="46" t="s">
        <v>497</v>
      </c>
      <c r="C244" s="46" t="s">
        <v>61</v>
      </c>
      <c r="D244" s="47">
        <f>VLOOKUP(A244,'[1]Cuadro Control'!C280:J2174,8,FALSE)</f>
        <v>179532477.23999998</v>
      </c>
      <c r="E244" s="48">
        <f t="shared" si="118"/>
        <v>3.3817438522495219E-2</v>
      </c>
      <c r="F244" s="49">
        <v>46371</v>
      </c>
      <c r="G244" s="49">
        <v>46385</v>
      </c>
      <c r="H244" s="48">
        <f t="shared" si="122"/>
        <v>0</v>
      </c>
      <c r="I244" s="48">
        <f t="shared" si="122"/>
        <v>0</v>
      </c>
      <c r="J244" s="48">
        <f t="shared" si="122"/>
        <v>0</v>
      </c>
      <c r="K244" s="48">
        <f t="shared" si="122"/>
        <v>0</v>
      </c>
      <c r="L244" s="48">
        <f t="shared" si="122"/>
        <v>0</v>
      </c>
      <c r="M244" s="48">
        <f t="shared" si="122"/>
        <v>0</v>
      </c>
      <c r="N244" s="48">
        <f t="shared" si="122"/>
        <v>0</v>
      </c>
      <c r="O244" s="48">
        <f t="shared" si="122"/>
        <v>0</v>
      </c>
      <c r="P244" s="48">
        <f t="shared" si="122"/>
        <v>0</v>
      </c>
      <c r="Q244" s="48">
        <f t="shared" si="122"/>
        <v>0</v>
      </c>
      <c r="R244" s="48">
        <f t="shared" si="122"/>
        <v>0</v>
      </c>
      <c r="S244" s="48">
        <f t="shared" si="122"/>
        <v>0</v>
      </c>
      <c r="T244" s="48">
        <f t="shared" si="122"/>
        <v>0</v>
      </c>
      <c r="U244" s="48">
        <f t="shared" si="122"/>
        <v>0</v>
      </c>
      <c r="V244" s="48">
        <f t="shared" si="122"/>
        <v>0</v>
      </c>
      <c r="W244" s="48">
        <f t="shared" si="122"/>
        <v>0</v>
      </c>
      <c r="X244" s="48">
        <f t="shared" si="123"/>
        <v>0</v>
      </c>
      <c r="Y244" s="48">
        <f t="shared" si="123"/>
        <v>0</v>
      </c>
      <c r="Z244" s="48">
        <f t="shared" si="123"/>
        <v>0</v>
      </c>
      <c r="AA244" s="48">
        <f t="shared" si="123"/>
        <v>0</v>
      </c>
      <c r="AB244" s="48">
        <f t="shared" si="123"/>
        <v>0</v>
      </c>
      <c r="AC244" s="48">
        <f t="shared" si="123"/>
        <v>0</v>
      </c>
      <c r="AD244" s="48">
        <f t="shared" si="123"/>
        <v>0</v>
      </c>
      <c r="AE244" s="48">
        <f t="shared" si="123"/>
        <v>0.26666666666666666</v>
      </c>
      <c r="AF244" s="48">
        <f t="shared" si="123"/>
        <v>0.73333333333333328</v>
      </c>
      <c r="AG244" s="48">
        <f t="shared" si="123"/>
        <v>1</v>
      </c>
      <c r="AH244" s="48">
        <f t="shared" si="123"/>
        <v>1</v>
      </c>
      <c r="AI244" s="48">
        <f t="shared" si="123"/>
        <v>1</v>
      </c>
      <c r="AJ244" s="48">
        <f t="shared" si="123"/>
        <v>1</v>
      </c>
      <c r="AK244" s="48">
        <f t="shared" si="123"/>
        <v>1</v>
      </c>
      <c r="AL244" s="48">
        <f t="shared" si="123"/>
        <v>1</v>
      </c>
      <c r="AM244" s="48">
        <f t="shared" si="123"/>
        <v>1</v>
      </c>
      <c r="AN244" s="48">
        <f t="shared" si="123"/>
        <v>1</v>
      </c>
      <c r="AO244" s="48">
        <f t="shared" si="120"/>
        <v>1</v>
      </c>
      <c r="AP244" s="48">
        <f t="shared" si="120"/>
        <v>1</v>
      </c>
      <c r="AQ244" s="48">
        <f t="shared" si="120"/>
        <v>1</v>
      </c>
      <c r="AR244" s="48">
        <f t="shared" si="120"/>
        <v>1</v>
      </c>
      <c r="AS244" s="48">
        <f t="shared" si="120"/>
        <v>1</v>
      </c>
      <c r="AT244" s="48">
        <f t="shared" si="120"/>
        <v>1</v>
      </c>
      <c r="AU244" s="48">
        <f t="shared" si="120"/>
        <v>1</v>
      </c>
      <c r="AV244" s="48">
        <f t="shared" si="120"/>
        <v>1</v>
      </c>
      <c r="AW244" s="48">
        <f t="shared" si="120"/>
        <v>1</v>
      </c>
      <c r="AX244" s="48">
        <f t="shared" si="120"/>
        <v>1</v>
      </c>
      <c r="AY244" s="48">
        <f t="shared" si="120"/>
        <v>1</v>
      </c>
      <c r="AZ244" s="48">
        <f t="shared" si="120"/>
        <v>1</v>
      </c>
      <c r="BA244" s="48">
        <f t="shared" si="120"/>
        <v>1</v>
      </c>
      <c r="BB244" s="48">
        <f t="shared" si="120"/>
        <v>1</v>
      </c>
      <c r="BC244" s="48">
        <f t="shared" si="120"/>
        <v>1</v>
      </c>
      <c r="BD244" s="48">
        <f t="shared" si="120"/>
        <v>1</v>
      </c>
      <c r="BE244" s="48">
        <f t="shared" si="120"/>
        <v>1</v>
      </c>
      <c r="BF244" s="48">
        <f t="shared" si="120"/>
        <v>1</v>
      </c>
      <c r="BG244" s="48">
        <f t="shared" si="121"/>
        <v>1</v>
      </c>
      <c r="BH244" s="48">
        <f t="shared" si="121"/>
        <v>1</v>
      </c>
      <c r="BI244" s="48">
        <f t="shared" si="121"/>
        <v>1</v>
      </c>
      <c r="BJ244" s="48">
        <f t="shared" si="121"/>
        <v>1</v>
      </c>
      <c r="BK244" s="48">
        <f t="shared" si="121"/>
        <v>1</v>
      </c>
      <c r="BL244" s="48">
        <f t="shared" si="121"/>
        <v>1</v>
      </c>
      <c r="BM244" s="48">
        <f t="shared" si="121"/>
        <v>1</v>
      </c>
      <c r="BN244" s="48">
        <f t="shared" si="121"/>
        <v>1</v>
      </c>
      <c r="BO244" s="32">
        <f t="shared" si="109"/>
        <v>0.59322033898305082</v>
      </c>
    </row>
    <row r="245" spans="1:67" s="27" customFormat="1" ht="18.75" customHeight="1" x14ac:dyDescent="0.25">
      <c r="A245" s="55" t="s">
        <v>498</v>
      </c>
      <c r="B245" s="55" t="s">
        <v>499</v>
      </c>
      <c r="C245" s="55" t="s">
        <v>14</v>
      </c>
      <c r="D245" s="56">
        <f>VLOOKUP(A245,'[1]Cuadro Control'!C282:J2175,8,FALSE)</f>
        <v>0</v>
      </c>
      <c r="E245" s="57">
        <f>IFERROR(D245/$D$229,0)</f>
        <v>0</v>
      </c>
      <c r="F245" s="58">
        <v>46385</v>
      </c>
      <c r="G245" s="58">
        <v>46385</v>
      </c>
      <c r="H245" s="57">
        <f t="shared" si="122"/>
        <v>0</v>
      </c>
      <c r="I245" s="57">
        <f t="shared" si="122"/>
        <v>0</v>
      </c>
      <c r="J245" s="57">
        <f t="shared" si="122"/>
        <v>0</v>
      </c>
      <c r="K245" s="57">
        <f t="shared" si="122"/>
        <v>0</v>
      </c>
      <c r="L245" s="57">
        <f t="shared" si="122"/>
        <v>0</v>
      </c>
      <c r="M245" s="57">
        <f t="shared" si="122"/>
        <v>0</v>
      </c>
      <c r="N245" s="57">
        <f t="shared" si="122"/>
        <v>0</v>
      </c>
      <c r="O245" s="57">
        <f t="shared" si="122"/>
        <v>0</v>
      </c>
      <c r="P245" s="57">
        <f t="shared" si="122"/>
        <v>0</v>
      </c>
      <c r="Q245" s="57">
        <f t="shared" si="122"/>
        <v>0</v>
      </c>
      <c r="R245" s="57">
        <f t="shared" si="122"/>
        <v>0</v>
      </c>
      <c r="S245" s="57">
        <f t="shared" si="122"/>
        <v>0</v>
      </c>
      <c r="T245" s="57">
        <f t="shared" si="122"/>
        <v>0</v>
      </c>
      <c r="U245" s="57">
        <f t="shared" si="122"/>
        <v>0</v>
      </c>
      <c r="V245" s="57">
        <f t="shared" si="122"/>
        <v>0</v>
      </c>
      <c r="W245" s="57">
        <f t="shared" si="122"/>
        <v>0</v>
      </c>
      <c r="X245" s="57">
        <f t="shared" si="123"/>
        <v>0</v>
      </c>
      <c r="Y245" s="57">
        <f t="shared" si="123"/>
        <v>0</v>
      </c>
      <c r="Z245" s="57">
        <f t="shared" si="123"/>
        <v>0</v>
      </c>
      <c r="AA245" s="57">
        <f t="shared" si="123"/>
        <v>0</v>
      </c>
      <c r="AB245" s="57">
        <f t="shared" si="123"/>
        <v>0</v>
      </c>
      <c r="AC245" s="57">
        <f t="shared" si="123"/>
        <v>0</v>
      </c>
      <c r="AD245" s="57">
        <f t="shared" si="123"/>
        <v>0</v>
      </c>
      <c r="AE245" s="57">
        <f t="shared" si="123"/>
        <v>0</v>
      </c>
      <c r="AF245" s="57">
        <f t="shared" si="123"/>
        <v>0</v>
      </c>
      <c r="AG245" s="57">
        <f t="shared" si="123"/>
        <v>1</v>
      </c>
      <c r="AH245" s="57">
        <f t="shared" si="123"/>
        <v>1</v>
      </c>
      <c r="AI245" s="57">
        <f t="shared" si="123"/>
        <v>1</v>
      </c>
      <c r="AJ245" s="57">
        <f t="shared" si="123"/>
        <v>1</v>
      </c>
      <c r="AK245" s="57">
        <f t="shared" si="123"/>
        <v>1</v>
      </c>
      <c r="AL245" s="57">
        <f t="shared" si="123"/>
        <v>1</v>
      </c>
      <c r="AM245" s="57">
        <f t="shared" si="123"/>
        <v>1</v>
      </c>
      <c r="AN245" s="57">
        <f t="shared" si="123"/>
        <v>1</v>
      </c>
      <c r="AO245" s="57">
        <f t="shared" si="123"/>
        <v>1</v>
      </c>
      <c r="AP245" s="57">
        <f t="shared" si="123"/>
        <v>1</v>
      </c>
      <c r="AQ245" s="57">
        <f t="shared" si="123"/>
        <v>1</v>
      </c>
      <c r="AR245" s="57">
        <f t="shared" si="123"/>
        <v>1</v>
      </c>
      <c r="AS245" s="57">
        <f t="shared" si="123"/>
        <v>1</v>
      </c>
      <c r="AT245" s="57">
        <f t="shared" si="123"/>
        <v>1</v>
      </c>
      <c r="AU245" s="57">
        <f t="shared" si="123"/>
        <v>1</v>
      </c>
      <c r="AV245" s="57">
        <f t="shared" si="123"/>
        <v>1</v>
      </c>
      <c r="AW245" s="57">
        <f t="shared" si="123"/>
        <v>1</v>
      </c>
      <c r="AX245" s="57">
        <f t="shared" si="123"/>
        <v>1</v>
      </c>
      <c r="AY245" s="57">
        <f t="shared" si="123"/>
        <v>1</v>
      </c>
      <c r="AZ245" s="57">
        <f t="shared" si="123"/>
        <v>1</v>
      </c>
      <c r="BA245" s="57">
        <f t="shared" si="123"/>
        <v>1</v>
      </c>
      <c r="BB245" s="57">
        <f t="shared" si="123"/>
        <v>1</v>
      </c>
      <c r="BC245" s="57">
        <f t="shared" si="123"/>
        <v>1</v>
      </c>
      <c r="BD245" s="57">
        <f t="shared" si="120"/>
        <v>1</v>
      </c>
      <c r="BE245" s="57">
        <f t="shared" si="120"/>
        <v>1</v>
      </c>
      <c r="BF245" s="57">
        <f t="shared" si="120"/>
        <v>1</v>
      </c>
      <c r="BG245" s="57">
        <f t="shared" si="121"/>
        <v>1</v>
      </c>
      <c r="BH245" s="57">
        <f t="shared" si="121"/>
        <v>1</v>
      </c>
      <c r="BI245" s="57">
        <f t="shared" si="121"/>
        <v>1</v>
      </c>
      <c r="BJ245" s="57">
        <f t="shared" si="121"/>
        <v>1</v>
      </c>
      <c r="BK245" s="57">
        <f t="shared" si="121"/>
        <v>1</v>
      </c>
      <c r="BL245" s="57">
        <f t="shared" si="121"/>
        <v>1</v>
      </c>
      <c r="BM245" s="57">
        <f t="shared" si="121"/>
        <v>1</v>
      </c>
      <c r="BN245" s="57">
        <f t="shared" si="121"/>
        <v>1</v>
      </c>
      <c r="BO245" s="32">
        <f t="shared" si="109"/>
        <v>0.57627118644067798</v>
      </c>
    </row>
    <row r="246" spans="1:67" s="27" customFormat="1" ht="18.75" customHeight="1" x14ac:dyDescent="0.25">
      <c r="A246" s="42" t="s">
        <v>500</v>
      </c>
      <c r="B246" s="42" t="s">
        <v>501</v>
      </c>
      <c r="C246" s="42" t="s">
        <v>467</v>
      </c>
      <c r="D246" s="43">
        <f>SUM(D247:D262)</f>
        <v>5308872732.0543728</v>
      </c>
      <c r="E246" s="44">
        <f>IFERROR(D246/$D$109,0)</f>
        <v>2.9408554574576196E-2</v>
      </c>
      <c r="F246" s="45">
        <v>46235</v>
      </c>
      <c r="G246" s="45">
        <v>46393</v>
      </c>
      <c r="H246" s="44">
        <f>SUMPRODUCT($E247:$E261,H247:H261)</f>
        <v>0</v>
      </c>
      <c r="I246" s="44">
        <f t="shared" ref="I246:BN246" si="124">SUMPRODUCT($E247:$E261,I247:I261)</f>
        <v>0</v>
      </c>
      <c r="J246" s="44">
        <f t="shared" si="124"/>
        <v>0</v>
      </c>
      <c r="K246" s="44">
        <f t="shared" si="124"/>
        <v>0</v>
      </c>
      <c r="L246" s="44">
        <f t="shared" si="124"/>
        <v>1.2917386456457729E-3</v>
      </c>
      <c r="M246" s="44">
        <f t="shared" si="124"/>
        <v>2.5834772912915458E-3</v>
      </c>
      <c r="N246" s="44">
        <f t="shared" si="124"/>
        <v>3.8752159369373185E-3</v>
      </c>
      <c r="O246" s="44">
        <f t="shared" si="124"/>
        <v>5.1669545825830917E-3</v>
      </c>
      <c r="P246" s="44">
        <f t="shared" si="124"/>
        <v>6.4586932282288635E-3</v>
      </c>
      <c r="Q246" s="44">
        <f t="shared" si="124"/>
        <v>7.750431873874637E-3</v>
      </c>
      <c r="R246" s="44">
        <f t="shared" si="124"/>
        <v>9.0421705195204097E-3</v>
      </c>
      <c r="S246" s="44">
        <f t="shared" si="124"/>
        <v>1.0333909165166183E-2</v>
      </c>
      <c r="T246" s="44">
        <f t="shared" si="124"/>
        <v>1.1625647810811955E-2</v>
      </c>
      <c r="U246" s="44">
        <f t="shared" si="124"/>
        <v>1.2917386456457727E-2</v>
      </c>
      <c r="V246" s="44">
        <f t="shared" si="124"/>
        <v>1.4209125102103501E-2</v>
      </c>
      <c r="W246" s="44">
        <f t="shared" si="124"/>
        <v>1.5500863747749274E-2</v>
      </c>
      <c r="X246" s="44">
        <f t="shared" si="124"/>
        <v>6.7170469390089332E-2</v>
      </c>
      <c r="Y246" s="44">
        <f t="shared" si="124"/>
        <v>9.6443383932417096E-2</v>
      </c>
      <c r="Z246" s="44">
        <f t="shared" si="124"/>
        <v>0.16411012842261916</v>
      </c>
      <c r="AA246" s="44">
        <f t="shared" si="124"/>
        <v>0.2168042746368922</v>
      </c>
      <c r="AB246" s="44">
        <f t="shared" si="124"/>
        <v>0.31673560607132478</v>
      </c>
      <c r="AC246" s="44">
        <f t="shared" si="124"/>
        <v>0.41666693750575734</v>
      </c>
      <c r="AD246" s="44">
        <f t="shared" si="124"/>
        <v>0.64850810003989967</v>
      </c>
      <c r="AE246" s="44">
        <f t="shared" si="124"/>
        <v>0.65248154977918515</v>
      </c>
      <c r="AF246" s="44">
        <f t="shared" si="124"/>
        <v>0.7889468162387081</v>
      </c>
      <c r="AG246" s="44">
        <f t="shared" si="124"/>
        <v>0.96572761637458959</v>
      </c>
      <c r="AH246" s="44">
        <f t="shared" si="124"/>
        <v>1</v>
      </c>
      <c r="AI246" s="44">
        <f t="shared" si="124"/>
        <v>1</v>
      </c>
      <c r="AJ246" s="44">
        <f t="shared" si="124"/>
        <v>1</v>
      </c>
      <c r="AK246" s="44">
        <f t="shared" si="124"/>
        <v>1</v>
      </c>
      <c r="AL246" s="44">
        <f t="shared" si="124"/>
        <v>1</v>
      </c>
      <c r="AM246" s="44">
        <f t="shared" si="124"/>
        <v>1</v>
      </c>
      <c r="AN246" s="44">
        <f t="shared" si="124"/>
        <v>1</v>
      </c>
      <c r="AO246" s="44">
        <f t="shared" si="124"/>
        <v>1</v>
      </c>
      <c r="AP246" s="44">
        <f t="shared" si="124"/>
        <v>1</v>
      </c>
      <c r="AQ246" s="44">
        <f t="shared" si="124"/>
        <v>1</v>
      </c>
      <c r="AR246" s="44">
        <f t="shared" si="124"/>
        <v>1</v>
      </c>
      <c r="AS246" s="44">
        <f t="shared" si="124"/>
        <v>1</v>
      </c>
      <c r="AT246" s="44">
        <f t="shared" si="124"/>
        <v>1</v>
      </c>
      <c r="AU246" s="44">
        <f t="shared" si="124"/>
        <v>1</v>
      </c>
      <c r="AV246" s="44">
        <f t="shared" si="124"/>
        <v>1</v>
      </c>
      <c r="AW246" s="44">
        <f t="shared" si="124"/>
        <v>1</v>
      </c>
      <c r="AX246" s="44">
        <f t="shared" si="124"/>
        <v>1</v>
      </c>
      <c r="AY246" s="44">
        <f t="shared" si="124"/>
        <v>1</v>
      </c>
      <c r="AZ246" s="44">
        <f t="shared" si="124"/>
        <v>1</v>
      </c>
      <c r="BA246" s="44">
        <f t="shared" si="124"/>
        <v>1</v>
      </c>
      <c r="BB246" s="44">
        <f t="shared" si="124"/>
        <v>1</v>
      </c>
      <c r="BC246" s="44">
        <f t="shared" si="124"/>
        <v>1</v>
      </c>
      <c r="BD246" s="44">
        <f t="shared" si="124"/>
        <v>1</v>
      </c>
      <c r="BE246" s="44">
        <f t="shared" si="124"/>
        <v>1</v>
      </c>
      <c r="BF246" s="44">
        <f t="shared" si="124"/>
        <v>1</v>
      </c>
      <c r="BG246" s="44">
        <f t="shared" si="124"/>
        <v>1</v>
      </c>
      <c r="BH246" s="44">
        <f t="shared" si="124"/>
        <v>1</v>
      </c>
      <c r="BI246" s="44">
        <f t="shared" si="124"/>
        <v>1</v>
      </c>
      <c r="BJ246" s="44">
        <f t="shared" si="124"/>
        <v>1</v>
      </c>
      <c r="BK246" s="44">
        <f t="shared" si="124"/>
        <v>1</v>
      </c>
      <c r="BL246" s="44">
        <f t="shared" si="124"/>
        <v>1</v>
      </c>
      <c r="BM246" s="44">
        <f t="shared" si="124"/>
        <v>1</v>
      </c>
      <c r="BN246" s="44">
        <f t="shared" si="124"/>
        <v>1</v>
      </c>
      <c r="BO246" s="32">
        <f t="shared" si="109"/>
        <v>0.63448051689409923</v>
      </c>
    </row>
    <row r="247" spans="1:67" s="27" customFormat="1" ht="18.75" customHeight="1" x14ac:dyDescent="0.25">
      <c r="A247" s="50" t="s">
        <v>502</v>
      </c>
      <c r="B247" s="50" t="s">
        <v>503</v>
      </c>
      <c r="C247" s="50" t="s">
        <v>74</v>
      </c>
      <c r="D247" s="51">
        <f>VLOOKUP(A247,'[1]Cuadro Control'!C284:J2177,8,FALSE)</f>
        <v>83271780.884117648</v>
      </c>
      <c r="E247" s="52">
        <f t="shared" ref="E247:E261" si="125">IFERROR(D247/$D$246,0)</f>
        <v>1.5685397839984384E-2</v>
      </c>
      <c r="F247" s="53">
        <v>46235</v>
      </c>
      <c r="G247" s="53">
        <v>46319</v>
      </c>
      <c r="H247" s="52">
        <f t="shared" ref="H247:BN251" si="126">IF($F247=0,0,IF(H$6&lt;$F247,0,IF(H$6&gt;$G247,1,(H$6-$F247+1)/($G247-$F247+1))))</f>
        <v>0</v>
      </c>
      <c r="I247" s="52">
        <f t="shared" si="126"/>
        <v>0</v>
      </c>
      <c r="J247" s="52">
        <f t="shared" si="126"/>
        <v>0</v>
      </c>
      <c r="K247" s="52">
        <f t="shared" si="126"/>
        <v>0</v>
      </c>
      <c r="L247" s="52">
        <f t="shared" si="126"/>
        <v>8.2352941176470587E-2</v>
      </c>
      <c r="M247" s="52">
        <f t="shared" si="126"/>
        <v>0.16470588235294117</v>
      </c>
      <c r="N247" s="52">
        <f t="shared" si="126"/>
        <v>0.24705882352941178</v>
      </c>
      <c r="O247" s="52">
        <f t="shared" si="126"/>
        <v>0.32941176470588235</v>
      </c>
      <c r="P247" s="52">
        <f t="shared" si="126"/>
        <v>0.41176470588235292</v>
      </c>
      <c r="Q247" s="52">
        <f t="shared" si="126"/>
        <v>0.49411764705882355</v>
      </c>
      <c r="R247" s="52">
        <f t="shared" si="126"/>
        <v>0.57647058823529407</v>
      </c>
      <c r="S247" s="52">
        <f t="shared" si="126"/>
        <v>0.6588235294117647</v>
      </c>
      <c r="T247" s="52">
        <f t="shared" si="126"/>
        <v>0.74117647058823533</v>
      </c>
      <c r="U247" s="52">
        <f t="shared" si="126"/>
        <v>0.82352941176470584</v>
      </c>
      <c r="V247" s="52">
        <f t="shared" si="126"/>
        <v>0.90588235294117647</v>
      </c>
      <c r="W247" s="52">
        <f t="shared" si="126"/>
        <v>0.9882352941176471</v>
      </c>
      <c r="X247" s="52">
        <f t="shared" si="126"/>
        <v>1</v>
      </c>
      <c r="Y247" s="52">
        <f t="shared" si="126"/>
        <v>1</v>
      </c>
      <c r="Z247" s="52">
        <f t="shared" si="126"/>
        <v>1</v>
      </c>
      <c r="AA247" s="52">
        <f t="shared" si="126"/>
        <v>1</v>
      </c>
      <c r="AB247" s="52">
        <f t="shared" si="126"/>
        <v>1</v>
      </c>
      <c r="AC247" s="52">
        <f t="shared" si="126"/>
        <v>1</v>
      </c>
      <c r="AD247" s="52">
        <f t="shared" si="126"/>
        <v>1</v>
      </c>
      <c r="AE247" s="52">
        <f t="shared" si="126"/>
        <v>1</v>
      </c>
      <c r="AF247" s="52">
        <f t="shared" si="126"/>
        <v>1</v>
      </c>
      <c r="AG247" s="52">
        <f t="shared" si="126"/>
        <v>1</v>
      </c>
      <c r="AH247" s="52">
        <f t="shared" si="126"/>
        <v>1</v>
      </c>
      <c r="AI247" s="52">
        <f t="shared" si="126"/>
        <v>1</v>
      </c>
      <c r="AJ247" s="52">
        <f t="shared" si="126"/>
        <v>1</v>
      </c>
      <c r="AK247" s="52">
        <f t="shared" si="126"/>
        <v>1</v>
      </c>
      <c r="AL247" s="52">
        <f t="shared" si="126"/>
        <v>1</v>
      </c>
      <c r="AM247" s="52">
        <f t="shared" si="126"/>
        <v>1</v>
      </c>
      <c r="AN247" s="52">
        <f t="shared" si="126"/>
        <v>1</v>
      </c>
      <c r="AO247" s="52">
        <f t="shared" si="126"/>
        <v>1</v>
      </c>
      <c r="AP247" s="52">
        <f t="shared" si="126"/>
        <v>1</v>
      </c>
      <c r="AQ247" s="52">
        <f t="shared" si="126"/>
        <v>1</v>
      </c>
      <c r="AR247" s="52">
        <f t="shared" si="126"/>
        <v>1</v>
      </c>
      <c r="AS247" s="52">
        <f t="shared" si="126"/>
        <v>1</v>
      </c>
      <c r="AT247" s="52">
        <f t="shared" si="126"/>
        <v>1</v>
      </c>
      <c r="AU247" s="52">
        <f t="shared" si="126"/>
        <v>1</v>
      </c>
      <c r="AV247" s="52">
        <f t="shared" si="126"/>
        <v>1</v>
      </c>
      <c r="AW247" s="52">
        <f t="shared" si="126"/>
        <v>1</v>
      </c>
      <c r="AX247" s="52">
        <f t="shared" si="126"/>
        <v>1</v>
      </c>
      <c r="AY247" s="52">
        <f t="shared" si="126"/>
        <v>1</v>
      </c>
      <c r="AZ247" s="52">
        <f t="shared" si="126"/>
        <v>1</v>
      </c>
      <c r="BA247" s="52">
        <f t="shared" si="126"/>
        <v>1</v>
      </c>
      <c r="BB247" s="52">
        <f t="shared" si="126"/>
        <v>1</v>
      </c>
      <c r="BC247" s="52">
        <f t="shared" si="126"/>
        <v>1</v>
      </c>
      <c r="BD247" s="52">
        <f t="shared" si="126"/>
        <v>1</v>
      </c>
      <c r="BE247" s="52">
        <f t="shared" si="126"/>
        <v>1</v>
      </c>
      <c r="BF247" s="52">
        <f t="shared" si="126"/>
        <v>1</v>
      </c>
      <c r="BG247" s="52">
        <f t="shared" si="126"/>
        <v>1</v>
      </c>
      <c r="BH247" s="52">
        <f t="shared" si="126"/>
        <v>1</v>
      </c>
      <c r="BI247" s="52">
        <f t="shared" si="126"/>
        <v>1</v>
      </c>
      <c r="BJ247" s="52">
        <f t="shared" si="126"/>
        <v>1</v>
      </c>
      <c r="BK247" s="52">
        <f t="shared" si="126"/>
        <v>1</v>
      </c>
      <c r="BL247" s="52">
        <f t="shared" si="126"/>
        <v>1</v>
      </c>
      <c r="BM247" s="52">
        <f t="shared" si="126"/>
        <v>1</v>
      </c>
      <c r="BN247" s="52">
        <f t="shared" si="126"/>
        <v>1</v>
      </c>
      <c r="BO247" s="32">
        <f t="shared" si="109"/>
        <v>0.83768693918245263</v>
      </c>
    </row>
    <row r="248" spans="1:67" s="27" customFormat="1" ht="18.75" customHeight="1" x14ac:dyDescent="0.25">
      <c r="A248" s="50" t="s">
        <v>504</v>
      </c>
      <c r="B248" s="50" t="s">
        <v>505</v>
      </c>
      <c r="C248" s="50" t="s">
        <v>61</v>
      </c>
      <c r="D248" s="51">
        <f>VLOOKUP(A248,'[1]Cuadro Control'!C285:J2178,8,FALSE)</f>
        <v>312374505.66882348</v>
      </c>
      <c r="E248" s="52">
        <f t="shared" si="125"/>
        <v>5.8840081771548515E-2</v>
      </c>
      <c r="F248" s="53">
        <v>46319</v>
      </c>
      <c r="G248" s="53">
        <v>46326</v>
      </c>
      <c r="H248" s="52">
        <f t="shared" si="126"/>
        <v>0</v>
      </c>
      <c r="I248" s="52">
        <f t="shared" si="126"/>
        <v>0</v>
      </c>
      <c r="J248" s="52">
        <f t="shared" si="126"/>
        <v>0</v>
      </c>
      <c r="K248" s="52">
        <f t="shared" si="126"/>
        <v>0</v>
      </c>
      <c r="L248" s="52">
        <f t="shared" si="126"/>
        <v>0</v>
      </c>
      <c r="M248" s="52">
        <f t="shared" si="126"/>
        <v>0</v>
      </c>
      <c r="N248" s="52">
        <f t="shared" si="126"/>
        <v>0</v>
      </c>
      <c r="O248" s="52">
        <f t="shared" si="126"/>
        <v>0</v>
      </c>
      <c r="P248" s="52">
        <f t="shared" si="126"/>
        <v>0</v>
      </c>
      <c r="Q248" s="52">
        <f t="shared" si="126"/>
        <v>0</v>
      </c>
      <c r="R248" s="52">
        <f t="shared" si="126"/>
        <v>0</v>
      </c>
      <c r="S248" s="52">
        <f t="shared" si="126"/>
        <v>0</v>
      </c>
      <c r="T248" s="52">
        <f t="shared" si="126"/>
        <v>0</v>
      </c>
      <c r="U248" s="52">
        <f t="shared" si="126"/>
        <v>0</v>
      </c>
      <c r="V248" s="52">
        <f t="shared" si="126"/>
        <v>0</v>
      </c>
      <c r="W248" s="52">
        <f t="shared" si="126"/>
        <v>0</v>
      </c>
      <c r="X248" s="52">
        <f t="shared" si="126"/>
        <v>0.875</v>
      </c>
      <c r="Y248" s="52">
        <f t="shared" si="126"/>
        <v>1</v>
      </c>
      <c r="Z248" s="52">
        <f t="shared" si="126"/>
        <v>1</v>
      </c>
      <c r="AA248" s="52">
        <f t="shared" si="126"/>
        <v>1</v>
      </c>
      <c r="AB248" s="52">
        <f t="shared" si="126"/>
        <v>1</v>
      </c>
      <c r="AC248" s="52">
        <f t="shared" si="126"/>
        <v>1</v>
      </c>
      <c r="AD248" s="52">
        <f t="shared" si="126"/>
        <v>1</v>
      </c>
      <c r="AE248" s="52">
        <f t="shared" si="126"/>
        <v>1</v>
      </c>
      <c r="AF248" s="52">
        <f t="shared" si="126"/>
        <v>1</v>
      </c>
      <c r="AG248" s="52">
        <f t="shared" si="126"/>
        <v>1</v>
      </c>
      <c r="AH248" s="52">
        <f t="shared" si="126"/>
        <v>1</v>
      </c>
      <c r="AI248" s="52">
        <f t="shared" si="126"/>
        <v>1</v>
      </c>
      <c r="AJ248" s="52">
        <f t="shared" si="126"/>
        <v>1</v>
      </c>
      <c r="AK248" s="52">
        <f t="shared" si="126"/>
        <v>1</v>
      </c>
      <c r="AL248" s="52">
        <f t="shared" si="126"/>
        <v>1</v>
      </c>
      <c r="AM248" s="52">
        <f t="shared" si="126"/>
        <v>1</v>
      </c>
      <c r="AN248" s="52">
        <f t="shared" si="126"/>
        <v>1</v>
      </c>
      <c r="AO248" s="52">
        <f t="shared" si="126"/>
        <v>1</v>
      </c>
      <c r="AP248" s="52">
        <f t="shared" si="126"/>
        <v>1</v>
      </c>
      <c r="AQ248" s="52">
        <f t="shared" si="126"/>
        <v>1</v>
      </c>
      <c r="AR248" s="52">
        <f t="shared" si="126"/>
        <v>1</v>
      </c>
      <c r="AS248" s="52">
        <f t="shared" si="126"/>
        <v>1</v>
      </c>
      <c r="AT248" s="52">
        <f t="shared" si="126"/>
        <v>1</v>
      </c>
      <c r="AU248" s="52">
        <f t="shared" si="126"/>
        <v>1</v>
      </c>
      <c r="AV248" s="52">
        <f t="shared" si="126"/>
        <v>1</v>
      </c>
      <c r="AW248" s="52">
        <f t="shared" si="126"/>
        <v>1</v>
      </c>
      <c r="AX248" s="52">
        <f t="shared" si="126"/>
        <v>1</v>
      </c>
      <c r="AY248" s="52">
        <f t="shared" si="126"/>
        <v>1</v>
      </c>
      <c r="AZ248" s="52">
        <f t="shared" si="126"/>
        <v>1</v>
      </c>
      <c r="BA248" s="52">
        <f t="shared" si="126"/>
        <v>1</v>
      </c>
      <c r="BB248" s="52">
        <f t="shared" si="126"/>
        <v>1</v>
      </c>
      <c r="BC248" s="52">
        <f t="shared" si="126"/>
        <v>1</v>
      </c>
      <c r="BD248" s="52">
        <f t="shared" si="126"/>
        <v>1</v>
      </c>
      <c r="BE248" s="52">
        <f t="shared" si="126"/>
        <v>1</v>
      </c>
      <c r="BF248" s="52">
        <f t="shared" si="126"/>
        <v>1</v>
      </c>
      <c r="BG248" s="52">
        <f t="shared" si="126"/>
        <v>1</v>
      </c>
      <c r="BH248" s="52">
        <f t="shared" si="126"/>
        <v>1</v>
      </c>
      <c r="BI248" s="52">
        <f t="shared" si="126"/>
        <v>1</v>
      </c>
      <c r="BJ248" s="52">
        <f t="shared" si="126"/>
        <v>1</v>
      </c>
      <c r="BK248" s="52">
        <f t="shared" si="126"/>
        <v>1</v>
      </c>
      <c r="BL248" s="52">
        <f t="shared" si="126"/>
        <v>1</v>
      </c>
      <c r="BM248" s="52">
        <f t="shared" si="126"/>
        <v>1</v>
      </c>
      <c r="BN248" s="52">
        <f t="shared" si="126"/>
        <v>1</v>
      </c>
      <c r="BO248" s="32">
        <f t="shared" si="109"/>
        <v>0.72669491525423724</v>
      </c>
    </row>
    <row r="249" spans="1:67" s="27" customFormat="1" ht="18.75" customHeight="1" x14ac:dyDescent="0.25">
      <c r="A249" s="46" t="s">
        <v>506</v>
      </c>
      <c r="B249" s="46" t="s">
        <v>507</v>
      </c>
      <c r="C249" s="46" t="s">
        <v>126</v>
      </c>
      <c r="D249" s="47">
        <f>VLOOKUP(A249,'[1]Cuadro Control'!C286:J2179,8,FALSE)</f>
        <v>9527825.6870364472</v>
      </c>
      <c r="E249" s="48">
        <f t="shared" si="125"/>
        <v>1.794698454439963E-3</v>
      </c>
      <c r="F249" s="49">
        <v>46326</v>
      </c>
      <c r="G249" s="49">
        <v>46331</v>
      </c>
      <c r="H249" s="48">
        <f t="shared" si="126"/>
        <v>0</v>
      </c>
      <c r="I249" s="48">
        <f t="shared" si="126"/>
        <v>0</v>
      </c>
      <c r="J249" s="48">
        <f t="shared" si="126"/>
        <v>0</v>
      </c>
      <c r="K249" s="48">
        <f t="shared" si="126"/>
        <v>0</v>
      </c>
      <c r="L249" s="48">
        <f t="shared" si="126"/>
        <v>0</v>
      </c>
      <c r="M249" s="48">
        <f t="shared" si="126"/>
        <v>0</v>
      </c>
      <c r="N249" s="48">
        <f t="shared" si="126"/>
        <v>0</v>
      </c>
      <c r="O249" s="48">
        <f t="shared" si="126"/>
        <v>0</v>
      </c>
      <c r="P249" s="48">
        <f t="shared" si="126"/>
        <v>0</v>
      </c>
      <c r="Q249" s="48">
        <f t="shared" si="126"/>
        <v>0</v>
      </c>
      <c r="R249" s="48">
        <f t="shared" si="126"/>
        <v>0</v>
      </c>
      <c r="S249" s="48">
        <f t="shared" si="126"/>
        <v>0</v>
      </c>
      <c r="T249" s="48">
        <f t="shared" si="126"/>
        <v>0</v>
      </c>
      <c r="U249" s="48">
        <f t="shared" si="126"/>
        <v>0</v>
      </c>
      <c r="V249" s="48">
        <f t="shared" si="126"/>
        <v>0</v>
      </c>
      <c r="W249" s="48">
        <f t="shared" si="126"/>
        <v>0</v>
      </c>
      <c r="X249" s="48">
        <f t="shared" si="126"/>
        <v>0</v>
      </c>
      <c r="Y249" s="48">
        <f t="shared" si="126"/>
        <v>1</v>
      </c>
      <c r="Z249" s="48">
        <f t="shared" si="126"/>
        <v>1</v>
      </c>
      <c r="AA249" s="48">
        <f t="shared" si="126"/>
        <v>1</v>
      </c>
      <c r="AB249" s="48">
        <f t="shared" si="126"/>
        <v>1</v>
      </c>
      <c r="AC249" s="48">
        <f t="shared" si="126"/>
        <v>1</v>
      </c>
      <c r="AD249" s="48">
        <f t="shared" si="126"/>
        <v>1</v>
      </c>
      <c r="AE249" s="48">
        <f t="shared" si="126"/>
        <v>1</v>
      </c>
      <c r="AF249" s="48">
        <f t="shared" si="126"/>
        <v>1</v>
      </c>
      <c r="AG249" s="48">
        <f t="shared" si="126"/>
        <v>1</v>
      </c>
      <c r="AH249" s="48">
        <f t="shared" si="126"/>
        <v>1</v>
      </c>
      <c r="AI249" s="48">
        <f t="shared" si="126"/>
        <v>1</v>
      </c>
      <c r="AJ249" s="48">
        <f t="shared" si="126"/>
        <v>1</v>
      </c>
      <c r="AK249" s="48">
        <f t="shared" si="126"/>
        <v>1</v>
      </c>
      <c r="AL249" s="48">
        <f t="shared" si="126"/>
        <v>1</v>
      </c>
      <c r="AM249" s="48">
        <f t="shared" si="126"/>
        <v>1</v>
      </c>
      <c r="AN249" s="48">
        <f t="shared" si="126"/>
        <v>1</v>
      </c>
      <c r="AO249" s="48">
        <f t="shared" si="126"/>
        <v>1</v>
      </c>
      <c r="AP249" s="48">
        <f t="shared" si="126"/>
        <v>1</v>
      </c>
      <c r="AQ249" s="48">
        <f t="shared" si="126"/>
        <v>1</v>
      </c>
      <c r="AR249" s="48">
        <f t="shared" si="126"/>
        <v>1</v>
      </c>
      <c r="AS249" s="48">
        <f t="shared" si="126"/>
        <v>1</v>
      </c>
      <c r="AT249" s="48">
        <f t="shared" si="126"/>
        <v>1</v>
      </c>
      <c r="AU249" s="48">
        <f t="shared" si="126"/>
        <v>1</v>
      </c>
      <c r="AV249" s="48">
        <f t="shared" si="126"/>
        <v>1</v>
      </c>
      <c r="AW249" s="48">
        <f t="shared" si="126"/>
        <v>1</v>
      </c>
      <c r="AX249" s="48">
        <f t="shared" si="126"/>
        <v>1</v>
      </c>
      <c r="AY249" s="48">
        <f t="shared" si="126"/>
        <v>1</v>
      </c>
      <c r="AZ249" s="48">
        <f t="shared" si="126"/>
        <v>1</v>
      </c>
      <c r="BA249" s="48">
        <f t="shared" si="126"/>
        <v>1</v>
      </c>
      <c r="BB249" s="48">
        <f t="shared" si="126"/>
        <v>1</v>
      </c>
      <c r="BC249" s="48">
        <f t="shared" si="126"/>
        <v>1</v>
      </c>
      <c r="BD249" s="48">
        <f t="shared" si="126"/>
        <v>1</v>
      </c>
      <c r="BE249" s="48">
        <f t="shared" si="126"/>
        <v>1</v>
      </c>
      <c r="BF249" s="48">
        <f t="shared" si="126"/>
        <v>1</v>
      </c>
      <c r="BG249" s="48">
        <f t="shared" si="126"/>
        <v>1</v>
      </c>
      <c r="BH249" s="48">
        <f t="shared" si="126"/>
        <v>1</v>
      </c>
      <c r="BI249" s="48">
        <f t="shared" si="126"/>
        <v>1</v>
      </c>
      <c r="BJ249" s="48">
        <f t="shared" si="126"/>
        <v>1</v>
      </c>
      <c r="BK249" s="48">
        <f t="shared" si="126"/>
        <v>1</v>
      </c>
      <c r="BL249" s="48">
        <f t="shared" si="126"/>
        <v>1</v>
      </c>
      <c r="BM249" s="48">
        <f t="shared" si="126"/>
        <v>1</v>
      </c>
      <c r="BN249" s="48">
        <f t="shared" si="126"/>
        <v>1</v>
      </c>
      <c r="BO249" s="32">
        <f t="shared" si="109"/>
        <v>0.71186440677966101</v>
      </c>
    </row>
    <row r="250" spans="1:67" s="27" customFormat="1" ht="18.75" customHeight="1" x14ac:dyDescent="0.25">
      <c r="A250" s="50" t="s">
        <v>508</v>
      </c>
      <c r="B250" s="50" t="s">
        <v>509</v>
      </c>
      <c r="C250" s="50" t="s">
        <v>117</v>
      </c>
      <c r="D250" s="51">
        <f>VLOOKUP(A250,'[1]Cuadro Control'!C287:J2180,8,FALSE)</f>
        <v>320494616.71764702</v>
      </c>
      <c r="E250" s="52">
        <f t="shared" si="125"/>
        <v>6.0369617599332674E-2</v>
      </c>
      <c r="F250" s="53">
        <v>46331</v>
      </c>
      <c r="G250" s="53">
        <v>46336</v>
      </c>
      <c r="H250" s="52">
        <f t="shared" si="126"/>
        <v>0</v>
      </c>
      <c r="I250" s="52">
        <f t="shared" si="126"/>
        <v>0</v>
      </c>
      <c r="J250" s="52">
        <f t="shared" si="126"/>
        <v>0</v>
      </c>
      <c r="K250" s="52">
        <f t="shared" si="126"/>
        <v>0</v>
      </c>
      <c r="L250" s="52">
        <f t="shared" si="126"/>
        <v>0</v>
      </c>
      <c r="M250" s="52">
        <f t="shared" si="126"/>
        <v>0</v>
      </c>
      <c r="N250" s="52">
        <f t="shared" si="126"/>
        <v>0</v>
      </c>
      <c r="O250" s="52">
        <f t="shared" si="126"/>
        <v>0</v>
      </c>
      <c r="P250" s="52">
        <f t="shared" si="126"/>
        <v>0</v>
      </c>
      <c r="Q250" s="52">
        <f t="shared" si="126"/>
        <v>0</v>
      </c>
      <c r="R250" s="52">
        <f t="shared" si="126"/>
        <v>0</v>
      </c>
      <c r="S250" s="52">
        <f t="shared" si="126"/>
        <v>0</v>
      </c>
      <c r="T250" s="52">
        <f t="shared" si="126"/>
        <v>0</v>
      </c>
      <c r="U250" s="52">
        <f t="shared" si="126"/>
        <v>0</v>
      </c>
      <c r="V250" s="52">
        <f t="shared" si="126"/>
        <v>0</v>
      </c>
      <c r="W250" s="52">
        <f t="shared" si="126"/>
        <v>0</v>
      </c>
      <c r="X250" s="52">
        <f t="shared" si="126"/>
        <v>0</v>
      </c>
      <c r="Y250" s="52">
        <f t="shared" si="126"/>
        <v>0.33333333333333331</v>
      </c>
      <c r="Z250" s="52">
        <f t="shared" si="126"/>
        <v>1</v>
      </c>
      <c r="AA250" s="52">
        <f t="shared" si="126"/>
        <v>1</v>
      </c>
      <c r="AB250" s="52">
        <f t="shared" si="126"/>
        <v>1</v>
      </c>
      <c r="AC250" s="52">
        <f t="shared" si="126"/>
        <v>1</v>
      </c>
      <c r="AD250" s="52">
        <f t="shared" si="126"/>
        <v>1</v>
      </c>
      <c r="AE250" s="52">
        <f t="shared" si="126"/>
        <v>1</v>
      </c>
      <c r="AF250" s="52">
        <f t="shared" si="126"/>
        <v>1</v>
      </c>
      <c r="AG250" s="52">
        <f t="shared" si="126"/>
        <v>1</v>
      </c>
      <c r="AH250" s="52">
        <f t="shared" si="126"/>
        <v>1</v>
      </c>
      <c r="AI250" s="52">
        <f t="shared" si="126"/>
        <v>1</v>
      </c>
      <c r="AJ250" s="52">
        <f t="shared" si="126"/>
        <v>1</v>
      </c>
      <c r="AK250" s="52">
        <f t="shared" si="126"/>
        <v>1</v>
      </c>
      <c r="AL250" s="52">
        <f t="shared" si="126"/>
        <v>1</v>
      </c>
      <c r="AM250" s="52">
        <f t="shared" si="126"/>
        <v>1</v>
      </c>
      <c r="AN250" s="52">
        <f t="shared" si="126"/>
        <v>1</v>
      </c>
      <c r="AO250" s="52">
        <f t="shared" si="126"/>
        <v>1</v>
      </c>
      <c r="AP250" s="52">
        <f t="shared" si="126"/>
        <v>1</v>
      </c>
      <c r="AQ250" s="52">
        <f t="shared" si="126"/>
        <v>1</v>
      </c>
      <c r="AR250" s="52">
        <f t="shared" si="126"/>
        <v>1</v>
      </c>
      <c r="AS250" s="52">
        <f t="shared" si="126"/>
        <v>1</v>
      </c>
      <c r="AT250" s="52">
        <f t="shared" si="126"/>
        <v>1</v>
      </c>
      <c r="AU250" s="52">
        <f t="shared" si="126"/>
        <v>1</v>
      </c>
      <c r="AV250" s="52">
        <f t="shared" si="126"/>
        <v>1</v>
      </c>
      <c r="AW250" s="52">
        <f t="shared" si="126"/>
        <v>1</v>
      </c>
      <c r="AX250" s="52">
        <f t="shared" si="126"/>
        <v>1</v>
      </c>
      <c r="AY250" s="52">
        <f t="shared" si="126"/>
        <v>1</v>
      </c>
      <c r="AZ250" s="52">
        <f t="shared" si="126"/>
        <v>1</v>
      </c>
      <c r="BA250" s="52">
        <f t="shared" si="126"/>
        <v>1</v>
      </c>
      <c r="BB250" s="52">
        <f t="shared" si="126"/>
        <v>1</v>
      </c>
      <c r="BC250" s="52">
        <f t="shared" si="126"/>
        <v>1</v>
      </c>
      <c r="BD250" s="52">
        <f t="shared" si="126"/>
        <v>1</v>
      </c>
      <c r="BE250" s="52">
        <f t="shared" si="126"/>
        <v>1</v>
      </c>
      <c r="BF250" s="52">
        <f t="shared" si="126"/>
        <v>1</v>
      </c>
      <c r="BG250" s="52">
        <f t="shared" si="126"/>
        <v>1</v>
      </c>
      <c r="BH250" s="52">
        <f t="shared" si="126"/>
        <v>1</v>
      </c>
      <c r="BI250" s="52">
        <f t="shared" si="126"/>
        <v>1</v>
      </c>
      <c r="BJ250" s="52">
        <f t="shared" si="126"/>
        <v>1</v>
      </c>
      <c r="BK250" s="52">
        <f t="shared" si="126"/>
        <v>1</v>
      </c>
      <c r="BL250" s="52">
        <f t="shared" si="126"/>
        <v>1</v>
      </c>
      <c r="BM250" s="52">
        <f t="shared" si="126"/>
        <v>1</v>
      </c>
      <c r="BN250" s="52">
        <f t="shared" si="126"/>
        <v>1</v>
      </c>
      <c r="BO250" s="32">
        <f t="shared" si="109"/>
        <v>0.7005649717514123</v>
      </c>
    </row>
    <row r="251" spans="1:67" s="27" customFormat="1" ht="18.75" customHeight="1" x14ac:dyDescent="0.25">
      <c r="A251" s="50" t="s">
        <v>510</v>
      </c>
      <c r="B251" s="50" t="s">
        <v>511</v>
      </c>
      <c r="C251" s="50" t="s">
        <v>111</v>
      </c>
      <c r="D251" s="51">
        <f>VLOOKUP(A251,'[1]Cuadro Control'!C288:J2181,8,FALSE)</f>
        <v>94303618.549411759</v>
      </c>
      <c r="E251" s="52">
        <f t="shared" si="125"/>
        <v>1.7763397864110998E-2</v>
      </c>
      <c r="F251" s="53">
        <v>46336</v>
      </c>
      <c r="G251" s="53">
        <v>46338</v>
      </c>
      <c r="H251" s="52">
        <f t="shared" si="126"/>
        <v>0</v>
      </c>
      <c r="I251" s="52">
        <f t="shared" si="126"/>
        <v>0</v>
      </c>
      <c r="J251" s="52">
        <f t="shared" si="126"/>
        <v>0</v>
      </c>
      <c r="K251" s="52">
        <f t="shared" si="126"/>
        <v>0</v>
      </c>
      <c r="L251" s="52">
        <f t="shared" si="126"/>
        <v>0</v>
      </c>
      <c r="M251" s="52">
        <f t="shared" si="126"/>
        <v>0</v>
      </c>
      <c r="N251" s="52">
        <f t="shared" si="126"/>
        <v>0</v>
      </c>
      <c r="O251" s="52">
        <f t="shared" si="126"/>
        <v>0</v>
      </c>
      <c r="P251" s="52">
        <f t="shared" si="126"/>
        <v>0</v>
      </c>
      <c r="Q251" s="52">
        <f t="shared" si="126"/>
        <v>0</v>
      </c>
      <c r="R251" s="52">
        <f t="shared" si="126"/>
        <v>0</v>
      </c>
      <c r="S251" s="52">
        <f t="shared" si="126"/>
        <v>0</v>
      </c>
      <c r="T251" s="52">
        <f t="shared" si="126"/>
        <v>0</v>
      </c>
      <c r="U251" s="52">
        <f t="shared" si="126"/>
        <v>0</v>
      </c>
      <c r="V251" s="52">
        <f t="shared" si="126"/>
        <v>0</v>
      </c>
      <c r="W251" s="52">
        <f t="shared" si="126"/>
        <v>0</v>
      </c>
      <c r="X251" s="52">
        <f t="shared" si="126"/>
        <v>0</v>
      </c>
      <c r="Y251" s="52">
        <f t="shared" si="126"/>
        <v>0</v>
      </c>
      <c r="Z251" s="52">
        <f t="shared" si="126"/>
        <v>1</v>
      </c>
      <c r="AA251" s="52">
        <f t="shared" ref="AA251:BF262" si="127">IF($F251=0,0,IF(AA$6&lt;$F251,0,IF(AA$6&gt;$G251,1,(AA$6-$F251+1)/($G251-$F251+1))))</f>
        <v>1</v>
      </c>
      <c r="AB251" s="52">
        <f t="shared" si="127"/>
        <v>1</v>
      </c>
      <c r="AC251" s="52">
        <f t="shared" si="127"/>
        <v>1</v>
      </c>
      <c r="AD251" s="52">
        <f t="shared" si="127"/>
        <v>1</v>
      </c>
      <c r="AE251" s="52">
        <f t="shared" si="127"/>
        <v>1</v>
      </c>
      <c r="AF251" s="52">
        <f t="shared" si="127"/>
        <v>1</v>
      </c>
      <c r="AG251" s="52">
        <f t="shared" si="127"/>
        <v>1</v>
      </c>
      <c r="AH251" s="52">
        <f t="shared" si="127"/>
        <v>1</v>
      </c>
      <c r="AI251" s="52">
        <f t="shared" si="127"/>
        <v>1</v>
      </c>
      <c r="AJ251" s="52">
        <f t="shared" si="127"/>
        <v>1</v>
      </c>
      <c r="AK251" s="52">
        <f t="shared" si="127"/>
        <v>1</v>
      </c>
      <c r="AL251" s="52">
        <f t="shared" si="127"/>
        <v>1</v>
      </c>
      <c r="AM251" s="52">
        <f t="shared" si="127"/>
        <v>1</v>
      </c>
      <c r="AN251" s="52">
        <f t="shared" si="127"/>
        <v>1</v>
      </c>
      <c r="AO251" s="52">
        <f t="shared" si="127"/>
        <v>1</v>
      </c>
      <c r="AP251" s="52">
        <f t="shared" si="127"/>
        <v>1</v>
      </c>
      <c r="AQ251" s="52">
        <f t="shared" si="127"/>
        <v>1</v>
      </c>
      <c r="AR251" s="52">
        <f t="shared" si="127"/>
        <v>1</v>
      </c>
      <c r="AS251" s="52">
        <f t="shared" si="127"/>
        <v>1</v>
      </c>
      <c r="AT251" s="52">
        <f t="shared" si="127"/>
        <v>1</v>
      </c>
      <c r="AU251" s="52">
        <f t="shared" si="127"/>
        <v>1</v>
      </c>
      <c r="AV251" s="52">
        <f t="shared" si="127"/>
        <v>1</v>
      </c>
      <c r="AW251" s="52">
        <f t="shared" si="127"/>
        <v>1</v>
      </c>
      <c r="AX251" s="52">
        <f t="shared" si="127"/>
        <v>1</v>
      </c>
      <c r="AY251" s="52">
        <f t="shared" si="127"/>
        <v>1</v>
      </c>
      <c r="AZ251" s="52">
        <f t="shared" si="127"/>
        <v>1</v>
      </c>
      <c r="BA251" s="52">
        <f t="shared" si="127"/>
        <v>1</v>
      </c>
      <c r="BB251" s="52">
        <f t="shared" si="127"/>
        <v>1</v>
      </c>
      <c r="BC251" s="52">
        <f t="shared" si="127"/>
        <v>1</v>
      </c>
      <c r="BD251" s="52">
        <f t="shared" si="127"/>
        <v>1</v>
      </c>
      <c r="BE251" s="52">
        <f t="shared" si="127"/>
        <v>1</v>
      </c>
      <c r="BF251" s="52">
        <f t="shared" si="127"/>
        <v>1</v>
      </c>
      <c r="BG251" s="52">
        <f t="shared" ref="BG251:BN262" si="128">IF($F251=0,0,IF(BG$6&lt;$F251,0,IF(BG$6&gt;$G251,1,(BG$6-$F251+1)/($G251-$F251+1))))</f>
        <v>1</v>
      </c>
      <c r="BH251" s="52">
        <f t="shared" si="128"/>
        <v>1</v>
      </c>
      <c r="BI251" s="52">
        <f t="shared" si="128"/>
        <v>1</v>
      </c>
      <c r="BJ251" s="52">
        <f t="shared" si="128"/>
        <v>1</v>
      </c>
      <c r="BK251" s="52">
        <f t="shared" si="128"/>
        <v>1</v>
      </c>
      <c r="BL251" s="52">
        <f t="shared" si="128"/>
        <v>1</v>
      </c>
      <c r="BM251" s="52">
        <f t="shared" si="128"/>
        <v>1</v>
      </c>
      <c r="BN251" s="52">
        <f t="shared" si="128"/>
        <v>1</v>
      </c>
      <c r="BO251" s="32">
        <f t="shared" si="109"/>
        <v>0.69491525423728817</v>
      </c>
    </row>
    <row r="252" spans="1:67" s="27" customFormat="1" ht="18.75" customHeight="1" x14ac:dyDescent="0.25">
      <c r="A252" s="50" t="s">
        <v>512</v>
      </c>
      <c r="B252" s="50" t="s">
        <v>513</v>
      </c>
      <c r="C252" s="50" t="s">
        <v>238</v>
      </c>
      <c r="D252" s="51">
        <f>VLOOKUP(A252,'[1]Cuadro Control'!C289:J2182,8,FALSE)</f>
        <v>179436034.15411764</v>
      </c>
      <c r="E252" s="52">
        <f t="shared" si="125"/>
        <v>3.3799272126209236E-2</v>
      </c>
      <c r="F252" s="53">
        <v>46338</v>
      </c>
      <c r="G252" s="53">
        <v>46344</v>
      </c>
      <c r="H252" s="52">
        <f t="shared" ref="H252:W262" si="129">IF($F252=0,0,IF(H$6&lt;$F252,0,IF(H$6&gt;$G252,1,(H$6-$F252+1)/($G252-$F252+1))))</f>
        <v>0</v>
      </c>
      <c r="I252" s="52">
        <f t="shared" si="129"/>
        <v>0</v>
      </c>
      <c r="J252" s="52">
        <f t="shared" si="129"/>
        <v>0</v>
      </c>
      <c r="K252" s="52">
        <f t="shared" si="129"/>
        <v>0</v>
      </c>
      <c r="L252" s="52">
        <f t="shared" si="129"/>
        <v>0</v>
      </c>
      <c r="M252" s="52">
        <f t="shared" si="129"/>
        <v>0</v>
      </c>
      <c r="N252" s="52">
        <f t="shared" si="129"/>
        <v>0</v>
      </c>
      <c r="O252" s="52">
        <f t="shared" si="129"/>
        <v>0</v>
      </c>
      <c r="P252" s="52">
        <f t="shared" si="129"/>
        <v>0</v>
      </c>
      <c r="Q252" s="52">
        <f t="shared" si="129"/>
        <v>0</v>
      </c>
      <c r="R252" s="52">
        <f t="shared" si="129"/>
        <v>0</v>
      </c>
      <c r="S252" s="52">
        <f t="shared" si="129"/>
        <v>0</v>
      </c>
      <c r="T252" s="52">
        <f t="shared" si="129"/>
        <v>0</v>
      </c>
      <c r="U252" s="52">
        <f t="shared" si="129"/>
        <v>0</v>
      </c>
      <c r="V252" s="52">
        <f t="shared" si="129"/>
        <v>0</v>
      </c>
      <c r="W252" s="52">
        <f t="shared" si="129"/>
        <v>0</v>
      </c>
      <c r="X252" s="52">
        <f t="shared" ref="X252:BC262" si="130">IF($F252=0,0,IF(X$6&lt;$F252,0,IF(X$6&gt;$G252,1,(X$6-$F252+1)/($G252-$F252+1))))</f>
        <v>0</v>
      </c>
      <c r="Y252" s="52">
        <f t="shared" si="130"/>
        <v>0</v>
      </c>
      <c r="Z252" s="52">
        <f t="shared" si="130"/>
        <v>0.2857142857142857</v>
      </c>
      <c r="AA252" s="52">
        <f t="shared" si="130"/>
        <v>1</v>
      </c>
      <c r="AB252" s="52">
        <f t="shared" si="130"/>
        <v>1</v>
      </c>
      <c r="AC252" s="52">
        <f t="shared" si="130"/>
        <v>1</v>
      </c>
      <c r="AD252" s="52">
        <f t="shared" si="130"/>
        <v>1</v>
      </c>
      <c r="AE252" s="52">
        <f t="shared" si="130"/>
        <v>1</v>
      </c>
      <c r="AF252" s="52">
        <f t="shared" si="130"/>
        <v>1</v>
      </c>
      <c r="AG252" s="52">
        <f t="shared" si="130"/>
        <v>1</v>
      </c>
      <c r="AH252" s="52">
        <f t="shared" si="130"/>
        <v>1</v>
      </c>
      <c r="AI252" s="52">
        <f t="shared" si="130"/>
        <v>1</v>
      </c>
      <c r="AJ252" s="52">
        <f t="shared" si="130"/>
        <v>1</v>
      </c>
      <c r="AK252" s="52">
        <f t="shared" si="130"/>
        <v>1</v>
      </c>
      <c r="AL252" s="52">
        <f t="shared" si="130"/>
        <v>1</v>
      </c>
      <c r="AM252" s="52">
        <f t="shared" si="130"/>
        <v>1</v>
      </c>
      <c r="AN252" s="52">
        <f t="shared" si="130"/>
        <v>1</v>
      </c>
      <c r="AO252" s="52">
        <f t="shared" si="127"/>
        <v>1</v>
      </c>
      <c r="AP252" s="52">
        <f t="shared" si="127"/>
        <v>1</v>
      </c>
      <c r="AQ252" s="52">
        <f t="shared" si="127"/>
        <v>1</v>
      </c>
      <c r="AR252" s="52">
        <f t="shared" si="127"/>
        <v>1</v>
      </c>
      <c r="AS252" s="52">
        <f t="shared" si="127"/>
        <v>1</v>
      </c>
      <c r="AT252" s="52">
        <f t="shared" si="127"/>
        <v>1</v>
      </c>
      <c r="AU252" s="52">
        <f t="shared" si="127"/>
        <v>1</v>
      </c>
      <c r="AV252" s="52">
        <f t="shared" si="127"/>
        <v>1</v>
      </c>
      <c r="AW252" s="52">
        <f t="shared" si="127"/>
        <v>1</v>
      </c>
      <c r="AX252" s="52">
        <f t="shared" si="127"/>
        <v>1</v>
      </c>
      <c r="AY252" s="52">
        <f t="shared" si="127"/>
        <v>1</v>
      </c>
      <c r="AZ252" s="52">
        <f t="shared" si="127"/>
        <v>1</v>
      </c>
      <c r="BA252" s="52">
        <f t="shared" si="127"/>
        <v>1</v>
      </c>
      <c r="BB252" s="52">
        <f t="shared" si="127"/>
        <v>1</v>
      </c>
      <c r="BC252" s="52">
        <f t="shared" si="127"/>
        <v>1</v>
      </c>
      <c r="BD252" s="52">
        <f t="shared" si="127"/>
        <v>1</v>
      </c>
      <c r="BE252" s="52">
        <f t="shared" si="127"/>
        <v>1</v>
      </c>
      <c r="BF252" s="52">
        <f t="shared" si="127"/>
        <v>1</v>
      </c>
      <c r="BG252" s="52">
        <f t="shared" si="128"/>
        <v>1</v>
      </c>
      <c r="BH252" s="52">
        <f t="shared" si="128"/>
        <v>1</v>
      </c>
      <c r="BI252" s="52">
        <f t="shared" si="128"/>
        <v>1</v>
      </c>
      <c r="BJ252" s="52">
        <f t="shared" si="128"/>
        <v>1</v>
      </c>
      <c r="BK252" s="52">
        <f t="shared" si="128"/>
        <v>1</v>
      </c>
      <c r="BL252" s="52">
        <f t="shared" si="128"/>
        <v>1</v>
      </c>
      <c r="BM252" s="52">
        <f t="shared" si="128"/>
        <v>1</v>
      </c>
      <c r="BN252" s="52">
        <f t="shared" si="128"/>
        <v>1</v>
      </c>
      <c r="BO252" s="32">
        <f t="shared" si="109"/>
        <v>0.68280871670702181</v>
      </c>
    </row>
    <row r="253" spans="1:67" s="27" customFormat="1" ht="18.75" customHeight="1" x14ac:dyDescent="0.25">
      <c r="A253" s="50" t="s">
        <v>514</v>
      </c>
      <c r="B253" s="50" t="s">
        <v>515</v>
      </c>
      <c r="C253" s="50" t="s">
        <v>58</v>
      </c>
      <c r="D253" s="51">
        <f>VLOOKUP(A253,'[1]Cuadro Control'!C290:J2183,8,FALSE)</f>
        <v>1212623361.2117648</v>
      </c>
      <c r="E253" s="52">
        <f t="shared" si="125"/>
        <v>0.22841447185013161</v>
      </c>
      <c r="F253" s="53">
        <v>46345</v>
      </c>
      <c r="G253" s="53">
        <v>46360</v>
      </c>
      <c r="H253" s="52">
        <f t="shared" si="129"/>
        <v>0</v>
      </c>
      <c r="I253" s="52">
        <f t="shared" si="129"/>
        <v>0</v>
      </c>
      <c r="J253" s="52">
        <f t="shared" si="129"/>
        <v>0</v>
      </c>
      <c r="K253" s="52">
        <f t="shared" si="129"/>
        <v>0</v>
      </c>
      <c r="L253" s="52">
        <f t="shared" si="129"/>
        <v>0</v>
      </c>
      <c r="M253" s="52">
        <f t="shared" si="129"/>
        <v>0</v>
      </c>
      <c r="N253" s="52">
        <f t="shared" si="129"/>
        <v>0</v>
      </c>
      <c r="O253" s="52">
        <f t="shared" si="129"/>
        <v>0</v>
      </c>
      <c r="P253" s="52">
        <f t="shared" si="129"/>
        <v>0</v>
      </c>
      <c r="Q253" s="52">
        <f t="shared" si="129"/>
        <v>0</v>
      </c>
      <c r="R253" s="52">
        <f t="shared" si="129"/>
        <v>0</v>
      </c>
      <c r="S253" s="52">
        <f t="shared" si="129"/>
        <v>0</v>
      </c>
      <c r="T253" s="52">
        <f t="shared" si="129"/>
        <v>0</v>
      </c>
      <c r="U253" s="52">
        <f t="shared" si="129"/>
        <v>0</v>
      </c>
      <c r="V253" s="52">
        <f t="shared" si="129"/>
        <v>0</v>
      </c>
      <c r="W253" s="52">
        <f t="shared" si="129"/>
        <v>0</v>
      </c>
      <c r="X253" s="52">
        <f t="shared" si="130"/>
        <v>0</v>
      </c>
      <c r="Y253" s="52">
        <f t="shared" si="130"/>
        <v>0</v>
      </c>
      <c r="Z253" s="52">
        <f t="shared" si="130"/>
        <v>0</v>
      </c>
      <c r="AA253" s="52">
        <f t="shared" si="130"/>
        <v>0.125</v>
      </c>
      <c r="AB253" s="52">
        <f t="shared" si="130"/>
        <v>0.5625</v>
      </c>
      <c r="AC253" s="52">
        <f t="shared" si="130"/>
        <v>1</v>
      </c>
      <c r="AD253" s="52">
        <f t="shared" si="130"/>
        <v>1</v>
      </c>
      <c r="AE253" s="52">
        <f t="shared" si="130"/>
        <v>1</v>
      </c>
      <c r="AF253" s="52">
        <f t="shared" si="130"/>
        <v>1</v>
      </c>
      <c r="AG253" s="52">
        <f t="shared" si="130"/>
        <v>1</v>
      </c>
      <c r="AH253" s="52">
        <f t="shared" si="130"/>
        <v>1</v>
      </c>
      <c r="AI253" s="52">
        <f t="shared" si="130"/>
        <v>1</v>
      </c>
      <c r="AJ253" s="52">
        <f t="shared" si="130"/>
        <v>1</v>
      </c>
      <c r="AK253" s="52">
        <f t="shared" si="130"/>
        <v>1</v>
      </c>
      <c r="AL253" s="52">
        <f t="shared" si="130"/>
        <v>1</v>
      </c>
      <c r="AM253" s="52">
        <f t="shared" si="130"/>
        <v>1</v>
      </c>
      <c r="AN253" s="52">
        <f t="shared" si="130"/>
        <v>1</v>
      </c>
      <c r="AO253" s="52">
        <f t="shared" si="127"/>
        <v>1</v>
      </c>
      <c r="AP253" s="52">
        <f t="shared" si="127"/>
        <v>1</v>
      </c>
      <c r="AQ253" s="52">
        <f t="shared" si="127"/>
        <v>1</v>
      </c>
      <c r="AR253" s="52">
        <f t="shared" si="127"/>
        <v>1</v>
      </c>
      <c r="AS253" s="52">
        <f t="shared" si="127"/>
        <v>1</v>
      </c>
      <c r="AT253" s="52">
        <f t="shared" si="127"/>
        <v>1</v>
      </c>
      <c r="AU253" s="52">
        <f t="shared" si="127"/>
        <v>1</v>
      </c>
      <c r="AV253" s="52">
        <f t="shared" si="127"/>
        <v>1</v>
      </c>
      <c r="AW253" s="52">
        <f t="shared" si="127"/>
        <v>1</v>
      </c>
      <c r="AX253" s="52">
        <f t="shared" si="127"/>
        <v>1</v>
      </c>
      <c r="AY253" s="52">
        <f t="shared" si="127"/>
        <v>1</v>
      </c>
      <c r="AZ253" s="52">
        <f t="shared" si="127"/>
        <v>1</v>
      </c>
      <c r="BA253" s="52">
        <f t="shared" si="127"/>
        <v>1</v>
      </c>
      <c r="BB253" s="52">
        <f t="shared" si="127"/>
        <v>1</v>
      </c>
      <c r="BC253" s="52">
        <f t="shared" si="127"/>
        <v>1</v>
      </c>
      <c r="BD253" s="52">
        <f t="shared" si="127"/>
        <v>1</v>
      </c>
      <c r="BE253" s="52">
        <f t="shared" si="127"/>
        <v>1</v>
      </c>
      <c r="BF253" s="52">
        <f t="shared" si="127"/>
        <v>1</v>
      </c>
      <c r="BG253" s="52">
        <f t="shared" si="128"/>
        <v>1</v>
      </c>
      <c r="BH253" s="52">
        <f t="shared" si="128"/>
        <v>1</v>
      </c>
      <c r="BI253" s="52">
        <f t="shared" si="128"/>
        <v>1</v>
      </c>
      <c r="BJ253" s="52">
        <f t="shared" si="128"/>
        <v>1</v>
      </c>
      <c r="BK253" s="52">
        <f t="shared" si="128"/>
        <v>1</v>
      </c>
      <c r="BL253" s="52">
        <f t="shared" si="128"/>
        <v>1</v>
      </c>
      <c r="BM253" s="52">
        <f t="shared" si="128"/>
        <v>1</v>
      </c>
      <c r="BN253" s="52">
        <f t="shared" si="128"/>
        <v>1</v>
      </c>
      <c r="BO253" s="32">
        <f t="shared" si="109"/>
        <v>0.65572033898305082</v>
      </c>
    </row>
    <row r="254" spans="1:67" s="27" customFormat="1" ht="18.75" customHeight="1" x14ac:dyDescent="0.25">
      <c r="A254" s="50" t="s">
        <v>516</v>
      </c>
      <c r="B254" s="50" t="s">
        <v>517</v>
      </c>
      <c r="C254" s="50" t="s">
        <v>126</v>
      </c>
      <c r="D254" s="51">
        <f>VLOOKUP(A254,'[1]Cuadro Control'!C291:J2184,8,FALSE)</f>
        <v>0</v>
      </c>
      <c r="E254" s="52">
        <f t="shared" si="125"/>
        <v>0</v>
      </c>
      <c r="F254" s="53">
        <v>46360</v>
      </c>
      <c r="G254" s="53">
        <v>46365</v>
      </c>
      <c r="H254" s="52">
        <f t="shared" si="129"/>
        <v>0</v>
      </c>
      <c r="I254" s="52">
        <f t="shared" si="129"/>
        <v>0</v>
      </c>
      <c r="J254" s="52">
        <f t="shared" si="129"/>
        <v>0</v>
      </c>
      <c r="K254" s="52">
        <f t="shared" si="129"/>
        <v>0</v>
      </c>
      <c r="L254" s="52">
        <f t="shared" si="129"/>
        <v>0</v>
      </c>
      <c r="M254" s="52">
        <f t="shared" si="129"/>
        <v>0</v>
      </c>
      <c r="N254" s="52">
        <f t="shared" si="129"/>
        <v>0</v>
      </c>
      <c r="O254" s="52">
        <f t="shared" si="129"/>
        <v>0</v>
      </c>
      <c r="P254" s="52">
        <f t="shared" si="129"/>
        <v>0</v>
      </c>
      <c r="Q254" s="52">
        <f t="shared" si="129"/>
        <v>0</v>
      </c>
      <c r="R254" s="52">
        <f t="shared" si="129"/>
        <v>0</v>
      </c>
      <c r="S254" s="52">
        <f t="shared" si="129"/>
        <v>0</v>
      </c>
      <c r="T254" s="52">
        <f t="shared" si="129"/>
        <v>0</v>
      </c>
      <c r="U254" s="52">
        <f t="shared" si="129"/>
        <v>0</v>
      </c>
      <c r="V254" s="52">
        <f t="shared" si="129"/>
        <v>0</v>
      </c>
      <c r="W254" s="52">
        <f t="shared" si="129"/>
        <v>0</v>
      </c>
      <c r="X254" s="52">
        <f t="shared" si="130"/>
        <v>0</v>
      </c>
      <c r="Y254" s="52">
        <f t="shared" si="130"/>
        <v>0</v>
      </c>
      <c r="Z254" s="52">
        <f t="shared" si="130"/>
        <v>0</v>
      </c>
      <c r="AA254" s="52">
        <f t="shared" si="130"/>
        <v>0</v>
      </c>
      <c r="AB254" s="52">
        <f t="shared" si="130"/>
        <v>0</v>
      </c>
      <c r="AC254" s="52">
        <f t="shared" si="130"/>
        <v>0.16666666666666666</v>
      </c>
      <c r="AD254" s="52">
        <f t="shared" si="130"/>
        <v>1</v>
      </c>
      <c r="AE254" s="52">
        <f t="shared" si="130"/>
        <v>1</v>
      </c>
      <c r="AF254" s="52">
        <f t="shared" si="130"/>
        <v>1</v>
      </c>
      <c r="AG254" s="52">
        <f t="shared" si="130"/>
        <v>1</v>
      </c>
      <c r="AH254" s="52">
        <f t="shared" si="130"/>
        <v>1</v>
      </c>
      <c r="AI254" s="52">
        <f t="shared" si="130"/>
        <v>1</v>
      </c>
      <c r="AJ254" s="52">
        <f t="shared" si="130"/>
        <v>1</v>
      </c>
      <c r="AK254" s="52">
        <f t="shared" si="130"/>
        <v>1</v>
      </c>
      <c r="AL254" s="52">
        <f t="shared" si="130"/>
        <v>1</v>
      </c>
      <c r="AM254" s="52">
        <f t="shared" si="130"/>
        <v>1</v>
      </c>
      <c r="AN254" s="52">
        <f t="shared" si="130"/>
        <v>1</v>
      </c>
      <c r="AO254" s="52">
        <f t="shared" si="127"/>
        <v>1</v>
      </c>
      <c r="AP254" s="52">
        <f t="shared" si="127"/>
        <v>1</v>
      </c>
      <c r="AQ254" s="52">
        <f t="shared" si="127"/>
        <v>1</v>
      </c>
      <c r="AR254" s="52">
        <f t="shared" si="127"/>
        <v>1</v>
      </c>
      <c r="AS254" s="52">
        <f t="shared" si="127"/>
        <v>1</v>
      </c>
      <c r="AT254" s="52">
        <f t="shared" si="127"/>
        <v>1</v>
      </c>
      <c r="AU254" s="52">
        <f t="shared" si="127"/>
        <v>1</v>
      </c>
      <c r="AV254" s="52">
        <f t="shared" si="127"/>
        <v>1</v>
      </c>
      <c r="AW254" s="52">
        <f t="shared" si="127"/>
        <v>1</v>
      </c>
      <c r="AX254" s="52">
        <f t="shared" si="127"/>
        <v>1</v>
      </c>
      <c r="AY254" s="52">
        <f t="shared" si="127"/>
        <v>1</v>
      </c>
      <c r="AZ254" s="52">
        <f t="shared" si="127"/>
        <v>1</v>
      </c>
      <c r="BA254" s="52">
        <f t="shared" si="127"/>
        <v>1</v>
      </c>
      <c r="BB254" s="52">
        <f t="shared" si="127"/>
        <v>1</v>
      </c>
      <c r="BC254" s="52">
        <f t="shared" si="127"/>
        <v>1</v>
      </c>
      <c r="BD254" s="52">
        <f t="shared" si="127"/>
        <v>1</v>
      </c>
      <c r="BE254" s="52">
        <f t="shared" si="127"/>
        <v>1</v>
      </c>
      <c r="BF254" s="52">
        <f t="shared" si="127"/>
        <v>1</v>
      </c>
      <c r="BG254" s="52">
        <f t="shared" si="128"/>
        <v>1</v>
      </c>
      <c r="BH254" s="52">
        <f t="shared" si="128"/>
        <v>1</v>
      </c>
      <c r="BI254" s="52">
        <f t="shared" si="128"/>
        <v>1</v>
      </c>
      <c r="BJ254" s="52">
        <f t="shared" si="128"/>
        <v>1</v>
      </c>
      <c r="BK254" s="52">
        <f t="shared" si="128"/>
        <v>1</v>
      </c>
      <c r="BL254" s="52">
        <f t="shared" si="128"/>
        <v>1</v>
      </c>
      <c r="BM254" s="52">
        <f t="shared" si="128"/>
        <v>1</v>
      </c>
      <c r="BN254" s="52">
        <f t="shared" si="128"/>
        <v>1</v>
      </c>
      <c r="BO254" s="32">
        <f t="shared" si="109"/>
        <v>0.62994350282485889</v>
      </c>
    </row>
    <row r="255" spans="1:67" s="27" customFormat="1" ht="18.75" customHeight="1" x14ac:dyDescent="0.25">
      <c r="A255" s="55" t="s">
        <v>518</v>
      </c>
      <c r="B255" s="55" t="s">
        <v>519</v>
      </c>
      <c r="C255" s="55" t="s">
        <v>14</v>
      </c>
      <c r="D255" s="56">
        <f>VLOOKUP(A255,'[1]Cuadro Control'!C292:J2185,8,FALSE)</f>
        <v>0</v>
      </c>
      <c r="E255" s="57">
        <f t="shared" si="125"/>
        <v>0</v>
      </c>
      <c r="F255" s="58">
        <v>46360</v>
      </c>
      <c r="G255" s="58">
        <v>46360</v>
      </c>
      <c r="H255" s="57">
        <f t="shared" si="129"/>
        <v>0</v>
      </c>
      <c r="I255" s="57">
        <f t="shared" si="129"/>
        <v>0</v>
      </c>
      <c r="J255" s="57">
        <f t="shared" si="129"/>
        <v>0</v>
      </c>
      <c r="K255" s="57">
        <f t="shared" si="129"/>
        <v>0</v>
      </c>
      <c r="L255" s="57">
        <f t="shared" si="129"/>
        <v>0</v>
      </c>
      <c r="M255" s="57">
        <f t="shared" si="129"/>
        <v>0</v>
      </c>
      <c r="N255" s="57">
        <f t="shared" si="129"/>
        <v>0</v>
      </c>
      <c r="O255" s="57">
        <f t="shared" si="129"/>
        <v>0</v>
      </c>
      <c r="P255" s="57">
        <f t="shared" si="129"/>
        <v>0</v>
      </c>
      <c r="Q255" s="57">
        <f t="shared" si="129"/>
        <v>0</v>
      </c>
      <c r="R255" s="57">
        <f t="shared" si="129"/>
        <v>0</v>
      </c>
      <c r="S255" s="57">
        <f t="shared" si="129"/>
        <v>0</v>
      </c>
      <c r="T255" s="57">
        <f t="shared" si="129"/>
        <v>0</v>
      </c>
      <c r="U255" s="57">
        <f t="shared" si="129"/>
        <v>0</v>
      </c>
      <c r="V255" s="57">
        <f t="shared" si="129"/>
        <v>0</v>
      </c>
      <c r="W255" s="57">
        <f t="shared" si="129"/>
        <v>0</v>
      </c>
      <c r="X255" s="57">
        <f t="shared" si="130"/>
        <v>0</v>
      </c>
      <c r="Y255" s="57">
        <f t="shared" si="130"/>
        <v>0</v>
      </c>
      <c r="Z255" s="57">
        <f t="shared" si="130"/>
        <v>0</v>
      </c>
      <c r="AA255" s="57">
        <f t="shared" si="130"/>
        <v>0</v>
      </c>
      <c r="AB255" s="57">
        <f t="shared" si="130"/>
        <v>0</v>
      </c>
      <c r="AC255" s="57">
        <f t="shared" si="130"/>
        <v>1</v>
      </c>
      <c r="AD255" s="57">
        <f t="shared" si="130"/>
        <v>1</v>
      </c>
      <c r="AE255" s="57">
        <f t="shared" si="130"/>
        <v>1</v>
      </c>
      <c r="AF255" s="57">
        <f t="shared" si="130"/>
        <v>1</v>
      </c>
      <c r="AG255" s="57">
        <f t="shared" si="130"/>
        <v>1</v>
      </c>
      <c r="AH255" s="57">
        <f t="shared" si="130"/>
        <v>1</v>
      </c>
      <c r="AI255" s="57">
        <f t="shared" si="130"/>
        <v>1</v>
      </c>
      <c r="AJ255" s="57">
        <f t="shared" si="130"/>
        <v>1</v>
      </c>
      <c r="AK255" s="57">
        <f t="shared" si="130"/>
        <v>1</v>
      </c>
      <c r="AL255" s="57">
        <f t="shared" si="130"/>
        <v>1</v>
      </c>
      <c r="AM255" s="57">
        <f t="shared" si="130"/>
        <v>1</v>
      </c>
      <c r="AN255" s="57">
        <f t="shared" si="130"/>
        <v>1</v>
      </c>
      <c r="AO255" s="57">
        <f t="shared" si="127"/>
        <v>1</v>
      </c>
      <c r="AP255" s="57">
        <f t="shared" si="127"/>
        <v>1</v>
      </c>
      <c r="AQ255" s="57">
        <f t="shared" si="127"/>
        <v>1</v>
      </c>
      <c r="AR255" s="57">
        <f t="shared" si="127"/>
        <v>1</v>
      </c>
      <c r="AS255" s="57">
        <f t="shared" si="127"/>
        <v>1</v>
      </c>
      <c r="AT255" s="57">
        <f t="shared" si="127"/>
        <v>1</v>
      </c>
      <c r="AU255" s="57">
        <f t="shared" si="127"/>
        <v>1</v>
      </c>
      <c r="AV255" s="57">
        <f t="shared" si="127"/>
        <v>1</v>
      </c>
      <c r="AW255" s="57">
        <f t="shared" si="127"/>
        <v>1</v>
      </c>
      <c r="AX255" s="57">
        <f t="shared" si="127"/>
        <v>1</v>
      </c>
      <c r="AY255" s="57">
        <f t="shared" si="127"/>
        <v>1</v>
      </c>
      <c r="AZ255" s="57">
        <f t="shared" si="127"/>
        <v>1</v>
      </c>
      <c r="BA255" s="57">
        <f t="shared" si="127"/>
        <v>1</v>
      </c>
      <c r="BB255" s="57">
        <f t="shared" si="127"/>
        <v>1</v>
      </c>
      <c r="BC255" s="57">
        <f t="shared" si="127"/>
        <v>1</v>
      </c>
      <c r="BD255" s="57">
        <f t="shared" si="127"/>
        <v>1</v>
      </c>
      <c r="BE255" s="57">
        <f t="shared" si="127"/>
        <v>1</v>
      </c>
      <c r="BF255" s="57">
        <f t="shared" si="127"/>
        <v>1</v>
      </c>
      <c r="BG255" s="57">
        <f t="shared" si="128"/>
        <v>1</v>
      </c>
      <c r="BH255" s="57">
        <f t="shared" si="128"/>
        <v>1</v>
      </c>
      <c r="BI255" s="57">
        <f t="shared" si="128"/>
        <v>1</v>
      </c>
      <c r="BJ255" s="57">
        <f t="shared" si="128"/>
        <v>1</v>
      </c>
      <c r="BK255" s="57">
        <f t="shared" si="128"/>
        <v>1</v>
      </c>
      <c r="BL255" s="57">
        <f t="shared" si="128"/>
        <v>1</v>
      </c>
      <c r="BM255" s="57">
        <f t="shared" si="128"/>
        <v>1</v>
      </c>
      <c r="BN255" s="57">
        <f t="shared" si="128"/>
        <v>1</v>
      </c>
      <c r="BO255" s="32">
        <f t="shared" si="109"/>
        <v>0.64406779661016944</v>
      </c>
    </row>
    <row r="256" spans="1:67" s="27" customFormat="1" ht="18.75" customHeight="1" x14ac:dyDescent="0.25">
      <c r="A256" s="50" t="s">
        <v>520</v>
      </c>
      <c r="B256" s="50" t="s">
        <v>521</v>
      </c>
      <c r="C256" s="50" t="s">
        <v>111</v>
      </c>
      <c r="D256" s="51">
        <f>VLOOKUP(A256,'[1]Cuadro Control'!C293:J2186,8,FALSE)</f>
        <v>1230815225.9452939</v>
      </c>
      <c r="E256" s="52">
        <f t="shared" si="125"/>
        <v>0.2318411625341423</v>
      </c>
      <c r="F256" s="53">
        <v>46365</v>
      </c>
      <c r="G256" s="53">
        <v>46366</v>
      </c>
      <c r="H256" s="52">
        <f t="shared" si="129"/>
        <v>0</v>
      </c>
      <c r="I256" s="52">
        <f t="shared" si="129"/>
        <v>0</v>
      </c>
      <c r="J256" s="52">
        <f t="shared" si="129"/>
        <v>0</v>
      </c>
      <c r="K256" s="52">
        <f t="shared" si="129"/>
        <v>0</v>
      </c>
      <c r="L256" s="52">
        <f t="shared" si="129"/>
        <v>0</v>
      </c>
      <c r="M256" s="52">
        <f t="shared" si="129"/>
        <v>0</v>
      </c>
      <c r="N256" s="52">
        <f t="shared" si="129"/>
        <v>0</v>
      </c>
      <c r="O256" s="52">
        <f t="shared" si="129"/>
        <v>0</v>
      </c>
      <c r="P256" s="52">
        <f t="shared" si="129"/>
        <v>0</v>
      </c>
      <c r="Q256" s="52">
        <f t="shared" si="129"/>
        <v>0</v>
      </c>
      <c r="R256" s="52">
        <f t="shared" si="129"/>
        <v>0</v>
      </c>
      <c r="S256" s="52">
        <f t="shared" si="129"/>
        <v>0</v>
      </c>
      <c r="T256" s="52">
        <f t="shared" si="129"/>
        <v>0</v>
      </c>
      <c r="U256" s="52">
        <f t="shared" si="129"/>
        <v>0</v>
      </c>
      <c r="V256" s="52">
        <f t="shared" si="129"/>
        <v>0</v>
      </c>
      <c r="W256" s="52">
        <f t="shared" si="129"/>
        <v>0</v>
      </c>
      <c r="X256" s="52">
        <f t="shared" si="130"/>
        <v>0</v>
      </c>
      <c r="Y256" s="52">
        <f t="shared" si="130"/>
        <v>0</v>
      </c>
      <c r="Z256" s="52">
        <f t="shared" si="130"/>
        <v>0</v>
      </c>
      <c r="AA256" s="52">
        <f t="shared" si="130"/>
        <v>0</v>
      </c>
      <c r="AB256" s="52">
        <f t="shared" si="130"/>
        <v>0</v>
      </c>
      <c r="AC256" s="52">
        <f t="shared" si="130"/>
        <v>0</v>
      </c>
      <c r="AD256" s="52">
        <f t="shared" si="130"/>
        <v>1</v>
      </c>
      <c r="AE256" s="52">
        <f t="shared" si="130"/>
        <v>1</v>
      </c>
      <c r="AF256" s="52">
        <f t="shared" si="130"/>
        <v>1</v>
      </c>
      <c r="AG256" s="52">
        <f t="shared" si="130"/>
        <v>1</v>
      </c>
      <c r="AH256" s="52">
        <f t="shared" si="130"/>
        <v>1</v>
      </c>
      <c r="AI256" s="52">
        <f t="shared" si="130"/>
        <v>1</v>
      </c>
      <c r="AJ256" s="52">
        <f t="shared" si="130"/>
        <v>1</v>
      </c>
      <c r="AK256" s="52">
        <f t="shared" si="130"/>
        <v>1</v>
      </c>
      <c r="AL256" s="52">
        <f t="shared" si="130"/>
        <v>1</v>
      </c>
      <c r="AM256" s="52">
        <f t="shared" si="130"/>
        <v>1</v>
      </c>
      <c r="AN256" s="52">
        <f t="shared" si="130"/>
        <v>1</v>
      </c>
      <c r="AO256" s="52">
        <f t="shared" si="127"/>
        <v>1</v>
      </c>
      <c r="AP256" s="52">
        <f t="shared" si="127"/>
        <v>1</v>
      </c>
      <c r="AQ256" s="52">
        <f t="shared" si="127"/>
        <v>1</v>
      </c>
      <c r="AR256" s="52">
        <f t="shared" si="127"/>
        <v>1</v>
      </c>
      <c r="AS256" s="52">
        <f t="shared" si="127"/>
        <v>1</v>
      </c>
      <c r="AT256" s="52">
        <f t="shared" si="127"/>
        <v>1</v>
      </c>
      <c r="AU256" s="52">
        <f t="shared" si="127"/>
        <v>1</v>
      </c>
      <c r="AV256" s="52">
        <f t="shared" si="127"/>
        <v>1</v>
      </c>
      <c r="AW256" s="52">
        <f t="shared" si="127"/>
        <v>1</v>
      </c>
      <c r="AX256" s="52">
        <f t="shared" si="127"/>
        <v>1</v>
      </c>
      <c r="AY256" s="52">
        <f t="shared" si="127"/>
        <v>1</v>
      </c>
      <c r="AZ256" s="52">
        <f t="shared" si="127"/>
        <v>1</v>
      </c>
      <c r="BA256" s="52">
        <f t="shared" si="127"/>
        <v>1</v>
      </c>
      <c r="BB256" s="52">
        <f t="shared" si="127"/>
        <v>1</v>
      </c>
      <c r="BC256" s="52">
        <f t="shared" si="127"/>
        <v>1</v>
      </c>
      <c r="BD256" s="52">
        <f t="shared" si="127"/>
        <v>1</v>
      </c>
      <c r="BE256" s="52">
        <f t="shared" si="127"/>
        <v>1</v>
      </c>
      <c r="BF256" s="52">
        <f t="shared" si="127"/>
        <v>1</v>
      </c>
      <c r="BG256" s="52">
        <f t="shared" si="128"/>
        <v>1</v>
      </c>
      <c r="BH256" s="52">
        <f t="shared" si="128"/>
        <v>1</v>
      </c>
      <c r="BI256" s="52">
        <f t="shared" si="128"/>
        <v>1</v>
      </c>
      <c r="BJ256" s="52">
        <f t="shared" si="128"/>
        <v>1</v>
      </c>
      <c r="BK256" s="52">
        <f t="shared" si="128"/>
        <v>1</v>
      </c>
      <c r="BL256" s="52">
        <f t="shared" si="128"/>
        <v>1</v>
      </c>
      <c r="BM256" s="52">
        <f t="shared" si="128"/>
        <v>1</v>
      </c>
      <c r="BN256" s="52">
        <f t="shared" si="128"/>
        <v>1</v>
      </c>
      <c r="BO256" s="32">
        <f t="shared" si="109"/>
        <v>0.6271186440677966</v>
      </c>
    </row>
    <row r="257" spans="1:67" s="27" customFormat="1" ht="18.75" customHeight="1" x14ac:dyDescent="0.25">
      <c r="A257" s="50" t="s">
        <v>522</v>
      </c>
      <c r="B257" s="50" t="s">
        <v>523</v>
      </c>
      <c r="C257" s="50" t="s">
        <v>238</v>
      </c>
      <c r="D257" s="51">
        <f>VLOOKUP(A257,'[1]Cuadro Control'!C294:J2187,8,FALSE)</f>
        <v>0</v>
      </c>
      <c r="E257" s="52">
        <f t="shared" si="125"/>
        <v>0</v>
      </c>
      <c r="F257" s="53">
        <v>46366</v>
      </c>
      <c r="G257" s="53">
        <v>46373</v>
      </c>
      <c r="H257" s="52">
        <f t="shared" si="129"/>
        <v>0</v>
      </c>
      <c r="I257" s="52">
        <f t="shared" si="129"/>
        <v>0</v>
      </c>
      <c r="J257" s="52">
        <f t="shared" si="129"/>
        <v>0</v>
      </c>
      <c r="K257" s="52">
        <f t="shared" si="129"/>
        <v>0</v>
      </c>
      <c r="L257" s="52">
        <f t="shared" si="129"/>
        <v>0</v>
      </c>
      <c r="M257" s="52">
        <f t="shared" si="129"/>
        <v>0</v>
      </c>
      <c r="N257" s="52">
        <f t="shared" si="129"/>
        <v>0</v>
      </c>
      <c r="O257" s="52">
        <f t="shared" si="129"/>
        <v>0</v>
      </c>
      <c r="P257" s="52">
        <f t="shared" si="129"/>
        <v>0</v>
      </c>
      <c r="Q257" s="52">
        <f t="shared" si="129"/>
        <v>0</v>
      </c>
      <c r="R257" s="52">
        <f t="shared" si="129"/>
        <v>0</v>
      </c>
      <c r="S257" s="52">
        <f t="shared" si="129"/>
        <v>0</v>
      </c>
      <c r="T257" s="52">
        <f t="shared" si="129"/>
        <v>0</v>
      </c>
      <c r="U257" s="52">
        <f t="shared" si="129"/>
        <v>0</v>
      </c>
      <c r="V257" s="52">
        <f t="shared" si="129"/>
        <v>0</v>
      </c>
      <c r="W257" s="52">
        <f t="shared" si="129"/>
        <v>0</v>
      </c>
      <c r="X257" s="52">
        <f t="shared" si="130"/>
        <v>0</v>
      </c>
      <c r="Y257" s="52">
        <f t="shared" si="130"/>
        <v>0</v>
      </c>
      <c r="Z257" s="52">
        <f t="shared" si="130"/>
        <v>0</v>
      </c>
      <c r="AA257" s="52">
        <f t="shared" si="130"/>
        <v>0</v>
      </c>
      <c r="AB257" s="52">
        <f t="shared" si="130"/>
        <v>0</v>
      </c>
      <c r="AC257" s="52">
        <f t="shared" si="130"/>
        <v>0</v>
      </c>
      <c r="AD257" s="52">
        <f t="shared" si="130"/>
        <v>0.25</v>
      </c>
      <c r="AE257" s="52">
        <f t="shared" si="130"/>
        <v>1</v>
      </c>
      <c r="AF257" s="52">
        <f t="shared" si="130"/>
        <v>1</v>
      </c>
      <c r="AG257" s="52">
        <f t="shared" si="130"/>
        <v>1</v>
      </c>
      <c r="AH257" s="52">
        <f t="shared" si="130"/>
        <v>1</v>
      </c>
      <c r="AI257" s="52">
        <f t="shared" si="130"/>
        <v>1</v>
      </c>
      <c r="AJ257" s="52">
        <f t="shared" si="130"/>
        <v>1</v>
      </c>
      <c r="AK257" s="52">
        <f t="shared" si="130"/>
        <v>1</v>
      </c>
      <c r="AL257" s="52">
        <f t="shared" si="130"/>
        <v>1</v>
      </c>
      <c r="AM257" s="52">
        <f t="shared" si="130"/>
        <v>1</v>
      </c>
      <c r="AN257" s="52">
        <f t="shared" si="130"/>
        <v>1</v>
      </c>
      <c r="AO257" s="52">
        <f t="shared" si="127"/>
        <v>1</v>
      </c>
      <c r="AP257" s="52">
        <f t="shared" si="127"/>
        <v>1</v>
      </c>
      <c r="AQ257" s="52">
        <f t="shared" si="127"/>
        <v>1</v>
      </c>
      <c r="AR257" s="52">
        <f t="shared" si="127"/>
        <v>1</v>
      </c>
      <c r="AS257" s="52">
        <f t="shared" si="127"/>
        <v>1</v>
      </c>
      <c r="AT257" s="52">
        <f t="shared" si="127"/>
        <v>1</v>
      </c>
      <c r="AU257" s="52">
        <f t="shared" si="127"/>
        <v>1</v>
      </c>
      <c r="AV257" s="52">
        <f t="shared" si="127"/>
        <v>1</v>
      </c>
      <c r="AW257" s="52">
        <f t="shared" si="127"/>
        <v>1</v>
      </c>
      <c r="AX257" s="52">
        <f t="shared" si="127"/>
        <v>1</v>
      </c>
      <c r="AY257" s="52">
        <f t="shared" si="127"/>
        <v>1</v>
      </c>
      <c r="AZ257" s="52">
        <f t="shared" si="127"/>
        <v>1</v>
      </c>
      <c r="BA257" s="52">
        <f t="shared" si="127"/>
        <v>1</v>
      </c>
      <c r="BB257" s="52">
        <f t="shared" si="127"/>
        <v>1</v>
      </c>
      <c r="BC257" s="52">
        <f t="shared" si="127"/>
        <v>1</v>
      </c>
      <c r="BD257" s="52">
        <f t="shared" si="127"/>
        <v>1</v>
      </c>
      <c r="BE257" s="52">
        <f t="shared" si="127"/>
        <v>1</v>
      </c>
      <c r="BF257" s="52">
        <f t="shared" si="127"/>
        <v>1</v>
      </c>
      <c r="BG257" s="52">
        <f t="shared" si="128"/>
        <v>1</v>
      </c>
      <c r="BH257" s="52">
        <f t="shared" si="128"/>
        <v>1</v>
      </c>
      <c r="BI257" s="52">
        <f t="shared" si="128"/>
        <v>1</v>
      </c>
      <c r="BJ257" s="52">
        <f t="shared" si="128"/>
        <v>1</v>
      </c>
      <c r="BK257" s="52">
        <f t="shared" si="128"/>
        <v>1</v>
      </c>
      <c r="BL257" s="52">
        <f t="shared" si="128"/>
        <v>1</v>
      </c>
      <c r="BM257" s="52">
        <f t="shared" si="128"/>
        <v>1</v>
      </c>
      <c r="BN257" s="52">
        <f t="shared" si="128"/>
        <v>1</v>
      </c>
      <c r="BO257" s="32">
        <f t="shared" si="109"/>
        <v>0.61440677966101698</v>
      </c>
    </row>
    <row r="258" spans="1:67" s="27" customFormat="1" ht="18.75" customHeight="1" x14ac:dyDescent="0.25">
      <c r="A258" s="50" t="s">
        <v>524</v>
      </c>
      <c r="B258" s="50" t="s">
        <v>525</v>
      </c>
      <c r="C258" s="50" t="s">
        <v>126</v>
      </c>
      <c r="D258" s="51">
        <f>VLOOKUP(A258,'[1]Cuadro Control'!C295:J2188,8,FALSE)</f>
        <v>52736347.43270281</v>
      </c>
      <c r="E258" s="52">
        <f t="shared" si="125"/>
        <v>9.933624348213644E-3</v>
      </c>
      <c r="F258" s="53">
        <v>46373</v>
      </c>
      <c r="G258" s="53">
        <v>46377</v>
      </c>
      <c r="H258" s="52">
        <f t="shared" si="129"/>
        <v>0</v>
      </c>
      <c r="I258" s="52">
        <f t="shared" si="129"/>
        <v>0</v>
      </c>
      <c r="J258" s="52">
        <f t="shared" si="129"/>
        <v>0</v>
      </c>
      <c r="K258" s="52">
        <f t="shared" si="129"/>
        <v>0</v>
      </c>
      <c r="L258" s="52">
        <f t="shared" si="129"/>
        <v>0</v>
      </c>
      <c r="M258" s="52">
        <f t="shared" si="129"/>
        <v>0</v>
      </c>
      <c r="N258" s="52">
        <f t="shared" si="129"/>
        <v>0</v>
      </c>
      <c r="O258" s="52">
        <f t="shared" si="129"/>
        <v>0</v>
      </c>
      <c r="P258" s="52">
        <f t="shared" si="129"/>
        <v>0</v>
      </c>
      <c r="Q258" s="52">
        <f t="shared" si="129"/>
        <v>0</v>
      </c>
      <c r="R258" s="52">
        <f t="shared" si="129"/>
        <v>0</v>
      </c>
      <c r="S258" s="52">
        <f t="shared" si="129"/>
        <v>0</v>
      </c>
      <c r="T258" s="52">
        <f t="shared" si="129"/>
        <v>0</v>
      </c>
      <c r="U258" s="52">
        <f t="shared" si="129"/>
        <v>0</v>
      </c>
      <c r="V258" s="52">
        <f t="shared" si="129"/>
        <v>0</v>
      </c>
      <c r="W258" s="52">
        <f t="shared" si="129"/>
        <v>0</v>
      </c>
      <c r="X258" s="52">
        <f t="shared" si="130"/>
        <v>0</v>
      </c>
      <c r="Y258" s="52">
        <f t="shared" si="130"/>
        <v>0</v>
      </c>
      <c r="Z258" s="52">
        <f t="shared" si="130"/>
        <v>0</v>
      </c>
      <c r="AA258" s="52">
        <f t="shared" si="130"/>
        <v>0</v>
      </c>
      <c r="AB258" s="52">
        <f t="shared" si="130"/>
        <v>0</v>
      </c>
      <c r="AC258" s="52">
        <f t="shared" si="130"/>
        <v>0</v>
      </c>
      <c r="AD258" s="52">
        <f t="shared" si="130"/>
        <v>0</v>
      </c>
      <c r="AE258" s="52">
        <f t="shared" si="130"/>
        <v>0.4</v>
      </c>
      <c r="AF258" s="52">
        <f t="shared" si="130"/>
        <v>1</v>
      </c>
      <c r="AG258" s="52">
        <f t="shared" si="130"/>
        <v>1</v>
      </c>
      <c r="AH258" s="52">
        <f t="shared" si="130"/>
        <v>1</v>
      </c>
      <c r="AI258" s="52">
        <f t="shared" si="130"/>
        <v>1</v>
      </c>
      <c r="AJ258" s="52">
        <f t="shared" si="130"/>
        <v>1</v>
      </c>
      <c r="AK258" s="52">
        <f t="shared" si="130"/>
        <v>1</v>
      </c>
      <c r="AL258" s="52">
        <f t="shared" si="130"/>
        <v>1</v>
      </c>
      <c r="AM258" s="52">
        <f t="shared" si="130"/>
        <v>1</v>
      </c>
      <c r="AN258" s="52">
        <f t="shared" si="130"/>
        <v>1</v>
      </c>
      <c r="AO258" s="52">
        <f t="shared" si="127"/>
        <v>1</v>
      </c>
      <c r="AP258" s="52">
        <f t="shared" si="127"/>
        <v>1</v>
      </c>
      <c r="AQ258" s="52">
        <f t="shared" si="127"/>
        <v>1</v>
      </c>
      <c r="AR258" s="52">
        <f t="shared" si="127"/>
        <v>1</v>
      </c>
      <c r="AS258" s="52">
        <f t="shared" si="127"/>
        <v>1</v>
      </c>
      <c r="AT258" s="52">
        <f t="shared" si="127"/>
        <v>1</v>
      </c>
      <c r="AU258" s="52">
        <f t="shared" si="127"/>
        <v>1</v>
      </c>
      <c r="AV258" s="52">
        <f t="shared" si="127"/>
        <v>1</v>
      </c>
      <c r="AW258" s="52">
        <f t="shared" si="127"/>
        <v>1</v>
      </c>
      <c r="AX258" s="52">
        <f t="shared" si="127"/>
        <v>1</v>
      </c>
      <c r="AY258" s="52">
        <f t="shared" si="127"/>
        <v>1</v>
      </c>
      <c r="AZ258" s="52">
        <f t="shared" si="127"/>
        <v>1</v>
      </c>
      <c r="BA258" s="52">
        <f t="shared" si="127"/>
        <v>1</v>
      </c>
      <c r="BB258" s="52">
        <f t="shared" si="127"/>
        <v>1</v>
      </c>
      <c r="BC258" s="52">
        <f t="shared" si="127"/>
        <v>1</v>
      </c>
      <c r="BD258" s="52">
        <f t="shared" si="127"/>
        <v>1</v>
      </c>
      <c r="BE258" s="52">
        <f t="shared" si="127"/>
        <v>1</v>
      </c>
      <c r="BF258" s="52">
        <f t="shared" si="127"/>
        <v>1</v>
      </c>
      <c r="BG258" s="52">
        <f t="shared" si="128"/>
        <v>1</v>
      </c>
      <c r="BH258" s="52">
        <f t="shared" si="128"/>
        <v>1</v>
      </c>
      <c r="BI258" s="52">
        <f t="shared" si="128"/>
        <v>1</v>
      </c>
      <c r="BJ258" s="52">
        <f t="shared" si="128"/>
        <v>1</v>
      </c>
      <c r="BK258" s="52">
        <f t="shared" si="128"/>
        <v>1</v>
      </c>
      <c r="BL258" s="52">
        <f t="shared" si="128"/>
        <v>1</v>
      </c>
      <c r="BM258" s="52">
        <f t="shared" si="128"/>
        <v>1</v>
      </c>
      <c r="BN258" s="52">
        <f t="shared" si="128"/>
        <v>1</v>
      </c>
      <c r="BO258" s="32">
        <f t="shared" si="109"/>
        <v>0.6</v>
      </c>
    </row>
    <row r="259" spans="1:67" s="27" customFormat="1" ht="18.75" customHeight="1" x14ac:dyDescent="0.25">
      <c r="A259" s="50" t="s">
        <v>526</v>
      </c>
      <c r="B259" s="50" t="s">
        <v>527</v>
      </c>
      <c r="C259" s="50" t="s">
        <v>117</v>
      </c>
      <c r="D259" s="51">
        <f>VLOOKUP(A259,'[1]Cuadro Control'!C296:J2189,8,FALSE)</f>
        <v>46410609.014634147</v>
      </c>
      <c r="E259" s="52">
        <f t="shared" si="125"/>
        <v>8.742083556535862E-3</v>
      </c>
      <c r="F259" s="53">
        <v>46377</v>
      </c>
      <c r="G259" s="53">
        <v>46379</v>
      </c>
      <c r="H259" s="52">
        <f t="shared" si="129"/>
        <v>0</v>
      </c>
      <c r="I259" s="52">
        <f t="shared" si="129"/>
        <v>0</v>
      </c>
      <c r="J259" s="52">
        <f t="shared" si="129"/>
        <v>0</v>
      </c>
      <c r="K259" s="52">
        <f t="shared" si="129"/>
        <v>0</v>
      </c>
      <c r="L259" s="52">
        <f t="shared" si="129"/>
        <v>0</v>
      </c>
      <c r="M259" s="52">
        <f t="shared" si="129"/>
        <v>0</v>
      </c>
      <c r="N259" s="52">
        <f t="shared" si="129"/>
        <v>0</v>
      </c>
      <c r="O259" s="52">
        <f t="shared" si="129"/>
        <v>0</v>
      </c>
      <c r="P259" s="52">
        <f t="shared" si="129"/>
        <v>0</v>
      </c>
      <c r="Q259" s="52">
        <f t="shared" si="129"/>
        <v>0</v>
      </c>
      <c r="R259" s="52">
        <f t="shared" si="129"/>
        <v>0</v>
      </c>
      <c r="S259" s="52">
        <f t="shared" si="129"/>
        <v>0</v>
      </c>
      <c r="T259" s="52">
        <f t="shared" si="129"/>
        <v>0</v>
      </c>
      <c r="U259" s="52">
        <f t="shared" si="129"/>
        <v>0</v>
      </c>
      <c r="V259" s="52">
        <f t="shared" si="129"/>
        <v>0</v>
      </c>
      <c r="W259" s="52">
        <f t="shared" si="129"/>
        <v>0</v>
      </c>
      <c r="X259" s="52">
        <f t="shared" si="130"/>
        <v>0</v>
      </c>
      <c r="Y259" s="52">
        <f t="shared" si="130"/>
        <v>0</v>
      </c>
      <c r="Z259" s="52">
        <f t="shared" si="130"/>
        <v>0</v>
      </c>
      <c r="AA259" s="52">
        <f t="shared" si="130"/>
        <v>0</v>
      </c>
      <c r="AB259" s="52">
        <f t="shared" si="130"/>
        <v>0</v>
      </c>
      <c r="AC259" s="52">
        <f t="shared" si="130"/>
        <v>0</v>
      </c>
      <c r="AD259" s="52">
        <f t="shared" si="130"/>
        <v>0</v>
      </c>
      <c r="AE259" s="52">
        <f t="shared" si="130"/>
        <v>0</v>
      </c>
      <c r="AF259" s="52">
        <f t="shared" si="130"/>
        <v>1</v>
      </c>
      <c r="AG259" s="52">
        <f t="shared" si="130"/>
        <v>1</v>
      </c>
      <c r="AH259" s="52">
        <f t="shared" si="130"/>
        <v>1</v>
      </c>
      <c r="AI259" s="52">
        <f t="shared" si="130"/>
        <v>1</v>
      </c>
      <c r="AJ259" s="52">
        <f t="shared" si="130"/>
        <v>1</v>
      </c>
      <c r="AK259" s="52">
        <f t="shared" si="130"/>
        <v>1</v>
      </c>
      <c r="AL259" s="52">
        <f t="shared" si="130"/>
        <v>1</v>
      </c>
      <c r="AM259" s="52">
        <f t="shared" si="130"/>
        <v>1</v>
      </c>
      <c r="AN259" s="52">
        <f t="shared" si="130"/>
        <v>1</v>
      </c>
      <c r="AO259" s="52">
        <f t="shared" si="127"/>
        <v>1</v>
      </c>
      <c r="AP259" s="52">
        <f t="shared" si="127"/>
        <v>1</v>
      </c>
      <c r="AQ259" s="52">
        <f t="shared" si="127"/>
        <v>1</v>
      </c>
      <c r="AR259" s="52">
        <f t="shared" si="127"/>
        <v>1</v>
      </c>
      <c r="AS259" s="52">
        <f t="shared" si="127"/>
        <v>1</v>
      </c>
      <c r="AT259" s="52">
        <f t="shared" si="127"/>
        <v>1</v>
      </c>
      <c r="AU259" s="52">
        <f t="shared" si="127"/>
        <v>1</v>
      </c>
      <c r="AV259" s="52">
        <f t="shared" si="127"/>
        <v>1</v>
      </c>
      <c r="AW259" s="52">
        <f t="shared" si="127"/>
        <v>1</v>
      </c>
      <c r="AX259" s="52">
        <f t="shared" si="127"/>
        <v>1</v>
      </c>
      <c r="AY259" s="52">
        <f t="shared" si="127"/>
        <v>1</v>
      </c>
      <c r="AZ259" s="52">
        <f t="shared" si="127"/>
        <v>1</v>
      </c>
      <c r="BA259" s="52">
        <f t="shared" si="127"/>
        <v>1</v>
      </c>
      <c r="BB259" s="52">
        <f t="shared" si="127"/>
        <v>1</v>
      </c>
      <c r="BC259" s="52">
        <f t="shared" si="127"/>
        <v>1</v>
      </c>
      <c r="BD259" s="52">
        <f t="shared" si="127"/>
        <v>1</v>
      </c>
      <c r="BE259" s="52">
        <f t="shared" si="127"/>
        <v>1</v>
      </c>
      <c r="BF259" s="52">
        <f t="shared" si="127"/>
        <v>1</v>
      </c>
      <c r="BG259" s="52">
        <f t="shared" si="128"/>
        <v>1</v>
      </c>
      <c r="BH259" s="52">
        <f t="shared" si="128"/>
        <v>1</v>
      </c>
      <c r="BI259" s="52">
        <f t="shared" si="128"/>
        <v>1</v>
      </c>
      <c r="BJ259" s="52">
        <f t="shared" si="128"/>
        <v>1</v>
      </c>
      <c r="BK259" s="52">
        <f t="shared" si="128"/>
        <v>1</v>
      </c>
      <c r="BL259" s="52">
        <f t="shared" si="128"/>
        <v>1</v>
      </c>
      <c r="BM259" s="52">
        <f t="shared" si="128"/>
        <v>1</v>
      </c>
      <c r="BN259" s="52">
        <f t="shared" si="128"/>
        <v>1</v>
      </c>
      <c r="BO259" s="32">
        <f t="shared" si="109"/>
        <v>0.59322033898305082</v>
      </c>
    </row>
    <row r="260" spans="1:67" s="27" customFormat="1" ht="18.75" customHeight="1" x14ac:dyDescent="0.25">
      <c r="A260" s="50" t="s">
        <v>528</v>
      </c>
      <c r="B260" s="50" t="s">
        <v>529</v>
      </c>
      <c r="C260" s="50" t="s">
        <v>61</v>
      </c>
      <c r="D260" s="51">
        <f>VLOOKUP(A260,'[1]Cuadro Control'!C297:J2190,8,FALSE)</f>
        <v>1587346329.5488234</v>
      </c>
      <c r="E260" s="52">
        <f t="shared" si="125"/>
        <v>0.29899875353285565</v>
      </c>
      <c r="F260" s="53">
        <v>46377</v>
      </c>
      <c r="G260" s="53">
        <v>46389</v>
      </c>
      <c r="H260" s="52">
        <f t="shared" si="129"/>
        <v>0</v>
      </c>
      <c r="I260" s="52">
        <f t="shared" si="129"/>
        <v>0</v>
      </c>
      <c r="J260" s="52">
        <f t="shared" si="129"/>
        <v>0</v>
      </c>
      <c r="K260" s="52">
        <f t="shared" si="129"/>
        <v>0</v>
      </c>
      <c r="L260" s="52">
        <f t="shared" si="129"/>
        <v>0</v>
      </c>
      <c r="M260" s="52">
        <f t="shared" si="129"/>
        <v>0</v>
      </c>
      <c r="N260" s="52">
        <f t="shared" si="129"/>
        <v>0</v>
      </c>
      <c r="O260" s="52">
        <f t="shared" si="129"/>
        <v>0</v>
      </c>
      <c r="P260" s="52">
        <f t="shared" si="129"/>
        <v>0</v>
      </c>
      <c r="Q260" s="52">
        <f t="shared" si="129"/>
        <v>0</v>
      </c>
      <c r="R260" s="52">
        <f t="shared" si="129"/>
        <v>0</v>
      </c>
      <c r="S260" s="52">
        <f t="shared" si="129"/>
        <v>0</v>
      </c>
      <c r="T260" s="52">
        <f t="shared" si="129"/>
        <v>0</v>
      </c>
      <c r="U260" s="52">
        <f t="shared" si="129"/>
        <v>0</v>
      </c>
      <c r="V260" s="52">
        <f t="shared" si="129"/>
        <v>0</v>
      </c>
      <c r="W260" s="52">
        <f t="shared" si="129"/>
        <v>0</v>
      </c>
      <c r="X260" s="52">
        <f t="shared" si="130"/>
        <v>0</v>
      </c>
      <c r="Y260" s="52">
        <f t="shared" si="130"/>
        <v>0</v>
      </c>
      <c r="Z260" s="52">
        <f t="shared" si="130"/>
        <v>0</v>
      </c>
      <c r="AA260" s="52">
        <f t="shared" si="130"/>
        <v>0</v>
      </c>
      <c r="AB260" s="52">
        <f t="shared" si="130"/>
        <v>0</v>
      </c>
      <c r="AC260" s="52">
        <f t="shared" si="130"/>
        <v>0</v>
      </c>
      <c r="AD260" s="52">
        <f t="shared" si="130"/>
        <v>0</v>
      </c>
      <c r="AE260" s="52">
        <f t="shared" si="130"/>
        <v>0</v>
      </c>
      <c r="AF260" s="52">
        <f t="shared" si="130"/>
        <v>0.38461538461538464</v>
      </c>
      <c r="AG260" s="52">
        <f t="shared" si="130"/>
        <v>0.92307692307692313</v>
      </c>
      <c r="AH260" s="52">
        <f t="shared" si="130"/>
        <v>1</v>
      </c>
      <c r="AI260" s="52">
        <f t="shared" si="130"/>
        <v>1</v>
      </c>
      <c r="AJ260" s="52">
        <f t="shared" si="130"/>
        <v>1</v>
      </c>
      <c r="AK260" s="52">
        <f t="shared" si="130"/>
        <v>1</v>
      </c>
      <c r="AL260" s="52">
        <f t="shared" si="130"/>
        <v>1</v>
      </c>
      <c r="AM260" s="52">
        <f t="shared" si="130"/>
        <v>1</v>
      </c>
      <c r="AN260" s="52">
        <f t="shared" si="130"/>
        <v>1</v>
      </c>
      <c r="AO260" s="52">
        <f t="shared" si="127"/>
        <v>1</v>
      </c>
      <c r="AP260" s="52">
        <f t="shared" si="127"/>
        <v>1</v>
      </c>
      <c r="AQ260" s="52">
        <f t="shared" si="127"/>
        <v>1</v>
      </c>
      <c r="AR260" s="52">
        <f t="shared" si="127"/>
        <v>1</v>
      </c>
      <c r="AS260" s="52">
        <f t="shared" si="127"/>
        <v>1</v>
      </c>
      <c r="AT260" s="52">
        <f t="shared" si="127"/>
        <v>1</v>
      </c>
      <c r="AU260" s="52">
        <f t="shared" si="127"/>
        <v>1</v>
      </c>
      <c r="AV260" s="52">
        <f t="shared" si="127"/>
        <v>1</v>
      </c>
      <c r="AW260" s="52">
        <f t="shared" si="127"/>
        <v>1</v>
      </c>
      <c r="AX260" s="52">
        <f t="shared" si="127"/>
        <v>1</v>
      </c>
      <c r="AY260" s="52">
        <f t="shared" si="127"/>
        <v>1</v>
      </c>
      <c r="AZ260" s="52">
        <f t="shared" si="127"/>
        <v>1</v>
      </c>
      <c r="BA260" s="52">
        <f t="shared" si="127"/>
        <v>1</v>
      </c>
      <c r="BB260" s="52">
        <f t="shared" si="127"/>
        <v>1</v>
      </c>
      <c r="BC260" s="52">
        <f t="shared" si="127"/>
        <v>1</v>
      </c>
      <c r="BD260" s="52">
        <f t="shared" si="127"/>
        <v>1</v>
      </c>
      <c r="BE260" s="52">
        <f t="shared" si="127"/>
        <v>1</v>
      </c>
      <c r="BF260" s="52">
        <f t="shared" si="127"/>
        <v>1</v>
      </c>
      <c r="BG260" s="52">
        <f t="shared" si="128"/>
        <v>1</v>
      </c>
      <c r="BH260" s="52">
        <f t="shared" si="128"/>
        <v>1</v>
      </c>
      <c r="BI260" s="52">
        <f t="shared" si="128"/>
        <v>1</v>
      </c>
      <c r="BJ260" s="52">
        <f t="shared" si="128"/>
        <v>1</v>
      </c>
      <c r="BK260" s="52">
        <f t="shared" si="128"/>
        <v>1</v>
      </c>
      <c r="BL260" s="52">
        <f t="shared" si="128"/>
        <v>1</v>
      </c>
      <c r="BM260" s="52">
        <f t="shared" si="128"/>
        <v>1</v>
      </c>
      <c r="BN260" s="52">
        <f t="shared" si="128"/>
        <v>1</v>
      </c>
      <c r="BO260" s="32">
        <f t="shared" si="109"/>
        <v>0.58148631029986964</v>
      </c>
    </row>
    <row r="261" spans="1:67" s="27" customFormat="1" ht="18.75" customHeight="1" x14ac:dyDescent="0.25">
      <c r="A261" s="46" t="s">
        <v>530</v>
      </c>
      <c r="B261" s="46" t="s">
        <v>531</v>
      </c>
      <c r="C261" s="46" t="s">
        <v>61</v>
      </c>
      <c r="D261" s="47">
        <f>VLOOKUP(A261,'[1]Cuadro Control'!C298:J2191,8,FALSE)</f>
        <v>179532477.23999998</v>
      </c>
      <c r="E261" s="48">
        <f t="shared" si="125"/>
        <v>3.3817438522495219E-2</v>
      </c>
      <c r="F261" s="49">
        <v>46379</v>
      </c>
      <c r="G261" s="49">
        <v>46393</v>
      </c>
      <c r="H261" s="48">
        <f t="shared" si="129"/>
        <v>0</v>
      </c>
      <c r="I261" s="48">
        <f t="shared" si="129"/>
        <v>0</v>
      </c>
      <c r="J261" s="48">
        <f t="shared" si="129"/>
        <v>0</v>
      </c>
      <c r="K261" s="48">
        <f t="shared" si="129"/>
        <v>0</v>
      </c>
      <c r="L261" s="48">
        <f t="shared" si="129"/>
        <v>0</v>
      </c>
      <c r="M261" s="48">
        <f t="shared" si="129"/>
        <v>0</v>
      </c>
      <c r="N261" s="48">
        <f t="shared" si="129"/>
        <v>0</v>
      </c>
      <c r="O261" s="48">
        <f t="shared" si="129"/>
        <v>0</v>
      </c>
      <c r="P261" s="48">
        <f t="shared" si="129"/>
        <v>0</v>
      </c>
      <c r="Q261" s="48">
        <f t="shared" si="129"/>
        <v>0</v>
      </c>
      <c r="R261" s="48">
        <f t="shared" si="129"/>
        <v>0</v>
      </c>
      <c r="S261" s="48">
        <f t="shared" si="129"/>
        <v>0</v>
      </c>
      <c r="T261" s="48">
        <f t="shared" si="129"/>
        <v>0</v>
      </c>
      <c r="U261" s="48">
        <f t="shared" si="129"/>
        <v>0</v>
      </c>
      <c r="V261" s="48">
        <f t="shared" si="129"/>
        <v>0</v>
      </c>
      <c r="W261" s="48">
        <f t="shared" si="129"/>
        <v>0</v>
      </c>
      <c r="X261" s="48">
        <f t="shared" si="130"/>
        <v>0</v>
      </c>
      <c r="Y261" s="48">
        <f t="shared" si="130"/>
        <v>0</v>
      </c>
      <c r="Z261" s="48">
        <f t="shared" si="130"/>
        <v>0</v>
      </c>
      <c r="AA261" s="48">
        <f t="shared" si="130"/>
        <v>0</v>
      </c>
      <c r="AB261" s="48">
        <f t="shared" si="130"/>
        <v>0</v>
      </c>
      <c r="AC261" s="48">
        <f t="shared" si="130"/>
        <v>0</v>
      </c>
      <c r="AD261" s="48">
        <f t="shared" si="130"/>
        <v>0</v>
      </c>
      <c r="AE261" s="48">
        <f t="shared" si="130"/>
        <v>0</v>
      </c>
      <c r="AF261" s="48">
        <f t="shared" si="130"/>
        <v>0.2</v>
      </c>
      <c r="AG261" s="48">
        <f t="shared" si="130"/>
        <v>0.66666666666666663</v>
      </c>
      <c r="AH261" s="48">
        <f t="shared" si="130"/>
        <v>1</v>
      </c>
      <c r="AI261" s="48">
        <f t="shared" si="130"/>
        <v>1</v>
      </c>
      <c r="AJ261" s="48">
        <f t="shared" si="130"/>
        <v>1</v>
      </c>
      <c r="AK261" s="48">
        <f t="shared" si="130"/>
        <v>1</v>
      </c>
      <c r="AL261" s="48">
        <f t="shared" si="130"/>
        <v>1</v>
      </c>
      <c r="AM261" s="48">
        <f t="shared" si="130"/>
        <v>1</v>
      </c>
      <c r="AN261" s="48">
        <f t="shared" si="130"/>
        <v>1</v>
      </c>
      <c r="AO261" s="48">
        <f t="shared" si="127"/>
        <v>1</v>
      </c>
      <c r="AP261" s="48">
        <f t="shared" si="127"/>
        <v>1</v>
      </c>
      <c r="AQ261" s="48">
        <f t="shared" si="127"/>
        <v>1</v>
      </c>
      <c r="AR261" s="48">
        <f t="shared" si="127"/>
        <v>1</v>
      </c>
      <c r="AS261" s="48">
        <f t="shared" si="127"/>
        <v>1</v>
      </c>
      <c r="AT261" s="48">
        <f t="shared" si="127"/>
        <v>1</v>
      </c>
      <c r="AU261" s="48">
        <f t="shared" si="127"/>
        <v>1</v>
      </c>
      <c r="AV261" s="48">
        <f t="shared" si="127"/>
        <v>1</v>
      </c>
      <c r="AW261" s="48">
        <f t="shared" si="127"/>
        <v>1</v>
      </c>
      <c r="AX261" s="48">
        <f t="shared" si="127"/>
        <v>1</v>
      </c>
      <c r="AY261" s="48">
        <f t="shared" si="127"/>
        <v>1</v>
      </c>
      <c r="AZ261" s="48">
        <f t="shared" si="127"/>
        <v>1</v>
      </c>
      <c r="BA261" s="48">
        <f t="shared" si="127"/>
        <v>1</v>
      </c>
      <c r="BB261" s="48">
        <f t="shared" si="127"/>
        <v>1</v>
      </c>
      <c r="BC261" s="48">
        <f t="shared" si="127"/>
        <v>1</v>
      </c>
      <c r="BD261" s="48">
        <f t="shared" si="127"/>
        <v>1</v>
      </c>
      <c r="BE261" s="48">
        <f t="shared" si="127"/>
        <v>1</v>
      </c>
      <c r="BF261" s="48">
        <f t="shared" si="127"/>
        <v>1</v>
      </c>
      <c r="BG261" s="48">
        <f t="shared" si="128"/>
        <v>1</v>
      </c>
      <c r="BH261" s="48">
        <f t="shared" si="128"/>
        <v>1</v>
      </c>
      <c r="BI261" s="48">
        <f t="shared" si="128"/>
        <v>1</v>
      </c>
      <c r="BJ261" s="48">
        <f t="shared" si="128"/>
        <v>1</v>
      </c>
      <c r="BK261" s="48">
        <f t="shared" si="128"/>
        <v>1</v>
      </c>
      <c r="BL261" s="48">
        <f t="shared" si="128"/>
        <v>1</v>
      </c>
      <c r="BM261" s="48">
        <f t="shared" si="128"/>
        <v>1</v>
      </c>
      <c r="BN261" s="48">
        <f t="shared" si="128"/>
        <v>1</v>
      </c>
      <c r="BO261" s="32">
        <f t="shared" si="109"/>
        <v>0.57401129943502827</v>
      </c>
    </row>
    <row r="262" spans="1:67" s="27" customFormat="1" ht="18.75" customHeight="1" x14ac:dyDescent="0.25">
      <c r="A262" s="55" t="s">
        <v>532</v>
      </c>
      <c r="B262" s="55" t="s">
        <v>533</v>
      </c>
      <c r="C262" s="55" t="s">
        <v>14</v>
      </c>
      <c r="D262" s="56">
        <f>VLOOKUP(A262,'[1]Cuadro Control'!C299:J2192,8,FALSE)</f>
        <v>0</v>
      </c>
      <c r="E262" s="57">
        <f>IFERROR(D262/$D$246,0)</f>
        <v>0</v>
      </c>
      <c r="F262" s="58">
        <v>46393</v>
      </c>
      <c r="G262" s="58">
        <v>46393</v>
      </c>
      <c r="H262" s="57">
        <f t="shared" si="129"/>
        <v>0</v>
      </c>
      <c r="I262" s="57">
        <f t="shared" si="129"/>
        <v>0</v>
      </c>
      <c r="J262" s="57">
        <f t="shared" si="129"/>
        <v>0</v>
      </c>
      <c r="K262" s="57">
        <f t="shared" si="129"/>
        <v>0</v>
      </c>
      <c r="L262" s="57">
        <f t="shared" si="129"/>
        <v>0</v>
      </c>
      <c r="M262" s="57">
        <f t="shared" si="129"/>
        <v>0</v>
      </c>
      <c r="N262" s="57">
        <f t="shared" si="129"/>
        <v>0</v>
      </c>
      <c r="O262" s="57">
        <f t="shared" si="129"/>
        <v>0</v>
      </c>
      <c r="P262" s="57">
        <f t="shared" si="129"/>
        <v>0</v>
      </c>
      <c r="Q262" s="57">
        <f t="shared" si="129"/>
        <v>0</v>
      </c>
      <c r="R262" s="57">
        <f t="shared" si="129"/>
        <v>0</v>
      </c>
      <c r="S262" s="57">
        <f t="shared" si="129"/>
        <v>0</v>
      </c>
      <c r="T262" s="57">
        <f t="shared" si="129"/>
        <v>0</v>
      </c>
      <c r="U262" s="57">
        <f t="shared" si="129"/>
        <v>0</v>
      </c>
      <c r="V262" s="57">
        <f t="shared" si="129"/>
        <v>0</v>
      </c>
      <c r="W262" s="57">
        <f t="shared" si="129"/>
        <v>0</v>
      </c>
      <c r="X262" s="57">
        <f t="shared" si="130"/>
        <v>0</v>
      </c>
      <c r="Y262" s="57">
        <f t="shared" si="130"/>
        <v>0</v>
      </c>
      <c r="Z262" s="57">
        <f t="shared" si="130"/>
        <v>0</v>
      </c>
      <c r="AA262" s="57">
        <f t="shared" si="130"/>
        <v>0</v>
      </c>
      <c r="AB262" s="57">
        <f t="shared" si="130"/>
        <v>0</v>
      </c>
      <c r="AC262" s="57">
        <f t="shared" si="130"/>
        <v>0</v>
      </c>
      <c r="AD262" s="57">
        <f t="shared" si="130"/>
        <v>0</v>
      </c>
      <c r="AE262" s="57">
        <f t="shared" si="130"/>
        <v>0</v>
      </c>
      <c r="AF262" s="57">
        <f t="shared" si="130"/>
        <v>0</v>
      </c>
      <c r="AG262" s="57">
        <f t="shared" si="130"/>
        <v>0</v>
      </c>
      <c r="AH262" s="57">
        <f t="shared" si="130"/>
        <v>1</v>
      </c>
      <c r="AI262" s="57">
        <f t="shared" si="130"/>
        <v>1</v>
      </c>
      <c r="AJ262" s="57">
        <f t="shared" si="130"/>
        <v>1</v>
      </c>
      <c r="AK262" s="57">
        <f t="shared" si="130"/>
        <v>1</v>
      </c>
      <c r="AL262" s="57">
        <f t="shared" si="130"/>
        <v>1</v>
      </c>
      <c r="AM262" s="57">
        <f t="shared" si="130"/>
        <v>1</v>
      </c>
      <c r="AN262" s="57">
        <f t="shared" si="130"/>
        <v>1</v>
      </c>
      <c r="AO262" s="57">
        <f t="shared" si="130"/>
        <v>1</v>
      </c>
      <c r="AP262" s="57">
        <f t="shared" si="130"/>
        <v>1</v>
      </c>
      <c r="AQ262" s="57">
        <f t="shared" si="130"/>
        <v>1</v>
      </c>
      <c r="AR262" s="57">
        <f t="shared" si="130"/>
        <v>1</v>
      </c>
      <c r="AS262" s="57">
        <f t="shared" si="130"/>
        <v>1</v>
      </c>
      <c r="AT262" s="57">
        <f t="shared" si="130"/>
        <v>1</v>
      </c>
      <c r="AU262" s="57">
        <f t="shared" si="130"/>
        <v>1</v>
      </c>
      <c r="AV262" s="57">
        <f t="shared" si="130"/>
        <v>1</v>
      </c>
      <c r="AW262" s="57">
        <f t="shared" si="130"/>
        <v>1</v>
      </c>
      <c r="AX262" s="57">
        <f t="shared" si="130"/>
        <v>1</v>
      </c>
      <c r="AY262" s="57">
        <f t="shared" si="130"/>
        <v>1</v>
      </c>
      <c r="AZ262" s="57">
        <f t="shared" si="130"/>
        <v>1</v>
      </c>
      <c r="BA262" s="57">
        <f t="shared" si="130"/>
        <v>1</v>
      </c>
      <c r="BB262" s="57">
        <f t="shared" si="130"/>
        <v>1</v>
      </c>
      <c r="BC262" s="57">
        <f t="shared" si="130"/>
        <v>1</v>
      </c>
      <c r="BD262" s="57">
        <f t="shared" si="127"/>
        <v>1</v>
      </c>
      <c r="BE262" s="57">
        <f t="shared" si="127"/>
        <v>1</v>
      </c>
      <c r="BF262" s="57">
        <f t="shared" si="127"/>
        <v>1</v>
      </c>
      <c r="BG262" s="57">
        <f t="shared" si="128"/>
        <v>1</v>
      </c>
      <c r="BH262" s="57">
        <f t="shared" si="128"/>
        <v>1</v>
      </c>
      <c r="BI262" s="57">
        <f t="shared" si="128"/>
        <v>1</v>
      </c>
      <c r="BJ262" s="57">
        <f t="shared" si="128"/>
        <v>1</v>
      </c>
      <c r="BK262" s="57">
        <f t="shared" si="128"/>
        <v>1</v>
      </c>
      <c r="BL262" s="57">
        <f t="shared" si="128"/>
        <v>1</v>
      </c>
      <c r="BM262" s="57">
        <f t="shared" si="128"/>
        <v>1</v>
      </c>
      <c r="BN262" s="57">
        <f t="shared" si="128"/>
        <v>1</v>
      </c>
      <c r="BO262" s="32">
        <f t="shared" si="109"/>
        <v>0.55932203389830504</v>
      </c>
    </row>
    <row r="263" spans="1:67" s="27" customFormat="1" ht="18.75" customHeight="1" x14ac:dyDescent="0.25">
      <c r="A263" s="59" t="s">
        <v>534</v>
      </c>
      <c r="B263" s="59" t="s">
        <v>535</v>
      </c>
      <c r="C263" s="59" t="s">
        <v>467</v>
      </c>
      <c r="D263" s="60">
        <f>SUM(D264:D279)</f>
        <v>5308872732.0543728</v>
      </c>
      <c r="E263" s="61">
        <f>IFERROR(D263/$D$109,0)</f>
        <v>2.9408554574576196E-2</v>
      </c>
      <c r="F263" s="62">
        <v>46235</v>
      </c>
      <c r="G263" s="62">
        <v>46402</v>
      </c>
      <c r="H263" s="61">
        <f>SUMPRODUCT($E264:$E278,H264:H278)</f>
        <v>0</v>
      </c>
      <c r="I263" s="61">
        <f t="shared" ref="I263:BN263" si="131">SUMPRODUCT($E264:$E278,I264:I278)</f>
        <v>0</v>
      </c>
      <c r="J263" s="61">
        <f t="shared" si="131"/>
        <v>0</v>
      </c>
      <c r="K263" s="61">
        <f t="shared" si="131"/>
        <v>0</v>
      </c>
      <c r="L263" s="61">
        <f t="shared" si="131"/>
        <v>1.1557661566304282E-3</v>
      </c>
      <c r="M263" s="61">
        <f t="shared" si="131"/>
        <v>2.3115323132608563E-3</v>
      </c>
      <c r="N263" s="61">
        <f t="shared" si="131"/>
        <v>3.4672984698912849E-3</v>
      </c>
      <c r="O263" s="61">
        <f t="shared" si="131"/>
        <v>4.6230646265217126E-3</v>
      </c>
      <c r="P263" s="61">
        <f t="shared" si="131"/>
        <v>5.7788307831521417E-3</v>
      </c>
      <c r="Q263" s="61">
        <f t="shared" si="131"/>
        <v>6.9345969397825698E-3</v>
      </c>
      <c r="R263" s="61">
        <f t="shared" si="131"/>
        <v>8.0903630964129988E-3</v>
      </c>
      <c r="S263" s="61">
        <f t="shared" si="131"/>
        <v>9.2461292530434253E-3</v>
      </c>
      <c r="T263" s="61">
        <f t="shared" si="131"/>
        <v>1.0401895409673853E-2</v>
      </c>
      <c r="U263" s="61">
        <f t="shared" si="131"/>
        <v>1.1557661566304283E-2</v>
      </c>
      <c r="V263" s="61">
        <f t="shared" si="131"/>
        <v>1.2713427722934711E-2</v>
      </c>
      <c r="W263" s="61">
        <f t="shared" si="131"/>
        <v>1.386919387956514E-2</v>
      </c>
      <c r="X263" s="61">
        <f t="shared" si="131"/>
        <v>1.5024960036195568E-2</v>
      </c>
      <c r="Y263" s="61">
        <f t="shared" si="131"/>
        <v>4.1836545294005947E-2</v>
      </c>
      <c r="Z263" s="61">
        <f t="shared" si="131"/>
        <v>8.4944409151591821E-2</v>
      </c>
      <c r="AA263" s="61">
        <f t="shared" si="131"/>
        <v>0.14853206090804622</v>
      </c>
      <c r="AB263" s="61">
        <f t="shared" si="131"/>
        <v>0.21229609427142909</v>
      </c>
      <c r="AC263" s="61">
        <f t="shared" si="131"/>
        <v>0.29644879442674071</v>
      </c>
      <c r="AD263" s="61">
        <f t="shared" si="131"/>
        <v>0.38060149458205239</v>
      </c>
      <c r="AE263" s="61">
        <f t="shared" si="131"/>
        <v>0.64850810003989967</v>
      </c>
      <c r="AF263" s="61">
        <f t="shared" si="131"/>
        <v>0.64850810003989967</v>
      </c>
      <c r="AG263" s="61">
        <f t="shared" si="131"/>
        <v>0.75295610235983079</v>
      </c>
      <c r="AH263" s="61">
        <f t="shared" si="131"/>
        <v>0.95802316577978519</v>
      </c>
      <c r="AI263" s="61">
        <f t="shared" si="131"/>
        <v>1</v>
      </c>
      <c r="AJ263" s="61">
        <f t="shared" si="131"/>
        <v>1</v>
      </c>
      <c r="AK263" s="61">
        <f t="shared" si="131"/>
        <v>1</v>
      </c>
      <c r="AL263" s="61">
        <f t="shared" si="131"/>
        <v>1</v>
      </c>
      <c r="AM263" s="61">
        <f t="shared" si="131"/>
        <v>1</v>
      </c>
      <c r="AN263" s="61">
        <f t="shared" si="131"/>
        <v>1</v>
      </c>
      <c r="AO263" s="61">
        <f t="shared" si="131"/>
        <v>1</v>
      </c>
      <c r="AP263" s="61">
        <f t="shared" si="131"/>
        <v>1</v>
      </c>
      <c r="AQ263" s="61">
        <f t="shared" si="131"/>
        <v>1</v>
      </c>
      <c r="AR263" s="61">
        <f t="shared" si="131"/>
        <v>1</v>
      </c>
      <c r="AS263" s="61">
        <f t="shared" si="131"/>
        <v>1</v>
      </c>
      <c r="AT263" s="61">
        <f t="shared" si="131"/>
        <v>1</v>
      </c>
      <c r="AU263" s="61">
        <f t="shared" si="131"/>
        <v>1</v>
      </c>
      <c r="AV263" s="61">
        <f t="shared" si="131"/>
        <v>1</v>
      </c>
      <c r="AW263" s="61">
        <f t="shared" si="131"/>
        <v>1</v>
      </c>
      <c r="AX263" s="61">
        <f t="shared" si="131"/>
        <v>1</v>
      </c>
      <c r="AY263" s="61">
        <f t="shared" si="131"/>
        <v>1</v>
      </c>
      <c r="AZ263" s="61">
        <f t="shared" si="131"/>
        <v>1</v>
      </c>
      <c r="BA263" s="61">
        <f t="shared" si="131"/>
        <v>1</v>
      </c>
      <c r="BB263" s="61">
        <f t="shared" si="131"/>
        <v>1</v>
      </c>
      <c r="BC263" s="61">
        <f t="shared" si="131"/>
        <v>1</v>
      </c>
      <c r="BD263" s="61">
        <f t="shared" si="131"/>
        <v>1</v>
      </c>
      <c r="BE263" s="61">
        <f t="shared" si="131"/>
        <v>1</v>
      </c>
      <c r="BF263" s="61">
        <f t="shared" si="131"/>
        <v>1</v>
      </c>
      <c r="BG263" s="61">
        <f t="shared" si="131"/>
        <v>1</v>
      </c>
      <c r="BH263" s="61">
        <f t="shared" si="131"/>
        <v>1</v>
      </c>
      <c r="BI263" s="61">
        <f t="shared" si="131"/>
        <v>1</v>
      </c>
      <c r="BJ263" s="61">
        <f t="shared" si="131"/>
        <v>1</v>
      </c>
      <c r="BK263" s="61">
        <f t="shared" si="131"/>
        <v>1</v>
      </c>
      <c r="BL263" s="61">
        <f t="shared" si="131"/>
        <v>1</v>
      </c>
      <c r="BM263" s="61">
        <f t="shared" si="131"/>
        <v>1</v>
      </c>
      <c r="BN263" s="61">
        <f t="shared" si="131"/>
        <v>1</v>
      </c>
      <c r="BO263" s="32">
        <f t="shared" si="109"/>
        <v>0.61487846757807885</v>
      </c>
    </row>
    <row r="264" spans="1:67" s="27" customFormat="1" ht="18.75" customHeight="1" x14ac:dyDescent="0.25">
      <c r="A264" s="50" t="s">
        <v>536</v>
      </c>
      <c r="B264" s="50" t="s">
        <v>537</v>
      </c>
      <c r="C264" s="50" t="s">
        <v>74</v>
      </c>
      <c r="D264" s="51">
        <f>VLOOKUP(A264,'[1]Cuadro Control'!C301:J2194,8,FALSE)</f>
        <v>83271780.884117648</v>
      </c>
      <c r="E264" s="52">
        <f t="shared" ref="E264:E278" si="132">IFERROR(D264/$D$263,0)</f>
        <v>1.5685397839984384E-2</v>
      </c>
      <c r="F264" s="53">
        <v>46235</v>
      </c>
      <c r="G264" s="53">
        <v>46329</v>
      </c>
      <c r="H264" s="52">
        <f t="shared" ref="H264:BN268" si="133">IF($F264=0,0,IF(H$6&lt;$F264,0,IF(H$6&gt;$G264,1,(H$6-$F264+1)/($G264-$F264+1))))</f>
        <v>0</v>
      </c>
      <c r="I264" s="52">
        <f t="shared" si="133"/>
        <v>0</v>
      </c>
      <c r="J264" s="52">
        <f t="shared" si="133"/>
        <v>0</v>
      </c>
      <c r="K264" s="52">
        <f t="shared" si="133"/>
        <v>0</v>
      </c>
      <c r="L264" s="52">
        <f t="shared" si="133"/>
        <v>7.3684210526315783E-2</v>
      </c>
      <c r="M264" s="52">
        <f t="shared" si="133"/>
        <v>0.14736842105263157</v>
      </c>
      <c r="N264" s="52">
        <f t="shared" si="133"/>
        <v>0.22105263157894736</v>
      </c>
      <c r="O264" s="52">
        <f t="shared" si="133"/>
        <v>0.29473684210526313</v>
      </c>
      <c r="P264" s="52">
        <f t="shared" si="133"/>
        <v>0.36842105263157893</v>
      </c>
      <c r="Q264" s="52">
        <f t="shared" si="133"/>
        <v>0.44210526315789472</v>
      </c>
      <c r="R264" s="52">
        <f t="shared" si="133"/>
        <v>0.51578947368421058</v>
      </c>
      <c r="S264" s="52">
        <f t="shared" si="133"/>
        <v>0.58947368421052626</v>
      </c>
      <c r="T264" s="52">
        <f t="shared" si="133"/>
        <v>0.66315789473684206</v>
      </c>
      <c r="U264" s="52">
        <f t="shared" si="133"/>
        <v>0.73684210526315785</v>
      </c>
      <c r="V264" s="52">
        <f t="shared" si="133"/>
        <v>0.81052631578947365</v>
      </c>
      <c r="W264" s="52">
        <f t="shared" si="133"/>
        <v>0.88421052631578945</v>
      </c>
      <c r="X264" s="52">
        <f t="shared" si="133"/>
        <v>0.95789473684210524</v>
      </c>
      <c r="Y264" s="52">
        <f t="shared" si="133"/>
        <v>1</v>
      </c>
      <c r="Z264" s="52">
        <f t="shared" si="133"/>
        <v>1</v>
      </c>
      <c r="AA264" s="52">
        <f t="shared" si="133"/>
        <v>1</v>
      </c>
      <c r="AB264" s="52">
        <f t="shared" si="133"/>
        <v>1</v>
      </c>
      <c r="AC264" s="52">
        <f t="shared" si="133"/>
        <v>1</v>
      </c>
      <c r="AD264" s="52">
        <f t="shared" si="133"/>
        <v>1</v>
      </c>
      <c r="AE264" s="52">
        <f t="shared" si="133"/>
        <v>1</v>
      </c>
      <c r="AF264" s="52">
        <f t="shared" si="133"/>
        <v>1</v>
      </c>
      <c r="AG264" s="52">
        <f t="shared" si="133"/>
        <v>1</v>
      </c>
      <c r="AH264" s="52">
        <f t="shared" si="133"/>
        <v>1</v>
      </c>
      <c r="AI264" s="52">
        <f t="shared" si="133"/>
        <v>1</v>
      </c>
      <c r="AJ264" s="52">
        <f t="shared" si="133"/>
        <v>1</v>
      </c>
      <c r="AK264" s="52">
        <f t="shared" si="133"/>
        <v>1</v>
      </c>
      <c r="AL264" s="52">
        <f t="shared" si="133"/>
        <v>1</v>
      </c>
      <c r="AM264" s="52">
        <f t="shared" si="133"/>
        <v>1</v>
      </c>
      <c r="AN264" s="52">
        <f t="shared" si="133"/>
        <v>1</v>
      </c>
      <c r="AO264" s="52">
        <f t="shared" si="133"/>
        <v>1</v>
      </c>
      <c r="AP264" s="52">
        <f t="shared" si="133"/>
        <v>1</v>
      </c>
      <c r="AQ264" s="52">
        <f t="shared" si="133"/>
        <v>1</v>
      </c>
      <c r="AR264" s="52">
        <f t="shared" si="133"/>
        <v>1</v>
      </c>
      <c r="AS264" s="52">
        <f t="shared" si="133"/>
        <v>1</v>
      </c>
      <c r="AT264" s="52">
        <f t="shared" si="133"/>
        <v>1</v>
      </c>
      <c r="AU264" s="52">
        <f t="shared" si="133"/>
        <v>1</v>
      </c>
      <c r="AV264" s="52">
        <f t="shared" si="133"/>
        <v>1</v>
      </c>
      <c r="AW264" s="52">
        <f t="shared" si="133"/>
        <v>1</v>
      </c>
      <c r="AX264" s="52">
        <f t="shared" si="133"/>
        <v>1</v>
      </c>
      <c r="AY264" s="52">
        <f t="shared" si="133"/>
        <v>1</v>
      </c>
      <c r="AZ264" s="52">
        <f t="shared" si="133"/>
        <v>1</v>
      </c>
      <c r="BA264" s="52">
        <f t="shared" si="133"/>
        <v>1</v>
      </c>
      <c r="BB264" s="52">
        <f t="shared" si="133"/>
        <v>1</v>
      </c>
      <c r="BC264" s="52">
        <f t="shared" si="133"/>
        <v>1</v>
      </c>
      <c r="BD264" s="52">
        <f t="shared" si="133"/>
        <v>1</v>
      </c>
      <c r="BE264" s="52">
        <f t="shared" si="133"/>
        <v>1</v>
      </c>
      <c r="BF264" s="52">
        <f t="shared" si="133"/>
        <v>1</v>
      </c>
      <c r="BG264" s="52">
        <f t="shared" si="133"/>
        <v>1</v>
      </c>
      <c r="BH264" s="52">
        <f t="shared" si="133"/>
        <v>1</v>
      </c>
      <c r="BI264" s="52">
        <f t="shared" si="133"/>
        <v>1</v>
      </c>
      <c r="BJ264" s="52">
        <f t="shared" si="133"/>
        <v>1</v>
      </c>
      <c r="BK264" s="52">
        <f t="shared" si="133"/>
        <v>1</v>
      </c>
      <c r="BL264" s="52">
        <f t="shared" si="133"/>
        <v>1</v>
      </c>
      <c r="BM264" s="52">
        <f t="shared" si="133"/>
        <v>1</v>
      </c>
      <c r="BN264" s="52">
        <f t="shared" si="133"/>
        <v>1</v>
      </c>
      <c r="BO264" s="32">
        <f t="shared" si="109"/>
        <v>0.82551293487957178</v>
      </c>
    </row>
    <row r="265" spans="1:67" s="27" customFormat="1" ht="18.75" customHeight="1" x14ac:dyDescent="0.25">
      <c r="A265" s="50" t="s">
        <v>538</v>
      </c>
      <c r="B265" s="50" t="s">
        <v>539</v>
      </c>
      <c r="C265" s="50" t="s">
        <v>61</v>
      </c>
      <c r="D265" s="51">
        <f>VLOOKUP(A265,'[1]Cuadro Control'!C302:J2195,8,FALSE)</f>
        <v>312374505.66882348</v>
      </c>
      <c r="E265" s="52">
        <f t="shared" si="132"/>
        <v>5.8840081771548515E-2</v>
      </c>
      <c r="F265" s="53">
        <v>46329</v>
      </c>
      <c r="G265" s="53">
        <v>46337</v>
      </c>
      <c r="H265" s="52">
        <f t="shared" si="133"/>
        <v>0</v>
      </c>
      <c r="I265" s="52">
        <f t="shared" si="133"/>
        <v>0</v>
      </c>
      <c r="J265" s="52">
        <f t="shared" si="133"/>
        <v>0</v>
      </c>
      <c r="K265" s="52">
        <f t="shared" si="133"/>
        <v>0</v>
      </c>
      <c r="L265" s="52">
        <f t="shared" si="133"/>
        <v>0</v>
      </c>
      <c r="M265" s="52">
        <f t="shared" si="133"/>
        <v>0</v>
      </c>
      <c r="N265" s="52">
        <f t="shared" si="133"/>
        <v>0</v>
      </c>
      <c r="O265" s="52">
        <f t="shared" si="133"/>
        <v>0</v>
      </c>
      <c r="P265" s="52">
        <f t="shared" si="133"/>
        <v>0</v>
      </c>
      <c r="Q265" s="52">
        <f t="shared" si="133"/>
        <v>0</v>
      </c>
      <c r="R265" s="52">
        <f t="shared" si="133"/>
        <v>0</v>
      </c>
      <c r="S265" s="52">
        <f t="shared" si="133"/>
        <v>0</v>
      </c>
      <c r="T265" s="52">
        <f t="shared" si="133"/>
        <v>0</v>
      </c>
      <c r="U265" s="52">
        <f t="shared" si="133"/>
        <v>0</v>
      </c>
      <c r="V265" s="52">
        <f t="shared" si="133"/>
        <v>0</v>
      </c>
      <c r="W265" s="52">
        <f t="shared" si="133"/>
        <v>0</v>
      </c>
      <c r="X265" s="52">
        <f t="shared" si="133"/>
        <v>0</v>
      </c>
      <c r="Y265" s="52">
        <f t="shared" si="133"/>
        <v>0.44444444444444442</v>
      </c>
      <c r="Z265" s="52">
        <f t="shared" si="133"/>
        <v>1</v>
      </c>
      <c r="AA265" s="52">
        <f t="shared" si="133"/>
        <v>1</v>
      </c>
      <c r="AB265" s="52">
        <f t="shared" si="133"/>
        <v>1</v>
      </c>
      <c r="AC265" s="52">
        <f t="shared" si="133"/>
        <v>1</v>
      </c>
      <c r="AD265" s="52">
        <f t="shared" si="133"/>
        <v>1</v>
      </c>
      <c r="AE265" s="52">
        <f t="shared" si="133"/>
        <v>1</v>
      </c>
      <c r="AF265" s="52">
        <f t="shared" si="133"/>
        <v>1</v>
      </c>
      <c r="AG265" s="52">
        <f t="shared" si="133"/>
        <v>1</v>
      </c>
      <c r="AH265" s="52">
        <f t="shared" si="133"/>
        <v>1</v>
      </c>
      <c r="AI265" s="52">
        <f t="shared" si="133"/>
        <v>1</v>
      </c>
      <c r="AJ265" s="52">
        <f t="shared" si="133"/>
        <v>1</v>
      </c>
      <c r="AK265" s="52">
        <f t="shared" si="133"/>
        <v>1</v>
      </c>
      <c r="AL265" s="52">
        <f t="shared" si="133"/>
        <v>1</v>
      </c>
      <c r="AM265" s="52">
        <f t="shared" si="133"/>
        <v>1</v>
      </c>
      <c r="AN265" s="52">
        <f t="shared" si="133"/>
        <v>1</v>
      </c>
      <c r="AO265" s="52">
        <f t="shared" si="133"/>
        <v>1</v>
      </c>
      <c r="AP265" s="52">
        <f t="shared" si="133"/>
        <v>1</v>
      </c>
      <c r="AQ265" s="52">
        <f t="shared" si="133"/>
        <v>1</v>
      </c>
      <c r="AR265" s="52">
        <f t="shared" si="133"/>
        <v>1</v>
      </c>
      <c r="AS265" s="52">
        <f t="shared" si="133"/>
        <v>1</v>
      </c>
      <c r="AT265" s="52">
        <f t="shared" si="133"/>
        <v>1</v>
      </c>
      <c r="AU265" s="52">
        <f t="shared" si="133"/>
        <v>1</v>
      </c>
      <c r="AV265" s="52">
        <f t="shared" si="133"/>
        <v>1</v>
      </c>
      <c r="AW265" s="52">
        <f t="shared" si="133"/>
        <v>1</v>
      </c>
      <c r="AX265" s="52">
        <f t="shared" si="133"/>
        <v>1</v>
      </c>
      <c r="AY265" s="52">
        <f t="shared" si="133"/>
        <v>1</v>
      </c>
      <c r="AZ265" s="52">
        <f t="shared" si="133"/>
        <v>1</v>
      </c>
      <c r="BA265" s="52">
        <f t="shared" si="133"/>
        <v>1</v>
      </c>
      <c r="BB265" s="52">
        <f t="shared" si="133"/>
        <v>1</v>
      </c>
      <c r="BC265" s="52">
        <f t="shared" si="133"/>
        <v>1</v>
      </c>
      <c r="BD265" s="52">
        <f t="shared" si="133"/>
        <v>1</v>
      </c>
      <c r="BE265" s="52">
        <f t="shared" si="133"/>
        <v>1</v>
      </c>
      <c r="BF265" s="52">
        <f t="shared" si="133"/>
        <v>1</v>
      </c>
      <c r="BG265" s="52">
        <f t="shared" si="133"/>
        <v>1</v>
      </c>
      <c r="BH265" s="52">
        <f t="shared" si="133"/>
        <v>1</v>
      </c>
      <c r="BI265" s="52">
        <f t="shared" si="133"/>
        <v>1</v>
      </c>
      <c r="BJ265" s="52">
        <f t="shared" si="133"/>
        <v>1</v>
      </c>
      <c r="BK265" s="52">
        <f t="shared" si="133"/>
        <v>1</v>
      </c>
      <c r="BL265" s="52">
        <f t="shared" si="133"/>
        <v>1</v>
      </c>
      <c r="BM265" s="52">
        <f t="shared" si="133"/>
        <v>1</v>
      </c>
      <c r="BN265" s="52">
        <f t="shared" si="133"/>
        <v>1</v>
      </c>
      <c r="BO265" s="32">
        <f t="shared" si="109"/>
        <v>0.7024482109227872</v>
      </c>
    </row>
    <row r="266" spans="1:67" s="27" customFormat="1" ht="18.75" customHeight="1" x14ac:dyDescent="0.25">
      <c r="A266" s="46" t="s">
        <v>540</v>
      </c>
      <c r="B266" s="46" t="s">
        <v>541</v>
      </c>
      <c r="C266" s="46" t="s">
        <v>126</v>
      </c>
      <c r="D266" s="47">
        <f>VLOOKUP(A266,'[1]Cuadro Control'!C303:J2196,8,FALSE)</f>
        <v>9527825.6870364472</v>
      </c>
      <c r="E266" s="48">
        <f t="shared" si="132"/>
        <v>1.794698454439963E-3</v>
      </c>
      <c r="F266" s="49">
        <v>46337</v>
      </c>
      <c r="G266" s="49">
        <v>46339</v>
      </c>
      <c r="H266" s="48">
        <f t="shared" si="133"/>
        <v>0</v>
      </c>
      <c r="I266" s="48">
        <f t="shared" si="133"/>
        <v>0</v>
      </c>
      <c r="J266" s="48">
        <f t="shared" si="133"/>
        <v>0</v>
      </c>
      <c r="K266" s="48">
        <f t="shared" si="133"/>
        <v>0</v>
      </c>
      <c r="L266" s="48">
        <f t="shared" si="133"/>
        <v>0</v>
      </c>
      <c r="M266" s="48">
        <f t="shared" si="133"/>
        <v>0</v>
      </c>
      <c r="N266" s="48">
        <f t="shared" si="133"/>
        <v>0</v>
      </c>
      <c r="O266" s="48">
        <f t="shared" si="133"/>
        <v>0</v>
      </c>
      <c r="P266" s="48">
        <f t="shared" si="133"/>
        <v>0</v>
      </c>
      <c r="Q266" s="48">
        <f t="shared" si="133"/>
        <v>0</v>
      </c>
      <c r="R266" s="48">
        <f t="shared" si="133"/>
        <v>0</v>
      </c>
      <c r="S266" s="48">
        <f t="shared" si="133"/>
        <v>0</v>
      </c>
      <c r="T266" s="48">
        <f t="shared" si="133"/>
        <v>0</v>
      </c>
      <c r="U266" s="48">
        <f t="shared" si="133"/>
        <v>0</v>
      </c>
      <c r="V266" s="48">
        <f t="shared" si="133"/>
        <v>0</v>
      </c>
      <c r="W266" s="48">
        <f t="shared" si="133"/>
        <v>0</v>
      </c>
      <c r="X266" s="48">
        <f t="shared" si="133"/>
        <v>0</v>
      </c>
      <c r="Y266" s="48">
        <f t="shared" si="133"/>
        <v>0</v>
      </c>
      <c r="Z266" s="48">
        <f t="shared" si="133"/>
        <v>1</v>
      </c>
      <c r="AA266" s="48">
        <f t="shared" si="133"/>
        <v>1</v>
      </c>
      <c r="AB266" s="48">
        <f t="shared" si="133"/>
        <v>1</v>
      </c>
      <c r="AC266" s="48">
        <f t="shared" si="133"/>
        <v>1</v>
      </c>
      <c r="AD266" s="48">
        <f t="shared" si="133"/>
        <v>1</v>
      </c>
      <c r="AE266" s="48">
        <f t="shared" si="133"/>
        <v>1</v>
      </c>
      <c r="AF266" s="48">
        <f t="shared" si="133"/>
        <v>1</v>
      </c>
      <c r="AG266" s="48">
        <f t="shared" si="133"/>
        <v>1</v>
      </c>
      <c r="AH266" s="48">
        <f t="shared" si="133"/>
        <v>1</v>
      </c>
      <c r="AI266" s="48">
        <f t="shared" si="133"/>
        <v>1</v>
      </c>
      <c r="AJ266" s="48">
        <f t="shared" si="133"/>
        <v>1</v>
      </c>
      <c r="AK266" s="48">
        <f t="shared" si="133"/>
        <v>1</v>
      </c>
      <c r="AL266" s="48">
        <f t="shared" si="133"/>
        <v>1</v>
      </c>
      <c r="AM266" s="48">
        <f t="shared" si="133"/>
        <v>1</v>
      </c>
      <c r="AN266" s="48">
        <f t="shared" si="133"/>
        <v>1</v>
      </c>
      <c r="AO266" s="48">
        <f t="shared" si="133"/>
        <v>1</v>
      </c>
      <c r="AP266" s="48">
        <f t="shared" si="133"/>
        <v>1</v>
      </c>
      <c r="AQ266" s="48">
        <f t="shared" si="133"/>
        <v>1</v>
      </c>
      <c r="AR266" s="48">
        <f t="shared" si="133"/>
        <v>1</v>
      </c>
      <c r="AS266" s="48">
        <f t="shared" si="133"/>
        <v>1</v>
      </c>
      <c r="AT266" s="48">
        <f t="shared" si="133"/>
        <v>1</v>
      </c>
      <c r="AU266" s="48">
        <f t="shared" si="133"/>
        <v>1</v>
      </c>
      <c r="AV266" s="48">
        <f t="shared" si="133"/>
        <v>1</v>
      </c>
      <c r="AW266" s="48">
        <f t="shared" si="133"/>
        <v>1</v>
      </c>
      <c r="AX266" s="48">
        <f t="shared" si="133"/>
        <v>1</v>
      </c>
      <c r="AY266" s="48">
        <f t="shared" si="133"/>
        <v>1</v>
      </c>
      <c r="AZ266" s="48">
        <f t="shared" si="133"/>
        <v>1</v>
      </c>
      <c r="BA266" s="48">
        <f t="shared" si="133"/>
        <v>1</v>
      </c>
      <c r="BB266" s="48">
        <f t="shared" si="133"/>
        <v>1</v>
      </c>
      <c r="BC266" s="48">
        <f t="shared" si="133"/>
        <v>1</v>
      </c>
      <c r="BD266" s="48">
        <f t="shared" si="133"/>
        <v>1</v>
      </c>
      <c r="BE266" s="48">
        <f t="shared" si="133"/>
        <v>1</v>
      </c>
      <c r="BF266" s="48">
        <f t="shared" si="133"/>
        <v>1</v>
      </c>
      <c r="BG266" s="48">
        <f t="shared" si="133"/>
        <v>1</v>
      </c>
      <c r="BH266" s="48">
        <f t="shared" si="133"/>
        <v>1</v>
      </c>
      <c r="BI266" s="48">
        <f t="shared" si="133"/>
        <v>1</v>
      </c>
      <c r="BJ266" s="48">
        <f t="shared" si="133"/>
        <v>1</v>
      </c>
      <c r="BK266" s="48">
        <f t="shared" si="133"/>
        <v>1</v>
      </c>
      <c r="BL266" s="48">
        <f t="shared" si="133"/>
        <v>1</v>
      </c>
      <c r="BM266" s="48">
        <f t="shared" si="133"/>
        <v>1</v>
      </c>
      <c r="BN266" s="48">
        <f t="shared" si="133"/>
        <v>1</v>
      </c>
      <c r="BO266" s="32">
        <f t="shared" ref="BO266:BO329" si="134">+AVERAGE(H266:BN266)</f>
        <v>0.69491525423728817</v>
      </c>
    </row>
    <row r="267" spans="1:67" s="27" customFormat="1" ht="18.75" customHeight="1" x14ac:dyDescent="0.25">
      <c r="A267" s="50" t="s">
        <v>542</v>
      </c>
      <c r="B267" s="50" t="s">
        <v>543</v>
      </c>
      <c r="C267" s="50" t="s">
        <v>117</v>
      </c>
      <c r="D267" s="51">
        <f>VLOOKUP(A267,'[1]Cuadro Control'!C304:J2197,8,FALSE)</f>
        <v>320494616.71764702</v>
      </c>
      <c r="E267" s="52">
        <f t="shared" si="132"/>
        <v>6.0369617599332674E-2</v>
      </c>
      <c r="F267" s="53">
        <v>46339</v>
      </c>
      <c r="G267" s="53">
        <v>46345</v>
      </c>
      <c r="H267" s="52">
        <f t="shared" si="133"/>
        <v>0</v>
      </c>
      <c r="I267" s="52">
        <f t="shared" si="133"/>
        <v>0</v>
      </c>
      <c r="J267" s="52">
        <f t="shared" si="133"/>
        <v>0</v>
      </c>
      <c r="K267" s="52">
        <f t="shared" si="133"/>
        <v>0</v>
      </c>
      <c r="L267" s="52">
        <f t="shared" si="133"/>
        <v>0</v>
      </c>
      <c r="M267" s="52">
        <f t="shared" si="133"/>
        <v>0</v>
      </c>
      <c r="N267" s="52">
        <f t="shared" si="133"/>
        <v>0</v>
      </c>
      <c r="O267" s="52">
        <f t="shared" si="133"/>
        <v>0</v>
      </c>
      <c r="P267" s="52">
        <f t="shared" si="133"/>
        <v>0</v>
      </c>
      <c r="Q267" s="52">
        <f t="shared" si="133"/>
        <v>0</v>
      </c>
      <c r="R267" s="52">
        <f t="shared" si="133"/>
        <v>0</v>
      </c>
      <c r="S267" s="52">
        <f t="shared" si="133"/>
        <v>0</v>
      </c>
      <c r="T267" s="52">
        <f t="shared" si="133"/>
        <v>0</v>
      </c>
      <c r="U267" s="52">
        <f t="shared" si="133"/>
        <v>0</v>
      </c>
      <c r="V267" s="52">
        <f t="shared" si="133"/>
        <v>0</v>
      </c>
      <c r="W267" s="52">
        <f t="shared" si="133"/>
        <v>0</v>
      </c>
      <c r="X267" s="52">
        <f t="shared" si="133"/>
        <v>0</v>
      </c>
      <c r="Y267" s="52">
        <f t="shared" si="133"/>
        <v>0</v>
      </c>
      <c r="Z267" s="52">
        <f t="shared" si="133"/>
        <v>0.14285714285714285</v>
      </c>
      <c r="AA267" s="52">
        <f t="shared" si="133"/>
        <v>1</v>
      </c>
      <c r="AB267" s="52">
        <f t="shared" si="133"/>
        <v>1</v>
      </c>
      <c r="AC267" s="52">
        <f t="shared" si="133"/>
        <v>1</v>
      </c>
      <c r="AD267" s="52">
        <f t="shared" si="133"/>
        <v>1</v>
      </c>
      <c r="AE267" s="52">
        <f t="shared" si="133"/>
        <v>1</v>
      </c>
      <c r="AF267" s="52">
        <f t="shared" si="133"/>
        <v>1</v>
      </c>
      <c r="AG267" s="52">
        <f t="shared" si="133"/>
        <v>1</v>
      </c>
      <c r="AH267" s="52">
        <f t="shared" si="133"/>
        <v>1</v>
      </c>
      <c r="AI267" s="52">
        <f t="shared" si="133"/>
        <v>1</v>
      </c>
      <c r="AJ267" s="52">
        <f t="shared" si="133"/>
        <v>1</v>
      </c>
      <c r="AK267" s="52">
        <f t="shared" si="133"/>
        <v>1</v>
      </c>
      <c r="AL267" s="52">
        <f t="shared" si="133"/>
        <v>1</v>
      </c>
      <c r="AM267" s="52">
        <f t="shared" si="133"/>
        <v>1</v>
      </c>
      <c r="AN267" s="52">
        <f t="shared" si="133"/>
        <v>1</v>
      </c>
      <c r="AO267" s="52">
        <f t="shared" si="133"/>
        <v>1</v>
      </c>
      <c r="AP267" s="52">
        <f t="shared" si="133"/>
        <v>1</v>
      </c>
      <c r="AQ267" s="52">
        <f t="shared" si="133"/>
        <v>1</v>
      </c>
      <c r="AR267" s="52">
        <f t="shared" si="133"/>
        <v>1</v>
      </c>
      <c r="AS267" s="52">
        <f t="shared" si="133"/>
        <v>1</v>
      </c>
      <c r="AT267" s="52">
        <f t="shared" si="133"/>
        <v>1</v>
      </c>
      <c r="AU267" s="52">
        <f t="shared" si="133"/>
        <v>1</v>
      </c>
      <c r="AV267" s="52">
        <f t="shared" si="133"/>
        <v>1</v>
      </c>
      <c r="AW267" s="52">
        <f t="shared" si="133"/>
        <v>1</v>
      </c>
      <c r="AX267" s="52">
        <f t="shared" si="133"/>
        <v>1</v>
      </c>
      <c r="AY267" s="52">
        <f t="shared" si="133"/>
        <v>1</v>
      </c>
      <c r="AZ267" s="52">
        <f t="shared" si="133"/>
        <v>1</v>
      </c>
      <c r="BA267" s="52">
        <f t="shared" si="133"/>
        <v>1</v>
      </c>
      <c r="BB267" s="52">
        <f t="shared" si="133"/>
        <v>1</v>
      </c>
      <c r="BC267" s="52">
        <f t="shared" si="133"/>
        <v>1</v>
      </c>
      <c r="BD267" s="52">
        <f t="shared" si="133"/>
        <v>1</v>
      </c>
      <c r="BE267" s="52">
        <f t="shared" si="133"/>
        <v>1</v>
      </c>
      <c r="BF267" s="52">
        <f t="shared" si="133"/>
        <v>1</v>
      </c>
      <c r="BG267" s="52">
        <f t="shared" si="133"/>
        <v>1</v>
      </c>
      <c r="BH267" s="52">
        <f t="shared" si="133"/>
        <v>1</v>
      </c>
      <c r="BI267" s="52">
        <f t="shared" si="133"/>
        <v>1</v>
      </c>
      <c r="BJ267" s="52">
        <f t="shared" si="133"/>
        <v>1</v>
      </c>
      <c r="BK267" s="52">
        <f t="shared" si="133"/>
        <v>1</v>
      </c>
      <c r="BL267" s="52">
        <f t="shared" si="133"/>
        <v>1</v>
      </c>
      <c r="BM267" s="52">
        <f t="shared" si="133"/>
        <v>1</v>
      </c>
      <c r="BN267" s="52">
        <f t="shared" si="133"/>
        <v>1</v>
      </c>
      <c r="BO267" s="32">
        <f t="shared" si="134"/>
        <v>0.68038740920096841</v>
      </c>
    </row>
    <row r="268" spans="1:67" s="27" customFormat="1" ht="18.75" customHeight="1" x14ac:dyDescent="0.25">
      <c r="A268" s="50" t="s">
        <v>544</v>
      </c>
      <c r="B268" s="50" t="s">
        <v>545</v>
      </c>
      <c r="C268" s="50" t="s">
        <v>111</v>
      </c>
      <c r="D268" s="51">
        <f>VLOOKUP(A268,'[1]Cuadro Control'!C305:J2198,8,FALSE)</f>
        <v>94303618.549411759</v>
      </c>
      <c r="E268" s="52">
        <f t="shared" si="132"/>
        <v>1.7763397864110998E-2</v>
      </c>
      <c r="F268" s="53">
        <v>46345</v>
      </c>
      <c r="G268" s="53">
        <v>46347</v>
      </c>
      <c r="H268" s="52">
        <f t="shared" si="133"/>
        <v>0</v>
      </c>
      <c r="I268" s="52">
        <f t="shared" si="133"/>
        <v>0</v>
      </c>
      <c r="J268" s="52">
        <f t="shared" si="133"/>
        <v>0</v>
      </c>
      <c r="K268" s="52">
        <f t="shared" si="133"/>
        <v>0</v>
      </c>
      <c r="L268" s="52">
        <f t="shared" si="133"/>
        <v>0</v>
      </c>
      <c r="M268" s="52">
        <f t="shared" si="133"/>
        <v>0</v>
      </c>
      <c r="N268" s="52">
        <f t="shared" si="133"/>
        <v>0</v>
      </c>
      <c r="O268" s="52">
        <f t="shared" si="133"/>
        <v>0</v>
      </c>
      <c r="P268" s="52">
        <f t="shared" si="133"/>
        <v>0</v>
      </c>
      <c r="Q268" s="52">
        <f t="shared" si="133"/>
        <v>0</v>
      </c>
      <c r="R268" s="52">
        <f t="shared" si="133"/>
        <v>0</v>
      </c>
      <c r="S268" s="52">
        <f t="shared" si="133"/>
        <v>0</v>
      </c>
      <c r="T268" s="52">
        <f t="shared" si="133"/>
        <v>0</v>
      </c>
      <c r="U268" s="52">
        <f t="shared" si="133"/>
        <v>0</v>
      </c>
      <c r="V268" s="52">
        <f t="shared" si="133"/>
        <v>0</v>
      </c>
      <c r="W268" s="52">
        <f t="shared" si="133"/>
        <v>0</v>
      </c>
      <c r="X268" s="52">
        <f t="shared" si="133"/>
        <v>0</v>
      </c>
      <c r="Y268" s="52">
        <f t="shared" si="133"/>
        <v>0</v>
      </c>
      <c r="Z268" s="52">
        <f t="shared" si="133"/>
        <v>0</v>
      </c>
      <c r="AA268" s="52">
        <f t="shared" ref="AA268:BF279" si="135">IF($F268=0,0,IF(AA$6&lt;$F268,0,IF(AA$6&gt;$G268,1,(AA$6-$F268+1)/($G268-$F268+1))))</f>
        <v>0.66666666666666663</v>
      </c>
      <c r="AB268" s="52">
        <f t="shared" si="135"/>
        <v>1</v>
      </c>
      <c r="AC268" s="52">
        <f t="shared" si="135"/>
        <v>1</v>
      </c>
      <c r="AD268" s="52">
        <f t="shared" si="135"/>
        <v>1</v>
      </c>
      <c r="AE268" s="52">
        <f t="shared" si="135"/>
        <v>1</v>
      </c>
      <c r="AF268" s="52">
        <f t="shared" si="135"/>
        <v>1</v>
      </c>
      <c r="AG268" s="52">
        <f t="shared" si="135"/>
        <v>1</v>
      </c>
      <c r="AH268" s="52">
        <f t="shared" si="135"/>
        <v>1</v>
      </c>
      <c r="AI268" s="52">
        <f t="shared" si="135"/>
        <v>1</v>
      </c>
      <c r="AJ268" s="52">
        <f t="shared" si="135"/>
        <v>1</v>
      </c>
      <c r="AK268" s="52">
        <f t="shared" si="135"/>
        <v>1</v>
      </c>
      <c r="AL268" s="52">
        <f t="shared" si="135"/>
        <v>1</v>
      </c>
      <c r="AM268" s="52">
        <f t="shared" si="135"/>
        <v>1</v>
      </c>
      <c r="AN268" s="52">
        <f t="shared" si="135"/>
        <v>1</v>
      </c>
      <c r="AO268" s="52">
        <f t="shared" si="135"/>
        <v>1</v>
      </c>
      <c r="AP268" s="52">
        <f t="shared" si="135"/>
        <v>1</v>
      </c>
      <c r="AQ268" s="52">
        <f t="shared" si="135"/>
        <v>1</v>
      </c>
      <c r="AR268" s="52">
        <f t="shared" si="135"/>
        <v>1</v>
      </c>
      <c r="AS268" s="52">
        <f t="shared" si="135"/>
        <v>1</v>
      </c>
      <c r="AT268" s="52">
        <f t="shared" si="135"/>
        <v>1</v>
      </c>
      <c r="AU268" s="52">
        <f t="shared" si="135"/>
        <v>1</v>
      </c>
      <c r="AV268" s="52">
        <f t="shared" si="135"/>
        <v>1</v>
      </c>
      <c r="AW268" s="52">
        <f t="shared" si="135"/>
        <v>1</v>
      </c>
      <c r="AX268" s="52">
        <f t="shared" si="135"/>
        <v>1</v>
      </c>
      <c r="AY268" s="52">
        <f t="shared" si="135"/>
        <v>1</v>
      </c>
      <c r="AZ268" s="52">
        <f t="shared" si="135"/>
        <v>1</v>
      </c>
      <c r="BA268" s="52">
        <f t="shared" si="135"/>
        <v>1</v>
      </c>
      <c r="BB268" s="52">
        <f t="shared" si="135"/>
        <v>1</v>
      </c>
      <c r="BC268" s="52">
        <f t="shared" si="135"/>
        <v>1</v>
      </c>
      <c r="BD268" s="52">
        <f t="shared" si="135"/>
        <v>1</v>
      </c>
      <c r="BE268" s="52">
        <f t="shared" si="135"/>
        <v>1</v>
      </c>
      <c r="BF268" s="52">
        <f t="shared" si="135"/>
        <v>1</v>
      </c>
      <c r="BG268" s="52">
        <f t="shared" ref="BG268:BN279" si="136">IF($F268=0,0,IF(BG$6&lt;$F268,0,IF(BG$6&gt;$G268,1,(BG$6-$F268+1)/($G268-$F268+1))))</f>
        <v>1</v>
      </c>
      <c r="BH268" s="52">
        <f t="shared" si="136"/>
        <v>1</v>
      </c>
      <c r="BI268" s="52">
        <f t="shared" si="136"/>
        <v>1</v>
      </c>
      <c r="BJ268" s="52">
        <f t="shared" si="136"/>
        <v>1</v>
      </c>
      <c r="BK268" s="52">
        <f t="shared" si="136"/>
        <v>1</v>
      </c>
      <c r="BL268" s="52">
        <f t="shared" si="136"/>
        <v>1</v>
      </c>
      <c r="BM268" s="52">
        <f t="shared" si="136"/>
        <v>1</v>
      </c>
      <c r="BN268" s="52">
        <f t="shared" si="136"/>
        <v>1</v>
      </c>
      <c r="BO268" s="32">
        <f t="shared" si="134"/>
        <v>0.67231638418079087</v>
      </c>
    </row>
    <row r="269" spans="1:67" s="27" customFormat="1" ht="18.75" customHeight="1" x14ac:dyDescent="0.25">
      <c r="A269" s="50" t="s">
        <v>546</v>
      </c>
      <c r="B269" s="50" t="s">
        <v>547</v>
      </c>
      <c r="C269" s="50" t="s">
        <v>238</v>
      </c>
      <c r="D269" s="51">
        <f>VLOOKUP(A269,'[1]Cuadro Control'!C306:J2199,8,FALSE)</f>
        <v>179436034.15411764</v>
      </c>
      <c r="E269" s="52">
        <f t="shared" si="132"/>
        <v>3.3799272126209236E-2</v>
      </c>
      <c r="F269" s="53">
        <v>46347</v>
      </c>
      <c r="G269" s="53">
        <v>46352</v>
      </c>
      <c r="H269" s="52">
        <f t="shared" ref="H269:W279" si="137">IF($F269=0,0,IF(H$6&lt;$F269,0,IF(H$6&gt;$G269,1,(H$6-$F269+1)/($G269-$F269+1))))</f>
        <v>0</v>
      </c>
      <c r="I269" s="52">
        <f t="shared" si="137"/>
        <v>0</v>
      </c>
      <c r="J269" s="52">
        <f t="shared" si="137"/>
        <v>0</v>
      </c>
      <c r="K269" s="52">
        <f t="shared" si="137"/>
        <v>0</v>
      </c>
      <c r="L269" s="52">
        <f t="shared" si="137"/>
        <v>0</v>
      </c>
      <c r="M269" s="52">
        <f t="shared" si="137"/>
        <v>0</v>
      </c>
      <c r="N269" s="52">
        <f t="shared" si="137"/>
        <v>0</v>
      </c>
      <c r="O269" s="52">
        <f t="shared" si="137"/>
        <v>0</v>
      </c>
      <c r="P269" s="52">
        <f t="shared" si="137"/>
        <v>0</v>
      </c>
      <c r="Q269" s="52">
        <f t="shared" si="137"/>
        <v>0</v>
      </c>
      <c r="R269" s="52">
        <f t="shared" si="137"/>
        <v>0</v>
      </c>
      <c r="S269" s="52">
        <f t="shared" si="137"/>
        <v>0</v>
      </c>
      <c r="T269" s="52">
        <f t="shared" si="137"/>
        <v>0</v>
      </c>
      <c r="U269" s="52">
        <f t="shared" si="137"/>
        <v>0</v>
      </c>
      <c r="V269" s="52">
        <f t="shared" si="137"/>
        <v>0</v>
      </c>
      <c r="W269" s="52">
        <f t="shared" si="137"/>
        <v>0</v>
      </c>
      <c r="X269" s="52">
        <f t="shared" ref="X269:BC279" si="138">IF($F269=0,0,IF(X$6&lt;$F269,0,IF(X$6&gt;$G269,1,(X$6-$F269+1)/($G269-$F269+1))))</f>
        <v>0</v>
      </c>
      <c r="Y269" s="52">
        <f t="shared" si="138"/>
        <v>0</v>
      </c>
      <c r="Z269" s="52">
        <f t="shared" si="138"/>
        <v>0</v>
      </c>
      <c r="AA269" s="52">
        <f t="shared" si="138"/>
        <v>0</v>
      </c>
      <c r="AB269" s="52">
        <f t="shared" si="138"/>
        <v>1</v>
      </c>
      <c r="AC269" s="52">
        <f t="shared" si="138"/>
        <v>1</v>
      </c>
      <c r="AD269" s="52">
        <f t="shared" si="138"/>
        <v>1</v>
      </c>
      <c r="AE269" s="52">
        <f t="shared" si="138"/>
        <v>1</v>
      </c>
      <c r="AF269" s="52">
        <f t="shared" si="138"/>
        <v>1</v>
      </c>
      <c r="AG269" s="52">
        <f t="shared" si="138"/>
        <v>1</v>
      </c>
      <c r="AH269" s="52">
        <f t="shared" si="138"/>
        <v>1</v>
      </c>
      <c r="AI269" s="52">
        <f t="shared" si="138"/>
        <v>1</v>
      </c>
      <c r="AJ269" s="52">
        <f t="shared" si="138"/>
        <v>1</v>
      </c>
      <c r="AK269" s="52">
        <f t="shared" si="138"/>
        <v>1</v>
      </c>
      <c r="AL269" s="52">
        <f t="shared" si="138"/>
        <v>1</v>
      </c>
      <c r="AM269" s="52">
        <f t="shared" si="138"/>
        <v>1</v>
      </c>
      <c r="AN269" s="52">
        <f t="shared" si="138"/>
        <v>1</v>
      </c>
      <c r="AO269" s="52">
        <f t="shared" si="135"/>
        <v>1</v>
      </c>
      <c r="AP269" s="52">
        <f t="shared" si="135"/>
        <v>1</v>
      </c>
      <c r="AQ269" s="52">
        <f t="shared" si="135"/>
        <v>1</v>
      </c>
      <c r="AR269" s="52">
        <f t="shared" si="135"/>
        <v>1</v>
      </c>
      <c r="AS269" s="52">
        <f t="shared" si="135"/>
        <v>1</v>
      </c>
      <c r="AT269" s="52">
        <f t="shared" si="135"/>
        <v>1</v>
      </c>
      <c r="AU269" s="52">
        <f t="shared" si="135"/>
        <v>1</v>
      </c>
      <c r="AV269" s="52">
        <f t="shared" si="135"/>
        <v>1</v>
      </c>
      <c r="AW269" s="52">
        <f t="shared" si="135"/>
        <v>1</v>
      </c>
      <c r="AX269" s="52">
        <f t="shared" si="135"/>
        <v>1</v>
      </c>
      <c r="AY269" s="52">
        <f t="shared" si="135"/>
        <v>1</v>
      </c>
      <c r="AZ269" s="52">
        <f t="shared" si="135"/>
        <v>1</v>
      </c>
      <c r="BA269" s="52">
        <f t="shared" si="135"/>
        <v>1</v>
      </c>
      <c r="BB269" s="52">
        <f t="shared" si="135"/>
        <v>1</v>
      </c>
      <c r="BC269" s="52">
        <f t="shared" si="135"/>
        <v>1</v>
      </c>
      <c r="BD269" s="52">
        <f t="shared" si="135"/>
        <v>1</v>
      </c>
      <c r="BE269" s="52">
        <f t="shared" si="135"/>
        <v>1</v>
      </c>
      <c r="BF269" s="52">
        <f t="shared" si="135"/>
        <v>1</v>
      </c>
      <c r="BG269" s="52">
        <f t="shared" si="136"/>
        <v>1</v>
      </c>
      <c r="BH269" s="52">
        <f t="shared" si="136"/>
        <v>1</v>
      </c>
      <c r="BI269" s="52">
        <f t="shared" si="136"/>
        <v>1</v>
      </c>
      <c r="BJ269" s="52">
        <f t="shared" si="136"/>
        <v>1</v>
      </c>
      <c r="BK269" s="52">
        <f t="shared" si="136"/>
        <v>1</v>
      </c>
      <c r="BL269" s="52">
        <f t="shared" si="136"/>
        <v>1</v>
      </c>
      <c r="BM269" s="52">
        <f t="shared" si="136"/>
        <v>1</v>
      </c>
      <c r="BN269" s="52">
        <f t="shared" si="136"/>
        <v>1</v>
      </c>
      <c r="BO269" s="32">
        <f t="shared" si="134"/>
        <v>0.66101694915254239</v>
      </c>
    </row>
    <row r="270" spans="1:67" s="27" customFormat="1" ht="18.75" customHeight="1" x14ac:dyDescent="0.25">
      <c r="A270" s="50" t="s">
        <v>548</v>
      </c>
      <c r="B270" s="50" t="s">
        <v>549</v>
      </c>
      <c r="C270" s="50" t="s">
        <v>58</v>
      </c>
      <c r="D270" s="51">
        <f>VLOOKUP(A270,'[1]Cuadro Control'!C307:J2200,8,FALSE)</f>
        <v>1212623361.2117648</v>
      </c>
      <c r="E270" s="52">
        <f t="shared" si="132"/>
        <v>0.22841447185013161</v>
      </c>
      <c r="F270" s="53">
        <v>46352</v>
      </c>
      <c r="G270" s="53">
        <v>46370</v>
      </c>
      <c r="H270" s="52">
        <f t="shared" si="137"/>
        <v>0</v>
      </c>
      <c r="I270" s="52">
        <f t="shared" si="137"/>
        <v>0</v>
      </c>
      <c r="J270" s="52">
        <f t="shared" si="137"/>
        <v>0</v>
      </c>
      <c r="K270" s="52">
        <f t="shared" si="137"/>
        <v>0</v>
      </c>
      <c r="L270" s="52">
        <f t="shared" si="137"/>
        <v>0</v>
      </c>
      <c r="M270" s="52">
        <f t="shared" si="137"/>
        <v>0</v>
      </c>
      <c r="N270" s="52">
        <f t="shared" si="137"/>
        <v>0</v>
      </c>
      <c r="O270" s="52">
        <f t="shared" si="137"/>
        <v>0</v>
      </c>
      <c r="P270" s="52">
        <f t="shared" si="137"/>
        <v>0</v>
      </c>
      <c r="Q270" s="52">
        <f t="shared" si="137"/>
        <v>0</v>
      </c>
      <c r="R270" s="52">
        <f t="shared" si="137"/>
        <v>0</v>
      </c>
      <c r="S270" s="52">
        <f t="shared" si="137"/>
        <v>0</v>
      </c>
      <c r="T270" s="52">
        <f t="shared" si="137"/>
        <v>0</v>
      </c>
      <c r="U270" s="52">
        <f t="shared" si="137"/>
        <v>0</v>
      </c>
      <c r="V270" s="52">
        <f t="shared" si="137"/>
        <v>0</v>
      </c>
      <c r="W270" s="52">
        <f t="shared" si="137"/>
        <v>0</v>
      </c>
      <c r="X270" s="52">
        <f t="shared" si="138"/>
        <v>0</v>
      </c>
      <c r="Y270" s="52">
        <f t="shared" si="138"/>
        <v>0</v>
      </c>
      <c r="Z270" s="52">
        <f t="shared" si="138"/>
        <v>0</v>
      </c>
      <c r="AA270" s="52">
        <f t="shared" si="138"/>
        <v>0</v>
      </c>
      <c r="AB270" s="52">
        <f t="shared" si="138"/>
        <v>0.10526315789473684</v>
      </c>
      <c r="AC270" s="52">
        <f t="shared" si="138"/>
        <v>0.47368421052631576</v>
      </c>
      <c r="AD270" s="52">
        <f t="shared" si="138"/>
        <v>0.84210526315789469</v>
      </c>
      <c r="AE270" s="52">
        <f t="shared" si="138"/>
        <v>1</v>
      </c>
      <c r="AF270" s="52">
        <f t="shared" si="138"/>
        <v>1</v>
      </c>
      <c r="AG270" s="52">
        <f t="shared" si="138"/>
        <v>1</v>
      </c>
      <c r="AH270" s="52">
        <f t="shared" si="138"/>
        <v>1</v>
      </c>
      <c r="AI270" s="52">
        <f t="shared" si="138"/>
        <v>1</v>
      </c>
      <c r="AJ270" s="52">
        <f t="shared" si="138"/>
        <v>1</v>
      </c>
      <c r="AK270" s="52">
        <f t="shared" si="138"/>
        <v>1</v>
      </c>
      <c r="AL270" s="52">
        <f t="shared" si="138"/>
        <v>1</v>
      </c>
      <c r="AM270" s="52">
        <f t="shared" si="138"/>
        <v>1</v>
      </c>
      <c r="AN270" s="52">
        <f t="shared" si="138"/>
        <v>1</v>
      </c>
      <c r="AO270" s="52">
        <f t="shared" si="135"/>
        <v>1</v>
      </c>
      <c r="AP270" s="52">
        <f t="shared" si="135"/>
        <v>1</v>
      </c>
      <c r="AQ270" s="52">
        <f t="shared" si="135"/>
        <v>1</v>
      </c>
      <c r="AR270" s="52">
        <f t="shared" si="135"/>
        <v>1</v>
      </c>
      <c r="AS270" s="52">
        <f t="shared" si="135"/>
        <v>1</v>
      </c>
      <c r="AT270" s="52">
        <f t="shared" si="135"/>
        <v>1</v>
      </c>
      <c r="AU270" s="52">
        <f t="shared" si="135"/>
        <v>1</v>
      </c>
      <c r="AV270" s="52">
        <f t="shared" si="135"/>
        <v>1</v>
      </c>
      <c r="AW270" s="52">
        <f t="shared" si="135"/>
        <v>1</v>
      </c>
      <c r="AX270" s="52">
        <f t="shared" si="135"/>
        <v>1</v>
      </c>
      <c r="AY270" s="52">
        <f t="shared" si="135"/>
        <v>1</v>
      </c>
      <c r="AZ270" s="52">
        <f t="shared" si="135"/>
        <v>1</v>
      </c>
      <c r="BA270" s="52">
        <f t="shared" si="135"/>
        <v>1</v>
      </c>
      <c r="BB270" s="52">
        <f t="shared" si="135"/>
        <v>1</v>
      </c>
      <c r="BC270" s="52">
        <f t="shared" si="135"/>
        <v>1</v>
      </c>
      <c r="BD270" s="52">
        <f t="shared" si="135"/>
        <v>1</v>
      </c>
      <c r="BE270" s="52">
        <f t="shared" si="135"/>
        <v>1</v>
      </c>
      <c r="BF270" s="52">
        <f t="shared" si="135"/>
        <v>1</v>
      </c>
      <c r="BG270" s="52">
        <f t="shared" si="136"/>
        <v>1</v>
      </c>
      <c r="BH270" s="52">
        <f t="shared" si="136"/>
        <v>1</v>
      </c>
      <c r="BI270" s="52">
        <f t="shared" si="136"/>
        <v>1</v>
      </c>
      <c r="BJ270" s="52">
        <f t="shared" si="136"/>
        <v>1</v>
      </c>
      <c r="BK270" s="52">
        <f t="shared" si="136"/>
        <v>1</v>
      </c>
      <c r="BL270" s="52">
        <f t="shared" si="136"/>
        <v>1</v>
      </c>
      <c r="BM270" s="52">
        <f t="shared" si="136"/>
        <v>1</v>
      </c>
      <c r="BN270" s="52">
        <f t="shared" si="136"/>
        <v>1</v>
      </c>
      <c r="BO270" s="32">
        <f t="shared" si="134"/>
        <v>0.63425512934879569</v>
      </c>
    </row>
    <row r="271" spans="1:67" s="27" customFormat="1" ht="18.75" customHeight="1" x14ac:dyDescent="0.25">
      <c r="A271" s="50" t="s">
        <v>550</v>
      </c>
      <c r="B271" s="50" t="s">
        <v>551</v>
      </c>
      <c r="C271" s="50" t="s">
        <v>126</v>
      </c>
      <c r="D271" s="51">
        <f>VLOOKUP(A271,'[1]Cuadro Control'!C308:J2201,8,FALSE)</f>
        <v>0</v>
      </c>
      <c r="E271" s="52">
        <f t="shared" si="132"/>
        <v>0</v>
      </c>
      <c r="F271" s="53">
        <v>46370</v>
      </c>
      <c r="G271" s="53">
        <v>46372</v>
      </c>
      <c r="H271" s="52">
        <f t="shared" si="137"/>
        <v>0</v>
      </c>
      <c r="I271" s="52">
        <f t="shared" si="137"/>
        <v>0</v>
      </c>
      <c r="J271" s="52">
        <f t="shared" si="137"/>
        <v>0</v>
      </c>
      <c r="K271" s="52">
        <f t="shared" si="137"/>
        <v>0</v>
      </c>
      <c r="L271" s="52">
        <f t="shared" si="137"/>
        <v>0</v>
      </c>
      <c r="M271" s="52">
        <f t="shared" si="137"/>
        <v>0</v>
      </c>
      <c r="N271" s="52">
        <f t="shared" si="137"/>
        <v>0</v>
      </c>
      <c r="O271" s="52">
        <f t="shared" si="137"/>
        <v>0</v>
      </c>
      <c r="P271" s="52">
        <f t="shared" si="137"/>
        <v>0</v>
      </c>
      <c r="Q271" s="52">
        <f t="shared" si="137"/>
        <v>0</v>
      </c>
      <c r="R271" s="52">
        <f t="shared" si="137"/>
        <v>0</v>
      </c>
      <c r="S271" s="52">
        <f t="shared" si="137"/>
        <v>0</v>
      </c>
      <c r="T271" s="52">
        <f t="shared" si="137"/>
        <v>0</v>
      </c>
      <c r="U271" s="52">
        <f t="shared" si="137"/>
        <v>0</v>
      </c>
      <c r="V271" s="52">
        <f t="shared" si="137"/>
        <v>0</v>
      </c>
      <c r="W271" s="52">
        <f t="shared" si="137"/>
        <v>0</v>
      </c>
      <c r="X271" s="52">
        <f t="shared" si="138"/>
        <v>0</v>
      </c>
      <c r="Y271" s="52">
        <f t="shared" si="138"/>
        <v>0</v>
      </c>
      <c r="Z271" s="52">
        <f t="shared" si="138"/>
        <v>0</v>
      </c>
      <c r="AA271" s="52">
        <f t="shared" si="138"/>
        <v>0</v>
      </c>
      <c r="AB271" s="52">
        <f t="shared" si="138"/>
        <v>0</v>
      </c>
      <c r="AC271" s="52">
        <f t="shared" si="138"/>
        <v>0</v>
      </c>
      <c r="AD271" s="52">
        <f t="shared" si="138"/>
        <v>0</v>
      </c>
      <c r="AE271" s="52">
        <f t="shared" si="138"/>
        <v>1</v>
      </c>
      <c r="AF271" s="52">
        <f t="shared" si="138"/>
        <v>1</v>
      </c>
      <c r="AG271" s="52">
        <f t="shared" si="138"/>
        <v>1</v>
      </c>
      <c r="AH271" s="52">
        <f t="shared" si="138"/>
        <v>1</v>
      </c>
      <c r="AI271" s="52">
        <f t="shared" si="138"/>
        <v>1</v>
      </c>
      <c r="AJ271" s="52">
        <f t="shared" si="138"/>
        <v>1</v>
      </c>
      <c r="AK271" s="52">
        <f t="shared" si="138"/>
        <v>1</v>
      </c>
      <c r="AL271" s="52">
        <f t="shared" si="138"/>
        <v>1</v>
      </c>
      <c r="AM271" s="52">
        <f t="shared" si="138"/>
        <v>1</v>
      </c>
      <c r="AN271" s="52">
        <f t="shared" si="138"/>
        <v>1</v>
      </c>
      <c r="AO271" s="52">
        <f t="shared" si="135"/>
        <v>1</v>
      </c>
      <c r="AP271" s="52">
        <f t="shared" si="135"/>
        <v>1</v>
      </c>
      <c r="AQ271" s="52">
        <f t="shared" si="135"/>
        <v>1</v>
      </c>
      <c r="AR271" s="52">
        <f t="shared" si="135"/>
        <v>1</v>
      </c>
      <c r="AS271" s="52">
        <f t="shared" si="135"/>
        <v>1</v>
      </c>
      <c r="AT271" s="52">
        <f t="shared" si="135"/>
        <v>1</v>
      </c>
      <c r="AU271" s="52">
        <f t="shared" si="135"/>
        <v>1</v>
      </c>
      <c r="AV271" s="52">
        <f t="shared" si="135"/>
        <v>1</v>
      </c>
      <c r="AW271" s="52">
        <f t="shared" si="135"/>
        <v>1</v>
      </c>
      <c r="AX271" s="52">
        <f t="shared" si="135"/>
        <v>1</v>
      </c>
      <c r="AY271" s="52">
        <f t="shared" si="135"/>
        <v>1</v>
      </c>
      <c r="AZ271" s="52">
        <f t="shared" si="135"/>
        <v>1</v>
      </c>
      <c r="BA271" s="52">
        <f t="shared" si="135"/>
        <v>1</v>
      </c>
      <c r="BB271" s="52">
        <f t="shared" si="135"/>
        <v>1</v>
      </c>
      <c r="BC271" s="52">
        <f t="shared" si="135"/>
        <v>1</v>
      </c>
      <c r="BD271" s="52">
        <f t="shared" si="135"/>
        <v>1</v>
      </c>
      <c r="BE271" s="52">
        <f t="shared" si="135"/>
        <v>1</v>
      </c>
      <c r="BF271" s="52">
        <f t="shared" si="135"/>
        <v>1</v>
      </c>
      <c r="BG271" s="52">
        <f t="shared" si="136"/>
        <v>1</v>
      </c>
      <c r="BH271" s="52">
        <f t="shared" si="136"/>
        <v>1</v>
      </c>
      <c r="BI271" s="52">
        <f t="shared" si="136"/>
        <v>1</v>
      </c>
      <c r="BJ271" s="52">
        <f t="shared" si="136"/>
        <v>1</v>
      </c>
      <c r="BK271" s="52">
        <f t="shared" si="136"/>
        <v>1</v>
      </c>
      <c r="BL271" s="52">
        <f t="shared" si="136"/>
        <v>1</v>
      </c>
      <c r="BM271" s="52">
        <f t="shared" si="136"/>
        <v>1</v>
      </c>
      <c r="BN271" s="52">
        <f t="shared" si="136"/>
        <v>1</v>
      </c>
      <c r="BO271" s="32">
        <f t="shared" si="134"/>
        <v>0.61016949152542377</v>
      </c>
    </row>
    <row r="272" spans="1:67" s="27" customFormat="1" ht="18.75" customHeight="1" x14ac:dyDescent="0.25">
      <c r="A272" s="55" t="s">
        <v>552</v>
      </c>
      <c r="B272" s="55" t="s">
        <v>553</v>
      </c>
      <c r="C272" s="55" t="s">
        <v>14</v>
      </c>
      <c r="D272" s="56">
        <f>VLOOKUP(A272,'[1]Cuadro Control'!C309:J2202,8,FALSE)</f>
        <v>0</v>
      </c>
      <c r="E272" s="57">
        <f t="shared" si="132"/>
        <v>0</v>
      </c>
      <c r="F272" s="58">
        <v>46370</v>
      </c>
      <c r="G272" s="58">
        <v>46370</v>
      </c>
      <c r="H272" s="57">
        <f t="shared" si="137"/>
        <v>0</v>
      </c>
      <c r="I272" s="57">
        <f t="shared" si="137"/>
        <v>0</v>
      </c>
      <c r="J272" s="57">
        <f t="shared" si="137"/>
        <v>0</v>
      </c>
      <c r="K272" s="57">
        <f t="shared" si="137"/>
        <v>0</v>
      </c>
      <c r="L272" s="57">
        <f t="shared" si="137"/>
        <v>0</v>
      </c>
      <c r="M272" s="57">
        <f t="shared" si="137"/>
        <v>0</v>
      </c>
      <c r="N272" s="57">
        <f t="shared" si="137"/>
        <v>0</v>
      </c>
      <c r="O272" s="57">
        <f t="shared" si="137"/>
        <v>0</v>
      </c>
      <c r="P272" s="57">
        <f t="shared" si="137"/>
        <v>0</v>
      </c>
      <c r="Q272" s="57">
        <f t="shared" si="137"/>
        <v>0</v>
      </c>
      <c r="R272" s="57">
        <f t="shared" si="137"/>
        <v>0</v>
      </c>
      <c r="S272" s="57">
        <f t="shared" si="137"/>
        <v>0</v>
      </c>
      <c r="T272" s="57">
        <f t="shared" si="137"/>
        <v>0</v>
      </c>
      <c r="U272" s="57">
        <f t="shared" si="137"/>
        <v>0</v>
      </c>
      <c r="V272" s="57">
        <f t="shared" si="137"/>
        <v>0</v>
      </c>
      <c r="W272" s="57">
        <f t="shared" si="137"/>
        <v>0</v>
      </c>
      <c r="X272" s="57">
        <f t="shared" si="138"/>
        <v>0</v>
      </c>
      <c r="Y272" s="57">
        <f t="shared" si="138"/>
        <v>0</v>
      </c>
      <c r="Z272" s="57">
        <f t="shared" si="138"/>
        <v>0</v>
      </c>
      <c r="AA272" s="57">
        <f t="shared" si="138"/>
        <v>0</v>
      </c>
      <c r="AB272" s="57">
        <f t="shared" si="138"/>
        <v>0</v>
      </c>
      <c r="AC272" s="57">
        <f t="shared" si="138"/>
        <v>0</v>
      </c>
      <c r="AD272" s="57">
        <f t="shared" si="138"/>
        <v>0</v>
      </c>
      <c r="AE272" s="57">
        <f t="shared" si="138"/>
        <v>1</v>
      </c>
      <c r="AF272" s="57">
        <f t="shared" si="138"/>
        <v>1</v>
      </c>
      <c r="AG272" s="57">
        <f t="shared" si="138"/>
        <v>1</v>
      </c>
      <c r="AH272" s="57">
        <f t="shared" si="138"/>
        <v>1</v>
      </c>
      <c r="AI272" s="57">
        <f t="shared" si="138"/>
        <v>1</v>
      </c>
      <c r="AJ272" s="57">
        <f t="shared" si="138"/>
        <v>1</v>
      </c>
      <c r="AK272" s="57">
        <f t="shared" si="138"/>
        <v>1</v>
      </c>
      <c r="AL272" s="57">
        <f t="shared" si="138"/>
        <v>1</v>
      </c>
      <c r="AM272" s="57">
        <f t="shared" si="138"/>
        <v>1</v>
      </c>
      <c r="AN272" s="57">
        <f t="shared" si="138"/>
        <v>1</v>
      </c>
      <c r="AO272" s="57">
        <f t="shared" si="135"/>
        <v>1</v>
      </c>
      <c r="AP272" s="57">
        <f t="shared" si="135"/>
        <v>1</v>
      </c>
      <c r="AQ272" s="57">
        <f t="shared" si="135"/>
        <v>1</v>
      </c>
      <c r="AR272" s="57">
        <f t="shared" si="135"/>
        <v>1</v>
      </c>
      <c r="AS272" s="57">
        <f t="shared" si="135"/>
        <v>1</v>
      </c>
      <c r="AT272" s="57">
        <f t="shared" si="135"/>
        <v>1</v>
      </c>
      <c r="AU272" s="57">
        <f t="shared" si="135"/>
        <v>1</v>
      </c>
      <c r="AV272" s="57">
        <f t="shared" si="135"/>
        <v>1</v>
      </c>
      <c r="AW272" s="57">
        <f t="shared" si="135"/>
        <v>1</v>
      </c>
      <c r="AX272" s="57">
        <f t="shared" si="135"/>
        <v>1</v>
      </c>
      <c r="AY272" s="57">
        <f t="shared" si="135"/>
        <v>1</v>
      </c>
      <c r="AZ272" s="57">
        <f t="shared" si="135"/>
        <v>1</v>
      </c>
      <c r="BA272" s="57">
        <f t="shared" si="135"/>
        <v>1</v>
      </c>
      <c r="BB272" s="57">
        <f t="shared" si="135"/>
        <v>1</v>
      </c>
      <c r="BC272" s="57">
        <f t="shared" si="135"/>
        <v>1</v>
      </c>
      <c r="BD272" s="57">
        <f t="shared" si="135"/>
        <v>1</v>
      </c>
      <c r="BE272" s="57">
        <f t="shared" si="135"/>
        <v>1</v>
      </c>
      <c r="BF272" s="57">
        <f t="shared" si="135"/>
        <v>1</v>
      </c>
      <c r="BG272" s="57">
        <f t="shared" si="136"/>
        <v>1</v>
      </c>
      <c r="BH272" s="57">
        <f t="shared" si="136"/>
        <v>1</v>
      </c>
      <c r="BI272" s="57">
        <f t="shared" si="136"/>
        <v>1</v>
      </c>
      <c r="BJ272" s="57">
        <f t="shared" si="136"/>
        <v>1</v>
      </c>
      <c r="BK272" s="57">
        <f t="shared" si="136"/>
        <v>1</v>
      </c>
      <c r="BL272" s="57">
        <f t="shared" si="136"/>
        <v>1</v>
      </c>
      <c r="BM272" s="57">
        <f t="shared" si="136"/>
        <v>1</v>
      </c>
      <c r="BN272" s="57">
        <f t="shared" si="136"/>
        <v>1</v>
      </c>
      <c r="BO272" s="32">
        <f t="shared" si="134"/>
        <v>0.61016949152542377</v>
      </c>
    </row>
    <row r="273" spans="1:67" s="27" customFormat="1" ht="18.75" customHeight="1" x14ac:dyDescent="0.25">
      <c r="A273" s="50" t="s">
        <v>554</v>
      </c>
      <c r="B273" s="50" t="s">
        <v>555</v>
      </c>
      <c r="C273" s="50" t="s">
        <v>111</v>
      </c>
      <c r="D273" s="51">
        <f>VLOOKUP(A273,'[1]Cuadro Control'!C310:J2203,8,FALSE)</f>
        <v>1230815225.9452939</v>
      </c>
      <c r="E273" s="52">
        <f t="shared" si="132"/>
        <v>0.2318411625341423</v>
      </c>
      <c r="F273" s="53">
        <v>46373</v>
      </c>
      <c r="G273" s="53">
        <v>46373</v>
      </c>
      <c r="H273" s="52">
        <f t="shared" si="137"/>
        <v>0</v>
      </c>
      <c r="I273" s="52">
        <f t="shared" si="137"/>
        <v>0</v>
      </c>
      <c r="J273" s="52">
        <f t="shared" si="137"/>
        <v>0</v>
      </c>
      <c r="K273" s="52">
        <f t="shared" si="137"/>
        <v>0</v>
      </c>
      <c r="L273" s="52">
        <f t="shared" si="137"/>
        <v>0</v>
      </c>
      <c r="M273" s="52">
        <f t="shared" si="137"/>
        <v>0</v>
      </c>
      <c r="N273" s="52">
        <f t="shared" si="137"/>
        <v>0</v>
      </c>
      <c r="O273" s="52">
        <f t="shared" si="137"/>
        <v>0</v>
      </c>
      <c r="P273" s="52">
        <f t="shared" si="137"/>
        <v>0</v>
      </c>
      <c r="Q273" s="52">
        <f t="shared" si="137"/>
        <v>0</v>
      </c>
      <c r="R273" s="52">
        <f t="shared" si="137"/>
        <v>0</v>
      </c>
      <c r="S273" s="52">
        <f t="shared" si="137"/>
        <v>0</v>
      </c>
      <c r="T273" s="52">
        <f t="shared" si="137"/>
        <v>0</v>
      </c>
      <c r="U273" s="52">
        <f t="shared" si="137"/>
        <v>0</v>
      </c>
      <c r="V273" s="52">
        <f t="shared" si="137"/>
        <v>0</v>
      </c>
      <c r="W273" s="52">
        <f t="shared" si="137"/>
        <v>0</v>
      </c>
      <c r="X273" s="52">
        <f t="shared" si="138"/>
        <v>0</v>
      </c>
      <c r="Y273" s="52">
        <f t="shared" si="138"/>
        <v>0</v>
      </c>
      <c r="Z273" s="52">
        <f t="shared" si="138"/>
        <v>0</v>
      </c>
      <c r="AA273" s="52">
        <f t="shared" si="138"/>
        <v>0</v>
      </c>
      <c r="AB273" s="52">
        <f t="shared" si="138"/>
        <v>0</v>
      </c>
      <c r="AC273" s="52">
        <f t="shared" si="138"/>
        <v>0</v>
      </c>
      <c r="AD273" s="52">
        <f t="shared" si="138"/>
        <v>0</v>
      </c>
      <c r="AE273" s="52">
        <f t="shared" si="138"/>
        <v>1</v>
      </c>
      <c r="AF273" s="52">
        <f t="shared" si="138"/>
        <v>1</v>
      </c>
      <c r="AG273" s="52">
        <f t="shared" si="138"/>
        <v>1</v>
      </c>
      <c r="AH273" s="52">
        <f t="shared" si="138"/>
        <v>1</v>
      </c>
      <c r="AI273" s="52">
        <f t="shared" si="138"/>
        <v>1</v>
      </c>
      <c r="AJ273" s="52">
        <f t="shared" si="138"/>
        <v>1</v>
      </c>
      <c r="AK273" s="52">
        <f t="shared" si="138"/>
        <v>1</v>
      </c>
      <c r="AL273" s="52">
        <f t="shared" si="138"/>
        <v>1</v>
      </c>
      <c r="AM273" s="52">
        <f t="shared" si="138"/>
        <v>1</v>
      </c>
      <c r="AN273" s="52">
        <f t="shared" si="138"/>
        <v>1</v>
      </c>
      <c r="AO273" s="52">
        <f t="shared" si="135"/>
        <v>1</v>
      </c>
      <c r="AP273" s="52">
        <f t="shared" si="135"/>
        <v>1</v>
      </c>
      <c r="AQ273" s="52">
        <f t="shared" si="135"/>
        <v>1</v>
      </c>
      <c r="AR273" s="52">
        <f t="shared" si="135"/>
        <v>1</v>
      </c>
      <c r="AS273" s="52">
        <f t="shared" si="135"/>
        <v>1</v>
      </c>
      <c r="AT273" s="52">
        <f t="shared" si="135"/>
        <v>1</v>
      </c>
      <c r="AU273" s="52">
        <f t="shared" si="135"/>
        <v>1</v>
      </c>
      <c r="AV273" s="52">
        <f t="shared" si="135"/>
        <v>1</v>
      </c>
      <c r="AW273" s="52">
        <f t="shared" si="135"/>
        <v>1</v>
      </c>
      <c r="AX273" s="52">
        <f t="shared" si="135"/>
        <v>1</v>
      </c>
      <c r="AY273" s="52">
        <f t="shared" si="135"/>
        <v>1</v>
      </c>
      <c r="AZ273" s="52">
        <f t="shared" si="135"/>
        <v>1</v>
      </c>
      <c r="BA273" s="52">
        <f t="shared" si="135"/>
        <v>1</v>
      </c>
      <c r="BB273" s="52">
        <f t="shared" si="135"/>
        <v>1</v>
      </c>
      <c r="BC273" s="52">
        <f t="shared" si="135"/>
        <v>1</v>
      </c>
      <c r="BD273" s="52">
        <f t="shared" si="135"/>
        <v>1</v>
      </c>
      <c r="BE273" s="52">
        <f t="shared" si="135"/>
        <v>1</v>
      </c>
      <c r="BF273" s="52">
        <f t="shared" si="135"/>
        <v>1</v>
      </c>
      <c r="BG273" s="52">
        <f t="shared" si="136"/>
        <v>1</v>
      </c>
      <c r="BH273" s="52">
        <f t="shared" si="136"/>
        <v>1</v>
      </c>
      <c r="BI273" s="52">
        <f t="shared" si="136"/>
        <v>1</v>
      </c>
      <c r="BJ273" s="52">
        <f t="shared" si="136"/>
        <v>1</v>
      </c>
      <c r="BK273" s="52">
        <f t="shared" si="136"/>
        <v>1</v>
      </c>
      <c r="BL273" s="52">
        <f t="shared" si="136"/>
        <v>1</v>
      </c>
      <c r="BM273" s="52">
        <f t="shared" si="136"/>
        <v>1</v>
      </c>
      <c r="BN273" s="52">
        <f t="shared" si="136"/>
        <v>1</v>
      </c>
      <c r="BO273" s="32">
        <f t="shared" si="134"/>
        <v>0.61016949152542377</v>
      </c>
    </row>
    <row r="274" spans="1:67" s="27" customFormat="1" ht="18.75" customHeight="1" x14ac:dyDescent="0.25">
      <c r="A274" s="50" t="s">
        <v>556</v>
      </c>
      <c r="B274" s="50" t="s">
        <v>557</v>
      </c>
      <c r="C274" s="50" t="s">
        <v>238</v>
      </c>
      <c r="D274" s="51">
        <f>VLOOKUP(A274,'[1]Cuadro Control'!C311:J2204,8,FALSE)</f>
        <v>0</v>
      </c>
      <c r="E274" s="52">
        <f t="shared" si="132"/>
        <v>0</v>
      </c>
      <c r="F274" s="53">
        <v>46373</v>
      </c>
      <c r="G274" s="53">
        <v>46382</v>
      </c>
      <c r="H274" s="52">
        <f t="shared" si="137"/>
        <v>0</v>
      </c>
      <c r="I274" s="52">
        <f t="shared" si="137"/>
        <v>0</v>
      </c>
      <c r="J274" s="52">
        <f t="shared" si="137"/>
        <v>0</v>
      </c>
      <c r="K274" s="52">
        <f t="shared" si="137"/>
        <v>0</v>
      </c>
      <c r="L274" s="52">
        <f t="shared" si="137"/>
        <v>0</v>
      </c>
      <c r="M274" s="52">
        <f t="shared" si="137"/>
        <v>0</v>
      </c>
      <c r="N274" s="52">
        <f t="shared" si="137"/>
        <v>0</v>
      </c>
      <c r="O274" s="52">
        <f t="shared" si="137"/>
        <v>0</v>
      </c>
      <c r="P274" s="52">
        <f t="shared" si="137"/>
        <v>0</v>
      </c>
      <c r="Q274" s="52">
        <f t="shared" si="137"/>
        <v>0</v>
      </c>
      <c r="R274" s="52">
        <f t="shared" si="137"/>
        <v>0</v>
      </c>
      <c r="S274" s="52">
        <f t="shared" si="137"/>
        <v>0</v>
      </c>
      <c r="T274" s="52">
        <f t="shared" si="137"/>
        <v>0</v>
      </c>
      <c r="U274" s="52">
        <f t="shared" si="137"/>
        <v>0</v>
      </c>
      <c r="V274" s="52">
        <f t="shared" si="137"/>
        <v>0</v>
      </c>
      <c r="W274" s="52">
        <f t="shared" si="137"/>
        <v>0</v>
      </c>
      <c r="X274" s="52">
        <f t="shared" si="138"/>
        <v>0</v>
      </c>
      <c r="Y274" s="52">
        <f t="shared" si="138"/>
        <v>0</v>
      </c>
      <c r="Z274" s="52">
        <f t="shared" si="138"/>
        <v>0</v>
      </c>
      <c r="AA274" s="52">
        <f t="shared" si="138"/>
        <v>0</v>
      </c>
      <c r="AB274" s="52">
        <f t="shared" si="138"/>
        <v>0</v>
      </c>
      <c r="AC274" s="52">
        <f t="shared" si="138"/>
        <v>0</v>
      </c>
      <c r="AD274" s="52">
        <f t="shared" si="138"/>
        <v>0</v>
      </c>
      <c r="AE274" s="52">
        <f t="shared" si="138"/>
        <v>0.2</v>
      </c>
      <c r="AF274" s="52">
        <f t="shared" si="138"/>
        <v>0.9</v>
      </c>
      <c r="AG274" s="52">
        <f t="shared" si="138"/>
        <v>1</v>
      </c>
      <c r="AH274" s="52">
        <f t="shared" si="138"/>
        <v>1</v>
      </c>
      <c r="AI274" s="52">
        <f t="shared" si="138"/>
        <v>1</v>
      </c>
      <c r="AJ274" s="52">
        <f t="shared" si="138"/>
        <v>1</v>
      </c>
      <c r="AK274" s="52">
        <f t="shared" si="138"/>
        <v>1</v>
      </c>
      <c r="AL274" s="52">
        <f t="shared" si="138"/>
        <v>1</v>
      </c>
      <c r="AM274" s="52">
        <f t="shared" si="138"/>
        <v>1</v>
      </c>
      <c r="AN274" s="52">
        <f t="shared" si="138"/>
        <v>1</v>
      </c>
      <c r="AO274" s="52">
        <f t="shared" si="135"/>
        <v>1</v>
      </c>
      <c r="AP274" s="52">
        <f t="shared" si="135"/>
        <v>1</v>
      </c>
      <c r="AQ274" s="52">
        <f t="shared" si="135"/>
        <v>1</v>
      </c>
      <c r="AR274" s="52">
        <f t="shared" si="135"/>
        <v>1</v>
      </c>
      <c r="AS274" s="52">
        <f t="shared" si="135"/>
        <v>1</v>
      </c>
      <c r="AT274" s="52">
        <f t="shared" si="135"/>
        <v>1</v>
      </c>
      <c r="AU274" s="52">
        <f t="shared" si="135"/>
        <v>1</v>
      </c>
      <c r="AV274" s="52">
        <f t="shared" si="135"/>
        <v>1</v>
      </c>
      <c r="AW274" s="52">
        <f t="shared" si="135"/>
        <v>1</v>
      </c>
      <c r="AX274" s="52">
        <f t="shared" si="135"/>
        <v>1</v>
      </c>
      <c r="AY274" s="52">
        <f t="shared" si="135"/>
        <v>1</v>
      </c>
      <c r="AZ274" s="52">
        <f t="shared" si="135"/>
        <v>1</v>
      </c>
      <c r="BA274" s="52">
        <f t="shared" si="135"/>
        <v>1</v>
      </c>
      <c r="BB274" s="52">
        <f t="shared" si="135"/>
        <v>1</v>
      </c>
      <c r="BC274" s="52">
        <f t="shared" si="135"/>
        <v>1</v>
      </c>
      <c r="BD274" s="52">
        <f t="shared" si="135"/>
        <v>1</v>
      </c>
      <c r="BE274" s="52">
        <f t="shared" si="135"/>
        <v>1</v>
      </c>
      <c r="BF274" s="52">
        <f t="shared" si="135"/>
        <v>1</v>
      </c>
      <c r="BG274" s="52">
        <f t="shared" si="136"/>
        <v>1</v>
      </c>
      <c r="BH274" s="52">
        <f t="shared" si="136"/>
        <v>1</v>
      </c>
      <c r="BI274" s="52">
        <f t="shared" si="136"/>
        <v>1</v>
      </c>
      <c r="BJ274" s="52">
        <f t="shared" si="136"/>
        <v>1</v>
      </c>
      <c r="BK274" s="52">
        <f t="shared" si="136"/>
        <v>1</v>
      </c>
      <c r="BL274" s="52">
        <f t="shared" si="136"/>
        <v>1</v>
      </c>
      <c r="BM274" s="52">
        <f t="shared" si="136"/>
        <v>1</v>
      </c>
      <c r="BN274" s="52">
        <f t="shared" si="136"/>
        <v>1</v>
      </c>
      <c r="BO274" s="32">
        <f t="shared" si="134"/>
        <v>0.59491525423728819</v>
      </c>
    </row>
    <row r="275" spans="1:67" s="27" customFormat="1" ht="18.75" customHeight="1" x14ac:dyDescent="0.25">
      <c r="A275" s="50" t="s">
        <v>558</v>
      </c>
      <c r="B275" s="50" t="s">
        <v>559</v>
      </c>
      <c r="C275" s="50" t="s">
        <v>126</v>
      </c>
      <c r="D275" s="51">
        <f>VLOOKUP(A275,'[1]Cuadro Control'!C312:J2205,8,FALSE)</f>
        <v>52736347.43270281</v>
      </c>
      <c r="E275" s="52">
        <f t="shared" si="132"/>
        <v>9.933624348213644E-3</v>
      </c>
      <c r="F275" s="53">
        <v>46382</v>
      </c>
      <c r="G275" s="53">
        <v>46385</v>
      </c>
      <c r="H275" s="52">
        <f t="shared" si="137"/>
        <v>0</v>
      </c>
      <c r="I275" s="52">
        <f t="shared" si="137"/>
        <v>0</v>
      </c>
      <c r="J275" s="52">
        <f t="shared" si="137"/>
        <v>0</v>
      </c>
      <c r="K275" s="52">
        <f t="shared" si="137"/>
        <v>0</v>
      </c>
      <c r="L275" s="52">
        <f t="shared" si="137"/>
        <v>0</v>
      </c>
      <c r="M275" s="52">
        <f t="shared" si="137"/>
        <v>0</v>
      </c>
      <c r="N275" s="52">
        <f t="shared" si="137"/>
        <v>0</v>
      </c>
      <c r="O275" s="52">
        <f t="shared" si="137"/>
        <v>0</v>
      </c>
      <c r="P275" s="52">
        <f t="shared" si="137"/>
        <v>0</v>
      </c>
      <c r="Q275" s="52">
        <f t="shared" si="137"/>
        <v>0</v>
      </c>
      <c r="R275" s="52">
        <f t="shared" si="137"/>
        <v>0</v>
      </c>
      <c r="S275" s="52">
        <f t="shared" si="137"/>
        <v>0</v>
      </c>
      <c r="T275" s="52">
        <f t="shared" si="137"/>
        <v>0</v>
      </c>
      <c r="U275" s="52">
        <f t="shared" si="137"/>
        <v>0</v>
      </c>
      <c r="V275" s="52">
        <f t="shared" si="137"/>
        <v>0</v>
      </c>
      <c r="W275" s="52">
        <f t="shared" si="137"/>
        <v>0</v>
      </c>
      <c r="X275" s="52">
        <f t="shared" si="138"/>
        <v>0</v>
      </c>
      <c r="Y275" s="52">
        <f t="shared" si="138"/>
        <v>0</v>
      </c>
      <c r="Z275" s="52">
        <f t="shared" si="138"/>
        <v>0</v>
      </c>
      <c r="AA275" s="52">
        <f t="shared" si="138"/>
        <v>0</v>
      </c>
      <c r="AB275" s="52">
        <f t="shared" si="138"/>
        <v>0</v>
      </c>
      <c r="AC275" s="52">
        <f t="shared" si="138"/>
        <v>0</v>
      </c>
      <c r="AD275" s="52">
        <f t="shared" si="138"/>
        <v>0</v>
      </c>
      <c r="AE275" s="52">
        <f t="shared" si="138"/>
        <v>0</v>
      </c>
      <c r="AF275" s="52">
        <f t="shared" si="138"/>
        <v>0</v>
      </c>
      <c r="AG275" s="52">
        <f t="shared" si="138"/>
        <v>1</v>
      </c>
      <c r="AH275" s="52">
        <f t="shared" si="138"/>
        <v>1</v>
      </c>
      <c r="AI275" s="52">
        <f t="shared" si="138"/>
        <v>1</v>
      </c>
      <c r="AJ275" s="52">
        <f t="shared" si="138"/>
        <v>1</v>
      </c>
      <c r="AK275" s="52">
        <f t="shared" si="138"/>
        <v>1</v>
      </c>
      <c r="AL275" s="52">
        <f t="shared" si="138"/>
        <v>1</v>
      </c>
      <c r="AM275" s="52">
        <f t="shared" si="138"/>
        <v>1</v>
      </c>
      <c r="AN275" s="52">
        <f t="shared" si="138"/>
        <v>1</v>
      </c>
      <c r="AO275" s="52">
        <f t="shared" si="135"/>
        <v>1</v>
      </c>
      <c r="AP275" s="52">
        <f t="shared" si="135"/>
        <v>1</v>
      </c>
      <c r="AQ275" s="52">
        <f t="shared" si="135"/>
        <v>1</v>
      </c>
      <c r="AR275" s="52">
        <f t="shared" si="135"/>
        <v>1</v>
      </c>
      <c r="AS275" s="52">
        <f t="shared" si="135"/>
        <v>1</v>
      </c>
      <c r="AT275" s="52">
        <f t="shared" si="135"/>
        <v>1</v>
      </c>
      <c r="AU275" s="52">
        <f t="shared" si="135"/>
        <v>1</v>
      </c>
      <c r="AV275" s="52">
        <f t="shared" si="135"/>
        <v>1</v>
      </c>
      <c r="AW275" s="52">
        <f t="shared" si="135"/>
        <v>1</v>
      </c>
      <c r="AX275" s="52">
        <f t="shared" si="135"/>
        <v>1</v>
      </c>
      <c r="AY275" s="52">
        <f t="shared" si="135"/>
        <v>1</v>
      </c>
      <c r="AZ275" s="52">
        <f t="shared" si="135"/>
        <v>1</v>
      </c>
      <c r="BA275" s="52">
        <f t="shared" si="135"/>
        <v>1</v>
      </c>
      <c r="BB275" s="52">
        <f t="shared" si="135"/>
        <v>1</v>
      </c>
      <c r="BC275" s="52">
        <f t="shared" si="135"/>
        <v>1</v>
      </c>
      <c r="BD275" s="52">
        <f t="shared" si="135"/>
        <v>1</v>
      </c>
      <c r="BE275" s="52">
        <f t="shared" si="135"/>
        <v>1</v>
      </c>
      <c r="BF275" s="52">
        <f t="shared" si="135"/>
        <v>1</v>
      </c>
      <c r="BG275" s="52">
        <f t="shared" si="136"/>
        <v>1</v>
      </c>
      <c r="BH275" s="52">
        <f t="shared" si="136"/>
        <v>1</v>
      </c>
      <c r="BI275" s="52">
        <f t="shared" si="136"/>
        <v>1</v>
      </c>
      <c r="BJ275" s="52">
        <f t="shared" si="136"/>
        <v>1</v>
      </c>
      <c r="BK275" s="52">
        <f t="shared" si="136"/>
        <v>1</v>
      </c>
      <c r="BL275" s="52">
        <f t="shared" si="136"/>
        <v>1</v>
      </c>
      <c r="BM275" s="52">
        <f t="shared" si="136"/>
        <v>1</v>
      </c>
      <c r="BN275" s="52">
        <f t="shared" si="136"/>
        <v>1</v>
      </c>
      <c r="BO275" s="32">
        <f t="shared" si="134"/>
        <v>0.57627118644067798</v>
      </c>
    </row>
    <row r="276" spans="1:67" s="27" customFormat="1" ht="18.75" customHeight="1" x14ac:dyDescent="0.25">
      <c r="A276" s="50" t="s">
        <v>560</v>
      </c>
      <c r="B276" s="50" t="s">
        <v>561</v>
      </c>
      <c r="C276" s="50" t="s">
        <v>117</v>
      </c>
      <c r="D276" s="51">
        <f>VLOOKUP(A276,'[1]Cuadro Control'!C313:J2206,8,FALSE)</f>
        <v>46410609.014634147</v>
      </c>
      <c r="E276" s="52">
        <f t="shared" si="132"/>
        <v>8.742083556535862E-3</v>
      </c>
      <c r="F276" s="53">
        <v>46386</v>
      </c>
      <c r="G276" s="53">
        <v>46387</v>
      </c>
      <c r="H276" s="52">
        <f t="shared" si="137"/>
        <v>0</v>
      </c>
      <c r="I276" s="52">
        <f t="shared" si="137"/>
        <v>0</v>
      </c>
      <c r="J276" s="52">
        <f t="shared" si="137"/>
        <v>0</v>
      </c>
      <c r="K276" s="52">
        <f t="shared" si="137"/>
        <v>0</v>
      </c>
      <c r="L276" s="52">
        <f t="shared" si="137"/>
        <v>0</v>
      </c>
      <c r="M276" s="52">
        <f t="shared" si="137"/>
        <v>0</v>
      </c>
      <c r="N276" s="52">
        <f t="shared" si="137"/>
        <v>0</v>
      </c>
      <c r="O276" s="52">
        <f t="shared" si="137"/>
        <v>0</v>
      </c>
      <c r="P276" s="52">
        <f t="shared" si="137"/>
        <v>0</v>
      </c>
      <c r="Q276" s="52">
        <f t="shared" si="137"/>
        <v>0</v>
      </c>
      <c r="R276" s="52">
        <f t="shared" si="137"/>
        <v>0</v>
      </c>
      <c r="S276" s="52">
        <f t="shared" si="137"/>
        <v>0</v>
      </c>
      <c r="T276" s="52">
        <f t="shared" si="137"/>
        <v>0</v>
      </c>
      <c r="U276" s="52">
        <f t="shared" si="137"/>
        <v>0</v>
      </c>
      <c r="V276" s="52">
        <f t="shared" si="137"/>
        <v>0</v>
      </c>
      <c r="W276" s="52">
        <f t="shared" si="137"/>
        <v>0</v>
      </c>
      <c r="X276" s="52">
        <f t="shared" si="138"/>
        <v>0</v>
      </c>
      <c r="Y276" s="52">
        <f t="shared" si="138"/>
        <v>0</v>
      </c>
      <c r="Z276" s="52">
        <f t="shared" si="138"/>
        <v>0</v>
      </c>
      <c r="AA276" s="52">
        <f t="shared" si="138"/>
        <v>0</v>
      </c>
      <c r="AB276" s="52">
        <f t="shared" si="138"/>
        <v>0</v>
      </c>
      <c r="AC276" s="52">
        <f t="shared" si="138"/>
        <v>0</v>
      </c>
      <c r="AD276" s="52">
        <f t="shared" si="138"/>
        <v>0</v>
      </c>
      <c r="AE276" s="52">
        <f t="shared" si="138"/>
        <v>0</v>
      </c>
      <c r="AF276" s="52">
        <f t="shared" si="138"/>
        <v>0</v>
      </c>
      <c r="AG276" s="52">
        <f t="shared" si="138"/>
        <v>1</v>
      </c>
      <c r="AH276" s="52">
        <f t="shared" si="138"/>
        <v>1</v>
      </c>
      <c r="AI276" s="52">
        <f t="shared" si="138"/>
        <v>1</v>
      </c>
      <c r="AJ276" s="52">
        <f t="shared" si="138"/>
        <v>1</v>
      </c>
      <c r="AK276" s="52">
        <f t="shared" si="138"/>
        <v>1</v>
      </c>
      <c r="AL276" s="52">
        <f t="shared" si="138"/>
        <v>1</v>
      </c>
      <c r="AM276" s="52">
        <f t="shared" si="138"/>
        <v>1</v>
      </c>
      <c r="AN276" s="52">
        <f t="shared" si="138"/>
        <v>1</v>
      </c>
      <c r="AO276" s="52">
        <f t="shared" si="135"/>
        <v>1</v>
      </c>
      <c r="AP276" s="52">
        <f t="shared" si="135"/>
        <v>1</v>
      </c>
      <c r="AQ276" s="52">
        <f t="shared" si="135"/>
        <v>1</v>
      </c>
      <c r="AR276" s="52">
        <f t="shared" si="135"/>
        <v>1</v>
      </c>
      <c r="AS276" s="52">
        <f t="shared" si="135"/>
        <v>1</v>
      </c>
      <c r="AT276" s="52">
        <f t="shared" si="135"/>
        <v>1</v>
      </c>
      <c r="AU276" s="52">
        <f t="shared" si="135"/>
        <v>1</v>
      </c>
      <c r="AV276" s="52">
        <f t="shared" si="135"/>
        <v>1</v>
      </c>
      <c r="AW276" s="52">
        <f t="shared" si="135"/>
        <v>1</v>
      </c>
      <c r="AX276" s="52">
        <f t="shared" si="135"/>
        <v>1</v>
      </c>
      <c r="AY276" s="52">
        <f t="shared" si="135"/>
        <v>1</v>
      </c>
      <c r="AZ276" s="52">
        <f t="shared" si="135"/>
        <v>1</v>
      </c>
      <c r="BA276" s="52">
        <f t="shared" si="135"/>
        <v>1</v>
      </c>
      <c r="BB276" s="52">
        <f t="shared" si="135"/>
        <v>1</v>
      </c>
      <c r="BC276" s="52">
        <f t="shared" si="135"/>
        <v>1</v>
      </c>
      <c r="BD276" s="52">
        <f t="shared" si="135"/>
        <v>1</v>
      </c>
      <c r="BE276" s="52">
        <f t="shared" si="135"/>
        <v>1</v>
      </c>
      <c r="BF276" s="52">
        <f t="shared" si="135"/>
        <v>1</v>
      </c>
      <c r="BG276" s="52">
        <f t="shared" si="136"/>
        <v>1</v>
      </c>
      <c r="BH276" s="52">
        <f t="shared" si="136"/>
        <v>1</v>
      </c>
      <c r="BI276" s="52">
        <f t="shared" si="136"/>
        <v>1</v>
      </c>
      <c r="BJ276" s="52">
        <f t="shared" si="136"/>
        <v>1</v>
      </c>
      <c r="BK276" s="52">
        <f t="shared" si="136"/>
        <v>1</v>
      </c>
      <c r="BL276" s="52">
        <f t="shared" si="136"/>
        <v>1</v>
      </c>
      <c r="BM276" s="52">
        <f t="shared" si="136"/>
        <v>1</v>
      </c>
      <c r="BN276" s="52">
        <f t="shared" si="136"/>
        <v>1</v>
      </c>
      <c r="BO276" s="32">
        <f t="shared" si="134"/>
        <v>0.57627118644067798</v>
      </c>
    </row>
    <row r="277" spans="1:67" s="27" customFormat="1" ht="18.75" customHeight="1" x14ac:dyDescent="0.25">
      <c r="A277" s="50" t="s">
        <v>562</v>
      </c>
      <c r="B277" s="50" t="s">
        <v>563</v>
      </c>
      <c r="C277" s="50" t="s">
        <v>61</v>
      </c>
      <c r="D277" s="51">
        <f>VLOOKUP(A277,'[1]Cuadro Control'!C314:J2207,8,FALSE)</f>
        <v>1587346329.5488234</v>
      </c>
      <c r="E277" s="52">
        <f t="shared" si="132"/>
        <v>0.29899875353285565</v>
      </c>
      <c r="F277" s="53">
        <v>46386</v>
      </c>
      <c r="G277" s="53">
        <v>46396</v>
      </c>
      <c r="H277" s="52">
        <f t="shared" si="137"/>
        <v>0</v>
      </c>
      <c r="I277" s="52">
        <f t="shared" si="137"/>
        <v>0</v>
      </c>
      <c r="J277" s="52">
        <f t="shared" si="137"/>
        <v>0</v>
      </c>
      <c r="K277" s="52">
        <f t="shared" si="137"/>
        <v>0</v>
      </c>
      <c r="L277" s="52">
        <f t="shared" si="137"/>
        <v>0</v>
      </c>
      <c r="M277" s="52">
        <f t="shared" si="137"/>
        <v>0</v>
      </c>
      <c r="N277" s="52">
        <f t="shared" si="137"/>
        <v>0</v>
      </c>
      <c r="O277" s="52">
        <f t="shared" si="137"/>
        <v>0</v>
      </c>
      <c r="P277" s="52">
        <f t="shared" si="137"/>
        <v>0</v>
      </c>
      <c r="Q277" s="52">
        <f t="shared" si="137"/>
        <v>0</v>
      </c>
      <c r="R277" s="52">
        <f t="shared" si="137"/>
        <v>0</v>
      </c>
      <c r="S277" s="52">
        <f t="shared" si="137"/>
        <v>0</v>
      </c>
      <c r="T277" s="52">
        <f t="shared" si="137"/>
        <v>0</v>
      </c>
      <c r="U277" s="52">
        <f t="shared" si="137"/>
        <v>0</v>
      </c>
      <c r="V277" s="52">
        <f t="shared" si="137"/>
        <v>0</v>
      </c>
      <c r="W277" s="52">
        <f t="shared" si="137"/>
        <v>0</v>
      </c>
      <c r="X277" s="52">
        <f t="shared" si="138"/>
        <v>0</v>
      </c>
      <c r="Y277" s="52">
        <f t="shared" si="138"/>
        <v>0</v>
      </c>
      <c r="Z277" s="52">
        <f t="shared" si="138"/>
        <v>0</v>
      </c>
      <c r="AA277" s="52">
        <f t="shared" si="138"/>
        <v>0</v>
      </c>
      <c r="AB277" s="52">
        <f t="shared" si="138"/>
        <v>0</v>
      </c>
      <c r="AC277" s="52">
        <f t="shared" si="138"/>
        <v>0</v>
      </c>
      <c r="AD277" s="52">
        <f t="shared" si="138"/>
        <v>0</v>
      </c>
      <c r="AE277" s="52">
        <f t="shared" si="138"/>
        <v>0</v>
      </c>
      <c r="AF277" s="52">
        <f t="shared" si="138"/>
        <v>0</v>
      </c>
      <c r="AG277" s="52">
        <f t="shared" si="138"/>
        <v>0.27272727272727271</v>
      </c>
      <c r="AH277" s="52">
        <f t="shared" si="138"/>
        <v>0.90909090909090906</v>
      </c>
      <c r="AI277" s="52">
        <f t="shared" si="138"/>
        <v>1</v>
      </c>
      <c r="AJ277" s="52">
        <f t="shared" si="138"/>
        <v>1</v>
      </c>
      <c r="AK277" s="52">
        <f t="shared" si="138"/>
        <v>1</v>
      </c>
      <c r="AL277" s="52">
        <f t="shared" si="138"/>
        <v>1</v>
      </c>
      <c r="AM277" s="52">
        <f t="shared" si="138"/>
        <v>1</v>
      </c>
      <c r="AN277" s="52">
        <f t="shared" si="138"/>
        <v>1</v>
      </c>
      <c r="AO277" s="52">
        <f t="shared" si="135"/>
        <v>1</v>
      </c>
      <c r="AP277" s="52">
        <f t="shared" si="135"/>
        <v>1</v>
      </c>
      <c r="AQ277" s="52">
        <f t="shared" si="135"/>
        <v>1</v>
      </c>
      <c r="AR277" s="52">
        <f t="shared" si="135"/>
        <v>1</v>
      </c>
      <c r="AS277" s="52">
        <f t="shared" si="135"/>
        <v>1</v>
      </c>
      <c r="AT277" s="52">
        <f t="shared" si="135"/>
        <v>1</v>
      </c>
      <c r="AU277" s="52">
        <f t="shared" si="135"/>
        <v>1</v>
      </c>
      <c r="AV277" s="52">
        <f t="shared" si="135"/>
        <v>1</v>
      </c>
      <c r="AW277" s="52">
        <f t="shared" si="135"/>
        <v>1</v>
      </c>
      <c r="AX277" s="52">
        <f t="shared" si="135"/>
        <v>1</v>
      </c>
      <c r="AY277" s="52">
        <f t="shared" si="135"/>
        <v>1</v>
      </c>
      <c r="AZ277" s="52">
        <f t="shared" si="135"/>
        <v>1</v>
      </c>
      <c r="BA277" s="52">
        <f t="shared" si="135"/>
        <v>1</v>
      </c>
      <c r="BB277" s="52">
        <f t="shared" si="135"/>
        <v>1</v>
      </c>
      <c r="BC277" s="52">
        <f t="shared" si="135"/>
        <v>1</v>
      </c>
      <c r="BD277" s="52">
        <f t="shared" si="135"/>
        <v>1</v>
      </c>
      <c r="BE277" s="52">
        <f t="shared" si="135"/>
        <v>1</v>
      </c>
      <c r="BF277" s="52">
        <f t="shared" si="135"/>
        <v>1</v>
      </c>
      <c r="BG277" s="52">
        <f t="shared" si="136"/>
        <v>1</v>
      </c>
      <c r="BH277" s="52">
        <f t="shared" si="136"/>
        <v>1</v>
      </c>
      <c r="BI277" s="52">
        <f t="shared" si="136"/>
        <v>1</v>
      </c>
      <c r="BJ277" s="52">
        <f t="shared" si="136"/>
        <v>1</v>
      </c>
      <c r="BK277" s="52">
        <f t="shared" si="136"/>
        <v>1</v>
      </c>
      <c r="BL277" s="52">
        <f t="shared" si="136"/>
        <v>1</v>
      </c>
      <c r="BM277" s="52">
        <f t="shared" si="136"/>
        <v>1</v>
      </c>
      <c r="BN277" s="52">
        <f t="shared" si="136"/>
        <v>1</v>
      </c>
      <c r="BO277" s="32">
        <f t="shared" si="134"/>
        <v>0.56240369799691825</v>
      </c>
    </row>
    <row r="278" spans="1:67" s="27" customFormat="1" ht="18.75" customHeight="1" x14ac:dyDescent="0.25">
      <c r="A278" s="46" t="s">
        <v>564</v>
      </c>
      <c r="B278" s="46" t="s">
        <v>565</v>
      </c>
      <c r="C278" s="46" t="s">
        <v>61</v>
      </c>
      <c r="D278" s="47">
        <f>VLOOKUP(A278,'[1]Cuadro Control'!C315:J2208,8,FALSE)</f>
        <v>179532477.23999998</v>
      </c>
      <c r="E278" s="48">
        <f t="shared" si="132"/>
        <v>3.3817438522495219E-2</v>
      </c>
      <c r="F278" s="49">
        <v>46387</v>
      </c>
      <c r="G278" s="49">
        <v>46402</v>
      </c>
      <c r="H278" s="48">
        <f t="shared" si="137"/>
        <v>0</v>
      </c>
      <c r="I278" s="48">
        <f t="shared" si="137"/>
        <v>0</v>
      </c>
      <c r="J278" s="48">
        <f t="shared" si="137"/>
        <v>0</v>
      </c>
      <c r="K278" s="48">
        <f t="shared" si="137"/>
        <v>0</v>
      </c>
      <c r="L278" s="48">
        <f t="shared" si="137"/>
        <v>0</v>
      </c>
      <c r="M278" s="48">
        <f t="shared" si="137"/>
        <v>0</v>
      </c>
      <c r="N278" s="48">
        <f t="shared" si="137"/>
        <v>0</v>
      </c>
      <c r="O278" s="48">
        <f t="shared" si="137"/>
        <v>0</v>
      </c>
      <c r="P278" s="48">
        <f t="shared" si="137"/>
        <v>0</v>
      </c>
      <c r="Q278" s="48">
        <f t="shared" si="137"/>
        <v>0</v>
      </c>
      <c r="R278" s="48">
        <f t="shared" si="137"/>
        <v>0</v>
      </c>
      <c r="S278" s="48">
        <f t="shared" si="137"/>
        <v>0</v>
      </c>
      <c r="T278" s="48">
        <f t="shared" si="137"/>
        <v>0</v>
      </c>
      <c r="U278" s="48">
        <f t="shared" si="137"/>
        <v>0</v>
      </c>
      <c r="V278" s="48">
        <f t="shared" si="137"/>
        <v>0</v>
      </c>
      <c r="W278" s="48">
        <f t="shared" si="137"/>
        <v>0</v>
      </c>
      <c r="X278" s="48">
        <f t="shared" si="138"/>
        <v>0</v>
      </c>
      <c r="Y278" s="48">
        <f t="shared" si="138"/>
        <v>0</v>
      </c>
      <c r="Z278" s="48">
        <f t="shared" si="138"/>
        <v>0</v>
      </c>
      <c r="AA278" s="48">
        <f t="shared" si="138"/>
        <v>0</v>
      </c>
      <c r="AB278" s="48">
        <f t="shared" si="138"/>
        <v>0</v>
      </c>
      <c r="AC278" s="48">
        <f t="shared" si="138"/>
        <v>0</v>
      </c>
      <c r="AD278" s="48">
        <f t="shared" si="138"/>
        <v>0</v>
      </c>
      <c r="AE278" s="48">
        <f t="shared" si="138"/>
        <v>0</v>
      </c>
      <c r="AF278" s="48">
        <f t="shared" si="138"/>
        <v>0</v>
      </c>
      <c r="AG278" s="48">
        <f t="shared" si="138"/>
        <v>0.125</v>
      </c>
      <c r="AH278" s="48">
        <f t="shared" si="138"/>
        <v>0.5625</v>
      </c>
      <c r="AI278" s="48">
        <f t="shared" si="138"/>
        <v>1</v>
      </c>
      <c r="AJ278" s="48">
        <f t="shared" si="138"/>
        <v>1</v>
      </c>
      <c r="AK278" s="48">
        <f t="shared" si="138"/>
        <v>1</v>
      </c>
      <c r="AL278" s="48">
        <f t="shared" si="138"/>
        <v>1</v>
      </c>
      <c r="AM278" s="48">
        <f t="shared" si="138"/>
        <v>1</v>
      </c>
      <c r="AN278" s="48">
        <f t="shared" si="138"/>
        <v>1</v>
      </c>
      <c r="AO278" s="48">
        <f t="shared" si="135"/>
        <v>1</v>
      </c>
      <c r="AP278" s="48">
        <f t="shared" si="135"/>
        <v>1</v>
      </c>
      <c r="AQ278" s="48">
        <f t="shared" si="135"/>
        <v>1</v>
      </c>
      <c r="AR278" s="48">
        <f t="shared" si="135"/>
        <v>1</v>
      </c>
      <c r="AS278" s="48">
        <f t="shared" si="135"/>
        <v>1</v>
      </c>
      <c r="AT278" s="48">
        <f t="shared" si="135"/>
        <v>1</v>
      </c>
      <c r="AU278" s="48">
        <f t="shared" si="135"/>
        <v>1</v>
      </c>
      <c r="AV278" s="48">
        <f t="shared" si="135"/>
        <v>1</v>
      </c>
      <c r="AW278" s="48">
        <f t="shared" si="135"/>
        <v>1</v>
      </c>
      <c r="AX278" s="48">
        <f t="shared" si="135"/>
        <v>1</v>
      </c>
      <c r="AY278" s="48">
        <f t="shared" si="135"/>
        <v>1</v>
      </c>
      <c r="AZ278" s="48">
        <f t="shared" si="135"/>
        <v>1</v>
      </c>
      <c r="BA278" s="48">
        <f t="shared" si="135"/>
        <v>1</v>
      </c>
      <c r="BB278" s="48">
        <f t="shared" si="135"/>
        <v>1</v>
      </c>
      <c r="BC278" s="48">
        <f t="shared" si="135"/>
        <v>1</v>
      </c>
      <c r="BD278" s="48">
        <f t="shared" si="135"/>
        <v>1</v>
      </c>
      <c r="BE278" s="48">
        <f t="shared" si="135"/>
        <v>1</v>
      </c>
      <c r="BF278" s="48">
        <f t="shared" si="135"/>
        <v>1</v>
      </c>
      <c r="BG278" s="48">
        <f t="shared" si="136"/>
        <v>1</v>
      </c>
      <c r="BH278" s="48">
        <f t="shared" si="136"/>
        <v>1</v>
      </c>
      <c r="BI278" s="48">
        <f t="shared" si="136"/>
        <v>1</v>
      </c>
      <c r="BJ278" s="48">
        <f t="shared" si="136"/>
        <v>1</v>
      </c>
      <c r="BK278" s="48">
        <f t="shared" si="136"/>
        <v>1</v>
      </c>
      <c r="BL278" s="48">
        <f t="shared" si="136"/>
        <v>1</v>
      </c>
      <c r="BM278" s="48">
        <f t="shared" si="136"/>
        <v>1</v>
      </c>
      <c r="BN278" s="48">
        <f t="shared" si="136"/>
        <v>1</v>
      </c>
      <c r="BO278" s="32">
        <f t="shared" si="134"/>
        <v>0.55402542372881358</v>
      </c>
    </row>
    <row r="279" spans="1:67" s="27" customFormat="1" ht="18.75" customHeight="1" x14ac:dyDescent="0.25">
      <c r="A279" s="55" t="s">
        <v>566</v>
      </c>
      <c r="B279" s="55" t="s">
        <v>567</v>
      </c>
      <c r="C279" s="55" t="s">
        <v>14</v>
      </c>
      <c r="D279" s="56">
        <f>VLOOKUP(A279,'[1]Cuadro Control'!C316:J2209,8,FALSE)</f>
        <v>0</v>
      </c>
      <c r="E279" s="57">
        <f>IFERROR(D279/$D$263,0)</f>
        <v>0</v>
      </c>
      <c r="F279" s="58">
        <v>46402</v>
      </c>
      <c r="G279" s="58">
        <v>46402</v>
      </c>
      <c r="H279" s="57">
        <f t="shared" si="137"/>
        <v>0</v>
      </c>
      <c r="I279" s="57">
        <f t="shared" si="137"/>
        <v>0</v>
      </c>
      <c r="J279" s="57">
        <f t="shared" si="137"/>
        <v>0</v>
      </c>
      <c r="K279" s="57">
        <f t="shared" si="137"/>
        <v>0</v>
      </c>
      <c r="L279" s="57">
        <f t="shared" si="137"/>
        <v>0</v>
      </c>
      <c r="M279" s="57">
        <f t="shared" si="137"/>
        <v>0</v>
      </c>
      <c r="N279" s="57">
        <f t="shared" si="137"/>
        <v>0</v>
      </c>
      <c r="O279" s="57">
        <f t="shared" si="137"/>
        <v>0</v>
      </c>
      <c r="P279" s="57">
        <f t="shared" si="137"/>
        <v>0</v>
      </c>
      <c r="Q279" s="57">
        <f t="shared" si="137"/>
        <v>0</v>
      </c>
      <c r="R279" s="57">
        <f t="shared" si="137"/>
        <v>0</v>
      </c>
      <c r="S279" s="57">
        <f t="shared" si="137"/>
        <v>0</v>
      </c>
      <c r="T279" s="57">
        <f t="shared" si="137"/>
        <v>0</v>
      </c>
      <c r="U279" s="57">
        <f t="shared" si="137"/>
        <v>0</v>
      </c>
      <c r="V279" s="57">
        <f t="shared" si="137"/>
        <v>0</v>
      </c>
      <c r="W279" s="57">
        <f t="shared" si="137"/>
        <v>0</v>
      </c>
      <c r="X279" s="57">
        <f t="shared" si="138"/>
        <v>0</v>
      </c>
      <c r="Y279" s="57">
        <f t="shared" si="138"/>
        <v>0</v>
      </c>
      <c r="Z279" s="57">
        <f t="shared" si="138"/>
        <v>0</v>
      </c>
      <c r="AA279" s="57">
        <f t="shared" si="138"/>
        <v>0</v>
      </c>
      <c r="AB279" s="57">
        <f t="shared" si="138"/>
        <v>0</v>
      </c>
      <c r="AC279" s="57">
        <f t="shared" si="138"/>
        <v>0</v>
      </c>
      <c r="AD279" s="57">
        <f t="shared" si="138"/>
        <v>0</v>
      </c>
      <c r="AE279" s="57">
        <f t="shared" si="138"/>
        <v>0</v>
      </c>
      <c r="AF279" s="57">
        <f t="shared" si="138"/>
        <v>0</v>
      </c>
      <c r="AG279" s="57">
        <f t="shared" si="138"/>
        <v>0</v>
      </c>
      <c r="AH279" s="57">
        <f t="shared" si="138"/>
        <v>0</v>
      </c>
      <c r="AI279" s="57">
        <f t="shared" si="138"/>
        <v>1</v>
      </c>
      <c r="AJ279" s="57">
        <f t="shared" si="138"/>
        <v>1</v>
      </c>
      <c r="AK279" s="57">
        <f t="shared" si="138"/>
        <v>1</v>
      </c>
      <c r="AL279" s="57">
        <f t="shared" si="138"/>
        <v>1</v>
      </c>
      <c r="AM279" s="57">
        <f t="shared" si="138"/>
        <v>1</v>
      </c>
      <c r="AN279" s="57">
        <f t="shared" si="138"/>
        <v>1</v>
      </c>
      <c r="AO279" s="57">
        <f t="shared" si="138"/>
        <v>1</v>
      </c>
      <c r="AP279" s="57">
        <f t="shared" si="138"/>
        <v>1</v>
      </c>
      <c r="AQ279" s="57">
        <f t="shared" si="138"/>
        <v>1</v>
      </c>
      <c r="AR279" s="57">
        <f t="shared" si="138"/>
        <v>1</v>
      </c>
      <c r="AS279" s="57">
        <f t="shared" si="138"/>
        <v>1</v>
      </c>
      <c r="AT279" s="57">
        <f t="shared" si="138"/>
        <v>1</v>
      </c>
      <c r="AU279" s="57">
        <f t="shared" si="138"/>
        <v>1</v>
      </c>
      <c r="AV279" s="57">
        <f t="shared" si="138"/>
        <v>1</v>
      </c>
      <c r="AW279" s="57">
        <f t="shared" si="138"/>
        <v>1</v>
      </c>
      <c r="AX279" s="57">
        <f t="shared" si="138"/>
        <v>1</v>
      </c>
      <c r="AY279" s="57">
        <f t="shared" si="138"/>
        <v>1</v>
      </c>
      <c r="AZ279" s="57">
        <f t="shared" si="138"/>
        <v>1</v>
      </c>
      <c r="BA279" s="57">
        <f t="shared" si="138"/>
        <v>1</v>
      </c>
      <c r="BB279" s="57">
        <f t="shared" si="138"/>
        <v>1</v>
      </c>
      <c r="BC279" s="57">
        <f t="shared" si="138"/>
        <v>1</v>
      </c>
      <c r="BD279" s="57">
        <f t="shared" si="135"/>
        <v>1</v>
      </c>
      <c r="BE279" s="57">
        <f t="shared" si="135"/>
        <v>1</v>
      </c>
      <c r="BF279" s="57">
        <f t="shared" si="135"/>
        <v>1</v>
      </c>
      <c r="BG279" s="57">
        <f t="shared" si="136"/>
        <v>1</v>
      </c>
      <c r="BH279" s="57">
        <f t="shared" si="136"/>
        <v>1</v>
      </c>
      <c r="BI279" s="57">
        <f t="shared" si="136"/>
        <v>1</v>
      </c>
      <c r="BJ279" s="57">
        <f t="shared" si="136"/>
        <v>1</v>
      </c>
      <c r="BK279" s="57">
        <f t="shared" si="136"/>
        <v>1</v>
      </c>
      <c r="BL279" s="57">
        <f t="shared" si="136"/>
        <v>1</v>
      </c>
      <c r="BM279" s="57">
        <f t="shared" si="136"/>
        <v>1</v>
      </c>
      <c r="BN279" s="57">
        <f t="shared" si="136"/>
        <v>1</v>
      </c>
      <c r="BO279" s="32">
        <f t="shared" si="134"/>
        <v>0.5423728813559322</v>
      </c>
    </row>
    <row r="280" spans="1:67" s="27" customFormat="1" ht="18.75" customHeight="1" x14ac:dyDescent="0.25">
      <c r="A280" s="59" t="s">
        <v>568</v>
      </c>
      <c r="B280" s="59" t="s">
        <v>569</v>
      </c>
      <c r="C280" s="59" t="s">
        <v>467</v>
      </c>
      <c r="D280" s="60">
        <f>SUM(D281:D296)</f>
        <v>5308872732.0543728</v>
      </c>
      <c r="E280" s="61">
        <f>IFERROR(D280/$D$109,0)</f>
        <v>2.9408554574576196E-2</v>
      </c>
      <c r="F280" s="62">
        <v>46237</v>
      </c>
      <c r="G280" s="62">
        <v>46410</v>
      </c>
      <c r="H280" s="61">
        <f>SUMPRODUCT($E281:$E295,H281:H295)</f>
        <v>0</v>
      </c>
      <c r="I280" s="61">
        <f t="shared" ref="I280:BN280" si="139">SUMPRODUCT($E281:$E295,I281:I295)</f>
        <v>0</v>
      </c>
      <c r="J280" s="61">
        <f t="shared" si="139"/>
        <v>0</v>
      </c>
      <c r="K280" s="61">
        <f t="shared" si="139"/>
        <v>0</v>
      </c>
      <c r="L280" s="61">
        <f t="shared" si="139"/>
        <v>7.6889205097962663E-4</v>
      </c>
      <c r="M280" s="61">
        <f t="shared" si="139"/>
        <v>1.8453409223511039E-3</v>
      </c>
      <c r="N280" s="61">
        <f t="shared" si="139"/>
        <v>2.9217897937225813E-3</v>
      </c>
      <c r="O280" s="61">
        <f t="shared" si="139"/>
        <v>3.9982386650940583E-3</v>
      </c>
      <c r="P280" s="61">
        <f t="shared" si="139"/>
        <v>5.0746875364655365E-3</v>
      </c>
      <c r="Q280" s="61">
        <f t="shared" si="139"/>
        <v>6.151136407837013E-3</v>
      </c>
      <c r="R280" s="61">
        <f t="shared" si="139"/>
        <v>7.2275852792084904E-3</v>
      </c>
      <c r="S280" s="61">
        <f t="shared" si="139"/>
        <v>8.3040341505799687E-3</v>
      </c>
      <c r="T280" s="61">
        <f t="shared" si="139"/>
        <v>9.3804830219514461E-3</v>
      </c>
      <c r="U280" s="61">
        <f t="shared" si="139"/>
        <v>1.0456931893322922E-2</v>
      </c>
      <c r="V280" s="61">
        <f t="shared" si="139"/>
        <v>1.1533380764694401E-2</v>
      </c>
      <c r="W280" s="61">
        <f t="shared" si="139"/>
        <v>1.2609829636065878E-2</v>
      </c>
      <c r="X280" s="61">
        <f t="shared" si="139"/>
        <v>1.3686278507437356E-2</v>
      </c>
      <c r="Y280" s="61">
        <f t="shared" si="139"/>
        <v>1.4762727378808831E-2</v>
      </c>
      <c r="Z280" s="61">
        <f t="shared" si="139"/>
        <v>2.8760971566995162E-2</v>
      </c>
      <c r="AA280" s="61">
        <f t="shared" si="139"/>
        <v>7.4884419302420888E-2</v>
      </c>
      <c r="AB280" s="61">
        <f t="shared" si="139"/>
        <v>0.14113064513133328</v>
      </c>
      <c r="AC280" s="61">
        <f t="shared" si="139"/>
        <v>0.18825246565562576</v>
      </c>
      <c r="AD280" s="61">
        <f t="shared" si="139"/>
        <v>0.27708031581956583</v>
      </c>
      <c r="AE280" s="61">
        <f t="shared" si="139"/>
        <v>0.3659081659835059</v>
      </c>
      <c r="AF280" s="61">
        <f t="shared" si="139"/>
        <v>0.41666693750575734</v>
      </c>
      <c r="AG280" s="61">
        <f t="shared" si="139"/>
        <v>0.64850810003989967</v>
      </c>
      <c r="AH280" s="61">
        <f t="shared" si="139"/>
        <v>0.68319004521733251</v>
      </c>
      <c r="AI280" s="61">
        <f t="shared" si="139"/>
        <v>0.86245552039544338</v>
      </c>
      <c r="AJ280" s="61">
        <f t="shared" si="139"/>
        <v>0.99718188012312547</v>
      </c>
      <c r="AK280" s="61">
        <f t="shared" si="139"/>
        <v>1</v>
      </c>
      <c r="AL280" s="61">
        <f t="shared" si="139"/>
        <v>1</v>
      </c>
      <c r="AM280" s="61">
        <f t="shared" si="139"/>
        <v>1</v>
      </c>
      <c r="AN280" s="61">
        <f t="shared" si="139"/>
        <v>1</v>
      </c>
      <c r="AO280" s="61">
        <f t="shared" si="139"/>
        <v>1</v>
      </c>
      <c r="AP280" s="61">
        <f t="shared" si="139"/>
        <v>1</v>
      </c>
      <c r="AQ280" s="61">
        <f t="shared" si="139"/>
        <v>1</v>
      </c>
      <c r="AR280" s="61">
        <f t="shared" si="139"/>
        <v>1</v>
      </c>
      <c r="AS280" s="61">
        <f t="shared" si="139"/>
        <v>1</v>
      </c>
      <c r="AT280" s="61">
        <f t="shared" si="139"/>
        <v>1</v>
      </c>
      <c r="AU280" s="61">
        <f t="shared" si="139"/>
        <v>1</v>
      </c>
      <c r="AV280" s="61">
        <f t="shared" si="139"/>
        <v>1</v>
      </c>
      <c r="AW280" s="61">
        <f t="shared" si="139"/>
        <v>1</v>
      </c>
      <c r="AX280" s="61">
        <f t="shared" si="139"/>
        <v>1</v>
      </c>
      <c r="AY280" s="61">
        <f t="shared" si="139"/>
        <v>1</v>
      </c>
      <c r="AZ280" s="61">
        <f t="shared" si="139"/>
        <v>1</v>
      </c>
      <c r="BA280" s="61">
        <f t="shared" si="139"/>
        <v>1</v>
      </c>
      <c r="BB280" s="61">
        <f t="shared" si="139"/>
        <v>1</v>
      </c>
      <c r="BC280" s="61">
        <f t="shared" si="139"/>
        <v>1</v>
      </c>
      <c r="BD280" s="61">
        <f t="shared" si="139"/>
        <v>1</v>
      </c>
      <c r="BE280" s="61">
        <f t="shared" si="139"/>
        <v>1</v>
      </c>
      <c r="BF280" s="61">
        <f t="shared" si="139"/>
        <v>1</v>
      </c>
      <c r="BG280" s="61">
        <f t="shared" si="139"/>
        <v>1</v>
      </c>
      <c r="BH280" s="61">
        <f t="shared" si="139"/>
        <v>1</v>
      </c>
      <c r="BI280" s="61">
        <f t="shared" si="139"/>
        <v>1</v>
      </c>
      <c r="BJ280" s="61">
        <f t="shared" si="139"/>
        <v>1</v>
      </c>
      <c r="BK280" s="61">
        <f t="shared" si="139"/>
        <v>1</v>
      </c>
      <c r="BL280" s="61">
        <f t="shared" si="139"/>
        <v>1</v>
      </c>
      <c r="BM280" s="61">
        <f t="shared" si="139"/>
        <v>1</v>
      </c>
      <c r="BN280" s="61">
        <f t="shared" si="139"/>
        <v>1</v>
      </c>
      <c r="BO280" s="32">
        <f t="shared" si="134"/>
        <v>0.58970747123304268</v>
      </c>
    </row>
    <row r="281" spans="1:67" ht="24" x14ac:dyDescent="0.2">
      <c r="A281" s="50" t="s">
        <v>570</v>
      </c>
      <c r="B281" s="50" t="s">
        <v>571</v>
      </c>
      <c r="C281" s="50" t="s">
        <v>74</v>
      </c>
      <c r="D281" s="51">
        <f>VLOOKUP(A281,'[1]Cuadro Control'!C318:J2211,8,FALSE)</f>
        <v>83271780.884117648</v>
      </c>
      <c r="E281" s="52">
        <f t="shared" ref="E281:E295" si="140">IFERROR(D281/$D$280,0)</f>
        <v>1.5685397839984384E-2</v>
      </c>
      <c r="F281" s="53">
        <v>46237</v>
      </c>
      <c r="G281" s="53">
        <v>46338</v>
      </c>
      <c r="H281" s="52">
        <f t="shared" ref="H281:BN285" si="141">IF($F281=0,0,IF(H$6&lt;$F281,0,IF(H$6&gt;$G281,1,(H$6-$F281+1)/($G281-$F281+1))))</f>
        <v>0</v>
      </c>
      <c r="I281" s="52">
        <f t="shared" si="141"/>
        <v>0</v>
      </c>
      <c r="J281" s="52">
        <f t="shared" si="141"/>
        <v>0</v>
      </c>
      <c r="K281" s="52">
        <f t="shared" si="141"/>
        <v>0</v>
      </c>
      <c r="L281" s="52">
        <f t="shared" si="141"/>
        <v>4.9019607843137254E-2</v>
      </c>
      <c r="M281" s="52">
        <f t="shared" si="141"/>
        <v>0.11764705882352941</v>
      </c>
      <c r="N281" s="52">
        <f t="shared" si="141"/>
        <v>0.18627450980392157</v>
      </c>
      <c r="O281" s="52">
        <f t="shared" si="141"/>
        <v>0.25490196078431371</v>
      </c>
      <c r="P281" s="52">
        <f t="shared" si="141"/>
        <v>0.3235294117647059</v>
      </c>
      <c r="Q281" s="52">
        <f t="shared" si="141"/>
        <v>0.39215686274509803</v>
      </c>
      <c r="R281" s="52">
        <f t="shared" si="141"/>
        <v>0.46078431372549017</v>
      </c>
      <c r="S281" s="52">
        <f t="shared" si="141"/>
        <v>0.52941176470588236</v>
      </c>
      <c r="T281" s="52">
        <f t="shared" si="141"/>
        <v>0.59803921568627449</v>
      </c>
      <c r="U281" s="52">
        <f t="shared" si="141"/>
        <v>0.66666666666666663</v>
      </c>
      <c r="V281" s="52">
        <f t="shared" si="141"/>
        <v>0.73529411764705888</v>
      </c>
      <c r="W281" s="52">
        <f t="shared" si="141"/>
        <v>0.80392156862745101</v>
      </c>
      <c r="X281" s="52">
        <f t="shared" si="141"/>
        <v>0.87254901960784315</v>
      </c>
      <c r="Y281" s="52">
        <f t="shared" si="141"/>
        <v>0.94117647058823528</v>
      </c>
      <c r="Z281" s="52">
        <f t="shared" si="141"/>
        <v>1</v>
      </c>
      <c r="AA281" s="52">
        <f t="shared" si="141"/>
        <v>1</v>
      </c>
      <c r="AB281" s="52">
        <f t="shared" si="141"/>
        <v>1</v>
      </c>
      <c r="AC281" s="52">
        <f t="shared" si="141"/>
        <v>1</v>
      </c>
      <c r="AD281" s="52">
        <f t="shared" si="141"/>
        <v>1</v>
      </c>
      <c r="AE281" s="52">
        <f t="shared" si="141"/>
        <v>1</v>
      </c>
      <c r="AF281" s="52">
        <f t="shared" si="141"/>
        <v>1</v>
      </c>
      <c r="AG281" s="52">
        <f t="shared" si="141"/>
        <v>1</v>
      </c>
      <c r="AH281" s="52">
        <f t="shared" si="141"/>
        <v>1</v>
      </c>
      <c r="AI281" s="52">
        <f t="shared" si="141"/>
        <v>1</v>
      </c>
      <c r="AJ281" s="52">
        <f t="shared" si="141"/>
        <v>1</v>
      </c>
      <c r="AK281" s="52">
        <f t="shared" si="141"/>
        <v>1</v>
      </c>
      <c r="AL281" s="52">
        <f t="shared" si="141"/>
        <v>1</v>
      </c>
      <c r="AM281" s="52">
        <f t="shared" si="141"/>
        <v>1</v>
      </c>
      <c r="AN281" s="52">
        <f t="shared" si="141"/>
        <v>1</v>
      </c>
      <c r="AO281" s="52">
        <f t="shared" si="141"/>
        <v>1</v>
      </c>
      <c r="AP281" s="52">
        <f t="shared" si="141"/>
        <v>1</v>
      </c>
      <c r="AQ281" s="52">
        <f t="shared" si="141"/>
        <v>1</v>
      </c>
      <c r="AR281" s="52">
        <f t="shared" si="141"/>
        <v>1</v>
      </c>
      <c r="AS281" s="52">
        <f t="shared" si="141"/>
        <v>1</v>
      </c>
      <c r="AT281" s="52">
        <f t="shared" si="141"/>
        <v>1</v>
      </c>
      <c r="AU281" s="52">
        <f t="shared" si="141"/>
        <v>1</v>
      </c>
      <c r="AV281" s="52">
        <f t="shared" si="141"/>
        <v>1</v>
      </c>
      <c r="AW281" s="52">
        <f t="shared" si="141"/>
        <v>1</v>
      </c>
      <c r="AX281" s="52">
        <f t="shared" si="141"/>
        <v>1</v>
      </c>
      <c r="AY281" s="52">
        <f t="shared" si="141"/>
        <v>1</v>
      </c>
      <c r="AZ281" s="52">
        <f t="shared" si="141"/>
        <v>1</v>
      </c>
      <c r="BA281" s="52">
        <f t="shared" si="141"/>
        <v>1</v>
      </c>
      <c r="BB281" s="52">
        <f t="shared" si="141"/>
        <v>1</v>
      </c>
      <c r="BC281" s="52">
        <f t="shared" si="141"/>
        <v>1</v>
      </c>
      <c r="BD281" s="52">
        <f t="shared" si="141"/>
        <v>1</v>
      </c>
      <c r="BE281" s="52">
        <f t="shared" si="141"/>
        <v>1</v>
      </c>
      <c r="BF281" s="52">
        <f t="shared" si="141"/>
        <v>1</v>
      </c>
      <c r="BG281" s="52">
        <f t="shared" si="141"/>
        <v>1</v>
      </c>
      <c r="BH281" s="52">
        <f t="shared" si="141"/>
        <v>1</v>
      </c>
      <c r="BI281" s="52">
        <f t="shared" si="141"/>
        <v>1</v>
      </c>
      <c r="BJ281" s="52">
        <f t="shared" si="141"/>
        <v>1</v>
      </c>
      <c r="BK281" s="52">
        <f t="shared" si="141"/>
        <v>1</v>
      </c>
      <c r="BL281" s="52">
        <f t="shared" si="141"/>
        <v>1</v>
      </c>
      <c r="BM281" s="52">
        <f t="shared" si="141"/>
        <v>1</v>
      </c>
      <c r="BN281" s="52">
        <f t="shared" si="141"/>
        <v>1</v>
      </c>
      <c r="BO281" s="32">
        <f t="shared" si="134"/>
        <v>0.81239614489863743</v>
      </c>
    </row>
    <row r="282" spans="1:67" x14ac:dyDescent="0.2">
      <c r="A282" s="50" t="s">
        <v>572</v>
      </c>
      <c r="B282" s="50" t="s">
        <v>573</v>
      </c>
      <c r="C282" s="50" t="s">
        <v>61</v>
      </c>
      <c r="D282" s="51">
        <f>VLOOKUP(A282,'[1]Cuadro Control'!C319:J2212,8,FALSE)</f>
        <v>312374505.66882348</v>
      </c>
      <c r="E282" s="52">
        <f t="shared" si="140"/>
        <v>5.8840081771548515E-2</v>
      </c>
      <c r="F282" s="53">
        <v>46338</v>
      </c>
      <c r="G282" s="53">
        <v>46346</v>
      </c>
      <c r="H282" s="52">
        <f t="shared" si="141"/>
        <v>0</v>
      </c>
      <c r="I282" s="52">
        <f t="shared" si="141"/>
        <v>0</v>
      </c>
      <c r="J282" s="52">
        <f t="shared" si="141"/>
        <v>0</v>
      </c>
      <c r="K282" s="52">
        <f t="shared" si="141"/>
        <v>0</v>
      </c>
      <c r="L282" s="52">
        <f t="shared" si="141"/>
        <v>0</v>
      </c>
      <c r="M282" s="52">
        <f t="shared" si="141"/>
        <v>0</v>
      </c>
      <c r="N282" s="52">
        <f t="shared" si="141"/>
        <v>0</v>
      </c>
      <c r="O282" s="52">
        <f t="shared" si="141"/>
        <v>0</v>
      </c>
      <c r="P282" s="52">
        <f t="shared" si="141"/>
        <v>0</v>
      </c>
      <c r="Q282" s="52">
        <f t="shared" si="141"/>
        <v>0</v>
      </c>
      <c r="R282" s="52">
        <f t="shared" si="141"/>
        <v>0</v>
      </c>
      <c r="S282" s="52">
        <f t="shared" si="141"/>
        <v>0</v>
      </c>
      <c r="T282" s="52">
        <f t="shared" si="141"/>
        <v>0</v>
      </c>
      <c r="U282" s="52">
        <f t="shared" si="141"/>
        <v>0</v>
      </c>
      <c r="V282" s="52">
        <f t="shared" si="141"/>
        <v>0</v>
      </c>
      <c r="W282" s="52">
        <f t="shared" si="141"/>
        <v>0</v>
      </c>
      <c r="X282" s="52">
        <f t="shared" si="141"/>
        <v>0</v>
      </c>
      <c r="Y282" s="52">
        <f t="shared" si="141"/>
        <v>0</v>
      </c>
      <c r="Z282" s="52">
        <f t="shared" si="141"/>
        <v>0.22222222222222221</v>
      </c>
      <c r="AA282" s="52">
        <f t="shared" si="141"/>
        <v>1</v>
      </c>
      <c r="AB282" s="52">
        <f t="shared" si="141"/>
        <v>1</v>
      </c>
      <c r="AC282" s="52">
        <f t="shared" si="141"/>
        <v>1</v>
      </c>
      <c r="AD282" s="52">
        <f t="shared" si="141"/>
        <v>1</v>
      </c>
      <c r="AE282" s="52">
        <f t="shared" si="141"/>
        <v>1</v>
      </c>
      <c r="AF282" s="52">
        <f t="shared" si="141"/>
        <v>1</v>
      </c>
      <c r="AG282" s="52">
        <f t="shared" si="141"/>
        <v>1</v>
      </c>
      <c r="AH282" s="52">
        <f t="shared" si="141"/>
        <v>1</v>
      </c>
      <c r="AI282" s="52">
        <f t="shared" si="141"/>
        <v>1</v>
      </c>
      <c r="AJ282" s="52">
        <f t="shared" si="141"/>
        <v>1</v>
      </c>
      <c r="AK282" s="52">
        <f t="shared" si="141"/>
        <v>1</v>
      </c>
      <c r="AL282" s="52">
        <f t="shared" si="141"/>
        <v>1</v>
      </c>
      <c r="AM282" s="52">
        <f t="shared" si="141"/>
        <v>1</v>
      </c>
      <c r="AN282" s="52">
        <f t="shared" si="141"/>
        <v>1</v>
      </c>
      <c r="AO282" s="52">
        <f t="shared" si="141"/>
        <v>1</v>
      </c>
      <c r="AP282" s="52">
        <f t="shared" si="141"/>
        <v>1</v>
      </c>
      <c r="AQ282" s="52">
        <f t="shared" si="141"/>
        <v>1</v>
      </c>
      <c r="AR282" s="52">
        <f t="shared" si="141"/>
        <v>1</v>
      </c>
      <c r="AS282" s="52">
        <f t="shared" si="141"/>
        <v>1</v>
      </c>
      <c r="AT282" s="52">
        <f t="shared" si="141"/>
        <v>1</v>
      </c>
      <c r="AU282" s="52">
        <f t="shared" si="141"/>
        <v>1</v>
      </c>
      <c r="AV282" s="52">
        <f t="shared" si="141"/>
        <v>1</v>
      </c>
      <c r="AW282" s="52">
        <f t="shared" si="141"/>
        <v>1</v>
      </c>
      <c r="AX282" s="52">
        <f t="shared" si="141"/>
        <v>1</v>
      </c>
      <c r="AY282" s="52">
        <f t="shared" si="141"/>
        <v>1</v>
      </c>
      <c r="AZ282" s="52">
        <f t="shared" si="141"/>
        <v>1</v>
      </c>
      <c r="BA282" s="52">
        <f t="shared" si="141"/>
        <v>1</v>
      </c>
      <c r="BB282" s="52">
        <f t="shared" si="141"/>
        <v>1</v>
      </c>
      <c r="BC282" s="52">
        <f t="shared" si="141"/>
        <v>1</v>
      </c>
      <c r="BD282" s="52">
        <f t="shared" si="141"/>
        <v>1</v>
      </c>
      <c r="BE282" s="52">
        <f t="shared" si="141"/>
        <v>1</v>
      </c>
      <c r="BF282" s="52">
        <f t="shared" si="141"/>
        <v>1</v>
      </c>
      <c r="BG282" s="52">
        <f t="shared" si="141"/>
        <v>1</v>
      </c>
      <c r="BH282" s="52">
        <f t="shared" si="141"/>
        <v>1</v>
      </c>
      <c r="BI282" s="52">
        <f t="shared" si="141"/>
        <v>1</v>
      </c>
      <c r="BJ282" s="52">
        <f t="shared" si="141"/>
        <v>1</v>
      </c>
      <c r="BK282" s="52">
        <f t="shared" si="141"/>
        <v>1</v>
      </c>
      <c r="BL282" s="52">
        <f t="shared" si="141"/>
        <v>1</v>
      </c>
      <c r="BM282" s="52">
        <f t="shared" si="141"/>
        <v>1</v>
      </c>
      <c r="BN282" s="52">
        <f t="shared" si="141"/>
        <v>1</v>
      </c>
      <c r="BO282" s="32">
        <f t="shared" si="134"/>
        <v>0.68173258003766479</v>
      </c>
    </row>
    <row r="283" spans="1:67" ht="15" x14ac:dyDescent="0.2">
      <c r="A283" s="46" t="s">
        <v>574</v>
      </c>
      <c r="B283" s="46" t="s">
        <v>575</v>
      </c>
      <c r="C283" s="46" t="s">
        <v>126</v>
      </c>
      <c r="D283" s="47">
        <f>VLOOKUP(A283,'[1]Cuadro Control'!C320:J2213,8,FALSE)</f>
        <v>9527825.6870364472</v>
      </c>
      <c r="E283" s="48">
        <f t="shared" si="140"/>
        <v>1.794698454439963E-3</v>
      </c>
      <c r="F283" s="49">
        <v>46346</v>
      </c>
      <c r="G283" s="49">
        <v>46350</v>
      </c>
      <c r="H283" s="48">
        <f t="shared" si="141"/>
        <v>0</v>
      </c>
      <c r="I283" s="48">
        <f t="shared" si="141"/>
        <v>0</v>
      </c>
      <c r="J283" s="48">
        <f t="shared" si="141"/>
        <v>0</v>
      </c>
      <c r="K283" s="48">
        <f t="shared" si="141"/>
        <v>0</v>
      </c>
      <c r="L283" s="48">
        <f t="shared" si="141"/>
        <v>0</v>
      </c>
      <c r="M283" s="48">
        <f t="shared" si="141"/>
        <v>0</v>
      </c>
      <c r="N283" s="48">
        <f t="shared" si="141"/>
        <v>0</v>
      </c>
      <c r="O283" s="48">
        <f t="shared" si="141"/>
        <v>0</v>
      </c>
      <c r="P283" s="48">
        <f t="shared" si="141"/>
        <v>0</v>
      </c>
      <c r="Q283" s="48">
        <f t="shared" si="141"/>
        <v>0</v>
      </c>
      <c r="R283" s="48">
        <f t="shared" si="141"/>
        <v>0</v>
      </c>
      <c r="S283" s="48">
        <f t="shared" si="141"/>
        <v>0</v>
      </c>
      <c r="T283" s="48">
        <f t="shared" si="141"/>
        <v>0</v>
      </c>
      <c r="U283" s="48">
        <f t="shared" si="141"/>
        <v>0</v>
      </c>
      <c r="V283" s="48">
        <f t="shared" si="141"/>
        <v>0</v>
      </c>
      <c r="W283" s="48">
        <f t="shared" si="141"/>
        <v>0</v>
      </c>
      <c r="X283" s="48">
        <f t="shared" si="141"/>
        <v>0</v>
      </c>
      <c r="Y283" s="48">
        <f t="shared" si="141"/>
        <v>0</v>
      </c>
      <c r="Z283" s="48">
        <f t="shared" si="141"/>
        <v>0</v>
      </c>
      <c r="AA283" s="48">
        <f t="shared" si="141"/>
        <v>0.2</v>
      </c>
      <c r="AB283" s="48">
        <f t="shared" si="141"/>
        <v>1</v>
      </c>
      <c r="AC283" s="48">
        <f t="shared" si="141"/>
        <v>1</v>
      </c>
      <c r="AD283" s="48">
        <f t="shared" si="141"/>
        <v>1</v>
      </c>
      <c r="AE283" s="48">
        <f t="shared" si="141"/>
        <v>1</v>
      </c>
      <c r="AF283" s="48">
        <f t="shared" si="141"/>
        <v>1</v>
      </c>
      <c r="AG283" s="48">
        <f t="shared" si="141"/>
        <v>1</v>
      </c>
      <c r="AH283" s="48">
        <f t="shared" si="141"/>
        <v>1</v>
      </c>
      <c r="AI283" s="48">
        <f t="shared" si="141"/>
        <v>1</v>
      </c>
      <c r="AJ283" s="48">
        <f t="shared" si="141"/>
        <v>1</v>
      </c>
      <c r="AK283" s="48">
        <f t="shared" si="141"/>
        <v>1</v>
      </c>
      <c r="AL283" s="48">
        <f t="shared" si="141"/>
        <v>1</v>
      </c>
      <c r="AM283" s="48">
        <f t="shared" si="141"/>
        <v>1</v>
      </c>
      <c r="AN283" s="48">
        <f t="shared" si="141"/>
        <v>1</v>
      </c>
      <c r="AO283" s="48">
        <f t="shared" si="141"/>
        <v>1</v>
      </c>
      <c r="AP283" s="48">
        <f t="shared" si="141"/>
        <v>1</v>
      </c>
      <c r="AQ283" s="48">
        <f t="shared" si="141"/>
        <v>1</v>
      </c>
      <c r="AR283" s="48">
        <f t="shared" si="141"/>
        <v>1</v>
      </c>
      <c r="AS283" s="48">
        <f t="shared" si="141"/>
        <v>1</v>
      </c>
      <c r="AT283" s="48">
        <f t="shared" si="141"/>
        <v>1</v>
      </c>
      <c r="AU283" s="48">
        <f t="shared" si="141"/>
        <v>1</v>
      </c>
      <c r="AV283" s="48">
        <f t="shared" si="141"/>
        <v>1</v>
      </c>
      <c r="AW283" s="48">
        <f t="shared" si="141"/>
        <v>1</v>
      </c>
      <c r="AX283" s="48">
        <f t="shared" si="141"/>
        <v>1</v>
      </c>
      <c r="AY283" s="48">
        <f t="shared" si="141"/>
        <v>1</v>
      </c>
      <c r="AZ283" s="48">
        <f t="shared" si="141"/>
        <v>1</v>
      </c>
      <c r="BA283" s="48">
        <f t="shared" si="141"/>
        <v>1</v>
      </c>
      <c r="BB283" s="48">
        <f t="shared" si="141"/>
        <v>1</v>
      </c>
      <c r="BC283" s="48">
        <f t="shared" si="141"/>
        <v>1</v>
      </c>
      <c r="BD283" s="48">
        <f t="shared" si="141"/>
        <v>1</v>
      </c>
      <c r="BE283" s="48">
        <f t="shared" si="141"/>
        <v>1</v>
      </c>
      <c r="BF283" s="48">
        <f t="shared" si="141"/>
        <v>1</v>
      </c>
      <c r="BG283" s="48">
        <f t="shared" si="141"/>
        <v>1</v>
      </c>
      <c r="BH283" s="48">
        <f t="shared" si="141"/>
        <v>1</v>
      </c>
      <c r="BI283" s="48">
        <f t="shared" si="141"/>
        <v>1</v>
      </c>
      <c r="BJ283" s="48">
        <f t="shared" si="141"/>
        <v>1</v>
      </c>
      <c r="BK283" s="48">
        <f t="shared" si="141"/>
        <v>1</v>
      </c>
      <c r="BL283" s="48">
        <f t="shared" si="141"/>
        <v>1</v>
      </c>
      <c r="BM283" s="48">
        <f t="shared" si="141"/>
        <v>1</v>
      </c>
      <c r="BN283" s="48">
        <f t="shared" si="141"/>
        <v>1</v>
      </c>
      <c r="BO283" s="32">
        <f t="shared" si="134"/>
        <v>0.66440677966101702</v>
      </c>
    </row>
    <row r="284" spans="1:67" x14ac:dyDescent="0.2">
      <c r="A284" s="50" t="s">
        <v>576</v>
      </c>
      <c r="B284" s="50" t="s">
        <v>577</v>
      </c>
      <c r="C284" s="50" t="s">
        <v>117</v>
      </c>
      <c r="D284" s="51">
        <f>VLOOKUP(A284,'[1]Cuadro Control'!C321:J2214,8,FALSE)</f>
        <v>320494616.71764702</v>
      </c>
      <c r="E284" s="52">
        <f t="shared" si="140"/>
        <v>6.0369617599332674E-2</v>
      </c>
      <c r="F284" s="53">
        <v>46350</v>
      </c>
      <c r="G284" s="53">
        <v>46353</v>
      </c>
      <c r="H284" s="52">
        <f t="shared" si="141"/>
        <v>0</v>
      </c>
      <c r="I284" s="52">
        <f t="shared" si="141"/>
        <v>0</v>
      </c>
      <c r="J284" s="52">
        <f t="shared" si="141"/>
        <v>0</v>
      </c>
      <c r="K284" s="52">
        <f t="shared" si="141"/>
        <v>0</v>
      </c>
      <c r="L284" s="52">
        <f t="shared" si="141"/>
        <v>0</v>
      </c>
      <c r="M284" s="52">
        <f t="shared" si="141"/>
        <v>0</v>
      </c>
      <c r="N284" s="52">
        <f t="shared" si="141"/>
        <v>0</v>
      </c>
      <c r="O284" s="52">
        <f t="shared" si="141"/>
        <v>0</v>
      </c>
      <c r="P284" s="52">
        <f t="shared" si="141"/>
        <v>0</v>
      </c>
      <c r="Q284" s="52">
        <f t="shared" si="141"/>
        <v>0</v>
      </c>
      <c r="R284" s="52">
        <f t="shared" si="141"/>
        <v>0</v>
      </c>
      <c r="S284" s="52">
        <f t="shared" si="141"/>
        <v>0</v>
      </c>
      <c r="T284" s="52">
        <f t="shared" si="141"/>
        <v>0</v>
      </c>
      <c r="U284" s="52">
        <f t="shared" si="141"/>
        <v>0</v>
      </c>
      <c r="V284" s="52">
        <f t="shared" si="141"/>
        <v>0</v>
      </c>
      <c r="W284" s="52">
        <f t="shared" si="141"/>
        <v>0</v>
      </c>
      <c r="X284" s="52">
        <f t="shared" si="141"/>
        <v>0</v>
      </c>
      <c r="Y284" s="52">
        <f t="shared" si="141"/>
        <v>0</v>
      </c>
      <c r="Z284" s="52">
        <f t="shared" si="141"/>
        <v>0</v>
      </c>
      <c r="AA284" s="52">
        <f t="shared" si="141"/>
        <v>0</v>
      </c>
      <c r="AB284" s="52">
        <f t="shared" si="141"/>
        <v>1</v>
      </c>
      <c r="AC284" s="52">
        <f t="shared" si="141"/>
        <v>1</v>
      </c>
      <c r="AD284" s="52">
        <f t="shared" si="141"/>
        <v>1</v>
      </c>
      <c r="AE284" s="52">
        <f t="shared" si="141"/>
        <v>1</v>
      </c>
      <c r="AF284" s="52">
        <f t="shared" si="141"/>
        <v>1</v>
      </c>
      <c r="AG284" s="52">
        <f t="shared" si="141"/>
        <v>1</v>
      </c>
      <c r="AH284" s="52">
        <f t="shared" si="141"/>
        <v>1</v>
      </c>
      <c r="AI284" s="52">
        <f t="shared" si="141"/>
        <v>1</v>
      </c>
      <c r="AJ284" s="52">
        <f t="shared" si="141"/>
        <v>1</v>
      </c>
      <c r="AK284" s="52">
        <f t="shared" si="141"/>
        <v>1</v>
      </c>
      <c r="AL284" s="52">
        <f t="shared" si="141"/>
        <v>1</v>
      </c>
      <c r="AM284" s="52">
        <f t="shared" si="141"/>
        <v>1</v>
      </c>
      <c r="AN284" s="52">
        <f t="shared" si="141"/>
        <v>1</v>
      </c>
      <c r="AO284" s="52">
        <f t="shared" si="141"/>
        <v>1</v>
      </c>
      <c r="AP284" s="52">
        <f t="shared" si="141"/>
        <v>1</v>
      </c>
      <c r="AQ284" s="52">
        <f t="shared" si="141"/>
        <v>1</v>
      </c>
      <c r="AR284" s="52">
        <f t="shared" si="141"/>
        <v>1</v>
      </c>
      <c r="AS284" s="52">
        <f t="shared" si="141"/>
        <v>1</v>
      </c>
      <c r="AT284" s="52">
        <f t="shared" si="141"/>
        <v>1</v>
      </c>
      <c r="AU284" s="52">
        <f t="shared" si="141"/>
        <v>1</v>
      </c>
      <c r="AV284" s="52">
        <f t="shared" si="141"/>
        <v>1</v>
      </c>
      <c r="AW284" s="52">
        <f t="shared" si="141"/>
        <v>1</v>
      </c>
      <c r="AX284" s="52">
        <f t="shared" si="141"/>
        <v>1</v>
      </c>
      <c r="AY284" s="52">
        <f t="shared" si="141"/>
        <v>1</v>
      </c>
      <c r="AZ284" s="52">
        <f t="shared" si="141"/>
        <v>1</v>
      </c>
      <c r="BA284" s="52">
        <f t="shared" si="141"/>
        <v>1</v>
      </c>
      <c r="BB284" s="52">
        <f t="shared" si="141"/>
        <v>1</v>
      </c>
      <c r="BC284" s="52">
        <f t="shared" si="141"/>
        <v>1</v>
      </c>
      <c r="BD284" s="52">
        <f t="shared" si="141"/>
        <v>1</v>
      </c>
      <c r="BE284" s="52">
        <f t="shared" si="141"/>
        <v>1</v>
      </c>
      <c r="BF284" s="52">
        <f t="shared" si="141"/>
        <v>1</v>
      </c>
      <c r="BG284" s="52">
        <f t="shared" si="141"/>
        <v>1</v>
      </c>
      <c r="BH284" s="52">
        <f t="shared" si="141"/>
        <v>1</v>
      </c>
      <c r="BI284" s="52">
        <f t="shared" si="141"/>
        <v>1</v>
      </c>
      <c r="BJ284" s="52">
        <f t="shared" si="141"/>
        <v>1</v>
      </c>
      <c r="BK284" s="52">
        <f t="shared" si="141"/>
        <v>1</v>
      </c>
      <c r="BL284" s="52">
        <f t="shared" si="141"/>
        <v>1</v>
      </c>
      <c r="BM284" s="52">
        <f t="shared" si="141"/>
        <v>1</v>
      </c>
      <c r="BN284" s="52">
        <f t="shared" si="141"/>
        <v>1</v>
      </c>
      <c r="BO284" s="32">
        <f t="shared" si="134"/>
        <v>0.66101694915254239</v>
      </c>
    </row>
    <row r="285" spans="1:67" x14ac:dyDescent="0.2">
      <c r="A285" s="50" t="s">
        <v>578</v>
      </c>
      <c r="B285" s="50" t="s">
        <v>579</v>
      </c>
      <c r="C285" s="50" t="s">
        <v>111</v>
      </c>
      <c r="D285" s="51">
        <f>VLOOKUP(A285,'[1]Cuadro Control'!C322:J2215,8,FALSE)</f>
        <v>94303618.549411759</v>
      </c>
      <c r="E285" s="52">
        <f t="shared" si="140"/>
        <v>1.7763397864110998E-2</v>
      </c>
      <c r="F285" s="53">
        <v>46353</v>
      </c>
      <c r="G285" s="53">
        <v>46356</v>
      </c>
      <c r="H285" s="52">
        <f t="shared" si="141"/>
        <v>0</v>
      </c>
      <c r="I285" s="52">
        <f t="shared" si="141"/>
        <v>0</v>
      </c>
      <c r="J285" s="52">
        <f t="shared" si="141"/>
        <v>0</v>
      </c>
      <c r="K285" s="52">
        <f t="shared" si="141"/>
        <v>0</v>
      </c>
      <c r="L285" s="52">
        <f t="shared" si="141"/>
        <v>0</v>
      </c>
      <c r="M285" s="52">
        <f t="shared" si="141"/>
        <v>0</v>
      </c>
      <c r="N285" s="52">
        <f t="shared" si="141"/>
        <v>0</v>
      </c>
      <c r="O285" s="52">
        <f t="shared" si="141"/>
        <v>0</v>
      </c>
      <c r="P285" s="52">
        <f t="shared" si="141"/>
        <v>0</v>
      </c>
      <c r="Q285" s="52">
        <f t="shared" si="141"/>
        <v>0</v>
      </c>
      <c r="R285" s="52">
        <f t="shared" si="141"/>
        <v>0</v>
      </c>
      <c r="S285" s="52">
        <f t="shared" si="141"/>
        <v>0</v>
      </c>
      <c r="T285" s="52">
        <f t="shared" si="141"/>
        <v>0</v>
      </c>
      <c r="U285" s="52">
        <f t="shared" si="141"/>
        <v>0</v>
      </c>
      <c r="V285" s="52">
        <f t="shared" si="141"/>
        <v>0</v>
      </c>
      <c r="W285" s="52">
        <f t="shared" si="141"/>
        <v>0</v>
      </c>
      <c r="X285" s="52">
        <f t="shared" si="141"/>
        <v>0</v>
      </c>
      <c r="Y285" s="52">
        <f t="shared" si="141"/>
        <v>0</v>
      </c>
      <c r="Z285" s="52">
        <f t="shared" si="141"/>
        <v>0</v>
      </c>
      <c r="AA285" s="52">
        <f t="shared" ref="AA285:BF296" si="142">IF($F285=0,0,IF(AA$6&lt;$F285,0,IF(AA$6&gt;$G285,1,(AA$6-$F285+1)/($G285-$F285+1))))</f>
        <v>0</v>
      </c>
      <c r="AB285" s="52">
        <f t="shared" si="142"/>
        <v>0.25</v>
      </c>
      <c r="AC285" s="52">
        <f t="shared" si="142"/>
        <v>1</v>
      </c>
      <c r="AD285" s="52">
        <f t="shared" si="142"/>
        <v>1</v>
      </c>
      <c r="AE285" s="52">
        <f t="shared" si="142"/>
        <v>1</v>
      </c>
      <c r="AF285" s="52">
        <f t="shared" si="142"/>
        <v>1</v>
      </c>
      <c r="AG285" s="52">
        <f t="shared" si="142"/>
        <v>1</v>
      </c>
      <c r="AH285" s="52">
        <f t="shared" si="142"/>
        <v>1</v>
      </c>
      <c r="AI285" s="52">
        <f t="shared" si="142"/>
        <v>1</v>
      </c>
      <c r="AJ285" s="52">
        <f t="shared" si="142"/>
        <v>1</v>
      </c>
      <c r="AK285" s="52">
        <f t="shared" si="142"/>
        <v>1</v>
      </c>
      <c r="AL285" s="52">
        <f t="shared" si="142"/>
        <v>1</v>
      </c>
      <c r="AM285" s="52">
        <f t="shared" si="142"/>
        <v>1</v>
      </c>
      <c r="AN285" s="52">
        <f t="shared" si="142"/>
        <v>1</v>
      </c>
      <c r="AO285" s="52">
        <f t="shared" si="142"/>
        <v>1</v>
      </c>
      <c r="AP285" s="52">
        <f t="shared" si="142"/>
        <v>1</v>
      </c>
      <c r="AQ285" s="52">
        <f t="shared" si="142"/>
        <v>1</v>
      </c>
      <c r="AR285" s="52">
        <f t="shared" si="142"/>
        <v>1</v>
      </c>
      <c r="AS285" s="52">
        <f t="shared" si="142"/>
        <v>1</v>
      </c>
      <c r="AT285" s="52">
        <f t="shared" si="142"/>
        <v>1</v>
      </c>
      <c r="AU285" s="52">
        <f t="shared" si="142"/>
        <v>1</v>
      </c>
      <c r="AV285" s="52">
        <f t="shared" si="142"/>
        <v>1</v>
      </c>
      <c r="AW285" s="52">
        <f t="shared" si="142"/>
        <v>1</v>
      </c>
      <c r="AX285" s="52">
        <f t="shared" si="142"/>
        <v>1</v>
      </c>
      <c r="AY285" s="52">
        <f t="shared" si="142"/>
        <v>1</v>
      </c>
      <c r="AZ285" s="52">
        <f t="shared" si="142"/>
        <v>1</v>
      </c>
      <c r="BA285" s="52">
        <f t="shared" si="142"/>
        <v>1</v>
      </c>
      <c r="BB285" s="52">
        <f t="shared" si="142"/>
        <v>1</v>
      </c>
      <c r="BC285" s="52">
        <f t="shared" si="142"/>
        <v>1</v>
      </c>
      <c r="BD285" s="52">
        <f t="shared" si="142"/>
        <v>1</v>
      </c>
      <c r="BE285" s="52">
        <f t="shared" si="142"/>
        <v>1</v>
      </c>
      <c r="BF285" s="52">
        <f t="shared" si="142"/>
        <v>1</v>
      </c>
      <c r="BG285" s="52">
        <f t="shared" ref="BG285:BN296" si="143">IF($F285=0,0,IF(BG$6&lt;$F285,0,IF(BG$6&gt;$G285,1,(BG$6-$F285+1)/($G285-$F285+1))))</f>
        <v>1</v>
      </c>
      <c r="BH285" s="52">
        <f t="shared" si="143"/>
        <v>1</v>
      </c>
      <c r="BI285" s="52">
        <f t="shared" si="143"/>
        <v>1</v>
      </c>
      <c r="BJ285" s="52">
        <f t="shared" si="143"/>
        <v>1</v>
      </c>
      <c r="BK285" s="52">
        <f t="shared" si="143"/>
        <v>1</v>
      </c>
      <c r="BL285" s="52">
        <f t="shared" si="143"/>
        <v>1</v>
      </c>
      <c r="BM285" s="52">
        <f t="shared" si="143"/>
        <v>1</v>
      </c>
      <c r="BN285" s="52">
        <f t="shared" si="143"/>
        <v>1</v>
      </c>
      <c r="BO285" s="32">
        <f t="shared" si="134"/>
        <v>0.64830508474576276</v>
      </c>
    </row>
    <row r="286" spans="1:67" x14ac:dyDescent="0.2">
      <c r="A286" s="50" t="s">
        <v>580</v>
      </c>
      <c r="B286" s="50" t="s">
        <v>581</v>
      </c>
      <c r="C286" s="50" t="s">
        <v>238</v>
      </c>
      <c r="D286" s="51">
        <f>VLOOKUP(A286,'[1]Cuadro Control'!C323:J2216,8,FALSE)</f>
        <v>179436034.15411764</v>
      </c>
      <c r="E286" s="52">
        <f t="shared" si="140"/>
        <v>3.3799272126209236E-2</v>
      </c>
      <c r="F286" s="53">
        <v>46356</v>
      </c>
      <c r="G286" s="53">
        <v>46360</v>
      </c>
      <c r="H286" s="52">
        <f t="shared" ref="H286:W296" si="144">IF($F286=0,0,IF(H$6&lt;$F286,0,IF(H$6&gt;$G286,1,(H$6-$F286+1)/($G286-$F286+1))))</f>
        <v>0</v>
      </c>
      <c r="I286" s="52">
        <f t="shared" si="144"/>
        <v>0</v>
      </c>
      <c r="J286" s="52">
        <f t="shared" si="144"/>
        <v>0</v>
      </c>
      <c r="K286" s="52">
        <f t="shared" si="144"/>
        <v>0</v>
      </c>
      <c r="L286" s="52">
        <f t="shared" si="144"/>
        <v>0</v>
      </c>
      <c r="M286" s="52">
        <f t="shared" si="144"/>
        <v>0</v>
      </c>
      <c r="N286" s="52">
        <f t="shared" si="144"/>
        <v>0</v>
      </c>
      <c r="O286" s="52">
        <f t="shared" si="144"/>
        <v>0</v>
      </c>
      <c r="P286" s="52">
        <f t="shared" si="144"/>
        <v>0</v>
      </c>
      <c r="Q286" s="52">
        <f t="shared" si="144"/>
        <v>0</v>
      </c>
      <c r="R286" s="52">
        <f t="shared" si="144"/>
        <v>0</v>
      </c>
      <c r="S286" s="52">
        <f t="shared" si="144"/>
        <v>0</v>
      </c>
      <c r="T286" s="52">
        <f t="shared" si="144"/>
        <v>0</v>
      </c>
      <c r="U286" s="52">
        <f t="shared" si="144"/>
        <v>0</v>
      </c>
      <c r="V286" s="52">
        <f t="shared" si="144"/>
        <v>0</v>
      </c>
      <c r="W286" s="52">
        <f t="shared" si="144"/>
        <v>0</v>
      </c>
      <c r="X286" s="52">
        <f t="shared" ref="X286:AN296" si="145">IF($F286=0,0,IF(X$6&lt;$F286,0,IF(X$6&gt;$G286,1,(X$6-$F286+1)/($G286-$F286+1))))</f>
        <v>0</v>
      </c>
      <c r="Y286" s="52">
        <f t="shared" si="145"/>
        <v>0</v>
      </c>
      <c r="Z286" s="52">
        <f t="shared" si="145"/>
        <v>0</v>
      </c>
      <c r="AA286" s="52">
        <f t="shared" si="145"/>
        <v>0</v>
      </c>
      <c r="AB286" s="52">
        <f t="shared" si="145"/>
        <v>0</v>
      </c>
      <c r="AC286" s="52">
        <f t="shared" si="145"/>
        <v>1</v>
      </c>
      <c r="AD286" s="52">
        <f t="shared" si="145"/>
        <v>1</v>
      </c>
      <c r="AE286" s="52">
        <f t="shared" si="145"/>
        <v>1</v>
      </c>
      <c r="AF286" s="52">
        <f t="shared" si="145"/>
        <v>1</v>
      </c>
      <c r="AG286" s="52">
        <f t="shared" si="145"/>
        <v>1</v>
      </c>
      <c r="AH286" s="52">
        <f t="shared" si="145"/>
        <v>1</v>
      </c>
      <c r="AI286" s="52">
        <f t="shared" si="145"/>
        <v>1</v>
      </c>
      <c r="AJ286" s="52">
        <f t="shared" si="145"/>
        <v>1</v>
      </c>
      <c r="AK286" s="52">
        <f t="shared" si="145"/>
        <v>1</v>
      </c>
      <c r="AL286" s="52">
        <f t="shared" si="145"/>
        <v>1</v>
      </c>
      <c r="AM286" s="52">
        <f t="shared" si="145"/>
        <v>1</v>
      </c>
      <c r="AN286" s="52">
        <f t="shared" si="145"/>
        <v>1</v>
      </c>
      <c r="AO286" s="52">
        <f t="shared" si="142"/>
        <v>1</v>
      </c>
      <c r="AP286" s="52">
        <f t="shared" si="142"/>
        <v>1</v>
      </c>
      <c r="AQ286" s="52">
        <f t="shared" si="142"/>
        <v>1</v>
      </c>
      <c r="AR286" s="52">
        <f t="shared" si="142"/>
        <v>1</v>
      </c>
      <c r="AS286" s="52">
        <f t="shared" si="142"/>
        <v>1</v>
      </c>
      <c r="AT286" s="52">
        <f t="shared" si="142"/>
        <v>1</v>
      </c>
      <c r="AU286" s="52">
        <f t="shared" si="142"/>
        <v>1</v>
      </c>
      <c r="AV286" s="52">
        <f t="shared" si="142"/>
        <v>1</v>
      </c>
      <c r="AW286" s="52">
        <f t="shared" si="142"/>
        <v>1</v>
      </c>
      <c r="AX286" s="52">
        <f t="shared" si="142"/>
        <v>1</v>
      </c>
      <c r="AY286" s="52">
        <f t="shared" si="142"/>
        <v>1</v>
      </c>
      <c r="AZ286" s="52">
        <f t="shared" si="142"/>
        <v>1</v>
      </c>
      <c r="BA286" s="52">
        <f t="shared" si="142"/>
        <v>1</v>
      </c>
      <c r="BB286" s="52">
        <f t="shared" si="142"/>
        <v>1</v>
      </c>
      <c r="BC286" s="52">
        <f t="shared" si="142"/>
        <v>1</v>
      </c>
      <c r="BD286" s="52">
        <f t="shared" si="142"/>
        <v>1</v>
      </c>
      <c r="BE286" s="52">
        <f t="shared" si="142"/>
        <v>1</v>
      </c>
      <c r="BF286" s="52">
        <f t="shared" si="142"/>
        <v>1</v>
      </c>
      <c r="BG286" s="52">
        <f t="shared" si="143"/>
        <v>1</v>
      </c>
      <c r="BH286" s="52">
        <f t="shared" si="143"/>
        <v>1</v>
      </c>
      <c r="BI286" s="52">
        <f t="shared" si="143"/>
        <v>1</v>
      </c>
      <c r="BJ286" s="52">
        <f t="shared" si="143"/>
        <v>1</v>
      </c>
      <c r="BK286" s="52">
        <f t="shared" si="143"/>
        <v>1</v>
      </c>
      <c r="BL286" s="52">
        <f t="shared" si="143"/>
        <v>1</v>
      </c>
      <c r="BM286" s="52">
        <f t="shared" si="143"/>
        <v>1</v>
      </c>
      <c r="BN286" s="52">
        <f t="shared" si="143"/>
        <v>1</v>
      </c>
      <c r="BO286" s="32">
        <f t="shared" si="134"/>
        <v>0.64406779661016944</v>
      </c>
    </row>
    <row r="287" spans="1:67" x14ac:dyDescent="0.2">
      <c r="A287" s="50" t="s">
        <v>582</v>
      </c>
      <c r="B287" s="50" t="s">
        <v>583</v>
      </c>
      <c r="C287" s="50" t="s">
        <v>58</v>
      </c>
      <c r="D287" s="51">
        <f>VLOOKUP(A287,'[1]Cuadro Control'!C324:J2217,8,FALSE)</f>
        <v>1212623361.2117648</v>
      </c>
      <c r="E287" s="52">
        <f t="shared" si="140"/>
        <v>0.22841447185013161</v>
      </c>
      <c r="F287" s="53">
        <v>46361</v>
      </c>
      <c r="G287" s="53">
        <v>46378</v>
      </c>
      <c r="H287" s="52">
        <f t="shared" si="144"/>
        <v>0</v>
      </c>
      <c r="I287" s="52">
        <f t="shared" si="144"/>
        <v>0</v>
      </c>
      <c r="J287" s="52">
        <f t="shared" si="144"/>
        <v>0</v>
      </c>
      <c r="K287" s="52">
        <f t="shared" si="144"/>
        <v>0</v>
      </c>
      <c r="L287" s="52">
        <f t="shared" si="144"/>
        <v>0</v>
      </c>
      <c r="M287" s="52">
        <f t="shared" si="144"/>
        <v>0</v>
      </c>
      <c r="N287" s="52">
        <f t="shared" si="144"/>
        <v>0</v>
      </c>
      <c r="O287" s="52">
        <f t="shared" si="144"/>
        <v>0</v>
      </c>
      <c r="P287" s="52">
        <f t="shared" si="144"/>
        <v>0</v>
      </c>
      <c r="Q287" s="52">
        <f t="shared" si="144"/>
        <v>0</v>
      </c>
      <c r="R287" s="52">
        <f t="shared" si="144"/>
        <v>0</v>
      </c>
      <c r="S287" s="52">
        <f t="shared" si="144"/>
        <v>0</v>
      </c>
      <c r="T287" s="52">
        <f t="shared" si="144"/>
        <v>0</v>
      </c>
      <c r="U287" s="52">
        <f t="shared" si="144"/>
        <v>0</v>
      </c>
      <c r="V287" s="52">
        <f t="shared" si="144"/>
        <v>0</v>
      </c>
      <c r="W287" s="52">
        <f t="shared" si="144"/>
        <v>0</v>
      </c>
      <c r="X287" s="52">
        <f t="shared" si="145"/>
        <v>0</v>
      </c>
      <c r="Y287" s="52">
        <f t="shared" si="145"/>
        <v>0</v>
      </c>
      <c r="Z287" s="52">
        <f t="shared" si="145"/>
        <v>0</v>
      </c>
      <c r="AA287" s="52">
        <f t="shared" si="145"/>
        <v>0</v>
      </c>
      <c r="AB287" s="52">
        <f t="shared" si="145"/>
        <v>0</v>
      </c>
      <c r="AC287" s="52">
        <f t="shared" si="145"/>
        <v>0</v>
      </c>
      <c r="AD287" s="52">
        <f t="shared" si="145"/>
        <v>0.3888888888888889</v>
      </c>
      <c r="AE287" s="52">
        <f t="shared" si="145"/>
        <v>0.77777777777777779</v>
      </c>
      <c r="AF287" s="52">
        <f t="shared" si="145"/>
        <v>1</v>
      </c>
      <c r="AG287" s="52">
        <f t="shared" si="145"/>
        <v>1</v>
      </c>
      <c r="AH287" s="52">
        <f t="shared" si="145"/>
        <v>1</v>
      </c>
      <c r="AI287" s="52">
        <f t="shared" si="145"/>
        <v>1</v>
      </c>
      <c r="AJ287" s="52">
        <f t="shared" si="145"/>
        <v>1</v>
      </c>
      <c r="AK287" s="52">
        <f t="shared" si="145"/>
        <v>1</v>
      </c>
      <c r="AL287" s="52">
        <f t="shared" si="145"/>
        <v>1</v>
      </c>
      <c r="AM287" s="52">
        <f t="shared" si="145"/>
        <v>1</v>
      </c>
      <c r="AN287" s="52">
        <f t="shared" si="145"/>
        <v>1</v>
      </c>
      <c r="AO287" s="52">
        <f t="shared" si="142"/>
        <v>1</v>
      </c>
      <c r="AP287" s="52">
        <f t="shared" si="142"/>
        <v>1</v>
      </c>
      <c r="AQ287" s="52">
        <f t="shared" si="142"/>
        <v>1</v>
      </c>
      <c r="AR287" s="52">
        <f t="shared" si="142"/>
        <v>1</v>
      </c>
      <c r="AS287" s="52">
        <f t="shared" si="142"/>
        <v>1</v>
      </c>
      <c r="AT287" s="52">
        <f t="shared" si="142"/>
        <v>1</v>
      </c>
      <c r="AU287" s="52">
        <f t="shared" si="142"/>
        <v>1</v>
      </c>
      <c r="AV287" s="52">
        <f t="shared" si="142"/>
        <v>1</v>
      </c>
      <c r="AW287" s="52">
        <f t="shared" si="142"/>
        <v>1</v>
      </c>
      <c r="AX287" s="52">
        <f t="shared" si="142"/>
        <v>1</v>
      </c>
      <c r="AY287" s="52">
        <f t="shared" si="142"/>
        <v>1</v>
      </c>
      <c r="AZ287" s="52">
        <f t="shared" si="142"/>
        <v>1</v>
      </c>
      <c r="BA287" s="52">
        <f t="shared" si="142"/>
        <v>1</v>
      </c>
      <c r="BB287" s="52">
        <f t="shared" si="142"/>
        <v>1</v>
      </c>
      <c r="BC287" s="52">
        <f t="shared" si="142"/>
        <v>1</v>
      </c>
      <c r="BD287" s="52">
        <f t="shared" si="142"/>
        <v>1</v>
      </c>
      <c r="BE287" s="52">
        <f t="shared" si="142"/>
        <v>1</v>
      </c>
      <c r="BF287" s="52">
        <f t="shared" si="142"/>
        <v>1</v>
      </c>
      <c r="BG287" s="52">
        <f t="shared" si="143"/>
        <v>1</v>
      </c>
      <c r="BH287" s="52">
        <f t="shared" si="143"/>
        <v>1</v>
      </c>
      <c r="BI287" s="52">
        <f t="shared" si="143"/>
        <v>1</v>
      </c>
      <c r="BJ287" s="52">
        <f t="shared" si="143"/>
        <v>1</v>
      </c>
      <c r="BK287" s="52">
        <f t="shared" si="143"/>
        <v>1</v>
      </c>
      <c r="BL287" s="52">
        <f t="shared" si="143"/>
        <v>1</v>
      </c>
      <c r="BM287" s="52">
        <f t="shared" si="143"/>
        <v>1</v>
      </c>
      <c r="BN287" s="52">
        <f t="shared" si="143"/>
        <v>1</v>
      </c>
      <c r="BO287" s="32">
        <f t="shared" si="134"/>
        <v>0.61299435028248594</v>
      </c>
    </row>
    <row r="288" spans="1:67" x14ac:dyDescent="0.2">
      <c r="A288" s="50" t="s">
        <v>584</v>
      </c>
      <c r="B288" s="50" t="s">
        <v>585</v>
      </c>
      <c r="C288" s="50" t="s">
        <v>126</v>
      </c>
      <c r="D288" s="51">
        <f>VLOOKUP(A288,'[1]Cuadro Control'!C325:J2218,8,FALSE)</f>
        <v>0</v>
      </c>
      <c r="E288" s="52">
        <f t="shared" si="140"/>
        <v>0</v>
      </c>
      <c r="F288" s="53">
        <v>46378</v>
      </c>
      <c r="G288" s="53">
        <v>46382</v>
      </c>
      <c r="H288" s="52">
        <f t="shared" si="144"/>
        <v>0</v>
      </c>
      <c r="I288" s="52">
        <f t="shared" si="144"/>
        <v>0</v>
      </c>
      <c r="J288" s="52">
        <f t="shared" si="144"/>
        <v>0</v>
      </c>
      <c r="K288" s="52">
        <f t="shared" si="144"/>
        <v>0</v>
      </c>
      <c r="L288" s="52">
        <f t="shared" si="144"/>
        <v>0</v>
      </c>
      <c r="M288" s="52">
        <f t="shared" si="144"/>
        <v>0</v>
      </c>
      <c r="N288" s="52">
        <f t="shared" si="144"/>
        <v>0</v>
      </c>
      <c r="O288" s="52">
        <f t="shared" si="144"/>
        <v>0</v>
      </c>
      <c r="P288" s="52">
        <f t="shared" si="144"/>
        <v>0</v>
      </c>
      <c r="Q288" s="52">
        <f t="shared" si="144"/>
        <v>0</v>
      </c>
      <c r="R288" s="52">
        <f t="shared" si="144"/>
        <v>0</v>
      </c>
      <c r="S288" s="52">
        <f t="shared" si="144"/>
        <v>0</v>
      </c>
      <c r="T288" s="52">
        <f t="shared" si="144"/>
        <v>0</v>
      </c>
      <c r="U288" s="52">
        <f t="shared" si="144"/>
        <v>0</v>
      </c>
      <c r="V288" s="52">
        <f t="shared" si="144"/>
        <v>0</v>
      </c>
      <c r="W288" s="52">
        <f t="shared" si="144"/>
        <v>0</v>
      </c>
      <c r="X288" s="52">
        <f t="shared" si="145"/>
        <v>0</v>
      </c>
      <c r="Y288" s="52">
        <f t="shared" si="145"/>
        <v>0</v>
      </c>
      <c r="Z288" s="52">
        <f t="shared" si="145"/>
        <v>0</v>
      </c>
      <c r="AA288" s="52">
        <f t="shared" si="145"/>
        <v>0</v>
      </c>
      <c r="AB288" s="52">
        <f t="shared" si="145"/>
        <v>0</v>
      </c>
      <c r="AC288" s="52">
        <f t="shared" si="145"/>
        <v>0</v>
      </c>
      <c r="AD288" s="52">
        <f t="shared" si="145"/>
        <v>0</v>
      </c>
      <c r="AE288" s="52">
        <f t="shared" si="145"/>
        <v>0</v>
      </c>
      <c r="AF288" s="52">
        <f t="shared" si="145"/>
        <v>0.8</v>
      </c>
      <c r="AG288" s="52">
        <f t="shared" si="145"/>
        <v>1</v>
      </c>
      <c r="AH288" s="52">
        <f t="shared" si="145"/>
        <v>1</v>
      </c>
      <c r="AI288" s="52">
        <f t="shared" si="145"/>
        <v>1</v>
      </c>
      <c r="AJ288" s="52">
        <f t="shared" si="145"/>
        <v>1</v>
      </c>
      <c r="AK288" s="52">
        <f t="shared" si="145"/>
        <v>1</v>
      </c>
      <c r="AL288" s="52">
        <f t="shared" si="145"/>
        <v>1</v>
      </c>
      <c r="AM288" s="52">
        <f t="shared" si="145"/>
        <v>1</v>
      </c>
      <c r="AN288" s="52">
        <f t="shared" si="145"/>
        <v>1</v>
      </c>
      <c r="AO288" s="52">
        <f t="shared" si="142"/>
        <v>1</v>
      </c>
      <c r="AP288" s="52">
        <f t="shared" si="142"/>
        <v>1</v>
      </c>
      <c r="AQ288" s="52">
        <f t="shared" si="142"/>
        <v>1</v>
      </c>
      <c r="AR288" s="52">
        <f t="shared" si="142"/>
        <v>1</v>
      </c>
      <c r="AS288" s="52">
        <f t="shared" si="142"/>
        <v>1</v>
      </c>
      <c r="AT288" s="52">
        <f t="shared" si="142"/>
        <v>1</v>
      </c>
      <c r="AU288" s="52">
        <f t="shared" si="142"/>
        <v>1</v>
      </c>
      <c r="AV288" s="52">
        <f t="shared" si="142"/>
        <v>1</v>
      </c>
      <c r="AW288" s="52">
        <f t="shared" si="142"/>
        <v>1</v>
      </c>
      <c r="AX288" s="52">
        <f t="shared" si="142"/>
        <v>1</v>
      </c>
      <c r="AY288" s="52">
        <f t="shared" si="142"/>
        <v>1</v>
      </c>
      <c r="AZ288" s="52">
        <f t="shared" si="142"/>
        <v>1</v>
      </c>
      <c r="BA288" s="52">
        <f t="shared" si="142"/>
        <v>1</v>
      </c>
      <c r="BB288" s="52">
        <f t="shared" si="142"/>
        <v>1</v>
      </c>
      <c r="BC288" s="52">
        <f t="shared" si="142"/>
        <v>1</v>
      </c>
      <c r="BD288" s="52">
        <f t="shared" si="142"/>
        <v>1</v>
      </c>
      <c r="BE288" s="52">
        <f t="shared" si="142"/>
        <v>1</v>
      </c>
      <c r="BF288" s="52">
        <f t="shared" si="142"/>
        <v>1</v>
      </c>
      <c r="BG288" s="52">
        <f t="shared" si="143"/>
        <v>1</v>
      </c>
      <c r="BH288" s="52">
        <f t="shared" si="143"/>
        <v>1</v>
      </c>
      <c r="BI288" s="52">
        <f t="shared" si="143"/>
        <v>1</v>
      </c>
      <c r="BJ288" s="52">
        <f t="shared" si="143"/>
        <v>1</v>
      </c>
      <c r="BK288" s="52">
        <f t="shared" si="143"/>
        <v>1</v>
      </c>
      <c r="BL288" s="52">
        <f t="shared" si="143"/>
        <v>1</v>
      </c>
      <c r="BM288" s="52">
        <f t="shared" si="143"/>
        <v>1</v>
      </c>
      <c r="BN288" s="52">
        <f t="shared" si="143"/>
        <v>1</v>
      </c>
      <c r="BO288" s="32">
        <f t="shared" si="134"/>
        <v>0.58983050847457619</v>
      </c>
    </row>
    <row r="289" spans="1:67" ht="24" x14ac:dyDescent="0.2">
      <c r="A289" s="55" t="s">
        <v>586</v>
      </c>
      <c r="B289" s="55" t="s">
        <v>587</v>
      </c>
      <c r="C289" s="55" t="s">
        <v>14</v>
      </c>
      <c r="D289" s="56">
        <f>VLOOKUP(A289,'[1]Cuadro Control'!C326:J2219,8,FALSE)</f>
        <v>0</v>
      </c>
      <c r="E289" s="57">
        <f t="shared" si="140"/>
        <v>0</v>
      </c>
      <c r="F289" s="58">
        <v>46378</v>
      </c>
      <c r="G289" s="58">
        <v>46378</v>
      </c>
      <c r="H289" s="57">
        <f t="shared" si="144"/>
        <v>0</v>
      </c>
      <c r="I289" s="57">
        <f t="shared" si="144"/>
        <v>0</v>
      </c>
      <c r="J289" s="57">
        <f t="shared" si="144"/>
        <v>0</v>
      </c>
      <c r="K289" s="57">
        <f t="shared" si="144"/>
        <v>0</v>
      </c>
      <c r="L289" s="57">
        <f t="shared" si="144"/>
        <v>0</v>
      </c>
      <c r="M289" s="57">
        <f t="shared" si="144"/>
        <v>0</v>
      </c>
      <c r="N289" s="57">
        <f t="shared" si="144"/>
        <v>0</v>
      </c>
      <c r="O289" s="57">
        <f t="shared" si="144"/>
        <v>0</v>
      </c>
      <c r="P289" s="57">
        <f t="shared" si="144"/>
        <v>0</v>
      </c>
      <c r="Q289" s="57">
        <f t="shared" si="144"/>
        <v>0</v>
      </c>
      <c r="R289" s="57">
        <f t="shared" si="144"/>
        <v>0</v>
      </c>
      <c r="S289" s="57">
        <f t="shared" si="144"/>
        <v>0</v>
      </c>
      <c r="T289" s="57">
        <f t="shared" si="144"/>
        <v>0</v>
      </c>
      <c r="U289" s="57">
        <f t="shared" si="144"/>
        <v>0</v>
      </c>
      <c r="V289" s="57">
        <f t="shared" si="144"/>
        <v>0</v>
      </c>
      <c r="W289" s="57">
        <f t="shared" si="144"/>
        <v>0</v>
      </c>
      <c r="X289" s="57">
        <f t="shared" si="145"/>
        <v>0</v>
      </c>
      <c r="Y289" s="57">
        <f t="shared" si="145"/>
        <v>0</v>
      </c>
      <c r="Z289" s="57">
        <f t="shared" si="145"/>
        <v>0</v>
      </c>
      <c r="AA289" s="57">
        <f t="shared" si="145"/>
        <v>0</v>
      </c>
      <c r="AB289" s="57">
        <f t="shared" si="145"/>
        <v>0</v>
      </c>
      <c r="AC289" s="57">
        <f t="shared" si="145"/>
        <v>0</v>
      </c>
      <c r="AD289" s="57">
        <f t="shared" si="145"/>
        <v>0</v>
      </c>
      <c r="AE289" s="57">
        <f t="shared" si="145"/>
        <v>0</v>
      </c>
      <c r="AF289" s="57">
        <f t="shared" si="145"/>
        <v>1</v>
      </c>
      <c r="AG289" s="57">
        <f t="shared" si="145"/>
        <v>1</v>
      </c>
      <c r="AH289" s="57">
        <f t="shared" si="145"/>
        <v>1</v>
      </c>
      <c r="AI289" s="57">
        <f t="shared" si="145"/>
        <v>1</v>
      </c>
      <c r="AJ289" s="57">
        <f t="shared" si="145"/>
        <v>1</v>
      </c>
      <c r="AK289" s="57">
        <f t="shared" si="145"/>
        <v>1</v>
      </c>
      <c r="AL289" s="57">
        <f t="shared" si="145"/>
        <v>1</v>
      </c>
      <c r="AM289" s="57">
        <f t="shared" si="145"/>
        <v>1</v>
      </c>
      <c r="AN289" s="57">
        <f t="shared" si="145"/>
        <v>1</v>
      </c>
      <c r="AO289" s="57">
        <f t="shared" si="142"/>
        <v>1</v>
      </c>
      <c r="AP289" s="57">
        <f t="shared" si="142"/>
        <v>1</v>
      </c>
      <c r="AQ289" s="57">
        <f t="shared" si="142"/>
        <v>1</v>
      </c>
      <c r="AR289" s="57">
        <f t="shared" si="142"/>
        <v>1</v>
      </c>
      <c r="AS289" s="57">
        <f t="shared" si="142"/>
        <v>1</v>
      </c>
      <c r="AT289" s="57">
        <f t="shared" si="142"/>
        <v>1</v>
      </c>
      <c r="AU289" s="57">
        <f t="shared" si="142"/>
        <v>1</v>
      </c>
      <c r="AV289" s="57">
        <f t="shared" si="142"/>
        <v>1</v>
      </c>
      <c r="AW289" s="57">
        <f t="shared" si="142"/>
        <v>1</v>
      </c>
      <c r="AX289" s="57">
        <f t="shared" si="142"/>
        <v>1</v>
      </c>
      <c r="AY289" s="57">
        <f t="shared" si="142"/>
        <v>1</v>
      </c>
      <c r="AZ289" s="57">
        <f t="shared" si="142"/>
        <v>1</v>
      </c>
      <c r="BA289" s="57">
        <f t="shared" si="142"/>
        <v>1</v>
      </c>
      <c r="BB289" s="57">
        <f t="shared" si="142"/>
        <v>1</v>
      </c>
      <c r="BC289" s="57">
        <f t="shared" si="142"/>
        <v>1</v>
      </c>
      <c r="BD289" s="57">
        <f t="shared" si="142"/>
        <v>1</v>
      </c>
      <c r="BE289" s="57">
        <f t="shared" si="142"/>
        <v>1</v>
      </c>
      <c r="BF289" s="57">
        <f t="shared" si="142"/>
        <v>1</v>
      </c>
      <c r="BG289" s="57">
        <f t="shared" si="143"/>
        <v>1</v>
      </c>
      <c r="BH289" s="57">
        <f t="shared" si="143"/>
        <v>1</v>
      </c>
      <c r="BI289" s="57">
        <f t="shared" si="143"/>
        <v>1</v>
      </c>
      <c r="BJ289" s="57">
        <f t="shared" si="143"/>
        <v>1</v>
      </c>
      <c r="BK289" s="57">
        <f t="shared" si="143"/>
        <v>1</v>
      </c>
      <c r="BL289" s="57">
        <f t="shared" si="143"/>
        <v>1</v>
      </c>
      <c r="BM289" s="57">
        <f t="shared" si="143"/>
        <v>1</v>
      </c>
      <c r="BN289" s="57">
        <f t="shared" si="143"/>
        <v>1</v>
      </c>
      <c r="BO289" s="32">
        <f t="shared" si="134"/>
        <v>0.59322033898305082</v>
      </c>
    </row>
    <row r="290" spans="1:67" x14ac:dyDescent="0.2">
      <c r="A290" s="50" t="s">
        <v>588</v>
      </c>
      <c r="B290" s="50" t="s">
        <v>589</v>
      </c>
      <c r="C290" s="50" t="s">
        <v>111</v>
      </c>
      <c r="D290" s="51">
        <f>VLOOKUP(A290,'[1]Cuadro Control'!C327:J2220,8,FALSE)</f>
        <v>1230815225.9452939</v>
      </c>
      <c r="E290" s="52">
        <f t="shared" si="140"/>
        <v>0.2318411625341423</v>
      </c>
      <c r="F290" s="53">
        <v>46382</v>
      </c>
      <c r="G290" s="53">
        <v>46384</v>
      </c>
      <c r="H290" s="52">
        <f t="shared" si="144"/>
        <v>0</v>
      </c>
      <c r="I290" s="52">
        <f t="shared" si="144"/>
        <v>0</v>
      </c>
      <c r="J290" s="52">
        <f t="shared" si="144"/>
        <v>0</v>
      </c>
      <c r="K290" s="52">
        <f t="shared" si="144"/>
        <v>0</v>
      </c>
      <c r="L290" s="52">
        <f t="shared" si="144"/>
        <v>0</v>
      </c>
      <c r="M290" s="52">
        <f t="shared" si="144"/>
        <v>0</v>
      </c>
      <c r="N290" s="52">
        <f t="shared" si="144"/>
        <v>0</v>
      </c>
      <c r="O290" s="52">
        <f t="shared" si="144"/>
        <v>0</v>
      </c>
      <c r="P290" s="52">
        <f t="shared" si="144"/>
        <v>0</v>
      </c>
      <c r="Q290" s="52">
        <f t="shared" si="144"/>
        <v>0</v>
      </c>
      <c r="R290" s="52">
        <f t="shared" si="144"/>
        <v>0</v>
      </c>
      <c r="S290" s="52">
        <f t="shared" si="144"/>
        <v>0</v>
      </c>
      <c r="T290" s="52">
        <f t="shared" si="144"/>
        <v>0</v>
      </c>
      <c r="U290" s="52">
        <f t="shared" si="144"/>
        <v>0</v>
      </c>
      <c r="V290" s="52">
        <f t="shared" si="144"/>
        <v>0</v>
      </c>
      <c r="W290" s="52">
        <f t="shared" si="144"/>
        <v>0</v>
      </c>
      <c r="X290" s="52">
        <f t="shared" si="145"/>
        <v>0</v>
      </c>
      <c r="Y290" s="52">
        <f t="shared" si="145"/>
        <v>0</v>
      </c>
      <c r="Z290" s="52">
        <f t="shared" si="145"/>
        <v>0</v>
      </c>
      <c r="AA290" s="52">
        <f t="shared" si="145"/>
        <v>0</v>
      </c>
      <c r="AB290" s="52">
        <f t="shared" si="145"/>
        <v>0</v>
      </c>
      <c r="AC290" s="52">
        <f t="shared" si="145"/>
        <v>0</v>
      </c>
      <c r="AD290" s="52">
        <f t="shared" si="145"/>
        <v>0</v>
      </c>
      <c r="AE290" s="52">
        <f t="shared" si="145"/>
        <v>0</v>
      </c>
      <c r="AF290" s="52">
        <f t="shared" si="145"/>
        <v>0</v>
      </c>
      <c r="AG290" s="52">
        <f t="shared" si="145"/>
        <v>1</v>
      </c>
      <c r="AH290" s="52">
        <f t="shared" si="145"/>
        <v>1</v>
      </c>
      <c r="AI290" s="52">
        <f t="shared" si="145"/>
        <v>1</v>
      </c>
      <c r="AJ290" s="52">
        <f t="shared" si="145"/>
        <v>1</v>
      </c>
      <c r="AK290" s="52">
        <f t="shared" si="145"/>
        <v>1</v>
      </c>
      <c r="AL290" s="52">
        <f t="shared" si="145"/>
        <v>1</v>
      </c>
      <c r="AM290" s="52">
        <f t="shared" si="145"/>
        <v>1</v>
      </c>
      <c r="AN290" s="52">
        <f t="shared" si="145"/>
        <v>1</v>
      </c>
      <c r="AO290" s="52">
        <f t="shared" si="142"/>
        <v>1</v>
      </c>
      <c r="AP290" s="52">
        <f t="shared" si="142"/>
        <v>1</v>
      </c>
      <c r="AQ290" s="52">
        <f t="shared" si="142"/>
        <v>1</v>
      </c>
      <c r="AR290" s="52">
        <f t="shared" si="142"/>
        <v>1</v>
      </c>
      <c r="AS290" s="52">
        <f t="shared" si="142"/>
        <v>1</v>
      </c>
      <c r="AT290" s="52">
        <f t="shared" si="142"/>
        <v>1</v>
      </c>
      <c r="AU290" s="52">
        <f t="shared" si="142"/>
        <v>1</v>
      </c>
      <c r="AV290" s="52">
        <f t="shared" si="142"/>
        <v>1</v>
      </c>
      <c r="AW290" s="52">
        <f t="shared" si="142"/>
        <v>1</v>
      </c>
      <c r="AX290" s="52">
        <f t="shared" si="142"/>
        <v>1</v>
      </c>
      <c r="AY290" s="52">
        <f t="shared" si="142"/>
        <v>1</v>
      </c>
      <c r="AZ290" s="52">
        <f t="shared" si="142"/>
        <v>1</v>
      </c>
      <c r="BA290" s="52">
        <f t="shared" si="142"/>
        <v>1</v>
      </c>
      <c r="BB290" s="52">
        <f t="shared" si="142"/>
        <v>1</v>
      </c>
      <c r="BC290" s="52">
        <f t="shared" si="142"/>
        <v>1</v>
      </c>
      <c r="BD290" s="52">
        <f t="shared" si="142"/>
        <v>1</v>
      </c>
      <c r="BE290" s="52">
        <f t="shared" si="142"/>
        <v>1</v>
      </c>
      <c r="BF290" s="52">
        <f t="shared" si="142"/>
        <v>1</v>
      </c>
      <c r="BG290" s="52">
        <f t="shared" si="143"/>
        <v>1</v>
      </c>
      <c r="BH290" s="52">
        <f t="shared" si="143"/>
        <v>1</v>
      </c>
      <c r="BI290" s="52">
        <f t="shared" si="143"/>
        <v>1</v>
      </c>
      <c r="BJ290" s="52">
        <f t="shared" si="143"/>
        <v>1</v>
      </c>
      <c r="BK290" s="52">
        <f t="shared" si="143"/>
        <v>1</v>
      </c>
      <c r="BL290" s="52">
        <f t="shared" si="143"/>
        <v>1</v>
      </c>
      <c r="BM290" s="52">
        <f t="shared" si="143"/>
        <v>1</v>
      </c>
      <c r="BN290" s="52">
        <f t="shared" si="143"/>
        <v>1</v>
      </c>
      <c r="BO290" s="32">
        <f t="shared" si="134"/>
        <v>0.57627118644067798</v>
      </c>
    </row>
    <row r="291" spans="1:67" x14ac:dyDescent="0.2">
      <c r="A291" s="50" t="s">
        <v>590</v>
      </c>
      <c r="B291" s="50" t="s">
        <v>591</v>
      </c>
      <c r="C291" s="50" t="s">
        <v>238</v>
      </c>
      <c r="D291" s="51">
        <f>VLOOKUP(A291,'[1]Cuadro Control'!C328:J2221,8,FALSE)</f>
        <v>0</v>
      </c>
      <c r="E291" s="52">
        <f t="shared" si="140"/>
        <v>0</v>
      </c>
      <c r="F291" s="53">
        <v>46384</v>
      </c>
      <c r="G291" s="53">
        <v>46392</v>
      </c>
      <c r="H291" s="52">
        <f t="shared" si="144"/>
        <v>0</v>
      </c>
      <c r="I291" s="52">
        <f t="shared" si="144"/>
        <v>0</v>
      </c>
      <c r="J291" s="52">
        <f t="shared" si="144"/>
        <v>0</v>
      </c>
      <c r="K291" s="52">
        <f t="shared" si="144"/>
        <v>0</v>
      </c>
      <c r="L291" s="52">
        <f t="shared" si="144"/>
        <v>0</v>
      </c>
      <c r="M291" s="52">
        <f t="shared" si="144"/>
        <v>0</v>
      </c>
      <c r="N291" s="52">
        <f t="shared" si="144"/>
        <v>0</v>
      </c>
      <c r="O291" s="52">
        <f t="shared" si="144"/>
        <v>0</v>
      </c>
      <c r="P291" s="52">
        <f t="shared" si="144"/>
        <v>0</v>
      </c>
      <c r="Q291" s="52">
        <f t="shared" si="144"/>
        <v>0</v>
      </c>
      <c r="R291" s="52">
        <f t="shared" si="144"/>
        <v>0</v>
      </c>
      <c r="S291" s="52">
        <f t="shared" si="144"/>
        <v>0</v>
      </c>
      <c r="T291" s="52">
        <f t="shared" si="144"/>
        <v>0</v>
      </c>
      <c r="U291" s="52">
        <f t="shared" si="144"/>
        <v>0</v>
      </c>
      <c r="V291" s="52">
        <f t="shared" si="144"/>
        <v>0</v>
      </c>
      <c r="W291" s="52">
        <f t="shared" si="144"/>
        <v>0</v>
      </c>
      <c r="X291" s="52">
        <f t="shared" si="145"/>
        <v>0</v>
      </c>
      <c r="Y291" s="52">
        <f t="shared" si="145"/>
        <v>0</v>
      </c>
      <c r="Z291" s="52">
        <f t="shared" si="145"/>
        <v>0</v>
      </c>
      <c r="AA291" s="52">
        <f t="shared" si="145"/>
        <v>0</v>
      </c>
      <c r="AB291" s="52">
        <f t="shared" si="145"/>
        <v>0</v>
      </c>
      <c r="AC291" s="52">
        <f t="shared" si="145"/>
        <v>0</v>
      </c>
      <c r="AD291" s="52">
        <f t="shared" si="145"/>
        <v>0</v>
      </c>
      <c r="AE291" s="52">
        <f t="shared" si="145"/>
        <v>0</v>
      </c>
      <c r="AF291" s="52">
        <f t="shared" si="145"/>
        <v>0</v>
      </c>
      <c r="AG291" s="52">
        <f t="shared" si="145"/>
        <v>0.55555555555555558</v>
      </c>
      <c r="AH291" s="52">
        <f t="shared" si="145"/>
        <v>1</v>
      </c>
      <c r="AI291" s="52">
        <f t="shared" si="145"/>
        <v>1</v>
      </c>
      <c r="AJ291" s="52">
        <f t="shared" si="145"/>
        <v>1</v>
      </c>
      <c r="AK291" s="52">
        <f t="shared" si="145"/>
        <v>1</v>
      </c>
      <c r="AL291" s="52">
        <f t="shared" si="145"/>
        <v>1</v>
      </c>
      <c r="AM291" s="52">
        <f t="shared" si="145"/>
        <v>1</v>
      </c>
      <c r="AN291" s="52">
        <f t="shared" si="145"/>
        <v>1</v>
      </c>
      <c r="AO291" s="52">
        <f t="shared" si="142"/>
        <v>1</v>
      </c>
      <c r="AP291" s="52">
        <f t="shared" si="142"/>
        <v>1</v>
      </c>
      <c r="AQ291" s="52">
        <f t="shared" si="142"/>
        <v>1</v>
      </c>
      <c r="AR291" s="52">
        <f t="shared" si="142"/>
        <v>1</v>
      </c>
      <c r="AS291" s="52">
        <f t="shared" si="142"/>
        <v>1</v>
      </c>
      <c r="AT291" s="52">
        <f t="shared" si="142"/>
        <v>1</v>
      </c>
      <c r="AU291" s="52">
        <f t="shared" si="142"/>
        <v>1</v>
      </c>
      <c r="AV291" s="52">
        <f t="shared" si="142"/>
        <v>1</v>
      </c>
      <c r="AW291" s="52">
        <f t="shared" si="142"/>
        <v>1</v>
      </c>
      <c r="AX291" s="52">
        <f t="shared" si="142"/>
        <v>1</v>
      </c>
      <c r="AY291" s="52">
        <f t="shared" si="142"/>
        <v>1</v>
      </c>
      <c r="AZ291" s="52">
        <f t="shared" si="142"/>
        <v>1</v>
      </c>
      <c r="BA291" s="52">
        <f t="shared" si="142"/>
        <v>1</v>
      </c>
      <c r="BB291" s="52">
        <f t="shared" si="142"/>
        <v>1</v>
      </c>
      <c r="BC291" s="52">
        <f t="shared" si="142"/>
        <v>1</v>
      </c>
      <c r="BD291" s="52">
        <f t="shared" si="142"/>
        <v>1</v>
      </c>
      <c r="BE291" s="52">
        <f t="shared" si="142"/>
        <v>1</v>
      </c>
      <c r="BF291" s="52">
        <f t="shared" si="142"/>
        <v>1</v>
      </c>
      <c r="BG291" s="52">
        <f t="shared" si="143"/>
        <v>1</v>
      </c>
      <c r="BH291" s="52">
        <f t="shared" si="143"/>
        <v>1</v>
      </c>
      <c r="BI291" s="52">
        <f t="shared" si="143"/>
        <v>1</v>
      </c>
      <c r="BJ291" s="52">
        <f t="shared" si="143"/>
        <v>1</v>
      </c>
      <c r="BK291" s="52">
        <f t="shared" si="143"/>
        <v>1</v>
      </c>
      <c r="BL291" s="52">
        <f t="shared" si="143"/>
        <v>1</v>
      </c>
      <c r="BM291" s="52">
        <f t="shared" si="143"/>
        <v>1</v>
      </c>
      <c r="BN291" s="52">
        <f t="shared" si="143"/>
        <v>1</v>
      </c>
      <c r="BO291" s="32">
        <f t="shared" si="134"/>
        <v>0.56873822975517896</v>
      </c>
    </row>
    <row r="292" spans="1:67" ht="24" x14ac:dyDescent="0.2">
      <c r="A292" s="50" t="s">
        <v>592</v>
      </c>
      <c r="B292" s="50" t="s">
        <v>593</v>
      </c>
      <c r="C292" s="50" t="s">
        <v>126</v>
      </c>
      <c r="D292" s="51">
        <f>VLOOKUP(A292,'[1]Cuadro Control'!C329:J2222,8,FALSE)</f>
        <v>52736347.43270281</v>
      </c>
      <c r="E292" s="52">
        <f t="shared" si="140"/>
        <v>9.933624348213644E-3</v>
      </c>
      <c r="F292" s="53">
        <v>46392</v>
      </c>
      <c r="G292" s="53">
        <v>46395</v>
      </c>
      <c r="H292" s="52">
        <f t="shared" si="144"/>
        <v>0</v>
      </c>
      <c r="I292" s="52">
        <f t="shared" si="144"/>
        <v>0</v>
      </c>
      <c r="J292" s="52">
        <f t="shared" si="144"/>
        <v>0</v>
      </c>
      <c r="K292" s="52">
        <f t="shared" si="144"/>
        <v>0</v>
      </c>
      <c r="L292" s="52">
        <f t="shared" si="144"/>
        <v>0</v>
      </c>
      <c r="M292" s="52">
        <f t="shared" si="144"/>
        <v>0</v>
      </c>
      <c r="N292" s="52">
        <f t="shared" si="144"/>
        <v>0</v>
      </c>
      <c r="O292" s="52">
        <f t="shared" si="144"/>
        <v>0</v>
      </c>
      <c r="P292" s="52">
        <f t="shared" si="144"/>
        <v>0</v>
      </c>
      <c r="Q292" s="52">
        <f t="shared" si="144"/>
        <v>0</v>
      </c>
      <c r="R292" s="52">
        <f t="shared" si="144"/>
        <v>0</v>
      </c>
      <c r="S292" s="52">
        <f t="shared" si="144"/>
        <v>0</v>
      </c>
      <c r="T292" s="52">
        <f t="shared" si="144"/>
        <v>0</v>
      </c>
      <c r="U292" s="52">
        <f t="shared" si="144"/>
        <v>0</v>
      </c>
      <c r="V292" s="52">
        <f t="shared" si="144"/>
        <v>0</v>
      </c>
      <c r="W292" s="52">
        <f t="shared" si="144"/>
        <v>0</v>
      </c>
      <c r="X292" s="52">
        <f t="shared" si="145"/>
        <v>0</v>
      </c>
      <c r="Y292" s="52">
        <f t="shared" si="145"/>
        <v>0</v>
      </c>
      <c r="Z292" s="52">
        <f t="shared" si="145"/>
        <v>0</v>
      </c>
      <c r="AA292" s="52">
        <f t="shared" si="145"/>
        <v>0</v>
      </c>
      <c r="AB292" s="52">
        <f t="shared" si="145"/>
        <v>0</v>
      </c>
      <c r="AC292" s="52">
        <f t="shared" si="145"/>
        <v>0</v>
      </c>
      <c r="AD292" s="52">
        <f t="shared" si="145"/>
        <v>0</v>
      </c>
      <c r="AE292" s="52">
        <f t="shared" si="145"/>
        <v>0</v>
      </c>
      <c r="AF292" s="52">
        <f t="shared" si="145"/>
        <v>0</v>
      </c>
      <c r="AG292" s="52">
        <f t="shared" si="145"/>
        <v>0</v>
      </c>
      <c r="AH292" s="52">
        <f t="shared" si="145"/>
        <v>1</v>
      </c>
      <c r="AI292" s="52">
        <f t="shared" si="145"/>
        <v>1</v>
      </c>
      <c r="AJ292" s="52">
        <f t="shared" si="145"/>
        <v>1</v>
      </c>
      <c r="AK292" s="52">
        <f t="shared" si="145"/>
        <v>1</v>
      </c>
      <c r="AL292" s="52">
        <f t="shared" si="145"/>
        <v>1</v>
      </c>
      <c r="AM292" s="52">
        <f t="shared" si="145"/>
        <v>1</v>
      </c>
      <c r="AN292" s="52">
        <f t="shared" si="145"/>
        <v>1</v>
      </c>
      <c r="AO292" s="52">
        <f t="shared" si="142"/>
        <v>1</v>
      </c>
      <c r="AP292" s="52">
        <f t="shared" si="142"/>
        <v>1</v>
      </c>
      <c r="AQ292" s="52">
        <f t="shared" si="142"/>
        <v>1</v>
      </c>
      <c r="AR292" s="52">
        <f t="shared" si="142"/>
        <v>1</v>
      </c>
      <c r="AS292" s="52">
        <f t="shared" si="142"/>
        <v>1</v>
      </c>
      <c r="AT292" s="52">
        <f t="shared" si="142"/>
        <v>1</v>
      </c>
      <c r="AU292" s="52">
        <f t="shared" si="142"/>
        <v>1</v>
      </c>
      <c r="AV292" s="52">
        <f t="shared" si="142"/>
        <v>1</v>
      </c>
      <c r="AW292" s="52">
        <f t="shared" si="142"/>
        <v>1</v>
      </c>
      <c r="AX292" s="52">
        <f t="shared" si="142"/>
        <v>1</v>
      </c>
      <c r="AY292" s="52">
        <f t="shared" si="142"/>
        <v>1</v>
      </c>
      <c r="AZ292" s="52">
        <f t="shared" si="142"/>
        <v>1</v>
      </c>
      <c r="BA292" s="52">
        <f t="shared" si="142"/>
        <v>1</v>
      </c>
      <c r="BB292" s="52">
        <f t="shared" si="142"/>
        <v>1</v>
      </c>
      <c r="BC292" s="52">
        <f t="shared" si="142"/>
        <v>1</v>
      </c>
      <c r="BD292" s="52">
        <f t="shared" si="142"/>
        <v>1</v>
      </c>
      <c r="BE292" s="52">
        <f t="shared" si="142"/>
        <v>1</v>
      </c>
      <c r="BF292" s="52">
        <f t="shared" si="142"/>
        <v>1</v>
      </c>
      <c r="BG292" s="52">
        <f t="shared" si="143"/>
        <v>1</v>
      </c>
      <c r="BH292" s="52">
        <f t="shared" si="143"/>
        <v>1</v>
      </c>
      <c r="BI292" s="52">
        <f t="shared" si="143"/>
        <v>1</v>
      </c>
      <c r="BJ292" s="52">
        <f t="shared" si="143"/>
        <v>1</v>
      </c>
      <c r="BK292" s="52">
        <f t="shared" si="143"/>
        <v>1</v>
      </c>
      <c r="BL292" s="52">
        <f t="shared" si="143"/>
        <v>1</v>
      </c>
      <c r="BM292" s="52">
        <f t="shared" si="143"/>
        <v>1</v>
      </c>
      <c r="BN292" s="52">
        <f t="shared" si="143"/>
        <v>1</v>
      </c>
      <c r="BO292" s="32">
        <f t="shared" si="134"/>
        <v>0.55932203389830504</v>
      </c>
    </row>
    <row r="293" spans="1:67" ht="24" x14ac:dyDescent="0.2">
      <c r="A293" s="50" t="s">
        <v>594</v>
      </c>
      <c r="B293" s="50" t="s">
        <v>595</v>
      </c>
      <c r="C293" s="50" t="s">
        <v>117</v>
      </c>
      <c r="D293" s="51">
        <f>VLOOKUP(A293,'[1]Cuadro Control'!C331:J2223,8,FALSE)</f>
        <v>46410609.014634147</v>
      </c>
      <c r="E293" s="52">
        <f t="shared" si="140"/>
        <v>8.742083556535862E-3</v>
      </c>
      <c r="F293" s="53">
        <v>46395</v>
      </c>
      <c r="G293" s="53">
        <v>46399</v>
      </c>
      <c r="H293" s="52">
        <f t="shared" si="144"/>
        <v>0</v>
      </c>
      <c r="I293" s="52">
        <f t="shared" si="144"/>
        <v>0</v>
      </c>
      <c r="J293" s="52">
        <f t="shared" si="144"/>
        <v>0</v>
      </c>
      <c r="K293" s="52">
        <f t="shared" si="144"/>
        <v>0</v>
      </c>
      <c r="L293" s="52">
        <f t="shared" si="144"/>
        <v>0</v>
      </c>
      <c r="M293" s="52">
        <f t="shared" si="144"/>
        <v>0</v>
      </c>
      <c r="N293" s="52">
        <f t="shared" si="144"/>
        <v>0</v>
      </c>
      <c r="O293" s="52">
        <f t="shared" si="144"/>
        <v>0</v>
      </c>
      <c r="P293" s="52">
        <f t="shared" si="144"/>
        <v>0</v>
      </c>
      <c r="Q293" s="52">
        <f t="shared" si="144"/>
        <v>0</v>
      </c>
      <c r="R293" s="52">
        <f t="shared" si="144"/>
        <v>0</v>
      </c>
      <c r="S293" s="52">
        <f t="shared" si="144"/>
        <v>0</v>
      </c>
      <c r="T293" s="52">
        <f t="shared" si="144"/>
        <v>0</v>
      </c>
      <c r="U293" s="52">
        <f t="shared" si="144"/>
        <v>0</v>
      </c>
      <c r="V293" s="52">
        <f t="shared" si="144"/>
        <v>0</v>
      </c>
      <c r="W293" s="52">
        <f t="shared" si="144"/>
        <v>0</v>
      </c>
      <c r="X293" s="52">
        <f t="shared" si="145"/>
        <v>0</v>
      </c>
      <c r="Y293" s="52">
        <f t="shared" si="145"/>
        <v>0</v>
      </c>
      <c r="Z293" s="52">
        <f t="shared" si="145"/>
        <v>0</v>
      </c>
      <c r="AA293" s="52">
        <f t="shared" si="145"/>
        <v>0</v>
      </c>
      <c r="AB293" s="52">
        <f t="shared" si="145"/>
        <v>0</v>
      </c>
      <c r="AC293" s="52">
        <f t="shared" si="145"/>
        <v>0</v>
      </c>
      <c r="AD293" s="52">
        <f t="shared" si="145"/>
        <v>0</v>
      </c>
      <c r="AE293" s="52">
        <f t="shared" si="145"/>
        <v>0</v>
      </c>
      <c r="AF293" s="52">
        <f t="shared" si="145"/>
        <v>0</v>
      </c>
      <c r="AG293" s="52">
        <f t="shared" si="145"/>
        <v>0</v>
      </c>
      <c r="AH293" s="52">
        <f t="shared" si="145"/>
        <v>0.2</v>
      </c>
      <c r="AI293" s="52">
        <f t="shared" si="145"/>
        <v>1</v>
      </c>
      <c r="AJ293" s="52">
        <f t="shared" si="145"/>
        <v>1</v>
      </c>
      <c r="AK293" s="52">
        <f t="shared" si="145"/>
        <v>1</v>
      </c>
      <c r="AL293" s="52">
        <f t="shared" si="145"/>
        <v>1</v>
      </c>
      <c r="AM293" s="52">
        <f t="shared" si="145"/>
        <v>1</v>
      </c>
      <c r="AN293" s="52">
        <f t="shared" si="145"/>
        <v>1</v>
      </c>
      <c r="AO293" s="52">
        <f t="shared" si="142"/>
        <v>1</v>
      </c>
      <c r="AP293" s="52">
        <f t="shared" si="142"/>
        <v>1</v>
      </c>
      <c r="AQ293" s="52">
        <f t="shared" si="142"/>
        <v>1</v>
      </c>
      <c r="AR293" s="52">
        <f t="shared" si="142"/>
        <v>1</v>
      </c>
      <c r="AS293" s="52">
        <f t="shared" si="142"/>
        <v>1</v>
      </c>
      <c r="AT293" s="52">
        <f t="shared" si="142"/>
        <v>1</v>
      </c>
      <c r="AU293" s="52">
        <f t="shared" si="142"/>
        <v>1</v>
      </c>
      <c r="AV293" s="52">
        <f t="shared" si="142"/>
        <v>1</v>
      </c>
      <c r="AW293" s="52">
        <f t="shared" si="142"/>
        <v>1</v>
      </c>
      <c r="AX293" s="52">
        <f t="shared" si="142"/>
        <v>1</v>
      </c>
      <c r="AY293" s="52">
        <f t="shared" si="142"/>
        <v>1</v>
      </c>
      <c r="AZ293" s="52">
        <f t="shared" si="142"/>
        <v>1</v>
      </c>
      <c r="BA293" s="52">
        <f t="shared" si="142"/>
        <v>1</v>
      </c>
      <c r="BB293" s="52">
        <f t="shared" si="142"/>
        <v>1</v>
      </c>
      <c r="BC293" s="52">
        <f t="shared" si="142"/>
        <v>1</v>
      </c>
      <c r="BD293" s="52">
        <f t="shared" si="142"/>
        <v>1</v>
      </c>
      <c r="BE293" s="52">
        <f t="shared" si="142"/>
        <v>1</v>
      </c>
      <c r="BF293" s="52">
        <f t="shared" si="142"/>
        <v>1</v>
      </c>
      <c r="BG293" s="52">
        <f t="shared" si="143"/>
        <v>1</v>
      </c>
      <c r="BH293" s="52">
        <f t="shared" si="143"/>
        <v>1</v>
      </c>
      <c r="BI293" s="52">
        <f t="shared" si="143"/>
        <v>1</v>
      </c>
      <c r="BJ293" s="52">
        <f t="shared" si="143"/>
        <v>1</v>
      </c>
      <c r="BK293" s="52">
        <f t="shared" si="143"/>
        <v>1</v>
      </c>
      <c r="BL293" s="52">
        <f t="shared" si="143"/>
        <v>1</v>
      </c>
      <c r="BM293" s="52">
        <f t="shared" si="143"/>
        <v>1</v>
      </c>
      <c r="BN293" s="52">
        <f t="shared" si="143"/>
        <v>1</v>
      </c>
      <c r="BO293" s="32">
        <f t="shared" si="134"/>
        <v>0.54576271186440684</v>
      </c>
    </row>
    <row r="294" spans="1:67" ht="24" x14ac:dyDescent="0.2">
      <c r="A294" s="50" t="s">
        <v>596</v>
      </c>
      <c r="B294" s="50" t="s">
        <v>597</v>
      </c>
      <c r="C294" s="50" t="s">
        <v>61</v>
      </c>
      <c r="D294" s="51">
        <f>VLOOKUP(A294,'[1]Cuadro Control'!C332:J2224,8,FALSE)</f>
        <v>1587346329.5488234</v>
      </c>
      <c r="E294" s="52">
        <f t="shared" si="140"/>
        <v>0.29899875353285565</v>
      </c>
      <c r="F294" s="53">
        <v>46395</v>
      </c>
      <c r="G294" s="53">
        <v>46407</v>
      </c>
      <c r="H294" s="52">
        <f t="shared" si="144"/>
        <v>0</v>
      </c>
      <c r="I294" s="52">
        <f t="shared" si="144"/>
        <v>0</v>
      </c>
      <c r="J294" s="52">
        <f t="shared" si="144"/>
        <v>0</v>
      </c>
      <c r="K294" s="52">
        <f t="shared" si="144"/>
        <v>0</v>
      </c>
      <c r="L294" s="52">
        <f t="shared" si="144"/>
        <v>0</v>
      </c>
      <c r="M294" s="52">
        <f t="shared" si="144"/>
        <v>0</v>
      </c>
      <c r="N294" s="52">
        <f t="shared" si="144"/>
        <v>0</v>
      </c>
      <c r="O294" s="52">
        <f t="shared" si="144"/>
        <v>0</v>
      </c>
      <c r="P294" s="52">
        <f t="shared" si="144"/>
        <v>0</v>
      </c>
      <c r="Q294" s="52">
        <f t="shared" si="144"/>
        <v>0</v>
      </c>
      <c r="R294" s="52">
        <f t="shared" si="144"/>
        <v>0</v>
      </c>
      <c r="S294" s="52">
        <f t="shared" si="144"/>
        <v>0</v>
      </c>
      <c r="T294" s="52">
        <f t="shared" si="144"/>
        <v>0</v>
      </c>
      <c r="U294" s="52">
        <f t="shared" si="144"/>
        <v>0</v>
      </c>
      <c r="V294" s="52">
        <f t="shared" si="144"/>
        <v>0</v>
      </c>
      <c r="W294" s="52">
        <f t="shared" si="144"/>
        <v>0</v>
      </c>
      <c r="X294" s="52">
        <f t="shared" si="145"/>
        <v>0</v>
      </c>
      <c r="Y294" s="52">
        <f t="shared" si="145"/>
        <v>0</v>
      </c>
      <c r="Z294" s="52">
        <f t="shared" si="145"/>
        <v>0</v>
      </c>
      <c r="AA294" s="52">
        <f t="shared" si="145"/>
        <v>0</v>
      </c>
      <c r="AB294" s="52">
        <f t="shared" si="145"/>
        <v>0</v>
      </c>
      <c r="AC294" s="52">
        <f t="shared" si="145"/>
        <v>0</v>
      </c>
      <c r="AD294" s="52">
        <f t="shared" si="145"/>
        <v>0</v>
      </c>
      <c r="AE294" s="52">
        <f t="shared" si="145"/>
        <v>0</v>
      </c>
      <c r="AF294" s="52">
        <f t="shared" si="145"/>
        <v>0</v>
      </c>
      <c r="AG294" s="52">
        <f t="shared" si="145"/>
        <v>0</v>
      </c>
      <c r="AH294" s="52">
        <f t="shared" si="145"/>
        <v>7.6923076923076927E-2</v>
      </c>
      <c r="AI294" s="52">
        <f t="shared" si="145"/>
        <v>0.61538461538461542</v>
      </c>
      <c r="AJ294" s="52">
        <f t="shared" si="145"/>
        <v>1</v>
      </c>
      <c r="AK294" s="52">
        <f t="shared" si="145"/>
        <v>1</v>
      </c>
      <c r="AL294" s="52">
        <f t="shared" si="145"/>
        <v>1</v>
      </c>
      <c r="AM294" s="52">
        <f t="shared" si="145"/>
        <v>1</v>
      </c>
      <c r="AN294" s="52">
        <f t="shared" si="145"/>
        <v>1</v>
      </c>
      <c r="AO294" s="52">
        <f t="shared" si="142"/>
        <v>1</v>
      </c>
      <c r="AP294" s="52">
        <f t="shared" si="142"/>
        <v>1</v>
      </c>
      <c r="AQ294" s="52">
        <f t="shared" si="142"/>
        <v>1</v>
      </c>
      <c r="AR294" s="52">
        <f t="shared" si="142"/>
        <v>1</v>
      </c>
      <c r="AS294" s="52">
        <f t="shared" si="142"/>
        <v>1</v>
      </c>
      <c r="AT294" s="52">
        <f t="shared" si="142"/>
        <v>1</v>
      </c>
      <c r="AU294" s="52">
        <f t="shared" si="142"/>
        <v>1</v>
      </c>
      <c r="AV294" s="52">
        <f t="shared" si="142"/>
        <v>1</v>
      </c>
      <c r="AW294" s="52">
        <f t="shared" si="142"/>
        <v>1</v>
      </c>
      <c r="AX294" s="52">
        <f t="shared" si="142"/>
        <v>1</v>
      </c>
      <c r="AY294" s="52">
        <f t="shared" si="142"/>
        <v>1</v>
      </c>
      <c r="AZ294" s="52">
        <f t="shared" si="142"/>
        <v>1</v>
      </c>
      <c r="BA294" s="52">
        <f t="shared" si="142"/>
        <v>1</v>
      </c>
      <c r="BB294" s="52">
        <f t="shared" si="142"/>
        <v>1</v>
      </c>
      <c r="BC294" s="52">
        <f t="shared" si="142"/>
        <v>1</v>
      </c>
      <c r="BD294" s="52">
        <f t="shared" si="142"/>
        <v>1</v>
      </c>
      <c r="BE294" s="52">
        <f t="shared" si="142"/>
        <v>1</v>
      </c>
      <c r="BF294" s="52">
        <f t="shared" si="142"/>
        <v>1</v>
      </c>
      <c r="BG294" s="52">
        <f t="shared" si="143"/>
        <v>1</v>
      </c>
      <c r="BH294" s="52">
        <f t="shared" si="143"/>
        <v>1</v>
      </c>
      <c r="BI294" s="52">
        <f t="shared" si="143"/>
        <v>1</v>
      </c>
      <c r="BJ294" s="52">
        <f t="shared" si="143"/>
        <v>1</v>
      </c>
      <c r="BK294" s="52">
        <f t="shared" si="143"/>
        <v>1</v>
      </c>
      <c r="BL294" s="52">
        <f t="shared" si="143"/>
        <v>1</v>
      </c>
      <c r="BM294" s="52">
        <f t="shared" si="143"/>
        <v>1</v>
      </c>
      <c r="BN294" s="52">
        <f t="shared" si="143"/>
        <v>1</v>
      </c>
      <c r="BO294" s="32">
        <f t="shared" si="134"/>
        <v>0.53715775749674055</v>
      </c>
    </row>
    <row r="295" spans="1:67" ht="30" x14ac:dyDescent="0.2">
      <c r="A295" s="46" t="s">
        <v>598</v>
      </c>
      <c r="B295" s="46" t="s">
        <v>599</v>
      </c>
      <c r="C295" s="46" t="s">
        <v>61</v>
      </c>
      <c r="D295" s="47">
        <f>VLOOKUP(A295,'[1]Cuadro Control'!C333:J2225,8,FALSE)</f>
        <v>179532477.23999998</v>
      </c>
      <c r="E295" s="48">
        <f t="shared" si="140"/>
        <v>3.3817438522495219E-2</v>
      </c>
      <c r="F295" s="49">
        <v>46399</v>
      </c>
      <c r="G295" s="49">
        <v>46410</v>
      </c>
      <c r="H295" s="48">
        <f t="shared" si="144"/>
        <v>0</v>
      </c>
      <c r="I295" s="48">
        <f t="shared" si="144"/>
        <v>0</v>
      </c>
      <c r="J295" s="48">
        <f t="shared" si="144"/>
        <v>0</v>
      </c>
      <c r="K295" s="48">
        <f t="shared" si="144"/>
        <v>0</v>
      </c>
      <c r="L295" s="48">
        <f t="shared" si="144"/>
        <v>0</v>
      </c>
      <c r="M295" s="48">
        <f t="shared" si="144"/>
        <v>0</v>
      </c>
      <c r="N295" s="48">
        <f t="shared" si="144"/>
        <v>0</v>
      </c>
      <c r="O295" s="48">
        <f t="shared" si="144"/>
        <v>0</v>
      </c>
      <c r="P295" s="48">
        <f t="shared" si="144"/>
        <v>0</v>
      </c>
      <c r="Q295" s="48">
        <f t="shared" si="144"/>
        <v>0</v>
      </c>
      <c r="R295" s="48">
        <f t="shared" si="144"/>
        <v>0</v>
      </c>
      <c r="S295" s="48">
        <f t="shared" si="144"/>
        <v>0</v>
      </c>
      <c r="T295" s="48">
        <f t="shared" si="144"/>
        <v>0</v>
      </c>
      <c r="U295" s="48">
        <f t="shared" si="144"/>
        <v>0</v>
      </c>
      <c r="V295" s="48">
        <f t="shared" si="144"/>
        <v>0</v>
      </c>
      <c r="W295" s="48">
        <f t="shared" si="144"/>
        <v>0</v>
      </c>
      <c r="X295" s="48">
        <f t="shared" si="145"/>
        <v>0</v>
      </c>
      <c r="Y295" s="48">
        <f t="shared" si="145"/>
        <v>0</v>
      </c>
      <c r="Z295" s="48">
        <f t="shared" si="145"/>
        <v>0</v>
      </c>
      <c r="AA295" s="48">
        <f t="shared" si="145"/>
        <v>0</v>
      </c>
      <c r="AB295" s="48">
        <f t="shared" si="145"/>
        <v>0</v>
      </c>
      <c r="AC295" s="48">
        <f t="shared" si="145"/>
        <v>0</v>
      </c>
      <c r="AD295" s="48">
        <f t="shared" si="145"/>
        <v>0</v>
      </c>
      <c r="AE295" s="48">
        <f t="shared" si="145"/>
        <v>0</v>
      </c>
      <c r="AF295" s="48">
        <f t="shared" si="145"/>
        <v>0</v>
      </c>
      <c r="AG295" s="48">
        <f t="shared" si="145"/>
        <v>0</v>
      </c>
      <c r="AH295" s="48">
        <f t="shared" si="145"/>
        <v>0</v>
      </c>
      <c r="AI295" s="48">
        <f t="shared" si="145"/>
        <v>0.33333333333333331</v>
      </c>
      <c r="AJ295" s="48">
        <f t="shared" si="145"/>
        <v>0.91666666666666663</v>
      </c>
      <c r="AK295" s="48">
        <f t="shared" si="145"/>
        <v>1</v>
      </c>
      <c r="AL295" s="48">
        <f t="shared" si="145"/>
        <v>1</v>
      </c>
      <c r="AM295" s="48">
        <f t="shared" si="145"/>
        <v>1</v>
      </c>
      <c r="AN295" s="48">
        <f t="shared" si="145"/>
        <v>1</v>
      </c>
      <c r="AO295" s="48">
        <f t="shared" si="142"/>
        <v>1</v>
      </c>
      <c r="AP295" s="48">
        <f t="shared" si="142"/>
        <v>1</v>
      </c>
      <c r="AQ295" s="48">
        <f t="shared" si="142"/>
        <v>1</v>
      </c>
      <c r="AR295" s="48">
        <f t="shared" si="142"/>
        <v>1</v>
      </c>
      <c r="AS295" s="48">
        <f t="shared" si="142"/>
        <v>1</v>
      </c>
      <c r="AT295" s="48">
        <f t="shared" si="142"/>
        <v>1</v>
      </c>
      <c r="AU295" s="48">
        <f t="shared" si="142"/>
        <v>1</v>
      </c>
      <c r="AV295" s="48">
        <f t="shared" si="142"/>
        <v>1</v>
      </c>
      <c r="AW295" s="48">
        <f t="shared" si="142"/>
        <v>1</v>
      </c>
      <c r="AX295" s="48">
        <f t="shared" si="142"/>
        <v>1</v>
      </c>
      <c r="AY295" s="48">
        <f t="shared" si="142"/>
        <v>1</v>
      </c>
      <c r="AZ295" s="48">
        <f t="shared" si="142"/>
        <v>1</v>
      </c>
      <c r="BA295" s="48">
        <f t="shared" si="142"/>
        <v>1</v>
      </c>
      <c r="BB295" s="48">
        <f t="shared" si="142"/>
        <v>1</v>
      </c>
      <c r="BC295" s="48">
        <f t="shared" si="142"/>
        <v>1</v>
      </c>
      <c r="BD295" s="48">
        <f t="shared" si="142"/>
        <v>1</v>
      </c>
      <c r="BE295" s="48">
        <f t="shared" si="142"/>
        <v>1</v>
      </c>
      <c r="BF295" s="48">
        <f t="shared" si="142"/>
        <v>1</v>
      </c>
      <c r="BG295" s="48">
        <f t="shared" si="143"/>
        <v>1</v>
      </c>
      <c r="BH295" s="48">
        <f t="shared" si="143"/>
        <v>1</v>
      </c>
      <c r="BI295" s="48">
        <f t="shared" si="143"/>
        <v>1</v>
      </c>
      <c r="BJ295" s="48">
        <f t="shared" si="143"/>
        <v>1</v>
      </c>
      <c r="BK295" s="48">
        <f t="shared" si="143"/>
        <v>1</v>
      </c>
      <c r="BL295" s="48">
        <f t="shared" si="143"/>
        <v>1</v>
      </c>
      <c r="BM295" s="48">
        <f t="shared" si="143"/>
        <v>1</v>
      </c>
      <c r="BN295" s="48">
        <f t="shared" si="143"/>
        <v>1</v>
      </c>
      <c r="BO295" s="32">
        <f t="shared" si="134"/>
        <v>0.52966101694915257</v>
      </c>
    </row>
    <row r="296" spans="1:67" ht="24" x14ac:dyDescent="0.2">
      <c r="A296" s="55" t="s">
        <v>600</v>
      </c>
      <c r="B296" s="55" t="s">
        <v>601</v>
      </c>
      <c r="C296" s="55" t="s">
        <v>14</v>
      </c>
      <c r="D296" s="56">
        <f>VLOOKUP(A296,'[1]Cuadro Control'!C334:J2226,8,FALSE)</f>
        <v>0</v>
      </c>
      <c r="E296" s="57">
        <f>IFERROR(D296/$D$280,0)</f>
        <v>0</v>
      </c>
      <c r="F296" s="58">
        <v>46410</v>
      </c>
      <c r="G296" s="58">
        <v>46410</v>
      </c>
      <c r="H296" s="57">
        <f t="shared" si="144"/>
        <v>0</v>
      </c>
      <c r="I296" s="57">
        <f t="shared" si="144"/>
        <v>0</v>
      </c>
      <c r="J296" s="57">
        <f t="shared" si="144"/>
        <v>0</v>
      </c>
      <c r="K296" s="57">
        <f t="shared" si="144"/>
        <v>0</v>
      </c>
      <c r="L296" s="57">
        <f t="shared" si="144"/>
        <v>0</v>
      </c>
      <c r="M296" s="57">
        <f t="shared" si="144"/>
        <v>0</v>
      </c>
      <c r="N296" s="57">
        <f t="shared" si="144"/>
        <v>0</v>
      </c>
      <c r="O296" s="57">
        <f t="shared" si="144"/>
        <v>0</v>
      </c>
      <c r="P296" s="57">
        <f t="shared" si="144"/>
        <v>0</v>
      </c>
      <c r="Q296" s="57">
        <f t="shared" si="144"/>
        <v>0</v>
      </c>
      <c r="R296" s="57">
        <f t="shared" si="144"/>
        <v>0</v>
      </c>
      <c r="S296" s="57">
        <f t="shared" si="144"/>
        <v>0</v>
      </c>
      <c r="T296" s="57">
        <f t="shared" si="144"/>
        <v>0</v>
      </c>
      <c r="U296" s="57">
        <f t="shared" si="144"/>
        <v>0</v>
      </c>
      <c r="V296" s="57">
        <f t="shared" si="144"/>
        <v>0</v>
      </c>
      <c r="W296" s="57">
        <f t="shared" si="144"/>
        <v>0</v>
      </c>
      <c r="X296" s="57">
        <f t="shared" si="145"/>
        <v>0</v>
      </c>
      <c r="Y296" s="57">
        <f t="shared" si="145"/>
        <v>0</v>
      </c>
      <c r="Z296" s="57">
        <f t="shared" si="145"/>
        <v>0</v>
      </c>
      <c r="AA296" s="57">
        <f t="shared" si="145"/>
        <v>0</v>
      </c>
      <c r="AB296" s="57">
        <f t="shared" si="145"/>
        <v>0</v>
      </c>
      <c r="AC296" s="57">
        <f t="shared" si="145"/>
        <v>0</v>
      </c>
      <c r="AD296" s="57">
        <f t="shared" si="145"/>
        <v>0</v>
      </c>
      <c r="AE296" s="57">
        <f t="shared" si="145"/>
        <v>0</v>
      </c>
      <c r="AF296" s="57">
        <f t="shared" si="145"/>
        <v>0</v>
      </c>
      <c r="AG296" s="57">
        <f t="shared" si="145"/>
        <v>0</v>
      </c>
      <c r="AH296" s="57">
        <f t="shared" si="145"/>
        <v>0</v>
      </c>
      <c r="AI296" s="57">
        <f t="shared" si="145"/>
        <v>0</v>
      </c>
      <c r="AJ296" s="57">
        <f t="shared" si="145"/>
        <v>0</v>
      </c>
      <c r="AK296" s="57">
        <f t="shared" si="145"/>
        <v>1</v>
      </c>
      <c r="AL296" s="57">
        <f t="shared" si="145"/>
        <v>1</v>
      </c>
      <c r="AM296" s="57">
        <f t="shared" si="145"/>
        <v>1</v>
      </c>
      <c r="AN296" s="57">
        <f t="shared" si="145"/>
        <v>1</v>
      </c>
      <c r="AO296" s="57">
        <f t="shared" si="142"/>
        <v>1</v>
      </c>
      <c r="AP296" s="57">
        <f t="shared" si="142"/>
        <v>1</v>
      </c>
      <c r="AQ296" s="57">
        <f t="shared" si="142"/>
        <v>1</v>
      </c>
      <c r="AR296" s="57">
        <f t="shared" si="142"/>
        <v>1</v>
      </c>
      <c r="AS296" s="57">
        <f t="shared" si="142"/>
        <v>1</v>
      </c>
      <c r="AT296" s="57">
        <f t="shared" si="142"/>
        <v>1</v>
      </c>
      <c r="AU296" s="57">
        <f t="shared" si="142"/>
        <v>1</v>
      </c>
      <c r="AV296" s="57">
        <f t="shared" si="142"/>
        <v>1</v>
      </c>
      <c r="AW296" s="57">
        <f t="shared" si="142"/>
        <v>1</v>
      </c>
      <c r="AX296" s="57">
        <f t="shared" si="142"/>
        <v>1</v>
      </c>
      <c r="AY296" s="57">
        <f t="shared" si="142"/>
        <v>1</v>
      </c>
      <c r="AZ296" s="57">
        <f t="shared" si="142"/>
        <v>1</v>
      </c>
      <c r="BA296" s="57">
        <f t="shared" si="142"/>
        <v>1</v>
      </c>
      <c r="BB296" s="57">
        <f t="shared" si="142"/>
        <v>1</v>
      </c>
      <c r="BC296" s="57">
        <f t="shared" si="142"/>
        <v>1</v>
      </c>
      <c r="BD296" s="57">
        <f t="shared" si="142"/>
        <v>1</v>
      </c>
      <c r="BE296" s="57">
        <f t="shared" si="142"/>
        <v>1</v>
      </c>
      <c r="BF296" s="57">
        <f t="shared" si="142"/>
        <v>1</v>
      </c>
      <c r="BG296" s="57">
        <f t="shared" si="143"/>
        <v>1</v>
      </c>
      <c r="BH296" s="57">
        <f t="shared" si="143"/>
        <v>1</v>
      </c>
      <c r="BI296" s="57">
        <f t="shared" si="143"/>
        <v>1</v>
      </c>
      <c r="BJ296" s="57">
        <f t="shared" si="143"/>
        <v>1</v>
      </c>
      <c r="BK296" s="57">
        <f t="shared" si="143"/>
        <v>1</v>
      </c>
      <c r="BL296" s="57">
        <f t="shared" si="143"/>
        <v>1</v>
      </c>
      <c r="BM296" s="57">
        <f t="shared" si="143"/>
        <v>1</v>
      </c>
      <c r="BN296" s="57">
        <f t="shared" si="143"/>
        <v>1</v>
      </c>
      <c r="BO296" s="32">
        <f t="shared" si="134"/>
        <v>0.50847457627118642</v>
      </c>
    </row>
    <row r="297" spans="1:67" x14ac:dyDescent="0.2">
      <c r="A297" s="59" t="s">
        <v>602</v>
      </c>
      <c r="B297" s="59" t="s">
        <v>603</v>
      </c>
      <c r="C297" s="59" t="s">
        <v>467</v>
      </c>
      <c r="D297" s="60">
        <f>SUM(D298:D313)</f>
        <v>5308872732.0543728</v>
      </c>
      <c r="E297" s="61">
        <f>IFERROR(D297/$D$109,0)</f>
        <v>2.9408554574576196E-2</v>
      </c>
      <c r="F297" s="62">
        <v>46233</v>
      </c>
      <c r="G297" s="62">
        <v>46420</v>
      </c>
      <c r="H297" s="61">
        <f>SUMPRODUCT($E298:$E312,H298:H312)</f>
        <v>0</v>
      </c>
      <c r="I297" s="61">
        <f t="shared" ref="I297:BN297" si="146">SUMPRODUCT($E298:$E312,I298:I312)</f>
        <v>0</v>
      </c>
      <c r="J297" s="61">
        <f t="shared" si="146"/>
        <v>0</v>
      </c>
      <c r="K297" s="61">
        <f t="shared" si="146"/>
        <v>2.7278952765190232E-4</v>
      </c>
      <c r="L297" s="61">
        <f t="shared" si="146"/>
        <v>1.2275528744335605E-3</v>
      </c>
      <c r="M297" s="61">
        <f t="shared" si="146"/>
        <v>2.1823162212152186E-3</v>
      </c>
      <c r="N297" s="61">
        <f t="shared" si="146"/>
        <v>3.137079567996877E-3</v>
      </c>
      <c r="O297" s="61">
        <f t="shared" si="146"/>
        <v>4.0918429147785351E-3</v>
      </c>
      <c r="P297" s="61">
        <f t="shared" si="146"/>
        <v>5.0466062615601931E-3</v>
      </c>
      <c r="Q297" s="61">
        <f t="shared" si="146"/>
        <v>6.0013696083418512E-3</v>
      </c>
      <c r="R297" s="61">
        <f t="shared" si="146"/>
        <v>6.9561329551235092E-3</v>
      </c>
      <c r="S297" s="61">
        <f t="shared" si="146"/>
        <v>7.9108963019051681E-3</v>
      </c>
      <c r="T297" s="61">
        <f t="shared" si="146"/>
        <v>8.8656596486868244E-3</v>
      </c>
      <c r="U297" s="61">
        <f t="shared" si="146"/>
        <v>9.8204229954684842E-3</v>
      </c>
      <c r="V297" s="61">
        <f t="shared" si="146"/>
        <v>1.0775186342250142E-2</v>
      </c>
      <c r="W297" s="61">
        <f t="shared" si="146"/>
        <v>1.17299496890318E-2</v>
      </c>
      <c r="X297" s="61">
        <f t="shared" si="146"/>
        <v>1.2684713035813458E-2</v>
      </c>
      <c r="Y297" s="61">
        <f t="shared" si="146"/>
        <v>1.3639476382595116E-2</v>
      </c>
      <c r="Z297" s="61">
        <f t="shared" si="146"/>
        <v>1.4594239729376774E-2</v>
      </c>
      <c r="AA297" s="61">
        <f t="shared" si="146"/>
        <v>1.5549003076158434E-2</v>
      </c>
      <c r="AB297" s="61">
        <f t="shared" si="146"/>
        <v>5.6873455080068344E-2</v>
      </c>
      <c r="AC297" s="61">
        <f t="shared" si="146"/>
        <v>0.10650498686563921</v>
      </c>
      <c r="AD297" s="61">
        <f t="shared" si="146"/>
        <v>0.16571961757148626</v>
      </c>
      <c r="AE297" s="61">
        <f t="shared" si="146"/>
        <v>0.2363397228872324</v>
      </c>
      <c r="AF297" s="61">
        <f t="shared" si="146"/>
        <v>0.32049242304254405</v>
      </c>
      <c r="AG297" s="61">
        <f t="shared" si="146"/>
        <v>0.40464512319785573</v>
      </c>
      <c r="AH297" s="61">
        <f t="shared" si="146"/>
        <v>0.64850810003989967</v>
      </c>
      <c r="AI297" s="61">
        <f t="shared" si="146"/>
        <v>0.65049482490954236</v>
      </c>
      <c r="AJ297" s="61">
        <f t="shared" si="146"/>
        <v>0.78315722138024824</v>
      </c>
      <c r="AK297" s="61">
        <f t="shared" si="146"/>
        <v>0.9903378747078585</v>
      </c>
      <c r="AL297" s="61">
        <f t="shared" si="146"/>
        <v>1</v>
      </c>
      <c r="AM297" s="61">
        <f t="shared" si="146"/>
        <v>1</v>
      </c>
      <c r="AN297" s="61">
        <f t="shared" si="146"/>
        <v>1</v>
      </c>
      <c r="AO297" s="61">
        <f t="shared" si="146"/>
        <v>1</v>
      </c>
      <c r="AP297" s="61">
        <f t="shared" si="146"/>
        <v>1</v>
      </c>
      <c r="AQ297" s="61">
        <f t="shared" si="146"/>
        <v>1</v>
      </c>
      <c r="AR297" s="61">
        <f t="shared" si="146"/>
        <v>1</v>
      </c>
      <c r="AS297" s="61">
        <f t="shared" si="146"/>
        <v>1</v>
      </c>
      <c r="AT297" s="61">
        <f t="shared" si="146"/>
        <v>1</v>
      </c>
      <c r="AU297" s="61">
        <f t="shared" si="146"/>
        <v>1</v>
      </c>
      <c r="AV297" s="61">
        <f t="shared" si="146"/>
        <v>1</v>
      </c>
      <c r="AW297" s="61">
        <f t="shared" si="146"/>
        <v>1</v>
      </c>
      <c r="AX297" s="61">
        <f t="shared" si="146"/>
        <v>1</v>
      </c>
      <c r="AY297" s="61">
        <f t="shared" si="146"/>
        <v>1</v>
      </c>
      <c r="AZ297" s="61">
        <f t="shared" si="146"/>
        <v>1</v>
      </c>
      <c r="BA297" s="61">
        <f t="shared" si="146"/>
        <v>1</v>
      </c>
      <c r="BB297" s="61">
        <f t="shared" si="146"/>
        <v>1</v>
      </c>
      <c r="BC297" s="61">
        <f t="shared" si="146"/>
        <v>1</v>
      </c>
      <c r="BD297" s="61">
        <f t="shared" si="146"/>
        <v>1</v>
      </c>
      <c r="BE297" s="61">
        <f t="shared" si="146"/>
        <v>1</v>
      </c>
      <c r="BF297" s="61">
        <f t="shared" si="146"/>
        <v>1</v>
      </c>
      <c r="BG297" s="61">
        <f t="shared" si="146"/>
        <v>1</v>
      </c>
      <c r="BH297" s="61">
        <f t="shared" si="146"/>
        <v>1</v>
      </c>
      <c r="BI297" s="61">
        <f t="shared" si="146"/>
        <v>1</v>
      </c>
      <c r="BJ297" s="61">
        <f t="shared" si="146"/>
        <v>1</v>
      </c>
      <c r="BK297" s="61">
        <f t="shared" si="146"/>
        <v>1</v>
      </c>
      <c r="BL297" s="61">
        <f t="shared" si="146"/>
        <v>1</v>
      </c>
      <c r="BM297" s="61">
        <f t="shared" si="146"/>
        <v>1</v>
      </c>
      <c r="BN297" s="61">
        <f t="shared" si="146"/>
        <v>1</v>
      </c>
      <c r="BO297" s="32">
        <f t="shared" si="134"/>
        <v>0.56775523028499597</v>
      </c>
    </row>
    <row r="298" spans="1:67" ht="24" x14ac:dyDescent="0.2">
      <c r="A298" s="50" t="s">
        <v>604</v>
      </c>
      <c r="B298" s="50" t="s">
        <v>605</v>
      </c>
      <c r="C298" s="50" t="s">
        <v>74</v>
      </c>
      <c r="D298" s="51">
        <f>VLOOKUP(A298,'[1]Cuadro Control'!C336:J2228,8,FALSE)</f>
        <v>83271780.884117648</v>
      </c>
      <c r="E298" s="52">
        <f t="shared" ref="E298:E312" si="147">IFERROR(D298/$D$297,0)</f>
        <v>1.5685397839984384E-2</v>
      </c>
      <c r="F298" s="53">
        <v>46233</v>
      </c>
      <c r="G298" s="53">
        <v>46347</v>
      </c>
      <c r="H298" s="52">
        <f t="shared" ref="H298:W313" si="148">IF($F298=0,0,IF(H$6&lt;$F298,0,IF(H$6&gt;$G298,1,(H$6-$F298+1)/($G298-$F298+1))))</f>
        <v>0</v>
      </c>
      <c r="I298" s="52">
        <f t="shared" si="148"/>
        <v>0</v>
      </c>
      <c r="J298" s="52">
        <f t="shared" si="148"/>
        <v>0</v>
      </c>
      <c r="K298" s="52">
        <f t="shared" si="148"/>
        <v>1.7391304347826087E-2</v>
      </c>
      <c r="L298" s="52">
        <f t="shared" si="148"/>
        <v>7.8260869565217397E-2</v>
      </c>
      <c r="M298" s="52">
        <f t="shared" si="148"/>
        <v>0.1391304347826087</v>
      </c>
      <c r="N298" s="52">
        <f t="shared" si="148"/>
        <v>0.2</v>
      </c>
      <c r="O298" s="52">
        <f t="shared" si="148"/>
        <v>0.2608695652173913</v>
      </c>
      <c r="P298" s="52">
        <f t="shared" si="148"/>
        <v>0.32173913043478258</v>
      </c>
      <c r="Q298" s="52">
        <f t="shared" si="148"/>
        <v>0.38260869565217392</v>
      </c>
      <c r="R298" s="52">
        <f t="shared" si="148"/>
        <v>0.44347826086956521</v>
      </c>
      <c r="S298" s="52">
        <f t="shared" si="148"/>
        <v>0.5043478260869565</v>
      </c>
      <c r="T298" s="52">
        <f t="shared" si="148"/>
        <v>0.56521739130434778</v>
      </c>
      <c r="U298" s="52">
        <f t="shared" si="148"/>
        <v>0.62608695652173918</v>
      </c>
      <c r="V298" s="52">
        <f t="shared" si="148"/>
        <v>0.68695652173913047</v>
      </c>
      <c r="W298" s="52">
        <f t="shared" si="148"/>
        <v>0.74782608695652175</v>
      </c>
      <c r="X298" s="52">
        <f t="shared" ref="X298:BC305" si="149">IF($F298=0,0,IF(X$6&lt;$F298,0,IF(X$6&gt;$G298,1,(X$6-$F298+1)/($G298-$F298+1))))</f>
        <v>0.80869565217391304</v>
      </c>
      <c r="Y298" s="52">
        <f t="shared" si="149"/>
        <v>0.86956521739130432</v>
      </c>
      <c r="Z298" s="52">
        <f t="shared" si="149"/>
        <v>0.93043478260869561</v>
      </c>
      <c r="AA298" s="52">
        <f t="shared" si="149"/>
        <v>0.99130434782608701</v>
      </c>
      <c r="AB298" s="52">
        <f t="shared" si="149"/>
        <v>1</v>
      </c>
      <c r="AC298" s="52">
        <f t="shared" si="149"/>
        <v>1</v>
      </c>
      <c r="AD298" s="52">
        <f t="shared" si="149"/>
        <v>1</v>
      </c>
      <c r="AE298" s="52">
        <f t="shared" si="149"/>
        <v>1</v>
      </c>
      <c r="AF298" s="52">
        <f t="shared" si="149"/>
        <v>1</v>
      </c>
      <c r="AG298" s="52">
        <f t="shared" si="149"/>
        <v>1</v>
      </c>
      <c r="AH298" s="52">
        <f t="shared" si="149"/>
        <v>1</v>
      </c>
      <c r="AI298" s="52">
        <f t="shared" si="149"/>
        <v>1</v>
      </c>
      <c r="AJ298" s="52">
        <f t="shared" si="149"/>
        <v>1</v>
      </c>
      <c r="AK298" s="52">
        <f t="shared" si="149"/>
        <v>1</v>
      </c>
      <c r="AL298" s="52">
        <f t="shared" si="149"/>
        <v>1</v>
      </c>
      <c r="AM298" s="52">
        <f t="shared" si="149"/>
        <v>1</v>
      </c>
      <c r="AN298" s="52">
        <f t="shared" si="149"/>
        <v>1</v>
      </c>
      <c r="AO298" s="52">
        <f t="shared" si="149"/>
        <v>1</v>
      </c>
      <c r="AP298" s="52">
        <f t="shared" si="149"/>
        <v>1</v>
      </c>
      <c r="AQ298" s="52">
        <f t="shared" si="149"/>
        <v>1</v>
      </c>
      <c r="AR298" s="52">
        <f t="shared" si="149"/>
        <v>1</v>
      </c>
      <c r="AS298" s="52">
        <f t="shared" si="149"/>
        <v>1</v>
      </c>
      <c r="AT298" s="52">
        <f t="shared" si="149"/>
        <v>1</v>
      </c>
      <c r="AU298" s="52">
        <f t="shared" si="149"/>
        <v>1</v>
      </c>
      <c r="AV298" s="52">
        <f t="shared" si="149"/>
        <v>1</v>
      </c>
      <c r="AW298" s="52">
        <f t="shared" si="149"/>
        <v>1</v>
      </c>
      <c r="AX298" s="52">
        <f t="shared" si="149"/>
        <v>1</v>
      </c>
      <c r="AY298" s="52">
        <f t="shared" si="149"/>
        <v>1</v>
      </c>
      <c r="AZ298" s="52">
        <f t="shared" si="149"/>
        <v>1</v>
      </c>
      <c r="BA298" s="52">
        <f t="shared" si="149"/>
        <v>1</v>
      </c>
      <c r="BB298" s="52">
        <f t="shared" si="149"/>
        <v>1</v>
      </c>
      <c r="BC298" s="52">
        <f t="shared" si="149"/>
        <v>1</v>
      </c>
      <c r="BD298" s="52">
        <f t="shared" ref="BD298:BN304" si="150">IF($F298=0,0,IF(BD$6&lt;$F298,0,IF(BD$6&gt;$G298,1,(BD$6-$F298+1)/($G298-$F298+1))))</f>
        <v>1</v>
      </c>
      <c r="BE298" s="52">
        <f t="shared" si="150"/>
        <v>1</v>
      </c>
      <c r="BF298" s="52">
        <f t="shared" si="150"/>
        <v>1</v>
      </c>
      <c r="BG298" s="52">
        <f t="shared" si="150"/>
        <v>1</v>
      </c>
      <c r="BH298" s="52">
        <f t="shared" si="150"/>
        <v>1</v>
      </c>
      <c r="BI298" s="52">
        <f t="shared" si="150"/>
        <v>1</v>
      </c>
      <c r="BJ298" s="52">
        <f t="shared" si="150"/>
        <v>1</v>
      </c>
      <c r="BK298" s="52">
        <f t="shared" si="150"/>
        <v>1</v>
      </c>
      <c r="BL298" s="52">
        <f t="shared" si="150"/>
        <v>1</v>
      </c>
      <c r="BM298" s="52">
        <f t="shared" si="150"/>
        <v>1</v>
      </c>
      <c r="BN298" s="52">
        <f t="shared" si="150"/>
        <v>1</v>
      </c>
      <c r="BO298" s="32">
        <f t="shared" si="134"/>
        <v>0.80633750921149605</v>
      </c>
    </row>
    <row r="299" spans="1:67" x14ac:dyDescent="0.2">
      <c r="A299" s="50" t="s">
        <v>606</v>
      </c>
      <c r="B299" s="50" t="s">
        <v>607</v>
      </c>
      <c r="C299" s="50" t="s">
        <v>61</v>
      </c>
      <c r="D299" s="51">
        <f>VLOOKUP(A299,'[1]Cuadro Control'!C337:J2229,8,FALSE)</f>
        <v>312374505.66882348</v>
      </c>
      <c r="E299" s="52">
        <f t="shared" si="147"/>
        <v>5.8840081771548515E-2</v>
      </c>
      <c r="F299" s="53">
        <v>46347</v>
      </c>
      <c r="G299" s="53">
        <v>46356</v>
      </c>
      <c r="H299" s="52">
        <f t="shared" si="148"/>
        <v>0</v>
      </c>
      <c r="I299" s="52">
        <f t="shared" si="148"/>
        <v>0</v>
      </c>
      <c r="J299" s="52">
        <f t="shared" si="148"/>
        <v>0</v>
      </c>
      <c r="K299" s="52">
        <f t="shared" si="148"/>
        <v>0</v>
      </c>
      <c r="L299" s="52">
        <f t="shared" si="148"/>
        <v>0</v>
      </c>
      <c r="M299" s="52">
        <f t="shared" si="148"/>
        <v>0</v>
      </c>
      <c r="N299" s="52">
        <f t="shared" si="148"/>
        <v>0</v>
      </c>
      <c r="O299" s="52">
        <f t="shared" si="148"/>
        <v>0</v>
      </c>
      <c r="P299" s="52">
        <f t="shared" si="148"/>
        <v>0</v>
      </c>
      <c r="Q299" s="52">
        <f t="shared" si="148"/>
        <v>0</v>
      </c>
      <c r="R299" s="52">
        <f t="shared" si="148"/>
        <v>0</v>
      </c>
      <c r="S299" s="52">
        <f t="shared" si="148"/>
        <v>0</v>
      </c>
      <c r="T299" s="52">
        <f t="shared" si="148"/>
        <v>0</v>
      </c>
      <c r="U299" s="52">
        <f t="shared" si="148"/>
        <v>0</v>
      </c>
      <c r="V299" s="52">
        <f t="shared" si="148"/>
        <v>0</v>
      </c>
      <c r="W299" s="52">
        <f t="shared" si="148"/>
        <v>0</v>
      </c>
      <c r="X299" s="52">
        <f t="shared" si="149"/>
        <v>0</v>
      </c>
      <c r="Y299" s="52">
        <f t="shared" si="149"/>
        <v>0</v>
      </c>
      <c r="Z299" s="52">
        <f t="shared" si="149"/>
        <v>0</v>
      </c>
      <c r="AA299" s="52">
        <f t="shared" si="149"/>
        <v>0</v>
      </c>
      <c r="AB299" s="52">
        <f t="shared" si="149"/>
        <v>0.7</v>
      </c>
      <c r="AC299" s="52">
        <f t="shared" si="149"/>
        <v>1</v>
      </c>
      <c r="AD299" s="52">
        <f t="shared" si="149"/>
        <v>1</v>
      </c>
      <c r="AE299" s="52">
        <f t="shared" si="149"/>
        <v>1</v>
      </c>
      <c r="AF299" s="52">
        <f t="shared" si="149"/>
        <v>1</v>
      </c>
      <c r="AG299" s="52">
        <f t="shared" si="149"/>
        <v>1</v>
      </c>
      <c r="AH299" s="52">
        <f t="shared" si="149"/>
        <v>1</v>
      </c>
      <c r="AI299" s="52">
        <f t="shared" si="149"/>
        <v>1</v>
      </c>
      <c r="AJ299" s="52">
        <f t="shared" si="149"/>
        <v>1</v>
      </c>
      <c r="AK299" s="52">
        <f t="shared" si="149"/>
        <v>1</v>
      </c>
      <c r="AL299" s="52">
        <f t="shared" si="149"/>
        <v>1</v>
      </c>
      <c r="AM299" s="52">
        <f t="shared" si="149"/>
        <v>1</v>
      </c>
      <c r="AN299" s="52">
        <f t="shared" si="149"/>
        <v>1</v>
      </c>
      <c r="AO299" s="52">
        <f t="shared" si="149"/>
        <v>1</v>
      </c>
      <c r="AP299" s="52">
        <f t="shared" si="149"/>
        <v>1</v>
      </c>
      <c r="AQ299" s="52">
        <f t="shared" si="149"/>
        <v>1</v>
      </c>
      <c r="AR299" s="52">
        <f t="shared" si="149"/>
        <v>1</v>
      </c>
      <c r="AS299" s="52">
        <f t="shared" si="149"/>
        <v>1</v>
      </c>
      <c r="AT299" s="52">
        <f t="shared" si="149"/>
        <v>1</v>
      </c>
      <c r="AU299" s="52">
        <f t="shared" si="149"/>
        <v>1</v>
      </c>
      <c r="AV299" s="52">
        <f t="shared" si="149"/>
        <v>1</v>
      </c>
      <c r="AW299" s="52">
        <f t="shared" si="149"/>
        <v>1</v>
      </c>
      <c r="AX299" s="52">
        <f t="shared" si="149"/>
        <v>1</v>
      </c>
      <c r="AY299" s="52">
        <f t="shared" si="149"/>
        <v>1</v>
      </c>
      <c r="AZ299" s="52">
        <f t="shared" si="149"/>
        <v>1</v>
      </c>
      <c r="BA299" s="52">
        <f t="shared" si="149"/>
        <v>1</v>
      </c>
      <c r="BB299" s="52">
        <f t="shared" si="149"/>
        <v>1</v>
      </c>
      <c r="BC299" s="52">
        <f t="shared" si="149"/>
        <v>1</v>
      </c>
      <c r="BD299" s="52">
        <f t="shared" si="150"/>
        <v>1</v>
      </c>
      <c r="BE299" s="52">
        <f t="shared" si="150"/>
        <v>1</v>
      </c>
      <c r="BF299" s="52">
        <f t="shared" si="150"/>
        <v>1</v>
      </c>
      <c r="BG299" s="52">
        <f t="shared" si="150"/>
        <v>1</v>
      </c>
      <c r="BH299" s="52">
        <f t="shared" si="150"/>
        <v>1</v>
      </c>
      <c r="BI299" s="52">
        <f t="shared" si="150"/>
        <v>1</v>
      </c>
      <c r="BJ299" s="52">
        <f t="shared" si="150"/>
        <v>1</v>
      </c>
      <c r="BK299" s="52">
        <f t="shared" si="150"/>
        <v>1</v>
      </c>
      <c r="BL299" s="52">
        <f t="shared" si="150"/>
        <v>1</v>
      </c>
      <c r="BM299" s="52">
        <f t="shared" si="150"/>
        <v>1</v>
      </c>
      <c r="BN299" s="52">
        <f t="shared" si="150"/>
        <v>1</v>
      </c>
      <c r="BO299" s="32">
        <f t="shared" si="134"/>
        <v>0.6559322033898306</v>
      </c>
    </row>
    <row r="300" spans="1:67" ht="15" x14ac:dyDescent="0.2">
      <c r="A300" s="46" t="s">
        <v>608</v>
      </c>
      <c r="B300" s="46" t="s">
        <v>609</v>
      </c>
      <c r="C300" s="46" t="s">
        <v>126</v>
      </c>
      <c r="D300" s="47">
        <f>VLOOKUP(A300,'[1]Cuadro Control'!C338:J2230,8,FALSE)</f>
        <v>9527825.6870364472</v>
      </c>
      <c r="E300" s="48">
        <f t="shared" si="147"/>
        <v>1.794698454439963E-3</v>
      </c>
      <c r="F300" s="49">
        <v>46356</v>
      </c>
      <c r="G300" s="49">
        <v>46358</v>
      </c>
      <c r="H300" s="48">
        <f t="shared" si="148"/>
        <v>0</v>
      </c>
      <c r="I300" s="48">
        <f t="shared" si="148"/>
        <v>0</v>
      </c>
      <c r="J300" s="48">
        <f t="shared" si="148"/>
        <v>0</v>
      </c>
      <c r="K300" s="48">
        <f t="shared" si="148"/>
        <v>0</v>
      </c>
      <c r="L300" s="48">
        <f t="shared" si="148"/>
        <v>0</v>
      </c>
      <c r="M300" s="48">
        <f t="shared" si="148"/>
        <v>0</v>
      </c>
      <c r="N300" s="48">
        <f t="shared" si="148"/>
        <v>0</v>
      </c>
      <c r="O300" s="48">
        <f t="shared" si="148"/>
        <v>0</v>
      </c>
      <c r="P300" s="48">
        <f t="shared" si="148"/>
        <v>0</v>
      </c>
      <c r="Q300" s="48">
        <f t="shared" si="148"/>
        <v>0</v>
      </c>
      <c r="R300" s="48">
        <f t="shared" si="148"/>
        <v>0</v>
      </c>
      <c r="S300" s="48">
        <f t="shared" si="148"/>
        <v>0</v>
      </c>
      <c r="T300" s="48">
        <f t="shared" si="148"/>
        <v>0</v>
      </c>
      <c r="U300" s="48">
        <f t="shared" si="148"/>
        <v>0</v>
      </c>
      <c r="V300" s="48">
        <f t="shared" si="148"/>
        <v>0</v>
      </c>
      <c r="W300" s="48">
        <f t="shared" si="148"/>
        <v>0</v>
      </c>
      <c r="X300" s="48">
        <f t="shared" si="149"/>
        <v>0</v>
      </c>
      <c r="Y300" s="48">
        <f t="shared" si="149"/>
        <v>0</v>
      </c>
      <c r="Z300" s="48">
        <f t="shared" si="149"/>
        <v>0</v>
      </c>
      <c r="AA300" s="48">
        <f t="shared" si="149"/>
        <v>0</v>
      </c>
      <c r="AB300" s="48">
        <f t="shared" si="149"/>
        <v>0</v>
      </c>
      <c r="AC300" s="48">
        <f t="shared" si="149"/>
        <v>1</v>
      </c>
      <c r="AD300" s="48">
        <f t="shared" si="149"/>
        <v>1</v>
      </c>
      <c r="AE300" s="48">
        <f t="shared" si="149"/>
        <v>1</v>
      </c>
      <c r="AF300" s="48">
        <f t="shared" si="149"/>
        <v>1</v>
      </c>
      <c r="AG300" s="48">
        <f t="shared" si="149"/>
        <v>1</v>
      </c>
      <c r="AH300" s="48">
        <f t="shared" si="149"/>
        <v>1</v>
      </c>
      <c r="AI300" s="48">
        <f t="shared" si="149"/>
        <v>1</v>
      </c>
      <c r="AJ300" s="48">
        <f t="shared" si="149"/>
        <v>1</v>
      </c>
      <c r="AK300" s="48">
        <f t="shared" si="149"/>
        <v>1</v>
      </c>
      <c r="AL300" s="48">
        <f t="shared" si="149"/>
        <v>1</v>
      </c>
      <c r="AM300" s="48">
        <f t="shared" si="149"/>
        <v>1</v>
      </c>
      <c r="AN300" s="48">
        <f t="shared" si="149"/>
        <v>1</v>
      </c>
      <c r="AO300" s="48">
        <f t="shared" si="149"/>
        <v>1</v>
      </c>
      <c r="AP300" s="48">
        <f t="shared" si="149"/>
        <v>1</v>
      </c>
      <c r="AQ300" s="48">
        <f t="shared" si="149"/>
        <v>1</v>
      </c>
      <c r="AR300" s="48">
        <f t="shared" si="149"/>
        <v>1</v>
      </c>
      <c r="AS300" s="48">
        <f t="shared" si="149"/>
        <v>1</v>
      </c>
      <c r="AT300" s="48">
        <f t="shared" si="149"/>
        <v>1</v>
      </c>
      <c r="AU300" s="48">
        <f t="shared" si="149"/>
        <v>1</v>
      </c>
      <c r="AV300" s="48">
        <f t="shared" si="149"/>
        <v>1</v>
      </c>
      <c r="AW300" s="48">
        <f t="shared" si="149"/>
        <v>1</v>
      </c>
      <c r="AX300" s="48">
        <f t="shared" si="149"/>
        <v>1</v>
      </c>
      <c r="AY300" s="48">
        <f t="shared" si="149"/>
        <v>1</v>
      </c>
      <c r="AZ300" s="48">
        <f t="shared" si="149"/>
        <v>1</v>
      </c>
      <c r="BA300" s="48">
        <f t="shared" si="149"/>
        <v>1</v>
      </c>
      <c r="BB300" s="48">
        <f t="shared" si="149"/>
        <v>1</v>
      </c>
      <c r="BC300" s="48">
        <f t="shared" si="149"/>
        <v>1</v>
      </c>
      <c r="BD300" s="48">
        <f t="shared" si="150"/>
        <v>1</v>
      </c>
      <c r="BE300" s="48">
        <f t="shared" si="150"/>
        <v>1</v>
      </c>
      <c r="BF300" s="48">
        <f t="shared" si="150"/>
        <v>1</v>
      </c>
      <c r="BG300" s="48">
        <f t="shared" si="150"/>
        <v>1</v>
      </c>
      <c r="BH300" s="48">
        <f t="shared" si="150"/>
        <v>1</v>
      </c>
      <c r="BI300" s="48">
        <f t="shared" si="150"/>
        <v>1</v>
      </c>
      <c r="BJ300" s="48">
        <f t="shared" si="150"/>
        <v>1</v>
      </c>
      <c r="BK300" s="48">
        <f t="shared" si="150"/>
        <v>1</v>
      </c>
      <c r="BL300" s="48">
        <f t="shared" si="150"/>
        <v>1</v>
      </c>
      <c r="BM300" s="48">
        <f t="shared" si="150"/>
        <v>1</v>
      </c>
      <c r="BN300" s="48">
        <f t="shared" si="150"/>
        <v>1</v>
      </c>
      <c r="BO300" s="32">
        <f t="shared" si="134"/>
        <v>0.64406779661016944</v>
      </c>
    </row>
    <row r="301" spans="1:67" x14ac:dyDescent="0.2">
      <c r="A301" s="50" t="s">
        <v>610</v>
      </c>
      <c r="B301" s="50" t="s">
        <v>611</v>
      </c>
      <c r="C301" s="50" t="s">
        <v>117</v>
      </c>
      <c r="D301" s="51">
        <f>VLOOKUP(A301,'[1]Cuadro Control'!C339:J2231,8,FALSE)</f>
        <v>320494616.71764702</v>
      </c>
      <c r="E301" s="52">
        <f t="shared" si="147"/>
        <v>6.0369617599332674E-2</v>
      </c>
      <c r="F301" s="53">
        <v>46358</v>
      </c>
      <c r="G301" s="53">
        <v>46363</v>
      </c>
      <c r="H301" s="52">
        <f t="shared" si="148"/>
        <v>0</v>
      </c>
      <c r="I301" s="52">
        <f t="shared" si="148"/>
        <v>0</v>
      </c>
      <c r="J301" s="52">
        <f t="shared" si="148"/>
        <v>0</v>
      </c>
      <c r="K301" s="52">
        <f t="shared" si="148"/>
        <v>0</v>
      </c>
      <c r="L301" s="52">
        <f t="shared" si="148"/>
        <v>0</v>
      </c>
      <c r="M301" s="52">
        <f t="shared" si="148"/>
        <v>0</v>
      </c>
      <c r="N301" s="52">
        <f t="shared" si="148"/>
        <v>0</v>
      </c>
      <c r="O301" s="52">
        <f t="shared" si="148"/>
        <v>0</v>
      </c>
      <c r="P301" s="52">
        <f t="shared" si="148"/>
        <v>0</v>
      </c>
      <c r="Q301" s="52">
        <f t="shared" si="148"/>
        <v>0</v>
      </c>
      <c r="R301" s="52">
        <f t="shared" si="148"/>
        <v>0</v>
      </c>
      <c r="S301" s="52">
        <f t="shared" si="148"/>
        <v>0</v>
      </c>
      <c r="T301" s="52">
        <f t="shared" si="148"/>
        <v>0</v>
      </c>
      <c r="U301" s="52">
        <f t="shared" si="148"/>
        <v>0</v>
      </c>
      <c r="V301" s="52">
        <f t="shared" si="148"/>
        <v>0</v>
      </c>
      <c r="W301" s="52">
        <f t="shared" si="148"/>
        <v>0</v>
      </c>
      <c r="X301" s="52">
        <f t="shared" si="149"/>
        <v>0</v>
      </c>
      <c r="Y301" s="52">
        <f t="shared" si="149"/>
        <v>0</v>
      </c>
      <c r="Z301" s="52">
        <f t="shared" si="149"/>
        <v>0</v>
      </c>
      <c r="AA301" s="52">
        <f t="shared" si="149"/>
        <v>0</v>
      </c>
      <c r="AB301" s="52">
        <f t="shared" si="149"/>
        <v>0</v>
      </c>
      <c r="AC301" s="52">
        <f t="shared" si="149"/>
        <v>0.5</v>
      </c>
      <c r="AD301" s="52">
        <f t="shared" si="149"/>
        <v>1</v>
      </c>
      <c r="AE301" s="52">
        <f t="shared" si="149"/>
        <v>1</v>
      </c>
      <c r="AF301" s="52">
        <f t="shared" si="149"/>
        <v>1</v>
      </c>
      <c r="AG301" s="52">
        <f t="shared" si="149"/>
        <v>1</v>
      </c>
      <c r="AH301" s="52">
        <f t="shared" si="149"/>
        <v>1</v>
      </c>
      <c r="AI301" s="52">
        <f t="shared" si="149"/>
        <v>1</v>
      </c>
      <c r="AJ301" s="52">
        <f t="shared" si="149"/>
        <v>1</v>
      </c>
      <c r="AK301" s="52">
        <f t="shared" si="149"/>
        <v>1</v>
      </c>
      <c r="AL301" s="52">
        <f t="shared" si="149"/>
        <v>1</v>
      </c>
      <c r="AM301" s="52">
        <f t="shared" si="149"/>
        <v>1</v>
      </c>
      <c r="AN301" s="52">
        <f t="shared" si="149"/>
        <v>1</v>
      </c>
      <c r="AO301" s="52">
        <f t="shared" si="149"/>
        <v>1</v>
      </c>
      <c r="AP301" s="52">
        <f t="shared" si="149"/>
        <v>1</v>
      </c>
      <c r="AQ301" s="52">
        <f t="shared" si="149"/>
        <v>1</v>
      </c>
      <c r="AR301" s="52">
        <f t="shared" si="149"/>
        <v>1</v>
      </c>
      <c r="AS301" s="52">
        <f t="shared" si="149"/>
        <v>1</v>
      </c>
      <c r="AT301" s="52">
        <f t="shared" si="149"/>
        <v>1</v>
      </c>
      <c r="AU301" s="52">
        <f t="shared" si="149"/>
        <v>1</v>
      </c>
      <c r="AV301" s="52">
        <f t="shared" si="149"/>
        <v>1</v>
      </c>
      <c r="AW301" s="52">
        <f t="shared" si="149"/>
        <v>1</v>
      </c>
      <c r="AX301" s="52">
        <f t="shared" si="149"/>
        <v>1</v>
      </c>
      <c r="AY301" s="52">
        <f t="shared" si="149"/>
        <v>1</v>
      </c>
      <c r="AZ301" s="52">
        <f t="shared" si="149"/>
        <v>1</v>
      </c>
      <c r="BA301" s="52">
        <f t="shared" si="149"/>
        <v>1</v>
      </c>
      <c r="BB301" s="52">
        <f t="shared" si="149"/>
        <v>1</v>
      </c>
      <c r="BC301" s="52">
        <f t="shared" si="149"/>
        <v>1</v>
      </c>
      <c r="BD301" s="52">
        <f t="shared" si="150"/>
        <v>1</v>
      </c>
      <c r="BE301" s="52">
        <f t="shared" si="150"/>
        <v>1</v>
      </c>
      <c r="BF301" s="52">
        <f t="shared" si="150"/>
        <v>1</v>
      </c>
      <c r="BG301" s="52">
        <f t="shared" si="150"/>
        <v>1</v>
      </c>
      <c r="BH301" s="52">
        <f t="shared" si="150"/>
        <v>1</v>
      </c>
      <c r="BI301" s="52">
        <f t="shared" si="150"/>
        <v>1</v>
      </c>
      <c r="BJ301" s="52">
        <f t="shared" si="150"/>
        <v>1</v>
      </c>
      <c r="BK301" s="52">
        <f t="shared" si="150"/>
        <v>1</v>
      </c>
      <c r="BL301" s="52">
        <f t="shared" si="150"/>
        <v>1</v>
      </c>
      <c r="BM301" s="52">
        <f t="shared" si="150"/>
        <v>1</v>
      </c>
      <c r="BN301" s="52">
        <f t="shared" si="150"/>
        <v>1</v>
      </c>
      <c r="BO301" s="32">
        <f t="shared" si="134"/>
        <v>0.63559322033898302</v>
      </c>
    </row>
    <row r="302" spans="1:67" x14ac:dyDescent="0.2">
      <c r="A302" s="50" t="s">
        <v>612</v>
      </c>
      <c r="B302" s="50" t="s">
        <v>613</v>
      </c>
      <c r="C302" s="50" t="s">
        <v>111</v>
      </c>
      <c r="D302" s="51">
        <f>VLOOKUP(A302,'[1]Cuadro Control'!C340:J2232,8,FALSE)</f>
        <v>94303618.549411759</v>
      </c>
      <c r="E302" s="52">
        <f t="shared" si="147"/>
        <v>1.7763397864110998E-2</v>
      </c>
      <c r="F302" s="53">
        <v>46363</v>
      </c>
      <c r="G302" s="53">
        <v>46366</v>
      </c>
      <c r="H302" s="52">
        <f t="shared" si="148"/>
        <v>0</v>
      </c>
      <c r="I302" s="52">
        <f t="shared" si="148"/>
        <v>0</v>
      </c>
      <c r="J302" s="52">
        <f t="shared" si="148"/>
        <v>0</v>
      </c>
      <c r="K302" s="52">
        <f t="shared" si="148"/>
        <v>0</v>
      </c>
      <c r="L302" s="52">
        <f t="shared" si="148"/>
        <v>0</v>
      </c>
      <c r="M302" s="52">
        <f t="shared" si="148"/>
        <v>0</v>
      </c>
      <c r="N302" s="52">
        <f t="shared" si="148"/>
        <v>0</v>
      </c>
      <c r="O302" s="52">
        <f t="shared" si="148"/>
        <v>0</v>
      </c>
      <c r="P302" s="52">
        <f t="shared" si="148"/>
        <v>0</v>
      </c>
      <c r="Q302" s="52">
        <f t="shared" si="148"/>
        <v>0</v>
      </c>
      <c r="R302" s="52">
        <f t="shared" si="148"/>
        <v>0</v>
      </c>
      <c r="S302" s="52">
        <f t="shared" si="148"/>
        <v>0</v>
      </c>
      <c r="T302" s="52">
        <f t="shared" si="148"/>
        <v>0</v>
      </c>
      <c r="U302" s="52">
        <f t="shared" si="148"/>
        <v>0</v>
      </c>
      <c r="V302" s="52">
        <f t="shared" si="148"/>
        <v>0</v>
      </c>
      <c r="W302" s="52">
        <f t="shared" si="148"/>
        <v>0</v>
      </c>
      <c r="X302" s="52">
        <f t="shared" si="149"/>
        <v>0</v>
      </c>
      <c r="Y302" s="52">
        <f t="shared" si="149"/>
        <v>0</v>
      </c>
      <c r="Z302" s="52">
        <f t="shared" si="149"/>
        <v>0</v>
      </c>
      <c r="AA302" s="52">
        <f t="shared" si="149"/>
        <v>0</v>
      </c>
      <c r="AB302" s="52">
        <f t="shared" si="149"/>
        <v>0</v>
      </c>
      <c r="AC302" s="52">
        <f t="shared" si="149"/>
        <v>0</v>
      </c>
      <c r="AD302" s="52">
        <f t="shared" si="149"/>
        <v>1</v>
      </c>
      <c r="AE302" s="52">
        <f t="shared" si="149"/>
        <v>1</v>
      </c>
      <c r="AF302" s="52">
        <f t="shared" si="149"/>
        <v>1</v>
      </c>
      <c r="AG302" s="52">
        <f t="shared" si="149"/>
        <v>1</v>
      </c>
      <c r="AH302" s="52">
        <f t="shared" si="149"/>
        <v>1</v>
      </c>
      <c r="AI302" s="52">
        <f t="shared" si="149"/>
        <v>1</v>
      </c>
      <c r="AJ302" s="52">
        <f t="shared" si="149"/>
        <v>1</v>
      </c>
      <c r="AK302" s="52">
        <f t="shared" si="149"/>
        <v>1</v>
      </c>
      <c r="AL302" s="52">
        <f t="shared" si="149"/>
        <v>1</v>
      </c>
      <c r="AM302" s="52">
        <f t="shared" si="149"/>
        <v>1</v>
      </c>
      <c r="AN302" s="52">
        <f t="shared" si="149"/>
        <v>1</v>
      </c>
      <c r="AO302" s="52">
        <f t="shared" si="149"/>
        <v>1</v>
      </c>
      <c r="AP302" s="52">
        <f t="shared" si="149"/>
        <v>1</v>
      </c>
      <c r="AQ302" s="52">
        <f t="shared" si="149"/>
        <v>1</v>
      </c>
      <c r="AR302" s="52">
        <f t="shared" si="149"/>
        <v>1</v>
      </c>
      <c r="AS302" s="52">
        <f t="shared" si="149"/>
        <v>1</v>
      </c>
      <c r="AT302" s="52">
        <f t="shared" si="149"/>
        <v>1</v>
      </c>
      <c r="AU302" s="52">
        <f t="shared" si="149"/>
        <v>1</v>
      </c>
      <c r="AV302" s="52">
        <f t="shared" si="149"/>
        <v>1</v>
      </c>
      <c r="AW302" s="52">
        <f t="shared" si="149"/>
        <v>1</v>
      </c>
      <c r="AX302" s="52">
        <f t="shared" si="149"/>
        <v>1</v>
      </c>
      <c r="AY302" s="52">
        <f t="shared" si="149"/>
        <v>1</v>
      </c>
      <c r="AZ302" s="52">
        <f t="shared" si="149"/>
        <v>1</v>
      </c>
      <c r="BA302" s="52">
        <f t="shared" si="149"/>
        <v>1</v>
      </c>
      <c r="BB302" s="52">
        <f t="shared" si="149"/>
        <v>1</v>
      </c>
      <c r="BC302" s="52">
        <f t="shared" si="149"/>
        <v>1</v>
      </c>
      <c r="BD302" s="52">
        <f t="shared" si="150"/>
        <v>1</v>
      </c>
      <c r="BE302" s="52">
        <f t="shared" si="150"/>
        <v>1</v>
      </c>
      <c r="BF302" s="52">
        <f t="shared" si="150"/>
        <v>1</v>
      </c>
      <c r="BG302" s="52">
        <f t="shared" si="150"/>
        <v>1</v>
      </c>
      <c r="BH302" s="52">
        <f t="shared" si="150"/>
        <v>1</v>
      </c>
      <c r="BI302" s="52">
        <f t="shared" si="150"/>
        <v>1</v>
      </c>
      <c r="BJ302" s="52">
        <f t="shared" si="150"/>
        <v>1</v>
      </c>
      <c r="BK302" s="52">
        <f t="shared" si="150"/>
        <v>1</v>
      </c>
      <c r="BL302" s="52">
        <f t="shared" si="150"/>
        <v>1</v>
      </c>
      <c r="BM302" s="52">
        <f t="shared" si="150"/>
        <v>1</v>
      </c>
      <c r="BN302" s="52">
        <f t="shared" si="150"/>
        <v>1</v>
      </c>
      <c r="BO302" s="32">
        <f t="shared" si="134"/>
        <v>0.6271186440677966</v>
      </c>
    </row>
    <row r="303" spans="1:67" x14ac:dyDescent="0.2">
      <c r="A303" s="50" t="s">
        <v>614</v>
      </c>
      <c r="B303" s="50" t="s">
        <v>615</v>
      </c>
      <c r="C303" s="50" t="s">
        <v>238</v>
      </c>
      <c r="D303" s="51">
        <f>VLOOKUP(A303,'[1]Cuadro Control'!C341:J2233,8,FALSE)</f>
        <v>179436034.15411764</v>
      </c>
      <c r="E303" s="52">
        <f t="shared" si="147"/>
        <v>3.3799272126209236E-2</v>
      </c>
      <c r="F303" s="53">
        <v>46366</v>
      </c>
      <c r="G303" s="53">
        <v>46371</v>
      </c>
      <c r="H303" s="52">
        <f t="shared" si="148"/>
        <v>0</v>
      </c>
      <c r="I303" s="52">
        <f t="shared" si="148"/>
        <v>0</v>
      </c>
      <c r="J303" s="52">
        <f t="shared" si="148"/>
        <v>0</v>
      </c>
      <c r="K303" s="52">
        <f t="shared" si="148"/>
        <v>0</v>
      </c>
      <c r="L303" s="52">
        <f t="shared" si="148"/>
        <v>0</v>
      </c>
      <c r="M303" s="52">
        <f t="shared" si="148"/>
        <v>0</v>
      </c>
      <c r="N303" s="52">
        <f t="shared" si="148"/>
        <v>0</v>
      </c>
      <c r="O303" s="52">
        <f t="shared" si="148"/>
        <v>0</v>
      </c>
      <c r="P303" s="52">
        <f t="shared" si="148"/>
        <v>0</v>
      </c>
      <c r="Q303" s="52">
        <f t="shared" si="148"/>
        <v>0</v>
      </c>
      <c r="R303" s="52">
        <f t="shared" si="148"/>
        <v>0</v>
      </c>
      <c r="S303" s="52">
        <f t="shared" si="148"/>
        <v>0</v>
      </c>
      <c r="T303" s="52">
        <f t="shared" si="148"/>
        <v>0</v>
      </c>
      <c r="U303" s="52">
        <f t="shared" si="148"/>
        <v>0</v>
      </c>
      <c r="V303" s="52">
        <f t="shared" si="148"/>
        <v>0</v>
      </c>
      <c r="W303" s="52">
        <f t="shared" si="148"/>
        <v>0</v>
      </c>
      <c r="X303" s="52">
        <f t="shared" si="149"/>
        <v>0</v>
      </c>
      <c r="Y303" s="52">
        <f t="shared" si="149"/>
        <v>0</v>
      </c>
      <c r="Z303" s="52">
        <f t="shared" si="149"/>
        <v>0</v>
      </c>
      <c r="AA303" s="52">
        <f t="shared" si="149"/>
        <v>0</v>
      </c>
      <c r="AB303" s="52">
        <f t="shared" si="149"/>
        <v>0</v>
      </c>
      <c r="AC303" s="52">
        <f t="shared" si="149"/>
        <v>0</v>
      </c>
      <c r="AD303" s="52">
        <f t="shared" si="149"/>
        <v>0.33333333333333331</v>
      </c>
      <c r="AE303" s="52">
        <f t="shared" si="149"/>
        <v>1</v>
      </c>
      <c r="AF303" s="52">
        <f t="shared" si="149"/>
        <v>1</v>
      </c>
      <c r="AG303" s="52">
        <f t="shared" si="149"/>
        <v>1</v>
      </c>
      <c r="AH303" s="52">
        <f t="shared" si="149"/>
        <v>1</v>
      </c>
      <c r="AI303" s="52">
        <f t="shared" si="149"/>
        <v>1</v>
      </c>
      <c r="AJ303" s="52">
        <f t="shared" si="149"/>
        <v>1</v>
      </c>
      <c r="AK303" s="52">
        <f t="shared" si="149"/>
        <v>1</v>
      </c>
      <c r="AL303" s="52">
        <f t="shared" si="149"/>
        <v>1</v>
      </c>
      <c r="AM303" s="52">
        <f t="shared" si="149"/>
        <v>1</v>
      </c>
      <c r="AN303" s="52">
        <f t="shared" si="149"/>
        <v>1</v>
      </c>
      <c r="AO303" s="52">
        <f t="shared" si="149"/>
        <v>1</v>
      </c>
      <c r="AP303" s="52">
        <f t="shared" si="149"/>
        <v>1</v>
      </c>
      <c r="AQ303" s="52">
        <f t="shared" si="149"/>
        <v>1</v>
      </c>
      <c r="AR303" s="52">
        <f t="shared" si="149"/>
        <v>1</v>
      </c>
      <c r="AS303" s="52">
        <f t="shared" si="149"/>
        <v>1</v>
      </c>
      <c r="AT303" s="52">
        <f t="shared" si="149"/>
        <v>1</v>
      </c>
      <c r="AU303" s="52">
        <f t="shared" si="149"/>
        <v>1</v>
      </c>
      <c r="AV303" s="52">
        <f t="shared" si="149"/>
        <v>1</v>
      </c>
      <c r="AW303" s="52">
        <f t="shared" si="149"/>
        <v>1</v>
      </c>
      <c r="AX303" s="52">
        <f t="shared" si="149"/>
        <v>1</v>
      </c>
      <c r="AY303" s="52">
        <f t="shared" si="149"/>
        <v>1</v>
      </c>
      <c r="AZ303" s="52">
        <f t="shared" si="149"/>
        <v>1</v>
      </c>
      <c r="BA303" s="52">
        <f t="shared" si="149"/>
        <v>1</v>
      </c>
      <c r="BB303" s="52">
        <f t="shared" si="149"/>
        <v>1</v>
      </c>
      <c r="BC303" s="52">
        <f t="shared" si="149"/>
        <v>1</v>
      </c>
      <c r="BD303" s="52">
        <f t="shared" si="150"/>
        <v>1</v>
      </c>
      <c r="BE303" s="52">
        <f t="shared" si="150"/>
        <v>1</v>
      </c>
      <c r="BF303" s="52">
        <f t="shared" si="150"/>
        <v>1</v>
      </c>
      <c r="BG303" s="52">
        <f t="shared" si="150"/>
        <v>1</v>
      </c>
      <c r="BH303" s="52">
        <f t="shared" si="150"/>
        <v>1</v>
      </c>
      <c r="BI303" s="52">
        <f t="shared" si="150"/>
        <v>1</v>
      </c>
      <c r="BJ303" s="52">
        <f t="shared" si="150"/>
        <v>1</v>
      </c>
      <c r="BK303" s="52">
        <f t="shared" si="150"/>
        <v>1</v>
      </c>
      <c r="BL303" s="52">
        <f t="shared" si="150"/>
        <v>1</v>
      </c>
      <c r="BM303" s="52">
        <f t="shared" si="150"/>
        <v>1</v>
      </c>
      <c r="BN303" s="52">
        <f t="shared" si="150"/>
        <v>1</v>
      </c>
      <c r="BO303" s="32">
        <f t="shared" si="134"/>
        <v>0.6158192090395479</v>
      </c>
    </row>
    <row r="304" spans="1:67" x14ac:dyDescent="0.2">
      <c r="A304" s="50" t="s">
        <v>616</v>
      </c>
      <c r="B304" s="50" t="s">
        <v>617</v>
      </c>
      <c r="C304" s="50" t="s">
        <v>58</v>
      </c>
      <c r="D304" s="51">
        <f>VLOOKUP(A304,'[1]Cuadro Control'!C342:J2234,8,FALSE)</f>
        <v>1212623361.2117648</v>
      </c>
      <c r="E304" s="52">
        <f t="shared" si="147"/>
        <v>0.22841447185013161</v>
      </c>
      <c r="F304" s="53">
        <v>46371</v>
      </c>
      <c r="G304" s="53">
        <v>46389</v>
      </c>
      <c r="H304" s="52">
        <f t="shared" si="148"/>
        <v>0</v>
      </c>
      <c r="I304" s="52">
        <f t="shared" si="148"/>
        <v>0</v>
      </c>
      <c r="J304" s="52">
        <f t="shared" si="148"/>
        <v>0</v>
      </c>
      <c r="K304" s="52">
        <f t="shared" si="148"/>
        <v>0</v>
      </c>
      <c r="L304" s="52">
        <f t="shared" si="148"/>
        <v>0</v>
      </c>
      <c r="M304" s="52">
        <f t="shared" si="148"/>
        <v>0</v>
      </c>
      <c r="N304" s="52">
        <f t="shared" si="148"/>
        <v>0</v>
      </c>
      <c r="O304" s="52">
        <f t="shared" si="148"/>
        <v>0</v>
      </c>
      <c r="P304" s="52">
        <f t="shared" si="148"/>
        <v>0</v>
      </c>
      <c r="Q304" s="52">
        <f t="shared" si="148"/>
        <v>0</v>
      </c>
      <c r="R304" s="52">
        <f t="shared" si="148"/>
        <v>0</v>
      </c>
      <c r="S304" s="52">
        <f t="shared" si="148"/>
        <v>0</v>
      </c>
      <c r="T304" s="52">
        <f t="shared" si="148"/>
        <v>0</v>
      </c>
      <c r="U304" s="52">
        <f t="shared" si="148"/>
        <v>0</v>
      </c>
      <c r="V304" s="52">
        <f t="shared" si="148"/>
        <v>0</v>
      </c>
      <c r="W304" s="52">
        <f t="shared" si="148"/>
        <v>0</v>
      </c>
      <c r="X304" s="52">
        <f t="shared" si="149"/>
        <v>0</v>
      </c>
      <c r="Y304" s="52">
        <f t="shared" si="149"/>
        <v>0</v>
      </c>
      <c r="Z304" s="52">
        <f t="shared" si="149"/>
        <v>0</v>
      </c>
      <c r="AA304" s="52">
        <f t="shared" si="149"/>
        <v>0</v>
      </c>
      <c r="AB304" s="52">
        <f t="shared" si="149"/>
        <v>0</v>
      </c>
      <c r="AC304" s="52">
        <f t="shared" si="149"/>
        <v>0</v>
      </c>
      <c r="AD304" s="52">
        <f t="shared" si="149"/>
        <v>0</v>
      </c>
      <c r="AE304" s="52">
        <f t="shared" si="149"/>
        <v>0.21052631578947367</v>
      </c>
      <c r="AF304" s="52">
        <f t="shared" si="149"/>
        <v>0.57894736842105265</v>
      </c>
      <c r="AG304" s="52">
        <f t="shared" si="149"/>
        <v>0.94736842105263153</v>
      </c>
      <c r="AH304" s="52">
        <f t="shared" si="149"/>
        <v>1</v>
      </c>
      <c r="AI304" s="52">
        <f t="shared" si="149"/>
        <v>1</v>
      </c>
      <c r="AJ304" s="52">
        <f t="shared" si="149"/>
        <v>1</v>
      </c>
      <c r="AK304" s="52">
        <f t="shared" si="149"/>
        <v>1</v>
      </c>
      <c r="AL304" s="52">
        <f t="shared" si="149"/>
        <v>1</v>
      </c>
      <c r="AM304" s="52">
        <f t="shared" si="149"/>
        <v>1</v>
      </c>
      <c r="AN304" s="52">
        <f t="shared" si="149"/>
        <v>1</v>
      </c>
      <c r="AO304" s="52">
        <f t="shared" si="149"/>
        <v>1</v>
      </c>
      <c r="AP304" s="52">
        <f t="shared" si="149"/>
        <v>1</v>
      </c>
      <c r="AQ304" s="52">
        <f t="shared" si="149"/>
        <v>1</v>
      </c>
      <c r="AR304" s="52">
        <f t="shared" si="149"/>
        <v>1</v>
      </c>
      <c r="AS304" s="52">
        <f t="shared" si="149"/>
        <v>1</v>
      </c>
      <c r="AT304" s="52">
        <f t="shared" si="149"/>
        <v>1</v>
      </c>
      <c r="AU304" s="52">
        <f t="shared" si="149"/>
        <v>1</v>
      </c>
      <c r="AV304" s="52">
        <f t="shared" si="149"/>
        <v>1</v>
      </c>
      <c r="AW304" s="52">
        <f t="shared" si="149"/>
        <v>1</v>
      </c>
      <c r="AX304" s="52">
        <f t="shared" si="149"/>
        <v>1</v>
      </c>
      <c r="AY304" s="52">
        <f t="shared" si="149"/>
        <v>1</v>
      </c>
      <c r="AZ304" s="52">
        <f t="shared" si="149"/>
        <v>1</v>
      </c>
      <c r="BA304" s="52">
        <f t="shared" si="149"/>
        <v>1</v>
      </c>
      <c r="BB304" s="52">
        <f t="shared" si="149"/>
        <v>1</v>
      </c>
      <c r="BC304" s="52">
        <f t="shared" si="149"/>
        <v>1</v>
      </c>
      <c r="BD304" s="52">
        <f t="shared" si="150"/>
        <v>1</v>
      </c>
      <c r="BE304" s="52">
        <f t="shared" si="150"/>
        <v>1</v>
      </c>
      <c r="BF304" s="52">
        <f t="shared" si="150"/>
        <v>1</v>
      </c>
      <c r="BG304" s="52">
        <f t="shared" si="150"/>
        <v>1</v>
      </c>
      <c r="BH304" s="52">
        <f t="shared" si="150"/>
        <v>1</v>
      </c>
      <c r="BI304" s="52">
        <f t="shared" si="150"/>
        <v>1</v>
      </c>
      <c r="BJ304" s="52">
        <f t="shared" si="150"/>
        <v>1</v>
      </c>
      <c r="BK304" s="52">
        <f t="shared" si="150"/>
        <v>1</v>
      </c>
      <c r="BL304" s="52">
        <f t="shared" si="150"/>
        <v>1</v>
      </c>
      <c r="BM304" s="52">
        <f t="shared" si="150"/>
        <v>1</v>
      </c>
      <c r="BN304" s="52">
        <f t="shared" si="150"/>
        <v>1</v>
      </c>
      <c r="BO304" s="32">
        <f t="shared" si="134"/>
        <v>0.58876003568242641</v>
      </c>
    </row>
    <row r="305" spans="1:67" x14ac:dyDescent="0.2">
      <c r="A305" s="50" t="s">
        <v>618</v>
      </c>
      <c r="B305" s="50" t="s">
        <v>619</v>
      </c>
      <c r="C305" s="50" t="s">
        <v>126</v>
      </c>
      <c r="D305" s="51">
        <f>VLOOKUP(A305,'[1]Cuadro Control'!C343:J2235,8,FALSE)</f>
        <v>0</v>
      </c>
      <c r="E305" s="52">
        <f t="shared" si="147"/>
        <v>0</v>
      </c>
      <c r="F305" s="53">
        <v>46389</v>
      </c>
      <c r="G305" s="53">
        <v>46393</v>
      </c>
      <c r="H305" s="52">
        <f t="shared" si="148"/>
        <v>0</v>
      </c>
      <c r="I305" s="52">
        <f t="shared" si="148"/>
        <v>0</v>
      </c>
      <c r="J305" s="52">
        <f t="shared" si="148"/>
        <v>0</v>
      </c>
      <c r="K305" s="52">
        <f t="shared" si="148"/>
        <v>0</v>
      </c>
      <c r="L305" s="52">
        <f t="shared" si="148"/>
        <v>0</v>
      </c>
      <c r="M305" s="52">
        <f t="shared" si="148"/>
        <v>0</v>
      </c>
      <c r="N305" s="52">
        <f t="shared" si="148"/>
        <v>0</v>
      </c>
      <c r="O305" s="52">
        <f t="shared" si="148"/>
        <v>0</v>
      </c>
      <c r="P305" s="52">
        <f t="shared" si="148"/>
        <v>0</v>
      </c>
      <c r="Q305" s="52">
        <f t="shared" si="148"/>
        <v>0</v>
      </c>
      <c r="R305" s="52">
        <f t="shared" si="148"/>
        <v>0</v>
      </c>
      <c r="S305" s="52">
        <f t="shared" si="148"/>
        <v>0</v>
      </c>
      <c r="T305" s="52">
        <f t="shared" si="148"/>
        <v>0</v>
      </c>
      <c r="U305" s="52">
        <f t="shared" si="148"/>
        <v>0</v>
      </c>
      <c r="V305" s="52">
        <f t="shared" si="148"/>
        <v>0</v>
      </c>
      <c r="W305" s="52">
        <f t="shared" si="148"/>
        <v>0</v>
      </c>
      <c r="X305" s="52">
        <f t="shared" si="149"/>
        <v>0</v>
      </c>
      <c r="Y305" s="52">
        <f t="shared" si="149"/>
        <v>0</v>
      </c>
      <c r="Z305" s="52">
        <f t="shared" si="149"/>
        <v>0</v>
      </c>
      <c r="AA305" s="52">
        <f t="shared" si="149"/>
        <v>0</v>
      </c>
      <c r="AB305" s="52">
        <f t="shared" si="149"/>
        <v>0</v>
      </c>
      <c r="AC305" s="52">
        <f t="shared" si="149"/>
        <v>0</v>
      </c>
      <c r="AD305" s="52">
        <f t="shared" si="149"/>
        <v>0</v>
      </c>
      <c r="AE305" s="52">
        <f t="shared" si="149"/>
        <v>0</v>
      </c>
      <c r="AF305" s="52">
        <f t="shared" si="149"/>
        <v>0</v>
      </c>
      <c r="AG305" s="52">
        <f t="shared" si="149"/>
        <v>0</v>
      </c>
      <c r="AH305" s="52">
        <f t="shared" si="149"/>
        <v>1</v>
      </c>
      <c r="AI305" s="52">
        <f t="shared" si="149"/>
        <v>1</v>
      </c>
      <c r="AJ305" s="52">
        <f t="shared" si="149"/>
        <v>1</v>
      </c>
      <c r="AK305" s="52">
        <f t="shared" si="149"/>
        <v>1</v>
      </c>
      <c r="AL305" s="52">
        <f t="shared" si="149"/>
        <v>1</v>
      </c>
      <c r="AM305" s="52">
        <f t="shared" si="149"/>
        <v>1</v>
      </c>
      <c r="AN305" s="52">
        <f t="shared" si="149"/>
        <v>1</v>
      </c>
      <c r="AO305" s="52">
        <f t="shared" si="149"/>
        <v>1</v>
      </c>
      <c r="AP305" s="52">
        <f t="shared" si="149"/>
        <v>1</v>
      </c>
      <c r="AQ305" s="52">
        <f t="shared" si="149"/>
        <v>1</v>
      </c>
      <c r="AR305" s="52">
        <f t="shared" si="149"/>
        <v>1</v>
      </c>
      <c r="AS305" s="52">
        <f t="shared" si="149"/>
        <v>1</v>
      </c>
      <c r="AT305" s="52">
        <f t="shared" si="149"/>
        <v>1</v>
      </c>
      <c r="AU305" s="52">
        <f t="shared" si="149"/>
        <v>1</v>
      </c>
      <c r="AV305" s="52">
        <f t="shared" si="149"/>
        <v>1</v>
      </c>
      <c r="AW305" s="52">
        <f t="shared" si="149"/>
        <v>1</v>
      </c>
      <c r="AX305" s="52">
        <f t="shared" si="149"/>
        <v>1</v>
      </c>
      <c r="AY305" s="52">
        <f t="shared" si="149"/>
        <v>1</v>
      </c>
      <c r="AZ305" s="52">
        <f t="shared" si="149"/>
        <v>1</v>
      </c>
      <c r="BA305" s="52">
        <f t="shared" si="149"/>
        <v>1</v>
      </c>
      <c r="BB305" s="52">
        <f t="shared" si="149"/>
        <v>1</v>
      </c>
      <c r="BC305" s="52">
        <f t="shared" ref="BC305:BN313" si="151">IF($F305=0,0,IF(BC$6&lt;$F305,0,IF(BC$6&gt;$G305,1,(BC$6-$F305+1)/($G305-$F305+1))))</f>
        <v>1</v>
      </c>
      <c r="BD305" s="52">
        <f t="shared" si="151"/>
        <v>1</v>
      </c>
      <c r="BE305" s="52">
        <f t="shared" si="151"/>
        <v>1</v>
      </c>
      <c r="BF305" s="52">
        <f t="shared" si="151"/>
        <v>1</v>
      </c>
      <c r="BG305" s="52">
        <f t="shared" si="151"/>
        <v>1</v>
      </c>
      <c r="BH305" s="52">
        <f t="shared" si="151"/>
        <v>1</v>
      </c>
      <c r="BI305" s="52">
        <f t="shared" si="151"/>
        <v>1</v>
      </c>
      <c r="BJ305" s="52">
        <f t="shared" si="151"/>
        <v>1</v>
      </c>
      <c r="BK305" s="52">
        <f t="shared" si="151"/>
        <v>1</v>
      </c>
      <c r="BL305" s="52">
        <f t="shared" si="151"/>
        <v>1</v>
      </c>
      <c r="BM305" s="52">
        <f t="shared" si="151"/>
        <v>1</v>
      </c>
      <c r="BN305" s="52">
        <f t="shared" si="151"/>
        <v>1</v>
      </c>
      <c r="BO305" s="32">
        <f t="shared" si="134"/>
        <v>0.55932203389830504</v>
      </c>
    </row>
    <row r="306" spans="1:67" ht="24" x14ac:dyDescent="0.2">
      <c r="A306" s="55" t="s">
        <v>620</v>
      </c>
      <c r="B306" s="55" t="s">
        <v>621</v>
      </c>
      <c r="C306" s="55" t="s">
        <v>14</v>
      </c>
      <c r="D306" s="56">
        <f>VLOOKUP(A306,'[1]Cuadro Control'!C344:J2236,8,FALSE)</f>
        <v>0</v>
      </c>
      <c r="E306" s="57">
        <f t="shared" si="147"/>
        <v>0</v>
      </c>
      <c r="F306" s="58">
        <v>46389</v>
      </c>
      <c r="G306" s="58">
        <v>46389</v>
      </c>
      <c r="H306" s="57">
        <f t="shared" si="148"/>
        <v>0</v>
      </c>
      <c r="I306" s="57">
        <f t="shared" si="148"/>
        <v>0</v>
      </c>
      <c r="J306" s="57">
        <f t="shared" si="148"/>
        <v>0</v>
      </c>
      <c r="K306" s="57">
        <f t="shared" si="148"/>
        <v>0</v>
      </c>
      <c r="L306" s="57">
        <f t="shared" si="148"/>
        <v>0</v>
      </c>
      <c r="M306" s="57">
        <f t="shared" si="148"/>
        <v>0</v>
      </c>
      <c r="N306" s="57">
        <f t="shared" si="148"/>
        <v>0</v>
      </c>
      <c r="O306" s="57">
        <f t="shared" si="148"/>
        <v>0</v>
      </c>
      <c r="P306" s="57">
        <f t="shared" si="148"/>
        <v>0</v>
      </c>
      <c r="Q306" s="57">
        <f t="shared" si="148"/>
        <v>0</v>
      </c>
      <c r="R306" s="57">
        <f t="shared" si="148"/>
        <v>0</v>
      </c>
      <c r="S306" s="57">
        <f t="shared" si="148"/>
        <v>0</v>
      </c>
      <c r="T306" s="57">
        <f t="shared" si="148"/>
        <v>0</v>
      </c>
      <c r="U306" s="57">
        <f t="shared" si="148"/>
        <v>0</v>
      </c>
      <c r="V306" s="57">
        <f t="shared" si="148"/>
        <v>0</v>
      </c>
      <c r="W306" s="57">
        <f t="shared" si="148"/>
        <v>0</v>
      </c>
      <c r="X306" s="57">
        <f t="shared" ref="X306:BC313" si="152">IF($F306=0,0,IF(X$6&lt;$F306,0,IF(X$6&gt;$G306,1,(X$6-$F306+1)/($G306-$F306+1))))</f>
        <v>0</v>
      </c>
      <c r="Y306" s="57">
        <f t="shared" si="152"/>
        <v>0</v>
      </c>
      <c r="Z306" s="57">
        <f t="shared" si="152"/>
        <v>0</v>
      </c>
      <c r="AA306" s="57">
        <f t="shared" si="152"/>
        <v>0</v>
      </c>
      <c r="AB306" s="57">
        <f t="shared" si="152"/>
        <v>0</v>
      </c>
      <c r="AC306" s="57">
        <f t="shared" si="152"/>
        <v>0</v>
      </c>
      <c r="AD306" s="57">
        <f t="shared" si="152"/>
        <v>0</v>
      </c>
      <c r="AE306" s="57">
        <f t="shared" si="152"/>
        <v>0</v>
      </c>
      <c r="AF306" s="57">
        <f t="shared" si="152"/>
        <v>0</v>
      </c>
      <c r="AG306" s="57">
        <f t="shared" si="152"/>
        <v>0</v>
      </c>
      <c r="AH306" s="57">
        <f t="shared" si="152"/>
        <v>1</v>
      </c>
      <c r="AI306" s="57">
        <f t="shared" si="152"/>
        <v>1</v>
      </c>
      <c r="AJ306" s="57">
        <f t="shared" si="152"/>
        <v>1</v>
      </c>
      <c r="AK306" s="57">
        <f t="shared" si="152"/>
        <v>1</v>
      </c>
      <c r="AL306" s="57">
        <f t="shared" si="152"/>
        <v>1</v>
      </c>
      <c r="AM306" s="57">
        <f t="shared" si="152"/>
        <v>1</v>
      </c>
      <c r="AN306" s="57">
        <f t="shared" si="152"/>
        <v>1</v>
      </c>
      <c r="AO306" s="57">
        <f t="shared" si="152"/>
        <v>1</v>
      </c>
      <c r="AP306" s="57">
        <f t="shared" si="152"/>
        <v>1</v>
      </c>
      <c r="AQ306" s="57">
        <f t="shared" si="152"/>
        <v>1</v>
      </c>
      <c r="AR306" s="57">
        <f t="shared" si="152"/>
        <v>1</v>
      </c>
      <c r="AS306" s="57">
        <f t="shared" si="152"/>
        <v>1</v>
      </c>
      <c r="AT306" s="57">
        <f t="shared" si="152"/>
        <v>1</v>
      </c>
      <c r="AU306" s="57">
        <f t="shared" si="152"/>
        <v>1</v>
      </c>
      <c r="AV306" s="57">
        <f t="shared" si="152"/>
        <v>1</v>
      </c>
      <c r="AW306" s="57">
        <f t="shared" si="152"/>
        <v>1</v>
      </c>
      <c r="AX306" s="57">
        <f t="shared" si="152"/>
        <v>1</v>
      </c>
      <c r="AY306" s="57">
        <f t="shared" si="152"/>
        <v>1</v>
      </c>
      <c r="AZ306" s="57">
        <f t="shared" si="152"/>
        <v>1</v>
      </c>
      <c r="BA306" s="57">
        <f t="shared" si="152"/>
        <v>1</v>
      </c>
      <c r="BB306" s="57">
        <f t="shared" si="152"/>
        <v>1</v>
      </c>
      <c r="BC306" s="57">
        <f t="shared" si="152"/>
        <v>1</v>
      </c>
      <c r="BD306" s="57">
        <f t="shared" si="151"/>
        <v>1</v>
      </c>
      <c r="BE306" s="57">
        <f t="shared" si="151"/>
        <v>1</v>
      </c>
      <c r="BF306" s="57">
        <f t="shared" si="151"/>
        <v>1</v>
      </c>
      <c r="BG306" s="57">
        <f t="shared" si="151"/>
        <v>1</v>
      </c>
      <c r="BH306" s="57">
        <f t="shared" si="151"/>
        <v>1</v>
      </c>
      <c r="BI306" s="57">
        <f t="shared" si="151"/>
        <v>1</v>
      </c>
      <c r="BJ306" s="57">
        <f t="shared" si="151"/>
        <v>1</v>
      </c>
      <c r="BK306" s="57">
        <f t="shared" si="151"/>
        <v>1</v>
      </c>
      <c r="BL306" s="57">
        <f t="shared" si="151"/>
        <v>1</v>
      </c>
      <c r="BM306" s="57">
        <f t="shared" si="151"/>
        <v>1</v>
      </c>
      <c r="BN306" s="57">
        <f t="shared" si="151"/>
        <v>1</v>
      </c>
      <c r="BO306" s="32">
        <f t="shared" si="134"/>
        <v>0.55932203389830504</v>
      </c>
    </row>
    <row r="307" spans="1:67" x14ac:dyDescent="0.2">
      <c r="A307" s="50" t="s">
        <v>622</v>
      </c>
      <c r="B307" s="50" t="s">
        <v>623</v>
      </c>
      <c r="C307" s="50" t="s">
        <v>111</v>
      </c>
      <c r="D307" s="51">
        <f>VLOOKUP(A307,'[1]Cuadro Control'!C345:J2237,8,FALSE)</f>
        <v>1230815225.9452939</v>
      </c>
      <c r="E307" s="52">
        <f t="shared" si="147"/>
        <v>0.2318411625341423</v>
      </c>
      <c r="F307" s="53">
        <v>46393</v>
      </c>
      <c r="G307" s="53">
        <v>46394</v>
      </c>
      <c r="H307" s="52">
        <f t="shared" si="148"/>
        <v>0</v>
      </c>
      <c r="I307" s="52">
        <f t="shared" si="148"/>
        <v>0</v>
      </c>
      <c r="J307" s="52">
        <f t="shared" si="148"/>
        <v>0</v>
      </c>
      <c r="K307" s="52">
        <f t="shared" si="148"/>
        <v>0</v>
      </c>
      <c r="L307" s="52">
        <f t="shared" si="148"/>
        <v>0</v>
      </c>
      <c r="M307" s="52">
        <f t="shared" si="148"/>
        <v>0</v>
      </c>
      <c r="N307" s="52">
        <f t="shared" si="148"/>
        <v>0</v>
      </c>
      <c r="O307" s="52">
        <f t="shared" si="148"/>
        <v>0</v>
      </c>
      <c r="P307" s="52">
        <f t="shared" si="148"/>
        <v>0</v>
      </c>
      <c r="Q307" s="52">
        <f t="shared" si="148"/>
        <v>0</v>
      </c>
      <c r="R307" s="52">
        <f t="shared" si="148"/>
        <v>0</v>
      </c>
      <c r="S307" s="52">
        <f t="shared" si="148"/>
        <v>0</v>
      </c>
      <c r="T307" s="52">
        <f t="shared" si="148"/>
        <v>0</v>
      </c>
      <c r="U307" s="52">
        <f t="shared" si="148"/>
        <v>0</v>
      </c>
      <c r="V307" s="52">
        <f t="shared" si="148"/>
        <v>0</v>
      </c>
      <c r="W307" s="52">
        <f t="shared" si="148"/>
        <v>0</v>
      </c>
      <c r="X307" s="52">
        <f t="shared" si="152"/>
        <v>0</v>
      </c>
      <c r="Y307" s="52">
        <f t="shared" si="152"/>
        <v>0</v>
      </c>
      <c r="Z307" s="52">
        <f t="shared" si="152"/>
        <v>0</v>
      </c>
      <c r="AA307" s="52">
        <f t="shared" si="152"/>
        <v>0</v>
      </c>
      <c r="AB307" s="52">
        <f t="shared" si="152"/>
        <v>0</v>
      </c>
      <c r="AC307" s="52">
        <f t="shared" si="152"/>
        <v>0</v>
      </c>
      <c r="AD307" s="52">
        <f t="shared" si="152"/>
        <v>0</v>
      </c>
      <c r="AE307" s="52">
        <f t="shared" si="152"/>
        <v>0</v>
      </c>
      <c r="AF307" s="52">
        <f t="shared" si="152"/>
        <v>0</v>
      </c>
      <c r="AG307" s="52">
        <f t="shared" si="152"/>
        <v>0</v>
      </c>
      <c r="AH307" s="52">
        <f t="shared" si="152"/>
        <v>1</v>
      </c>
      <c r="AI307" s="52">
        <f t="shared" si="152"/>
        <v>1</v>
      </c>
      <c r="AJ307" s="52">
        <f t="shared" si="152"/>
        <v>1</v>
      </c>
      <c r="AK307" s="52">
        <f t="shared" si="152"/>
        <v>1</v>
      </c>
      <c r="AL307" s="52">
        <f t="shared" si="152"/>
        <v>1</v>
      </c>
      <c r="AM307" s="52">
        <f t="shared" si="152"/>
        <v>1</v>
      </c>
      <c r="AN307" s="52">
        <f t="shared" si="152"/>
        <v>1</v>
      </c>
      <c r="AO307" s="52">
        <f t="shared" si="152"/>
        <v>1</v>
      </c>
      <c r="AP307" s="52">
        <f t="shared" si="152"/>
        <v>1</v>
      </c>
      <c r="AQ307" s="52">
        <f t="shared" si="152"/>
        <v>1</v>
      </c>
      <c r="AR307" s="52">
        <f t="shared" si="152"/>
        <v>1</v>
      </c>
      <c r="AS307" s="52">
        <f t="shared" si="152"/>
        <v>1</v>
      </c>
      <c r="AT307" s="52">
        <f t="shared" si="152"/>
        <v>1</v>
      </c>
      <c r="AU307" s="52">
        <f t="shared" si="152"/>
        <v>1</v>
      </c>
      <c r="AV307" s="52">
        <f t="shared" si="152"/>
        <v>1</v>
      </c>
      <c r="AW307" s="52">
        <f t="shared" si="152"/>
        <v>1</v>
      </c>
      <c r="AX307" s="52">
        <f t="shared" si="152"/>
        <v>1</v>
      </c>
      <c r="AY307" s="52">
        <f t="shared" si="152"/>
        <v>1</v>
      </c>
      <c r="AZ307" s="52">
        <f t="shared" si="152"/>
        <v>1</v>
      </c>
      <c r="BA307" s="52">
        <f t="shared" si="152"/>
        <v>1</v>
      </c>
      <c r="BB307" s="52">
        <f t="shared" si="152"/>
        <v>1</v>
      </c>
      <c r="BC307" s="52">
        <f t="shared" si="152"/>
        <v>1</v>
      </c>
      <c r="BD307" s="52">
        <f t="shared" si="151"/>
        <v>1</v>
      </c>
      <c r="BE307" s="52">
        <f t="shared" si="151"/>
        <v>1</v>
      </c>
      <c r="BF307" s="52">
        <f t="shared" si="151"/>
        <v>1</v>
      </c>
      <c r="BG307" s="52">
        <f t="shared" si="151"/>
        <v>1</v>
      </c>
      <c r="BH307" s="52">
        <f t="shared" si="151"/>
        <v>1</v>
      </c>
      <c r="BI307" s="52">
        <f t="shared" si="151"/>
        <v>1</v>
      </c>
      <c r="BJ307" s="52">
        <f t="shared" si="151"/>
        <v>1</v>
      </c>
      <c r="BK307" s="52">
        <f t="shared" si="151"/>
        <v>1</v>
      </c>
      <c r="BL307" s="52">
        <f t="shared" si="151"/>
        <v>1</v>
      </c>
      <c r="BM307" s="52">
        <f t="shared" si="151"/>
        <v>1</v>
      </c>
      <c r="BN307" s="52">
        <f t="shared" si="151"/>
        <v>1</v>
      </c>
      <c r="BO307" s="32">
        <f t="shared" si="134"/>
        <v>0.55932203389830504</v>
      </c>
    </row>
    <row r="308" spans="1:67" x14ac:dyDescent="0.2">
      <c r="A308" s="50" t="s">
        <v>624</v>
      </c>
      <c r="B308" s="50" t="s">
        <v>625</v>
      </c>
      <c r="C308" s="50" t="s">
        <v>238</v>
      </c>
      <c r="D308" s="51">
        <f>VLOOKUP(A308,'[1]Cuadro Control'!C346:J2238,8,FALSE)</f>
        <v>0</v>
      </c>
      <c r="E308" s="52">
        <f t="shared" si="147"/>
        <v>0</v>
      </c>
      <c r="F308" s="53">
        <v>46394</v>
      </c>
      <c r="G308" s="53">
        <v>46402</v>
      </c>
      <c r="H308" s="52">
        <f t="shared" si="148"/>
        <v>0</v>
      </c>
      <c r="I308" s="52">
        <f t="shared" si="148"/>
        <v>0</v>
      </c>
      <c r="J308" s="52">
        <f t="shared" si="148"/>
        <v>0</v>
      </c>
      <c r="K308" s="52">
        <f t="shared" si="148"/>
        <v>0</v>
      </c>
      <c r="L308" s="52">
        <f t="shared" si="148"/>
        <v>0</v>
      </c>
      <c r="M308" s="52">
        <f t="shared" si="148"/>
        <v>0</v>
      </c>
      <c r="N308" s="52">
        <f t="shared" si="148"/>
        <v>0</v>
      </c>
      <c r="O308" s="52">
        <f t="shared" si="148"/>
        <v>0</v>
      </c>
      <c r="P308" s="52">
        <f t="shared" si="148"/>
        <v>0</v>
      </c>
      <c r="Q308" s="52">
        <f t="shared" si="148"/>
        <v>0</v>
      </c>
      <c r="R308" s="52">
        <f t="shared" si="148"/>
        <v>0</v>
      </c>
      <c r="S308" s="52">
        <f t="shared" si="148"/>
        <v>0</v>
      </c>
      <c r="T308" s="52">
        <f t="shared" si="148"/>
        <v>0</v>
      </c>
      <c r="U308" s="52">
        <f t="shared" si="148"/>
        <v>0</v>
      </c>
      <c r="V308" s="52">
        <f t="shared" si="148"/>
        <v>0</v>
      </c>
      <c r="W308" s="52">
        <f t="shared" si="148"/>
        <v>0</v>
      </c>
      <c r="X308" s="52">
        <f t="shared" si="152"/>
        <v>0</v>
      </c>
      <c r="Y308" s="52">
        <f t="shared" si="152"/>
        <v>0</v>
      </c>
      <c r="Z308" s="52">
        <f t="shared" si="152"/>
        <v>0</v>
      </c>
      <c r="AA308" s="52">
        <f t="shared" si="152"/>
        <v>0</v>
      </c>
      <c r="AB308" s="52">
        <f t="shared" si="152"/>
        <v>0</v>
      </c>
      <c r="AC308" s="52">
        <f t="shared" si="152"/>
        <v>0</v>
      </c>
      <c r="AD308" s="52">
        <f t="shared" si="152"/>
        <v>0</v>
      </c>
      <c r="AE308" s="52">
        <f t="shared" si="152"/>
        <v>0</v>
      </c>
      <c r="AF308" s="52">
        <f t="shared" si="152"/>
        <v>0</v>
      </c>
      <c r="AG308" s="52">
        <f t="shared" si="152"/>
        <v>0</v>
      </c>
      <c r="AH308" s="52">
        <f t="shared" si="152"/>
        <v>0.22222222222222221</v>
      </c>
      <c r="AI308" s="52">
        <f t="shared" si="152"/>
        <v>1</v>
      </c>
      <c r="AJ308" s="52">
        <f t="shared" si="152"/>
        <v>1</v>
      </c>
      <c r="AK308" s="52">
        <f t="shared" si="152"/>
        <v>1</v>
      </c>
      <c r="AL308" s="52">
        <f t="shared" si="152"/>
        <v>1</v>
      </c>
      <c r="AM308" s="52">
        <f t="shared" si="152"/>
        <v>1</v>
      </c>
      <c r="AN308" s="52">
        <f t="shared" si="152"/>
        <v>1</v>
      </c>
      <c r="AO308" s="52">
        <f t="shared" si="152"/>
        <v>1</v>
      </c>
      <c r="AP308" s="52">
        <f t="shared" si="152"/>
        <v>1</v>
      </c>
      <c r="AQ308" s="52">
        <f t="shared" si="152"/>
        <v>1</v>
      </c>
      <c r="AR308" s="52">
        <f t="shared" si="152"/>
        <v>1</v>
      </c>
      <c r="AS308" s="52">
        <f t="shared" si="152"/>
        <v>1</v>
      </c>
      <c r="AT308" s="52">
        <f t="shared" si="152"/>
        <v>1</v>
      </c>
      <c r="AU308" s="52">
        <f t="shared" si="152"/>
        <v>1</v>
      </c>
      <c r="AV308" s="52">
        <f t="shared" si="152"/>
        <v>1</v>
      </c>
      <c r="AW308" s="52">
        <f t="shared" si="152"/>
        <v>1</v>
      </c>
      <c r="AX308" s="52">
        <f t="shared" si="152"/>
        <v>1</v>
      </c>
      <c r="AY308" s="52">
        <f t="shared" si="152"/>
        <v>1</v>
      </c>
      <c r="AZ308" s="52">
        <f t="shared" si="152"/>
        <v>1</v>
      </c>
      <c r="BA308" s="52">
        <f t="shared" si="152"/>
        <v>1</v>
      </c>
      <c r="BB308" s="52">
        <f t="shared" si="152"/>
        <v>1</v>
      </c>
      <c r="BC308" s="52">
        <f t="shared" si="152"/>
        <v>1</v>
      </c>
      <c r="BD308" s="52">
        <f t="shared" si="151"/>
        <v>1</v>
      </c>
      <c r="BE308" s="52">
        <f t="shared" si="151"/>
        <v>1</v>
      </c>
      <c r="BF308" s="52">
        <f t="shared" si="151"/>
        <v>1</v>
      </c>
      <c r="BG308" s="52">
        <f t="shared" si="151"/>
        <v>1</v>
      </c>
      <c r="BH308" s="52">
        <f t="shared" si="151"/>
        <v>1</v>
      </c>
      <c r="BI308" s="52">
        <f t="shared" si="151"/>
        <v>1</v>
      </c>
      <c r="BJ308" s="52">
        <f t="shared" si="151"/>
        <v>1</v>
      </c>
      <c r="BK308" s="52">
        <f t="shared" si="151"/>
        <v>1</v>
      </c>
      <c r="BL308" s="52">
        <f t="shared" si="151"/>
        <v>1</v>
      </c>
      <c r="BM308" s="52">
        <f t="shared" si="151"/>
        <v>1</v>
      </c>
      <c r="BN308" s="52">
        <f t="shared" si="151"/>
        <v>1</v>
      </c>
      <c r="BO308" s="32">
        <f t="shared" si="134"/>
        <v>0.54613935969868177</v>
      </c>
    </row>
    <row r="309" spans="1:67" ht="24" x14ac:dyDescent="0.2">
      <c r="A309" s="50" t="s">
        <v>626</v>
      </c>
      <c r="B309" s="50" t="s">
        <v>627</v>
      </c>
      <c r="C309" s="50" t="s">
        <v>126</v>
      </c>
      <c r="D309" s="51">
        <f>VLOOKUP(A309,'[1]Cuadro Control'!C347:J2239,8,FALSE)</f>
        <v>52736347.43270281</v>
      </c>
      <c r="E309" s="52">
        <f t="shared" si="147"/>
        <v>9.933624348213644E-3</v>
      </c>
      <c r="F309" s="53">
        <v>46402</v>
      </c>
      <c r="G309" s="53">
        <v>46406</v>
      </c>
      <c r="H309" s="52">
        <f t="shared" si="148"/>
        <v>0</v>
      </c>
      <c r="I309" s="52">
        <f t="shared" si="148"/>
        <v>0</v>
      </c>
      <c r="J309" s="52">
        <f t="shared" si="148"/>
        <v>0</v>
      </c>
      <c r="K309" s="52">
        <f t="shared" si="148"/>
        <v>0</v>
      </c>
      <c r="L309" s="52">
        <f t="shared" si="148"/>
        <v>0</v>
      </c>
      <c r="M309" s="52">
        <f t="shared" si="148"/>
        <v>0</v>
      </c>
      <c r="N309" s="52">
        <f t="shared" si="148"/>
        <v>0</v>
      </c>
      <c r="O309" s="52">
        <f t="shared" si="148"/>
        <v>0</v>
      </c>
      <c r="P309" s="52">
        <f t="shared" si="148"/>
        <v>0</v>
      </c>
      <c r="Q309" s="52">
        <f t="shared" si="148"/>
        <v>0</v>
      </c>
      <c r="R309" s="52">
        <f t="shared" si="148"/>
        <v>0</v>
      </c>
      <c r="S309" s="52">
        <f t="shared" si="148"/>
        <v>0</v>
      </c>
      <c r="T309" s="52">
        <f t="shared" si="148"/>
        <v>0</v>
      </c>
      <c r="U309" s="52">
        <f t="shared" si="148"/>
        <v>0</v>
      </c>
      <c r="V309" s="52">
        <f t="shared" si="148"/>
        <v>0</v>
      </c>
      <c r="W309" s="52">
        <f t="shared" si="148"/>
        <v>0</v>
      </c>
      <c r="X309" s="52">
        <f t="shared" si="152"/>
        <v>0</v>
      </c>
      <c r="Y309" s="52">
        <f t="shared" si="152"/>
        <v>0</v>
      </c>
      <c r="Z309" s="52">
        <f t="shared" si="152"/>
        <v>0</v>
      </c>
      <c r="AA309" s="52">
        <f t="shared" si="152"/>
        <v>0</v>
      </c>
      <c r="AB309" s="52">
        <f t="shared" si="152"/>
        <v>0</v>
      </c>
      <c r="AC309" s="52">
        <f t="shared" si="152"/>
        <v>0</v>
      </c>
      <c r="AD309" s="52">
        <f t="shared" si="152"/>
        <v>0</v>
      </c>
      <c r="AE309" s="52">
        <f t="shared" si="152"/>
        <v>0</v>
      </c>
      <c r="AF309" s="52">
        <f t="shared" si="152"/>
        <v>0</v>
      </c>
      <c r="AG309" s="52">
        <f t="shared" si="152"/>
        <v>0</v>
      </c>
      <c r="AH309" s="52">
        <f t="shared" si="152"/>
        <v>0</v>
      </c>
      <c r="AI309" s="52">
        <f t="shared" si="152"/>
        <v>0.2</v>
      </c>
      <c r="AJ309" s="52">
        <f t="shared" si="152"/>
        <v>1</v>
      </c>
      <c r="AK309" s="52">
        <f t="shared" si="152"/>
        <v>1</v>
      </c>
      <c r="AL309" s="52">
        <f t="shared" si="152"/>
        <v>1</v>
      </c>
      <c r="AM309" s="52">
        <f t="shared" si="152"/>
        <v>1</v>
      </c>
      <c r="AN309" s="52">
        <f t="shared" si="152"/>
        <v>1</v>
      </c>
      <c r="AO309" s="52">
        <f t="shared" si="152"/>
        <v>1</v>
      </c>
      <c r="AP309" s="52">
        <f t="shared" si="152"/>
        <v>1</v>
      </c>
      <c r="AQ309" s="52">
        <f t="shared" si="152"/>
        <v>1</v>
      </c>
      <c r="AR309" s="52">
        <f t="shared" si="152"/>
        <v>1</v>
      </c>
      <c r="AS309" s="52">
        <f t="shared" si="152"/>
        <v>1</v>
      </c>
      <c r="AT309" s="52">
        <f t="shared" si="152"/>
        <v>1</v>
      </c>
      <c r="AU309" s="52">
        <f t="shared" si="152"/>
        <v>1</v>
      </c>
      <c r="AV309" s="52">
        <f t="shared" si="152"/>
        <v>1</v>
      </c>
      <c r="AW309" s="52">
        <f t="shared" si="152"/>
        <v>1</v>
      </c>
      <c r="AX309" s="52">
        <f t="shared" si="152"/>
        <v>1</v>
      </c>
      <c r="AY309" s="52">
        <f t="shared" si="152"/>
        <v>1</v>
      </c>
      <c r="AZ309" s="52">
        <f t="shared" si="152"/>
        <v>1</v>
      </c>
      <c r="BA309" s="52">
        <f t="shared" si="152"/>
        <v>1</v>
      </c>
      <c r="BB309" s="52">
        <f t="shared" si="152"/>
        <v>1</v>
      </c>
      <c r="BC309" s="52">
        <f t="shared" si="152"/>
        <v>1</v>
      </c>
      <c r="BD309" s="52">
        <f t="shared" si="151"/>
        <v>1</v>
      </c>
      <c r="BE309" s="52">
        <f t="shared" si="151"/>
        <v>1</v>
      </c>
      <c r="BF309" s="52">
        <f t="shared" si="151"/>
        <v>1</v>
      </c>
      <c r="BG309" s="52">
        <f t="shared" si="151"/>
        <v>1</v>
      </c>
      <c r="BH309" s="52">
        <f t="shared" si="151"/>
        <v>1</v>
      </c>
      <c r="BI309" s="52">
        <f t="shared" si="151"/>
        <v>1</v>
      </c>
      <c r="BJ309" s="52">
        <f t="shared" si="151"/>
        <v>1</v>
      </c>
      <c r="BK309" s="52">
        <f t="shared" si="151"/>
        <v>1</v>
      </c>
      <c r="BL309" s="52">
        <f t="shared" si="151"/>
        <v>1</v>
      </c>
      <c r="BM309" s="52">
        <f t="shared" si="151"/>
        <v>1</v>
      </c>
      <c r="BN309" s="52">
        <f t="shared" si="151"/>
        <v>1</v>
      </c>
      <c r="BO309" s="32">
        <f t="shared" si="134"/>
        <v>0.52881355932203389</v>
      </c>
    </row>
    <row r="310" spans="1:67" ht="24" x14ac:dyDescent="0.2">
      <c r="A310" s="50" t="s">
        <v>628</v>
      </c>
      <c r="B310" s="50" t="s">
        <v>629</v>
      </c>
      <c r="C310" s="50" t="s">
        <v>117</v>
      </c>
      <c r="D310" s="51">
        <f>VLOOKUP(A310,'[1]Cuadro Control'!C348:J2240,8,FALSE)</f>
        <v>46410609.014634147</v>
      </c>
      <c r="E310" s="52">
        <f t="shared" si="147"/>
        <v>8.742083556535862E-3</v>
      </c>
      <c r="F310" s="53">
        <v>46406</v>
      </c>
      <c r="G310" s="53">
        <v>46407</v>
      </c>
      <c r="H310" s="52">
        <f t="shared" si="148"/>
        <v>0</v>
      </c>
      <c r="I310" s="52">
        <f t="shared" si="148"/>
        <v>0</v>
      </c>
      <c r="J310" s="52">
        <f t="shared" si="148"/>
        <v>0</v>
      </c>
      <c r="K310" s="52">
        <f t="shared" si="148"/>
        <v>0</v>
      </c>
      <c r="L310" s="52">
        <f t="shared" si="148"/>
        <v>0</v>
      </c>
      <c r="M310" s="52">
        <f t="shared" si="148"/>
        <v>0</v>
      </c>
      <c r="N310" s="52">
        <f t="shared" si="148"/>
        <v>0</v>
      </c>
      <c r="O310" s="52">
        <f t="shared" si="148"/>
        <v>0</v>
      </c>
      <c r="P310" s="52">
        <f t="shared" si="148"/>
        <v>0</v>
      </c>
      <c r="Q310" s="52">
        <f t="shared" si="148"/>
        <v>0</v>
      </c>
      <c r="R310" s="52">
        <f t="shared" si="148"/>
        <v>0</v>
      </c>
      <c r="S310" s="52">
        <f t="shared" si="148"/>
        <v>0</v>
      </c>
      <c r="T310" s="52">
        <f t="shared" si="148"/>
        <v>0</v>
      </c>
      <c r="U310" s="52">
        <f t="shared" si="148"/>
        <v>0</v>
      </c>
      <c r="V310" s="52">
        <f t="shared" si="148"/>
        <v>0</v>
      </c>
      <c r="W310" s="52">
        <f t="shared" si="148"/>
        <v>0</v>
      </c>
      <c r="X310" s="52">
        <f t="shared" si="152"/>
        <v>0</v>
      </c>
      <c r="Y310" s="52">
        <f t="shared" si="152"/>
        <v>0</v>
      </c>
      <c r="Z310" s="52">
        <f t="shared" si="152"/>
        <v>0</v>
      </c>
      <c r="AA310" s="52">
        <f t="shared" si="152"/>
        <v>0</v>
      </c>
      <c r="AB310" s="52">
        <f t="shared" si="152"/>
        <v>0</v>
      </c>
      <c r="AC310" s="52">
        <f t="shared" si="152"/>
        <v>0</v>
      </c>
      <c r="AD310" s="52">
        <f t="shared" si="152"/>
        <v>0</v>
      </c>
      <c r="AE310" s="52">
        <f t="shared" si="152"/>
        <v>0</v>
      </c>
      <c r="AF310" s="52">
        <f t="shared" si="152"/>
        <v>0</v>
      </c>
      <c r="AG310" s="52">
        <f t="shared" si="152"/>
        <v>0</v>
      </c>
      <c r="AH310" s="52">
        <f t="shared" si="152"/>
        <v>0</v>
      </c>
      <c r="AI310" s="52">
        <f t="shared" si="152"/>
        <v>0</v>
      </c>
      <c r="AJ310" s="52">
        <f t="shared" si="152"/>
        <v>1</v>
      </c>
      <c r="AK310" s="52">
        <f t="shared" si="152"/>
        <v>1</v>
      </c>
      <c r="AL310" s="52">
        <f t="shared" si="152"/>
        <v>1</v>
      </c>
      <c r="AM310" s="52">
        <f t="shared" si="152"/>
        <v>1</v>
      </c>
      <c r="AN310" s="52">
        <f t="shared" si="152"/>
        <v>1</v>
      </c>
      <c r="AO310" s="52">
        <f t="shared" si="152"/>
        <v>1</v>
      </c>
      <c r="AP310" s="52">
        <f t="shared" si="152"/>
        <v>1</v>
      </c>
      <c r="AQ310" s="52">
        <f t="shared" si="152"/>
        <v>1</v>
      </c>
      <c r="AR310" s="52">
        <f t="shared" si="152"/>
        <v>1</v>
      </c>
      <c r="AS310" s="52">
        <f t="shared" si="152"/>
        <v>1</v>
      </c>
      <c r="AT310" s="52">
        <f t="shared" si="152"/>
        <v>1</v>
      </c>
      <c r="AU310" s="52">
        <f t="shared" si="152"/>
        <v>1</v>
      </c>
      <c r="AV310" s="52">
        <f t="shared" si="152"/>
        <v>1</v>
      </c>
      <c r="AW310" s="52">
        <f t="shared" si="152"/>
        <v>1</v>
      </c>
      <c r="AX310" s="52">
        <f t="shared" si="152"/>
        <v>1</v>
      </c>
      <c r="AY310" s="52">
        <f t="shared" si="152"/>
        <v>1</v>
      </c>
      <c r="AZ310" s="52">
        <f t="shared" si="152"/>
        <v>1</v>
      </c>
      <c r="BA310" s="52">
        <f t="shared" si="152"/>
        <v>1</v>
      </c>
      <c r="BB310" s="52">
        <f t="shared" si="152"/>
        <v>1</v>
      </c>
      <c r="BC310" s="52">
        <f t="shared" si="152"/>
        <v>1</v>
      </c>
      <c r="BD310" s="52">
        <f t="shared" si="151"/>
        <v>1</v>
      </c>
      <c r="BE310" s="52">
        <f t="shared" si="151"/>
        <v>1</v>
      </c>
      <c r="BF310" s="52">
        <f t="shared" si="151"/>
        <v>1</v>
      </c>
      <c r="BG310" s="52">
        <f t="shared" si="151"/>
        <v>1</v>
      </c>
      <c r="BH310" s="52">
        <f t="shared" si="151"/>
        <v>1</v>
      </c>
      <c r="BI310" s="52">
        <f t="shared" si="151"/>
        <v>1</v>
      </c>
      <c r="BJ310" s="52">
        <f t="shared" si="151"/>
        <v>1</v>
      </c>
      <c r="BK310" s="52">
        <f t="shared" si="151"/>
        <v>1</v>
      </c>
      <c r="BL310" s="52">
        <f t="shared" si="151"/>
        <v>1</v>
      </c>
      <c r="BM310" s="52">
        <f t="shared" si="151"/>
        <v>1</v>
      </c>
      <c r="BN310" s="52">
        <f t="shared" si="151"/>
        <v>1</v>
      </c>
      <c r="BO310" s="32">
        <f t="shared" si="134"/>
        <v>0.52542372881355937</v>
      </c>
    </row>
    <row r="311" spans="1:67" ht="24" x14ac:dyDescent="0.2">
      <c r="A311" s="50" t="s">
        <v>630</v>
      </c>
      <c r="B311" s="50" t="s">
        <v>631</v>
      </c>
      <c r="C311" s="50" t="s">
        <v>61</v>
      </c>
      <c r="D311" s="51">
        <f>VLOOKUP(A311,'[1]Cuadro Control'!C349:J2241,8,FALSE)</f>
        <v>1587346329.5488234</v>
      </c>
      <c r="E311" s="52">
        <f t="shared" si="147"/>
        <v>0.29899875353285565</v>
      </c>
      <c r="F311" s="53">
        <v>46406</v>
      </c>
      <c r="G311" s="53">
        <v>46416</v>
      </c>
      <c r="H311" s="52">
        <f t="shared" si="148"/>
        <v>0</v>
      </c>
      <c r="I311" s="52">
        <f t="shared" si="148"/>
        <v>0</v>
      </c>
      <c r="J311" s="52">
        <f t="shared" si="148"/>
        <v>0</v>
      </c>
      <c r="K311" s="52">
        <f t="shared" si="148"/>
        <v>0</v>
      </c>
      <c r="L311" s="52">
        <f t="shared" si="148"/>
        <v>0</v>
      </c>
      <c r="M311" s="52">
        <f t="shared" si="148"/>
        <v>0</v>
      </c>
      <c r="N311" s="52">
        <f t="shared" si="148"/>
        <v>0</v>
      </c>
      <c r="O311" s="52">
        <f t="shared" si="148"/>
        <v>0</v>
      </c>
      <c r="P311" s="52">
        <f t="shared" si="148"/>
        <v>0</v>
      </c>
      <c r="Q311" s="52">
        <f t="shared" si="148"/>
        <v>0</v>
      </c>
      <c r="R311" s="52">
        <f t="shared" si="148"/>
        <v>0</v>
      </c>
      <c r="S311" s="52">
        <f t="shared" si="148"/>
        <v>0</v>
      </c>
      <c r="T311" s="52">
        <f t="shared" si="148"/>
        <v>0</v>
      </c>
      <c r="U311" s="52">
        <f t="shared" si="148"/>
        <v>0</v>
      </c>
      <c r="V311" s="52">
        <f t="shared" si="148"/>
        <v>0</v>
      </c>
      <c r="W311" s="52">
        <f t="shared" si="148"/>
        <v>0</v>
      </c>
      <c r="X311" s="52">
        <f t="shared" si="152"/>
        <v>0</v>
      </c>
      <c r="Y311" s="52">
        <f t="shared" si="152"/>
        <v>0</v>
      </c>
      <c r="Z311" s="52">
        <f t="shared" si="152"/>
        <v>0</v>
      </c>
      <c r="AA311" s="52">
        <f t="shared" si="152"/>
        <v>0</v>
      </c>
      <c r="AB311" s="52">
        <f t="shared" si="152"/>
        <v>0</v>
      </c>
      <c r="AC311" s="52">
        <f t="shared" si="152"/>
        <v>0</v>
      </c>
      <c r="AD311" s="52">
        <f t="shared" si="152"/>
        <v>0</v>
      </c>
      <c r="AE311" s="52">
        <f t="shared" si="152"/>
        <v>0</v>
      </c>
      <c r="AF311" s="52">
        <f t="shared" si="152"/>
        <v>0</v>
      </c>
      <c r="AG311" s="52">
        <f t="shared" si="152"/>
        <v>0</v>
      </c>
      <c r="AH311" s="52">
        <f t="shared" si="152"/>
        <v>0</v>
      </c>
      <c r="AI311" s="52">
        <f t="shared" si="152"/>
        <v>0</v>
      </c>
      <c r="AJ311" s="52">
        <f t="shared" si="152"/>
        <v>0.36363636363636365</v>
      </c>
      <c r="AK311" s="52">
        <f t="shared" si="152"/>
        <v>1</v>
      </c>
      <c r="AL311" s="52">
        <f t="shared" si="152"/>
        <v>1</v>
      </c>
      <c r="AM311" s="52">
        <f t="shared" si="152"/>
        <v>1</v>
      </c>
      <c r="AN311" s="52">
        <f t="shared" si="152"/>
        <v>1</v>
      </c>
      <c r="AO311" s="52">
        <f t="shared" si="152"/>
        <v>1</v>
      </c>
      <c r="AP311" s="52">
        <f t="shared" si="152"/>
        <v>1</v>
      </c>
      <c r="AQ311" s="52">
        <f t="shared" si="152"/>
        <v>1</v>
      </c>
      <c r="AR311" s="52">
        <f t="shared" si="152"/>
        <v>1</v>
      </c>
      <c r="AS311" s="52">
        <f t="shared" si="152"/>
        <v>1</v>
      </c>
      <c r="AT311" s="52">
        <f t="shared" si="152"/>
        <v>1</v>
      </c>
      <c r="AU311" s="52">
        <f t="shared" si="152"/>
        <v>1</v>
      </c>
      <c r="AV311" s="52">
        <f t="shared" si="152"/>
        <v>1</v>
      </c>
      <c r="AW311" s="52">
        <f t="shared" si="152"/>
        <v>1</v>
      </c>
      <c r="AX311" s="52">
        <f t="shared" si="152"/>
        <v>1</v>
      </c>
      <c r="AY311" s="52">
        <f t="shared" si="152"/>
        <v>1</v>
      </c>
      <c r="AZ311" s="52">
        <f t="shared" si="152"/>
        <v>1</v>
      </c>
      <c r="BA311" s="52">
        <f t="shared" si="152"/>
        <v>1</v>
      </c>
      <c r="BB311" s="52">
        <f t="shared" si="152"/>
        <v>1</v>
      </c>
      <c r="BC311" s="52">
        <f t="shared" si="152"/>
        <v>1</v>
      </c>
      <c r="BD311" s="52">
        <f t="shared" si="151"/>
        <v>1</v>
      </c>
      <c r="BE311" s="52">
        <f t="shared" si="151"/>
        <v>1</v>
      </c>
      <c r="BF311" s="52">
        <f t="shared" si="151"/>
        <v>1</v>
      </c>
      <c r="BG311" s="52">
        <f t="shared" si="151"/>
        <v>1</v>
      </c>
      <c r="BH311" s="52">
        <f t="shared" si="151"/>
        <v>1</v>
      </c>
      <c r="BI311" s="52">
        <f t="shared" si="151"/>
        <v>1</v>
      </c>
      <c r="BJ311" s="52">
        <f t="shared" si="151"/>
        <v>1</v>
      </c>
      <c r="BK311" s="52">
        <f t="shared" si="151"/>
        <v>1</v>
      </c>
      <c r="BL311" s="52">
        <f t="shared" si="151"/>
        <v>1</v>
      </c>
      <c r="BM311" s="52">
        <f t="shared" si="151"/>
        <v>1</v>
      </c>
      <c r="BN311" s="52">
        <f t="shared" si="151"/>
        <v>1</v>
      </c>
      <c r="BO311" s="32">
        <f t="shared" si="134"/>
        <v>0.51463790446841295</v>
      </c>
    </row>
    <row r="312" spans="1:67" ht="30" x14ac:dyDescent="0.2">
      <c r="A312" s="46" t="s">
        <v>632</v>
      </c>
      <c r="B312" s="46" t="s">
        <v>633</v>
      </c>
      <c r="C312" s="46" t="s">
        <v>61</v>
      </c>
      <c r="D312" s="47">
        <f>VLOOKUP(A312,'[1]Cuadro Control'!C350:J2242,8,FALSE)</f>
        <v>179532477.23999998</v>
      </c>
      <c r="E312" s="48">
        <f t="shared" si="147"/>
        <v>3.3817438522495219E-2</v>
      </c>
      <c r="F312" s="49">
        <v>46407</v>
      </c>
      <c r="G312" s="49">
        <v>46420</v>
      </c>
      <c r="H312" s="48">
        <f t="shared" si="148"/>
        <v>0</v>
      </c>
      <c r="I312" s="48">
        <f t="shared" si="148"/>
        <v>0</v>
      </c>
      <c r="J312" s="48">
        <f t="shared" si="148"/>
        <v>0</v>
      </c>
      <c r="K312" s="48">
        <f t="shared" si="148"/>
        <v>0</v>
      </c>
      <c r="L312" s="48">
        <f t="shared" si="148"/>
        <v>0</v>
      </c>
      <c r="M312" s="48">
        <f t="shared" si="148"/>
        <v>0</v>
      </c>
      <c r="N312" s="48">
        <f t="shared" si="148"/>
        <v>0</v>
      </c>
      <c r="O312" s="48">
        <f t="shared" si="148"/>
        <v>0</v>
      </c>
      <c r="P312" s="48">
        <f t="shared" si="148"/>
        <v>0</v>
      </c>
      <c r="Q312" s="48">
        <f t="shared" si="148"/>
        <v>0</v>
      </c>
      <c r="R312" s="48">
        <f t="shared" si="148"/>
        <v>0</v>
      </c>
      <c r="S312" s="48">
        <f t="shared" si="148"/>
        <v>0</v>
      </c>
      <c r="T312" s="48">
        <f t="shared" si="148"/>
        <v>0</v>
      </c>
      <c r="U312" s="48">
        <f t="shared" si="148"/>
        <v>0</v>
      </c>
      <c r="V312" s="48">
        <f t="shared" si="148"/>
        <v>0</v>
      </c>
      <c r="W312" s="48">
        <f t="shared" si="148"/>
        <v>0</v>
      </c>
      <c r="X312" s="48">
        <f t="shared" si="152"/>
        <v>0</v>
      </c>
      <c r="Y312" s="48">
        <f t="shared" si="152"/>
        <v>0</v>
      </c>
      <c r="Z312" s="48">
        <f t="shared" si="152"/>
        <v>0</v>
      </c>
      <c r="AA312" s="48">
        <f t="shared" si="152"/>
        <v>0</v>
      </c>
      <c r="AB312" s="48">
        <f t="shared" si="152"/>
        <v>0</v>
      </c>
      <c r="AC312" s="48">
        <f t="shared" si="152"/>
        <v>0</v>
      </c>
      <c r="AD312" s="48">
        <f t="shared" si="152"/>
        <v>0</v>
      </c>
      <c r="AE312" s="48">
        <f t="shared" si="152"/>
        <v>0</v>
      </c>
      <c r="AF312" s="48">
        <f t="shared" si="152"/>
        <v>0</v>
      </c>
      <c r="AG312" s="48">
        <f t="shared" si="152"/>
        <v>0</v>
      </c>
      <c r="AH312" s="48">
        <f t="shared" si="152"/>
        <v>0</v>
      </c>
      <c r="AI312" s="48">
        <f t="shared" si="152"/>
        <v>0</v>
      </c>
      <c r="AJ312" s="48">
        <f t="shared" si="152"/>
        <v>0.21428571428571427</v>
      </c>
      <c r="AK312" s="48">
        <f t="shared" si="152"/>
        <v>0.7142857142857143</v>
      </c>
      <c r="AL312" s="48">
        <f t="shared" si="152"/>
        <v>1</v>
      </c>
      <c r="AM312" s="48">
        <f t="shared" si="152"/>
        <v>1</v>
      </c>
      <c r="AN312" s="48">
        <f t="shared" si="152"/>
        <v>1</v>
      </c>
      <c r="AO312" s="48">
        <f t="shared" si="152"/>
        <v>1</v>
      </c>
      <c r="AP312" s="48">
        <f t="shared" si="152"/>
        <v>1</v>
      </c>
      <c r="AQ312" s="48">
        <f t="shared" si="152"/>
        <v>1</v>
      </c>
      <c r="AR312" s="48">
        <f t="shared" si="152"/>
        <v>1</v>
      </c>
      <c r="AS312" s="48">
        <f t="shared" si="152"/>
        <v>1</v>
      </c>
      <c r="AT312" s="48">
        <f t="shared" si="152"/>
        <v>1</v>
      </c>
      <c r="AU312" s="48">
        <f t="shared" si="152"/>
        <v>1</v>
      </c>
      <c r="AV312" s="48">
        <f t="shared" si="152"/>
        <v>1</v>
      </c>
      <c r="AW312" s="48">
        <f t="shared" si="152"/>
        <v>1</v>
      </c>
      <c r="AX312" s="48">
        <f t="shared" si="152"/>
        <v>1</v>
      </c>
      <c r="AY312" s="48">
        <f t="shared" si="152"/>
        <v>1</v>
      </c>
      <c r="AZ312" s="48">
        <f t="shared" si="152"/>
        <v>1</v>
      </c>
      <c r="BA312" s="48">
        <f t="shared" si="152"/>
        <v>1</v>
      </c>
      <c r="BB312" s="48">
        <f t="shared" si="152"/>
        <v>1</v>
      </c>
      <c r="BC312" s="48">
        <f t="shared" si="152"/>
        <v>1</v>
      </c>
      <c r="BD312" s="48">
        <f t="shared" si="151"/>
        <v>1</v>
      </c>
      <c r="BE312" s="48">
        <f t="shared" si="151"/>
        <v>1</v>
      </c>
      <c r="BF312" s="48">
        <f t="shared" si="151"/>
        <v>1</v>
      </c>
      <c r="BG312" s="48">
        <f t="shared" si="151"/>
        <v>1</v>
      </c>
      <c r="BH312" s="48">
        <f t="shared" si="151"/>
        <v>1</v>
      </c>
      <c r="BI312" s="48">
        <f t="shared" si="151"/>
        <v>1</v>
      </c>
      <c r="BJ312" s="48">
        <f t="shared" si="151"/>
        <v>1</v>
      </c>
      <c r="BK312" s="48">
        <f t="shared" si="151"/>
        <v>1</v>
      </c>
      <c r="BL312" s="48">
        <f t="shared" si="151"/>
        <v>1</v>
      </c>
      <c r="BM312" s="48">
        <f t="shared" si="151"/>
        <v>1</v>
      </c>
      <c r="BN312" s="48">
        <f t="shared" si="151"/>
        <v>1</v>
      </c>
      <c r="BO312" s="32">
        <f t="shared" si="134"/>
        <v>0.50726392251815988</v>
      </c>
    </row>
    <row r="313" spans="1:67" ht="24" x14ac:dyDescent="0.2">
      <c r="A313" s="55" t="s">
        <v>634</v>
      </c>
      <c r="B313" s="55" t="s">
        <v>635</v>
      </c>
      <c r="C313" s="55" t="s">
        <v>14</v>
      </c>
      <c r="D313" s="56">
        <f>VLOOKUP(A313,'[1]Cuadro Control'!C351:J2243,8,FALSE)</f>
        <v>0</v>
      </c>
      <c r="E313" s="57">
        <f>IFERROR(D313/$D$297,0)</f>
        <v>0</v>
      </c>
      <c r="F313" s="58">
        <v>46420</v>
      </c>
      <c r="G313" s="58">
        <v>46420</v>
      </c>
      <c r="H313" s="57">
        <f t="shared" si="148"/>
        <v>0</v>
      </c>
      <c r="I313" s="57">
        <f t="shared" si="148"/>
        <v>0</v>
      </c>
      <c r="J313" s="57">
        <f t="shared" si="148"/>
        <v>0</v>
      </c>
      <c r="K313" s="57">
        <f t="shared" si="148"/>
        <v>0</v>
      </c>
      <c r="L313" s="57">
        <f t="shared" si="148"/>
        <v>0</v>
      </c>
      <c r="M313" s="57">
        <f t="shared" si="148"/>
        <v>0</v>
      </c>
      <c r="N313" s="57">
        <f t="shared" si="148"/>
        <v>0</v>
      </c>
      <c r="O313" s="57">
        <f t="shared" si="148"/>
        <v>0</v>
      </c>
      <c r="P313" s="57">
        <f t="shared" si="148"/>
        <v>0</v>
      </c>
      <c r="Q313" s="57">
        <f t="shared" si="148"/>
        <v>0</v>
      </c>
      <c r="R313" s="57">
        <f t="shared" si="148"/>
        <v>0</v>
      </c>
      <c r="S313" s="57">
        <f t="shared" si="148"/>
        <v>0</v>
      </c>
      <c r="T313" s="57">
        <f t="shared" si="148"/>
        <v>0</v>
      </c>
      <c r="U313" s="57">
        <f t="shared" si="148"/>
        <v>0</v>
      </c>
      <c r="V313" s="57">
        <f t="shared" si="148"/>
        <v>0</v>
      </c>
      <c r="W313" s="57">
        <f t="shared" ref="W313:AN313" si="153">IF($F313=0,0,IF(W$6&lt;$F313,0,IF(W$6&gt;$G313,1,(W$6-$F313+1)/($G313-$F313+1))))</f>
        <v>0</v>
      </c>
      <c r="X313" s="57">
        <f t="shared" si="153"/>
        <v>0</v>
      </c>
      <c r="Y313" s="57">
        <f t="shared" si="153"/>
        <v>0</v>
      </c>
      <c r="Z313" s="57">
        <f t="shared" si="153"/>
        <v>0</v>
      </c>
      <c r="AA313" s="57">
        <f t="shared" si="153"/>
        <v>0</v>
      </c>
      <c r="AB313" s="57">
        <f t="shared" si="153"/>
        <v>0</v>
      </c>
      <c r="AC313" s="57">
        <f t="shared" si="153"/>
        <v>0</v>
      </c>
      <c r="AD313" s="57">
        <f t="shared" si="153"/>
        <v>0</v>
      </c>
      <c r="AE313" s="57">
        <f t="shared" si="153"/>
        <v>0</v>
      </c>
      <c r="AF313" s="57">
        <f t="shared" si="153"/>
        <v>0</v>
      </c>
      <c r="AG313" s="57">
        <f t="shared" si="153"/>
        <v>0</v>
      </c>
      <c r="AH313" s="57">
        <f t="shared" si="153"/>
        <v>0</v>
      </c>
      <c r="AI313" s="57">
        <f t="shared" si="153"/>
        <v>0</v>
      </c>
      <c r="AJ313" s="57">
        <f t="shared" si="153"/>
        <v>0</v>
      </c>
      <c r="AK313" s="57">
        <f t="shared" si="153"/>
        <v>0</v>
      </c>
      <c r="AL313" s="57">
        <f t="shared" si="153"/>
        <v>1</v>
      </c>
      <c r="AM313" s="57">
        <f t="shared" si="153"/>
        <v>1</v>
      </c>
      <c r="AN313" s="57">
        <f t="shared" si="153"/>
        <v>1</v>
      </c>
      <c r="AO313" s="57">
        <f t="shared" si="152"/>
        <v>1</v>
      </c>
      <c r="AP313" s="57">
        <f t="shared" si="152"/>
        <v>1</v>
      </c>
      <c r="AQ313" s="57">
        <f t="shared" si="152"/>
        <v>1</v>
      </c>
      <c r="AR313" s="57">
        <f t="shared" si="152"/>
        <v>1</v>
      </c>
      <c r="AS313" s="57">
        <f t="shared" si="152"/>
        <v>1</v>
      </c>
      <c r="AT313" s="57">
        <f t="shared" si="152"/>
        <v>1</v>
      </c>
      <c r="AU313" s="57">
        <f t="shared" si="152"/>
        <v>1</v>
      </c>
      <c r="AV313" s="57">
        <f t="shared" si="152"/>
        <v>1</v>
      </c>
      <c r="AW313" s="57">
        <f t="shared" si="152"/>
        <v>1</v>
      </c>
      <c r="AX313" s="57">
        <f t="shared" si="152"/>
        <v>1</v>
      </c>
      <c r="AY313" s="57">
        <f t="shared" si="152"/>
        <v>1</v>
      </c>
      <c r="AZ313" s="57">
        <f t="shared" si="152"/>
        <v>1</v>
      </c>
      <c r="BA313" s="57">
        <f t="shared" si="152"/>
        <v>1</v>
      </c>
      <c r="BB313" s="57">
        <f t="shared" si="152"/>
        <v>1</v>
      </c>
      <c r="BC313" s="57">
        <f t="shared" si="152"/>
        <v>1</v>
      </c>
      <c r="BD313" s="57">
        <f t="shared" si="151"/>
        <v>1</v>
      </c>
      <c r="BE313" s="57">
        <f t="shared" si="151"/>
        <v>1</v>
      </c>
      <c r="BF313" s="57">
        <f t="shared" si="151"/>
        <v>1</v>
      </c>
      <c r="BG313" s="57">
        <f t="shared" si="151"/>
        <v>1</v>
      </c>
      <c r="BH313" s="57">
        <f t="shared" si="151"/>
        <v>1</v>
      </c>
      <c r="BI313" s="57">
        <f t="shared" si="151"/>
        <v>1</v>
      </c>
      <c r="BJ313" s="57">
        <f t="shared" si="151"/>
        <v>1</v>
      </c>
      <c r="BK313" s="57">
        <f t="shared" si="151"/>
        <v>1</v>
      </c>
      <c r="BL313" s="57">
        <f t="shared" si="151"/>
        <v>1</v>
      </c>
      <c r="BM313" s="57">
        <f t="shared" si="151"/>
        <v>1</v>
      </c>
      <c r="BN313" s="57">
        <f t="shared" si="151"/>
        <v>1</v>
      </c>
      <c r="BO313" s="32">
        <f t="shared" si="134"/>
        <v>0.49152542372881358</v>
      </c>
    </row>
    <row r="314" spans="1:67" x14ac:dyDescent="0.2">
      <c r="A314" s="42" t="s">
        <v>636</v>
      </c>
      <c r="B314" s="42" t="s">
        <v>637</v>
      </c>
      <c r="C314" s="42" t="s">
        <v>467</v>
      </c>
      <c r="D314" s="43">
        <f>SUM(D315:D330)</f>
        <v>5308872732.0543728</v>
      </c>
      <c r="E314" s="44">
        <f>IFERROR(D314/$D$109,0)</f>
        <v>2.9408554574576196E-2</v>
      </c>
      <c r="F314" s="45">
        <v>46233</v>
      </c>
      <c r="G314" s="45">
        <v>46428</v>
      </c>
      <c r="H314" s="44">
        <f>SUMPRODUCT($E315:$E329,H315:H329)</f>
        <v>0</v>
      </c>
      <c r="I314" s="44">
        <f t="shared" ref="I314:BN314" si="154">SUMPRODUCT($E315:$E329,I315:I329)</f>
        <v>0</v>
      </c>
      <c r="J314" s="44">
        <f t="shared" si="154"/>
        <v>0</v>
      </c>
      <c r="K314" s="44">
        <f t="shared" si="154"/>
        <v>2.6812645880315187E-4</v>
      </c>
      <c r="L314" s="44">
        <f t="shared" si="154"/>
        <v>1.2065690646141836E-3</v>
      </c>
      <c r="M314" s="44">
        <f t="shared" si="154"/>
        <v>2.145011670425215E-3</v>
      </c>
      <c r="N314" s="44">
        <f t="shared" si="154"/>
        <v>3.0834542762362463E-3</v>
      </c>
      <c r="O314" s="44">
        <f t="shared" si="154"/>
        <v>4.0218968820472777E-3</v>
      </c>
      <c r="P314" s="44">
        <f t="shared" si="154"/>
        <v>4.9603394878583095E-3</v>
      </c>
      <c r="Q314" s="44">
        <f t="shared" si="154"/>
        <v>5.8987820936693414E-3</v>
      </c>
      <c r="R314" s="44">
        <f t="shared" si="154"/>
        <v>6.8372246994803732E-3</v>
      </c>
      <c r="S314" s="44">
        <f t="shared" si="154"/>
        <v>7.7756673052914041E-3</v>
      </c>
      <c r="T314" s="44">
        <f t="shared" si="154"/>
        <v>8.7141099111024359E-3</v>
      </c>
      <c r="U314" s="44">
        <f t="shared" si="154"/>
        <v>9.6525525169134686E-3</v>
      </c>
      <c r="V314" s="44">
        <f t="shared" si="154"/>
        <v>1.05909951227245E-2</v>
      </c>
      <c r="W314" s="44">
        <f t="shared" si="154"/>
        <v>1.1529437728535531E-2</v>
      </c>
      <c r="X314" s="44">
        <f t="shared" si="154"/>
        <v>1.2467880334346561E-2</v>
      </c>
      <c r="Y314" s="44">
        <f t="shared" si="154"/>
        <v>1.3406322940157592E-2</v>
      </c>
      <c r="Z314" s="44">
        <f t="shared" si="154"/>
        <v>1.4344765545968625E-2</v>
      </c>
      <c r="AA314" s="44">
        <f t="shared" si="154"/>
        <v>1.5283208151779656E-2</v>
      </c>
      <c r="AB314" s="44">
        <f t="shared" si="154"/>
        <v>1.5685397839984384E-2</v>
      </c>
      <c r="AC314" s="44">
        <f t="shared" si="154"/>
        <v>5.2460448947202205E-2</v>
      </c>
      <c r="AD314" s="44">
        <f t="shared" si="154"/>
        <v>8.8394101585839407E-2</v>
      </c>
      <c r="AE314" s="44">
        <f t="shared" si="154"/>
        <v>0.16411012842261916</v>
      </c>
      <c r="AF314" s="44">
        <f t="shared" si="154"/>
        <v>0.22632154429731435</v>
      </c>
      <c r="AG314" s="44">
        <f t="shared" si="154"/>
        <v>0.31514939446125445</v>
      </c>
      <c r="AH314" s="44">
        <f t="shared" si="154"/>
        <v>0.40397724462519446</v>
      </c>
      <c r="AI314" s="44">
        <f t="shared" si="154"/>
        <v>0.64850810003989967</v>
      </c>
      <c r="AJ314" s="44">
        <f t="shared" si="154"/>
        <v>0.65049482490954236</v>
      </c>
      <c r="AK314" s="44">
        <f t="shared" si="154"/>
        <v>0.78074169005721283</v>
      </c>
      <c r="AL314" s="44">
        <f t="shared" si="154"/>
        <v>0.98792234338482321</v>
      </c>
      <c r="AM314" s="44">
        <f t="shared" si="154"/>
        <v>1</v>
      </c>
      <c r="AN314" s="44">
        <f t="shared" si="154"/>
        <v>1</v>
      </c>
      <c r="AO314" s="44">
        <f t="shared" si="154"/>
        <v>1</v>
      </c>
      <c r="AP314" s="44">
        <f t="shared" si="154"/>
        <v>1</v>
      </c>
      <c r="AQ314" s="44">
        <f t="shared" si="154"/>
        <v>1</v>
      </c>
      <c r="AR314" s="44">
        <f t="shared" si="154"/>
        <v>1</v>
      </c>
      <c r="AS314" s="44">
        <f t="shared" si="154"/>
        <v>1</v>
      </c>
      <c r="AT314" s="44">
        <f t="shared" si="154"/>
        <v>1</v>
      </c>
      <c r="AU314" s="44">
        <f t="shared" si="154"/>
        <v>1</v>
      </c>
      <c r="AV314" s="44">
        <f t="shared" si="154"/>
        <v>1</v>
      </c>
      <c r="AW314" s="44">
        <f t="shared" si="154"/>
        <v>1</v>
      </c>
      <c r="AX314" s="44">
        <f t="shared" si="154"/>
        <v>1</v>
      </c>
      <c r="AY314" s="44">
        <f t="shared" si="154"/>
        <v>1</v>
      </c>
      <c r="AZ314" s="44">
        <f t="shared" si="154"/>
        <v>1</v>
      </c>
      <c r="BA314" s="44">
        <f t="shared" si="154"/>
        <v>1</v>
      </c>
      <c r="BB314" s="44">
        <f t="shared" si="154"/>
        <v>1</v>
      </c>
      <c r="BC314" s="44">
        <f t="shared" si="154"/>
        <v>1</v>
      </c>
      <c r="BD314" s="44">
        <f t="shared" si="154"/>
        <v>1</v>
      </c>
      <c r="BE314" s="44">
        <f t="shared" si="154"/>
        <v>1</v>
      </c>
      <c r="BF314" s="44">
        <f t="shared" si="154"/>
        <v>1</v>
      </c>
      <c r="BG314" s="44">
        <f t="shared" si="154"/>
        <v>1</v>
      </c>
      <c r="BH314" s="44">
        <f t="shared" si="154"/>
        <v>1</v>
      </c>
      <c r="BI314" s="44">
        <f t="shared" si="154"/>
        <v>1</v>
      </c>
      <c r="BJ314" s="44">
        <f t="shared" si="154"/>
        <v>1</v>
      </c>
      <c r="BK314" s="44">
        <f t="shared" si="154"/>
        <v>1</v>
      </c>
      <c r="BL314" s="44">
        <f t="shared" si="154"/>
        <v>1</v>
      </c>
      <c r="BM314" s="44">
        <f t="shared" si="154"/>
        <v>1</v>
      </c>
      <c r="BN314" s="44">
        <f t="shared" si="154"/>
        <v>1</v>
      </c>
      <c r="BO314" s="32">
        <f t="shared" si="134"/>
        <v>0.55027036547052266</v>
      </c>
    </row>
    <row r="315" spans="1:67" ht="24" x14ac:dyDescent="0.2">
      <c r="A315" s="50" t="s">
        <v>638</v>
      </c>
      <c r="B315" s="50" t="s">
        <v>639</v>
      </c>
      <c r="C315" s="50" t="s">
        <v>74</v>
      </c>
      <c r="D315" s="51">
        <f>VLOOKUP(A315,'[1]Cuadro Control'!C353:J2245,8,FALSE)</f>
        <v>83271780.884117648</v>
      </c>
      <c r="E315" s="52">
        <f t="shared" ref="E315:E329" si="155">IFERROR(D315/$D$314,0)</f>
        <v>1.5685397839984384E-2</v>
      </c>
      <c r="F315" s="53">
        <v>46233</v>
      </c>
      <c r="G315" s="53">
        <v>46349</v>
      </c>
      <c r="H315" s="52">
        <f t="shared" ref="H315:W330" si="156">IF($F315=0,0,IF(H$6&lt;$F315,0,IF(H$6&gt;$G315,1,(H$6-$F315+1)/($G315-$F315+1))))</f>
        <v>0</v>
      </c>
      <c r="I315" s="52">
        <f t="shared" si="156"/>
        <v>0</v>
      </c>
      <c r="J315" s="52">
        <f t="shared" si="156"/>
        <v>0</v>
      </c>
      <c r="K315" s="52">
        <f t="shared" si="156"/>
        <v>1.7094017094017096E-2</v>
      </c>
      <c r="L315" s="52">
        <f t="shared" si="156"/>
        <v>7.6923076923076927E-2</v>
      </c>
      <c r="M315" s="52">
        <f t="shared" si="156"/>
        <v>0.13675213675213677</v>
      </c>
      <c r="N315" s="52">
        <f t="shared" si="156"/>
        <v>0.19658119658119658</v>
      </c>
      <c r="O315" s="52">
        <f t="shared" si="156"/>
        <v>0.25641025641025639</v>
      </c>
      <c r="P315" s="52">
        <f t="shared" si="156"/>
        <v>0.31623931623931623</v>
      </c>
      <c r="Q315" s="52">
        <f t="shared" si="156"/>
        <v>0.37606837606837606</v>
      </c>
      <c r="R315" s="52">
        <f t="shared" si="156"/>
        <v>0.4358974358974359</v>
      </c>
      <c r="S315" s="52">
        <f t="shared" si="156"/>
        <v>0.49572649572649574</v>
      </c>
      <c r="T315" s="52">
        <f t="shared" si="156"/>
        <v>0.55555555555555558</v>
      </c>
      <c r="U315" s="52">
        <f t="shared" si="156"/>
        <v>0.61538461538461542</v>
      </c>
      <c r="V315" s="52">
        <f t="shared" si="156"/>
        <v>0.67521367521367526</v>
      </c>
      <c r="W315" s="52">
        <f t="shared" si="156"/>
        <v>0.7350427350427351</v>
      </c>
      <c r="X315" s="52">
        <f t="shared" ref="X315:BC322" si="157">IF($F315=0,0,IF(X$6&lt;$F315,0,IF(X$6&gt;$G315,1,(X$6-$F315+1)/($G315-$F315+1))))</f>
        <v>0.79487179487179482</v>
      </c>
      <c r="Y315" s="52">
        <f t="shared" si="157"/>
        <v>0.85470085470085466</v>
      </c>
      <c r="Z315" s="52">
        <f t="shared" si="157"/>
        <v>0.9145299145299145</v>
      </c>
      <c r="AA315" s="52">
        <f t="shared" si="157"/>
        <v>0.97435897435897434</v>
      </c>
      <c r="AB315" s="52">
        <f t="shared" si="157"/>
        <v>1</v>
      </c>
      <c r="AC315" s="52">
        <f t="shared" si="157"/>
        <v>1</v>
      </c>
      <c r="AD315" s="52">
        <f t="shared" si="157"/>
        <v>1</v>
      </c>
      <c r="AE315" s="52">
        <f t="shared" si="157"/>
        <v>1</v>
      </c>
      <c r="AF315" s="52">
        <f t="shared" si="157"/>
        <v>1</v>
      </c>
      <c r="AG315" s="52">
        <f t="shared" si="157"/>
        <v>1</v>
      </c>
      <c r="AH315" s="52">
        <f t="shared" si="157"/>
        <v>1</v>
      </c>
      <c r="AI315" s="52">
        <f t="shared" si="157"/>
        <v>1</v>
      </c>
      <c r="AJ315" s="52">
        <f t="shared" si="157"/>
        <v>1</v>
      </c>
      <c r="AK315" s="52">
        <f t="shared" si="157"/>
        <v>1</v>
      </c>
      <c r="AL315" s="52">
        <f t="shared" si="157"/>
        <v>1</v>
      </c>
      <c r="AM315" s="52">
        <f t="shared" si="157"/>
        <v>1</v>
      </c>
      <c r="AN315" s="52">
        <f t="shared" si="157"/>
        <v>1</v>
      </c>
      <c r="AO315" s="52">
        <f t="shared" si="157"/>
        <v>1</v>
      </c>
      <c r="AP315" s="52">
        <f t="shared" si="157"/>
        <v>1</v>
      </c>
      <c r="AQ315" s="52">
        <f t="shared" si="157"/>
        <v>1</v>
      </c>
      <c r="AR315" s="52">
        <f t="shared" si="157"/>
        <v>1</v>
      </c>
      <c r="AS315" s="52">
        <f t="shared" si="157"/>
        <v>1</v>
      </c>
      <c r="AT315" s="52">
        <f t="shared" si="157"/>
        <v>1</v>
      </c>
      <c r="AU315" s="52">
        <f t="shared" si="157"/>
        <v>1</v>
      </c>
      <c r="AV315" s="52">
        <f t="shared" si="157"/>
        <v>1</v>
      </c>
      <c r="AW315" s="52">
        <f t="shared" si="157"/>
        <v>1</v>
      </c>
      <c r="AX315" s="52">
        <f t="shared" si="157"/>
        <v>1</v>
      </c>
      <c r="AY315" s="52">
        <f t="shared" si="157"/>
        <v>1</v>
      </c>
      <c r="AZ315" s="52">
        <f t="shared" si="157"/>
        <v>1</v>
      </c>
      <c r="BA315" s="52">
        <f t="shared" si="157"/>
        <v>1</v>
      </c>
      <c r="BB315" s="52">
        <f t="shared" si="157"/>
        <v>1</v>
      </c>
      <c r="BC315" s="52">
        <f t="shared" si="157"/>
        <v>1</v>
      </c>
      <c r="BD315" s="52">
        <f t="shared" ref="BD315:BN321" si="158">IF($F315=0,0,IF(BD$6&lt;$F315,0,IF(BD$6&gt;$G315,1,(BD$6-$F315+1)/($G315-$F315+1))))</f>
        <v>1</v>
      </c>
      <c r="BE315" s="52">
        <f t="shared" si="158"/>
        <v>1</v>
      </c>
      <c r="BF315" s="52">
        <f t="shared" si="158"/>
        <v>1</v>
      </c>
      <c r="BG315" s="52">
        <f t="shared" si="158"/>
        <v>1</v>
      </c>
      <c r="BH315" s="52">
        <f t="shared" si="158"/>
        <v>1</v>
      </c>
      <c r="BI315" s="52">
        <f t="shared" si="158"/>
        <v>1</v>
      </c>
      <c r="BJ315" s="52">
        <f t="shared" si="158"/>
        <v>1</v>
      </c>
      <c r="BK315" s="52">
        <f t="shared" si="158"/>
        <v>1</v>
      </c>
      <c r="BL315" s="52">
        <f t="shared" si="158"/>
        <v>1</v>
      </c>
      <c r="BM315" s="52">
        <f t="shared" si="158"/>
        <v>1</v>
      </c>
      <c r="BN315" s="52">
        <f t="shared" si="158"/>
        <v>1</v>
      </c>
      <c r="BO315" s="32">
        <f t="shared" si="134"/>
        <v>0.80385339707373604</v>
      </c>
    </row>
    <row r="316" spans="1:67" x14ac:dyDescent="0.2">
      <c r="A316" s="50" t="s">
        <v>640</v>
      </c>
      <c r="B316" s="50" t="s">
        <v>641</v>
      </c>
      <c r="C316" s="50" t="s">
        <v>61</v>
      </c>
      <c r="D316" s="51">
        <f>VLOOKUP(A316,'[1]Cuadro Control'!C354:J2246,8,FALSE)</f>
        <v>312374505.66882348</v>
      </c>
      <c r="E316" s="52">
        <f t="shared" si="155"/>
        <v>5.8840081771548515E-2</v>
      </c>
      <c r="F316" s="53">
        <v>46356</v>
      </c>
      <c r="G316" s="53">
        <v>46363</v>
      </c>
      <c r="H316" s="52">
        <f t="shared" si="156"/>
        <v>0</v>
      </c>
      <c r="I316" s="52">
        <f t="shared" si="156"/>
        <v>0</v>
      </c>
      <c r="J316" s="52">
        <f t="shared" si="156"/>
        <v>0</v>
      </c>
      <c r="K316" s="52">
        <f t="shared" si="156"/>
        <v>0</v>
      </c>
      <c r="L316" s="52">
        <f t="shared" si="156"/>
        <v>0</v>
      </c>
      <c r="M316" s="52">
        <f t="shared" si="156"/>
        <v>0</v>
      </c>
      <c r="N316" s="52">
        <f t="shared" si="156"/>
        <v>0</v>
      </c>
      <c r="O316" s="52">
        <f t="shared" si="156"/>
        <v>0</v>
      </c>
      <c r="P316" s="52">
        <f t="shared" si="156"/>
        <v>0</v>
      </c>
      <c r="Q316" s="52">
        <f t="shared" si="156"/>
        <v>0</v>
      </c>
      <c r="R316" s="52">
        <f t="shared" si="156"/>
        <v>0</v>
      </c>
      <c r="S316" s="52">
        <f t="shared" si="156"/>
        <v>0</v>
      </c>
      <c r="T316" s="52">
        <f t="shared" si="156"/>
        <v>0</v>
      </c>
      <c r="U316" s="52">
        <f t="shared" si="156"/>
        <v>0</v>
      </c>
      <c r="V316" s="52">
        <f t="shared" si="156"/>
        <v>0</v>
      </c>
      <c r="W316" s="52">
        <f t="shared" si="156"/>
        <v>0</v>
      </c>
      <c r="X316" s="52">
        <f t="shared" si="157"/>
        <v>0</v>
      </c>
      <c r="Y316" s="52">
        <f t="shared" si="157"/>
        <v>0</v>
      </c>
      <c r="Z316" s="52">
        <f t="shared" si="157"/>
        <v>0</v>
      </c>
      <c r="AA316" s="52">
        <f t="shared" si="157"/>
        <v>0</v>
      </c>
      <c r="AB316" s="52">
        <f t="shared" si="157"/>
        <v>0</v>
      </c>
      <c r="AC316" s="52">
        <f t="shared" si="157"/>
        <v>0.625</v>
      </c>
      <c r="AD316" s="52">
        <f t="shared" si="157"/>
        <v>1</v>
      </c>
      <c r="AE316" s="52">
        <f t="shared" si="157"/>
        <v>1</v>
      </c>
      <c r="AF316" s="52">
        <f t="shared" si="157"/>
        <v>1</v>
      </c>
      <c r="AG316" s="52">
        <f t="shared" si="157"/>
        <v>1</v>
      </c>
      <c r="AH316" s="52">
        <f t="shared" si="157"/>
        <v>1</v>
      </c>
      <c r="AI316" s="52">
        <f t="shared" si="157"/>
        <v>1</v>
      </c>
      <c r="AJ316" s="52">
        <f t="shared" si="157"/>
        <v>1</v>
      </c>
      <c r="AK316" s="52">
        <f t="shared" si="157"/>
        <v>1</v>
      </c>
      <c r="AL316" s="52">
        <f t="shared" si="157"/>
        <v>1</v>
      </c>
      <c r="AM316" s="52">
        <f t="shared" si="157"/>
        <v>1</v>
      </c>
      <c r="AN316" s="52">
        <f t="shared" si="157"/>
        <v>1</v>
      </c>
      <c r="AO316" s="52">
        <f t="shared" si="157"/>
        <v>1</v>
      </c>
      <c r="AP316" s="52">
        <f t="shared" si="157"/>
        <v>1</v>
      </c>
      <c r="AQ316" s="52">
        <f t="shared" si="157"/>
        <v>1</v>
      </c>
      <c r="AR316" s="52">
        <f t="shared" si="157"/>
        <v>1</v>
      </c>
      <c r="AS316" s="52">
        <f t="shared" si="157"/>
        <v>1</v>
      </c>
      <c r="AT316" s="52">
        <f t="shared" si="157"/>
        <v>1</v>
      </c>
      <c r="AU316" s="52">
        <f t="shared" si="157"/>
        <v>1</v>
      </c>
      <c r="AV316" s="52">
        <f t="shared" si="157"/>
        <v>1</v>
      </c>
      <c r="AW316" s="52">
        <f t="shared" si="157"/>
        <v>1</v>
      </c>
      <c r="AX316" s="52">
        <f t="shared" si="157"/>
        <v>1</v>
      </c>
      <c r="AY316" s="52">
        <f t="shared" si="157"/>
        <v>1</v>
      </c>
      <c r="AZ316" s="52">
        <f t="shared" si="157"/>
        <v>1</v>
      </c>
      <c r="BA316" s="52">
        <f t="shared" si="157"/>
        <v>1</v>
      </c>
      <c r="BB316" s="52">
        <f t="shared" si="157"/>
        <v>1</v>
      </c>
      <c r="BC316" s="52">
        <f t="shared" si="157"/>
        <v>1</v>
      </c>
      <c r="BD316" s="52">
        <f t="shared" si="158"/>
        <v>1</v>
      </c>
      <c r="BE316" s="52">
        <f t="shared" si="158"/>
        <v>1</v>
      </c>
      <c r="BF316" s="52">
        <f t="shared" si="158"/>
        <v>1</v>
      </c>
      <c r="BG316" s="52">
        <f t="shared" si="158"/>
        <v>1</v>
      </c>
      <c r="BH316" s="52">
        <f t="shared" si="158"/>
        <v>1</v>
      </c>
      <c r="BI316" s="52">
        <f t="shared" si="158"/>
        <v>1</v>
      </c>
      <c r="BJ316" s="52">
        <f t="shared" si="158"/>
        <v>1</v>
      </c>
      <c r="BK316" s="52">
        <f t="shared" si="158"/>
        <v>1</v>
      </c>
      <c r="BL316" s="52">
        <f t="shared" si="158"/>
        <v>1</v>
      </c>
      <c r="BM316" s="52">
        <f t="shared" si="158"/>
        <v>1</v>
      </c>
      <c r="BN316" s="52">
        <f t="shared" si="158"/>
        <v>1</v>
      </c>
      <c r="BO316" s="32">
        <f t="shared" si="134"/>
        <v>0.63771186440677963</v>
      </c>
    </row>
    <row r="317" spans="1:67" ht="15" x14ac:dyDescent="0.2">
      <c r="A317" s="46" t="s">
        <v>642</v>
      </c>
      <c r="B317" s="46" t="s">
        <v>643</v>
      </c>
      <c r="C317" s="46" t="s">
        <v>126</v>
      </c>
      <c r="D317" s="47">
        <f>VLOOKUP(A317,'[1]Cuadro Control'!C355:J2247,8,FALSE)</f>
        <v>9527825.6870364472</v>
      </c>
      <c r="E317" s="48">
        <f t="shared" si="155"/>
        <v>1.794698454439963E-3</v>
      </c>
      <c r="F317" s="49">
        <v>46363</v>
      </c>
      <c r="G317" s="49">
        <v>46367</v>
      </c>
      <c r="H317" s="48">
        <f t="shared" si="156"/>
        <v>0</v>
      </c>
      <c r="I317" s="48">
        <f t="shared" si="156"/>
        <v>0</v>
      </c>
      <c r="J317" s="48">
        <f t="shared" si="156"/>
        <v>0</v>
      </c>
      <c r="K317" s="48">
        <f t="shared" si="156"/>
        <v>0</v>
      </c>
      <c r="L317" s="48">
        <f t="shared" si="156"/>
        <v>0</v>
      </c>
      <c r="M317" s="48">
        <f t="shared" si="156"/>
        <v>0</v>
      </c>
      <c r="N317" s="48">
        <f t="shared" si="156"/>
        <v>0</v>
      </c>
      <c r="O317" s="48">
        <f t="shared" si="156"/>
        <v>0</v>
      </c>
      <c r="P317" s="48">
        <f t="shared" si="156"/>
        <v>0</v>
      </c>
      <c r="Q317" s="48">
        <f t="shared" si="156"/>
        <v>0</v>
      </c>
      <c r="R317" s="48">
        <f t="shared" si="156"/>
        <v>0</v>
      </c>
      <c r="S317" s="48">
        <f t="shared" si="156"/>
        <v>0</v>
      </c>
      <c r="T317" s="48">
        <f t="shared" si="156"/>
        <v>0</v>
      </c>
      <c r="U317" s="48">
        <f t="shared" si="156"/>
        <v>0</v>
      </c>
      <c r="V317" s="48">
        <f t="shared" si="156"/>
        <v>0</v>
      </c>
      <c r="W317" s="48">
        <f t="shared" si="156"/>
        <v>0</v>
      </c>
      <c r="X317" s="48">
        <f t="shared" si="157"/>
        <v>0</v>
      </c>
      <c r="Y317" s="48">
        <f t="shared" si="157"/>
        <v>0</v>
      </c>
      <c r="Z317" s="48">
        <f t="shared" si="157"/>
        <v>0</v>
      </c>
      <c r="AA317" s="48">
        <f t="shared" si="157"/>
        <v>0</v>
      </c>
      <c r="AB317" s="48">
        <f t="shared" si="157"/>
        <v>0</v>
      </c>
      <c r="AC317" s="48">
        <f t="shared" si="157"/>
        <v>0</v>
      </c>
      <c r="AD317" s="48">
        <f t="shared" si="157"/>
        <v>1</v>
      </c>
      <c r="AE317" s="48">
        <f t="shared" si="157"/>
        <v>1</v>
      </c>
      <c r="AF317" s="48">
        <f t="shared" si="157"/>
        <v>1</v>
      </c>
      <c r="AG317" s="48">
        <f t="shared" si="157"/>
        <v>1</v>
      </c>
      <c r="AH317" s="48">
        <f t="shared" si="157"/>
        <v>1</v>
      </c>
      <c r="AI317" s="48">
        <f t="shared" si="157"/>
        <v>1</v>
      </c>
      <c r="AJ317" s="48">
        <f t="shared" si="157"/>
        <v>1</v>
      </c>
      <c r="AK317" s="48">
        <f t="shared" si="157"/>
        <v>1</v>
      </c>
      <c r="AL317" s="48">
        <f t="shared" si="157"/>
        <v>1</v>
      </c>
      <c r="AM317" s="48">
        <f t="shared" si="157"/>
        <v>1</v>
      </c>
      <c r="AN317" s="48">
        <f t="shared" si="157"/>
        <v>1</v>
      </c>
      <c r="AO317" s="48">
        <f t="shared" si="157"/>
        <v>1</v>
      </c>
      <c r="AP317" s="48">
        <f t="shared" si="157"/>
        <v>1</v>
      </c>
      <c r="AQ317" s="48">
        <f t="shared" si="157"/>
        <v>1</v>
      </c>
      <c r="AR317" s="48">
        <f t="shared" si="157"/>
        <v>1</v>
      </c>
      <c r="AS317" s="48">
        <f t="shared" si="157"/>
        <v>1</v>
      </c>
      <c r="AT317" s="48">
        <f t="shared" si="157"/>
        <v>1</v>
      </c>
      <c r="AU317" s="48">
        <f t="shared" si="157"/>
        <v>1</v>
      </c>
      <c r="AV317" s="48">
        <f t="shared" si="157"/>
        <v>1</v>
      </c>
      <c r="AW317" s="48">
        <f t="shared" si="157"/>
        <v>1</v>
      </c>
      <c r="AX317" s="48">
        <f t="shared" si="157"/>
        <v>1</v>
      </c>
      <c r="AY317" s="48">
        <f t="shared" si="157"/>
        <v>1</v>
      </c>
      <c r="AZ317" s="48">
        <f t="shared" si="157"/>
        <v>1</v>
      </c>
      <c r="BA317" s="48">
        <f t="shared" si="157"/>
        <v>1</v>
      </c>
      <c r="BB317" s="48">
        <f t="shared" si="157"/>
        <v>1</v>
      </c>
      <c r="BC317" s="48">
        <f t="shared" si="157"/>
        <v>1</v>
      </c>
      <c r="BD317" s="48">
        <f t="shared" si="158"/>
        <v>1</v>
      </c>
      <c r="BE317" s="48">
        <f t="shared" si="158"/>
        <v>1</v>
      </c>
      <c r="BF317" s="48">
        <f t="shared" si="158"/>
        <v>1</v>
      </c>
      <c r="BG317" s="48">
        <f t="shared" si="158"/>
        <v>1</v>
      </c>
      <c r="BH317" s="48">
        <f t="shared" si="158"/>
        <v>1</v>
      </c>
      <c r="BI317" s="48">
        <f t="shared" si="158"/>
        <v>1</v>
      </c>
      <c r="BJ317" s="48">
        <f t="shared" si="158"/>
        <v>1</v>
      </c>
      <c r="BK317" s="48">
        <f t="shared" si="158"/>
        <v>1</v>
      </c>
      <c r="BL317" s="48">
        <f t="shared" si="158"/>
        <v>1</v>
      </c>
      <c r="BM317" s="48">
        <f t="shared" si="158"/>
        <v>1</v>
      </c>
      <c r="BN317" s="48">
        <f t="shared" si="158"/>
        <v>1</v>
      </c>
      <c r="BO317" s="32">
        <f t="shared" si="134"/>
        <v>0.6271186440677966</v>
      </c>
    </row>
    <row r="318" spans="1:67" x14ac:dyDescent="0.2">
      <c r="A318" s="50" t="s">
        <v>644</v>
      </c>
      <c r="B318" s="50" t="s">
        <v>645</v>
      </c>
      <c r="C318" s="50" t="s">
        <v>117</v>
      </c>
      <c r="D318" s="51">
        <f>VLOOKUP(A318,'[1]Cuadro Control'!C356:J2248,8,FALSE)</f>
        <v>320494616.71764702</v>
      </c>
      <c r="E318" s="52">
        <f t="shared" si="155"/>
        <v>6.0369617599332674E-2</v>
      </c>
      <c r="F318" s="53">
        <v>46367</v>
      </c>
      <c r="G318" s="53">
        <v>46371</v>
      </c>
      <c r="H318" s="52">
        <f t="shared" si="156"/>
        <v>0</v>
      </c>
      <c r="I318" s="52">
        <f t="shared" si="156"/>
        <v>0</v>
      </c>
      <c r="J318" s="52">
        <f t="shared" si="156"/>
        <v>0</v>
      </c>
      <c r="K318" s="52">
        <f t="shared" si="156"/>
        <v>0</v>
      </c>
      <c r="L318" s="52">
        <f t="shared" si="156"/>
        <v>0</v>
      </c>
      <c r="M318" s="52">
        <f t="shared" si="156"/>
        <v>0</v>
      </c>
      <c r="N318" s="52">
        <f t="shared" si="156"/>
        <v>0</v>
      </c>
      <c r="O318" s="52">
        <f t="shared" si="156"/>
        <v>0</v>
      </c>
      <c r="P318" s="52">
        <f t="shared" si="156"/>
        <v>0</v>
      </c>
      <c r="Q318" s="52">
        <f t="shared" si="156"/>
        <v>0</v>
      </c>
      <c r="R318" s="52">
        <f t="shared" si="156"/>
        <v>0</v>
      </c>
      <c r="S318" s="52">
        <f t="shared" si="156"/>
        <v>0</v>
      </c>
      <c r="T318" s="52">
        <f t="shared" si="156"/>
        <v>0</v>
      </c>
      <c r="U318" s="52">
        <f t="shared" si="156"/>
        <v>0</v>
      </c>
      <c r="V318" s="52">
        <f t="shared" si="156"/>
        <v>0</v>
      </c>
      <c r="W318" s="52">
        <f t="shared" si="156"/>
        <v>0</v>
      </c>
      <c r="X318" s="52">
        <f t="shared" si="157"/>
        <v>0</v>
      </c>
      <c r="Y318" s="52">
        <f t="shared" si="157"/>
        <v>0</v>
      </c>
      <c r="Z318" s="52">
        <f t="shared" si="157"/>
        <v>0</v>
      </c>
      <c r="AA318" s="52">
        <f t="shared" si="157"/>
        <v>0</v>
      </c>
      <c r="AB318" s="52">
        <f t="shared" si="157"/>
        <v>0</v>
      </c>
      <c r="AC318" s="52">
        <f t="shared" si="157"/>
        <v>0</v>
      </c>
      <c r="AD318" s="52">
        <f t="shared" si="157"/>
        <v>0.2</v>
      </c>
      <c r="AE318" s="52">
        <f t="shared" si="157"/>
        <v>1</v>
      </c>
      <c r="AF318" s="52">
        <f t="shared" si="157"/>
        <v>1</v>
      </c>
      <c r="AG318" s="52">
        <f t="shared" si="157"/>
        <v>1</v>
      </c>
      <c r="AH318" s="52">
        <f t="shared" si="157"/>
        <v>1</v>
      </c>
      <c r="AI318" s="52">
        <f t="shared" si="157"/>
        <v>1</v>
      </c>
      <c r="AJ318" s="52">
        <f t="shared" si="157"/>
        <v>1</v>
      </c>
      <c r="AK318" s="52">
        <f t="shared" si="157"/>
        <v>1</v>
      </c>
      <c r="AL318" s="52">
        <f t="shared" si="157"/>
        <v>1</v>
      </c>
      <c r="AM318" s="52">
        <f t="shared" si="157"/>
        <v>1</v>
      </c>
      <c r="AN318" s="52">
        <f t="shared" si="157"/>
        <v>1</v>
      </c>
      <c r="AO318" s="52">
        <f t="shared" si="157"/>
        <v>1</v>
      </c>
      <c r="AP318" s="52">
        <f t="shared" si="157"/>
        <v>1</v>
      </c>
      <c r="AQ318" s="52">
        <f t="shared" si="157"/>
        <v>1</v>
      </c>
      <c r="AR318" s="52">
        <f t="shared" si="157"/>
        <v>1</v>
      </c>
      <c r="AS318" s="52">
        <f t="shared" si="157"/>
        <v>1</v>
      </c>
      <c r="AT318" s="52">
        <f t="shared" si="157"/>
        <v>1</v>
      </c>
      <c r="AU318" s="52">
        <f t="shared" si="157"/>
        <v>1</v>
      </c>
      <c r="AV318" s="52">
        <f t="shared" si="157"/>
        <v>1</v>
      </c>
      <c r="AW318" s="52">
        <f t="shared" si="157"/>
        <v>1</v>
      </c>
      <c r="AX318" s="52">
        <f t="shared" si="157"/>
        <v>1</v>
      </c>
      <c r="AY318" s="52">
        <f t="shared" si="157"/>
        <v>1</v>
      </c>
      <c r="AZ318" s="52">
        <f t="shared" si="157"/>
        <v>1</v>
      </c>
      <c r="BA318" s="52">
        <f t="shared" si="157"/>
        <v>1</v>
      </c>
      <c r="BB318" s="52">
        <f t="shared" si="157"/>
        <v>1</v>
      </c>
      <c r="BC318" s="52">
        <f t="shared" si="157"/>
        <v>1</v>
      </c>
      <c r="BD318" s="52">
        <f t="shared" si="158"/>
        <v>1</v>
      </c>
      <c r="BE318" s="52">
        <f t="shared" si="158"/>
        <v>1</v>
      </c>
      <c r="BF318" s="52">
        <f t="shared" si="158"/>
        <v>1</v>
      </c>
      <c r="BG318" s="52">
        <f t="shared" si="158"/>
        <v>1</v>
      </c>
      <c r="BH318" s="52">
        <f t="shared" si="158"/>
        <v>1</v>
      </c>
      <c r="BI318" s="52">
        <f t="shared" si="158"/>
        <v>1</v>
      </c>
      <c r="BJ318" s="52">
        <f t="shared" si="158"/>
        <v>1</v>
      </c>
      <c r="BK318" s="52">
        <f t="shared" si="158"/>
        <v>1</v>
      </c>
      <c r="BL318" s="52">
        <f t="shared" si="158"/>
        <v>1</v>
      </c>
      <c r="BM318" s="52">
        <f t="shared" si="158"/>
        <v>1</v>
      </c>
      <c r="BN318" s="52">
        <f t="shared" si="158"/>
        <v>1</v>
      </c>
      <c r="BO318" s="32">
        <f t="shared" si="134"/>
        <v>0.6135593220338984</v>
      </c>
    </row>
    <row r="319" spans="1:67" x14ac:dyDescent="0.2">
      <c r="A319" s="50" t="s">
        <v>646</v>
      </c>
      <c r="B319" s="50" t="s">
        <v>647</v>
      </c>
      <c r="C319" s="50" t="s">
        <v>111</v>
      </c>
      <c r="D319" s="51">
        <f>VLOOKUP(A319,'[1]Cuadro Control'!C357:J2249,8,FALSE)</f>
        <v>94303618.549411759</v>
      </c>
      <c r="E319" s="52">
        <f t="shared" si="155"/>
        <v>1.7763397864110998E-2</v>
      </c>
      <c r="F319" s="53">
        <v>46371</v>
      </c>
      <c r="G319" s="53">
        <v>46373</v>
      </c>
      <c r="H319" s="52">
        <f t="shared" si="156"/>
        <v>0</v>
      </c>
      <c r="I319" s="52">
        <f t="shared" si="156"/>
        <v>0</v>
      </c>
      <c r="J319" s="52">
        <f t="shared" si="156"/>
        <v>0</v>
      </c>
      <c r="K319" s="52">
        <f t="shared" si="156"/>
        <v>0</v>
      </c>
      <c r="L319" s="52">
        <f t="shared" si="156"/>
        <v>0</v>
      </c>
      <c r="M319" s="52">
        <f t="shared" si="156"/>
        <v>0</v>
      </c>
      <c r="N319" s="52">
        <f t="shared" si="156"/>
        <v>0</v>
      </c>
      <c r="O319" s="52">
        <f t="shared" si="156"/>
        <v>0</v>
      </c>
      <c r="P319" s="52">
        <f t="shared" si="156"/>
        <v>0</v>
      </c>
      <c r="Q319" s="52">
        <f t="shared" si="156"/>
        <v>0</v>
      </c>
      <c r="R319" s="52">
        <f t="shared" si="156"/>
        <v>0</v>
      </c>
      <c r="S319" s="52">
        <f t="shared" si="156"/>
        <v>0</v>
      </c>
      <c r="T319" s="52">
        <f t="shared" si="156"/>
        <v>0</v>
      </c>
      <c r="U319" s="52">
        <f t="shared" si="156"/>
        <v>0</v>
      </c>
      <c r="V319" s="52">
        <f t="shared" si="156"/>
        <v>0</v>
      </c>
      <c r="W319" s="52">
        <f t="shared" si="156"/>
        <v>0</v>
      </c>
      <c r="X319" s="52">
        <f t="shared" si="157"/>
        <v>0</v>
      </c>
      <c r="Y319" s="52">
        <f t="shared" si="157"/>
        <v>0</v>
      </c>
      <c r="Z319" s="52">
        <f t="shared" si="157"/>
        <v>0</v>
      </c>
      <c r="AA319" s="52">
        <f t="shared" si="157"/>
        <v>0</v>
      </c>
      <c r="AB319" s="52">
        <f t="shared" si="157"/>
        <v>0</v>
      </c>
      <c r="AC319" s="52">
        <f t="shared" si="157"/>
        <v>0</v>
      </c>
      <c r="AD319" s="52">
        <f t="shared" si="157"/>
        <v>0</v>
      </c>
      <c r="AE319" s="52">
        <f t="shared" si="157"/>
        <v>1</v>
      </c>
      <c r="AF319" s="52">
        <f t="shared" si="157"/>
        <v>1</v>
      </c>
      <c r="AG319" s="52">
        <f t="shared" si="157"/>
        <v>1</v>
      </c>
      <c r="AH319" s="52">
        <f t="shared" si="157"/>
        <v>1</v>
      </c>
      <c r="AI319" s="52">
        <f t="shared" si="157"/>
        <v>1</v>
      </c>
      <c r="AJ319" s="52">
        <f t="shared" si="157"/>
        <v>1</v>
      </c>
      <c r="AK319" s="52">
        <f t="shared" si="157"/>
        <v>1</v>
      </c>
      <c r="AL319" s="52">
        <f t="shared" si="157"/>
        <v>1</v>
      </c>
      <c r="AM319" s="52">
        <f t="shared" si="157"/>
        <v>1</v>
      </c>
      <c r="AN319" s="52">
        <f t="shared" si="157"/>
        <v>1</v>
      </c>
      <c r="AO319" s="52">
        <f t="shared" si="157"/>
        <v>1</v>
      </c>
      <c r="AP319" s="52">
        <f t="shared" si="157"/>
        <v>1</v>
      </c>
      <c r="AQ319" s="52">
        <f t="shared" si="157"/>
        <v>1</v>
      </c>
      <c r="AR319" s="52">
        <f t="shared" si="157"/>
        <v>1</v>
      </c>
      <c r="AS319" s="52">
        <f t="shared" si="157"/>
        <v>1</v>
      </c>
      <c r="AT319" s="52">
        <f t="shared" si="157"/>
        <v>1</v>
      </c>
      <c r="AU319" s="52">
        <f t="shared" si="157"/>
        <v>1</v>
      </c>
      <c r="AV319" s="52">
        <f t="shared" si="157"/>
        <v>1</v>
      </c>
      <c r="AW319" s="52">
        <f t="shared" si="157"/>
        <v>1</v>
      </c>
      <c r="AX319" s="52">
        <f t="shared" si="157"/>
        <v>1</v>
      </c>
      <c r="AY319" s="52">
        <f t="shared" si="157"/>
        <v>1</v>
      </c>
      <c r="AZ319" s="52">
        <f t="shared" si="157"/>
        <v>1</v>
      </c>
      <c r="BA319" s="52">
        <f t="shared" si="157"/>
        <v>1</v>
      </c>
      <c r="BB319" s="52">
        <f t="shared" si="157"/>
        <v>1</v>
      </c>
      <c r="BC319" s="52">
        <f t="shared" si="157"/>
        <v>1</v>
      </c>
      <c r="BD319" s="52">
        <f t="shared" si="158"/>
        <v>1</v>
      </c>
      <c r="BE319" s="52">
        <f t="shared" si="158"/>
        <v>1</v>
      </c>
      <c r="BF319" s="52">
        <f t="shared" si="158"/>
        <v>1</v>
      </c>
      <c r="BG319" s="52">
        <f t="shared" si="158"/>
        <v>1</v>
      </c>
      <c r="BH319" s="52">
        <f t="shared" si="158"/>
        <v>1</v>
      </c>
      <c r="BI319" s="52">
        <f t="shared" si="158"/>
        <v>1</v>
      </c>
      <c r="BJ319" s="52">
        <f t="shared" si="158"/>
        <v>1</v>
      </c>
      <c r="BK319" s="52">
        <f t="shared" si="158"/>
        <v>1</v>
      </c>
      <c r="BL319" s="52">
        <f t="shared" si="158"/>
        <v>1</v>
      </c>
      <c r="BM319" s="52">
        <f t="shared" si="158"/>
        <v>1</v>
      </c>
      <c r="BN319" s="52">
        <f t="shared" si="158"/>
        <v>1</v>
      </c>
      <c r="BO319" s="32">
        <f t="shared" si="134"/>
        <v>0.61016949152542377</v>
      </c>
    </row>
    <row r="320" spans="1:67" x14ac:dyDescent="0.2">
      <c r="A320" s="50" t="s">
        <v>648</v>
      </c>
      <c r="B320" s="50" t="s">
        <v>649</v>
      </c>
      <c r="C320" s="50" t="s">
        <v>238</v>
      </c>
      <c r="D320" s="51">
        <f>VLOOKUP(A320,'[1]Cuadro Control'!C358:J2250,8,FALSE)</f>
        <v>179436034.15411764</v>
      </c>
      <c r="E320" s="52">
        <f t="shared" si="155"/>
        <v>3.3799272126209236E-2</v>
      </c>
      <c r="F320" s="53">
        <v>46373</v>
      </c>
      <c r="G320" s="53">
        <v>46379</v>
      </c>
      <c r="H320" s="52">
        <f t="shared" si="156"/>
        <v>0</v>
      </c>
      <c r="I320" s="52">
        <f t="shared" si="156"/>
        <v>0</v>
      </c>
      <c r="J320" s="52">
        <f t="shared" si="156"/>
        <v>0</v>
      </c>
      <c r="K320" s="52">
        <f t="shared" si="156"/>
        <v>0</v>
      </c>
      <c r="L320" s="52">
        <f t="shared" si="156"/>
        <v>0</v>
      </c>
      <c r="M320" s="52">
        <f t="shared" si="156"/>
        <v>0</v>
      </c>
      <c r="N320" s="52">
        <f t="shared" si="156"/>
        <v>0</v>
      </c>
      <c r="O320" s="52">
        <f t="shared" si="156"/>
        <v>0</v>
      </c>
      <c r="P320" s="52">
        <f t="shared" si="156"/>
        <v>0</v>
      </c>
      <c r="Q320" s="52">
        <f t="shared" si="156"/>
        <v>0</v>
      </c>
      <c r="R320" s="52">
        <f t="shared" si="156"/>
        <v>0</v>
      </c>
      <c r="S320" s="52">
        <f t="shared" si="156"/>
        <v>0</v>
      </c>
      <c r="T320" s="52">
        <f t="shared" si="156"/>
        <v>0</v>
      </c>
      <c r="U320" s="52">
        <f t="shared" si="156"/>
        <v>0</v>
      </c>
      <c r="V320" s="52">
        <f t="shared" si="156"/>
        <v>0</v>
      </c>
      <c r="W320" s="52">
        <f t="shared" si="156"/>
        <v>0</v>
      </c>
      <c r="X320" s="52">
        <f t="shared" si="157"/>
        <v>0</v>
      </c>
      <c r="Y320" s="52">
        <f t="shared" si="157"/>
        <v>0</v>
      </c>
      <c r="Z320" s="52">
        <f t="shared" si="157"/>
        <v>0</v>
      </c>
      <c r="AA320" s="52">
        <f t="shared" si="157"/>
        <v>0</v>
      </c>
      <c r="AB320" s="52">
        <f t="shared" si="157"/>
        <v>0</v>
      </c>
      <c r="AC320" s="52">
        <f t="shared" si="157"/>
        <v>0</v>
      </c>
      <c r="AD320" s="52">
        <f t="shared" si="157"/>
        <v>0</v>
      </c>
      <c r="AE320" s="52">
        <f t="shared" si="157"/>
        <v>0.2857142857142857</v>
      </c>
      <c r="AF320" s="52">
        <f t="shared" si="157"/>
        <v>1</v>
      </c>
      <c r="AG320" s="52">
        <f t="shared" si="157"/>
        <v>1</v>
      </c>
      <c r="AH320" s="52">
        <f t="shared" si="157"/>
        <v>1</v>
      </c>
      <c r="AI320" s="52">
        <f t="shared" si="157"/>
        <v>1</v>
      </c>
      <c r="AJ320" s="52">
        <f t="shared" si="157"/>
        <v>1</v>
      </c>
      <c r="AK320" s="52">
        <f t="shared" si="157"/>
        <v>1</v>
      </c>
      <c r="AL320" s="52">
        <f t="shared" si="157"/>
        <v>1</v>
      </c>
      <c r="AM320" s="52">
        <f t="shared" si="157"/>
        <v>1</v>
      </c>
      <c r="AN320" s="52">
        <f t="shared" si="157"/>
        <v>1</v>
      </c>
      <c r="AO320" s="52">
        <f t="shared" si="157"/>
        <v>1</v>
      </c>
      <c r="AP320" s="52">
        <f t="shared" si="157"/>
        <v>1</v>
      </c>
      <c r="AQ320" s="52">
        <f t="shared" si="157"/>
        <v>1</v>
      </c>
      <c r="AR320" s="52">
        <f t="shared" si="157"/>
        <v>1</v>
      </c>
      <c r="AS320" s="52">
        <f t="shared" si="157"/>
        <v>1</v>
      </c>
      <c r="AT320" s="52">
        <f t="shared" si="157"/>
        <v>1</v>
      </c>
      <c r="AU320" s="52">
        <f t="shared" si="157"/>
        <v>1</v>
      </c>
      <c r="AV320" s="52">
        <f t="shared" si="157"/>
        <v>1</v>
      </c>
      <c r="AW320" s="52">
        <f t="shared" si="157"/>
        <v>1</v>
      </c>
      <c r="AX320" s="52">
        <f t="shared" si="157"/>
        <v>1</v>
      </c>
      <c r="AY320" s="52">
        <f t="shared" si="157"/>
        <v>1</v>
      </c>
      <c r="AZ320" s="52">
        <f t="shared" si="157"/>
        <v>1</v>
      </c>
      <c r="BA320" s="52">
        <f t="shared" si="157"/>
        <v>1</v>
      </c>
      <c r="BB320" s="52">
        <f t="shared" si="157"/>
        <v>1</v>
      </c>
      <c r="BC320" s="52">
        <f t="shared" si="157"/>
        <v>1</v>
      </c>
      <c r="BD320" s="52">
        <f t="shared" si="158"/>
        <v>1</v>
      </c>
      <c r="BE320" s="52">
        <f t="shared" si="158"/>
        <v>1</v>
      </c>
      <c r="BF320" s="52">
        <f t="shared" si="158"/>
        <v>1</v>
      </c>
      <c r="BG320" s="52">
        <f t="shared" si="158"/>
        <v>1</v>
      </c>
      <c r="BH320" s="52">
        <f t="shared" si="158"/>
        <v>1</v>
      </c>
      <c r="BI320" s="52">
        <f t="shared" si="158"/>
        <v>1</v>
      </c>
      <c r="BJ320" s="52">
        <f t="shared" si="158"/>
        <v>1</v>
      </c>
      <c r="BK320" s="52">
        <f t="shared" si="158"/>
        <v>1</v>
      </c>
      <c r="BL320" s="52">
        <f t="shared" si="158"/>
        <v>1</v>
      </c>
      <c r="BM320" s="52">
        <f t="shared" si="158"/>
        <v>1</v>
      </c>
      <c r="BN320" s="52">
        <f t="shared" si="158"/>
        <v>1</v>
      </c>
      <c r="BO320" s="32">
        <f t="shared" si="134"/>
        <v>0.59806295399515741</v>
      </c>
    </row>
    <row r="321" spans="1:67" x14ac:dyDescent="0.2">
      <c r="A321" s="50" t="s">
        <v>650</v>
      </c>
      <c r="B321" s="50" t="s">
        <v>651</v>
      </c>
      <c r="C321" s="50" t="s">
        <v>58</v>
      </c>
      <c r="D321" s="51">
        <f>VLOOKUP(A321,'[1]Cuadro Control'!C359:J2251,8,FALSE)</f>
        <v>1212623361.2117648</v>
      </c>
      <c r="E321" s="52">
        <f t="shared" si="155"/>
        <v>0.22841447185013161</v>
      </c>
      <c r="F321" s="53">
        <v>46379</v>
      </c>
      <c r="G321" s="53">
        <v>46396</v>
      </c>
      <c r="H321" s="52">
        <f t="shared" si="156"/>
        <v>0</v>
      </c>
      <c r="I321" s="52">
        <f t="shared" si="156"/>
        <v>0</v>
      </c>
      <c r="J321" s="52">
        <f t="shared" si="156"/>
        <v>0</v>
      </c>
      <c r="K321" s="52">
        <f t="shared" si="156"/>
        <v>0</v>
      </c>
      <c r="L321" s="52">
        <f t="shared" si="156"/>
        <v>0</v>
      </c>
      <c r="M321" s="52">
        <f t="shared" si="156"/>
        <v>0</v>
      </c>
      <c r="N321" s="52">
        <f t="shared" si="156"/>
        <v>0</v>
      </c>
      <c r="O321" s="52">
        <f t="shared" si="156"/>
        <v>0</v>
      </c>
      <c r="P321" s="52">
        <f t="shared" si="156"/>
        <v>0</v>
      </c>
      <c r="Q321" s="52">
        <f t="shared" si="156"/>
        <v>0</v>
      </c>
      <c r="R321" s="52">
        <f t="shared" si="156"/>
        <v>0</v>
      </c>
      <c r="S321" s="52">
        <f t="shared" si="156"/>
        <v>0</v>
      </c>
      <c r="T321" s="52">
        <f t="shared" si="156"/>
        <v>0</v>
      </c>
      <c r="U321" s="52">
        <f t="shared" si="156"/>
        <v>0</v>
      </c>
      <c r="V321" s="52">
        <f t="shared" si="156"/>
        <v>0</v>
      </c>
      <c r="W321" s="52">
        <f t="shared" si="156"/>
        <v>0</v>
      </c>
      <c r="X321" s="52">
        <f t="shared" si="157"/>
        <v>0</v>
      </c>
      <c r="Y321" s="52">
        <f t="shared" si="157"/>
        <v>0</v>
      </c>
      <c r="Z321" s="52">
        <f t="shared" si="157"/>
        <v>0</v>
      </c>
      <c r="AA321" s="52">
        <f t="shared" si="157"/>
        <v>0</v>
      </c>
      <c r="AB321" s="52">
        <f t="shared" si="157"/>
        <v>0</v>
      </c>
      <c r="AC321" s="52">
        <f t="shared" si="157"/>
        <v>0</v>
      </c>
      <c r="AD321" s="52">
        <f t="shared" si="157"/>
        <v>0</v>
      </c>
      <c r="AE321" s="52">
        <f t="shared" si="157"/>
        <v>0</v>
      </c>
      <c r="AF321" s="52">
        <f t="shared" si="157"/>
        <v>0.16666666666666666</v>
      </c>
      <c r="AG321" s="52">
        <f t="shared" si="157"/>
        <v>0.55555555555555558</v>
      </c>
      <c r="AH321" s="52">
        <f t="shared" si="157"/>
        <v>0.94444444444444442</v>
      </c>
      <c r="AI321" s="52">
        <f t="shared" si="157"/>
        <v>1</v>
      </c>
      <c r="AJ321" s="52">
        <f t="shared" si="157"/>
        <v>1</v>
      </c>
      <c r="AK321" s="52">
        <f t="shared" si="157"/>
        <v>1</v>
      </c>
      <c r="AL321" s="52">
        <f t="shared" si="157"/>
        <v>1</v>
      </c>
      <c r="AM321" s="52">
        <f t="shared" si="157"/>
        <v>1</v>
      </c>
      <c r="AN321" s="52">
        <f t="shared" si="157"/>
        <v>1</v>
      </c>
      <c r="AO321" s="52">
        <f t="shared" si="157"/>
        <v>1</v>
      </c>
      <c r="AP321" s="52">
        <f t="shared" si="157"/>
        <v>1</v>
      </c>
      <c r="AQ321" s="52">
        <f t="shared" si="157"/>
        <v>1</v>
      </c>
      <c r="AR321" s="52">
        <f t="shared" si="157"/>
        <v>1</v>
      </c>
      <c r="AS321" s="52">
        <f t="shared" si="157"/>
        <v>1</v>
      </c>
      <c r="AT321" s="52">
        <f t="shared" si="157"/>
        <v>1</v>
      </c>
      <c r="AU321" s="52">
        <f t="shared" si="157"/>
        <v>1</v>
      </c>
      <c r="AV321" s="52">
        <f t="shared" si="157"/>
        <v>1</v>
      </c>
      <c r="AW321" s="52">
        <f t="shared" si="157"/>
        <v>1</v>
      </c>
      <c r="AX321" s="52">
        <f t="shared" si="157"/>
        <v>1</v>
      </c>
      <c r="AY321" s="52">
        <f t="shared" si="157"/>
        <v>1</v>
      </c>
      <c r="AZ321" s="52">
        <f t="shared" si="157"/>
        <v>1</v>
      </c>
      <c r="BA321" s="52">
        <f t="shared" si="157"/>
        <v>1</v>
      </c>
      <c r="BB321" s="52">
        <f t="shared" si="157"/>
        <v>1</v>
      </c>
      <c r="BC321" s="52">
        <f t="shared" si="157"/>
        <v>1</v>
      </c>
      <c r="BD321" s="52">
        <f t="shared" si="158"/>
        <v>1</v>
      </c>
      <c r="BE321" s="52">
        <f t="shared" si="158"/>
        <v>1</v>
      </c>
      <c r="BF321" s="52">
        <f t="shared" si="158"/>
        <v>1</v>
      </c>
      <c r="BG321" s="52">
        <f t="shared" si="158"/>
        <v>1</v>
      </c>
      <c r="BH321" s="52">
        <f t="shared" si="158"/>
        <v>1</v>
      </c>
      <c r="BI321" s="52">
        <f t="shared" si="158"/>
        <v>1</v>
      </c>
      <c r="BJ321" s="52">
        <f t="shared" si="158"/>
        <v>1</v>
      </c>
      <c r="BK321" s="52">
        <f t="shared" si="158"/>
        <v>1</v>
      </c>
      <c r="BL321" s="52">
        <f t="shared" si="158"/>
        <v>1</v>
      </c>
      <c r="BM321" s="52">
        <f t="shared" si="158"/>
        <v>1</v>
      </c>
      <c r="BN321" s="52">
        <f t="shared" si="158"/>
        <v>1</v>
      </c>
      <c r="BO321" s="32">
        <f t="shared" si="134"/>
        <v>0.57062146892655363</v>
      </c>
    </row>
    <row r="322" spans="1:67" x14ac:dyDescent="0.2">
      <c r="A322" s="50" t="s">
        <v>652</v>
      </c>
      <c r="B322" s="50" t="s">
        <v>653</v>
      </c>
      <c r="C322" s="50" t="s">
        <v>126</v>
      </c>
      <c r="D322" s="51">
        <f>VLOOKUP(A322,'[1]Cuadro Control'!C360:J2252,8,FALSE)</f>
        <v>0</v>
      </c>
      <c r="E322" s="52">
        <f t="shared" si="155"/>
        <v>0</v>
      </c>
      <c r="F322" s="53">
        <v>46396</v>
      </c>
      <c r="G322" s="53">
        <v>46401</v>
      </c>
      <c r="H322" s="52">
        <f t="shared" si="156"/>
        <v>0</v>
      </c>
      <c r="I322" s="52">
        <f t="shared" si="156"/>
        <v>0</v>
      </c>
      <c r="J322" s="52">
        <f t="shared" si="156"/>
        <v>0</v>
      </c>
      <c r="K322" s="52">
        <f t="shared" si="156"/>
        <v>0</v>
      </c>
      <c r="L322" s="52">
        <f t="shared" si="156"/>
        <v>0</v>
      </c>
      <c r="M322" s="52">
        <f t="shared" si="156"/>
        <v>0</v>
      </c>
      <c r="N322" s="52">
        <f t="shared" si="156"/>
        <v>0</v>
      </c>
      <c r="O322" s="52">
        <f t="shared" si="156"/>
        <v>0</v>
      </c>
      <c r="P322" s="52">
        <f t="shared" si="156"/>
        <v>0</v>
      </c>
      <c r="Q322" s="52">
        <f t="shared" si="156"/>
        <v>0</v>
      </c>
      <c r="R322" s="52">
        <f t="shared" si="156"/>
        <v>0</v>
      </c>
      <c r="S322" s="52">
        <f t="shared" si="156"/>
        <v>0</v>
      </c>
      <c r="T322" s="52">
        <f t="shared" si="156"/>
        <v>0</v>
      </c>
      <c r="U322" s="52">
        <f t="shared" si="156"/>
        <v>0</v>
      </c>
      <c r="V322" s="52">
        <f t="shared" si="156"/>
        <v>0</v>
      </c>
      <c r="W322" s="52">
        <f t="shared" si="156"/>
        <v>0</v>
      </c>
      <c r="X322" s="52">
        <f t="shared" si="157"/>
        <v>0</v>
      </c>
      <c r="Y322" s="52">
        <f t="shared" si="157"/>
        <v>0</v>
      </c>
      <c r="Z322" s="52">
        <f t="shared" si="157"/>
        <v>0</v>
      </c>
      <c r="AA322" s="52">
        <f t="shared" si="157"/>
        <v>0</v>
      </c>
      <c r="AB322" s="52">
        <f t="shared" si="157"/>
        <v>0</v>
      </c>
      <c r="AC322" s="52">
        <f t="shared" si="157"/>
        <v>0</v>
      </c>
      <c r="AD322" s="52">
        <f t="shared" si="157"/>
        <v>0</v>
      </c>
      <c r="AE322" s="52">
        <f t="shared" si="157"/>
        <v>0</v>
      </c>
      <c r="AF322" s="52">
        <f t="shared" si="157"/>
        <v>0</v>
      </c>
      <c r="AG322" s="52">
        <f t="shared" si="157"/>
        <v>0</v>
      </c>
      <c r="AH322" s="52">
        <f t="shared" si="157"/>
        <v>0</v>
      </c>
      <c r="AI322" s="52">
        <f t="shared" si="157"/>
        <v>1</v>
      </c>
      <c r="AJ322" s="52">
        <f t="shared" si="157"/>
        <v>1</v>
      </c>
      <c r="AK322" s="52">
        <f t="shared" si="157"/>
        <v>1</v>
      </c>
      <c r="AL322" s="52">
        <f t="shared" si="157"/>
        <v>1</v>
      </c>
      <c r="AM322" s="52">
        <f t="shared" si="157"/>
        <v>1</v>
      </c>
      <c r="AN322" s="52">
        <f t="shared" si="157"/>
        <v>1</v>
      </c>
      <c r="AO322" s="52">
        <f t="shared" si="157"/>
        <v>1</v>
      </c>
      <c r="AP322" s="52">
        <f t="shared" si="157"/>
        <v>1</v>
      </c>
      <c r="AQ322" s="52">
        <f t="shared" si="157"/>
        <v>1</v>
      </c>
      <c r="AR322" s="52">
        <f t="shared" si="157"/>
        <v>1</v>
      </c>
      <c r="AS322" s="52">
        <f t="shared" si="157"/>
        <v>1</v>
      </c>
      <c r="AT322" s="52">
        <f t="shared" si="157"/>
        <v>1</v>
      </c>
      <c r="AU322" s="52">
        <f t="shared" si="157"/>
        <v>1</v>
      </c>
      <c r="AV322" s="52">
        <f t="shared" si="157"/>
        <v>1</v>
      </c>
      <c r="AW322" s="52">
        <f t="shared" si="157"/>
        <v>1</v>
      </c>
      <c r="AX322" s="52">
        <f t="shared" si="157"/>
        <v>1</v>
      </c>
      <c r="AY322" s="52">
        <f t="shared" si="157"/>
        <v>1</v>
      </c>
      <c r="AZ322" s="52">
        <f t="shared" si="157"/>
        <v>1</v>
      </c>
      <c r="BA322" s="52">
        <f t="shared" si="157"/>
        <v>1</v>
      </c>
      <c r="BB322" s="52">
        <f t="shared" si="157"/>
        <v>1</v>
      </c>
      <c r="BC322" s="52">
        <f t="shared" ref="BC322:BN330" si="159">IF($F322=0,0,IF(BC$6&lt;$F322,0,IF(BC$6&gt;$G322,1,(BC$6-$F322+1)/($G322-$F322+1))))</f>
        <v>1</v>
      </c>
      <c r="BD322" s="52">
        <f t="shared" si="159"/>
        <v>1</v>
      </c>
      <c r="BE322" s="52">
        <f t="shared" si="159"/>
        <v>1</v>
      </c>
      <c r="BF322" s="52">
        <f t="shared" si="159"/>
        <v>1</v>
      </c>
      <c r="BG322" s="52">
        <f t="shared" si="159"/>
        <v>1</v>
      </c>
      <c r="BH322" s="52">
        <f t="shared" si="159"/>
        <v>1</v>
      </c>
      <c r="BI322" s="52">
        <f t="shared" si="159"/>
        <v>1</v>
      </c>
      <c r="BJ322" s="52">
        <f t="shared" si="159"/>
        <v>1</v>
      </c>
      <c r="BK322" s="52">
        <f t="shared" si="159"/>
        <v>1</v>
      </c>
      <c r="BL322" s="52">
        <f t="shared" si="159"/>
        <v>1</v>
      </c>
      <c r="BM322" s="52">
        <f t="shared" si="159"/>
        <v>1</v>
      </c>
      <c r="BN322" s="52">
        <f t="shared" si="159"/>
        <v>1</v>
      </c>
      <c r="BO322" s="32">
        <f t="shared" si="134"/>
        <v>0.5423728813559322</v>
      </c>
    </row>
    <row r="323" spans="1:67" ht="24" x14ac:dyDescent="0.2">
      <c r="A323" s="55" t="s">
        <v>654</v>
      </c>
      <c r="B323" s="55" t="s">
        <v>655</v>
      </c>
      <c r="C323" s="55" t="s">
        <v>14</v>
      </c>
      <c r="D323" s="56">
        <f>VLOOKUP(A323,'[1]Cuadro Control'!C361:J2253,8,FALSE)</f>
        <v>0</v>
      </c>
      <c r="E323" s="57">
        <f t="shared" si="155"/>
        <v>0</v>
      </c>
      <c r="F323" s="58">
        <v>46396</v>
      </c>
      <c r="G323" s="58">
        <v>46396</v>
      </c>
      <c r="H323" s="57">
        <f t="shared" si="156"/>
        <v>0</v>
      </c>
      <c r="I323" s="57">
        <f t="shared" si="156"/>
        <v>0</v>
      </c>
      <c r="J323" s="57">
        <f t="shared" si="156"/>
        <v>0</v>
      </c>
      <c r="K323" s="57">
        <f t="shared" si="156"/>
        <v>0</v>
      </c>
      <c r="L323" s="57">
        <f t="shared" si="156"/>
        <v>0</v>
      </c>
      <c r="M323" s="57">
        <f t="shared" si="156"/>
        <v>0</v>
      </c>
      <c r="N323" s="57">
        <f t="shared" si="156"/>
        <v>0</v>
      </c>
      <c r="O323" s="57">
        <f t="shared" si="156"/>
        <v>0</v>
      </c>
      <c r="P323" s="57">
        <f t="shared" si="156"/>
        <v>0</v>
      </c>
      <c r="Q323" s="57">
        <f t="shared" si="156"/>
        <v>0</v>
      </c>
      <c r="R323" s="57">
        <f t="shared" si="156"/>
        <v>0</v>
      </c>
      <c r="S323" s="57">
        <f t="shared" si="156"/>
        <v>0</v>
      </c>
      <c r="T323" s="57">
        <f t="shared" si="156"/>
        <v>0</v>
      </c>
      <c r="U323" s="57">
        <f t="shared" si="156"/>
        <v>0</v>
      </c>
      <c r="V323" s="57">
        <f t="shared" si="156"/>
        <v>0</v>
      </c>
      <c r="W323" s="57">
        <f t="shared" si="156"/>
        <v>0</v>
      </c>
      <c r="X323" s="57">
        <f t="shared" ref="X323:BC330" si="160">IF($F323=0,0,IF(X$6&lt;$F323,0,IF(X$6&gt;$G323,1,(X$6-$F323+1)/($G323-$F323+1))))</f>
        <v>0</v>
      </c>
      <c r="Y323" s="57">
        <f t="shared" si="160"/>
        <v>0</v>
      </c>
      <c r="Z323" s="57">
        <f t="shared" si="160"/>
        <v>0</v>
      </c>
      <c r="AA323" s="57">
        <f t="shared" si="160"/>
        <v>0</v>
      </c>
      <c r="AB323" s="57">
        <f t="shared" si="160"/>
        <v>0</v>
      </c>
      <c r="AC323" s="57">
        <f t="shared" si="160"/>
        <v>0</v>
      </c>
      <c r="AD323" s="57">
        <f t="shared" si="160"/>
        <v>0</v>
      </c>
      <c r="AE323" s="57">
        <f t="shared" si="160"/>
        <v>0</v>
      </c>
      <c r="AF323" s="57">
        <f t="shared" si="160"/>
        <v>0</v>
      </c>
      <c r="AG323" s="57">
        <f t="shared" si="160"/>
        <v>0</v>
      </c>
      <c r="AH323" s="57">
        <f t="shared" si="160"/>
        <v>0</v>
      </c>
      <c r="AI323" s="57">
        <f t="shared" si="160"/>
        <v>1</v>
      </c>
      <c r="AJ323" s="57">
        <f t="shared" si="160"/>
        <v>1</v>
      </c>
      <c r="AK323" s="57">
        <f t="shared" si="160"/>
        <v>1</v>
      </c>
      <c r="AL323" s="57">
        <f t="shared" si="160"/>
        <v>1</v>
      </c>
      <c r="AM323" s="57">
        <f t="shared" si="160"/>
        <v>1</v>
      </c>
      <c r="AN323" s="57">
        <f t="shared" si="160"/>
        <v>1</v>
      </c>
      <c r="AO323" s="57">
        <f t="shared" si="160"/>
        <v>1</v>
      </c>
      <c r="AP323" s="57">
        <f t="shared" si="160"/>
        <v>1</v>
      </c>
      <c r="AQ323" s="57">
        <f t="shared" si="160"/>
        <v>1</v>
      </c>
      <c r="AR323" s="57">
        <f t="shared" si="160"/>
        <v>1</v>
      </c>
      <c r="AS323" s="57">
        <f t="shared" si="160"/>
        <v>1</v>
      </c>
      <c r="AT323" s="57">
        <f t="shared" si="160"/>
        <v>1</v>
      </c>
      <c r="AU323" s="57">
        <f t="shared" si="160"/>
        <v>1</v>
      </c>
      <c r="AV323" s="57">
        <f t="shared" si="160"/>
        <v>1</v>
      </c>
      <c r="AW323" s="57">
        <f t="shared" si="160"/>
        <v>1</v>
      </c>
      <c r="AX323" s="57">
        <f t="shared" si="160"/>
        <v>1</v>
      </c>
      <c r="AY323" s="57">
        <f t="shared" si="160"/>
        <v>1</v>
      </c>
      <c r="AZ323" s="57">
        <f t="shared" si="160"/>
        <v>1</v>
      </c>
      <c r="BA323" s="57">
        <f t="shared" si="160"/>
        <v>1</v>
      </c>
      <c r="BB323" s="57">
        <f t="shared" si="160"/>
        <v>1</v>
      </c>
      <c r="BC323" s="57">
        <f t="shared" si="160"/>
        <v>1</v>
      </c>
      <c r="BD323" s="57">
        <f t="shared" si="159"/>
        <v>1</v>
      </c>
      <c r="BE323" s="57">
        <f t="shared" si="159"/>
        <v>1</v>
      </c>
      <c r="BF323" s="57">
        <f t="shared" si="159"/>
        <v>1</v>
      </c>
      <c r="BG323" s="57">
        <f t="shared" si="159"/>
        <v>1</v>
      </c>
      <c r="BH323" s="57">
        <f t="shared" si="159"/>
        <v>1</v>
      </c>
      <c r="BI323" s="57">
        <f t="shared" si="159"/>
        <v>1</v>
      </c>
      <c r="BJ323" s="57">
        <f t="shared" si="159"/>
        <v>1</v>
      </c>
      <c r="BK323" s="57">
        <f t="shared" si="159"/>
        <v>1</v>
      </c>
      <c r="BL323" s="57">
        <f t="shared" si="159"/>
        <v>1</v>
      </c>
      <c r="BM323" s="57">
        <f t="shared" si="159"/>
        <v>1</v>
      </c>
      <c r="BN323" s="57">
        <f t="shared" si="159"/>
        <v>1</v>
      </c>
      <c r="BO323" s="32">
        <f t="shared" si="134"/>
        <v>0.5423728813559322</v>
      </c>
    </row>
    <row r="324" spans="1:67" x14ac:dyDescent="0.2">
      <c r="A324" s="50" t="s">
        <v>656</v>
      </c>
      <c r="B324" s="50" t="s">
        <v>657</v>
      </c>
      <c r="C324" s="50" t="s">
        <v>111</v>
      </c>
      <c r="D324" s="51">
        <f>VLOOKUP(A324,'[1]Cuadro Control'!C362:J2254,8,FALSE)</f>
        <v>1230815225.9452939</v>
      </c>
      <c r="E324" s="52">
        <f t="shared" si="155"/>
        <v>0.2318411625341423</v>
      </c>
      <c r="F324" s="53">
        <v>46401</v>
      </c>
      <c r="G324" s="53">
        <v>46402</v>
      </c>
      <c r="H324" s="52">
        <f t="shared" si="156"/>
        <v>0</v>
      </c>
      <c r="I324" s="52">
        <f t="shared" si="156"/>
        <v>0</v>
      </c>
      <c r="J324" s="52">
        <f t="shared" si="156"/>
        <v>0</v>
      </c>
      <c r="K324" s="52">
        <f t="shared" si="156"/>
        <v>0</v>
      </c>
      <c r="L324" s="52">
        <f t="shared" si="156"/>
        <v>0</v>
      </c>
      <c r="M324" s="52">
        <f t="shared" si="156"/>
        <v>0</v>
      </c>
      <c r="N324" s="52">
        <f t="shared" si="156"/>
        <v>0</v>
      </c>
      <c r="O324" s="52">
        <f t="shared" si="156"/>
        <v>0</v>
      </c>
      <c r="P324" s="52">
        <f t="shared" si="156"/>
        <v>0</v>
      </c>
      <c r="Q324" s="52">
        <f t="shared" si="156"/>
        <v>0</v>
      </c>
      <c r="R324" s="52">
        <f t="shared" si="156"/>
        <v>0</v>
      </c>
      <c r="S324" s="52">
        <f t="shared" si="156"/>
        <v>0</v>
      </c>
      <c r="T324" s="52">
        <f t="shared" si="156"/>
        <v>0</v>
      </c>
      <c r="U324" s="52">
        <f t="shared" si="156"/>
        <v>0</v>
      </c>
      <c r="V324" s="52">
        <f t="shared" si="156"/>
        <v>0</v>
      </c>
      <c r="W324" s="52">
        <f t="shared" si="156"/>
        <v>0</v>
      </c>
      <c r="X324" s="52">
        <f t="shared" si="160"/>
        <v>0</v>
      </c>
      <c r="Y324" s="52">
        <f t="shared" si="160"/>
        <v>0</v>
      </c>
      <c r="Z324" s="52">
        <f t="shared" si="160"/>
        <v>0</v>
      </c>
      <c r="AA324" s="52">
        <f t="shared" si="160"/>
        <v>0</v>
      </c>
      <c r="AB324" s="52">
        <f t="shared" si="160"/>
        <v>0</v>
      </c>
      <c r="AC324" s="52">
        <f t="shared" si="160"/>
        <v>0</v>
      </c>
      <c r="AD324" s="52">
        <f t="shared" si="160"/>
        <v>0</v>
      </c>
      <c r="AE324" s="52">
        <f t="shared" si="160"/>
        <v>0</v>
      </c>
      <c r="AF324" s="52">
        <f t="shared" si="160"/>
        <v>0</v>
      </c>
      <c r="AG324" s="52">
        <f t="shared" si="160"/>
        <v>0</v>
      </c>
      <c r="AH324" s="52">
        <f t="shared" si="160"/>
        <v>0</v>
      </c>
      <c r="AI324" s="52">
        <f t="shared" si="160"/>
        <v>1</v>
      </c>
      <c r="AJ324" s="52">
        <f t="shared" si="160"/>
        <v>1</v>
      </c>
      <c r="AK324" s="52">
        <f t="shared" si="160"/>
        <v>1</v>
      </c>
      <c r="AL324" s="52">
        <f t="shared" si="160"/>
        <v>1</v>
      </c>
      <c r="AM324" s="52">
        <f t="shared" si="160"/>
        <v>1</v>
      </c>
      <c r="AN324" s="52">
        <f t="shared" si="160"/>
        <v>1</v>
      </c>
      <c r="AO324" s="52">
        <f t="shared" si="160"/>
        <v>1</v>
      </c>
      <c r="AP324" s="52">
        <f t="shared" si="160"/>
        <v>1</v>
      </c>
      <c r="AQ324" s="52">
        <f t="shared" si="160"/>
        <v>1</v>
      </c>
      <c r="AR324" s="52">
        <f t="shared" si="160"/>
        <v>1</v>
      </c>
      <c r="AS324" s="52">
        <f t="shared" si="160"/>
        <v>1</v>
      </c>
      <c r="AT324" s="52">
        <f t="shared" si="160"/>
        <v>1</v>
      </c>
      <c r="AU324" s="52">
        <f t="shared" si="160"/>
        <v>1</v>
      </c>
      <c r="AV324" s="52">
        <f t="shared" si="160"/>
        <v>1</v>
      </c>
      <c r="AW324" s="52">
        <f t="shared" si="160"/>
        <v>1</v>
      </c>
      <c r="AX324" s="52">
        <f t="shared" si="160"/>
        <v>1</v>
      </c>
      <c r="AY324" s="52">
        <f t="shared" si="160"/>
        <v>1</v>
      </c>
      <c r="AZ324" s="52">
        <f t="shared" si="160"/>
        <v>1</v>
      </c>
      <c r="BA324" s="52">
        <f t="shared" si="160"/>
        <v>1</v>
      </c>
      <c r="BB324" s="52">
        <f t="shared" si="160"/>
        <v>1</v>
      </c>
      <c r="BC324" s="52">
        <f t="shared" si="160"/>
        <v>1</v>
      </c>
      <c r="BD324" s="52">
        <f t="shared" si="159"/>
        <v>1</v>
      </c>
      <c r="BE324" s="52">
        <f t="shared" si="159"/>
        <v>1</v>
      </c>
      <c r="BF324" s="52">
        <f t="shared" si="159"/>
        <v>1</v>
      </c>
      <c r="BG324" s="52">
        <f t="shared" si="159"/>
        <v>1</v>
      </c>
      <c r="BH324" s="52">
        <f t="shared" si="159"/>
        <v>1</v>
      </c>
      <c r="BI324" s="52">
        <f t="shared" si="159"/>
        <v>1</v>
      </c>
      <c r="BJ324" s="52">
        <f t="shared" si="159"/>
        <v>1</v>
      </c>
      <c r="BK324" s="52">
        <f t="shared" si="159"/>
        <v>1</v>
      </c>
      <c r="BL324" s="52">
        <f t="shared" si="159"/>
        <v>1</v>
      </c>
      <c r="BM324" s="52">
        <f t="shared" si="159"/>
        <v>1</v>
      </c>
      <c r="BN324" s="52">
        <f t="shared" si="159"/>
        <v>1</v>
      </c>
      <c r="BO324" s="32">
        <f t="shared" si="134"/>
        <v>0.5423728813559322</v>
      </c>
    </row>
    <row r="325" spans="1:67" x14ac:dyDescent="0.2">
      <c r="A325" s="50" t="s">
        <v>658</v>
      </c>
      <c r="B325" s="50" t="s">
        <v>659</v>
      </c>
      <c r="C325" s="50" t="s">
        <v>238</v>
      </c>
      <c r="D325" s="51">
        <f>VLOOKUP(A325,'[1]Cuadro Control'!C363:J2255,8,FALSE)</f>
        <v>0</v>
      </c>
      <c r="E325" s="52">
        <f t="shared" si="155"/>
        <v>0</v>
      </c>
      <c r="F325" s="53">
        <v>46402</v>
      </c>
      <c r="G325" s="53">
        <v>46409</v>
      </c>
      <c r="H325" s="52">
        <f t="shared" si="156"/>
        <v>0</v>
      </c>
      <c r="I325" s="52">
        <f t="shared" si="156"/>
        <v>0</v>
      </c>
      <c r="J325" s="52">
        <f t="shared" si="156"/>
        <v>0</v>
      </c>
      <c r="K325" s="52">
        <f t="shared" si="156"/>
        <v>0</v>
      </c>
      <c r="L325" s="52">
        <f t="shared" si="156"/>
        <v>0</v>
      </c>
      <c r="M325" s="52">
        <f t="shared" si="156"/>
        <v>0</v>
      </c>
      <c r="N325" s="52">
        <f t="shared" si="156"/>
        <v>0</v>
      </c>
      <c r="O325" s="52">
        <f t="shared" si="156"/>
        <v>0</v>
      </c>
      <c r="P325" s="52">
        <f t="shared" si="156"/>
        <v>0</v>
      </c>
      <c r="Q325" s="52">
        <f t="shared" si="156"/>
        <v>0</v>
      </c>
      <c r="R325" s="52">
        <f t="shared" si="156"/>
        <v>0</v>
      </c>
      <c r="S325" s="52">
        <f t="shared" si="156"/>
        <v>0</v>
      </c>
      <c r="T325" s="52">
        <f t="shared" si="156"/>
        <v>0</v>
      </c>
      <c r="U325" s="52">
        <f t="shared" si="156"/>
        <v>0</v>
      </c>
      <c r="V325" s="52">
        <f t="shared" si="156"/>
        <v>0</v>
      </c>
      <c r="W325" s="52">
        <f t="shared" si="156"/>
        <v>0</v>
      </c>
      <c r="X325" s="52">
        <f t="shared" si="160"/>
        <v>0</v>
      </c>
      <c r="Y325" s="52">
        <f t="shared" si="160"/>
        <v>0</v>
      </c>
      <c r="Z325" s="52">
        <f t="shared" si="160"/>
        <v>0</v>
      </c>
      <c r="AA325" s="52">
        <f t="shared" si="160"/>
        <v>0</v>
      </c>
      <c r="AB325" s="52">
        <f t="shared" si="160"/>
        <v>0</v>
      </c>
      <c r="AC325" s="52">
        <f t="shared" si="160"/>
        <v>0</v>
      </c>
      <c r="AD325" s="52">
        <f t="shared" si="160"/>
        <v>0</v>
      </c>
      <c r="AE325" s="52">
        <f t="shared" si="160"/>
        <v>0</v>
      </c>
      <c r="AF325" s="52">
        <f t="shared" si="160"/>
        <v>0</v>
      </c>
      <c r="AG325" s="52">
        <f t="shared" si="160"/>
        <v>0</v>
      </c>
      <c r="AH325" s="52">
        <f t="shared" si="160"/>
        <v>0</v>
      </c>
      <c r="AI325" s="52">
        <f t="shared" si="160"/>
        <v>0.125</v>
      </c>
      <c r="AJ325" s="52">
        <f t="shared" si="160"/>
        <v>1</v>
      </c>
      <c r="AK325" s="52">
        <f t="shared" si="160"/>
        <v>1</v>
      </c>
      <c r="AL325" s="52">
        <f t="shared" si="160"/>
        <v>1</v>
      </c>
      <c r="AM325" s="52">
        <f t="shared" si="160"/>
        <v>1</v>
      </c>
      <c r="AN325" s="52">
        <f t="shared" si="160"/>
        <v>1</v>
      </c>
      <c r="AO325" s="52">
        <f t="shared" si="160"/>
        <v>1</v>
      </c>
      <c r="AP325" s="52">
        <f t="shared" si="160"/>
        <v>1</v>
      </c>
      <c r="AQ325" s="52">
        <f t="shared" si="160"/>
        <v>1</v>
      </c>
      <c r="AR325" s="52">
        <f t="shared" si="160"/>
        <v>1</v>
      </c>
      <c r="AS325" s="52">
        <f t="shared" si="160"/>
        <v>1</v>
      </c>
      <c r="AT325" s="52">
        <f t="shared" si="160"/>
        <v>1</v>
      </c>
      <c r="AU325" s="52">
        <f t="shared" si="160"/>
        <v>1</v>
      </c>
      <c r="AV325" s="52">
        <f t="shared" si="160"/>
        <v>1</v>
      </c>
      <c r="AW325" s="52">
        <f t="shared" si="160"/>
        <v>1</v>
      </c>
      <c r="AX325" s="52">
        <f t="shared" si="160"/>
        <v>1</v>
      </c>
      <c r="AY325" s="52">
        <f t="shared" si="160"/>
        <v>1</v>
      </c>
      <c r="AZ325" s="52">
        <f t="shared" si="160"/>
        <v>1</v>
      </c>
      <c r="BA325" s="52">
        <f t="shared" si="160"/>
        <v>1</v>
      </c>
      <c r="BB325" s="52">
        <f t="shared" si="160"/>
        <v>1</v>
      </c>
      <c r="BC325" s="52">
        <f t="shared" si="160"/>
        <v>1</v>
      </c>
      <c r="BD325" s="52">
        <f t="shared" si="159"/>
        <v>1</v>
      </c>
      <c r="BE325" s="52">
        <f t="shared" si="159"/>
        <v>1</v>
      </c>
      <c r="BF325" s="52">
        <f t="shared" si="159"/>
        <v>1</v>
      </c>
      <c r="BG325" s="52">
        <f t="shared" si="159"/>
        <v>1</v>
      </c>
      <c r="BH325" s="52">
        <f t="shared" si="159"/>
        <v>1</v>
      </c>
      <c r="BI325" s="52">
        <f t="shared" si="159"/>
        <v>1</v>
      </c>
      <c r="BJ325" s="52">
        <f t="shared" si="159"/>
        <v>1</v>
      </c>
      <c r="BK325" s="52">
        <f t="shared" si="159"/>
        <v>1</v>
      </c>
      <c r="BL325" s="52">
        <f t="shared" si="159"/>
        <v>1</v>
      </c>
      <c r="BM325" s="52">
        <f t="shared" si="159"/>
        <v>1</v>
      </c>
      <c r="BN325" s="52">
        <f t="shared" si="159"/>
        <v>1</v>
      </c>
      <c r="BO325" s="32">
        <f t="shared" si="134"/>
        <v>0.52754237288135597</v>
      </c>
    </row>
    <row r="326" spans="1:67" ht="24" x14ac:dyDescent="0.2">
      <c r="A326" s="50" t="s">
        <v>660</v>
      </c>
      <c r="B326" s="50" t="s">
        <v>661</v>
      </c>
      <c r="C326" s="50" t="s">
        <v>126</v>
      </c>
      <c r="D326" s="51">
        <f>VLOOKUP(A326,'[1]Cuadro Control'!C364:J2256,8,FALSE)</f>
        <v>52736347.43270281</v>
      </c>
      <c r="E326" s="52">
        <f t="shared" si="155"/>
        <v>9.933624348213644E-3</v>
      </c>
      <c r="F326" s="53">
        <v>46409</v>
      </c>
      <c r="G326" s="53">
        <v>46413</v>
      </c>
      <c r="H326" s="52">
        <f t="shared" si="156"/>
        <v>0</v>
      </c>
      <c r="I326" s="52">
        <f t="shared" si="156"/>
        <v>0</v>
      </c>
      <c r="J326" s="52">
        <f t="shared" si="156"/>
        <v>0</v>
      </c>
      <c r="K326" s="52">
        <f t="shared" si="156"/>
        <v>0</v>
      </c>
      <c r="L326" s="52">
        <f t="shared" si="156"/>
        <v>0</v>
      </c>
      <c r="M326" s="52">
        <f t="shared" si="156"/>
        <v>0</v>
      </c>
      <c r="N326" s="52">
        <f t="shared" si="156"/>
        <v>0</v>
      </c>
      <c r="O326" s="52">
        <f t="shared" si="156"/>
        <v>0</v>
      </c>
      <c r="P326" s="52">
        <f t="shared" si="156"/>
        <v>0</v>
      </c>
      <c r="Q326" s="52">
        <f t="shared" si="156"/>
        <v>0</v>
      </c>
      <c r="R326" s="52">
        <f t="shared" si="156"/>
        <v>0</v>
      </c>
      <c r="S326" s="52">
        <f t="shared" si="156"/>
        <v>0</v>
      </c>
      <c r="T326" s="52">
        <f t="shared" si="156"/>
        <v>0</v>
      </c>
      <c r="U326" s="52">
        <f t="shared" si="156"/>
        <v>0</v>
      </c>
      <c r="V326" s="52">
        <f t="shared" si="156"/>
        <v>0</v>
      </c>
      <c r="W326" s="52">
        <f t="shared" si="156"/>
        <v>0</v>
      </c>
      <c r="X326" s="52">
        <f t="shared" si="160"/>
        <v>0</v>
      </c>
      <c r="Y326" s="52">
        <f t="shared" si="160"/>
        <v>0</v>
      </c>
      <c r="Z326" s="52">
        <f t="shared" si="160"/>
        <v>0</v>
      </c>
      <c r="AA326" s="52">
        <f t="shared" si="160"/>
        <v>0</v>
      </c>
      <c r="AB326" s="52">
        <f t="shared" si="160"/>
        <v>0</v>
      </c>
      <c r="AC326" s="52">
        <f t="shared" si="160"/>
        <v>0</v>
      </c>
      <c r="AD326" s="52">
        <f t="shared" si="160"/>
        <v>0</v>
      </c>
      <c r="AE326" s="52">
        <f t="shared" si="160"/>
        <v>0</v>
      </c>
      <c r="AF326" s="52">
        <f t="shared" si="160"/>
        <v>0</v>
      </c>
      <c r="AG326" s="52">
        <f t="shared" si="160"/>
        <v>0</v>
      </c>
      <c r="AH326" s="52">
        <f t="shared" si="160"/>
        <v>0</v>
      </c>
      <c r="AI326" s="52">
        <f t="shared" si="160"/>
        <v>0</v>
      </c>
      <c r="AJ326" s="52">
        <f t="shared" si="160"/>
        <v>0.2</v>
      </c>
      <c r="AK326" s="52">
        <f t="shared" si="160"/>
        <v>1</v>
      </c>
      <c r="AL326" s="52">
        <f t="shared" si="160"/>
        <v>1</v>
      </c>
      <c r="AM326" s="52">
        <f t="shared" si="160"/>
        <v>1</v>
      </c>
      <c r="AN326" s="52">
        <f t="shared" si="160"/>
        <v>1</v>
      </c>
      <c r="AO326" s="52">
        <f t="shared" si="160"/>
        <v>1</v>
      </c>
      <c r="AP326" s="52">
        <f t="shared" si="160"/>
        <v>1</v>
      </c>
      <c r="AQ326" s="52">
        <f t="shared" si="160"/>
        <v>1</v>
      </c>
      <c r="AR326" s="52">
        <f t="shared" si="160"/>
        <v>1</v>
      </c>
      <c r="AS326" s="52">
        <f t="shared" si="160"/>
        <v>1</v>
      </c>
      <c r="AT326" s="52">
        <f t="shared" si="160"/>
        <v>1</v>
      </c>
      <c r="AU326" s="52">
        <f t="shared" si="160"/>
        <v>1</v>
      </c>
      <c r="AV326" s="52">
        <f t="shared" si="160"/>
        <v>1</v>
      </c>
      <c r="AW326" s="52">
        <f t="shared" si="160"/>
        <v>1</v>
      </c>
      <c r="AX326" s="52">
        <f t="shared" si="160"/>
        <v>1</v>
      </c>
      <c r="AY326" s="52">
        <f t="shared" si="160"/>
        <v>1</v>
      </c>
      <c r="AZ326" s="52">
        <f t="shared" si="160"/>
        <v>1</v>
      </c>
      <c r="BA326" s="52">
        <f t="shared" si="160"/>
        <v>1</v>
      </c>
      <c r="BB326" s="52">
        <f t="shared" si="160"/>
        <v>1</v>
      </c>
      <c r="BC326" s="52">
        <f t="shared" si="160"/>
        <v>1</v>
      </c>
      <c r="BD326" s="52">
        <f t="shared" si="159"/>
        <v>1</v>
      </c>
      <c r="BE326" s="52">
        <f t="shared" si="159"/>
        <v>1</v>
      </c>
      <c r="BF326" s="52">
        <f t="shared" si="159"/>
        <v>1</v>
      </c>
      <c r="BG326" s="52">
        <f t="shared" si="159"/>
        <v>1</v>
      </c>
      <c r="BH326" s="52">
        <f t="shared" si="159"/>
        <v>1</v>
      </c>
      <c r="BI326" s="52">
        <f t="shared" si="159"/>
        <v>1</v>
      </c>
      <c r="BJ326" s="52">
        <f t="shared" si="159"/>
        <v>1</v>
      </c>
      <c r="BK326" s="52">
        <f t="shared" si="159"/>
        <v>1</v>
      </c>
      <c r="BL326" s="52">
        <f t="shared" si="159"/>
        <v>1</v>
      </c>
      <c r="BM326" s="52">
        <f t="shared" si="159"/>
        <v>1</v>
      </c>
      <c r="BN326" s="52">
        <f t="shared" si="159"/>
        <v>1</v>
      </c>
      <c r="BO326" s="32">
        <f t="shared" si="134"/>
        <v>0.51186440677966105</v>
      </c>
    </row>
    <row r="327" spans="1:67" ht="24" x14ac:dyDescent="0.2">
      <c r="A327" s="50" t="s">
        <v>662</v>
      </c>
      <c r="B327" s="50" t="s">
        <v>663</v>
      </c>
      <c r="C327" s="50" t="s">
        <v>117</v>
      </c>
      <c r="D327" s="51">
        <f>VLOOKUP(A327,'[1]Cuadro Control'!C365:J2257,8,FALSE)</f>
        <v>46410609.014634147</v>
      </c>
      <c r="E327" s="52">
        <f t="shared" si="155"/>
        <v>8.742083556535862E-3</v>
      </c>
      <c r="F327" s="53">
        <v>46413</v>
      </c>
      <c r="G327" s="53">
        <v>46415</v>
      </c>
      <c r="H327" s="52">
        <f t="shared" si="156"/>
        <v>0</v>
      </c>
      <c r="I327" s="52">
        <f t="shared" si="156"/>
        <v>0</v>
      </c>
      <c r="J327" s="52">
        <f t="shared" si="156"/>
        <v>0</v>
      </c>
      <c r="K327" s="52">
        <f t="shared" si="156"/>
        <v>0</v>
      </c>
      <c r="L327" s="52">
        <f t="shared" si="156"/>
        <v>0</v>
      </c>
      <c r="M327" s="52">
        <f t="shared" si="156"/>
        <v>0</v>
      </c>
      <c r="N327" s="52">
        <f t="shared" si="156"/>
        <v>0</v>
      </c>
      <c r="O327" s="52">
        <f t="shared" si="156"/>
        <v>0</v>
      </c>
      <c r="P327" s="52">
        <f t="shared" si="156"/>
        <v>0</v>
      </c>
      <c r="Q327" s="52">
        <f t="shared" si="156"/>
        <v>0</v>
      </c>
      <c r="R327" s="52">
        <f t="shared" si="156"/>
        <v>0</v>
      </c>
      <c r="S327" s="52">
        <f t="shared" si="156"/>
        <v>0</v>
      </c>
      <c r="T327" s="52">
        <f t="shared" si="156"/>
        <v>0</v>
      </c>
      <c r="U327" s="52">
        <f t="shared" si="156"/>
        <v>0</v>
      </c>
      <c r="V327" s="52">
        <f t="shared" si="156"/>
        <v>0</v>
      </c>
      <c r="W327" s="52">
        <f t="shared" si="156"/>
        <v>0</v>
      </c>
      <c r="X327" s="52">
        <f t="shared" si="160"/>
        <v>0</v>
      </c>
      <c r="Y327" s="52">
        <f t="shared" si="160"/>
        <v>0</v>
      </c>
      <c r="Z327" s="52">
        <f t="shared" si="160"/>
        <v>0</v>
      </c>
      <c r="AA327" s="52">
        <f t="shared" si="160"/>
        <v>0</v>
      </c>
      <c r="AB327" s="52">
        <f t="shared" si="160"/>
        <v>0</v>
      </c>
      <c r="AC327" s="52">
        <f t="shared" si="160"/>
        <v>0</v>
      </c>
      <c r="AD327" s="52">
        <f t="shared" si="160"/>
        <v>0</v>
      </c>
      <c r="AE327" s="52">
        <f t="shared" si="160"/>
        <v>0</v>
      </c>
      <c r="AF327" s="52">
        <f t="shared" si="160"/>
        <v>0</v>
      </c>
      <c r="AG327" s="52">
        <f t="shared" si="160"/>
        <v>0</v>
      </c>
      <c r="AH327" s="52">
        <f t="shared" si="160"/>
        <v>0</v>
      </c>
      <c r="AI327" s="52">
        <f t="shared" si="160"/>
        <v>0</v>
      </c>
      <c r="AJ327" s="52">
        <f t="shared" si="160"/>
        <v>0</v>
      </c>
      <c r="AK327" s="52">
        <f t="shared" si="160"/>
        <v>1</v>
      </c>
      <c r="AL327" s="52">
        <f t="shared" si="160"/>
        <v>1</v>
      </c>
      <c r="AM327" s="52">
        <f t="shared" si="160"/>
        <v>1</v>
      </c>
      <c r="AN327" s="52">
        <f t="shared" si="160"/>
        <v>1</v>
      </c>
      <c r="AO327" s="52">
        <f t="shared" si="160"/>
        <v>1</v>
      </c>
      <c r="AP327" s="52">
        <f t="shared" si="160"/>
        <v>1</v>
      </c>
      <c r="AQ327" s="52">
        <f t="shared" si="160"/>
        <v>1</v>
      </c>
      <c r="AR327" s="52">
        <f t="shared" si="160"/>
        <v>1</v>
      </c>
      <c r="AS327" s="52">
        <f t="shared" si="160"/>
        <v>1</v>
      </c>
      <c r="AT327" s="52">
        <f t="shared" si="160"/>
        <v>1</v>
      </c>
      <c r="AU327" s="52">
        <f t="shared" si="160"/>
        <v>1</v>
      </c>
      <c r="AV327" s="52">
        <f t="shared" si="160"/>
        <v>1</v>
      </c>
      <c r="AW327" s="52">
        <f t="shared" si="160"/>
        <v>1</v>
      </c>
      <c r="AX327" s="52">
        <f t="shared" si="160"/>
        <v>1</v>
      </c>
      <c r="AY327" s="52">
        <f t="shared" si="160"/>
        <v>1</v>
      </c>
      <c r="AZ327" s="52">
        <f t="shared" si="160"/>
        <v>1</v>
      </c>
      <c r="BA327" s="52">
        <f t="shared" si="160"/>
        <v>1</v>
      </c>
      <c r="BB327" s="52">
        <f t="shared" si="160"/>
        <v>1</v>
      </c>
      <c r="BC327" s="52">
        <f t="shared" si="160"/>
        <v>1</v>
      </c>
      <c r="BD327" s="52">
        <f t="shared" si="159"/>
        <v>1</v>
      </c>
      <c r="BE327" s="52">
        <f t="shared" si="159"/>
        <v>1</v>
      </c>
      <c r="BF327" s="52">
        <f t="shared" si="159"/>
        <v>1</v>
      </c>
      <c r="BG327" s="52">
        <f t="shared" si="159"/>
        <v>1</v>
      </c>
      <c r="BH327" s="52">
        <f t="shared" si="159"/>
        <v>1</v>
      </c>
      <c r="BI327" s="52">
        <f t="shared" si="159"/>
        <v>1</v>
      </c>
      <c r="BJ327" s="52">
        <f t="shared" si="159"/>
        <v>1</v>
      </c>
      <c r="BK327" s="52">
        <f t="shared" si="159"/>
        <v>1</v>
      </c>
      <c r="BL327" s="52">
        <f t="shared" si="159"/>
        <v>1</v>
      </c>
      <c r="BM327" s="52">
        <f t="shared" si="159"/>
        <v>1</v>
      </c>
      <c r="BN327" s="52">
        <f t="shared" si="159"/>
        <v>1</v>
      </c>
      <c r="BO327" s="32">
        <f t="shared" si="134"/>
        <v>0.50847457627118642</v>
      </c>
    </row>
    <row r="328" spans="1:67" ht="24" x14ac:dyDescent="0.2">
      <c r="A328" s="50" t="s">
        <v>664</v>
      </c>
      <c r="B328" s="50" t="s">
        <v>665</v>
      </c>
      <c r="C328" s="50" t="s">
        <v>61</v>
      </c>
      <c r="D328" s="51">
        <f>VLOOKUP(A328,'[1]Cuadro Control'!C366:J2258,8,FALSE)</f>
        <v>1587346329.5488234</v>
      </c>
      <c r="E328" s="52">
        <f t="shared" si="155"/>
        <v>0.29899875353285565</v>
      </c>
      <c r="F328" s="53">
        <v>46413</v>
      </c>
      <c r="G328" s="53">
        <v>46423</v>
      </c>
      <c r="H328" s="52">
        <f t="shared" si="156"/>
        <v>0</v>
      </c>
      <c r="I328" s="52">
        <f t="shared" si="156"/>
        <v>0</v>
      </c>
      <c r="J328" s="52">
        <f t="shared" si="156"/>
        <v>0</v>
      </c>
      <c r="K328" s="52">
        <f t="shared" si="156"/>
        <v>0</v>
      </c>
      <c r="L328" s="52">
        <f t="shared" si="156"/>
        <v>0</v>
      </c>
      <c r="M328" s="52">
        <f t="shared" si="156"/>
        <v>0</v>
      </c>
      <c r="N328" s="52">
        <f t="shared" si="156"/>
        <v>0</v>
      </c>
      <c r="O328" s="52">
        <f t="shared" si="156"/>
        <v>0</v>
      </c>
      <c r="P328" s="52">
        <f t="shared" si="156"/>
        <v>0</v>
      </c>
      <c r="Q328" s="52">
        <f t="shared" si="156"/>
        <v>0</v>
      </c>
      <c r="R328" s="52">
        <f t="shared" si="156"/>
        <v>0</v>
      </c>
      <c r="S328" s="52">
        <f t="shared" si="156"/>
        <v>0</v>
      </c>
      <c r="T328" s="52">
        <f t="shared" si="156"/>
        <v>0</v>
      </c>
      <c r="U328" s="52">
        <f t="shared" si="156"/>
        <v>0</v>
      </c>
      <c r="V328" s="52">
        <f t="shared" si="156"/>
        <v>0</v>
      </c>
      <c r="W328" s="52">
        <f t="shared" si="156"/>
        <v>0</v>
      </c>
      <c r="X328" s="52">
        <f t="shared" si="160"/>
        <v>0</v>
      </c>
      <c r="Y328" s="52">
        <f t="shared" si="160"/>
        <v>0</v>
      </c>
      <c r="Z328" s="52">
        <f t="shared" si="160"/>
        <v>0</v>
      </c>
      <c r="AA328" s="52">
        <f t="shared" si="160"/>
        <v>0</v>
      </c>
      <c r="AB328" s="52">
        <f t="shared" si="160"/>
        <v>0</v>
      </c>
      <c r="AC328" s="52">
        <f t="shared" si="160"/>
        <v>0</v>
      </c>
      <c r="AD328" s="52">
        <f t="shared" si="160"/>
        <v>0</v>
      </c>
      <c r="AE328" s="52">
        <f t="shared" si="160"/>
        <v>0</v>
      </c>
      <c r="AF328" s="52">
        <f t="shared" si="160"/>
        <v>0</v>
      </c>
      <c r="AG328" s="52">
        <f t="shared" si="160"/>
        <v>0</v>
      </c>
      <c r="AH328" s="52">
        <f t="shared" si="160"/>
        <v>0</v>
      </c>
      <c r="AI328" s="52">
        <f t="shared" si="160"/>
        <v>0</v>
      </c>
      <c r="AJ328" s="52">
        <f t="shared" si="160"/>
        <v>0</v>
      </c>
      <c r="AK328" s="52">
        <f t="shared" si="160"/>
        <v>0.36363636363636365</v>
      </c>
      <c r="AL328" s="52">
        <f t="shared" si="160"/>
        <v>1</v>
      </c>
      <c r="AM328" s="52">
        <f t="shared" si="160"/>
        <v>1</v>
      </c>
      <c r="AN328" s="52">
        <f t="shared" si="160"/>
        <v>1</v>
      </c>
      <c r="AO328" s="52">
        <f t="shared" si="160"/>
        <v>1</v>
      </c>
      <c r="AP328" s="52">
        <f t="shared" si="160"/>
        <v>1</v>
      </c>
      <c r="AQ328" s="52">
        <f t="shared" si="160"/>
        <v>1</v>
      </c>
      <c r="AR328" s="52">
        <f t="shared" si="160"/>
        <v>1</v>
      </c>
      <c r="AS328" s="52">
        <f t="shared" si="160"/>
        <v>1</v>
      </c>
      <c r="AT328" s="52">
        <f t="shared" si="160"/>
        <v>1</v>
      </c>
      <c r="AU328" s="52">
        <f t="shared" si="160"/>
        <v>1</v>
      </c>
      <c r="AV328" s="52">
        <f t="shared" si="160"/>
        <v>1</v>
      </c>
      <c r="AW328" s="52">
        <f t="shared" si="160"/>
        <v>1</v>
      </c>
      <c r="AX328" s="52">
        <f t="shared" si="160"/>
        <v>1</v>
      </c>
      <c r="AY328" s="52">
        <f t="shared" si="160"/>
        <v>1</v>
      </c>
      <c r="AZ328" s="52">
        <f t="shared" si="160"/>
        <v>1</v>
      </c>
      <c r="BA328" s="52">
        <f t="shared" si="160"/>
        <v>1</v>
      </c>
      <c r="BB328" s="52">
        <f t="shared" si="160"/>
        <v>1</v>
      </c>
      <c r="BC328" s="52">
        <f t="shared" si="160"/>
        <v>1</v>
      </c>
      <c r="BD328" s="52">
        <f t="shared" si="159"/>
        <v>1</v>
      </c>
      <c r="BE328" s="52">
        <f t="shared" si="159"/>
        <v>1</v>
      </c>
      <c r="BF328" s="52">
        <f t="shared" si="159"/>
        <v>1</v>
      </c>
      <c r="BG328" s="52">
        <f t="shared" si="159"/>
        <v>1</v>
      </c>
      <c r="BH328" s="52">
        <f t="shared" si="159"/>
        <v>1</v>
      </c>
      <c r="BI328" s="52">
        <f t="shared" si="159"/>
        <v>1</v>
      </c>
      <c r="BJ328" s="52">
        <f t="shared" si="159"/>
        <v>1</v>
      </c>
      <c r="BK328" s="52">
        <f t="shared" si="159"/>
        <v>1</v>
      </c>
      <c r="BL328" s="52">
        <f t="shared" si="159"/>
        <v>1</v>
      </c>
      <c r="BM328" s="52">
        <f t="shared" si="159"/>
        <v>1</v>
      </c>
      <c r="BN328" s="52">
        <f t="shared" si="159"/>
        <v>1</v>
      </c>
      <c r="BO328" s="32">
        <f t="shared" si="134"/>
        <v>0.49768875192604006</v>
      </c>
    </row>
    <row r="329" spans="1:67" ht="30" x14ac:dyDescent="0.2">
      <c r="A329" s="46" t="s">
        <v>666</v>
      </c>
      <c r="B329" s="46" t="s">
        <v>667</v>
      </c>
      <c r="C329" s="46" t="s">
        <v>61</v>
      </c>
      <c r="D329" s="47">
        <f>VLOOKUP(A329,'[1]Cuadro Control'!C367:J2259,8,FALSE)</f>
        <v>179532477.23999998</v>
      </c>
      <c r="E329" s="48">
        <f t="shared" si="155"/>
        <v>3.3817438522495219E-2</v>
      </c>
      <c r="F329" s="49">
        <v>46415</v>
      </c>
      <c r="G329" s="49">
        <v>46428</v>
      </c>
      <c r="H329" s="48">
        <f t="shared" si="156"/>
        <v>0</v>
      </c>
      <c r="I329" s="48">
        <f t="shared" si="156"/>
        <v>0</v>
      </c>
      <c r="J329" s="48">
        <f t="shared" si="156"/>
        <v>0</v>
      </c>
      <c r="K329" s="48">
        <f t="shared" si="156"/>
        <v>0</v>
      </c>
      <c r="L329" s="48">
        <f t="shared" si="156"/>
        <v>0</v>
      </c>
      <c r="M329" s="48">
        <f t="shared" si="156"/>
        <v>0</v>
      </c>
      <c r="N329" s="48">
        <f t="shared" si="156"/>
        <v>0</v>
      </c>
      <c r="O329" s="48">
        <f t="shared" si="156"/>
        <v>0</v>
      </c>
      <c r="P329" s="48">
        <f t="shared" si="156"/>
        <v>0</v>
      </c>
      <c r="Q329" s="48">
        <f t="shared" si="156"/>
        <v>0</v>
      </c>
      <c r="R329" s="48">
        <f t="shared" si="156"/>
        <v>0</v>
      </c>
      <c r="S329" s="48">
        <f t="shared" si="156"/>
        <v>0</v>
      </c>
      <c r="T329" s="48">
        <f t="shared" si="156"/>
        <v>0</v>
      </c>
      <c r="U329" s="48">
        <f t="shared" si="156"/>
        <v>0</v>
      </c>
      <c r="V329" s="48">
        <f t="shared" si="156"/>
        <v>0</v>
      </c>
      <c r="W329" s="48">
        <f t="shared" si="156"/>
        <v>0</v>
      </c>
      <c r="X329" s="48">
        <f t="shared" si="160"/>
        <v>0</v>
      </c>
      <c r="Y329" s="48">
        <f t="shared" si="160"/>
        <v>0</v>
      </c>
      <c r="Z329" s="48">
        <f t="shared" si="160"/>
        <v>0</v>
      </c>
      <c r="AA329" s="48">
        <f t="shared" si="160"/>
        <v>0</v>
      </c>
      <c r="AB329" s="48">
        <f t="shared" si="160"/>
        <v>0</v>
      </c>
      <c r="AC329" s="48">
        <f t="shared" si="160"/>
        <v>0</v>
      </c>
      <c r="AD329" s="48">
        <f t="shared" si="160"/>
        <v>0</v>
      </c>
      <c r="AE329" s="48">
        <f t="shared" si="160"/>
        <v>0</v>
      </c>
      <c r="AF329" s="48">
        <f t="shared" si="160"/>
        <v>0</v>
      </c>
      <c r="AG329" s="48">
        <f t="shared" si="160"/>
        <v>0</v>
      </c>
      <c r="AH329" s="48">
        <f t="shared" si="160"/>
        <v>0</v>
      </c>
      <c r="AI329" s="48">
        <f t="shared" si="160"/>
        <v>0</v>
      </c>
      <c r="AJ329" s="48">
        <f t="shared" si="160"/>
        <v>0</v>
      </c>
      <c r="AK329" s="48">
        <f t="shared" si="160"/>
        <v>0.14285714285714285</v>
      </c>
      <c r="AL329" s="48">
        <f t="shared" si="160"/>
        <v>0.6428571428571429</v>
      </c>
      <c r="AM329" s="48">
        <f t="shared" si="160"/>
        <v>1</v>
      </c>
      <c r="AN329" s="48">
        <f t="shared" si="160"/>
        <v>1</v>
      </c>
      <c r="AO329" s="48">
        <f t="shared" si="160"/>
        <v>1</v>
      </c>
      <c r="AP329" s="48">
        <f t="shared" si="160"/>
        <v>1</v>
      </c>
      <c r="AQ329" s="48">
        <f t="shared" si="160"/>
        <v>1</v>
      </c>
      <c r="AR329" s="48">
        <f t="shared" si="160"/>
        <v>1</v>
      </c>
      <c r="AS329" s="48">
        <f t="shared" si="160"/>
        <v>1</v>
      </c>
      <c r="AT329" s="48">
        <f t="shared" si="160"/>
        <v>1</v>
      </c>
      <c r="AU329" s="48">
        <f t="shared" si="160"/>
        <v>1</v>
      </c>
      <c r="AV329" s="48">
        <f t="shared" si="160"/>
        <v>1</v>
      </c>
      <c r="AW329" s="48">
        <f t="shared" si="160"/>
        <v>1</v>
      </c>
      <c r="AX329" s="48">
        <f t="shared" si="160"/>
        <v>1</v>
      </c>
      <c r="AY329" s="48">
        <f t="shared" si="160"/>
        <v>1</v>
      </c>
      <c r="AZ329" s="48">
        <f t="shared" si="160"/>
        <v>1</v>
      </c>
      <c r="BA329" s="48">
        <f t="shared" si="160"/>
        <v>1</v>
      </c>
      <c r="BB329" s="48">
        <f t="shared" si="160"/>
        <v>1</v>
      </c>
      <c r="BC329" s="48">
        <f t="shared" si="160"/>
        <v>1</v>
      </c>
      <c r="BD329" s="48">
        <f t="shared" si="159"/>
        <v>1</v>
      </c>
      <c r="BE329" s="48">
        <f t="shared" si="159"/>
        <v>1</v>
      </c>
      <c r="BF329" s="48">
        <f t="shared" si="159"/>
        <v>1</v>
      </c>
      <c r="BG329" s="48">
        <f t="shared" si="159"/>
        <v>1</v>
      </c>
      <c r="BH329" s="48">
        <f t="shared" si="159"/>
        <v>1</v>
      </c>
      <c r="BI329" s="48">
        <f t="shared" si="159"/>
        <v>1</v>
      </c>
      <c r="BJ329" s="48">
        <f t="shared" si="159"/>
        <v>1</v>
      </c>
      <c r="BK329" s="48">
        <f t="shared" si="159"/>
        <v>1</v>
      </c>
      <c r="BL329" s="48">
        <f t="shared" si="159"/>
        <v>1</v>
      </c>
      <c r="BM329" s="48">
        <f t="shared" si="159"/>
        <v>1</v>
      </c>
      <c r="BN329" s="48">
        <f t="shared" si="159"/>
        <v>1</v>
      </c>
      <c r="BO329" s="32">
        <f t="shared" si="134"/>
        <v>0.48789346246973364</v>
      </c>
    </row>
    <row r="330" spans="1:67" ht="24" x14ac:dyDescent="0.2">
      <c r="A330" s="55" t="s">
        <v>668</v>
      </c>
      <c r="B330" s="55" t="s">
        <v>669</v>
      </c>
      <c r="C330" s="55" t="s">
        <v>14</v>
      </c>
      <c r="D330" s="56">
        <f>VLOOKUP(A330,'[1]Cuadro Control'!C368:J2260,8,FALSE)</f>
        <v>0</v>
      </c>
      <c r="E330" s="57">
        <f>IFERROR(D330/$D$314,0)</f>
        <v>0</v>
      </c>
      <c r="F330" s="58">
        <v>46428</v>
      </c>
      <c r="G330" s="58">
        <v>46428</v>
      </c>
      <c r="H330" s="57">
        <f t="shared" si="156"/>
        <v>0</v>
      </c>
      <c r="I330" s="57">
        <f t="shared" si="156"/>
        <v>0</v>
      </c>
      <c r="J330" s="57">
        <f t="shared" si="156"/>
        <v>0</v>
      </c>
      <c r="K330" s="57">
        <f t="shared" si="156"/>
        <v>0</v>
      </c>
      <c r="L330" s="57">
        <f t="shared" si="156"/>
        <v>0</v>
      </c>
      <c r="M330" s="57">
        <f t="shared" si="156"/>
        <v>0</v>
      </c>
      <c r="N330" s="57">
        <f t="shared" si="156"/>
        <v>0</v>
      </c>
      <c r="O330" s="57">
        <f t="shared" si="156"/>
        <v>0</v>
      </c>
      <c r="P330" s="57">
        <f t="shared" si="156"/>
        <v>0</v>
      </c>
      <c r="Q330" s="57">
        <f t="shared" si="156"/>
        <v>0</v>
      </c>
      <c r="R330" s="57">
        <f t="shared" si="156"/>
        <v>0</v>
      </c>
      <c r="S330" s="57">
        <f t="shared" si="156"/>
        <v>0</v>
      </c>
      <c r="T330" s="57">
        <f t="shared" si="156"/>
        <v>0</v>
      </c>
      <c r="U330" s="57">
        <f t="shared" si="156"/>
        <v>0</v>
      </c>
      <c r="V330" s="57">
        <f t="shared" si="156"/>
        <v>0</v>
      </c>
      <c r="W330" s="57">
        <f t="shared" ref="W330:AN330" si="161">IF($F330=0,0,IF(W$6&lt;$F330,0,IF(W$6&gt;$G330,1,(W$6-$F330+1)/($G330-$F330+1))))</f>
        <v>0</v>
      </c>
      <c r="X330" s="57">
        <f t="shared" si="161"/>
        <v>0</v>
      </c>
      <c r="Y330" s="57">
        <f t="shared" si="161"/>
        <v>0</v>
      </c>
      <c r="Z330" s="57">
        <f t="shared" si="161"/>
        <v>0</v>
      </c>
      <c r="AA330" s="57">
        <f t="shared" si="161"/>
        <v>0</v>
      </c>
      <c r="AB330" s="57">
        <f t="shared" si="161"/>
        <v>0</v>
      </c>
      <c r="AC330" s="57">
        <f t="shared" si="161"/>
        <v>0</v>
      </c>
      <c r="AD330" s="57">
        <f t="shared" si="161"/>
        <v>0</v>
      </c>
      <c r="AE330" s="57">
        <f t="shared" si="161"/>
        <v>0</v>
      </c>
      <c r="AF330" s="57">
        <f t="shared" si="161"/>
        <v>0</v>
      </c>
      <c r="AG330" s="57">
        <f t="shared" si="161"/>
        <v>0</v>
      </c>
      <c r="AH330" s="57">
        <f t="shared" si="161"/>
        <v>0</v>
      </c>
      <c r="AI330" s="57">
        <f t="shared" si="161"/>
        <v>0</v>
      </c>
      <c r="AJ330" s="57">
        <f t="shared" si="161"/>
        <v>0</v>
      </c>
      <c r="AK330" s="57">
        <f t="shared" si="161"/>
        <v>0</v>
      </c>
      <c r="AL330" s="57">
        <f t="shared" si="161"/>
        <v>0</v>
      </c>
      <c r="AM330" s="57">
        <f t="shared" si="161"/>
        <v>1</v>
      </c>
      <c r="AN330" s="57">
        <f t="shared" si="161"/>
        <v>1</v>
      </c>
      <c r="AO330" s="57">
        <f t="shared" si="160"/>
        <v>1</v>
      </c>
      <c r="AP330" s="57">
        <f t="shared" si="160"/>
        <v>1</v>
      </c>
      <c r="AQ330" s="57">
        <f t="shared" si="160"/>
        <v>1</v>
      </c>
      <c r="AR330" s="57">
        <f t="shared" si="160"/>
        <v>1</v>
      </c>
      <c r="AS330" s="57">
        <f t="shared" si="160"/>
        <v>1</v>
      </c>
      <c r="AT330" s="57">
        <f t="shared" si="160"/>
        <v>1</v>
      </c>
      <c r="AU330" s="57">
        <f t="shared" si="160"/>
        <v>1</v>
      </c>
      <c r="AV330" s="57">
        <f t="shared" si="160"/>
        <v>1</v>
      </c>
      <c r="AW330" s="57">
        <f t="shared" si="160"/>
        <v>1</v>
      </c>
      <c r="AX330" s="57">
        <f t="shared" si="160"/>
        <v>1</v>
      </c>
      <c r="AY330" s="57">
        <f t="shared" si="160"/>
        <v>1</v>
      </c>
      <c r="AZ330" s="57">
        <f t="shared" si="160"/>
        <v>1</v>
      </c>
      <c r="BA330" s="57">
        <f t="shared" si="160"/>
        <v>1</v>
      </c>
      <c r="BB330" s="57">
        <f t="shared" si="160"/>
        <v>1</v>
      </c>
      <c r="BC330" s="57">
        <f t="shared" si="160"/>
        <v>1</v>
      </c>
      <c r="BD330" s="57">
        <f t="shared" si="159"/>
        <v>1</v>
      </c>
      <c r="BE330" s="57">
        <f t="shared" si="159"/>
        <v>1</v>
      </c>
      <c r="BF330" s="57">
        <f t="shared" si="159"/>
        <v>1</v>
      </c>
      <c r="BG330" s="57">
        <f t="shared" si="159"/>
        <v>1</v>
      </c>
      <c r="BH330" s="57">
        <f t="shared" si="159"/>
        <v>1</v>
      </c>
      <c r="BI330" s="57">
        <f t="shared" si="159"/>
        <v>1</v>
      </c>
      <c r="BJ330" s="57">
        <f t="shared" si="159"/>
        <v>1</v>
      </c>
      <c r="BK330" s="57">
        <f t="shared" si="159"/>
        <v>1</v>
      </c>
      <c r="BL330" s="57">
        <f t="shared" si="159"/>
        <v>1</v>
      </c>
      <c r="BM330" s="57">
        <f t="shared" si="159"/>
        <v>1</v>
      </c>
      <c r="BN330" s="57">
        <f t="shared" si="159"/>
        <v>1</v>
      </c>
      <c r="BO330" s="32">
        <f t="shared" ref="BO330:BO393" si="162">+AVERAGE(H330:BN330)</f>
        <v>0.47457627118644069</v>
      </c>
    </row>
    <row r="331" spans="1:67" x14ac:dyDescent="0.2">
      <c r="A331" s="42" t="s">
        <v>670</v>
      </c>
      <c r="B331" s="42" t="s">
        <v>671</v>
      </c>
      <c r="C331" s="42" t="s">
        <v>467</v>
      </c>
      <c r="D331" s="43">
        <f>SUM(D332:D347)</f>
        <v>5308872732.0543728</v>
      </c>
      <c r="E331" s="44">
        <f>IFERROR(D331/$D$109,0)</f>
        <v>2.9408554574576196E-2</v>
      </c>
      <c r="F331" s="45">
        <v>46349</v>
      </c>
      <c r="G331" s="45">
        <v>46435</v>
      </c>
      <c r="H331" s="44">
        <f>SUMPRODUCT($E332:$E346,H332:H346)</f>
        <v>0</v>
      </c>
      <c r="I331" s="44">
        <f t="shared" ref="I331:BN331" si="163">SUMPRODUCT($E332:$E346,I332:I346)</f>
        <v>0</v>
      </c>
      <c r="J331" s="44">
        <f t="shared" si="163"/>
        <v>0</v>
      </c>
      <c r="K331" s="44">
        <f t="shared" si="163"/>
        <v>0</v>
      </c>
      <c r="L331" s="44">
        <f t="shared" si="163"/>
        <v>0</v>
      </c>
      <c r="M331" s="44">
        <f t="shared" si="163"/>
        <v>0</v>
      </c>
      <c r="N331" s="44">
        <f t="shared" si="163"/>
        <v>0</v>
      </c>
      <c r="O331" s="44">
        <f t="shared" si="163"/>
        <v>0</v>
      </c>
      <c r="P331" s="44">
        <f t="shared" si="163"/>
        <v>0</v>
      </c>
      <c r="Q331" s="44">
        <f t="shared" si="163"/>
        <v>0</v>
      </c>
      <c r="R331" s="44">
        <f t="shared" si="163"/>
        <v>0</v>
      </c>
      <c r="S331" s="44">
        <f t="shared" si="163"/>
        <v>0</v>
      </c>
      <c r="T331" s="44">
        <f t="shared" si="163"/>
        <v>0</v>
      </c>
      <c r="U331" s="44">
        <f t="shared" si="163"/>
        <v>0</v>
      </c>
      <c r="V331" s="44">
        <f t="shared" si="163"/>
        <v>0</v>
      </c>
      <c r="W331" s="44">
        <f t="shared" si="163"/>
        <v>0</v>
      </c>
      <c r="X331" s="44">
        <f t="shared" si="163"/>
        <v>0</v>
      </c>
      <c r="Y331" s="44">
        <f t="shared" si="163"/>
        <v>0</v>
      </c>
      <c r="Z331" s="44">
        <f t="shared" si="163"/>
        <v>0</v>
      </c>
      <c r="AA331" s="44">
        <f t="shared" si="163"/>
        <v>0</v>
      </c>
      <c r="AB331" s="44">
        <f t="shared" si="163"/>
        <v>8.7141099111024359E-3</v>
      </c>
      <c r="AC331" s="44">
        <f t="shared" si="163"/>
        <v>1.5685397839984384E-2</v>
      </c>
      <c r="AD331" s="44">
        <f t="shared" si="163"/>
        <v>4.8374332157511336E-2</v>
      </c>
      <c r="AE331" s="44">
        <f t="shared" si="163"/>
        <v>8.6381780999194982E-2</v>
      </c>
      <c r="AF331" s="44">
        <f t="shared" si="163"/>
        <v>0.15445319352941653</v>
      </c>
      <c r="AG331" s="44">
        <f t="shared" si="163"/>
        <v>0.21109391284063891</v>
      </c>
      <c r="AH331" s="44">
        <f t="shared" si="163"/>
        <v>0.29103897798818501</v>
      </c>
      <c r="AI331" s="44">
        <f t="shared" si="163"/>
        <v>0.37098404313573108</v>
      </c>
      <c r="AJ331" s="44">
        <f t="shared" si="163"/>
        <v>0.64850810003989967</v>
      </c>
      <c r="AK331" s="44">
        <f t="shared" si="163"/>
        <v>0.64850810003989967</v>
      </c>
      <c r="AL331" s="44">
        <f t="shared" si="163"/>
        <v>0.78074169005721283</v>
      </c>
      <c r="AM331" s="44">
        <f t="shared" si="163"/>
        <v>0.98792234338482321</v>
      </c>
      <c r="AN331" s="44">
        <f t="shared" si="163"/>
        <v>1</v>
      </c>
      <c r="AO331" s="44">
        <f t="shared" si="163"/>
        <v>1</v>
      </c>
      <c r="AP331" s="44">
        <f t="shared" si="163"/>
        <v>1</v>
      </c>
      <c r="AQ331" s="44">
        <f t="shared" si="163"/>
        <v>1</v>
      </c>
      <c r="AR331" s="44">
        <f t="shared" si="163"/>
        <v>1</v>
      </c>
      <c r="AS331" s="44">
        <f t="shared" si="163"/>
        <v>1</v>
      </c>
      <c r="AT331" s="44">
        <f t="shared" si="163"/>
        <v>1</v>
      </c>
      <c r="AU331" s="44">
        <f t="shared" si="163"/>
        <v>1</v>
      </c>
      <c r="AV331" s="44">
        <f t="shared" si="163"/>
        <v>1</v>
      </c>
      <c r="AW331" s="44">
        <f t="shared" si="163"/>
        <v>1</v>
      </c>
      <c r="AX331" s="44">
        <f t="shared" si="163"/>
        <v>1</v>
      </c>
      <c r="AY331" s="44">
        <f t="shared" si="163"/>
        <v>1</v>
      </c>
      <c r="AZ331" s="44">
        <f t="shared" si="163"/>
        <v>1</v>
      </c>
      <c r="BA331" s="44">
        <f t="shared" si="163"/>
        <v>1</v>
      </c>
      <c r="BB331" s="44">
        <f t="shared" si="163"/>
        <v>1</v>
      </c>
      <c r="BC331" s="44">
        <f t="shared" si="163"/>
        <v>1</v>
      </c>
      <c r="BD331" s="44">
        <f t="shared" si="163"/>
        <v>1</v>
      </c>
      <c r="BE331" s="44">
        <f t="shared" si="163"/>
        <v>1</v>
      </c>
      <c r="BF331" s="44">
        <f t="shared" si="163"/>
        <v>1</v>
      </c>
      <c r="BG331" s="44">
        <f t="shared" si="163"/>
        <v>1</v>
      </c>
      <c r="BH331" s="44">
        <f t="shared" si="163"/>
        <v>1</v>
      </c>
      <c r="BI331" s="44">
        <f t="shared" si="163"/>
        <v>1</v>
      </c>
      <c r="BJ331" s="44">
        <f t="shared" si="163"/>
        <v>1</v>
      </c>
      <c r="BK331" s="44">
        <f t="shared" si="163"/>
        <v>1</v>
      </c>
      <c r="BL331" s="44">
        <f t="shared" si="163"/>
        <v>1</v>
      </c>
      <c r="BM331" s="44">
        <f t="shared" si="163"/>
        <v>1</v>
      </c>
      <c r="BN331" s="44">
        <f t="shared" si="163"/>
        <v>1</v>
      </c>
      <c r="BO331" s="32">
        <f t="shared" si="162"/>
        <v>0.52970179630378988</v>
      </c>
    </row>
    <row r="332" spans="1:67" ht="24" x14ac:dyDescent="0.2">
      <c r="A332" s="50" t="s">
        <v>672</v>
      </c>
      <c r="B332" s="50" t="s">
        <v>673</v>
      </c>
      <c r="C332" s="50" t="s">
        <v>74</v>
      </c>
      <c r="D332" s="51">
        <f>VLOOKUP(A332,'[1]Cuadro Control'!C370:J2262,8,FALSE)</f>
        <v>83271780.884117648</v>
      </c>
      <c r="E332" s="52">
        <f t="shared" ref="E332:E346" si="164">IFERROR(D332/$D$331,0)</f>
        <v>1.5685397839984384E-2</v>
      </c>
      <c r="F332" s="53">
        <v>46349</v>
      </c>
      <c r="G332" s="53">
        <v>46357</v>
      </c>
      <c r="H332" s="52">
        <f t="shared" ref="H332:W347" si="165">IF($F332=0,0,IF(H$6&lt;$F332,0,IF(H$6&gt;$G332,1,(H$6-$F332+1)/($G332-$F332+1))))</f>
        <v>0</v>
      </c>
      <c r="I332" s="52">
        <f t="shared" si="165"/>
        <v>0</v>
      </c>
      <c r="J332" s="52">
        <f t="shared" si="165"/>
        <v>0</v>
      </c>
      <c r="K332" s="52">
        <f t="shared" si="165"/>
        <v>0</v>
      </c>
      <c r="L332" s="52">
        <f t="shared" si="165"/>
        <v>0</v>
      </c>
      <c r="M332" s="52">
        <f t="shared" si="165"/>
        <v>0</v>
      </c>
      <c r="N332" s="52">
        <f t="shared" si="165"/>
        <v>0</v>
      </c>
      <c r="O332" s="52">
        <f t="shared" si="165"/>
        <v>0</v>
      </c>
      <c r="P332" s="52">
        <f t="shared" si="165"/>
        <v>0</v>
      </c>
      <c r="Q332" s="52">
        <f t="shared" si="165"/>
        <v>0</v>
      </c>
      <c r="R332" s="52">
        <f t="shared" si="165"/>
        <v>0</v>
      </c>
      <c r="S332" s="52">
        <f t="shared" si="165"/>
        <v>0</v>
      </c>
      <c r="T332" s="52">
        <f t="shared" si="165"/>
        <v>0</v>
      </c>
      <c r="U332" s="52">
        <f t="shared" si="165"/>
        <v>0</v>
      </c>
      <c r="V332" s="52">
        <f t="shared" si="165"/>
        <v>0</v>
      </c>
      <c r="W332" s="52">
        <f t="shared" si="165"/>
        <v>0</v>
      </c>
      <c r="X332" s="52">
        <f t="shared" ref="X332:BC339" si="166">IF($F332=0,0,IF(X$6&lt;$F332,0,IF(X$6&gt;$G332,1,(X$6-$F332+1)/($G332-$F332+1))))</f>
        <v>0</v>
      </c>
      <c r="Y332" s="52">
        <f t="shared" si="166"/>
        <v>0</v>
      </c>
      <c r="Z332" s="52">
        <f t="shared" si="166"/>
        <v>0</v>
      </c>
      <c r="AA332" s="52">
        <f t="shared" si="166"/>
        <v>0</v>
      </c>
      <c r="AB332" s="52">
        <f t="shared" si="166"/>
        <v>0.55555555555555558</v>
      </c>
      <c r="AC332" s="52">
        <f t="shared" si="166"/>
        <v>1</v>
      </c>
      <c r="AD332" s="52">
        <f t="shared" si="166"/>
        <v>1</v>
      </c>
      <c r="AE332" s="52">
        <f t="shared" si="166"/>
        <v>1</v>
      </c>
      <c r="AF332" s="52">
        <f t="shared" si="166"/>
        <v>1</v>
      </c>
      <c r="AG332" s="52">
        <f t="shared" si="166"/>
        <v>1</v>
      </c>
      <c r="AH332" s="52">
        <f t="shared" si="166"/>
        <v>1</v>
      </c>
      <c r="AI332" s="52">
        <f t="shared" si="166"/>
        <v>1</v>
      </c>
      <c r="AJ332" s="52">
        <f t="shared" si="166"/>
        <v>1</v>
      </c>
      <c r="AK332" s="52">
        <f t="shared" si="166"/>
        <v>1</v>
      </c>
      <c r="AL332" s="52">
        <f t="shared" si="166"/>
        <v>1</v>
      </c>
      <c r="AM332" s="52">
        <f t="shared" si="166"/>
        <v>1</v>
      </c>
      <c r="AN332" s="52">
        <f t="shared" si="166"/>
        <v>1</v>
      </c>
      <c r="AO332" s="52">
        <f t="shared" si="166"/>
        <v>1</v>
      </c>
      <c r="AP332" s="52">
        <f t="shared" si="166"/>
        <v>1</v>
      </c>
      <c r="AQ332" s="52">
        <f t="shared" si="166"/>
        <v>1</v>
      </c>
      <c r="AR332" s="52">
        <f t="shared" si="166"/>
        <v>1</v>
      </c>
      <c r="AS332" s="52">
        <f t="shared" si="166"/>
        <v>1</v>
      </c>
      <c r="AT332" s="52">
        <f t="shared" si="166"/>
        <v>1</v>
      </c>
      <c r="AU332" s="52">
        <f t="shared" si="166"/>
        <v>1</v>
      </c>
      <c r="AV332" s="52">
        <f t="shared" si="166"/>
        <v>1</v>
      </c>
      <c r="AW332" s="52">
        <f t="shared" si="166"/>
        <v>1</v>
      </c>
      <c r="AX332" s="52">
        <f t="shared" si="166"/>
        <v>1</v>
      </c>
      <c r="AY332" s="52">
        <f t="shared" si="166"/>
        <v>1</v>
      </c>
      <c r="AZ332" s="52">
        <f t="shared" si="166"/>
        <v>1</v>
      </c>
      <c r="BA332" s="52">
        <f t="shared" si="166"/>
        <v>1</v>
      </c>
      <c r="BB332" s="52">
        <f t="shared" si="166"/>
        <v>1</v>
      </c>
      <c r="BC332" s="52">
        <f t="shared" si="166"/>
        <v>1</v>
      </c>
      <c r="BD332" s="52">
        <f t="shared" ref="BD332:BN338" si="167">IF($F332=0,0,IF(BD$6&lt;$F332,0,IF(BD$6&gt;$G332,1,(BD$6-$F332+1)/($G332-$F332+1))))</f>
        <v>1</v>
      </c>
      <c r="BE332" s="52">
        <f t="shared" si="167"/>
        <v>1</v>
      </c>
      <c r="BF332" s="52">
        <f t="shared" si="167"/>
        <v>1</v>
      </c>
      <c r="BG332" s="52">
        <f t="shared" si="167"/>
        <v>1</v>
      </c>
      <c r="BH332" s="52">
        <f t="shared" si="167"/>
        <v>1</v>
      </c>
      <c r="BI332" s="52">
        <f t="shared" si="167"/>
        <v>1</v>
      </c>
      <c r="BJ332" s="52">
        <f t="shared" si="167"/>
        <v>1</v>
      </c>
      <c r="BK332" s="52">
        <f t="shared" si="167"/>
        <v>1</v>
      </c>
      <c r="BL332" s="52">
        <f t="shared" si="167"/>
        <v>1</v>
      </c>
      <c r="BM332" s="52">
        <f t="shared" si="167"/>
        <v>1</v>
      </c>
      <c r="BN332" s="52">
        <f t="shared" si="167"/>
        <v>1</v>
      </c>
      <c r="BO332" s="32">
        <f t="shared" si="162"/>
        <v>0.65348399246704336</v>
      </c>
    </row>
    <row r="333" spans="1:67" x14ac:dyDescent="0.2">
      <c r="A333" s="50" t="s">
        <v>674</v>
      </c>
      <c r="B333" s="50" t="s">
        <v>675</v>
      </c>
      <c r="C333" s="50" t="s">
        <v>61</v>
      </c>
      <c r="D333" s="51">
        <f>VLOOKUP(A333,'[1]Cuadro Control'!C371:J2263,8,FALSE)</f>
        <v>312374505.66882348</v>
      </c>
      <c r="E333" s="52">
        <f t="shared" si="164"/>
        <v>5.8840081771548515E-2</v>
      </c>
      <c r="F333" s="53">
        <v>46363</v>
      </c>
      <c r="G333" s="53">
        <v>46371</v>
      </c>
      <c r="H333" s="52">
        <f t="shared" si="165"/>
        <v>0</v>
      </c>
      <c r="I333" s="52">
        <f t="shared" si="165"/>
        <v>0</v>
      </c>
      <c r="J333" s="52">
        <f t="shared" si="165"/>
        <v>0</v>
      </c>
      <c r="K333" s="52">
        <f t="shared" si="165"/>
        <v>0</v>
      </c>
      <c r="L333" s="52">
        <f t="shared" si="165"/>
        <v>0</v>
      </c>
      <c r="M333" s="52">
        <f t="shared" si="165"/>
        <v>0</v>
      </c>
      <c r="N333" s="52">
        <f t="shared" si="165"/>
        <v>0</v>
      </c>
      <c r="O333" s="52">
        <f t="shared" si="165"/>
        <v>0</v>
      </c>
      <c r="P333" s="52">
        <f t="shared" si="165"/>
        <v>0</v>
      </c>
      <c r="Q333" s="52">
        <f t="shared" si="165"/>
        <v>0</v>
      </c>
      <c r="R333" s="52">
        <f t="shared" si="165"/>
        <v>0</v>
      </c>
      <c r="S333" s="52">
        <f t="shared" si="165"/>
        <v>0</v>
      </c>
      <c r="T333" s="52">
        <f t="shared" si="165"/>
        <v>0</v>
      </c>
      <c r="U333" s="52">
        <f t="shared" si="165"/>
        <v>0</v>
      </c>
      <c r="V333" s="52">
        <f t="shared" si="165"/>
        <v>0</v>
      </c>
      <c r="W333" s="52">
        <f t="shared" si="165"/>
        <v>0</v>
      </c>
      <c r="X333" s="52">
        <f t="shared" si="166"/>
        <v>0</v>
      </c>
      <c r="Y333" s="52">
        <f t="shared" si="166"/>
        <v>0</v>
      </c>
      <c r="Z333" s="52">
        <f t="shared" si="166"/>
        <v>0</v>
      </c>
      <c r="AA333" s="52">
        <f t="shared" si="166"/>
        <v>0</v>
      </c>
      <c r="AB333" s="52">
        <f t="shared" si="166"/>
        <v>0</v>
      </c>
      <c r="AC333" s="52">
        <f t="shared" si="166"/>
        <v>0</v>
      </c>
      <c r="AD333" s="52">
        <f t="shared" si="166"/>
        <v>0.55555555555555558</v>
      </c>
      <c r="AE333" s="52">
        <f t="shared" si="166"/>
        <v>1</v>
      </c>
      <c r="AF333" s="52">
        <f t="shared" si="166"/>
        <v>1</v>
      </c>
      <c r="AG333" s="52">
        <f t="shared" si="166"/>
        <v>1</v>
      </c>
      <c r="AH333" s="52">
        <f t="shared" si="166"/>
        <v>1</v>
      </c>
      <c r="AI333" s="52">
        <f t="shared" si="166"/>
        <v>1</v>
      </c>
      <c r="AJ333" s="52">
        <f t="shared" si="166"/>
        <v>1</v>
      </c>
      <c r="AK333" s="52">
        <f t="shared" si="166"/>
        <v>1</v>
      </c>
      <c r="AL333" s="52">
        <f t="shared" si="166"/>
        <v>1</v>
      </c>
      <c r="AM333" s="52">
        <f t="shared" si="166"/>
        <v>1</v>
      </c>
      <c r="AN333" s="52">
        <f t="shared" si="166"/>
        <v>1</v>
      </c>
      <c r="AO333" s="52">
        <f t="shared" si="166"/>
        <v>1</v>
      </c>
      <c r="AP333" s="52">
        <f t="shared" si="166"/>
        <v>1</v>
      </c>
      <c r="AQ333" s="52">
        <f t="shared" si="166"/>
        <v>1</v>
      </c>
      <c r="AR333" s="52">
        <f t="shared" si="166"/>
        <v>1</v>
      </c>
      <c r="AS333" s="52">
        <f t="shared" si="166"/>
        <v>1</v>
      </c>
      <c r="AT333" s="52">
        <f t="shared" si="166"/>
        <v>1</v>
      </c>
      <c r="AU333" s="52">
        <f t="shared" si="166"/>
        <v>1</v>
      </c>
      <c r="AV333" s="52">
        <f t="shared" si="166"/>
        <v>1</v>
      </c>
      <c r="AW333" s="52">
        <f t="shared" si="166"/>
        <v>1</v>
      </c>
      <c r="AX333" s="52">
        <f t="shared" si="166"/>
        <v>1</v>
      </c>
      <c r="AY333" s="52">
        <f t="shared" si="166"/>
        <v>1</v>
      </c>
      <c r="AZ333" s="52">
        <f t="shared" si="166"/>
        <v>1</v>
      </c>
      <c r="BA333" s="52">
        <f t="shared" si="166"/>
        <v>1</v>
      </c>
      <c r="BB333" s="52">
        <f t="shared" si="166"/>
        <v>1</v>
      </c>
      <c r="BC333" s="52">
        <f t="shared" si="166"/>
        <v>1</v>
      </c>
      <c r="BD333" s="52">
        <f t="shared" si="167"/>
        <v>1</v>
      </c>
      <c r="BE333" s="52">
        <f t="shared" si="167"/>
        <v>1</v>
      </c>
      <c r="BF333" s="52">
        <f t="shared" si="167"/>
        <v>1</v>
      </c>
      <c r="BG333" s="52">
        <f t="shared" si="167"/>
        <v>1</v>
      </c>
      <c r="BH333" s="52">
        <f t="shared" si="167"/>
        <v>1</v>
      </c>
      <c r="BI333" s="52">
        <f t="shared" si="167"/>
        <v>1</v>
      </c>
      <c r="BJ333" s="52">
        <f t="shared" si="167"/>
        <v>1</v>
      </c>
      <c r="BK333" s="52">
        <f t="shared" si="167"/>
        <v>1</v>
      </c>
      <c r="BL333" s="52">
        <f t="shared" si="167"/>
        <v>1</v>
      </c>
      <c r="BM333" s="52">
        <f t="shared" si="167"/>
        <v>1</v>
      </c>
      <c r="BN333" s="52">
        <f t="shared" si="167"/>
        <v>1</v>
      </c>
      <c r="BO333" s="32">
        <f t="shared" si="162"/>
        <v>0.61958568738229758</v>
      </c>
    </row>
    <row r="334" spans="1:67" ht="15" x14ac:dyDescent="0.2">
      <c r="A334" s="46" t="s">
        <v>676</v>
      </c>
      <c r="B334" s="46" t="s">
        <v>677</v>
      </c>
      <c r="C334" s="46" t="s">
        <v>126</v>
      </c>
      <c r="D334" s="47">
        <f>VLOOKUP(A334,'[1]Cuadro Control'!C372:J2264,8,FALSE)</f>
        <v>9527825.6870364472</v>
      </c>
      <c r="E334" s="48">
        <f t="shared" si="164"/>
        <v>1.794698454439963E-3</v>
      </c>
      <c r="F334" s="49">
        <v>46371</v>
      </c>
      <c r="G334" s="49">
        <v>46374</v>
      </c>
      <c r="H334" s="48">
        <f t="shared" si="165"/>
        <v>0</v>
      </c>
      <c r="I334" s="48">
        <f t="shared" si="165"/>
        <v>0</v>
      </c>
      <c r="J334" s="48">
        <f t="shared" si="165"/>
        <v>0</v>
      </c>
      <c r="K334" s="48">
        <f t="shared" si="165"/>
        <v>0</v>
      </c>
      <c r="L334" s="48">
        <f t="shared" si="165"/>
        <v>0</v>
      </c>
      <c r="M334" s="48">
        <f t="shared" si="165"/>
        <v>0</v>
      </c>
      <c r="N334" s="48">
        <f t="shared" si="165"/>
        <v>0</v>
      </c>
      <c r="O334" s="48">
        <f t="shared" si="165"/>
        <v>0</v>
      </c>
      <c r="P334" s="48">
        <f t="shared" si="165"/>
        <v>0</v>
      </c>
      <c r="Q334" s="48">
        <f t="shared" si="165"/>
        <v>0</v>
      </c>
      <c r="R334" s="48">
        <f t="shared" si="165"/>
        <v>0</v>
      </c>
      <c r="S334" s="48">
        <f t="shared" si="165"/>
        <v>0</v>
      </c>
      <c r="T334" s="48">
        <f t="shared" si="165"/>
        <v>0</v>
      </c>
      <c r="U334" s="48">
        <f t="shared" si="165"/>
        <v>0</v>
      </c>
      <c r="V334" s="48">
        <f t="shared" si="165"/>
        <v>0</v>
      </c>
      <c r="W334" s="48">
        <f t="shared" si="165"/>
        <v>0</v>
      </c>
      <c r="X334" s="48">
        <f t="shared" si="166"/>
        <v>0</v>
      </c>
      <c r="Y334" s="48">
        <f t="shared" si="166"/>
        <v>0</v>
      </c>
      <c r="Z334" s="48">
        <f t="shared" si="166"/>
        <v>0</v>
      </c>
      <c r="AA334" s="48">
        <f t="shared" si="166"/>
        <v>0</v>
      </c>
      <c r="AB334" s="48">
        <f t="shared" si="166"/>
        <v>0</v>
      </c>
      <c r="AC334" s="48">
        <f t="shared" si="166"/>
        <v>0</v>
      </c>
      <c r="AD334" s="48">
        <f t="shared" si="166"/>
        <v>0</v>
      </c>
      <c r="AE334" s="48">
        <f t="shared" si="166"/>
        <v>1</v>
      </c>
      <c r="AF334" s="48">
        <f t="shared" si="166"/>
        <v>1</v>
      </c>
      <c r="AG334" s="48">
        <f t="shared" si="166"/>
        <v>1</v>
      </c>
      <c r="AH334" s="48">
        <f t="shared" si="166"/>
        <v>1</v>
      </c>
      <c r="AI334" s="48">
        <f t="shared" si="166"/>
        <v>1</v>
      </c>
      <c r="AJ334" s="48">
        <f t="shared" si="166"/>
        <v>1</v>
      </c>
      <c r="AK334" s="48">
        <f t="shared" si="166"/>
        <v>1</v>
      </c>
      <c r="AL334" s="48">
        <f t="shared" si="166"/>
        <v>1</v>
      </c>
      <c r="AM334" s="48">
        <f t="shared" si="166"/>
        <v>1</v>
      </c>
      <c r="AN334" s="48">
        <f t="shared" si="166"/>
        <v>1</v>
      </c>
      <c r="AO334" s="48">
        <f t="shared" si="166"/>
        <v>1</v>
      </c>
      <c r="AP334" s="48">
        <f t="shared" si="166"/>
        <v>1</v>
      </c>
      <c r="AQ334" s="48">
        <f t="shared" si="166"/>
        <v>1</v>
      </c>
      <c r="AR334" s="48">
        <f t="shared" si="166"/>
        <v>1</v>
      </c>
      <c r="AS334" s="48">
        <f t="shared" si="166"/>
        <v>1</v>
      </c>
      <c r="AT334" s="48">
        <f t="shared" si="166"/>
        <v>1</v>
      </c>
      <c r="AU334" s="48">
        <f t="shared" si="166"/>
        <v>1</v>
      </c>
      <c r="AV334" s="48">
        <f t="shared" si="166"/>
        <v>1</v>
      </c>
      <c r="AW334" s="48">
        <f t="shared" si="166"/>
        <v>1</v>
      </c>
      <c r="AX334" s="48">
        <f t="shared" si="166"/>
        <v>1</v>
      </c>
      <c r="AY334" s="48">
        <f t="shared" si="166"/>
        <v>1</v>
      </c>
      <c r="AZ334" s="48">
        <f t="shared" si="166"/>
        <v>1</v>
      </c>
      <c r="BA334" s="48">
        <f t="shared" si="166"/>
        <v>1</v>
      </c>
      <c r="BB334" s="48">
        <f t="shared" si="166"/>
        <v>1</v>
      </c>
      <c r="BC334" s="48">
        <f t="shared" si="166"/>
        <v>1</v>
      </c>
      <c r="BD334" s="48">
        <f t="shared" si="167"/>
        <v>1</v>
      </c>
      <c r="BE334" s="48">
        <f t="shared" si="167"/>
        <v>1</v>
      </c>
      <c r="BF334" s="48">
        <f t="shared" si="167"/>
        <v>1</v>
      </c>
      <c r="BG334" s="48">
        <f t="shared" si="167"/>
        <v>1</v>
      </c>
      <c r="BH334" s="48">
        <f t="shared" si="167"/>
        <v>1</v>
      </c>
      <c r="BI334" s="48">
        <f t="shared" si="167"/>
        <v>1</v>
      </c>
      <c r="BJ334" s="48">
        <f t="shared" si="167"/>
        <v>1</v>
      </c>
      <c r="BK334" s="48">
        <f t="shared" si="167"/>
        <v>1</v>
      </c>
      <c r="BL334" s="48">
        <f t="shared" si="167"/>
        <v>1</v>
      </c>
      <c r="BM334" s="48">
        <f t="shared" si="167"/>
        <v>1</v>
      </c>
      <c r="BN334" s="48">
        <f t="shared" si="167"/>
        <v>1</v>
      </c>
      <c r="BO334" s="32">
        <f t="shared" si="162"/>
        <v>0.61016949152542377</v>
      </c>
    </row>
    <row r="335" spans="1:67" x14ac:dyDescent="0.2">
      <c r="A335" s="50" t="s">
        <v>678</v>
      </c>
      <c r="B335" s="50" t="s">
        <v>679</v>
      </c>
      <c r="C335" s="50" t="s">
        <v>117</v>
      </c>
      <c r="D335" s="51">
        <f>VLOOKUP(A335,'[1]Cuadro Control'!C373:J2265,8,FALSE)</f>
        <v>320494616.71764702</v>
      </c>
      <c r="E335" s="52">
        <f t="shared" si="164"/>
        <v>6.0369617599332674E-2</v>
      </c>
      <c r="F335" s="53">
        <v>46374</v>
      </c>
      <c r="G335" s="53">
        <v>46379</v>
      </c>
      <c r="H335" s="52">
        <f t="shared" si="165"/>
        <v>0</v>
      </c>
      <c r="I335" s="52">
        <f t="shared" si="165"/>
        <v>0</v>
      </c>
      <c r="J335" s="52">
        <f t="shared" si="165"/>
        <v>0</v>
      </c>
      <c r="K335" s="52">
        <f t="shared" si="165"/>
        <v>0</v>
      </c>
      <c r="L335" s="52">
        <f t="shared" si="165"/>
        <v>0</v>
      </c>
      <c r="M335" s="52">
        <f t="shared" si="165"/>
        <v>0</v>
      </c>
      <c r="N335" s="52">
        <f t="shared" si="165"/>
        <v>0</v>
      </c>
      <c r="O335" s="52">
        <f t="shared" si="165"/>
        <v>0</v>
      </c>
      <c r="P335" s="52">
        <f t="shared" si="165"/>
        <v>0</v>
      </c>
      <c r="Q335" s="52">
        <f t="shared" si="165"/>
        <v>0</v>
      </c>
      <c r="R335" s="52">
        <f t="shared" si="165"/>
        <v>0</v>
      </c>
      <c r="S335" s="52">
        <f t="shared" si="165"/>
        <v>0</v>
      </c>
      <c r="T335" s="52">
        <f t="shared" si="165"/>
        <v>0</v>
      </c>
      <c r="U335" s="52">
        <f t="shared" si="165"/>
        <v>0</v>
      </c>
      <c r="V335" s="52">
        <f t="shared" si="165"/>
        <v>0</v>
      </c>
      <c r="W335" s="52">
        <f t="shared" si="165"/>
        <v>0</v>
      </c>
      <c r="X335" s="52">
        <f t="shared" si="166"/>
        <v>0</v>
      </c>
      <c r="Y335" s="52">
        <f t="shared" si="166"/>
        <v>0</v>
      </c>
      <c r="Z335" s="52">
        <f t="shared" si="166"/>
        <v>0</v>
      </c>
      <c r="AA335" s="52">
        <f t="shared" si="166"/>
        <v>0</v>
      </c>
      <c r="AB335" s="52">
        <f t="shared" si="166"/>
        <v>0</v>
      </c>
      <c r="AC335" s="52">
        <f t="shared" si="166"/>
        <v>0</v>
      </c>
      <c r="AD335" s="52">
        <f t="shared" si="166"/>
        <v>0</v>
      </c>
      <c r="AE335" s="52">
        <f t="shared" si="166"/>
        <v>0.16666666666666666</v>
      </c>
      <c r="AF335" s="52">
        <f t="shared" si="166"/>
        <v>1</v>
      </c>
      <c r="AG335" s="52">
        <f t="shared" si="166"/>
        <v>1</v>
      </c>
      <c r="AH335" s="52">
        <f t="shared" si="166"/>
        <v>1</v>
      </c>
      <c r="AI335" s="52">
        <f t="shared" si="166"/>
        <v>1</v>
      </c>
      <c r="AJ335" s="52">
        <f t="shared" si="166"/>
        <v>1</v>
      </c>
      <c r="AK335" s="52">
        <f t="shared" si="166"/>
        <v>1</v>
      </c>
      <c r="AL335" s="52">
        <f t="shared" si="166"/>
        <v>1</v>
      </c>
      <c r="AM335" s="52">
        <f t="shared" si="166"/>
        <v>1</v>
      </c>
      <c r="AN335" s="52">
        <f t="shared" si="166"/>
        <v>1</v>
      </c>
      <c r="AO335" s="52">
        <f t="shared" si="166"/>
        <v>1</v>
      </c>
      <c r="AP335" s="52">
        <f t="shared" si="166"/>
        <v>1</v>
      </c>
      <c r="AQ335" s="52">
        <f t="shared" si="166"/>
        <v>1</v>
      </c>
      <c r="AR335" s="52">
        <f t="shared" si="166"/>
        <v>1</v>
      </c>
      <c r="AS335" s="52">
        <f t="shared" si="166"/>
        <v>1</v>
      </c>
      <c r="AT335" s="52">
        <f t="shared" si="166"/>
        <v>1</v>
      </c>
      <c r="AU335" s="52">
        <f t="shared" si="166"/>
        <v>1</v>
      </c>
      <c r="AV335" s="52">
        <f t="shared" si="166"/>
        <v>1</v>
      </c>
      <c r="AW335" s="52">
        <f t="shared" si="166"/>
        <v>1</v>
      </c>
      <c r="AX335" s="52">
        <f t="shared" si="166"/>
        <v>1</v>
      </c>
      <c r="AY335" s="52">
        <f t="shared" si="166"/>
        <v>1</v>
      </c>
      <c r="AZ335" s="52">
        <f t="shared" si="166"/>
        <v>1</v>
      </c>
      <c r="BA335" s="52">
        <f t="shared" si="166"/>
        <v>1</v>
      </c>
      <c r="BB335" s="52">
        <f t="shared" si="166"/>
        <v>1</v>
      </c>
      <c r="BC335" s="52">
        <f t="shared" si="166"/>
        <v>1</v>
      </c>
      <c r="BD335" s="52">
        <f t="shared" si="167"/>
        <v>1</v>
      </c>
      <c r="BE335" s="52">
        <f t="shared" si="167"/>
        <v>1</v>
      </c>
      <c r="BF335" s="52">
        <f t="shared" si="167"/>
        <v>1</v>
      </c>
      <c r="BG335" s="52">
        <f t="shared" si="167"/>
        <v>1</v>
      </c>
      <c r="BH335" s="52">
        <f t="shared" si="167"/>
        <v>1</v>
      </c>
      <c r="BI335" s="52">
        <f t="shared" si="167"/>
        <v>1</v>
      </c>
      <c r="BJ335" s="52">
        <f t="shared" si="167"/>
        <v>1</v>
      </c>
      <c r="BK335" s="52">
        <f t="shared" si="167"/>
        <v>1</v>
      </c>
      <c r="BL335" s="52">
        <f t="shared" si="167"/>
        <v>1</v>
      </c>
      <c r="BM335" s="52">
        <f t="shared" si="167"/>
        <v>1</v>
      </c>
      <c r="BN335" s="52">
        <f t="shared" si="167"/>
        <v>1</v>
      </c>
      <c r="BO335" s="32">
        <f t="shared" si="162"/>
        <v>0.59604519774011311</v>
      </c>
    </row>
    <row r="336" spans="1:67" x14ac:dyDescent="0.2">
      <c r="A336" s="50" t="s">
        <v>680</v>
      </c>
      <c r="B336" s="50" t="s">
        <v>681</v>
      </c>
      <c r="C336" s="50" t="s">
        <v>111</v>
      </c>
      <c r="D336" s="51">
        <f>VLOOKUP(A336,'[1]Cuadro Control'!C374:J2266,8,FALSE)</f>
        <v>94303618.549411759</v>
      </c>
      <c r="E336" s="52">
        <f t="shared" si="164"/>
        <v>1.7763397864110998E-2</v>
      </c>
      <c r="F336" s="53">
        <v>46379</v>
      </c>
      <c r="G336" s="53">
        <v>46380</v>
      </c>
      <c r="H336" s="52">
        <f t="shared" si="165"/>
        <v>0</v>
      </c>
      <c r="I336" s="52">
        <f t="shared" si="165"/>
        <v>0</v>
      </c>
      <c r="J336" s="52">
        <f t="shared" si="165"/>
        <v>0</v>
      </c>
      <c r="K336" s="52">
        <f t="shared" si="165"/>
        <v>0</v>
      </c>
      <c r="L336" s="52">
        <f t="shared" si="165"/>
        <v>0</v>
      </c>
      <c r="M336" s="52">
        <f t="shared" si="165"/>
        <v>0</v>
      </c>
      <c r="N336" s="52">
        <f t="shared" si="165"/>
        <v>0</v>
      </c>
      <c r="O336" s="52">
        <f t="shared" si="165"/>
        <v>0</v>
      </c>
      <c r="P336" s="52">
        <f t="shared" si="165"/>
        <v>0</v>
      </c>
      <c r="Q336" s="52">
        <f t="shared" si="165"/>
        <v>0</v>
      </c>
      <c r="R336" s="52">
        <f t="shared" si="165"/>
        <v>0</v>
      </c>
      <c r="S336" s="52">
        <f t="shared" si="165"/>
        <v>0</v>
      </c>
      <c r="T336" s="52">
        <f t="shared" si="165"/>
        <v>0</v>
      </c>
      <c r="U336" s="52">
        <f t="shared" si="165"/>
        <v>0</v>
      </c>
      <c r="V336" s="52">
        <f t="shared" si="165"/>
        <v>0</v>
      </c>
      <c r="W336" s="52">
        <f t="shared" si="165"/>
        <v>0</v>
      </c>
      <c r="X336" s="52">
        <f t="shared" si="166"/>
        <v>0</v>
      </c>
      <c r="Y336" s="52">
        <f t="shared" si="166"/>
        <v>0</v>
      </c>
      <c r="Z336" s="52">
        <f t="shared" si="166"/>
        <v>0</v>
      </c>
      <c r="AA336" s="52">
        <f t="shared" si="166"/>
        <v>0</v>
      </c>
      <c r="AB336" s="52">
        <f t="shared" si="166"/>
        <v>0</v>
      </c>
      <c r="AC336" s="52">
        <f t="shared" si="166"/>
        <v>0</v>
      </c>
      <c r="AD336" s="52">
        <f t="shared" si="166"/>
        <v>0</v>
      </c>
      <c r="AE336" s="52">
        <f t="shared" si="166"/>
        <v>0</v>
      </c>
      <c r="AF336" s="52">
        <f t="shared" si="166"/>
        <v>1</v>
      </c>
      <c r="AG336" s="52">
        <f t="shared" si="166"/>
        <v>1</v>
      </c>
      <c r="AH336" s="52">
        <f t="shared" si="166"/>
        <v>1</v>
      </c>
      <c r="AI336" s="52">
        <f t="shared" si="166"/>
        <v>1</v>
      </c>
      <c r="AJ336" s="52">
        <f t="shared" si="166"/>
        <v>1</v>
      </c>
      <c r="AK336" s="52">
        <f t="shared" si="166"/>
        <v>1</v>
      </c>
      <c r="AL336" s="52">
        <f t="shared" si="166"/>
        <v>1</v>
      </c>
      <c r="AM336" s="52">
        <f t="shared" si="166"/>
        <v>1</v>
      </c>
      <c r="AN336" s="52">
        <f t="shared" si="166"/>
        <v>1</v>
      </c>
      <c r="AO336" s="52">
        <f t="shared" si="166"/>
        <v>1</v>
      </c>
      <c r="AP336" s="52">
        <f t="shared" si="166"/>
        <v>1</v>
      </c>
      <c r="AQ336" s="52">
        <f t="shared" si="166"/>
        <v>1</v>
      </c>
      <c r="AR336" s="52">
        <f t="shared" si="166"/>
        <v>1</v>
      </c>
      <c r="AS336" s="52">
        <f t="shared" si="166"/>
        <v>1</v>
      </c>
      <c r="AT336" s="52">
        <f t="shared" si="166"/>
        <v>1</v>
      </c>
      <c r="AU336" s="52">
        <f t="shared" si="166"/>
        <v>1</v>
      </c>
      <c r="AV336" s="52">
        <f t="shared" si="166"/>
        <v>1</v>
      </c>
      <c r="AW336" s="52">
        <f t="shared" si="166"/>
        <v>1</v>
      </c>
      <c r="AX336" s="52">
        <f t="shared" si="166"/>
        <v>1</v>
      </c>
      <c r="AY336" s="52">
        <f t="shared" si="166"/>
        <v>1</v>
      </c>
      <c r="AZ336" s="52">
        <f t="shared" si="166"/>
        <v>1</v>
      </c>
      <c r="BA336" s="52">
        <f t="shared" si="166"/>
        <v>1</v>
      </c>
      <c r="BB336" s="52">
        <f t="shared" si="166"/>
        <v>1</v>
      </c>
      <c r="BC336" s="52">
        <f t="shared" si="166"/>
        <v>1</v>
      </c>
      <c r="BD336" s="52">
        <f t="shared" si="167"/>
        <v>1</v>
      </c>
      <c r="BE336" s="52">
        <f t="shared" si="167"/>
        <v>1</v>
      </c>
      <c r="BF336" s="52">
        <f t="shared" si="167"/>
        <v>1</v>
      </c>
      <c r="BG336" s="52">
        <f t="shared" si="167"/>
        <v>1</v>
      </c>
      <c r="BH336" s="52">
        <f t="shared" si="167"/>
        <v>1</v>
      </c>
      <c r="BI336" s="52">
        <f t="shared" si="167"/>
        <v>1</v>
      </c>
      <c r="BJ336" s="52">
        <f t="shared" si="167"/>
        <v>1</v>
      </c>
      <c r="BK336" s="52">
        <f t="shared" si="167"/>
        <v>1</v>
      </c>
      <c r="BL336" s="52">
        <f t="shared" si="167"/>
        <v>1</v>
      </c>
      <c r="BM336" s="52">
        <f t="shared" si="167"/>
        <v>1</v>
      </c>
      <c r="BN336" s="52">
        <f t="shared" si="167"/>
        <v>1</v>
      </c>
      <c r="BO336" s="32">
        <f t="shared" si="162"/>
        <v>0.59322033898305082</v>
      </c>
    </row>
    <row r="337" spans="1:67" x14ac:dyDescent="0.2">
      <c r="A337" s="50" t="s">
        <v>682</v>
      </c>
      <c r="B337" s="50" t="s">
        <v>683</v>
      </c>
      <c r="C337" s="50" t="s">
        <v>238</v>
      </c>
      <c r="D337" s="51">
        <f>VLOOKUP(A337,'[1]Cuadro Control'!C375:J2267,8,FALSE)</f>
        <v>179436034.15411764</v>
      </c>
      <c r="E337" s="52">
        <f t="shared" si="164"/>
        <v>3.3799272126209236E-2</v>
      </c>
      <c r="F337" s="53">
        <v>46382</v>
      </c>
      <c r="G337" s="53">
        <v>46387</v>
      </c>
      <c r="H337" s="52">
        <f t="shared" si="165"/>
        <v>0</v>
      </c>
      <c r="I337" s="52">
        <f t="shared" si="165"/>
        <v>0</v>
      </c>
      <c r="J337" s="52">
        <f t="shared" si="165"/>
        <v>0</v>
      </c>
      <c r="K337" s="52">
        <f t="shared" si="165"/>
        <v>0</v>
      </c>
      <c r="L337" s="52">
        <f t="shared" si="165"/>
        <v>0</v>
      </c>
      <c r="M337" s="52">
        <f t="shared" si="165"/>
        <v>0</v>
      </c>
      <c r="N337" s="52">
        <f t="shared" si="165"/>
        <v>0</v>
      </c>
      <c r="O337" s="52">
        <f t="shared" si="165"/>
        <v>0</v>
      </c>
      <c r="P337" s="52">
        <f t="shared" si="165"/>
        <v>0</v>
      </c>
      <c r="Q337" s="52">
        <f t="shared" si="165"/>
        <v>0</v>
      </c>
      <c r="R337" s="52">
        <f t="shared" si="165"/>
        <v>0</v>
      </c>
      <c r="S337" s="52">
        <f t="shared" si="165"/>
        <v>0</v>
      </c>
      <c r="T337" s="52">
        <f t="shared" si="165"/>
        <v>0</v>
      </c>
      <c r="U337" s="52">
        <f t="shared" si="165"/>
        <v>0</v>
      </c>
      <c r="V337" s="52">
        <f t="shared" si="165"/>
        <v>0</v>
      </c>
      <c r="W337" s="52">
        <f t="shared" si="165"/>
        <v>0</v>
      </c>
      <c r="X337" s="52">
        <f t="shared" si="166"/>
        <v>0</v>
      </c>
      <c r="Y337" s="52">
        <f t="shared" si="166"/>
        <v>0</v>
      </c>
      <c r="Z337" s="52">
        <f t="shared" si="166"/>
        <v>0</v>
      </c>
      <c r="AA337" s="52">
        <f t="shared" si="166"/>
        <v>0</v>
      </c>
      <c r="AB337" s="52">
        <f t="shared" si="166"/>
        <v>0</v>
      </c>
      <c r="AC337" s="52">
        <f t="shared" si="166"/>
        <v>0</v>
      </c>
      <c r="AD337" s="52">
        <f t="shared" si="166"/>
        <v>0</v>
      </c>
      <c r="AE337" s="52">
        <f t="shared" si="166"/>
        <v>0</v>
      </c>
      <c r="AF337" s="52">
        <f t="shared" si="166"/>
        <v>0</v>
      </c>
      <c r="AG337" s="52">
        <f t="shared" si="166"/>
        <v>1</v>
      </c>
      <c r="AH337" s="52">
        <f t="shared" si="166"/>
        <v>1</v>
      </c>
      <c r="AI337" s="52">
        <f t="shared" si="166"/>
        <v>1</v>
      </c>
      <c r="AJ337" s="52">
        <f t="shared" si="166"/>
        <v>1</v>
      </c>
      <c r="AK337" s="52">
        <f t="shared" si="166"/>
        <v>1</v>
      </c>
      <c r="AL337" s="52">
        <f t="shared" si="166"/>
        <v>1</v>
      </c>
      <c r="AM337" s="52">
        <f t="shared" si="166"/>
        <v>1</v>
      </c>
      <c r="AN337" s="52">
        <f t="shared" si="166"/>
        <v>1</v>
      </c>
      <c r="AO337" s="52">
        <f t="shared" si="166"/>
        <v>1</v>
      </c>
      <c r="AP337" s="52">
        <f t="shared" si="166"/>
        <v>1</v>
      </c>
      <c r="AQ337" s="52">
        <f t="shared" si="166"/>
        <v>1</v>
      </c>
      <c r="AR337" s="52">
        <f t="shared" si="166"/>
        <v>1</v>
      </c>
      <c r="AS337" s="52">
        <f t="shared" si="166"/>
        <v>1</v>
      </c>
      <c r="AT337" s="52">
        <f t="shared" si="166"/>
        <v>1</v>
      </c>
      <c r="AU337" s="52">
        <f t="shared" si="166"/>
        <v>1</v>
      </c>
      <c r="AV337" s="52">
        <f t="shared" si="166"/>
        <v>1</v>
      </c>
      <c r="AW337" s="52">
        <f t="shared" si="166"/>
        <v>1</v>
      </c>
      <c r="AX337" s="52">
        <f t="shared" si="166"/>
        <v>1</v>
      </c>
      <c r="AY337" s="52">
        <f t="shared" si="166"/>
        <v>1</v>
      </c>
      <c r="AZ337" s="52">
        <f t="shared" si="166"/>
        <v>1</v>
      </c>
      <c r="BA337" s="52">
        <f t="shared" si="166"/>
        <v>1</v>
      </c>
      <c r="BB337" s="52">
        <f t="shared" si="166"/>
        <v>1</v>
      </c>
      <c r="BC337" s="52">
        <f t="shared" si="166"/>
        <v>1</v>
      </c>
      <c r="BD337" s="52">
        <f t="shared" si="167"/>
        <v>1</v>
      </c>
      <c r="BE337" s="52">
        <f t="shared" si="167"/>
        <v>1</v>
      </c>
      <c r="BF337" s="52">
        <f t="shared" si="167"/>
        <v>1</v>
      </c>
      <c r="BG337" s="52">
        <f t="shared" si="167"/>
        <v>1</v>
      </c>
      <c r="BH337" s="52">
        <f t="shared" si="167"/>
        <v>1</v>
      </c>
      <c r="BI337" s="52">
        <f t="shared" si="167"/>
        <v>1</v>
      </c>
      <c r="BJ337" s="52">
        <f t="shared" si="167"/>
        <v>1</v>
      </c>
      <c r="BK337" s="52">
        <f t="shared" si="167"/>
        <v>1</v>
      </c>
      <c r="BL337" s="52">
        <f t="shared" si="167"/>
        <v>1</v>
      </c>
      <c r="BM337" s="52">
        <f t="shared" si="167"/>
        <v>1</v>
      </c>
      <c r="BN337" s="52">
        <f t="shared" si="167"/>
        <v>1</v>
      </c>
      <c r="BO337" s="32">
        <f t="shared" si="162"/>
        <v>0.57627118644067798</v>
      </c>
    </row>
    <row r="338" spans="1:67" x14ac:dyDescent="0.2">
      <c r="A338" s="50" t="s">
        <v>684</v>
      </c>
      <c r="B338" s="50" t="s">
        <v>685</v>
      </c>
      <c r="C338" s="50" t="s">
        <v>58</v>
      </c>
      <c r="D338" s="51">
        <f>VLOOKUP(A338,'[1]Cuadro Control'!C376:J2268,8,FALSE)</f>
        <v>1212623361.2117648</v>
      </c>
      <c r="E338" s="52">
        <f t="shared" si="164"/>
        <v>0.22841447185013161</v>
      </c>
      <c r="F338" s="53">
        <v>46387</v>
      </c>
      <c r="G338" s="53">
        <v>46406</v>
      </c>
      <c r="H338" s="52">
        <f t="shared" si="165"/>
        <v>0</v>
      </c>
      <c r="I338" s="52">
        <f t="shared" si="165"/>
        <v>0</v>
      </c>
      <c r="J338" s="52">
        <f t="shared" si="165"/>
        <v>0</v>
      </c>
      <c r="K338" s="52">
        <f t="shared" si="165"/>
        <v>0</v>
      </c>
      <c r="L338" s="52">
        <f t="shared" si="165"/>
        <v>0</v>
      </c>
      <c r="M338" s="52">
        <f t="shared" si="165"/>
        <v>0</v>
      </c>
      <c r="N338" s="52">
        <f t="shared" si="165"/>
        <v>0</v>
      </c>
      <c r="O338" s="52">
        <f t="shared" si="165"/>
        <v>0</v>
      </c>
      <c r="P338" s="52">
        <f t="shared" si="165"/>
        <v>0</v>
      </c>
      <c r="Q338" s="52">
        <f t="shared" si="165"/>
        <v>0</v>
      </c>
      <c r="R338" s="52">
        <f t="shared" si="165"/>
        <v>0</v>
      </c>
      <c r="S338" s="52">
        <f t="shared" si="165"/>
        <v>0</v>
      </c>
      <c r="T338" s="52">
        <f t="shared" si="165"/>
        <v>0</v>
      </c>
      <c r="U338" s="52">
        <f t="shared" si="165"/>
        <v>0</v>
      </c>
      <c r="V338" s="52">
        <f t="shared" si="165"/>
        <v>0</v>
      </c>
      <c r="W338" s="52">
        <f t="shared" si="165"/>
        <v>0</v>
      </c>
      <c r="X338" s="52">
        <f t="shared" si="166"/>
        <v>0</v>
      </c>
      <c r="Y338" s="52">
        <f t="shared" si="166"/>
        <v>0</v>
      </c>
      <c r="Z338" s="52">
        <f t="shared" si="166"/>
        <v>0</v>
      </c>
      <c r="AA338" s="52">
        <f t="shared" si="166"/>
        <v>0</v>
      </c>
      <c r="AB338" s="52">
        <f t="shared" si="166"/>
        <v>0</v>
      </c>
      <c r="AC338" s="52">
        <f t="shared" si="166"/>
        <v>0</v>
      </c>
      <c r="AD338" s="52">
        <f t="shared" si="166"/>
        <v>0</v>
      </c>
      <c r="AE338" s="52">
        <f t="shared" si="166"/>
        <v>0</v>
      </c>
      <c r="AF338" s="52">
        <f t="shared" si="166"/>
        <v>0</v>
      </c>
      <c r="AG338" s="52">
        <f t="shared" si="166"/>
        <v>0.1</v>
      </c>
      <c r="AH338" s="52">
        <f t="shared" si="166"/>
        <v>0.45</v>
      </c>
      <c r="AI338" s="52">
        <f t="shared" si="166"/>
        <v>0.8</v>
      </c>
      <c r="AJ338" s="52">
        <f t="shared" si="166"/>
        <v>1</v>
      </c>
      <c r="AK338" s="52">
        <f t="shared" si="166"/>
        <v>1</v>
      </c>
      <c r="AL338" s="52">
        <f t="shared" si="166"/>
        <v>1</v>
      </c>
      <c r="AM338" s="52">
        <f t="shared" si="166"/>
        <v>1</v>
      </c>
      <c r="AN338" s="52">
        <f t="shared" si="166"/>
        <v>1</v>
      </c>
      <c r="AO338" s="52">
        <f t="shared" si="166"/>
        <v>1</v>
      </c>
      <c r="AP338" s="52">
        <f t="shared" si="166"/>
        <v>1</v>
      </c>
      <c r="AQ338" s="52">
        <f t="shared" si="166"/>
        <v>1</v>
      </c>
      <c r="AR338" s="52">
        <f t="shared" si="166"/>
        <v>1</v>
      </c>
      <c r="AS338" s="52">
        <f t="shared" si="166"/>
        <v>1</v>
      </c>
      <c r="AT338" s="52">
        <f t="shared" si="166"/>
        <v>1</v>
      </c>
      <c r="AU338" s="52">
        <f t="shared" si="166"/>
        <v>1</v>
      </c>
      <c r="AV338" s="52">
        <f t="shared" si="166"/>
        <v>1</v>
      </c>
      <c r="AW338" s="52">
        <f t="shared" si="166"/>
        <v>1</v>
      </c>
      <c r="AX338" s="52">
        <f t="shared" si="166"/>
        <v>1</v>
      </c>
      <c r="AY338" s="52">
        <f t="shared" si="166"/>
        <v>1</v>
      </c>
      <c r="AZ338" s="52">
        <f t="shared" si="166"/>
        <v>1</v>
      </c>
      <c r="BA338" s="52">
        <f t="shared" si="166"/>
        <v>1</v>
      </c>
      <c r="BB338" s="52">
        <f t="shared" si="166"/>
        <v>1</v>
      </c>
      <c r="BC338" s="52">
        <f t="shared" si="166"/>
        <v>1</v>
      </c>
      <c r="BD338" s="52">
        <f t="shared" si="167"/>
        <v>1</v>
      </c>
      <c r="BE338" s="52">
        <f t="shared" si="167"/>
        <v>1</v>
      </c>
      <c r="BF338" s="52">
        <f t="shared" si="167"/>
        <v>1</v>
      </c>
      <c r="BG338" s="52">
        <f t="shared" si="167"/>
        <v>1</v>
      </c>
      <c r="BH338" s="52">
        <f t="shared" si="167"/>
        <v>1</v>
      </c>
      <c r="BI338" s="52">
        <f t="shared" si="167"/>
        <v>1</v>
      </c>
      <c r="BJ338" s="52">
        <f t="shared" si="167"/>
        <v>1</v>
      </c>
      <c r="BK338" s="52">
        <f t="shared" si="167"/>
        <v>1</v>
      </c>
      <c r="BL338" s="52">
        <f t="shared" si="167"/>
        <v>1</v>
      </c>
      <c r="BM338" s="52">
        <f t="shared" si="167"/>
        <v>1</v>
      </c>
      <c r="BN338" s="52">
        <f t="shared" si="167"/>
        <v>1</v>
      </c>
      <c r="BO338" s="32">
        <f t="shared" si="162"/>
        <v>0.54830508474576278</v>
      </c>
    </row>
    <row r="339" spans="1:67" x14ac:dyDescent="0.2">
      <c r="A339" s="50" t="s">
        <v>686</v>
      </c>
      <c r="B339" s="50" t="s">
        <v>687</v>
      </c>
      <c r="C339" s="50" t="s">
        <v>126</v>
      </c>
      <c r="D339" s="51">
        <f>VLOOKUP(A339,'[1]Cuadro Control'!C377:J2269,8,FALSE)</f>
        <v>0</v>
      </c>
      <c r="E339" s="52">
        <f t="shared" si="164"/>
        <v>0</v>
      </c>
      <c r="F339" s="53">
        <v>46406</v>
      </c>
      <c r="G339" s="53">
        <v>46408</v>
      </c>
      <c r="H339" s="52">
        <f t="shared" si="165"/>
        <v>0</v>
      </c>
      <c r="I339" s="52">
        <f t="shared" si="165"/>
        <v>0</v>
      </c>
      <c r="J339" s="52">
        <f t="shared" si="165"/>
        <v>0</v>
      </c>
      <c r="K339" s="52">
        <f t="shared" si="165"/>
        <v>0</v>
      </c>
      <c r="L339" s="52">
        <f t="shared" si="165"/>
        <v>0</v>
      </c>
      <c r="M339" s="52">
        <f t="shared" si="165"/>
        <v>0</v>
      </c>
      <c r="N339" s="52">
        <f t="shared" si="165"/>
        <v>0</v>
      </c>
      <c r="O339" s="52">
        <f t="shared" si="165"/>
        <v>0</v>
      </c>
      <c r="P339" s="52">
        <f t="shared" si="165"/>
        <v>0</v>
      </c>
      <c r="Q339" s="52">
        <f t="shared" si="165"/>
        <v>0</v>
      </c>
      <c r="R339" s="52">
        <f t="shared" si="165"/>
        <v>0</v>
      </c>
      <c r="S339" s="52">
        <f t="shared" si="165"/>
        <v>0</v>
      </c>
      <c r="T339" s="52">
        <f t="shared" si="165"/>
        <v>0</v>
      </c>
      <c r="U339" s="52">
        <f t="shared" si="165"/>
        <v>0</v>
      </c>
      <c r="V339" s="52">
        <f t="shared" si="165"/>
        <v>0</v>
      </c>
      <c r="W339" s="52">
        <f t="shared" si="165"/>
        <v>0</v>
      </c>
      <c r="X339" s="52">
        <f t="shared" si="166"/>
        <v>0</v>
      </c>
      <c r="Y339" s="52">
        <f t="shared" si="166"/>
        <v>0</v>
      </c>
      <c r="Z339" s="52">
        <f t="shared" si="166"/>
        <v>0</v>
      </c>
      <c r="AA339" s="52">
        <f t="shared" si="166"/>
        <v>0</v>
      </c>
      <c r="AB339" s="52">
        <f t="shared" si="166"/>
        <v>0</v>
      </c>
      <c r="AC339" s="52">
        <f t="shared" si="166"/>
        <v>0</v>
      </c>
      <c r="AD339" s="52">
        <f t="shared" si="166"/>
        <v>0</v>
      </c>
      <c r="AE339" s="52">
        <f t="shared" si="166"/>
        <v>0</v>
      </c>
      <c r="AF339" s="52">
        <f t="shared" si="166"/>
        <v>0</v>
      </c>
      <c r="AG339" s="52">
        <f t="shared" si="166"/>
        <v>0</v>
      </c>
      <c r="AH339" s="52">
        <f t="shared" si="166"/>
        <v>0</v>
      </c>
      <c r="AI339" s="52">
        <f t="shared" si="166"/>
        <v>0</v>
      </c>
      <c r="AJ339" s="52">
        <f t="shared" si="166"/>
        <v>1</v>
      </c>
      <c r="AK339" s="52">
        <f t="shared" si="166"/>
        <v>1</v>
      </c>
      <c r="AL339" s="52">
        <f t="shared" si="166"/>
        <v>1</v>
      </c>
      <c r="AM339" s="52">
        <f t="shared" si="166"/>
        <v>1</v>
      </c>
      <c r="AN339" s="52">
        <f t="shared" si="166"/>
        <v>1</v>
      </c>
      <c r="AO339" s="52">
        <f t="shared" si="166"/>
        <v>1</v>
      </c>
      <c r="AP339" s="52">
        <f t="shared" si="166"/>
        <v>1</v>
      </c>
      <c r="AQ339" s="52">
        <f t="shared" si="166"/>
        <v>1</v>
      </c>
      <c r="AR339" s="52">
        <f t="shared" si="166"/>
        <v>1</v>
      </c>
      <c r="AS339" s="52">
        <f t="shared" si="166"/>
        <v>1</v>
      </c>
      <c r="AT339" s="52">
        <f t="shared" si="166"/>
        <v>1</v>
      </c>
      <c r="AU339" s="52">
        <f t="shared" si="166"/>
        <v>1</v>
      </c>
      <c r="AV339" s="52">
        <f t="shared" si="166"/>
        <v>1</v>
      </c>
      <c r="AW339" s="52">
        <f t="shared" si="166"/>
        <v>1</v>
      </c>
      <c r="AX339" s="52">
        <f t="shared" si="166"/>
        <v>1</v>
      </c>
      <c r="AY339" s="52">
        <f t="shared" si="166"/>
        <v>1</v>
      </c>
      <c r="AZ339" s="52">
        <f t="shared" si="166"/>
        <v>1</v>
      </c>
      <c r="BA339" s="52">
        <f t="shared" si="166"/>
        <v>1</v>
      </c>
      <c r="BB339" s="52">
        <f t="shared" si="166"/>
        <v>1</v>
      </c>
      <c r="BC339" s="52">
        <f t="shared" ref="BC339:BN347" si="168">IF($F339=0,0,IF(BC$6&lt;$F339,0,IF(BC$6&gt;$G339,1,(BC$6-$F339+1)/($G339-$F339+1))))</f>
        <v>1</v>
      </c>
      <c r="BD339" s="52">
        <f t="shared" si="168"/>
        <v>1</v>
      </c>
      <c r="BE339" s="52">
        <f t="shared" si="168"/>
        <v>1</v>
      </c>
      <c r="BF339" s="52">
        <f t="shared" si="168"/>
        <v>1</v>
      </c>
      <c r="BG339" s="52">
        <f t="shared" si="168"/>
        <v>1</v>
      </c>
      <c r="BH339" s="52">
        <f t="shared" si="168"/>
        <v>1</v>
      </c>
      <c r="BI339" s="52">
        <f t="shared" si="168"/>
        <v>1</v>
      </c>
      <c r="BJ339" s="52">
        <f t="shared" si="168"/>
        <v>1</v>
      </c>
      <c r="BK339" s="52">
        <f t="shared" si="168"/>
        <v>1</v>
      </c>
      <c r="BL339" s="52">
        <f t="shared" si="168"/>
        <v>1</v>
      </c>
      <c r="BM339" s="52">
        <f t="shared" si="168"/>
        <v>1</v>
      </c>
      <c r="BN339" s="52">
        <f t="shared" si="168"/>
        <v>1</v>
      </c>
      <c r="BO339" s="32">
        <f t="shared" si="162"/>
        <v>0.52542372881355937</v>
      </c>
    </row>
    <row r="340" spans="1:67" ht="24" x14ac:dyDescent="0.2">
      <c r="A340" s="55" t="s">
        <v>688</v>
      </c>
      <c r="B340" s="55" t="s">
        <v>689</v>
      </c>
      <c r="C340" s="55" t="s">
        <v>14</v>
      </c>
      <c r="D340" s="56">
        <f>VLOOKUP(A340,'[1]Cuadro Control'!C378:J2270,8,FALSE)</f>
        <v>0</v>
      </c>
      <c r="E340" s="57">
        <f t="shared" si="164"/>
        <v>0</v>
      </c>
      <c r="F340" s="58">
        <v>46406</v>
      </c>
      <c r="G340" s="58">
        <v>46406</v>
      </c>
      <c r="H340" s="57">
        <f t="shared" si="165"/>
        <v>0</v>
      </c>
      <c r="I340" s="57">
        <f t="shared" si="165"/>
        <v>0</v>
      </c>
      <c r="J340" s="57">
        <f t="shared" si="165"/>
        <v>0</v>
      </c>
      <c r="K340" s="57">
        <f t="shared" si="165"/>
        <v>0</v>
      </c>
      <c r="L340" s="57">
        <f t="shared" si="165"/>
        <v>0</v>
      </c>
      <c r="M340" s="57">
        <f t="shared" si="165"/>
        <v>0</v>
      </c>
      <c r="N340" s="57">
        <f t="shared" si="165"/>
        <v>0</v>
      </c>
      <c r="O340" s="57">
        <f t="shared" si="165"/>
        <v>0</v>
      </c>
      <c r="P340" s="57">
        <f t="shared" si="165"/>
        <v>0</v>
      </c>
      <c r="Q340" s="57">
        <f t="shared" si="165"/>
        <v>0</v>
      </c>
      <c r="R340" s="57">
        <f t="shared" si="165"/>
        <v>0</v>
      </c>
      <c r="S340" s="57">
        <f t="shared" si="165"/>
        <v>0</v>
      </c>
      <c r="T340" s="57">
        <f t="shared" si="165"/>
        <v>0</v>
      </c>
      <c r="U340" s="57">
        <f t="shared" si="165"/>
        <v>0</v>
      </c>
      <c r="V340" s="57">
        <f t="shared" si="165"/>
        <v>0</v>
      </c>
      <c r="W340" s="57">
        <f t="shared" si="165"/>
        <v>0</v>
      </c>
      <c r="X340" s="57">
        <f t="shared" ref="X340:BC347" si="169">IF($F340=0,0,IF(X$6&lt;$F340,0,IF(X$6&gt;$G340,1,(X$6-$F340+1)/($G340-$F340+1))))</f>
        <v>0</v>
      </c>
      <c r="Y340" s="57">
        <f t="shared" si="169"/>
        <v>0</v>
      </c>
      <c r="Z340" s="57">
        <f t="shared" si="169"/>
        <v>0</v>
      </c>
      <c r="AA340" s="57">
        <f t="shared" si="169"/>
        <v>0</v>
      </c>
      <c r="AB340" s="57">
        <f t="shared" si="169"/>
        <v>0</v>
      </c>
      <c r="AC340" s="57">
        <f t="shared" si="169"/>
        <v>0</v>
      </c>
      <c r="AD340" s="57">
        <f t="shared" si="169"/>
        <v>0</v>
      </c>
      <c r="AE340" s="57">
        <f t="shared" si="169"/>
        <v>0</v>
      </c>
      <c r="AF340" s="57">
        <f t="shared" si="169"/>
        <v>0</v>
      </c>
      <c r="AG340" s="57">
        <f t="shared" si="169"/>
        <v>0</v>
      </c>
      <c r="AH340" s="57">
        <f t="shared" si="169"/>
        <v>0</v>
      </c>
      <c r="AI340" s="57">
        <f t="shared" si="169"/>
        <v>0</v>
      </c>
      <c r="AJ340" s="57">
        <f t="shared" si="169"/>
        <v>1</v>
      </c>
      <c r="AK340" s="57">
        <f t="shared" si="169"/>
        <v>1</v>
      </c>
      <c r="AL340" s="57">
        <f t="shared" si="169"/>
        <v>1</v>
      </c>
      <c r="AM340" s="57">
        <f t="shared" si="169"/>
        <v>1</v>
      </c>
      <c r="AN340" s="57">
        <f t="shared" si="169"/>
        <v>1</v>
      </c>
      <c r="AO340" s="57">
        <f t="shared" si="169"/>
        <v>1</v>
      </c>
      <c r="AP340" s="57">
        <f t="shared" si="169"/>
        <v>1</v>
      </c>
      <c r="AQ340" s="57">
        <f t="shared" si="169"/>
        <v>1</v>
      </c>
      <c r="AR340" s="57">
        <f t="shared" si="169"/>
        <v>1</v>
      </c>
      <c r="AS340" s="57">
        <f t="shared" si="169"/>
        <v>1</v>
      </c>
      <c r="AT340" s="57">
        <f t="shared" si="169"/>
        <v>1</v>
      </c>
      <c r="AU340" s="57">
        <f t="shared" si="169"/>
        <v>1</v>
      </c>
      <c r="AV340" s="57">
        <f t="shared" si="169"/>
        <v>1</v>
      </c>
      <c r="AW340" s="57">
        <f t="shared" si="169"/>
        <v>1</v>
      </c>
      <c r="AX340" s="57">
        <f t="shared" si="169"/>
        <v>1</v>
      </c>
      <c r="AY340" s="57">
        <f t="shared" si="169"/>
        <v>1</v>
      </c>
      <c r="AZ340" s="57">
        <f t="shared" si="169"/>
        <v>1</v>
      </c>
      <c r="BA340" s="57">
        <f t="shared" si="169"/>
        <v>1</v>
      </c>
      <c r="BB340" s="57">
        <f t="shared" si="169"/>
        <v>1</v>
      </c>
      <c r="BC340" s="57">
        <f t="shared" si="169"/>
        <v>1</v>
      </c>
      <c r="BD340" s="57">
        <f t="shared" si="168"/>
        <v>1</v>
      </c>
      <c r="BE340" s="57">
        <f t="shared" si="168"/>
        <v>1</v>
      </c>
      <c r="BF340" s="57">
        <f t="shared" si="168"/>
        <v>1</v>
      </c>
      <c r="BG340" s="57">
        <f t="shared" si="168"/>
        <v>1</v>
      </c>
      <c r="BH340" s="57">
        <f t="shared" si="168"/>
        <v>1</v>
      </c>
      <c r="BI340" s="57">
        <f t="shared" si="168"/>
        <v>1</v>
      </c>
      <c r="BJ340" s="57">
        <f t="shared" si="168"/>
        <v>1</v>
      </c>
      <c r="BK340" s="57">
        <f t="shared" si="168"/>
        <v>1</v>
      </c>
      <c r="BL340" s="57">
        <f t="shared" si="168"/>
        <v>1</v>
      </c>
      <c r="BM340" s="57">
        <f t="shared" si="168"/>
        <v>1</v>
      </c>
      <c r="BN340" s="57">
        <f t="shared" si="168"/>
        <v>1</v>
      </c>
      <c r="BO340" s="32">
        <f t="shared" si="162"/>
        <v>0.52542372881355937</v>
      </c>
    </row>
    <row r="341" spans="1:67" x14ac:dyDescent="0.2">
      <c r="A341" s="50" t="s">
        <v>690</v>
      </c>
      <c r="B341" s="50" t="s">
        <v>691</v>
      </c>
      <c r="C341" s="50" t="s">
        <v>111</v>
      </c>
      <c r="D341" s="51">
        <f>VLOOKUP(A341,'[1]Cuadro Control'!C380:J2271,8,FALSE)</f>
        <v>1230815225.9452939</v>
      </c>
      <c r="E341" s="52">
        <f t="shared" si="164"/>
        <v>0.2318411625341423</v>
      </c>
      <c r="F341" s="53">
        <v>46408</v>
      </c>
      <c r="G341" s="53">
        <v>46409</v>
      </c>
      <c r="H341" s="52">
        <f t="shared" si="165"/>
        <v>0</v>
      </c>
      <c r="I341" s="52">
        <f t="shared" si="165"/>
        <v>0</v>
      </c>
      <c r="J341" s="52">
        <f t="shared" si="165"/>
        <v>0</v>
      </c>
      <c r="K341" s="52">
        <f t="shared" si="165"/>
        <v>0</v>
      </c>
      <c r="L341" s="52">
        <f t="shared" si="165"/>
        <v>0</v>
      </c>
      <c r="M341" s="52">
        <f t="shared" si="165"/>
        <v>0</v>
      </c>
      <c r="N341" s="52">
        <f t="shared" si="165"/>
        <v>0</v>
      </c>
      <c r="O341" s="52">
        <f t="shared" si="165"/>
        <v>0</v>
      </c>
      <c r="P341" s="52">
        <f t="shared" si="165"/>
        <v>0</v>
      </c>
      <c r="Q341" s="52">
        <f t="shared" si="165"/>
        <v>0</v>
      </c>
      <c r="R341" s="52">
        <f t="shared" si="165"/>
        <v>0</v>
      </c>
      <c r="S341" s="52">
        <f t="shared" si="165"/>
        <v>0</v>
      </c>
      <c r="T341" s="52">
        <f t="shared" si="165"/>
        <v>0</v>
      </c>
      <c r="U341" s="52">
        <f t="shared" si="165"/>
        <v>0</v>
      </c>
      <c r="V341" s="52">
        <f t="shared" si="165"/>
        <v>0</v>
      </c>
      <c r="W341" s="52">
        <f t="shared" si="165"/>
        <v>0</v>
      </c>
      <c r="X341" s="52">
        <f t="shared" si="169"/>
        <v>0</v>
      </c>
      <c r="Y341" s="52">
        <f t="shared" si="169"/>
        <v>0</v>
      </c>
      <c r="Z341" s="52">
        <f t="shared" si="169"/>
        <v>0</v>
      </c>
      <c r="AA341" s="52">
        <f t="shared" si="169"/>
        <v>0</v>
      </c>
      <c r="AB341" s="52">
        <f t="shared" si="169"/>
        <v>0</v>
      </c>
      <c r="AC341" s="52">
        <f t="shared" si="169"/>
        <v>0</v>
      </c>
      <c r="AD341" s="52">
        <f t="shared" si="169"/>
        <v>0</v>
      </c>
      <c r="AE341" s="52">
        <f t="shared" si="169"/>
        <v>0</v>
      </c>
      <c r="AF341" s="52">
        <f t="shared" si="169"/>
        <v>0</v>
      </c>
      <c r="AG341" s="52">
        <f t="shared" si="169"/>
        <v>0</v>
      </c>
      <c r="AH341" s="52">
        <f t="shared" si="169"/>
        <v>0</v>
      </c>
      <c r="AI341" s="52">
        <f t="shared" si="169"/>
        <v>0</v>
      </c>
      <c r="AJ341" s="52">
        <f t="shared" si="169"/>
        <v>1</v>
      </c>
      <c r="AK341" s="52">
        <f t="shared" si="169"/>
        <v>1</v>
      </c>
      <c r="AL341" s="52">
        <f t="shared" si="169"/>
        <v>1</v>
      </c>
      <c r="AM341" s="52">
        <f t="shared" si="169"/>
        <v>1</v>
      </c>
      <c r="AN341" s="52">
        <f t="shared" si="169"/>
        <v>1</v>
      </c>
      <c r="AO341" s="52">
        <f t="shared" si="169"/>
        <v>1</v>
      </c>
      <c r="AP341" s="52">
        <f t="shared" si="169"/>
        <v>1</v>
      </c>
      <c r="AQ341" s="52">
        <f t="shared" si="169"/>
        <v>1</v>
      </c>
      <c r="AR341" s="52">
        <f t="shared" si="169"/>
        <v>1</v>
      </c>
      <c r="AS341" s="52">
        <f t="shared" si="169"/>
        <v>1</v>
      </c>
      <c r="AT341" s="52">
        <f t="shared" si="169"/>
        <v>1</v>
      </c>
      <c r="AU341" s="52">
        <f t="shared" si="169"/>
        <v>1</v>
      </c>
      <c r="AV341" s="52">
        <f t="shared" si="169"/>
        <v>1</v>
      </c>
      <c r="AW341" s="52">
        <f t="shared" si="169"/>
        <v>1</v>
      </c>
      <c r="AX341" s="52">
        <f t="shared" si="169"/>
        <v>1</v>
      </c>
      <c r="AY341" s="52">
        <f t="shared" si="169"/>
        <v>1</v>
      </c>
      <c r="AZ341" s="52">
        <f t="shared" si="169"/>
        <v>1</v>
      </c>
      <c r="BA341" s="52">
        <f t="shared" si="169"/>
        <v>1</v>
      </c>
      <c r="BB341" s="52">
        <f t="shared" si="169"/>
        <v>1</v>
      </c>
      <c r="BC341" s="52">
        <f t="shared" si="169"/>
        <v>1</v>
      </c>
      <c r="BD341" s="52">
        <f t="shared" si="168"/>
        <v>1</v>
      </c>
      <c r="BE341" s="52">
        <f t="shared" si="168"/>
        <v>1</v>
      </c>
      <c r="BF341" s="52">
        <f t="shared" si="168"/>
        <v>1</v>
      </c>
      <c r="BG341" s="52">
        <f t="shared" si="168"/>
        <v>1</v>
      </c>
      <c r="BH341" s="52">
        <f t="shared" si="168"/>
        <v>1</v>
      </c>
      <c r="BI341" s="52">
        <f t="shared" si="168"/>
        <v>1</v>
      </c>
      <c r="BJ341" s="52">
        <f t="shared" si="168"/>
        <v>1</v>
      </c>
      <c r="BK341" s="52">
        <f t="shared" si="168"/>
        <v>1</v>
      </c>
      <c r="BL341" s="52">
        <f t="shared" si="168"/>
        <v>1</v>
      </c>
      <c r="BM341" s="52">
        <f t="shared" si="168"/>
        <v>1</v>
      </c>
      <c r="BN341" s="52">
        <f t="shared" si="168"/>
        <v>1</v>
      </c>
      <c r="BO341" s="32">
        <f t="shared" si="162"/>
        <v>0.52542372881355937</v>
      </c>
    </row>
    <row r="342" spans="1:67" x14ac:dyDescent="0.2">
      <c r="A342" s="50" t="s">
        <v>692</v>
      </c>
      <c r="B342" s="50" t="s">
        <v>693</v>
      </c>
      <c r="C342" s="50" t="s">
        <v>238</v>
      </c>
      <c r="D342" s="51">
        <f>VLOOKUP(A342,'[1]Cuadro Control'!C381:J2272,8,FALSE)</f>
        <v>0</v>
      </c>
      <c r="E342" s="52">
        <f t="shared" si="164"/>
        <v>0</v>
      </c>
      <c r="F342" s="53">
        <v>46409</v>
      </c>
      <c r="G342" s="53">
        <v>46416</v>
      </c>
      <c r="H342" s="52">
        <f t="shared" si="165"/>
        <v>0</v>
      </c>
      <c r="I342" s="52">
        <f t="shared" si="165"/>
        <v>0</v>
      </c>
      <c r="J342" s="52">
        <f t="shared" si="165"/>
        <v>0</v>
      </c>
      <c r="K342" s="52">
        <f t="shared" si="165"/>
        <v>0</v>
      </c>
      <c r="L342" s="52">
        <f t="shared" si="165"/>
        <v>0</v>
      </c>
      <c r="M342" s="52">
        <f t="shared" si="165"/>
        <v>0</v>
      </c>
      <c r="N342" s="52">
        <f t="shared" si="165"/>
        <v>0</v>
      </c>
      <c r="O342" s="52">
        <f t="shared" si="165"/>
        <v>0</v>
      </c>
      <c r="P342" s="52">
        <f t="shared" si="165"/>
        <v>0</v>
      </c>
      <c r="Q342" s="52">
        <f t="shared" si="165"/>
        <v>0</v>
      </c>
      <c r="R342" s="52">
        <f t="shared" si="165"/>
        <v>0</v>
      </c>
      <c r="S342" s="52">
        <f t="shared" si="165"/>
        <v>0</v>
      </c>
      <c r="T342" s="52">
        <f t="shared" si="165"/>
        <v>0</v>
      </c>
      <c r="U342" s="52">
        <f t="shared" si="165"/>
        <v>0</v>
      </c>
      <c r="V342" s="52">
        <f t="shared" si="165"/>
        <v>0</v>
      </c>
      <c r="W342" s="52">
        <f t="shared" si="165"/>
        <v>0</v>
      </c>
      <c r="X342" s="52">
        <f t="shared" si="169"/>
        <v>0</v>
      </c>
      <c r="Y342" s="52">
        <f t="shared" si="169"/>
        <v>0</v>
      </c>
      <c r="Z342" s="52">
        <f t="shared" si="169"/>
        <v>0</v>
      </c>
      <c r="AA342" s="52">
        <f t="shared" si="169"/>
        <v>0</v>
      </c>
      <c r="AB342" s="52">
        <f t="shared" si="169"/>
        <v>0</v>
      </c>
      <c r="AC342" s="52">
        <f t="shared" si="169"/>
        <v>0</v>
      </c>
      <c r="AD342" s="52">
        <f t="shared" si="169"/>
        <v>0</v>
      </c>
      <c r="AE342" s="52">
        <f t="shared" si="169"/>
        <v>0</v>
      </c>
      <c r="AF342" s="52">
        <f t="shared" si="169"/>
        <v>0</v>
      </c>
      <c r="AG342" s="52">
        <f t="shared" si="169"/>
        <v>0</v>
      </c>
      <c r="AH342" s="52">
        <f t="shared" si="169"/>
        <v>0</v>
      </c>
      <c r="AI342" s="52">
        <f t="shared" si="169"/>
        <v>0</v>
      </c>
      <c r="AJ342" s="52">
        <f t="shared" si="169"/>
        <v>0.125</v>
      </c>
      <c r="AK342" s="52">
        <f t="shared" si="169"/>
        <v>1</v>
      </c>
      <c r="AL342" s="52">
        <f t="shared" si="169"/>
        <v>1</v>
      </c>
      <c r="AM342" s="52">
        <f t="shared" si="169"/>
        <v>1</v>
      </c>
      <c r="AN342" s="52">
        <f t="shared" si="169"/>
        <v>1</v>
      </c>
      <c r="AO342" s="52">
        <f t="shared" si="169"/>
        <v>1</v>
      </c>
      <c r="AP342" s="52">
        <f t="shared" si="169"/>
        <v>1</v>
      </c>
      <c r="AQ342" s="52">
        <f t="shared" si="169"/>
        <v>1</v>
      </c>
      <c r="AR342" s="52">
        <f t="shared" si="169"/>
        <v>1</v>
      </c>
      <c r="AS342" s="52">
        <f t="shared" si="169"/>
        <v>1</v>
      </c>
      <c r="AT342" s="52">
        <f t="shared" si="169"/>
        <v>1</v>
      </c>
      <c r="AU342" s="52">
        <f t="shared" si="169"/>
        <v>1</v>
      </c>
      <c r="AV342" s="52">
        <f t="shared" si="169"/>
        <v>1</v>
      </c>
      <c r="AW342" s="52">
        <f t="shared" si="169"/>
        <v>1</v>
      </c>
      <c r="AX342" s="52">
        <f t="shared" si="169"/>
        <v>1</v>
      </c>
      <c r="AY342" s="52">
        <f t="shared" si="169"/>
        <v>1</v>
      </c>
      <c r="AZ342" s="52">
        <f t="shared" si="169"/>
        <v>1</v>
      </c>
      <c r="BA342" s="52">
        <f t="shared" si="169"/>
        <v>1</v>
      </c>
      <c r="BB342" s="52">
        <f t="shared" si="169"/>
        <v>1</v>
      </c>
      <c r="BC342" s="52">
        <f t="shared" si="169"/>
        <v>1</v>
      </c>
      <c r="BD342" s="52">
        <f t="shared" si="168"/>
        <v>1</v>
      </c>
      <c r="BE342" s="52">
        <f t="shared" si="168"/>
        <v>1</v>
      </c>
      <c r="BF342" s="52">
        <f t="shared" si="168"/>
        <v>1</v>
      </c>
      <c r="BG342" s="52">
        <f t="shared" si="168"/>
        <v>1</v>
      </c>
      <c r="BH342" s="52">
        <f t="shared" si="168"/>
        <v>1</v>
      </c>
      <c r="BI342" s="52">
        <f t="shared" si="168"/>
        <v>1</v>
      </c>
      <c r="BJ342" s="52">
        <f t="shared" si="168"/>
        <v>1</v>
      </c>
      <c r="BK342" s="52">
        <f t="shared" si="168"/>
        <v>1</v>
      </c>
      <c r="BL342" s="52">
        <f t="shared" si="168"/>
        <v>1</v>
      </c>
      <c r="BM342" s="52">
        <f t="shared" si="168"/>
        <v>1</v>
      </c>
      <c r="BN342" s="52">
        <f t="shared" si="168"/>
        <v>1</v>
      </c>
      <c r="BO342" s="32">
        <f t="shared" si="162"/>
        <v>0.51059322033898302</v>
      </c>
    </row>
    <row r="343" spans="1:67" ht="24" x14ac:dyDescent="0.2">
      <c r="A343" s="50" t="s">
        <v>694</v>
      </c>
      <c r="B343" s="50" t="s">
        <v>695</v>
      </c>
      <c r="C343" s="50" t="s">
        <v>126</v>
      </c>
      <c r="D343" s="51">
        <f>VLOOKUP(A343,'[1]Cuadro Control'!C382:J2273,8,FALSE)</f>
        <v>52736347.43270281</v>
      </c>
      <c r="E343" s="52">
        <f t="shared" si="164"/>
        <v>9.933624348213644E-3</v>
      </c>
      <c r="F343" s="53">
        <v>46417</v>
      </c>
      <c r="G343" s="53">
        <v>46420</v>
      </c>
      <c r="H343" s="52">
        <f t="shared" si="165"/>
        <v>0</v>
      </c>
      <c r="I343" s="52">
        <f t="shared" si="165"/>
        <v>0</v>
      </c>
      <c r="J343" s="52">
        <f t="shared" si="165"/>
        <v>0</v>
      </c>
      <c r="K343" s="52">
        <f t="shared" si="165"/>
        <v>0</v>
      </c>
      <c r="L343" s="52">
        <f t="shared" si="165"/>
        <v>0</v>
      </c>
      <c r="M343" s="52">
        <f t="shared" si="165"/>
        <v>0</v>
      </c>
      <c r="N343" s="52">
        <f t="shared" si="165"/>
        <v>0</v>
      </c>
      <c r="O343" s="52">
        <f t="shared" si="165"/>
        <v>0</v>
      </c>
      <c r="P343" s="52">
        <f t="shared" si="165"/>
        <v>0</v>
      </c>
      <c r="Q343" s="52">
        <f t="shared" si="165"/>
        <v>0</v>
      </c>
      <c r="R343" s="52">
        <f t="shared" si="165"/>
        <v>0</v>
      </c>
      <c r="S343" s="52">
        <f t="shared" si="165"/>
        <v>0</v>
      </c>
      <c r="T343" s="52">
        <f t="shared" si="165"/>
        <v>0</v>
      </c>
      <c r="U343" s="52">
        <f t="shared" si="165"/>
        <v>0</v>
      </c>
      <c r="V343" s="52">
        <f t="shared" si="165"/>
        <v>0</v>
      </c>
      <c r="W343" s="52">
        <f t="shared" si="165"/>
        <v>0</v>
      </c>
      <c r="X343" s="52">
        <f t="shared" si="169"/>
        <v>0</v>
      </c>
      <c r="Y343" s="52">
        <f t="shared" si="169"/>
        <v>0</v>
      </c>
      <c r="Z343" s="52">
        <f t="shared" si="169"/>
        <v>0</v>
      </c>
      <c r="AA343" s="52">
        <f t="shared" si="169"/>
        <v>0</v>
      </c>
      <c r="AB343" s="52">
        <f t="shared" si="169"/>
        <v>0</v>
      </c>
      <c r="AC343" s="52">
        <f t="shared" si="169"/>
        <v>0</v>
      </c>
      <c r="AD343" s="52">
        <f t="shared" si="169"/>
        <v>0</v>
      </c>
      <c r="AE343" s="52">
        <f t="shared" si="169"/>
        <v>0</v>
      </c>
      <c r="AF343" s="52">
        <f t="shared" si="169"/>
        <v>0</v>
      </c>
      <c r="AG343" s="52">
        <f t="shared" si="169"/>
        <v>0</v>
      </c>
      <c r="AH343" s="52">
        <f t="shared" si="169"/>
        <v>0</v>
      </c>
      <c r="AI343" s="52">
        <f t="shared" si="169"/>
        <v>0</v>
      </c>
      <c r="AJ343" s="52">
        <f t="shared" si="169"/>
        <v>0</v>
      </c>
      <c r="AK343" s="52">
        <f t="shared" si="169"/>
        <v>0</v>
      </c>
      <c r="AL343" s="52">
        <f t="shared" si="169"/>
        <v>1</v>
      </c>
      <c r="AM343" s="52">
        <f t="shared" si="169"/>
        <v>1</v>
      </c>
      <c r="AN343" s="52">
        <f t="shared" si="169"/>
        <v>1</v>
      </c>
      <c r="AO343" s="52">
        <f t="shared" si="169"/>
        <v>1</v>
      </c>
      <c r="AP343" s="52">
        <f t="shared" si="169"/>
        <v>1</v>
      </c>
      <c r="AQ343" s="52">
        <f t="shared" si="169"/>
        <v>1</v>
      </c>
      <c r="AR343" s="52">
        <f t="shared" si="169"/>
        <v>1</v>
      </c>
      <c r="AS343" s="52">
        <f t="shared" si="169"/>
        <v>1</v>
      </c>
      <c r="AT343" s="52">
        <f t="shared" si="169"/>
        <v>1</v>
      </c>
      <c r="AU343" s="52">
        <f t="shared" si="169"/>
        <v>1</v>
      </c>
      <c r="AV343" s="52">
        <f t="shared" si="169"/>
        <v>1</v>
      </c>
      <c r="AW343" s="52">
        <f t="shared" si="169"/>
        <v>1</v>
      </c>
      <c r="AX343" s="52">
        <f t="shared" si="169"/>
        <v>1</v>
      </c>
      <c r="AY343" s="52">
        <f t="shared" si="169"/>
        <v>1</v>
      </c>
      <c r="AZ343" s="52">
        <f t="shared" si="169"/>
        <v>1</v>
      </c>
      <c r="BA343" s="52">
        <f t="shared" si="169"/>
        <v>1</v>
      </c>
      <c r="BB343" s="52">
        <f t="shared" si="169"/>
        <v>1</v>
      </c>
      <c r="BC343" s="52">
        <f t="shared" si="169"/>
        <v>1</v>
      </c>
      <c r="BD343" s="52">
        <f t="shared" si="168"/>
        <v>1</v>
      </c>
      <c r="BE343" s="52">
        <f t="shared" si="168"/>
        <v>1</v>
      </c>
      <c r="BF343" s="52">
        <f t="shared" si="168"/>
        <v>1</v>
      </c>
      <c r="BG343" s="52">
        <f t="shared" si="168"/>
        <v>1</v>
      </c>
      <c r="BH343" s="52">
        <f t="shared" si="168"/>
        <v>1</v>
      </c>
      <c r="BI343" s="52">
        <f t="shared" si="168"/>
        <v>1</v>
      </c>
      <c r="BJ343" s="52">
        <f t="shared" si="168"/>
        <v>1</v>
      </c>
      <c r="BK343" s="52">
        <f t="shared" si="168"/>
        <v>1</v>
      </c>
      <c r="BL343" s="52">
        <f t="shared" si="168"/>
        <v>1</v>
      </c>
      <c r="BM343" s="52">
        <f t="shared" si="168"/>
        <v>1</v>
      </c>
      <c r="BN343" s="52">
        <f t="shared" si="168"/>
        <v>1</v>
      </c>
      <c r="BO343" s="32">
        <f t="shared" si="162"/>
        <v>0.49152542372881358</v>
      </c>
    </row>
    <row r="344" spans="1:67" ht="24" x14ac:dyDescent="0.2">
      <c r="A344" s="50" t="s">
        <v>696</v>
      </c>
      <c r="B344" s="50" t="s">
        <v>697</v>
      </c>
      <c r="C344" s="50" t="s">
        <v>117</v>
      </c>
      <c r="D344" s="51">
        <f>VLOOKUP(A344,'[1]Cuadro Control'!C383:J2274,8,FALSE)</f>
        <v>46410609.014634147</v>
      </c>
      <c r="E344" s="52">
        <f t="shared" si="164"/>
        <v>8.742083556535862E-3</v>
      </c>
      <c r="F344" s="53">
        <v>46420</v>
      </c>
      <c r="G344" s="53">
        <v>46422</v>
      </c>
      <c r="H344" s="52">
        <f t="shared" si="165"/>
        <v>0</v>
      </c>
      <c r="I344" s="52">
        <f t="shared" si="165"/>
        <v>0</v>
      </c>
      <c r="J344" s="52">
        <f t="shared" si="165"/>
        <v>0</v>
      </c>
      <c r="K344" s="52">
        <f t="shared" si="165"/>
        <v>0</v>
      </c>
      <c r="L344" s="52">
        <f t="shared" si="165"/>
        <v>0</v>
      </c>
      <c r="M344" s="52">
        <f t="shared" si="165"/>
        <v>0</v>
      </c>
      <c r="N344" s="52">
        <f t="shared" si="165"/>
        <v>0</v>
      </c>
      <c r="O344" s="52">
        <f t="shared" si="165"/>
        <v>0</v>
      </c>
      <c r="P344" s="52">
        <f t="shared" si="165"/>
        <v>0</v>
      </c>
      <c r="Q344" s="52">
        <f t="shared" si="165"/>
        <v>0</v>
      </c>
      <c r="R344" s="52">
        <f t="shared" si="165"/>
        <v>0</v>
      </c>
      <c r="S344" s="52">
        <f t="shared" si="165"/>
        <v>0</v>
      </c>
      <c r="T344" s="52">
        <f t="shared" si="165"/>
        <v>0</v>
      </c>
      <c r="U344" s="52">
        <f t="shared" si="165"/>
        <v>0</v>
      </c>
      <c r="V344" s="52">
        <f t="shared" si="165"/>
        <v>0</v>
      </c>
      <c r="W344" s="52">
        <f t="shared" si="165"/>
        <v>0</v>
      </c>
      <c r="X344" s="52">
        <f t="shared" si="169"/>
        <v>0</v>
      </c>
      <c r="Y344" s="52">
        <f t="shared" si="169"/>
        <v>0</v>
      </c>
      <c r="Z344" s="52">
        <f t="shared" si="169"/>
        <v>0</v>
      </c>
      <c r="AA344" s="52">
        <f t="shared" si="169"/>
        <v>0</v>
      </c>
      <c r="AB344" s="52">
        <f t="shared" si="169"/>
        <v>0</v>
      </c>
      <c r="AC344" s="52">
        <f t="shared" si="169"/>
        <v>0</v>
      </c>
      <c r="AD344" s="52">
        <f t="shared" si="169"/>
        <v>0</v>
      </c>
      <c r="AE344" s="52">
        <f t="shared" si="169"/>
        <v>0</v>
      </c>
      <c r="AF344" s="52">
        <f t="shared" si="169"/>
        <v>0</v>
      </c>
      <c r="AG344" s="52">
        <f t="shared" si="169"/>
        <v>0</v>
      </c>
      <c r="AH344" s="52">
        <f t="shared" si="169"/>
        <v>0</v>
      </c>
      <c r="AI344" s="52">
        <f t="shared" si="169"/>
        <v>0</v>
      </c>
      <c r="AJ344" s="52">
        <f t="shared" si="169"/>
        <v>0</v>
      </c>
      <c r="AK344" s="52">
        <f t="shared" si="169"/>
        <v>0</v>
      </c>
      <c r="AL344" s="52">
        <f t="shared" si="169"/>
        <v>1</v>
      </c>
      <c r="AM344" s="52">
        <f t="shared" si="169"/>
        <v>1</v>
      </c>
      <c r="AN344" s="52">
        <f t="shared" si="169"/>
        <v>1</v>
      </c>
      <c r="AO344" s="52">
        <f t="shared" si="169"/>
        <v>1</v>
      </c>
      <c r="AP344" s="52">
        <f t="shared" si="169"/>
        <v>1</v>
      </c>
      <c r="AQ344" s="52">
        <f t="shared" si="169"/>
        <v>1</v>
      </c>
      <c r="AR344" s="52">
        <f t="shared" si="169"/>
        <v>1</v>
      </c>
      <c r="AS344" s="52">
        <f t="shared" si="169"/>
        <v>1</v>
      </c>
      <c r="AT344" s="52">
        <f t="shared" si="169"/>
        <v>1</v>
      </c>
      <c r="AU344" s="52">
        <f t="shared" si="169"/>
        <v>1</v>
      </c>
      <c r="AV344" s="52">
        <f t="shared" si="169"/>
        <v>1</v>
      </c>
      <c r="AW344" s="52">
        <f t="shared" si="169"/>
        <v>1</v>
      </c>
      <c r="AX344" s="52">
        <f t="shared" si="169"/>
        <v>1</v>
      </c>
      <c r="AY344" s="52">
        <f t="shared" si="169"/>
        <v>1</v>
      </c>
      <c r="AZ344" s="52">
        <f t="shared" si="169"/>
        <v>1</v>
      </c>
      <c r="BA344" s="52">
        <f t="shared" si="169"/>
        <v>1</v>
      </c>
      <c r="BB344" s="52">
        <f t="shared" si="169"/>
        <v>1</v>
      </c>
      <c r="BC344" s="52">
        <f t="shared" si="169"/>
        <v>1</v>
      </c>
      <c r="BD344" s="52">
        <f t="shared" si="168"/>
        <v>1</v>
      </c>
      <c r="BE344" s="52">
        <f t="shared" si="168"/>
        <v>1</v>
      </c>
      <c r="BF344" s="52">
        <f t="shared" si="168"/>
        <v>1</v>
      </c>
      <c r="BG344" s="52">
        <f t="shared" si="168"/>
        <v>1</v>
      </c>
      <c r="BH344" s="52">
        <f t="shared" si="168"/>
        <v>1</v>
      </c>
      <c r="BI344" s="52">
        <f t="shared" si="168"/>
        <v>1</v>
      </c>
      <c r="BJ344" s="52">
        <f t="shared" si="168"/>
        <v>1</v>
      </c>
      <c r="BK344" s="52">
        <f t="shared" si="168"/>
        <v>1</v>
      </c>
      <c r="BL344" s="52">
        <f t="shared" si="168"/>
        <v>1</v>
      </c>
      <c r="BM344" s="52">
        <f t="shared" si="168"/>
        <v>1</v>
      </c>
      <c r="BN344" s="52">
        <f t="shared" si="168"/>
        <v>1</v>
      </c>
      <c r="BO344" s="32">
        <f t="shared" si="162"/>
        <v>0.49152542372881358</v>
      </c>
    </row>
    <row r="345" spans="1:67" ht="24" x14ac:dyDescent="0.2">
      <c r="A345" s="50" t="s">
        <v>698</v>
      </c>
      <c r="B345" s="50" t="s">
        <v>699</v>
      </c>
      <c r="C345" s="50" t="s">
        <v>61</v>
      </c>
      <c r="D345" s="51">
        <f>VLOOKUP(A345,'[1]Cuadro Control'!C384:J2275,8,FALSE)</f>
        <v>1587346329.5488234</v>
      </c>
      <c r="E345" s="52">
        <f t="shared" si="164"/>
        <v>0.29899875353285565</v>
      </c>
      <c r="F345" s="53">
        <v>46420</v>
      </c>
      <c r="G345" s="53">
        <v>46430</v>
      </c>
      <c r="H345" s="52">
        <f t="shared" si="165"/>
        <v>0</v>
      </c>
      <c r="I345" s="52">
        <f t="shared" si="165"/>
        <v>0</v>
      </c>
      <c r="J345" s="52">
        <f t="shared" si="165"/>
        <v>0</v>
      </c>
      <c r="K345" s="52">
        <f t="shared" si="165"/>
        <v>0</v>
      </c>
      <c r="L345" s="52">
        <f t="shared" si="165"/>
        <v>0</v>
      </c>
      <c r="M345" s="52">
        <f t="shared" si="165"/>
        <v>0</v>
      </c>
      <c r="N345" s="52">
        <f t="shared" si="165"/>
        <v>0</v>
      </c>
      <c r="O345" s="52">
        <f t="shared" si="165"/>
        <v>0</v>
      </c>
      <c r="P345" s="52">
        <f t="shared" si="165"/>
        <v>0</v>
      </c>
      <c r="Q345" s="52">
        <f t="shared" si="165"/>
        <v>0</v>
      </c>
      <c r="R345" s="52">
        <f t="shared" si="165"/>
        <v>0</v>
      </c>
      <c r="S345" s="52">
        <f t="shared" si="165"/>
        <v>0</v>
      </c>
      <c r="T345" s="52">
        <f t="shared" si="165"/>
        <v>0</v>
      </c>
      <c r="U345" s="52">
        <f t="shared" si="165"/>
        <v>0</v>
      </c>
      <c r="V345" s="52">
        <f t="shared" si="165"/>
        <v>0</v>
      </c>
      <c r="W345" s="52">
        <f t="shared" si="165"/>
        <v>0</v>
      </c>
      <c r="X345" s="52">
        <f t="shared" si="169"/>
        <v>0</v>
      </c>
      <c r="Y345" s="52">
        <f t="shared" si="169"/>
        <v>0</v>
      </c>
      <c r="Z345" s="52">
        <f t="shared" si="169"/>
        <v>0</v>
      </c>
      <c r="AA345" s="52">
        <f t="shared" si="169"/>
        <v>0</v>
      </c>
      <c r="AB345" s="52">
        <f t="shared" si="169"/>
        <v>0</v>
      </c>
      <c r="AC345" s="52">
        <f t="shared" si="169"/>
        <v>0</v>
      </c>
      <c r="AD345" s="52">
        <f t="shared" si="169"/>
        <v>0</v>
      </c>
      <c r="AE345" s="52">
        <f t="shared" si="169"/>
        <v>0</v>
      </c>
      <c r="AF345" s="52">
        <f t="shared" si="169"/>
        <v>0</v>
      </c>
      <c r="AG345" s="52">
        <f t="shared" si="169"/>
        <v>0</v>
      </c>
      <c r="AH345" s="52">
        <f t="shared" si="169"/>
        <v>0</v>
      </c>
      <c r="AI345" s="52">
        <f t="shared" si="169"/>
        <v>0</v>
      </c>
      <c r="AJ345" s="52">
        <f t="shared" si="169"/>
        <v>0</v>
      </c>
      <c r="AK345" s="52">
        <f t="shared" si="169"/>
        <v>0</v>
      </c>
      <c r="AL345" s="52">
        <f t="shared" si="169"/>
        <v>0.36363636363636365</v>
      </c>
      <c r="AM345" s="52">
        <f t="shared" si="169"/>
        <v>1</v>
      </c>
      <c r="AN345" s="52">
        <f t="shared" si="169"/>
        <v>1</v>
      </c>
      <c r="AO345" s="52">
        <f t="shared" si="169"/>
        <v>1</v>
      </c>
      <c r="AP345" s="52">
        <f t="shared" si="169"/>
        <v>1</v>
      </c>
      <c r="AQ345" s="52">
        <f t="shared" si="169"/>
        <v>1</v>
      </c>
      <c r="AR345" s="52">
        <f t="shared" si="169"/>
        <v>1</v>
      </c>
      <c r="AS345" s="52">
        <f t="shared" si="169"/>
        <v>1</v>
      </c>
      <c r="AT345" s="52">
        <f t="shared" si="169"/>
        <v>1</v>
      </c>
      <c r="AU345" s="52">
        <f t="shared" si="169"/>
        <v>1</v>
      </c>
      <c r="AV345" s="52">
        <f t="shared" si="169"/>
        <v>1</v>
      </c>
      <c r="AW345" s="52">
        <f t="shared" si="169"/>
        <v>1</v>
      </c>
      <c r="AX345" s="52">
        <f t="shared" si="169"/>
        <v>1</v>
      </c>
      <c r="AY345" s="52">
        <f t="shared" si="169"/>
        <v>1</v>
      </c>
      <c r="AZ345" s="52">
        <f t="shared" si="169"/>
        <v>1</v>
      </c>
      <c r="BA345" s="52">
        <f t="shared" si="169"/>
        <v>1</v>
      </c>
      <c r="BB345" s="52">
        <f t="shared" si="169"/>
        <v>1</v>
      </c>
      <c r="BC345" s="52">
        <f t="shared" si="169"/>
        <v>1</v>
      </c>
      <c r="BD345" s="52">
        <f t="shared" si="168"/>
        <v>1</v>
      </c>
      <c r="BE345" s="52">
        <f t="shared" si="168"/>
        <v>1</v>
      </c>
      <c r="BF345" s="52">
        <f t="shared" si="168"/>
        <v>1</v>
      </c>
      <c r="BG345" s="52">
        <f t="shared" si="168"/>
        <v>1</v>
      </c>
      <c r="BH345" s="52">
        <f t="shared" si="168"/>
        <v>1</v>
      </c>
      <c r="BI345" s="52">
        <f t="shared" si="168"/>
        <v>1</v>
      </c>
      <c r="BJ345" s="52">
        <f t="shared" si="168"/>
        <v>1</v>
      </c>
      <c r="BK345" s="52">
        <f t="shared" si="168"/>
        <v>1</v>
      </c>
      <c r="BL345" s="52">
        <f t="shared" si="168"/>
        <v>1</v>
      </c>
      <c r="BM345" s="52">
        <f t="shared" si="168"/>
        <v>1</v>
      </c>
      <c r="BN345" s="52">
        <f t="shared" si="168"/>
        <v>1</v>
      </c>
      <c r="BO345" s="32">
        <f t="shared" si="162"/>
        <v>0.48073959938366717</v>
      </c>
    </row>
    <row r="346" spans="1:67" ht="30" x14ac:dyDescent="0.2">
      <c r="A346" s="46" t="s">
        <v>700</v>
      </c>
      <c r="B346" s="46" t="s">
        <v>701</v>
      </c>
      <c r="C346" s="46" t="s">
        <v>61</v>
      </c>
      <c r="D346" s="47">
        <f>VLOOKUP(A346,'[1]Cuadro Control'!C385:J2276,8,FALSE)</f>
        <v>179532477.23999998</v>
      </c>
      <c r="E346" s="48">
        <f t="shared" si="164"/>
        <v>3.3817438522495219E-2</v>
      </c>
      <c r="F346" s="49">
        <v>46422</v>
      </c>
      <c r="G346" s="49">
        <v>46435</v>
      </c>
      <c r="H346" s="48">
        <f t="shared" si="165"/>
        <v>0</v>
      </c>
      <c r="I346" s="48">
        <f t="shared" si="165"/>
        <v>0</v>
      </c>
      <c r="J346" s="48">
        <f t="shared" si="165"/>
        <v>0</v>
      </c>
      <c r="K346" s="48">
        <f t="shared" si="165"/>
        <v>0</v>
      </c>
      <c r="L346" s="48">
        <f t="shared" si="165"/>
        <v>0</v>
      </c>
      <c r="M346" s="48">
        <f t="shared" si="165"/>
        <v>0</v>
      </c>
      <c r="N346" s="48">
        <f t="shared" si="165"/>
        <v>0</v>
      </c>
      <c r="O346" s="48">
        <f t="shared" si="165"/>
        <v>0</v>
      </c>
      <c r="P346" s="48">
        <f t="shared" si="165"/>
        <v>0</v>
      </c>
      <c r="Q346" s="48">
        <f t="shared" si="165"/>
        <v>0</v>
      </c>
      <c r="R346" s="48">
        <f t="shared" si="165"/>
        <v>0</v>
      </c>
      <c r="S346" s="48">
        <f t="shared" si="165"/>
        <v>0</v>
      </c>
      <c r="T346" s="48">
        <f t="shared" si="165"/>
        <v>0</v>
      </c>
      <c r="U346" s="48">
        <f t="shared" si="165"/>
        <v>0</v>
      </c>
      <c r="V346" s="48">
        <f t="shared" si="165"/>
        <v>0</v>
      </c>
      <c r="W346" s="48">
        <f t="shared" si="165"/>
        <v>0</v>
      </c>
      <c r="X346" s="48">
        <f t="shared" si="169"/>
        <v>0</v>
      </c>
      <c r="Y346" s="48">
        <f t="shared" si="169"/>
        <v>0</v>
      </c>
      <c r="Z346" s="48">
        <f t="shared" si="169"/>
        <v>0</v>
      </c>
      <c r="AA346" s="48">
        <f t="shared" si="169"/>
        <v>0</v>
      </c>
      <c r="AB346" s="48">
        <f t="shared" si="169"/>
        <v>0</v>
      </c>
      <c r="AC346" s="48">
        <f t="shared" si="169"/>
        <v>0</v>
      </c>
      <c r="AD346" s="48">
        <f t="shared" si="169"/>
        <v>0</v>
      </c>
      <c r="AE346" s="48">
        <f t="shared" si="169"/>
        <v>0</v>
      </c>
      <c r="AF346" s="48">
        <f t="shared" si="169"/>
        <v>0</v>
      </c>
      <c r="AG346" s="48">
        <f t="shared" si="169"/>
        <v>0</v>
      </c>
      <c r="AH346" s="48">
        <f t="shared" si="169"/>
        <v>0</v>
      </c>
      <c r="AI346" s="48">
        <f t="shared" si="169"/>
        <v>0</v>
      </c>
      <c r="AJ346" s="48">
        <f t="shared" si="169"/>
        <v>0</v>
      </c>
      <c r="AK346" s="48">
        <f t="shared" si="169"/>
        <v>0</v>
      </c>
      <c r="AL346" s="48">
        <f t="shared" si="169"/>
        <v>0.14285714285714285</v>
      </c>
      <c r="AM346" s="48">
        <f t="shared" si="169"/>
        <v>0.6428571428571429</v>
      </c>
      <c r="AN346" s="48">
        <f t="shared" si="169"/>
        <v>1</v>
      </c>
      <c r="AO346" s="48">
        <f t="shared" si="169"/>
        <v>1</v>
      </c>
      <c r="AP346" s="48">
        <f t="shared" si="169"/>
        <v>1</v>
      </c>
      <c r="AQ346" s="48">
        <f t="shared" si="169"/>
        <v>1</v>
      </c>
      <c r="AR346" s="48">
        <f t="shared" si="169"/>
        <v>1</v>
      </c>
      <c r="AS346" s="48">
        <f t="shared" si="169"/>
        <v>1</v>
      </c>
      <c r="AT346" s="48">
        <f t="shared" si="169"/>
        <v>1</v>
      </c>
      <c r="AU346" s="48">
        <f t="shared" si="169"/>
        <v>1</v>
      </c>
      <c r="AV346" s="48">
        <f t="shared" si="169"/>
        <v>1</v>
      </c>
      <c r="AW346" s="48">
        <f t="shared" si="169"/>
        <v>1</v>
      </c>
      <c r="AX346" s="48">
        <f t="shared" si="169"/>
        <v>1</v>
      </c>
      <c r="AY346" s="48">
        <f t="shared" si="169"/>
        <v>1</v>
      </c>
      <c r="AZ346" s="48">
        <f t="shared" si="169"/>
        <v>1</v>
      </c>
      <c r="BA346" s="48">
        <f t="shared" si="169"/>
        <v>1</v>
      </c>
      <c r="BB346" s="48">
        <f t="shared" si="169"/>
        <v>1</v>
      </c>
      <c r="BC346" s="48">
        <f t="shared" si="169"/>
        <v>1</v>
      </c>
      <c r="BD346" s="48">
        <f t="shared" si="168"/>
        <v>1</v>
      </c>
      <c r="BE346" s="48">
        <f t="shared" si="168"/>
        <v>1</v>
      </c>
      <c r="BF346" s="48">
        <f t="shared" si="168"/>
        <v>1</v>
      </c>
      <c r="BG346" s="48">
        <f t="shared" si="168"/>
        <v>1</v>
      </c>
      <c r="BH346" s="48">
        <f t="shared" si="168"/>
        <v>1</v>
      </c>
      <c r="BI346" s="48">
        <f t="shared" si="168"/>
        <v>1</v>
      </c>
      <c r="BJ346" s="48">
        <f t="shared" si="168"/>
        <v>1</v>
      </c>
      <c r="BK346" s="48">
        <f t="shared" si="168"/>
        <v>1</v>
      </c>
      <c r="BL346" s="48">
        <f t="shared" si="168"/>
        <v>1</v>
      </c>
      <c r="BM346" s="48">
        <f t="shared" si="168"/>
        <v>1</v>
      </c>
      <c r="BN346" s="48">
        <f t="shared" si="168"/>
        <v>1</v>
      </c>
      <c r="BO346" s="32">
        <f t="shared" si="162"/>
        <v>0.47094430992736075</v>
      </c>
    </row>
    <row r="347" spans="1:67" ht="24" x14ac:dyDescent="0.2">
      <c r="A347" s="55" t="s">
        <v>702</v>
      </c>
      <c r="B347" s="55" t="s">
        <v>703</v>
      </c>
      <c r="C347" s="55" t="s">
        <v>14</v>
      </c>
      <c r="D347" s="56">
        <f>VLOOKUP(A347,'[1]Cuadro Control'!C386:J2277,8,FALSE)</f>
        <v>0</v>
      </c>
      <c r="E347" s="57">
        <f>IFERROR(D347/$D$331,0)</f>
        <v>0</v>
      </c>
      <c r="F347" s="58">
        <v>46435</v>
      </c>
      <c r="G347" s="58">
        <v>46435</v>
      </c>
      <c r="H347" s="57">
        <f t="shared" si="165"/>
        <v>0</v>
      </c>
      <c r="I347" s="57">
        <f t="shared" si="165"/>
        <v>0</v>
      </c>
      <c r="J347" s="57">
        <f t="shared" si="165"/>
        <v>0</v>
      </c>
      <c r="K347" s="57">
        <f t="shared" si="165"/>
        <v>0</v>
      </c>
      <c r="L347" s="57">
        <f t="shared" si="165"/>
        <v>0</v>
      </c>
      <c r="M347" s="57">
        <f t="shared" si="165"/>
        <v>0</v>
      </c>
      <c r="N347" s="57">
        <f t="shared" si="165"/>
        <v>0</v>
      </c>
      <c r="O347" s="57">
        <f t="shared" si="165"/>
        <v>0</v>
      </c>
      <c r="P347" s="57">
        <f t="shared" si="165"/>
        <v>0</v>
      </c>
      <c r="Q347" s="57">
        <f t="shared" si="165"/>
        <v>0</v>
      </c>
      <c r="R347" s="57">
        <f t="shared" si="165"/>
        <v>0</v>
      </c>
      <c r="S347" s="57">
        <f t="shared" si="165"/>
        <v>0</v>
      </c>
      <c r="T347" s="57">
        <f t="shared" si="165"/>
        <v>0</v>
      </c>
      <c r="U347" s="57">
        <f t="shared" si="165"/>
        <v>0</v>
      </c>
      <c r="V347" s="57">
        <f t="shared" si="165"/>
        <v>0</v>
      </c>
      <c r="W347" s="57">
        <f t="shared" ref="W347:AN347" si="170">IF($F347=0,0,IF(W$6&lt;$F347,0,IF(W$6&gt;$G347,1,(W$6-$F347+1)/($G347-$F347+1))))</f>
        <v>0</v>
      </c>
      <c r="X347" s="57">
        <f t="shared" si="170"/>
        <v>0</v>
      </c>
      <c r="Y347" s="57">
        <f t="shared" si="170"/>
        <v>0</v>
      </c>
      <c r="Z347" s="57">
        <f t="shared" si="170"/>
        <v>0</v>
      </c>
      <c r="AA347" s="57">
        <f t="shared" si="170"/>
        <v>0</v>
      </c>
      <c r="AB347" s="57">
        <f t="shared" si="170"/>
        <v>0</v>
      </c>
      <c r="AC347" s="57">
        <f t="shared" si="170"/>
        <v>0</v>
      </c>
      <c r="AD347" s="57">
        <f t="shared" si="170"/>
        <v>0</v>
      </c>
      <c r="AE347" s="57">
        <f t="shared" si="170"/>
        <v>0</v>
      </c>
      <c r="AF347" s="57">
        <f t="shared" si="170"/>
        <v>0</v>
      </c>
      <c r="AG347" s="57">
        <f t="shared" si="170"/>
        <v>0</v>
      </c>
      <c r="AH347" s="57">
        <f t="shared" si="170"/>
        <v>0</v>
      </c>
      <c r="AI347" s="57">
        <f t="shared" si="170"/>
        <v>0</v>
      </c>
      <c r="AJ347" s="57">
        <f t="shared" si="170"/>
        <v>0</v>
      </c>
      <c r="AK347" s="57">
        <f t="shared" si="170"/>
        <v>0</v>
      </c>
      <c r="AL347" s="57">
        <f t="shared" si="170"/>
        <v>0</v>
      </c>
      <c r="AM347" s="57">
        <f t="shared" si="170"/>
        <v>0</v>
      </c>
      <c r="AN347" s="57">
        <f t="shared" si="170"/>
        <v>1</v>
      </c>
      <c r="AO347" s="57">
        <f t="shared" si="169"/>
        <v>1</v>
      </c>
      <c r="AP347" s="57">
        <f t="shared" si="169"/>
        <v>1</v>
      </c>
      <c r="AQ347" s="57">
        <f t="shared" si="169"/>
        <v>1</v>
      </c>
      <c r="AR347" s="57">
        <f t="shared" si="169"/>
        <v>1</v>
      </c>
      <c r="AS347" s="57">
        <f t="shared" si="169"/>
        <v>1</v>
      </c>
      <c r="AT347" s="57">
        <f t="shared" si="169"/>
        <v>1</v>
      </c>
      <c r="AU347" s="57">
        <f t="shared" si="169"/>
        <v>1</v>
      </c>
      <c r="AV347" s="57">
        <f t="shared" si="169"/>
        <v>1</v>
      </c>
      <c r="AW347" s="57">
        <f t="shared" si="169"/>
        <v>1</v>
      </c>
      <c r="AX347" s="57">
        <f t="shared" si="169"/>
        <v>1</v>
      </c>
      <c r="AY347" s="57">
        <f t="shared" si="169"/>
        <v>1</v>
      </c>
      <c r="AZ347" s="57">
        <f t="shared" si="169"/>
        <v>1</v>
      </c>
      <c r="BA347" s="57">
        <f t="shared" si="169"/>
        <v>1</v>
      </c>
      <c r="BB347" s="57">
        <f t="shared" si="169"/>
        <v>1</v>
      </c>
      <c r="BC347" s="57">
        <f t="shared" si="169"/>
        <v>1</v>
      </c>
      <c r="BD347" s="57">
        <f t="shared" si="168"/>
        <v>1</v>
      </c>
      <c r="BE347" s="57">
        <f t="shared" si="168"/>
        <v>1</v>
      </c>
      <c r="BF347" s="57">
        <f t="shared" si="168"/>
        <v>1</v>
      </c>
      <c r="BG347" s="57">
        <f t="shared" si="168"/>
        <v>1</v>
      </c>
      <c r="BH347" s="57">
        <f t="shared" si="168"/>
        <v>1</v>
      </c>
      <c r="BI347" s="57">
        <f t="shared" si="168"/>
        <v>1</v>
      </c>
      <c r="BJ347" s="57">
        <f t="shared" si="168"/>
        <v>1</v>
      </c>
      <c r="BK347" s="57">
        <f t="shared" si="168"/>
        <v>1</v>
      </c>
      <c r="BL347" s="57">
        <f t="shared" si="168"/>
        <v>1</v>
      </c>
      <c r="BM347" s="57">
        <f t="shared" si="168"/>
        <v>1</v>
      </c>
      <c r="BN347" s="57">
        <f t="shared" si="168"/>
        <v>1</v>
      </c>
      <c r="BO347" s="32">
        <f t="shared" si="162"/>
        <v>0.4576271186440678</v>
      </c>
    </row>
    <row r="348" spans="1:67" x14ac:dyDescent="0.2">
      <c r="A348" s="42" t="s">
        <v>704</v>
      </c>
      <c r="B348" s="42" t="s">
        <v>705</v>
      </c>
      <c r="C348" s="42" t="s">
        <v>467</v>
      </c>
      <c r="D348" s="43">
        <f>SUM(D349:D364)</f>
        <v>5308872732.0543728</v>
      </c>
      <c r="E348" s="44">
        <f>IFERROR(D348/$D$109,0)</f>
        <v>2.9408554574576196E-2</v>
      </c>
      <c r="F348" s="45">
        <v>46358</v>
      </c>
      <c r="G348" s="45">
        <v>46443</v>
      </c>
      <c r="H348" s="44">
        <f>SUMPRODUCT($E349:$E363,H349:H363)</f>
        <v>0</v>
      </c>
      <c r="I348" s="44">
        <f t="shared" ref="I348:BN348" si="171">SUMPRODUCT($E349:$E363,I349:I363)</f>
        <v>0</v>
      </c>
      <c r="J348" s="44">
        <f t="shared" si="171"/>
        <v>0</v>
      </c>
      <c r="K348" s="44">
        <f t="shared" si="171"/>
        <v>0</v>
      </c>
      <c r="L348" s="44">
        <f t="shared" si="171"/>
        <v>0</v>
      </c>
      <c r="M348" s="44">
        <f t="shared" si="171"/>
        <v>0</v>
      </c>
      <c r="N348" s="44">
        <f t="shared" si="171"/>
        <v>0</v>
      </c>
      <c r="O348" s="44">
        <f t="shared" si="171"/>
        <v>0</v>
      </c>
      <c r="P348" s="44">
        <f t="shared" si="171"/>
        <v>0</v>
      </c>
      <c r="Q348" s="44">
        <f t="shared" si="171"/>
        <v>0</v>
      </c>
      <c r="R348" s="44">
        <f t="shared" si="171"/>
        <v>0</v>
      </c>
      <c r="S348" s="44">
        <f t="shared" si="171"/>
        <v>0</v>
      </c>
      <c r="T348" s="44">
        <f t="shared" si="171"/>
        <v>0</v>
      </c>
      <c r="U348" s="44">
        <f t="shared" si="171"/>
        <v>0</v>
      </c>
      <c r="V348" s="44">
        <f t="shared" si="171"/>
        <v>0</v>
      </c>
      <c r="W348" s="44">
        <f t="shared" si="171"/>
        <v>0</v>
      </c>
      <c r="X348" s="44">
        <f t="shared" si="171"/>
        <v>0</v>
      </c>
      <c r="Y348" s="44">
        <f t="shared" si="171"/>
        <v>0</v>
      </c>
      <c r="Z348" s="44">
        <f t="shared" si="171"/>
        <v>0</v>
      </c>
      <c r="AA348" s="44">
        <f t="shared" si="171"/>
        <v>0</v>
      </c>
      <c r="AB348" s="44">
        <f t="shared" si="171"/>
        <v>0</v>
      </c>
      <c r="AC348" s="44">
        <f t="shared" si="171"/>
        <v>4.7056193519953151E-3</v>
      </c>
      <c r="AD348" s="44">
        <f t="shared" si="171"/>
        <v>1.5685397839984384E-2</v>
      </c>
      <c r="AE348" s="44">
        <f t="shared" si="171"/>
        <v>4.1836545294005947E-2</v>
      </c>
      <c r="AF348" s="44">
        <f t="shared" si="171"/>
        <v>7.5871503452362876E-2</v>
      </c>
      <c r="AG348" s="44">
        <f t="shared" si="171"/>
        <v>0.13668979566530554</v>
      </c>
      <c r="AH348" s="44">
        <f t="shared" si="171"/>
        <v>0.1814926112303839</v>
      </c>
      <c r="AI348" s="44">
        <f t="shared" si="171"/>
        <v>0.27240516581093738</v>
      </c>
      <c r="AJ348" s="44">
        <f t="shared" si="171"/>
        <v>0.35655786596624905</v>
      </c>
      <c r="AK348" s="44">
        <f t="shared" si="171"/>
        <v>0.41666693750575734</v>
      </c>
      <c r="AL348" s="44">
        <f t="shared" si="171"/>
        <v>0.64850810003989967</v>
      </c>
      <c r="AM348" s="44">
        <f t="shared" si="171"/>
        <v>0.72939908997425573</v>
      </c>
      <c r="AN348" s="44">
        <f t="shared" si="171"/>
        <v>0.95560693670850227</v>
      </c>
      <c r="AO348" s="44">
        <f t="shared" si="171"/>
        <v>1</v>
      </c>
      <c r="AP348" s="44">
        <f t="shared" si="171"/>
        <v>1</v>
      </c>
      <c r="AQ348" s="44">
        <f t="shared" si="171"/>
        <v>1</v>
      </c>
      <c r="AR348" s="44">
        <f t="shared" si="171"/>
        <v>1</v>
      </c>
      <c r="AS348" s="44">
        <f t="shared" si="171"/>
        <v>1</v>
      </c>
      <c r="AT348" s="44">
        <f t="shared" si="171"/>
        <v>1</v>
      </c>
      <c r="AU348" s="44">
        <f t="shared" si="171"/>
        <v>1</v>
      </c>
      <c r="AV348" s="44">
        <f t="shared" si="171"/>
        <v>1</v>
      </c>
      <c r="AW348" s="44">
        <f t="shared" si="171"/>
        <v>1</v>
      </c>
      <c r="AX348" s="44">
        <f t="shared" si="171"/>
        <v>1</v>
      </c>
      <c r="AY348" s="44">
        <f t="shared" si="171"/>
        <v>1</v>
      </c>
      <c r="AZ348" s="44">
        <f t="shared" si="171"/>
        <v>1</v>
      </c>
      <c r="BA348" s="44">
        <f t="shared" si="171"/>
        <v>1</v>
      </c>
      <c r="BB348" s="44">
        <f t="shared" si="171"/>
        <v>1</v>
      </c>
      <c r="BC348" s="44">
        <f t="shared" si="171"/>
        <v>1</v>
      </c>
      <c r="BD348" s="44">
        <f t="shared" si="171"/>
        <v>1</v>
      </c>
      <c r="BE348" s="44">
        <f t="shared" si="171"/>
        <v>1</v>
      </c>
      <c r="BF348" s="44">
        <f t="shared" si="171"/>
        <v>1</v>
      </c>
      <c r="BG348" s="44">
        <f t="shared" si="171"/>
        <v>1</v>
      </c>
      <c r="BH348" s="44">
        <f t="shared" si="171"/>
        <v>1</v>
      </c>
      <c r="BI348" s="44">
        <f t="shared" si="171"/>
        <v>1</v>
      </c>
      <c r="BJ348" s="44">
        <f t="shared" si="171"/>
        <v>1</v>
      </c>
      <c r="BK348" s="44">
        <f t="shared" si="171"/>
        <v>1</v>
      </c>
      <c r="BL348" s="44">
        <f t="shared" si="171"/>
        <v>1</v>
      </c>
      <c r="BM348" s="44">
        <f t="shared" si="171"/>
        <v>1</v>
      </c>
      <c r="BN348" s="44">
        <f t="shared" si="171"/>
        <v>1</v>
      </c>
      <c r="BO348" s="32">
        <f t="shared" si="162"/>
        <v>0.50568517913287525</v>
      </c>
    </row>
    <row r="349" spans="1:67" ht="24" x14ac:dyDescent="0.2">
      <c r="A349" s="50" t="s">
        <v>706</v>
      </c>
      <c r="B349" s="50" t="s">
        <v>707</v>
      </c>
      <c r="C349" s="50" t="s">
        <v>74</v>
      </c>
      <c r="D349" s="51">
        <f>VLOOKUP(A349,'[1]Cuadro Control'!C388:J2279,8,FALSE)</f>
        <v>83271780.884117648</v>
      </c>
      <c r="E349" s="52">
        <f t="shared" ref="E349:E363" si="172">IFERROR(D349/$D$348,0)</f>
        <v>1.5685397839984384E-2</v>
      </c>
      <c r="F349" s="53">
        <v>46358</v>
      </c>
      <c r="G349" s="53">
        <v>46367</v>
      </c>
      <c r="H349" s="52">
        <f t="shared" ref="H349:BN353" si="173">IF($F349=0,0,IF(H$6&lt;$F349,0,IF(H$6&gt;$G349,1,(H$6-$F349+1)/($G349-$F349+1))))</f>
        <v>0</v>
      </c>
      <c r="I349" s="52">
        <f t="shared" si="173"/>
        <v>0</v>
      </c>
      <c r="J349" s="52">
        <f t="shared" si="173"/>
        <v>0</v>
      </c>
      <c r="K349" s="52">
        <f t="shared" si="173"/>
        <v>0</v>
      </c>
      <c r="L349" s="52">
        <f t="shared" si="173"/>
        <v>0</v>
      </c>
      <c r="M349" s="52">
        <f t="shared" si="173"/>
        <v>0</v>
      </c>
      <c r="N349" s="52">
        <f t="shared" si="173"/>
        <v>0</v>
      </c>
      <c r="O349" s="52">
        <f t="shared" si="173"/>
        <v>0</v>
      </c>
      <c r="P349" s="52">
        <f t="shared" si="173"/>
        <v>0</v>
      </c>
      <c r="Q349" s="52">
        <f t="shared" si="173"/>
        <v>0</v>
      </c>
      <c r="R349" s="52">
        <f t="shared" si="173"/>
        <v>0</v>
      </c>
      <c r="S349" s="52">
        <f t="shared" si="173"/>
        <v>0</v>
      </c>
      <c r="T349" s="52">
        <f t="shared" si="173"/>
        <v>0</v>
      </c>
      <c r="U349" s="52">
        <f t="shared" si="173"/>
        <v>0</v>
      </c>
      <c r="V349" s="52">
        <f t="shared" si="173"/>
        <v>0</v>
      </c>
      <c r="W349" s="52">
        <f t="shared" si="173"/>
        <v>0</v>
      </c>
      <c r="X349" s="52">
        <f t="shared" si="173"/>
        <v>0</v>
      </c>
      <c r="Y349" s="52">
        <f t="shared" si="173"/>
        <v>0</v>
      </c>
      <c r="Z349" s="52">
        <f t="shared" si="173"/>
        <v>0</v>
      </c>
      <c r="AA349" s="52">
        <f t="shared" si="173"/>
        <v>0</v>
      </c>
      <c r="AB349" s="52">
        <f t="shared" si="173"/>
        <v>0</v>
      </c>
      <c r="AC349" s="52">
        <f t="shared" si="173"/>
        <v>0.3</v>
      </c>
      <c r="AD349" s="52">
        <f t="shared" si="173"/>
        <v>1</v>
      </c>
      <c r="AE349" s="52">
        <f t="shared" si="173"/>
        <v>1</v>
      </c>
      <c r="AF349" s="52">
        <f t="shared" si="173"/>
        <v>1</v>
      </c>
      <c r="AG349" s="52">
        <f t="shared" si="173"/>
        <v>1</v>
      </c>
      <c r="AH349" s="52">
        <f t="shared" si="173"/>
        <v>1</v>
      </c>
      <c r="AI349" s="52">
        <f t="shared" si="173"/>
        <v>1</v>
      </c>
      <c r="AJ349" s="52">
        <f t="shared" si="173"/>
        <v>1</v>
      </c>
      <c r="AK349" s="52">
        <f t="shared" si="173"/>
        <v>1</v>
      </c>
      <c r="AL349" s="52">
        <f t="shared" si="173"/>
        <v>1</v>
      </c>
      <c r="AM349" s="52">
        <f t="shared" si="173"/>
        <v>1</v>
      </c>
      <c r="AN349" s="52">
        <f t="shared" si="173"/>
        <v>1</v>
      </c>
      <c r="AO349" s="52">
        <f t="shared" si="173"/>
        <v>1</v>
      </c>
      <c r="AP349" s="52">
        <f t="shared" si="173"/>
        <v>1</v>
      </c>
      <c r="AQ349" s="52">
        <f t="shared" si="173"/>
        <v>1</v>
      </c>
      <c r="AR349" s="52">
        <f t="shared" si="173"/>
        <v>1</v>
      </c>
      <c r="AS349" s="52">
        <f t="shared" si="173"/>
        <v>1</v>
      </c>
      <c r="AT349" s="52">
        <f t="shared" si="173"/>
        <v>1</v>
      </c>
      <c r="AU349" s="52">
        <f t="shared" si="173"/>
        <v>1</v>
      </c>
      <c r="AV349" s="52">
        <f t="shared" si="173"/>
        <v>1</v>
      </c>
      <c r="AW349" s="52">
        <f t="shared" si="173"/>
        <v>1</v>
      </c>
      <c r="AX349" s="52">
        <f t="shared" si="173"/>
        <v>1</v>
      </c>
      <c r="AY349" s="52">
        <f t="shared" si="173"/>
        <v>1</v>
      </c>
      <c r="AZ349" s="52">
        <f t="shared" si="173"/>
        <v>1</v>
      </c>
      <c r="BA349" s="52">
        <f t="shared" si="173"/>
        <v>1</v>
      </c>
      <c r="BB349" s="52">
        <f t="shared" si="173"/>
        <v>1</v>
      </c>
      <c r="BC349" s="52">
        <f t="shared" si="173"/>
        <v>1</v>
      </c>
      <c r="BD349" s="52">
        <f t="shared" si="173"/>
        <v>1</v>
      </c>
      <c r="BE349" s="52">
        <f t="shared" si="173"/>
        <v>1</v>
      </c>
      <c r="BF349" s="52">
        <f t="shared" si="173"/>
        <v>1</v>
      </c>
      <c r="BG349" s="52">
        <f t="shared" si="173"/>
        <v>1</v>
      </c>
      <c r="BH349" s="52">
        <f t="shared" si="173"/>
        <v>1</v>
      </c>
      <c r="BI349" s="52">
        <f t="shared" si="173"/>
        <v>1</v>
      </c>
      <c r="BJ349" s="52">
        <f t="shared" si="173"/>
        <v>1</v>
      </c>
      <c r="BK349" s="52">
        <f t="shared" si="173"/>
        <v>1</v>
      </c>
      <c r="BL349" s="52">
        <f t="shared" si="173"/>
        <v>1</v>
      </c>
      <c r="BM349" s="52">
        <f t="shared" si="173"/>
        <v>1</v>
      </c>
      <c r="BN349" s="52">
        <f t="shared" si="173"/>
        <v>1</v>
      </c>
      <c r="BO349" s="32">
        <f t="shared" si="162"/>
        <v>0.63220338983050839</v>
      </c>
    </row>
    <row r="350" spans="1:67" x14ac:dyDescent="0.2">
      <c r="A350" s="50" t="s">
        <v>708</v>
      </c>
      <c r="B350" s="50" t="s">
        <v>709</v>
      </c>
      <c r="C350" s="50" t="s">
        <v>61</v>
      </c>
      <c r="D350" s="51">
        <f>VLOOKUP(A350,'[1]Cuadro Control'!C389:J2280,8,FALSE)</f>
        <v>312374505.66882348</v>
      </c>
      <c r="E350" s="52">
        <f t="shared" si="172"/>
        <v>5.8840081771548515E-2</v>
      </c>
      <c r="F350" s="53">
        <v>46371</v>
      </c>
      <c r="G350" s="53">
        <v>46379</v>
      </c>
      <c r="H350" s="52">
        <f t="shared" si="173"/>
        <v>0</v>
      </c>
      <c r="I350" s="52">
        <f t="shared" si="173"/>
        <v>0</v>
      </c>
      <c r="J350" s="52">
        <f t="shared" si="173"/>
        <v>0</v>
      </c>
      <c r="K350" s="52">
        <f t="shared" si="173"/>
        <v>0</v>
      </c>
      <c r="L350" s="52">
        <f t="shared" si="173"/>
        <v>0</v>
      </c>
      <c r="M350" s="52">
        <f t="shared" si="173"/>
        <v>0</v>
      </c>
      <c r="N350" s="52">
        <f t="shared" si="173"/>
        <v>0</v>
      </c>
      <c r="O350" s="52">
        <f t="shared" si="173"/>
        <v>0</v>
      </c>
      <c r="P350" s="52">
        <f t="shared" si="173"/>
        <v>0</v>
      </c>
      <c r="Q350" s="52">
        <f t="shared" si="173"/>
        <v>0</v>
      </c>
      <c r="R350" s="52">
        <f t="shared" si="173"/>
        <v>0</v>
      </c>
      <c r="S350" s="52">
        <f t="shared" si="173"/>
        <v>0</v>
      </c>
      <c r="T350" s="52">
        <f t="shared" si="173"/>
        <v>0</v>
      </c>
      <c r="U350" s="52">
        <f t="shared" si="173"/>
        <v>0</v>
      </c>
      <c r="V350" s="52">
        <f t="shared" si="173"/>
        <v>0</v>
      </c>
      <c r="W350" s="52">
        <f t="shared" si="173"/>
        <v>0</v>
      </c>
      <c r="X350" s="52">
        <f t="shared" si="173"/>
        <v>0</v>
      </c>
      <c r="Y350" s="52">
        <f t="shared" si="173"/>
        <v>0</v>
      </c>
      <c r="Z350" s="52">
        <f t="shared" si="173"/>
        <v>0</v>
      </c>
      <c r="AA350" s="52">
        <f t="shared" si="173"/>
        <v>0</v>
      </c>
      <c r="AB350" s="52">
        <f t="shared" si="173"/>
        <v>0</v>
      </c>
      <c r="AC350" s="52">
        <f t="shared" si="173"/>
        <v>0</v>
      </c>
      <c r="AD350" s="52">
        <f t="shared" si="173"/>
        <v>0</v>
      </c>
      <c r="AE350" s="52">
        <f t="shared" si="173"/>
        <v>0.44444444444444442</v>
      </c>
      <c r="AF350" s="52">
        <f t="shared" si="173"/>
        <v>1</v>
      </c>
      <c r="AG350" s="52">
        <f t="shared" si="173"/>
        <v>1</v>
      </c>
      <c r="AH350" s="52">
        <f t="shared" si="173"/>
        <v>1</v>
      </c>
      <c r="AI350" s="52">
        <f t="shared" si="173"/>
        <v>1</v>
      </c>
      <c r="AJ350" s="52">
        <f t="shared" si="173"/>
        <v>1</v>
      </c>
      <c r="AK350" s="52">
        <f t="shared" si="173"/>
        <v>1</v>
      </c>
      <c r="AL350" s="52">
        <f t="shared" si="173"/>
        <v>1</v>
      </c>
      <c r="AM350" s="52">
        <f t="shared" si="173"/>
        <v>1</v>
      </c>
      <c r="AN350" s="52">
        <f t="shared" si="173"/>
        <v>1</v>
      </c>
      <c r="AO350" s="52">
        <f t="shared" si="173"/>
        <v>1</v>
      </c>
      <c r="AP350" s="52">
        <f t="shared" si="173"/>
        <v>1</v>
      </c>
      <c r="AQ350" s="52">
        <f t="shared" si="173"/>
        <v>1</v>
      </c>
      <c r="AR350" s="52">
        <f t="shared" si="173"/>
        <v>1</v>
      </c>
      <c r="AS350" s="52">
        <f t="shared" si="173"/>
        <v>1</v>
      </c>
      <c r="AT350" s="52">
        <f t="shared" si="173"/>
        <v>1</v>
      </c>
      <c r="AU350" s="52">
        <f t="shared" si="173"/>
        <v>1</v>
      </c>
      <c r="AV350" s="52">
        <f t="shared" si="173"/>
        <v>1</v>
      </c>
      <c r="AW350" s="52">
        <f t="shared" si="173"/>
        <v>1</v>
      </c>
      <c r="AX350" s="52">
        <f t="shared" si="173"/>
        <v>1</v>
      </c>
      <c r="AY350" s="52">
        <f t="shared" si="173"/>
        <v>1</v>
      </c>
      <c r="AZ350" s="52">
        <f t="shared" si="173"/>
        <v>1</v>
      </c>
      <c r="BA350" s="52">
        <f t="shared" si="173"/>
        <v>1</v>
      </c>
      <c r="BB350" s="52">
        <f t="shared" si="173"/>
        <v>1</v>
      </c>
      <c r="BC350" s="52">
        <f t="shared" si="173"/>
        <v>1</v>
      </c>
      <c r="BD350" s="52">
        <f t="shared" si="173"/>
        <v>1</v>
      </c>
      <c r="BE350" s="52">
        <f t="shared" si="173"/>
        <v>1</v>
      </c>
      <c r="BF350" s="52">
        <f t="shared" si="173"/>
        <v>1</v>
      </c>
      <c r="BG350" s="52">
        <f t="shared" si="173"/>
        <v>1</v>
      </c>
      <c r="BH350" s="52">
        <f t="shared" si="173"/>
        <v>1</v>
      </c>
      <c r="BI350" s="52">
        <f t="shared" si="173"/>
        <v>1</v>
      </c>
      <c r="BJ350" s="52">
        <f t="shared" si="173"/>
        <v>1</v>
      </c>
      <c r="BK350" s="52">
        <f t="shared" si="173"/>
        <v>1</v>
      </c>
      <c r="BL350" s="52">
        <f t="shared" si="173"/>
        <v>1</v>
      </c>
      <c r="BM350" s="52">
        <f t="shared" si="173"/>
        <v>1</v>
      </c>
      <c r="BN350" s="52">
        <f t="shared" si="173"/>
        <v>1</v>
      </c>
      <c r="BO350" s="32">
        <f t="shared" si="162"/>
        <v>0.60075329566854985</v>
      </c>
    </row>
    <row r="351" spans="1:67" ht="15" x14ac:dyDescent="0.2">
      <c r="A351" s="46" t="s">
        <v>710</v>
      </c>
      <c r="B351" s="46" t="s">
        <v>711</v>
      </c>
      <c r="C351" s="46" t="s">
        <v>126</v>
      </c>
      <c r="D351" s="47">
        <f>VLOOKUP(A351,'[1]Cuadro Control'!C390:J2281,8,FALSE)</f>
        <v>9527825.6870364472</v>
      </c>
      <c r="E351" s="48">
        <f t="shared" si="172"/>
        <v>1.794698454439963E-3</v>
      </c>
      <c r="F351" s="49">
        <v>46379</v>
      </c>
      <c r="G351" s="49">
        <v>46382</v>
      </c>
      <c r="H351" s="48">
        <f t="shared" si="173"/>
        <v>0</v>
      </c>
      <c r="I351" s="48">
        <f t="shared" si="173"/>
        <v>0</v>
      </c>
      <c r="J351" s="48">
        <f t="shared" si="173"/>
        <v>0</v>
      </c>
      <c r="K351" s="48">
        <f t="shared" si="173"/>
        <v>0</v>
      </c>
      <c r="L351" s="48">
        <f t="shared" si="173"/>
        <v>0</v>
      </c>
      <c r="M351" s="48">
        <f t="shared" si="173"/>
        <v>0</v>
      </c>
      <c r="N351" s="48">
        <f t="shared" si="173"/>
        <v>0</v>
      </c>
      <c r="O351" s="48">
        <f t="shared" si="173"/>
        <v>0</v>
      </c>
      <c r="P351" s="48">
        <f t="shared" si="173"/>
        <v>0</v>
      </c>
      <c r="Q351" s="48">
        <f t="shared" si="173"/>
        <v>0</v>
      </c>
      <c r="R351" s="48">
        <f t="shared" si="173"/>
        <v>0</v>
      </c>
      <c r="S351" s="48">
        <f t="shared" si="173"/>
        <v>0</v>
      </c>
      <c r="T351" s="48">
        <f t="shared" si="173"/>
        <v>0</v>
      </c>
      <c r="U351" s="48">
        <f t="shared" si="173"/>
        <v>0</v>
      </c>
      <c r="V351" s="48">
        <f t="shared" si="173"/>
        <v>0</v>
      </c>
      <c r="W351" s="48">
        <f t="shared" si="173"/>
        <v>0</v>
      </c>
      <c r="X351" s="48">
        <f t="shared" si="173"/>
        <v>0</v>
      </c>
      <c r="Y351" s="48">
        <f t="shared" si="173"/>
        <v>0</v>
      </c>
      <c r="Z351" s="48">
        <f t="shared" si="173"/>
        <v>0</v>
      </c>
      <c r="AA351" s="48">
        <f t="shared" si="173"/>
        <v>0</v>
      </c>
      <c r="AB351" s="48">
        <f t="shared" si="173"/>
        <v>0</v>
      </c>
      <c r="AC351" s="48">
        <f t="shared" si="173"/>
        <v>0</v>
      </c>
      <c r="AD351" s="48">
        <f t="shared" si="173"/>
        <v>0</v>
      </c>
      <c r="AE351" s="48">
        <f t="shared" si="173"/>
        <v>0</v>
      </c>
      <c r="AF351" s="48">
        <f t="shared" si="173"/>
        <v>0.75</v>
      </c>
      <c r="AG351" s="48">
        <f t="shared" si="173"/>
        <v>1</v>
      </c>
      <c r="AH351" s="48">
        <f t="shared" si="173"/>
        <v>1</v>
      </c>
      <c r="AI351" s="48">
        <f t="shared" si="173"/>
        <v>1</v>
      </c>
      <c r="AJ351" s="48">
        <f t="shared" si="173"/>
        <v>1</v>
      </c>
      <c r="AK351" s="48">
        <f t="shared" si="173"/>
        <v>1</v>
      </c>
      <c r="AL351" s="48">
        <f t="shared" si="173"/>
        <v>1</v>
      </c>
      <c r="AM351" s="48">
        <f t="shared" si="173"/>
        <v>1</v>
      </c>
      <c r="AN351" s="48">
        <f t="shared" si="173"/>
        <v>1</v>
      </c>
      <c r="AO351" s="48">
        <f t="shared" si="173"/>
        <v>1</v>
      </c>
      <c r="AP351" s="48">
        <f t="shared" si="173"/>
        <v>1</v>
      </c>
      <c r="AQ351" s="48">
        <f t="shared" si="173"/>
        <v>1</v>
      </c>
      <c r="AR351" s="48">
        <f t="shared" si="173"/>
        <v>1</v>
      </c>
      <c r="AS351" s="48">
        <f t="shared" si="173"/>
        <v>1</v>
      </c>
      <c r="AT351" s="48">
        <f t="shared" si="173"/>
        <v>1</v>
      </c>
      <c r="AU351" s="48">
        <f t="shared" si="173"/>
        <v>1</v>
      </c>
      <c r="AV351" s="48">
        <f t="shared" si="173"/>
        <v>1</v>
      </c>
      <c r="AW351" s="48">
        <f t="shared" si="173"/>
        <v>1</v>
      </c>
      <c r="AX351" s="48">
        <f t="shared" si="173"/>
        <v>1</v>
      </c>
      <c r="AY351" s="48">
        <f t="shared" si="173"/>
        <v>1</v>
      </c>
      <c r="AZ351" s="48">
        <f t="shared" si="173"/>
        <v>1</v>
      </c>
      <c r="BA351" s="48">
        <f t="shared" si="173"/>
        <v>1</v>
      </c>
      <c r="BB351" s="48">
        <f t="shared" si="173"/>
        <v>1</v>
      </c>
      <c r="BC351" s="48">
        <f t="shared" si="173"/>
        <v>1</v>
      </c>
      <c r="BD351" s="48">
        <f t="shared" si="173"/>
        <v>1</v>
      </c>
      <c r="BE351" s="48">
        <f t="shared" si="173"/>
        <v>1</v>
      </c>
      <c r="BF351" s="48">
        <f t="shared" si="173"/>
        <v>1</v>
      </c>
      <c r="BG351" s="48">
        <f t="shared" si="173"/>
        <v>1</v>
      </c>
      <c r="BH351" s="48">
        <f t="shared" si="173"/>
        <v>1</v>
      </c>
      <c r="BI351" s="48">
        <f t="shared" si="173"/>
        <v>1</v>
      </c>
      <c r="BJ351" s="48">
        <f t="shared" si="173"/>
        <v>1</v>
      </c>
      <c r="BK351" s="48">
        <f t="shared" si="173"/>
        <v>1</v>
      </c>
      <c r="BL351" s="48">
        <f t="shared" si="173"/>
        <v>1</v>
      </c>
      <c r="BM351" s="48">
        <f t="shared" si="173"/>
        <v>1</v>
      </c>
      <c r="BN351" s="48">
        <f t="shared" si="173"/>
        <v>1</v>
      </c>
      <c r="BO351" s="32">
        <f t="shared" si="162"/>
        <v>0.58898305084745761</v>
      </c>
    </row>
    <row r="352" spans="1:67" x14ac:dyDescent="0.2">
      <c r="A352" s="50" t="s">
        <v>712</v>
      </c>
      <c r="B352" s="50" t="s">
        <v>713</v>
      </c>
      <c r="C352" s="50" t="s">
        <v>117</v>
      </c>
      <c r="D352" s="51">
        <f>VLOOKUP(A352,'[1]Cuadro Control'!C391:J2282,8,FALSE)</f>
        <v>320494616.71764702</v>
      </c>
      <c r="E352" s="52">
        <f t="shared" si="172"/>
        <v>6.0369617599332674E-2</v>
      </c>
      <c r="F352" s="53">
        <v>46382</v>
      </c>
      <c r="G352" s="53">
        <v>46387</v>
      </c>
      <c r="H352" s="52">
        <f t="shared" si="173"/>
        <v>0</v>
      </c>
      <c r="I352" s="52">
        <f t="shared" si="173"/>
        <v>0</v>
      </c>
      <c r="J352" s="52">
        <f t="shared" si="173"/>
        <v>0</v>
      </c>
      <c r="K352" s="52">
        <f t="shared" si="173"/>
        <v>0</v>
      </c>
      <c r="L352" s="52">
        <f t="shared" si="173"/>
        <v>0</v>
      </c>
      <c r="M352" s="52">
        <f t="shared" si="173"/>
        <v>0</v>
      </c>
      <c r="N352" s="52">
        <f t="shared" si="173"/>
        <v>0</v>
      </c>
      <c r="O352" s="52">
        <f t="shared" si="173"/>
        <v>0</v>
      </c>
      <c r="P352" s="52">
        <f t="shared" si="173"/>
        <v>0</v>
      </c>
      <c r="Q352" s="52">
        <f t="shared" si="173"/>
        <v>0</v>
      </c>
      <c r="R352" s="52">
        <f t="shared" si="173"/>
        <v>0</v>
      </c>
      <c r="S352" s="52">
        <f t="shared" si="173"/>
        <v>0</v>
      </c>
      <c r="T352" s="52">
        <f t="shared" si="173"/>
        <v>0</v>
      </c>
      <c r="U352" s="52">
        <f t="shared" si="173"/>
        <v>0</v>
      </c>
      <c r="V352" s="52">
        <f t="shared" si="173"/>
        <v>0</v>
      </c>
      <c r="W352" s="52">
        <f t="shared" si="173"/>
        <v>0</v>
      </c>
      <c r="X352" s="52">
        <f t="shared" si="173"/>
        <v>0</v>
      </c>
      <c r="Y352" s="52">
        <f t="shared" si="173"/>
        <v>0</v>
      </c>
      <c r="Z352" s="52">
        <f t="shared" si="173"/>
        <v>0</v>
      </c>
      <c r="AA352" s="52">
        <f t="shared" si="173"/>
        <v>0</v>
      </c>
      <c r="AB352" s="52">
        <f t="shared" si="173"/>
        <v>0</v>
      </c>
      <c r="AC352" s="52">
        <f t="shared" si="173"/>
        <v>0</v>
      </c>
      <c r="AD352" s="52">
        <f t="shared" si="173"/>
        <v>0</v>
      </c>
      <c r="AE352" s="52">
        <f t="shared" si="173"/>
        <v>0</v>
      </c>
      <c r="AF352" s="52">
        <f t="shared" si="173"/>
        <v>0</v>
      </c>
      <c r="AG352" s="52">
        <f t="shared" si="173"/>
        <v>1</v>
      </c>
      <c r="AH352" s="52">
        <f t="shared" si="173"/>
        <v>1</v>
      </c>
      <c r="AI352" s="52">
        <f t="shared" si="173"/>
        <v>1</v>
      </c>
      <c r="AJ352" s="52">
        <f t="shared" si="173"/>
        <v>1</v>
      </c>
      <c r="AK352" s="52">
        <f t="shared" si="173"/>
        <v>1</v>
      </c>
      <c r="AL352" s="52">
        <f t="shared" si="173"/>
        <v>1</v>
      </c>
      <c r="AM352" s="52">
        <f t="shared" si="173"/>
        <v>1</v>
      </c>
      <c r="AN352" s="52">
        <f t="shared" si="173"/>
        <v>1</v>
      </c>
      <c r="AO352" s="52">
        <f t="shared" si="173"/>
        <v>1</v>
      </c>
      <c r="AP352" s="52">
        <f t="shared" si="173"/>
        <v>1</v>
      </c>
      <c r="AQ352" s="52">
        <f t="shared" si="173"/>
        <v>1</v>
      </c>
      <c r="AR352" s="52">
        <f t="shared" si="173"/>
        <v>1</v>
      </c>
      <c r="AS352" s="52">
        <f t="shared" si="173"/>
        <v>1</v>
      </c>
      <c r="AT352" s="52">
        <f t="shared" si="173"/>
        <v>1</v>
      </c>
      <c r="AU352" s="52">
        <f t="shared" si="173"/>
        <v>1</v>
      </c>
      <c r="AV352" s="52">
        <f t="shared" si="173"/>
        <v>1</v>
      </c>
      <c r="AW352" s="52">
        <f t="shared" si="173"/>
        <v>1</v>
      </c>
      <c r="AX352" s="52">
        <f t="shared" si="173"/>
        <v>1</v>
      </c>
      <c r="AY352" s="52">
        <f t="shared" si="173"/>
        <v>1</v>
      </c>
      <c r="AZ352" s="52">
        <f t="shared" si="173"/>
        <v>1</v>
      </c>
      <c r="BA352" s="52">
        <f t="shared" si="173"/>
        <v>1</v>
      </c>
      <c r="BB352" s="52">
        <f t="shared" si="173"/>
        <v>1</v>
      </c>
      <c r="BC352" s="52">
        <f t="shared" si="173"/>
        <v>1</v>
      </c>
      <c r="BD352" s="52">
        <f t="shared" si="173"/>
        <v>1</v>
      </c>
      <c r="BE352" s="52">
        <f t="shared" si="173"/>
        <v>1</v>
      </c>
      <c r="BF352" s="52">
        <f t="shared" si="173"/>
        <v>1</v>
      </c>
      <c r="BG352" s="52">
        <f t="shared" si="173"/>
        <v>1</v>
      </c>
      <c r="BH352" s="52">
        <f t="shared" si="173"/>
        <v>1</v>
      </c>
      <c r="BI352" s="52">
        <f t="shared" si="173"/>
        <v>1</v>
      </c>
      <c r="BJ352" s="52">
        <f t="shared" si="173"/>
        <v>1</v>
      </c>
      <c r="BK352" s="52">
        <f t="shared" si="173"/>
        <v>1</v>
      </c>
      <c r="BL352" s="52">
        <f t="shared" si="173"/>
        <v>1</v>
      </c>
      <c r="BM352" s="52">
        <f t="shared" si="173"/>
        <v>1</v>
      </c>
      <c r="BN352" s="52">
        <f t="shared" si="173"/>
        <v>1</v>
      </c>
      <c r="BO352" s="32">
        <f t="shared" si="162"/>
        <v>0.57627118644067798</v>
      </c>
    </row>
    <row r="353" spans="1:67" x14ac:dyDescent="0.2">
      <c r="A353" s="50" t="s">
        <v>714</v>
      </c>
      <c r="B353" s="50" t="s">
        <v>715</v>
      </c>
      <c r="C353" s="50" t="s">
        <v>111</v>
      </c>
      <c r="D353" s="51">
        <f>VLOOKUP(A353,'[1]Cuadro Control'!C392:J2283,8,FALSE)</f>
        <v>94303618.549411759</v>
      </c>
      <c r="E353" s="52">
        <f t="shared" si="172"/>
        <v>1.7763397864110998E-2</v>
      </c>
      <c r="F353" s="53">
        <v>46389</v>
      </c>
      <c r="G353" s="53">
        <v>46392</v>
      </c>
      <c r="H353" s="52">
        <f t="shared" si="173"/>
        <v>0</v>
      </c>
      <c r="I353" s="52">
        <f t="shared" si="173"/>
        <v>0</v>
      </c>
      <c r="J353" s="52">
        <f t="shared" si="173"/>
        <v>0</v>
      </c>
      <c r="K353" s="52">
        <f t="shared" si="173"/>
        <v>0</v>
      </c>
      <c r="L353" s="52">
        <f t="shared" si="173"/>
        <v>0</v>
      </c>
      <c r="M353" s="52">
        <f t="shared" si="173"/>
        <v>0</v>
      </c>
      <c r="N353" s="52">
        <f t="shared" si="173"/>
        <v>0</v>
      </c>
      <c r="O353" s="52">
        <f t="shared" si="173"/>
        <v>0</v>
      </c>
      <c r="P353" s="52">
        <f t="shared" si="173"/>
        <v>0</v>
      </c>
      <c r="Q353" s="52">
        <f t="shared" si="173"/>
        <v>0</v>
      </c>
      <c r="R353" s="52">
        <f t="shared" si="173"/>
        <v>0</v>
      </c>
      <c r="S353" s="52">
        <f t="shared" si="173"/>
        <v>0</v>
      </c>
      <c r="T353" s="52">
        <f t="shared" si="173"/>
        <v>0</v>
      </c>
      <c r="U353" s="52">
        <f t="shared" si="173"/>
        <v>0</v>
      </c>
      <c r="V353" s="52">
        <f t="shared" si="173"/>
        <v>0</v>
      </c>
      <c r="W353" s="52">
        <f t="shared" si="173"/>
        <v>0</v>
      </c>
      <c r="X353" s="52">
        <f t="shared" si="173"/>
        <v>0</v>
      </c>
      <c r="Y353" s="52">
        <f t="shared" si="173"/>
        <v>0</v>
      </c>
      <c r="Z353" s="52">
        <f t="shared" si="173"/>
        <v>0</v>
      </c>
      <c r="AA353" s="52">
        <f t="shared" ref="AA353:BF364" si="174">IF($F353=0,0,IF(AA$6&lt;$F353,0,IF(AA$6&gt;$G353,1,(AA$6-$F353+1)/($G353-$F353+1))))</f>
        <v>0</v>
      </c>
      <c r="AB353" s="52">
        <f t="shared" si="174"/>
        <v>0</v>
      </c>
      <c r="AC353" s="52">
        <f t="shared" si="174"/>
        <v>0</v>
      </c>
      <c r="AD353" s="52">
        <f t="shared" si="174"/>
        <v>0</v>
      </c>
      <c r="AE353" s="52">
        <f t="shared" si="174"/>
        <v>0</v>
      </c>
      <c r="AF353" s="52">
        <f t="shared" si="174"/>
        <v>0</v>
      </c>
      <c r="AG353" s="52">
        <f t="shared" si="174"/>
        <v>0</v>
      </c>
      <c r="AH353" s="52">
        <f t="shared" si="174"/>
        <v>1</v>
      </c>
      <c r="AI353" s="52">
        <f t="shared" si="174"/>
        <v>1</v>
      </c>
      <c r="AJ353" s="52">
        <f t="shared" si="174"/>
        <v>1</v>
      </c>
      <c r="AK353" s="52">
        <f t="shared" si="174"/>
        <v>1</v>
      </c>
      <c r="AL353" s="52">
        <f t="shared" si="174"/>
        <v>1</v>
      </c>
      <c r="AM353" s="52">
        <f t="shared" si="174"/>
        <v>1</v>
      </c>
      <c r="AN353" s="52">
        <f t="shared" si="174"/>
        <v>1</v>
      </c>
      <c r="AO353" s="52">
        <f t="shared" si="174"/>
        <v>1</v>
      </c>
      <c r="AP353" s="52">
        <f t="shared" si="174"/>
        <v>1</v>
      </c>
      <c r="AQ353" s="52">
        <f t="shared" si="174"/>
        <v>1</v>
      </c>
      <c r="AR353" s="52">
        <f t="shared" si="174"/>
        <v>1</v>
      </c>
      <c r="AS353" s="52">
        <f t="shared" si="174"/>
        <v>1</v>
      </c>
      <c r="AT353" s="52">
        <f t="shared" si="174"/>
        <v>1</v>
      </c>
      <c r="AU353" s="52">
        <f t="shared" si="174"/>
        <v>1</v>
      </c>
      <c r="AV353" s="52">
        <f t="shared" si="174"/>
        <v>1</v>
      </c>
      <c r="AW353" s="52">
        <f t="shared" si="174"/>
        <v>1</v>
      </c>
      <c r="AX353" s="52">
        <f t="shared" si="174"/>
        <v>1</v>
      </c>
      <c r="AY353" s="52">
        <f t="shared" si="174"/>
        <v>1</v>
      </c>
      <c r="AZ353" s="52">
        <f t="shared" si="174"/>
        <v>1</v>
      </c>
      <c r="BA353" s="52">
        <f t="shared" si="174"/>
        <v>1</v>
      </c>
      <c r="BB353" s="52">
        <f t="shared" si="174"/>
        <v>1</v>
      </c>
      <c r="BC353" s="52">
        <f t="shared" si="174"/>
        <v>1</v>
      </c>
      <c r="BD353" s="52">
        <f t="shared" si="174"/>
        <v>1</v>
      </c>
      <c r="BE353" s="52">
        <f t="shared" si="174"/>
        <v>1</v>
      </c>
      <c r="BF353" s="52">
        <f t="shared" si="174"/>
        <v>1</v>
      </c>
      <c r="BG353" s="52">
        <f t="shared" ref="BG353:BN364" si="175">IF($F353=0,0,IF(BG$6&lt;$F353,0,IF(BG$6&gt;$G353,1,(BG$6-$F353+1)/($G353-$F353+1))))</f>
        <v>1</v>
      </c>
      <c r="BH353" s="52">
        <f t="shared" si="175"/>
        <v>1</v>
      </c>
      <c r="BI353" s="52">
        <f t="shared" si="175"/>
        <v>1</v>
      </c>
      <c r="BJ353" s="52">
        <f t="shared" si="175"/>
        <v>1</v>
      </c>
      <c r="BK353" s="52">
        <f t="shared" si="175"/>
        <v>1</v>
      </c>
      <c r="BL353" s="52">
        <f t="shared" si="175"/>
        <v>1</v>
      </c>
      <c r="BM353" s="52">
        <f t="shared" si="175"/>
        <v>1</v>
      </c>
      <c r="BN353" s="52">
        <f t="shared" si="175"/>
        <v>1</v>
      </c>
      <c r="BO353" s="32">
        <f t="shared" si="162"/>
        <v>0.55932203389830504</v>
      </c>
    </row>
    <row r="354" spans="1:67" x14ac:dyDescent="0.2">
      <c r="A354" s="50" t="s">
        <v>716</v>
      </c>
      <c r="B354" s="50" t="s">
        <v>717</v>
      </c>
      <c r="C354" s="50" t="s">
        <v>238</v>
      </c>
      <c r="D354" s="51">
        <f>VLOOKUP(A354,'[1]Cuadro Control'!C393:J2284,8,FALSE)</f>
        <v>179436034.15411764</v>
      </c>
      <c r="E354" s="52">
        <f t="shared" si="172"/>
        <v>3.3799272126209236E-2</v>
      </c>
      <c r="F354" s="53">
        <v>46392</v>
      </c>
      <c r="G354" s="53">
        <v>46396</v>
      </c>
      <c r="H354" s="52">
        <f t="shared" ref="H354:W364" si="176">IF($F354=0,0,IF(H$6&lt;$F354,0,IF(H$6&gt;$G354,1,(H$6-$F354+1)/($G354-$F354+1))))</f>
        <v>0</v>
      </c>
      <c r="I354" s="52">
        <f t="shared" si="176"/>
        <v>0</v>
      </c>
      <c r="J354" s="52">
        <f t="shared" si="176"/>
        <v>0</v>
      </c>
      <c r="K354" s="52">
        <f t="shared" si="176"/>
        <v>0</v>
      </c>
      <c r="L354" s="52">
        <f t="shared" si="176"/>
        <v>0</v>
      </c>
      <c r="M354" s="52">
        <f t="shared" si="176"/>
        <v>0</v>
      </c>
      <c r="N354" s="52">
        <f t="shared" si="176"/>
        <v>0</v>
      </c>
      <c r="O354" s="52">
        <f t="shared" si="176"/>
        <v>0</v>
      </c>
      <c r="P354" s="52">
        <f t="shared" si="176"/>
        <v>0</v>
      </c>
      <c r="Q354" s="52">
        <f t="shared" si="176"/>
        <v>0</v>
      </c>
      <c r="R354" s="52">
        <f t="shared" si="176"/>
        <v>0</v>
      </c>
      <c r="S354" s="52">
        <f t="shared" si="176"/>
        <v>0</v>
      </c>
      <c r="T354" s="52">
        <f t="shared" si="176"/>
        <v>0</v>
      </c>
      <c r="U354" s="52">
        <f t="shared" si="176"/>
        <v>0</v>
      </c>
      <c r="V354" s="52">
        <f t="shared" si="176"/>
        <v>0</v>
      </c>
      <c r="W354" s="52">
        <f t="shared" si="176"/>
        <v>0</v>
      </c>
      <c r="X354" s="52">
        <f t="shared" ref="X354:BC364" si="177">IF($F354=0,0,IF(X$6&lt;$F354,0,IF(X$6&gt;$G354,1,(X$6-$F354+1)/($G354-$F354+1))))</f>
        <v>0</v>
      </c>
      <c r="Y354" s="52">
        <f t="shared" si="177"/>
        <v>0</v>
      </c>
      <c r="Z354" s="52">
        <f t="shared" si="177"/>
        <v>0</v>
      </c>
      <c r="AA354" s="52">
        <f t="shared" si="177"/>
        <v>0</v>
      </c>
      <c r="AB354" s="52">
        <f t="shared" si="177"/>
        <v>0</v>
      </c>
      <c r="AC354" s="52">
        <f t="shared" si="177"/>
        <v>0</v>
      </c>
      <c r="AD354" s="52">
        <f t="shared" si="177"/>
        <v>0</v>
      </c>
      <c r="AE354" s="52">
        <f t="shared" si="177"/>
        <v>0</v>
      </c>
      <c r="AF354" s="52">
        <f t="shared" si="177"/>
        <v>0</v>
      </c>
      <c r="AG354" s="52">
        <f t="shared" si="177"/>
        <v>0</v>
      </c>
      <c r="AH354" s="52">
        <f t="shared" si="177"/>
        <v>0.8</v>
      </c>
      <c r="AI354" s="52">
        <f t="shared" si="177"/>
        <v>1</v>
      </c>
      <c r="AJ354" s="52">
        <f t="shared" si="177"/>
        <v>1</v>
      </c>
      <c r="AK354" s="52">
        <f t="shared" si="177"/>
        <v>1</v>
      </c>
      <c r="AL354" s="52">
        <f t="shared" si="177"/>
        <v>1</v>
      </c>
      <c r="AM354" s="52">
        <f t="shared" si="177"/>
        <v>1</v>
      </c>
      <c r="AN354" s="52">
        <f t="shared" si="177"/>
        <v>1</v>
      </c>
      <c r="AO354" s="52">
        <f t="shared" si="174"/>
        <v>1</v>
      </c>
      <c r="AP354" s="52">
        <f t="shared" si="174"/>
        <v>1</v>
      </c>
      <c r="AQ354" s="52">
        <f t="shared" si="174"/>
        <v>1</v>
      </c>
      <c r="AR354" s="52">
        <f t="shared" si="174"/>
        <v>1</v>
      </c>
      <c r="AS354" s="52">
        <f t="shared" si="174"/>
        <v>1</v>
      </c>
      <c r="AT354" s="52">
        <f t="shared" si="174"/>
        <v>1</v>
      </c>
      <c r="AU354" s="52">
        <f t="shared" si="174"/>
        <v>1</v>
      </c>
      <c r="AV354" s="52">
        <f t="shared" si="174"/>
        <v>1</v>
      </c>
      <c r="AW354" s="52">
        <f t="shared" si="174"/>
        <v>1</v>
      </c>
      <c r="AX354" s="52">
        <f t="shared" si="174"/>
        <v>1</v>
      </c>
      <c r="AY354" s="52">
        <f t="shared" si="174"/>
        <v>1</v>
      </c>
      <c r="AZ354" s="52">
        <f t="shared" si="174"/>
        <v>1</v>
      </c>
      <c r="BA354" s="52">
        <f t="shared" si="174"/>
        <v>1</v>
      </c>
      <c r="BB354" s="52">
        <f t="shared" si="174"/>
        <v>1</v>
      </c>
      <c r="BC354" s="52">
        <f t="shared" si="174"/>
        <v>1</v>
      </c>
      <c r="BD354" s="52">
        <f t="shared" si="174"/>
        <v>1</v>
      </c>
      <c r="BE354" s="52">
        <f t="shared" si="174"/>
        <v>1</v>
      </c>
      <c r="BF354" s="52">
        <f t="shared" si="174"/>
        <v>1</v>
      </c>
      <c r="BG354" s="52">
        <f t="shared" si="175"/>
        <v>1</v>
      </c>
      <c r="BH354" s="52">
        <f t="shared" si="175"/>
        <v>1</v>
      </c>
      <c r="BI354" s="52">
        <f t="shared" si="175"/>
        <v>1</v>
      </c>
      <c r="BJ354" s="52">
        <f t="shared" si="175"/>
        <v>1</v>
      </c>
      <c r="BK354" s="52">
        <f t="shared" si="175"/>
        <v>1</v>
      </c>
      <c r="BL354" s="52">
        <f t="shared" si="175"/>
        <v>1</v>
      </c>
      <c r="BM354" s="52">
        <f t="shared" si="175"/>
        <v>1</v>
      </c>
      <c r="BN354" s="52">
        <f t="shared" si="175"/>
        <v>1</v>
      </c>
      <c r="BO354" s="32">
        <f t="shared" si="162"/>
        <v>0.55593220338983051</v>
      </c>
    </row>
    <row r="355" spans="1:67" x14ac:dyDescent="0.2">
      <c r="A355" s="50" t="s">
        <v>718</v>
      </c>
      <c r="B355" s="50" t="s">
        <v>719</v>
      </c>
      <c r="C355" s="50" t="s">
        <v>58</v>
      </c>
      <c r="D355" s="51">
        <f>VLOOKUP(A355,'[1]Cuadro Control'!C394:J2285,8,FALSE)</f>
        <v>1212623361.2117648</v>
      </c>
      <c r="E355" s="52">
        <f t="shared" si="172"/>
        <v>0.22841447185013161</v>
      </c>
      <c r="F355" s="53">
        <v>46396</v>
      </c>
      <c r="G355" s="53">
        <v>46414</v>
      </c>
      <c r="H355" s="52">
        <f t="shared" si="176"/>
        <v>0</v>
      </c>
      <c r="I355" s="52">
        <f t="shared" si="176"/>
        <v>0</v>
      </c>
      <c r="J355" s="52">
        <f t="shared" si="176"/>
        <v>0</v>
      </c>
      <c r="K355" s="52">
        <f t="shared" si="176"/>
        <v>0</v>
      </c>
      <c r="L355" s="52">
        <f t="shared" si="176"/>
        <v>0</v>
      </c>
      <c r="M355" s="52">
        <f t="shared" si="176"/>
        <v>0</v>
      </c>
      <c r="N355" s="52">
        <f t="shared" si="176"/>
        <v>0</v>
      </c>
      <c r="O355" s="52">
        <f t="shared" si="176"/>
        <v>0</v>
      </c>
      <c r="P355" s="52">
        <f t="shared" si="176"/>
        <v>0</v>
      </c>
      <c r="Q355" s="52">
        <f t="shared" si="176"/>
        <v>0</v>
      </c>
      <c r="R355" s="52">
        <f t="shared" si="176"/>
        <v>0</v>
      </c>
      <c r="S355" s="52">
        <f t="shared" si="176"/>
        <v>0</v>
      </c>
      <c r="T355" s="52">
        <f t="shared" si="176"/>
        <v>0</v>
      </c>
      <c r="U355" s="52">
        <f t="shared" si="176"/>
        <v>0</v>
      </c>
      <c r="V355" s="52">
        <f t="shared" si="176"/>
        <v>0</v>
      </c>
      <c r="W355" s="52">
        <f t="shared" si="176"/>
        <v>0</v>
      </c>
      <c r="X355" s="52">
        <f t="shared" si="177"/>
        <v>0</v>
      </c>
      <c r="Y355" s="52">
        <f t="shared" si="177"/>
        <v>0</v>
      </c>
      <c r="Z355" s="52">
        <f t="shared" si="177"/>
        <v>0</v>
      </c>
      <c r="AA355" s="52">
        <f t="shared" si="177"/>
        <v>0</v>
      </c>
      <c r="AB355" s="52">
        <f t="shared" si="177"/>
        <v>0</v>
      </c>
      <c r="AC355" s="52">
        <f t="shared" si="177"/>
        <v>0</v>
      </c>
      <c r="AD355" s="52">
        <f t="shared" si="177"/>
        <v>0</v>
      </c>
      <c r="AE355" s="52">
        <f t="shared" si="177"/>
        <v>0</v>
      </c>
      <c r="AF355" s="52">
        <f t="shared" si="177"/>
        <v>0</v>
      </c>
      <c r="AG355" s="52">
        <f t="shared" si="177"/>
        <v>0</v>
      </c>
      <c r="AH355" s="52">
        <f t="shared" si="177"/>
        <v>0</v>
      </c>
      <c r="AI355" s="52">
        <f t="shared" si="177"/>
        <v>0.36842105263157893</v>
      </c>
      <c r="AJ355" s="52">
        <f t="shared" si="177"/>
        <v>0.73684210526315785</v>
      </c>
      <c r="AK355" s="52">
        <f t="shared" si="177"/>
        <v>1</v>
      </c>
      <c r="AL355" s="52">
        <f t="shared" si="177"/>
        <v>1</v>
      </c>
      <c r="AM355" s="52">
        <f t="shared" si="177"/>
        <v>1</v>
      </c>
      <c r="AN355" s="52">
        <f t="shared" si="177"/>
        <v>1</v>
      </c>
      <c r="AO355" s="52">
        <f t="shared" si="174"/>
        <v>1</v>
      </c>
      <c r="AP355" s="52">
        <f t="shared" si="174"/>
        <v>1</v>
      </c>
      <c r="AQ355" s="52">
        <f t="shared" si="174"/>
        <v>1</v>
      </c>
      <c r="AR355" s="52">
        <f t="shared" si="174"/>
        <v>1</v>
      </c>
      <c r="AS355" s="52">
        <f t="shared" si="174"/>
        <v>1</v>
      </c>
      <c r="AT355" s="52">
        <f t="shared" si="174"/>
        <v>1</v>
      </c>
      <c r="AU355" s="52">
        <f t="shared" si="174"/>
        <v>1</v>
      </c>
      <c r="AV355" s="52">
        <f t="shared" si="174"/>
        <v>1</v>
      </c>
      <c r="AW355" s="52">
        <f t="shared" si="174"/>
        <v>1</v>
      </c>
      <c r="AX355" s="52">
        <f t="shared" si="174"/>
        <v>1</v>
      </c>
      <c r="AY355" s="52">
        <f t="shared" si="174"/>
        <v>1</v>
      </c>
      <c r="AZ355" s="52">
        <f t="shared" si="174"/>
        <v>1</v>
      </c>
      <c r="BA355" s="52">
        <f t="shared" si="174"/>
        <v>1</v>
      </c>
      <c r="BB355" s="52">
        <f t="shared" si="174"/>
        <v>1</v>
      </c>
      <c r="BC355" s="52">
        <f t="shared" si="174"/>
        <v>1</v>
      </c>
      <c r="BD355" s="52">
        <f t="shared" si="174"/>
        <v>1</v>
      </c>
      <c r="BE355" s="52">
        <f t="shared" si="174"/>
        <v>1</v>
      </c>
      <c r="BF355" s="52">
        <f t="shared" si="174"/>
        <v>1</v>
      </c>
      <c r="BG355" s="52">
        <f t="shared" si="175"/>
        <v>1</v>
      </c>
      <c r="BH355" s="52">
        <f t="shared" si="175"/>
        <v>1</v>
      </c>
      <c r="BI355" s="52">
        <f t="shared" si="175"/>
        <v>1</v>
      </c>
      <c r="BJ355" s="52">
        <f t="shared" si="175"/>
        <v>1</v>
      </c>
      <c r="BK355" s="52">
        <f t="shared" si="175"/>
        <v>1</v>
      </c>
      <c r="BL355" s="52">
        <f t="shared" si="175"/>
        <v>1</v>
      </c>
      <c r="BM355" s="52">
        <f t="shared" si="175"/>
        <v>1</v>
      </c>
      <c r="BN355" s="52">
        <f t="shared" si="175"/>
        <v>1</v>
      </c>
      <c r="BO355" s="32">
        <f t="shared" si="162"/>
        <v>0.52720785013380911</v>
      </c>
    </row>
    <row r="356" spans="1:67" x14ac:dyDescent="0.2">
      <c r="A356" s="50" t="s">
        <v>720</v>
      </c>
      <c r="B356" s="50" t="s">
        <v>721</v>
      </c>
      <c r="C356" s="50" t="s">
        <v>126</v>
      </c>
      <c r="D356" s="51">
        <f>VLOOKUP(A356,'[1]Cuadro Control'!C395:J2286,8,FALSE)</f>
        <v>0</v>
      </c>
      <c r="E356" s="52">
        <f t="shared" si="172"/>
        <v>0</v>
      </c>
      <c r="F356" s="53">
        <v>46414</v>
      </c>
      <c r="G356" s="53">
        <v>46416</v>
      </c>
      <c r="H356" s="52">
        <f t="shared" si="176"/>
        <v>0</v>
      </c>
      <c r="I356" s="52">
        <f t="shared" si="176"/>
        <v>0</v>
      </c>
      <c r="J356" s="52">
        <f t="shared" si="176"/>
        <v>0</v>
      </c>
      <c r="K356" s="52">
        <f t="shared" si="176"/>
        <v>0</v>
      </c>
      <c r="L356" s="52">
        <f t="shared" si="176"/>
        <v>0</v>
      </c>
      <c r="M356" s="52">
        <f t="shared" si="176"/>
        <v>0</v>
      </c>
      <c r="N356" s="52">
        <f t="shared" si="176"/>
        <v>0</v>
      </c>
      <c r="O356" s="52">
        <f t="shared" si="176"/>
        <v>0</v>
      </c>
      <c r="P356" s="52">
        <f t="shared" si="176"/>
        <v>0</v>
      </c>
      <c r="Q356" s="52">
        <f t="shared" si="176"/>
        <v>0</v>
      </c>
      <c r="R356" s="52">
        <f t="shared" si="176"/>
        <v>0</v>
      </c>
      <c r="S356" s="52">
        <f t="shared" si="176"/>
        <v>0</v>
      </c>
      <c r="T356" s="52">
        <f t="shared" si="176"/>
        <v>0</v>
      </c>
      <c r="U356" s="52">
        <f t="shared" si="176"/>
        <v>0</v>
      </c>
      <c r="V356" s="52">
        <f t="shared" si="176"/>
        <v>0</v>
      </c>
      <c r="W356" s="52">
        <f t="shared" si="176"/>
        <v>0</v>
      </c>
      <c r="X356" s="52">
        <f t="shared" si="177"/>
        <v>0</v>
      </c>
      <c r="Y356" s="52">
        <f t="shared" si="177"/>
        <v>0</v>
      </c>
      <c r="Z356" s="52">
        <f t="shared" si="177"/>
        <v>0</v>
      </c>
      <c r="AA356" s="52">
        <f t="shared" si="177"/>
        <v>0</v>
      </c>
      <c r="AB356" s="52">
        <f t="shared" si="177"/>
        <v>0</v>
      </c>
      <c r="AC356" s="52">
        <f t="shared" si="177"/>
        <v>0</v>
      </c>
      <c r="AD356" s="52">
        <f t="shared" si="177"/>
        <v>0</v>
      </c>
      <c r="AE356" s="52">
        <f t="shared" si="177"/>
        <v>0</v>
      </c>
      <c r="AF356" s="52">
        <f t="shared" si="177"/>
        <v>0</v>
      </c>
      <c r="AG356" s="52">
        <f t="shared" si="177"/>
        <v>0</v>
      </c>
      <c r="AH356" s="52">
        <f t="shared" si="177"/>
        <v>0</v>
      </c>
      <c r="AI356" s="52">
        <f t="shared" si="177"/>
        <v>0</v>
      </c>
      <c r="AJ356" s="52">
        <f t="shared" si="177"/>
        <v>0</v>
      </c>
      <c r="AK356" s="52">
        <f t="shared" si="177"/>
        <v>1</v>
      </c>
      <c r="AL356" s="52">
        <f t="shared" si="177"/>
        <v>1</v>
      </c>
      <c r="AM356" s="52">
        <f t="shared" si="177"/>
        <v>1</v>
      </c>
      <c r="AN356" s="52">
        <f t="shared" si="177"/>
        <v>1</v>
      </c>
      <c r="AO356" s="52">
        <f t="shared" si="174"/>
        <v>1</v>
      </c>
      <c r="AP356" s="52">
        <f t="shared" si="174"/>
        <v>1</v>
      </c>
      <c r="AQ356" s="52">
        <f t="shared" si="174"/>
        <v>1</v>
      </c>
      <c r="AR356" s="52">
        <f t="shared" si="174"/>
        <v>1</v>
      </c>
      <c r="AS356" s="52">
        <f t="shared" si="174"/>
        <v>1</v>
      </c>
      <c r="AT356" s="52">
        <f t="shared" si="174"/>
        <v>1</v>
      </c>
      <c r="AU356" s="52">
        <f t="shared" si="174"/>
        <v>1</v>
      </c>
      <c r="AV356" s="52">
        <f t="shared" si="174"/>
        <v>1</v>
      </c>
      <c r="AW356" s="52">
        <f t="shared" si="174"/>
        <v>1</v>
      </c>
      <c r="AX356" s="52">
        <f t="shared" si="174"/>
        <v>1</v>
      </c>
      <c r="AY356" s="52">
        <f t="shared" si="174"/>
        <v>1</v>
      </c>
      <c r="AZ356" s="52">
        <f t="shared" si="174"/>
        <v>1</v>
      </c>
      <c r="BA356" s="52">
        <f t="shared" si="174"/>
        <v>1</v>
      </c>
      <c r="BB356" s="52">
        <f t="shared" si="174"/>
        <v>1</v>
      </c>
      <c r="BC356" s="52">
        <f t="shared" si="174"/>
        <v>1</v>
      </c>
      <c r="BD356" s="52">
        <f t="shared" si="174"/>
        <v>1</v>
      </c>
      <c r="BE356" s="52">
        <f t="shared" si="174"/>
        <v>1</v>
      </c>
      <c r="BF356" s="52">
        <f t="shared" si="174"/>
        <v>1</v>
      </c>
      <c r="BG356" s="52">
        <f t="shared" si="175"/>
        <v>1</v>
      </c>
      <c r="BH356" s="52">
        <f t="shared" si="175"/>
        <v>1</v>
      </c>
      <c r="BI356" s="52">
        <f t="shared" si="175"/>
        <v>1</v>
      </c>
      <c r="BJ356" s="52">
        <f t="shared" si="175"/>
        <v>1</v>
      </c>
      <c r="BK356" s="52">
        <f t="shared" si="175"/>
        <v>1</v>
      </c>
      <c r="BL356" s="52">
        <f t="shared" si="175"/>
        <v>1</v>
      </c>
      <c r="BM356" s="52">
        <f t="shared" si="175"/>
        <v>1</v>
      </c>
      <c r="BN356" s="52">
        <f t="shared" si="175"/>
        <v>1</v>
      </c>
      <c r="BO356" s="32">
        <f t="shared" si="162"/>
        <v>0.50847457627118642</v>
      </c>
    </row>
    <row r="357" spans="1:67" ht="24" x14ac:dyDescent="0.2">
      <c r="A357" s="55" t="s">
        <v>722</v>
      </c>
      <c r="B357" s="55" t="s">
        <v>723</v>
      </c>
      <c r="C357" s="55" t="s">
        <v>14</v>
      </c>
      <c r="D357" s="56">
        <f>VLOOKUP(A357,'[1]Cuadro Control'!C396:J2287,8,FALSE)</f>
        <v>0</v>
      </c>
      <c r="E357" s="57">
        <f t="shared" si="172"/>
        <v>0</v>
      </c>
      <c r="F357" s="58">
        <v>46414</v>
      </c>
      <c r="G357" s="58">
        <v>46414</v>
      </c>
      <c r="H357" s="57">
        <f t="shared" si="176"/>
        <v>0</v>
      </c>
      <c r="I357" s="57">
        <f t="shared" si="176"/>
        <v>0</v>
      </c>
      <c r="J357" s="57">
        <f t="shared" si="176"/>
        <v>0</v>
      </c>
      <c r="K357" s="57">
        <f t="shared" si="176"/>
        <v>0</v>
      </c>
      <c r="L357" s="57">
        <f t="shared" si="176"/>
        <v>0</v>
      </c>
      <c r="M357" s="57">
        <f t="shared" si="176"/>
        <v>0</v>
      </c>
      <c r="N357" s="57">
        <f t="shared" si="176"/>
        <v>0</v>
      </c>
      <c r="O357" s="57">
        <f t="shared" si="176"/>
        <v>0</v>
      </c>
      <c r="P357" s="57">
        <f t="shared" si="176"/>
        <v>0</v>
      </c>
      <c r="Q357" s="57">
        <f t="shared" si="176"/>
        <v>0</v>
      </c>
      <c r="R357" s="57">
        <f t="shared" si="176"/>
        <v>0</v>
      </c>
      <c r="S357" s="57">
        <f t="shared" si="176"/>
        <v>0</v>
      </c>
      <c r="T357" s="57">
        <f t="shared" si="176"/>
        <v>0</v>
      </c>
      <c r="U357" s="57">
        <f t="shared" si="176"/>
        <v>0</v>
      </c>
      <c r="V357" s="57">
        <f t="shared" si="176"/>
        <v>0</v>
      </c>
      <c r="W357" s="57">
        <f t="shared" si="176"/>
        <v>0</v>
      </c>
      <c r="X357" s="57">
        <f t="shared" si="177"/>
        <v>0</v>
      </c>
      <c r="Y357" s="57">
        <f t="shared" si="177"/>
        <v>0</v>
      </c>
      <c r="Z357" s="57">
        <f t="shared" si="177"/>
        <v>0</v>
      </c>
      <c r="AA357" s="57">
        <f t="shared" si="177"/>
        <v>0</v>
      </c>
      <c r="AB357" s="57">
        <f t="shared" si="177"/>
        <v>0</v>
      </c>
      <c r="AC357" s="57">
        <f t="shared" si="177"/>
        <v>0</v>
      </c>
      <c r="AD357" s="57">
        <f t="shared" si="177"/>
        <v>0</v>
      </c>
      <c r="AE357" s="57">
        <f t="shared" si="177"/>
        <v>0</v>
      </c>
      <c r="AF357" s="57">
        <f t="shared" si="177"/>
        <v>0</v>
      </c>
      <c r="AG357" s="57">
        <f t="shared" si="177"/>
        <v>0</v>
      </c>
      <c r="AH357" s="57">
        <f t="shared" si="177"/>
        <v>0</v>
      </c>
      <c r="AI357" s="57">
        <f t="shared" si="177"/>
        <v>0</v>
      </c>
      <c r="AJ357" s="57">
        <f t="shared" si="177"/>
        <v>0</v>
      </c>
      <c r="AK357" s="57">
        <f t="shared" si="177"/>
        <v>1</v>
      </c>
      <c r="AL357" s="57">
        <f t="shared" si="177"/>
        <v>1</v>
      </c>
      <c r="AM357" s="57">
        <f t="shared" si="177"/>
        <v>1</v>
      </c>
      <c r="AN357" s="57">
        <f t="shared" si="177"/>
        <v>1</v>
      </c>
      <c r="AO357" s="57">
        <f t="shared" si="174"/>
        <v>1</v>
      </c>
      <c r="AP357" s="57">
        <f t="shared" si="174"/>
        <v>1</v>
      </c>
      <c r="AQ357" s="57">
        <f t="shared" si="174"/>
        <v>1</v>
      </c>
      <c r="AR357" s="57">
        <f t="shared" si="174"/>
        <v>1</v>
      </c>
      <c r="AS357" s="57">
        <f t="shared" si="174"/>
        <v>1</v>
      </c>
      <c r="AT357" s="57">
        <f t="shared" si="174"/>
        <v>1</v>
      </c>
      <c r="AU357" s="57">
        <f t="shared" si="174"/>
        <v>1</v>
      </c>
      <c r="AV357" s="57">
        <f t="shared" si="174"/>
        <v>1</v>
      </c>
      <c r="AW357" s="57">
        <f t="shared" si="174"/>
        <v>1</v>
      </c>
      <c r="AX357" s="57">
        <f t="shared" si="174"/>
        <v>1</v>
      </c>
      <c r="AY357" s="57">
        <f t="shared" si="174"/>
        <v>1</v>
      </c>
      <c r="AZ357" s="57">
        <f t="shared" si="174"/>
        <v>1</v>
      </c>
      <c r="BA357" s="57">
        <f t="shared" si="174"/>
        <v>1</v>
      </c>
      <c r="BB357" s="57">
        <f t="shared" si="174"/>
        <v>1</v>
      </c>
      <c r="BC357" s="57">
        <f t="shared" si="174"/>
        <v>1</v>
      </c>
      <c r="BD357" s="57">
        <f t="shared" si="174"/>
        <v>1</v>
      </c>
      <c r="BE357" s="57">
        <f t="shared" si="174"/>
        <v>1</v>
      </c>
      <c r="BF357" s="57">
        <f t="shared" si="174"/>
        <v>1</v>
      </c>
      <c r="BG357" s="57">
        <f t="shared" si="175"/>
        <v>1</v>
      </c>
      <c r="BH357" s="57">
        <f t="shared" si="175"/>
        <v>1</v>
      </c>
      <c r="BI357" s="57">
        <f t="shared" si="175"/>
        <v>1</v>
      </c>
      <c r="BJ357" s="57">
        <f t="shared" si="175"/>
        <v>1</v>
      </c>
      <c r="BK357" s="57">
        <f t="shared" si="175"/>
        <v>1</v>
      </c>
      <c r="BL357" s="57">
        <f t="shared" si="175"/>
        <v>1</v>
      </c>
      <c r="BM357" s="57">
        <f t="shared" si="175"/>
        <v>1</v>
      </c>
      <c r="BN357" s="57">
        <f t="shared" si="175"/>
        <v>1</v>
      </c>
      <c r="BO357" s="32">
        <f t="shared" si="162"/>
        <v>0.50847457627118642</v>
      </c>
    </row>
    <row r="358" spans="1:67" x14ac:dyDescent="0.2">
      <c r="A358" s="50" t="s">
        <v>724</v>
      </c>
      <c r="B358" s="50" t="s">
        <v>725</v>
      </c>
      <c r="C358" s="50" t="s">
        <v>111</v>
      </c>
      <c r="D358" s="51">
        <f>VLOOKUP(A358,'[1]Cuadro Control'!C397:J2288,8,FALSE)</f>
        <v>1230815225.9452939</v>
      </c>
      <c r="E358" s="52">
        <f t="shared" si="172"/>
        <v>0.2318411625341423</v>
      </c>
      <c r="F358" s="53">
        <v>46417</v>
      </c>
      <c r="G358" s="53">
        <v>46417</v>
      </c>
      <c r="H358" s="52">
        <f t="shared" si="176"/>
        <v>0</v>
      </c>
      <c r="I358" s="52">
        <f t="shared" si="176"/>
        <v>0</v>
      </c>
      <c r="J358" s="52">
        <f t="shared" si="176"/>
        <v>0</v>
      </c>
      <c r="K358" s="52">
        <f t="shared" si="176"/>
        <v>0</v>
      </c>
      <c r="L358" s="52">
        <f t="shared" si="176"/>
        <v>0</v>
      </c>
      <c r="M358" s="52">
        <f t="shared" si="176"/>
        <v>0</v>
      </c>
      <c r="N358" s="52">
        <f t="shared" si="176"/>
        <v>0</v>
      </c>
      <c r="O358" s="52">
        <f t="shared" si="176"/>
        <v>0</v>
      </c>
      <c r="P358" s="52">
        <f t="shared" si="176"/>
        <v>0</v>
      </c>
      <c r="Q358" s="52">
        <f t="shared" si="176"/>
        <v>0</v>
      </c>
      <c r="R358" s="52">
        <f t="shared" si="176"/>
        <v>0</v>
      </c>
      <c r="S358" s="52">
        <f t="shared" si="176"/>
        <v>0</v>
      </c>
      <c r="T358" s="52">
        <f t="shared" si="176"/>
        <v>0</v>
      </c>
      <c r="U358" s="52">
        <f t="shared" si="176"/>
        <v>0</v>
      </c>
      <c r="V358" s="52">
        <f t="shared" si="176"/>
        <v>0</v>
      </c>
      <c r="W358" s="52">
        <f t="shared" si="176"/>
        <v>0</v>
      </c>
      <c r="X358" s="52">
        <f t="shared" si="177"/>
        <v>0</v>
      </c>
      <c r="Y358" s="52">
        <f t="shared" si="177"/>
        <v>0</v>
      </c>
      <c r="Z358" s="52">
        <f t="shared" si="177"/>
        <v>0</v>
      </c>
      <c r="AA358" s="52">
        <f t="shared" si="177"/>
        <v>0</v>
      </c>
      <c r="AB358" s="52">
        <f t="shared" si="177"/>
        <v>0</v>
      </c>
      <c r="AC358" s="52">
        <f t="shared" si="177"/>
        <v>0</v>
      </c>
      <c r="AD358" s="52">
        <f t="shared" si="177"/>
        <v>0</v>
      </c>
      <c r="AE358" s="52">
        <f t="shared" si="177"/>
        <v>0</v>
      </c>
      <c r="AF358" s="52">
        <f t="shared" si="177"/>
        <v>0</v>
      </c>
      <c r="AG358" s="52">
        <f t="shared" si="177"/>
        <v>0</v>
      </c>
      <c r="AH358" s="52">
        <f t="shared" si="177"/>
        <v>0</v>
      </c>
      <c r="AI358" s="52">
        <f t="shared" si="177"/>
        <v>0</v>
      </c>
      <c r="AJ358" s="52">
        <f t="shared" si="177"/>
        <v>0</v>
      </c>
      <c r="AK358" s="52">
        <f t="shared" si="177"/>
        <v>0</v>
      </c>
      <c r="AL358" s="52">
        <f t="shared" si="177"/>
        <v>1</v>
      </c>
      <c r="AM358" s="52">
        <f t="shared" si="177"/>
        <v>1</v>
      </c>
      <c r="AN358" s="52">
        <f t="shared" si="177"/>
        <v>1</v>
      </c>
      <c r="AO358" s="52">
        <f t="shared" si="174"/>
        <v>1</v>
      </c>
      <c r="AP358" s="52">
        <f t="shared" si="174"/>
        <v>1</v>
      </c>
      <c r="AQ358" s="52">
        <f t="shared" si="174"/>
        <v>1</v>
      </c>
      <c r="AR358" s="52">
        <f t="shared" si="174"/>
        <v>1</v>
      </c>
      <c r="AS358" s="52">
        <f t="shared" si="174"/>
        <v>1</v>
      </c>
      <c r="AT358" s="52">
        <f t="shared" si="174"/>
        <v>1</v>
      </c>
      <c r="AU358" s="52">
        <f t="shared" si="174"/>
        <v>1</v>
      </c>
      <c r="AV358" s="52">
        <f t="shared" si="174"/>
        <v>1</v>
      </c>
      <c r="AW358" s="52">
        <f t="shared" si="174"/>
        <v>1</v>
      </c>
      <c r="AX358" s="52">
        <f t="shared" si="174"/>
        <v>1</v>
      </c>
      <c r="AY358" s="52">
        <f t="shared" si="174"/>
        <v>1</v>
      </c>
      <c r="AZ358" s="52">
        <f t="shared" si="174"/>
        <v>1</v>
      </c>
      <c r="BA358" s="52">
        <f t="shared" si="174"/>
        <v>1</v>
      </c>
      <c r="BB358" s="52">
        <f t="shared" si="174"/>
        <v>1</v>
      </c>
      <c r="BC358" s="52">
        <f t="shared" si="174"/>
        <v>1</v>
      </c>
      <c r="BD358" s="52">
        <f t="shared" si="174"/>
        <v>1</v>
      </c>
      <c r="BE358" s="52">
        <f t="shared" si="174"/>
        <v>1</v>
      </c>
      <c r="BF358" s="52">
        <f t="shared" si="174"/>
        <v>1</v>
      </c>
      <c r="BG358" s="52">
        <f t="shared" si="175"/>
        <v>1</v>
      </c>
      <c r="BH358" s="52">
        <f t="shared" si="175"/>
        <v>1</v>
      </c>
      <c r="BI358" s="52">
        <f t="shared" si="175"/>
        <v>1</v>
      </c>
      <c r="BJ358" s="52">
        <f t="shared" si="175"/>
        <v>1</v>
      </c>
      <c r="BK358" s="52">
        <f t="shared" si="175"/>
        <v>1</v>
      </c>
      <c r="BL358" s="52">
        <f t="shared" si="175"/>
        <v>1</v>
      </c>
      <c r="BM358" s="52">
        <f t="shared" si="175"/>
        <v>1</v>
      </c>
      <c r="BN358" s="52">
        <f t="shared" si="175"/>
        <v>1</v>
      </c>
      <c r="BO358" s="32">
        <f t="shared" si="162"/>
        <v>0.49152542372881358</v>
      </c>
    </row>
    <row r="359" spans="1:67" x14ac:dyDescent="0.2">
      <c r="A359" s="50" t="s">
        <v>726</v>
      </c>
      <c r="B359" s="50" t="s">
        <v>727</v>
      </c>
      <c r="C359" s="50" t="s">
        <v>238</v>
      </c>
      <c r="D359" s="51">
        <f>VLOOKUP(A359,'[1]Cuadro Control'!C398:J2289,8,FALSE)</f>
        <v>0</v>
      </c>
      <c r="E359" s="52">
        <f t="shared" si="172"/>
        <v>0</v>
      </c>
      <c r="F359" s="53">
        <v>46417</v>
      </c>
      <c r="G359" s="53">
        <v>46426</v>
      </c>
      <c r="H359" s="52">
        <f t="shared" si="176"/>
        <v>0</v>
      </c>
      <c r="I359" s="52">
        <f t="shared" si="176"/>
        <v>0</v>
      </c>
      <c r="J359" s="52">
        <f t="shared" si="176"/>
        <v>0</v>
      </c>
      <c r="K359" s="52">
        <f t="shared" si="176"/>
        <v>0</v>
      </c>
      <c r="L359" s="52">
        <f t="shared" si="176"/>
        <v>0</v>
      </c>
      <c r="M359" s="52">
        <f t="shared" si="176"/>
        <v>0</v>
      </c>
      <c r="N359" s="52">
        <f t="shared" si="176"/>
        <v>0</v>
      </c>
      <c r="O359" s="52">
        <f t="shared" si="176"/>
        <v>0</v>
      </c>
      <c r="P359" s="52">
        <f t="shared" si="176"/>
        <v>0</v>
      </c>
      <c r="Q359" s="52">
        <f t="shared" si="176"/>
        <v>0</v>
      </c>
      <c r="R359" s="52">
        <f t="shared" si="176"/>
        <v>0</v>
      </c>
      <c r="S359" s="52">
        <f t="shared" si="176"/>
        <v>0</v>
      </c>
      <c r="T359" s="52">
        <f t="shared" si="176"/>
        <v>0</v>
      </c>
      <c r="U359" s="52">
        <f t="shared" si="176"/>
        <v>0</v>
      </c>
      <c r="V359" s="52">
        <f t="shared" si="176"/>
        <v>0</v>
      </c>
      <c r="W359" s="52">
        <f t="shared" si="176"/>
        <v>0</v>
      </c>
      <c r="X359" s="52">
        <f t="shared" si="177"/>
        <v>0</v>
      </c>
      <c r="Y359" s="52">
        <f t="shared" si="177"/>
        <v>0</v>
      </c>
      <c r="Z359" s="52">
        <f t="shared" si="177"/>
        <v>0</v>
      </c>
      <c r="AA359" s="52">
        <f t="shared" si="177"/>
        <v>0</v>
      </c>
      <c r="AB359" s="52">
        <f t="shared" si="177"/>
        <v>0</v>
      </c>
      <c r="AC359" s="52">
        <f t="shared" si="177"/>
        <v>0</v>
      </c>
      <c r="AD359" s="52">
        <f t="shared" si="177"/>
        <v>0</v>
      </c>
      <c r="AE359" s="52">
        <f t="shared" si="177"/>
        <v>0</v>
      </c>
      <c r="AF359" s="52">
        <f t="shared" si="177"/>
        <v>0</v>
      </c>
      <c r="AG359" s="52">
        <f t="shared" si="177"/>
        <v>0</v>
      </c>
      <c r="AH359" s="52">
        <f t="shared" si="177"/>
        <v>0</v>
      </c>
      <c r="AI359" s="52">
        <f t="shared" si="177"/>
        <v>0</v>
      </c>
      <c r="AJ359" s="52">
        <f t="shared" si="177"/>
        <v>0</v>
      </c>
      <c r="AK359" s="52">
        <f t="shared" si="177"/>
        <v>0</v>
      </c>
      <c r="AL359" s="52">
        <f t="shared" si="177"/>
        <v>0.7</v>
      </c>
      <c r="AM359" s="52">
        <f t="shared" si="177"/>
        <v>1</v>
      </c>
      <c r="AN359" s="52">
        <f t="shared" si="177"/>
        <v>1</v>
      </c>
      <c r="AO359" s="52">
        <f t="shared" si="174"/>
        <v>1</v>
      </c>
      <c r="AP359" s="52">
        <f t="shared" si="174"/>
        <v>1</v>
      </c>
      <c r="AQ359" s="52">
        <f t="shared" si="174"/>
        <v>1</v>
      </c>
      <c r="AR359" s="52">
        <f t="shared" si="174"/>
        <v>1</v>
      </c>
      <c r="AS359" s="52">
        <f t="shared" si="174"/>
        <v>1</v>
      </c>
      <c r="AT359" s="52">
        <f t="shared" si="174"/>
        <v>1</v>
      </c>
      <c r="AU359" s="52">
        <f t="shared" si="174"/>
        <v>1</v>
      </c>
      <c r="AV359" s="52">
        <f t="shared" si="174"/>
        <v>1</v>
      </c>
      <c r="AW359" s="52">
        <f t="shared" si="174"/>
        <v>1</v>
      </c>
      <c r="AX359" s="52">
        <f t="shared" si="174"/>
        <v>1</v>
      </c>
      <c r="AY359" s="52">
        <f t="shared" si="174"/>
        <v>1</v>
      </c>
      <c r="AZ359" s="52">
        <f t="shared" si="174"/>
        <v>1</v>
      </c>
      <c r="BA359" s="52">
        <f t="shared" si="174"/>
        <v>1</v>
      </c>
      <c r="BB359" s="52">
        <f t="shared" si="174"/>
        <v>1</v>
      </c>
      <c r="BC359" s="52">
        <f t="shared" si="174"/>
        <v>1</v>
      </c>
      <c r="BD359" s="52">
        <f t="shared" si="174"/>
        <v>1</v>
      </c>
      <c r="BE359" s="52">
        <f t="shared" si="174"/>
        <v>1</v>
      </c>
      <c r="BF359" s="52">
        <f t="shared" si="174"/>
        <v>1</v>
      </c>
      <c r="BG359" s="52">
        <f t="shared" si="175"/>
        <v>1</v>
      </c>
      <c r="BH359" s="52">
        <f t="shared" si="175"/>
        <v>1</v>
      </c>
      <c r="BI359" s="52">
        <f t="shared" si="175"/>
        <v>1</v>
      </c>
      <c r="BJ359" s="52">
        <f t="shared" si="175"/>
        <v>1</v>
      </c>
      <c r="BK359" s="52">
        <f t="shared" si="175"/>
        <v>1</v>
      </c>
      <c r="BL359" s="52">
        <f t="shared" si="175"/>
        <v>1</v>
      </c>
      <c r="BM359" s="52">
        <f t="shared" si="175"/>
        <v>1</v>
      </c>
      <c r="BN359" s="52">
        <f t="shared" si="175"/>
        <v>1</v>
      </c>
      <c r="BO359" s="32">
        <f t="shared" si="162"/>
        <v>0.48644067796610169</v>
      </c>
    </row>
    <row r="360" spans="1:67" ht="24" x14ac:dyDescent="0.2">
      <c r="A360" s="50" t="s">
        <v>728</v>
      </c>
      <c r="B360" s="50" t="s">
        <v>729</v>
      </c>
      <c r="C360" s="50" t="s">
        <v>126</v>
      </c>
      <c r="D360" s="51">
        <f>VLOOKUP(A360,'[1]Cuadro Control'!C399:J2290,8,FALSE)</f>
        <v>52736347.43270281</v>
      </c>
      <c r="E360" s="52">
        <f t="shared" si="172"/>
        <v>9.933624348213644E-3</v>
      </c>
      <c r="F360" s="53">
        <v>46426</v>
      </c>
      <c r="G360" s="53">
        <v>46428</v>
      </c>
      <c r="H360" s="52">
        <f t="shared" si="176"/>
        <v>0</v>
      </c>
      <c r="I360" s="52">
        <f t="shared" si="176"/>
        <v>0</v>
      </c>
      <c r="J360" s="52">
        <f t="shared" si="176"/>
        <v>0</v>
      </c>
      <c r="K360" s="52">
        <f t="shared" si="176"/>
        <v>0</v>
      </c>
      <c r="L360" s="52">
        <f t="shared" si="176"/>
        <v>0</v>
      </c>
      <c r="M360" s="52">
        <f t="shared" si="176"/>
        <v>0</v>
      </c>
      <c r="N360" s="52">
        <f t="shared" si="176"/>
        <v>0</v>
      </c>
      <c r="O360" s="52">
        <f t="shared" si="176"/>
        <v>0</v>
      </c>
      <c r="P360" s="52">
        <f t="shared" si="176"/>
        <v>0</v>
      </c>
      <c r="Q360" s="52">
        <f t="shared" si="176"/>
        <v>0</v>
      </c>
      <c r="R360" s="52">
        <f t="shared" si="176"/>
        <v>0</v>
      </c>
      <c r="S360" s="52">
        <f t="shared" si="176"/>
        <v>0</v>
      </c>
      <c r="T360" s="52">
        <f t="shared" si="176"/>
        <v>0</v>
      </c>
      <c r="U360" s="52">
        <f t="shared" si="176"/>
        <v>0</v>
      </c>
      <c r="V360" s="52">
        <f t="shared" si="176"/>
        <v>0</v>
      </c>
      <c r="W360" s="52">
        <f t="shared" si="176"/>
        <v>0</v>
      </c>
      <c r="X360" s="52">
        <f t="shared" si="177"/>
        <v>0</v>
      </c>
      <c r="Y360" s="52">
        <f t="shared" si="177"/>
        <v>0</v>
      </c>
      <c r="Z360" s="52">
        <f t="shared" si="177"/>
        <v>0</v>
      </c>
      <c r="AA360" s="52">
        <f t="shared" si="177"/>
        <v>0</v>
      </c>
      <c r="AB360" s="52">
        <f t="shared" si="177"/>
        <v>0</v>
      </c>
      <c r="AC360" s="52">
        <f t="shared" si="177"/>
        <v>0</v>
      </c>
      <c r="AD360" s="52">
        <f t="shared" si="177"/>
        <v>0</v>
      </c>
      <c r="AE360" s="52">
        <f t="shared" si="177"/>
        <v>0</v>
      </c>
      <c r="AF360" s="52">
        <f t="shared" si="177"/>
        <v>0</v>
      </c>
      <c r="AG360" s="52">
        <f t="shared" si="177"/>
        <v>0</v>
      </c>
      <c r="AH360" s="52">
        <f t="shared" si="177"/>
        <v>0</v>
      </c>
      <c r="AI360" s="52">
        <f t="shared" si="177"/>
        <v>0</v>
      </c>
      <c r="AJ360" s="52">
        <f t="shared" si="177"/>
        <v>0</v>
      </c>
      <c r="AK360" s="52">
        <f t="shared" si="177"/>
        <v>0</v>
      </c>
      <c r="AL360" s="52">
        <f t="shared" si="177"/>
        <v>0</v>
      </c>
      <c r="AM360" s="52">
        <f t="shared" si="177"/>
        <v>1</v>
      </c>
      <c r="AN360" s="52">
        <f t="shared" si="177"/>
        <v>1</v>
      </c>
      <c r="AO360" s="52">
        <f t="shared" si="174"/>
        <v>1</v>
      </c>
      <c r="AP360" s="52">
        <f t="shared" si="174"/>
        <v>1</v>
      </c>
      <c r="AQ360" s="52">
        <f t="shared" si="174"/>
        <v>1</v>
      </c>
      <c r="AR360" s="52">
        <f t="shared" si="174"/>
        <v>1</v>
      </c>
      <c r="AS360" s="52">
        <f t="shared" si="174"/>
        <v>1</v>
      </c>
      <c r="AT360" s="52">
        <f t="shared" si="174"/>
        <v>1</v>
      </c>
      <c r="AU360" s="52">
        <f t="shared" si="174"/>
        <v>1</v>
      </c>
      <c r="AV360" s="52">
        <f t="shared" si="174"/>
        <v>1</v>
      </c>
      <c r="AW360" s="52">
        <f t="shared" si="174"/>
        <v>1</v>
      </c>
      <c r="AX360" s="52">
        <f t="shared" si="174"/>
        <v>1</v>
      </c>
      <c r="AY360" s="52">
        <f t="shared" si="174"/>
        <v>1</v>
      </c>
      <c r="AZ360" s="52">
        <f t="shared" si="174"/>
        <v>1</v>
      </c>
      <c r="BA360" s="52">
        <f t="shared" si="174"/>
        <v>1</v>
      </c>
      <c r="BB360" s="52">
        <f t="shared" si="174"/>
        <v>1</v>
      </c>
      <c r="BC360" s="52">
        <f t="shared" si="174"/>
        <v>1</v>
      </c>
      <c r="BD360" s="52">
        <f t="shared" si="174"/>
        <v>1</v>
      </c>
      <c r="BE360" s="52">
        <f t="shared" si="174"/>
        <v>1</v>
      </c>
      <c r="BF360" s="52">
        <f t="shared" si="174"/>
        <v>1</v>
      </c>
      <c r="BG360" s="52">
        <f t="shared" si="175"/>
        <v>1</v>
      </c>
      <c r="BH360" s="52">
        <f t="shared" si="175"/>
        <v>1</v>
      </c>
      <c r="BI360" s="52">
        <f t="shared" si="175"/>
        <v>1</v>
      </c>
      <c r="BJ360" s="52">
        <f t="shared" si="175"/>
        <v>1</v>
      </c>
      <c r="BK360" s="52">
        <f t="shared" si="175"/>
        <v>1</v>
      </c>
      <c r="BL360" s="52">
        <f t="shared" si="175"/>
        <v>1</v>
      </c>
      <c r="BM360" s="52">
        <f t="shared" si="175"/>
        <v>1</v>
      </c>
      <c r="BN360" s="52">
        <f t="shared" si="175"/>
        <v>1</v>
      </c>
      <c r="BO360" s="32">
        <f t="shared" si="162"/>
        <v>0.47457627118644069</v>
      </c>
    </row>
    <row r="361" spans="1:67" ht="24" x14ac:dyDescent="0.2">
      <c r="A361" s="50" t="s">
        <v>730</v>
      </c>
      <c r="B361" s="50" t="s">
        <v>731</v>
      </c>
      <c r="C361" s="50" t="s">
        <v>117</v>
      </c>
      <c r="D361" s="51">
        <f>VLOOKUP(A361,'[1]Cuadro Control'!C400:J2291,8,FALSE)</f>
        <v>46410609.014634147</v>
      </c>
      <c r="E361" s="52">
        <f t="shared" si="172"/>
        <v>8.742083556535862E-3</v>
      </c>
      <c r="F361" s="53">
        <v>46429</v>
      </c>
      <c r="G361" s="53">
        <v>46430</v>
      </c>
      <c r="H361" s="52">
        <f t="shared" si="176"/>
        <v>0</v>
      </c>
      <c r="I361" s="52">
        <f t="shared" si="176"/>
        <v>0</v>
      </c>
      <c r="J361" s="52">
        <f t="shared" si="176"/>
        <v>0</v>
      </c>
      <c r="K361" s="52">
        <f t="shared" si="176"/>
        <v>0</v>
      </c>
      <c r="L361" s="52">
        <f t="shared" si="176"/>
        <v>0</v>
      </c>
      <c r="M361" s="52">
        <f t="shared" si="176"/>
        <v>0</v>
      </c>
      <c r="N361" s="52">
        <f t="shared" si="176"/>
        <v>0</v>
      </c>
      <c r="O361" s="52">
        <f t="shared" si="176"/>
        <v>0</v>
      </c>
      <c r="P361" s="52">
        <f t="shared" si="176"/>
        <v>0</v>
      </c>
      <c r="Q361" s="52">
        <f t="shared" si="176"/>
        <v>0</v>
      </c>
      <c r="R361" s="52">
        <f t="shared" si="176"/>
        <v>0</v>
      </c>
      <c r="S361" s="52">
        <f t="shared" si="176"/>
        <v>0</v>
      </c>
      <c r="T361" s="52">
        <f t="shared" si="176"/>
        <v>0</v>
      </c>
      <c r="U361" s="52">
        <f t="shared" si="176"/>
        <v>0</v>
      </c>
      <c r="V361" s="52">
        <f t="shared" si="176"/>
        <v>0</v>
      </c>
      <c r="W361" s="52">
        <f t="shared" si="176"/>
        <v>0</v>
      </c>
      <c r="X361" s="52">
        <f t="shared" si="177"/>
        <v>0</v>
      </c>
      <c r="Y361" s="52">
        <f t="shared" si="177"/>
        <v>0</v>
      </c>
      <c r="Z361" s="52">
        <f t="shared" si="177"/>
        <v>0</v>
      </c>
      <c r="AA361" s="52">
        <f t="shared" si="177"/>
        <v>0</v>
      </c>
      <c r="AB361" s="52">
        <f t="shared" si="177"/>
        <v>0</v>
      </c>
      <c r="AC361" s="52">
        <f t="shared" si="177"/>
        <v>0</v>
      </c>
      <c r="AD361" s="52">
        <f t="shared" si="177"/>
        <v>0</v>
      </c>
      <c r="AE361" s="52">
        <f t="shared" si="177"/>
        <v>0</v>
      </c>
      <c r="AF361" s="52">
        <f t="shared" si="177"/>
        <v>0</v>
      </c>
      <c r="AG361" s="52">
        <f t="shared" si="177"/>
        <v>0</v>
      </c>
      <c r="AH361" s="52">
        <f t="shared" si="177"/>
        <v>0</v>
      </c>
      <c r="AI361" s="52">
        <f t="shared" si="177"/>
        <v>0</v>
      </c>
      <c r="AJ361" s="52">
        <f t="shared" si="177"/>
        <v>0</v>
      </c>
      <c r="AK361" s="52">
        <f t="shared" si="177"/>
        <v>0</v>
      </c>
      <c r="AL361" s="52">
        <f t="shared" si="177"/>
        <v>0</v>
      </c>
      <c r="AM361" s="52">
        <f t="shared" si="177"/>
        <v>1</v>
      </c>
      <c r="AN361" s="52">
        <f t="shared" si="177"/>
        <v>1</v>
      </c>
      <c r="AO361" s="52">
        <f t="shared" si="174"/>
        <v>1</v>
      </c>
      <c r="AP361" s="52">
        <f t="shared" si="174"/>
        <v>1</v>
      </c>
      <c r="AQ361" s="52">
        <f t="shared" si="174"/>
        <v>1</v>
      </c>
      <c r="AR361" s="52">
        <f t="shared" si="174"/>
        <v>1</v>
      </c>
      <c r="AS361" s="52">
        <f t="shared" si="174"/>
        <v>1</v>
      </c>
      <c r="AT361" s="52">
        <f t="shared" si="174"/>
        <v>1</v>
      </c>
      <c r="AU361" s="52">
        <f t="shared" si="174"/>
        <v>1</v>
      </c>
      <c r="AV361" s="52">
        <f t="shared" si="174"/>
        <v>1</v>
      </c>
      <c r="AW361" s="52">
        <f t="shared" si="174"/>
        <v>1</v>
      </c>
      <c r="AX361" s="52">
        <f t="shared" si="174"/>
        <v>1</v>
      </c>
      <c r="AY361" s="52">
        <f t="shared" si="174"/>
        <v>1</v>
      </c>
      <c r="AZ361" s="52">
        <f t="shared" si="174"/>
        <v>1</v>
      </c>
      <c r="BA361" s="52">
        <f t="shared" si="174"/>
        <v>1</v>
      </c>
      <c r="BB361" s="52">
        <f t="shared" si="174"/>
        <v>1</v>
      </c>
      <c r="BC361" s="52">
        <f t="shared" si="174"/>
        <v>1</v>
      </c>
      <c r="BD361" s="52">
        <f t="shared" si="174"/>
        <v>1</v>
      </c>
      <c r="BE361" s="52">
        <f t="shared" si="174"/>
        <v>1</v>
      </c>
      <c r="BF361" s="52">
        <f t="shared" si="174"/>
        <v>1</v>
      </c>
      <c r="BG361" s="52">
        <f t="shared" si="175"/>
        <v>1</v>
      </c>
      <c r="BH361" s="52">
        <f t="shared" si="175"/>
        <v>1</v>
      </c>
      <c r="BI361" s="52">
        <f t="shared" si="175"/>
        <v>1</v>
      </c>
      <c r="BJ361" s="52">
        <f t="shared" si="175"/>
        <v>1</v>
      </c>
      <c r="BK361" s="52">
        <f t="shared" si="175"/>
        <v>1</v>
      </c>
      <c r="BL361" s="52">
        <f t="shared" si="175"/>
        <v>1</v>
      </c>
      <c r="BM361" s="52">
        <f t="shared" si="175"/>
        <v>1</v>
      </c>
      <c r="BN361" s="52">
        <f t="shared" si="175"/>
        <v>1</v>
      </c>
      <c r="BO361" s="32">
        <f t="shared" si="162"/>
        <v>0.47457627118644069</v>
      </c>
    </row>
    <row r="362" spans="1:67" ht="24" x14ac:dyDescent="0.2">
      <c r="A362" s="50" t="s">
        <v>732</v>
      </c>
      <c r="B362" s="50" t="s">
        <v>733</v>
      </c>
      <c r="C362" s="50" t="s">
        <v>61</v>
      </c>
      <c r="D362" s="51">
        <f>VLOOKUP(A362,'[1]Cuadro Control'!C401:J2292,8,FALSE)</f>
        <v>1587346329.5488234</v>
      </c>
      <c r="E362" s="52">
        <f t="shared" si="172"/>
        <v>0.29899875353285565</v>
      </c>
      <c r="F362" s="53">
        <v>46429</v>
      </c>
      <c r="G362" s="53">
        <v>46438</v>
      </c>
      <c r="H362" s="52">
        <f t="shared" si="176"/>
        <v>0</v>
      </c>
      <c r="I362" s="52">
        <f t="shared" si="176"/>
        <v>0</v>
      </c>
      <c r="J362" s="52">
        <f t="shared" si="176"/>
        <v>0</v>
      </c>
      <c r="K362" s="52">
        <f t="shared" si="176"/>
        <v>0</v>
      </c>
      <c r="L362" s="52">
        <f t="shared" si="176"/>
        <v>0</v>
      </c>
      <c r="M362" s="52">
        <f t="shared" si="176"/>
        <v>0</v>
      </c>
      <c r="N362" s="52">
        <f t="shared" si="176"/>
        <v>0</v>
      </c>
      <c r="O362" s="52">
        <f t="shared" si="176"/>
        <v>0</v>
      </c>
      <c r="P362" s="52">
        <f t="shared" si="176"/>
        <v>0</v>
      </c>
      <c r="Q362" s="52">
        <f t="shared" si="176"/>
        <v>0</v>
      </c>
      <c r="R362" s="52">
        <f t="shared" si="176"/>
        <v>0</v>
      </c>
      <c r="S362" s="52">
        <f t="shared" si="176"/>
        <v>0</v>
      </c>
      <c r="T362" s="52">
        <f t="shared" si="176"/>
        <v>0</v>
      </c>
      <c r="U362" s="52">
        <f t="shared" si="176"/>
        <v>0</v>
      </c>
      <c r="V362" s="52">
        <f t="shared" si="176"/>
        <v>0</v>
      </c>
      <c r="W362" s="52">
        <f t="shared" si="176"/>
        <v>0</v>
      </c>
      <c r="X362" s="52">
        <f t="shared" si="177"/>
        <v>0</v>
      </c>
      <c r="Y362" s="52">
        <f t="shared" si="177"/>
        <v>0</v>
      </c>
      <c r="Z362" s="52">
        <f t="shared" si="177"/>
        <v>0</v>
      </c>
      <c r="AA362" s="52">
        <f t="shared" si="177"/>
        <v>0</v>
      </c>
      <c r="AB362" s="52">
        <f t="shared" si="177"/>
        <v>0</v>
      </c>
      <c r="AC362" s="52">
        <f t="shared" si="177"/>
        <v>0</v>
      </c>
      <c r="AD362" s="52">
        <f t="shared" si="177"/>
        <v>0</v>
      </c>
      <c r="AE362" s="52">
        <f t="shared" si="177"/>
        <v>0</v>
      </c>
      <c r="AF362" s="52">
        <f t="shared" si="177"/>
        <v>0</v>
      </c>
      <c r="AG362" s="52">
        <f t="shared" si="177"/>
        <v>0</v>
      </c>
      <c r="AH362" s="52">
        <f t="shared" si="177"/>
        <v>0</v>
      </c>
      <c r="AI362" s="52">
        <f t="shared" si="177"/>
        <v>0</v>
      </c>
      <c r="AJ362" s="52">
        <f t="shared" si="177"/>
        <v>0</v>
      </c>
      <c r="AK362" s="52">
        <f t="shared" si="177"/>
        <v>0</v>
      </c>
      <c r="AL362" s="52">
        <f t="shared" si="177"/>
        <v>0</v>
      </c>
      <c r="AM362" s="52">
        <f t="shared" si="177"/>
        <v>0.2</v>
      </c>
      <c r="AN362" s="52">
        <f t="shared" si="177"/>
        <v>0.9</v>
      </c>
      <c r="AO362" s="52">
        <f t="shared" si="174"/>
        <v>1</v>
      </c>
      <c r="AP362" s="52">
        <f t="shared" si="174"/>
        <v>1</v>
      </c>
      <c r="AQ362" s="52">
        <f t="shared" si="174"/>
        <v>1</v>
      </c>
      <c r="AR362" s="52">
        <f t="shared" si="174"/>
        <v>1</v>
      </c>
      <c r="AS362" s="52">
        <f t="shared" si="174"/>
        <v>1</v>
      </c>
      <c r="AT362" s="52">
        <f t="shared" si="174"/>
        <v>1</v>
      </c>
      <c r="AU362" s="52">
        <f t="shared" si="174"/>
        <v>1</v>
      </c>
      <c r="AV362" s="52">
        <f t="shared" si="174"/>
        <v>1</v>
      </c>
      <c r="AW362" s="52">
        <f t="shared" si="174"/>
        <v>1</v>
      </c>
      <c r="AX362" s="52">
        <f t="shared" si="174"/>
        <v>1</v>
      </c>
      <c r="AY362" s="52">
        <f t="shared" si="174"/>
        <v>1</v>
      </c>
      <c r="AZ362" s="52">
        <f t="shared" si="174"/>
        <v>1</v>
      </c>
      <c r="BA362" s="52">
        <f t="shared" si="174"/>
        <v>1</v>
      </c>
      <c r="BB362" s="52">
        <f t="shared" si="174"/>
        <v>1</v>
      </c>
      <c r="BC362" s="52">
        <f t="shared" si="174"/>
        <v>1</v>
      </c>
      <c r="BD362" s="52">
        <f t="shared" si="174"/>
        <v>1</v>
      </c>
      <c r="BE362" s="52">
        <f t="shared" si="174"/>
        <v>1</v>
      </c>
      <c r="BF362" s="52">
        <f t="shared" si="174"/>
        <v>1</v>
      </c>
      <c r="BG362" s="52">
        <f t="shared" si="175"/>
        <v>1</v>
      </c>
      <c r="BH362" s="52">
        <f t="shared" si="175"/>
        <v>1</v>
      </c>
      <c r="BI362" s="52">
        <f t="shared" si="175"/>
        <v>1</v>
      </c>
      <c r="BJ362" s="52">
        <f t="shared" si="175"/>
        <v>1</v>
      </c>
      <c r="BK362" s="52">
        <f t="shared" si="175"/>
        <v>1</v>
      </c>
      <c r="BL362" s="52">
        <f t="shared" si="175"/>
        <v>1</v>
      </c>
      <c r="BM362" s="52">
        <f t="shared" si="175"/>
        <v>1</v>
      </c>
      <c r="BN362" s="52">
        <f t="shared" si="175"/>
        <v>1</v>
      </c>
      <c r="BO362" s="32">
        <f t="shared" si="162"/>
        <v>0.45932203389830512</v>
      </c>
    </row>
    <row r="363" spans="1:67" ht="30" x14ac:dyDescent="0.2">
      <c r="A363" s="46" t="s">
        <v>734</v>
      </c>
      <c r="B363" s="46" t="s">
        <v>735</v>
      </c>
      <c r="C363" s="46" t="s">
        <v>61</v>
      </c>
      <c r="D363" s="47">
        <f>VLOOKUP(A363,'[1]Cuadro Control'!C402:J2293,8,FALSE)</f>
        <v>179532477.23999998</v>
      </c>
      <c r="E363" s="48">
        <f t="shared" si="172"/>
        <v>3.3817438522495219E-2</v>
      </c>
      <c r="F363" s="49">
        <v>46430</v>
      </c>
      <c r="G363" s="49">
        <v>46443</v>
      </c>
      <c r="H363" s="48">
        <f t="shared" si="176"/>
        <v>0</v>
      </c>
      <c r="I363" s="48">
        <f t="shared" si="176"/>
        <v>0</v>
      </c>
      <c r="J363" s="48">
        <f t="shared" si="176"/>
        <v>0</v>
      </c>
      <c r="K363" s="48">
        <f t="shared" si="176"/>
        <v>0</v>
      </c>
      <c r="L363" s="48">
        <f t="shared" si="176"/>
        <v>0</v>
      </c>
      <c r="M363" s="48">
        <f t="shared" si="176"/>
        <v>0</v>
      </c>
      <c r="N363" s="48">
        <f t="shared" si="176"/>
        <v>0</v>
      </c>
      <c r="O363" s="48">
        <f t="shared" si="176"/>
        <v>0</v>
      </c>
      <c r="P363" s="48">
        <f t="shared" si="176"/>
        <v>0</v>
      </c>
      <c r="Q363" s="48">
        <f t="shared" si="176"/>
        <v>0</v>
      </c>
      <c r="R363" s="48">
        <f t="shared" si="176"/>
        <v>0</v>
      </c>
      <c r="S363" s="48">
        <f t="shared" si="176"/>
        <v>0</v>
      </c>
      <c r="T363" s="48">
        <f t="shared" si="176"/>
        <v>0</v>
      </c>
      <c r="U363" s="48">
        <f t="shared" si="176"/>
        <v>0</v>
      </c>
      <c r="V363" s="48">
        <f t="shared" si="176"/>
        <v>0</v>
      </c>
      <c r="W363" s="48">
        <f t="shared" si="176"/>
        <v>0</v>
      </c>
      <c r="X363" s="48">
        <f t="shared" si="177"/>
        <v>0</v>
      </c>
      <c r="Y363" s="48">
        <f t="shared" si="177"/>
        <v>0</v>
      </c>
      <c r="Z363" s="48">
        <f t="shared" si="177"/>
        <v>0</v>
      </c>
      <c r="AA363" s="48">
        <f t="shared" si="177"/>
        <v>0</v>
      </c>
      <c r="AB363" s="48">
        <f t="shared" si="177"/>
        <v>0</v>
      </c>
      <c r="AC363" s="48">
        <f t="shared" si="177"/>
        <v>0</v>
      </c>
      <c r="AD363" s="48">
        <f t="shared" si="177"/>
        <v>0</v>
      </c>
      <c r="AE363" s="48">
        <f t="shared" si="177"/>
        <v>0</v>
      </c>
      <c r="AF363" s="48">
        <f t="shared" si="177"/>
        <v>0</v>
      </c>
      <c r="AG363" s="48">
        <f t="shared" si="177"/>
        <v>0</v>
      </c>
      <c r="AH363" s="48">
        <f t="shared" si="177"/>
        <v>0</v>
      </c>
      <c r="AI363" s="48">
        <f t="shared" si="177"/>
        <v>0</v>
      </c>
      <c r="AJ363" s="48">
        <f t="shared" si="177"/>
        <v>0</v>
      </c>
      <c r="AK363" s="48">
        <f t="shared" si="177"/>
        <v>0</v>
      </c>
      <c r="AL363" s="48">
        <f t="shared" si="177"/>
        <v>0</v>
      </c>
      <c r="AM363" s="48">
        <f t="shared" si="177"/>
        <v>7.1428571428571425E-2</v>
      </c>
      <c r="AN363" s="48">
        <f t="shared" si="177"/>
        <v>0.5714285714285714</v>
      </c>
      <c r="AO363" s="48">
        <f t="shared" si="174"/>
        <v>1</v>
      </c>
      <c r="AP363" s="48">
        <f t="shared" si="174"/>
        <v>1</v>
      </c>
      <c r="AQ363" s="48">
        <f t="shared" si="174"/>
        <v>1</v>
      </c>
      <c r="AR363" s="48">
        <f t="shared" si="174"/>
        <v>1</v>
      </c>
      <c r="AS363" s="48">
        <f t="shared" si="174"/>
        <v>1</v>
      </c>
      <c r="AT363" s="48">
        <f t="shared" si="174"/>
        <v>1</v>
      </c>
      <c r="AU363" s="48">
        <f t="shared" si="174"/>
        <v>1</v>
      </c>
      <c r="AV363" s="48">
        <f t="shared" si="174"/>
        <v>1</v>
      </c>
      <c r="AW363" s="48">
        <f t="shared" si="174"/>
        <v>1</v>
      </c>
      <c r="AX363" s="48">
        <f t="shared" si="174"/>
        <v>1</v>
      </c>
      <c r="AY363" s="48">
        <f t="shared" si="174"/>
        <v>1</v>
      </c>
      <c r="AZ363" s="48">
        <f t="shared" si="174"/>
        <v>1</v>
      </c>
      <c r="BA363" s="48">
        <f t="shared" si="174"/>
        <v>1</v>
      </c>
      <c r="BB363" s="48">
        <f t="shared" si="174"/>
        <v>1</v>
      </c>
      <c r="BC363" s="48">
        <f t="shared" si="174"/>
        <v>1</v>
      </c>
      <c r="BD363" s="48">
        <f t="shared" si="174"/>
        <v>1</v>
      </c>
      <c r="BE363" s="48">
        <f t="shared" si="174"/>
        <v>1</v>
      </c>
      <c r="BF363" s="48">
        <f t="shared" si="174"/>
        <v>1</v>
      </c>
      <c r="BG363" s="48">
        <f t="shared" si="175"/>
        <v>1</v>
      </c>
      <c r="BH363" s="48">
        <f t="shared" si="175"/>
        <v>1</v>
      </c>
      <c r="BI363" s="48">
        <f t="shared" si="175"/>
        <v>1</v>
      </c>
      <c r="BJ363" s="48">
        <f t="shared" si="175"/>
        <v>1</v>
      </c>
      <c r="BK363" s="48">
        <f t="shared" si="175"/>
        <v>1</v>
      </c>
      <c r="BL363" s="48">
        <f t="shared" si="175"/>
        <v>1</v>
      </c>
      <c r="BM363" s="48">
        <f t="shared" si="175"/>
        <v>1</v>
      </c>
      <c r="BN363" s="48">
        <f t="shared" si="175"/>
        <v>1</v>
      </c>
      <c r="BO363" s="32">
        <f t="shared" si="162"/>
        <v>0.45157384987893462</v>
      </c>
    </row>
    <row r="364" spans="1:67" ht="24" x14ac:dyDescent="0.2">
      <c r="A364" s="55" t="s">
        <v>736</v>
      </c>
      <c r="B364" s="55" t="s">
        <v>737</v>
      </c>
      <c r="C364" s="55" t="s">
        <v>14</v>
      </c>
      <c r="D364" s="56">
        <f>VLOOKUP(A364,'[1]Cuadro Control'!C403:J2294,8,FALSE)</f>
        <v>0</v>
      </c>
      <c r="E364" s="57">
        <f>IFERROR(D364/$D$348,0)</f>
        <v>0</v>
      </c>
      <c r="F364" s="58">
        <v>46443</v>
      </c>
      <c r="G364" s="58">
        <v>46443</v>
      </c>
      <c r="H364" s="57">
        <f t="shared" si="176"/>
        <v>0</v>
      </c>
      <c r="I364" s="57">
        <f t="shared" si="176"/>
        <v>0</v>
      </c>
      <c r="J364" s="57">
        <f t="shared" si="176"/>
        <v>0</v>
      </c>
      <c r="K364" s="57">
        <f t="shared" si="176"/>
        <v>0</v>
      </c>
      <c r="L364" s="57">
        <f t="shared" si="176"/>
        <v>0</v>
      </c>
      <c r="M364" s="57">
        <f t="shared" si="176"/>
        <v>0</v>
      </c>
      <c r="N364" s="57">
        <f t="shared" si="176"/>
        <v>0</v>
      </c>
      <c r="O364" s="57">
        <f t="shared" si="176"/>
        <v>0</v>
      </c>
      <c r="P364" s="57">
        <f t="shared" si="176"/>
        <v>0</v>
      </c>
      <c r="Q364" s="57">
        <f t="shared" si="176"/>
        <v>0</v>
      </c>
      <c r="R364" s="57">
        <f t="shared" si="176"/>
        <v>0</v>
      </c>
      <c r="S364" s="57">
        <f t="shared" si="176"/>
        <v>0</v>
      </c>
      <c r="T364" s="57">
        <f t="shared" si="176"/>
        <v>0</v>
      </c>
      <c r="U364" s="57">
        <f t="shared" si="176"/>
        <v>0</v>
      </c>
      <c r="V364" s="57">
        <f t="shared" si="176"/>
        <v>0</v>
      </c>
      <c r="W364" s="57">
        <f t="shared" si="176"/>
        <v>0</v>
      </c>
      <c r="X364" s="57">
        <f t="shared" si="177"/>
        <v>0</v>
      </c>
      <c r="Y364" s="57">
        <f t="shared" si="177"/>
        <v>0</v>
      </c>
      <c r="Z364" s="57">
        <f t="shared" si="177"/>
        <v>0</v>
      </c>
      <c r="AA364" s="57">
        <f t="shared" si="177"/>
        <v>0</v>
      </c>
      <c r="AB364" s="57">
        <f t="shared" si="177"/>
        <v>0</v>
      </c>
      <c r="AC364" s="57">
        <f t="shared" si="177"/>
        <v>0</v>
      </c>
      <c r="AD364" s="57">
        <f t="shared" si="177"/>
        <v>0</v>
      </c>
      <c r="AE364" s="57">
        <f t="shared" si="177"/>
        <v>0</v>
      </c>
      <c r="AF364" s="57">
        <f t="shared" si="177"/>
        <v>0</v>
      </c>
      <c r="AG364" s="57">
        <f t="shared" si="177"/>
        <v>0</v>
      </c>
      <c r="AH364" s="57">
        <f t="shared" si="177"/>
        <v>0</v>
      </c>
      <c r="AI364" s="57">
        <f t="shared" si="177"/>
        <v>0</v>
      </c>
      <c r="AJ364" s="57">
        <f t="shared" si="177"/>
        <v>0</v>
      </c>
      <c r="AK364" s="57">
        <f t="shared" si="177"/>
        <v>0</v>
      </c>
      <c r="AL364" s="57">
        <f t="shared" si="177"/>
        <v>0</v>
      </c>
      <c r="AM364" s="57">
        <f t="shared" si="177"/>
        <v>0</v>
      </c>
      <c r="AN364" s="57">
        <f t="shared" si="177"/>
        <v>0</v>
      </c>
      <c r="AO364" s="57">
        <f t="shared" si="177"/>
        <v>1</v>
      </c>
      <c r="AP364" s="57">
        <f t="shared" si="177"/>
        <v>1</v>
      </c>
      <c r="AQ364" s="57">
        <f t="shared" si="177"/>
        <v>1</v>
      </c>
      <c r="AR364" s="57">
        <f t="shared" si="177"/>
        <v>1</v>
      </c>
      <c r="AS364" s="57">
        <f t="shared" si="177"/>
        <v>1</v>
      </c>
      <c r="AT364" s="57">
        <f t="shared" si="177"/>
        <v>1</v>
      </c>
      <c r="AU364" s="57">
        <f t="shared" si="177"/>
        <v>1</v>
      </c>
      <c r="AV364" s="57">
        <f t="shared" si="177"/>
        <v>1</v>
      </c>
      <c r="AW364" s="57">
        <f t="shared" si="177"/>
        <v>1</v>
      </c>
      <c r="AX364" s="57">
        <f t="shared" si="177"/>
        <v>1</v>
      </c>
      <c r="AY364" s="57">
        <f t="shared" si="177"/>
        <v>1</v>
      </c>
      <c r="AZ364" s="57">
        <f t="shared" si="177"/>
        <v>1</v>
      </c>
      <c r="BA364" s="57">
        <f t="shared" si="177"/>
        <v>1</v>
      </c>
      <c r="BB364" s="57">
        <f t="shared" si="177"/>
        <v>1</v>
      </c>
      <c r="BC364" s="57">
        <f t="shared" si="177"/>
        <v>1</v>
      </c>
      <c r="BD364" s="57">
        <f t="shared" si="174"/>
        <v>1</v>
      </c>
      <c r="BE364" s="57">
        <f t="shared" si="174"/>
        <v>1</v>
      </c>
      <c r="BF364" s="57">
        <f t="shared" si="174"/>
        <v>1</v>
      </c>
      <c r="BG364" s="57">
        <f t="shared" si="175"/>
        <v>1</v>
      </c>
      <c r="BH364" s="57">
        <f t="shared" si="175"/>
        <v>1</v>
      </c>
      <c r="BI364" s="57">
        <f t="shared" si="175"/>
        <v>1</v>
      </c>
      <c r="BJ364" s="57">
        <f t="shared" si="175"/>
        <v>1</v>
      </c>
      <c r="BK364" s="57">
        <f t="shared" si="175"/>
        <v>1</v>
      </c>
      <c r="BL364" s="57">
        <f t="shared" si="175"/>
        <v>1</v>
      </c>
      <c r="BM364" s="57">
        <f t="shared" si="175"/>
        <v>1</v>
      </c>
      <c r="BN364" s="57">
        <f t="shared" si="175"/>
        <v>1</v>
      </c>
      <c r="BO364" s="32">
        <f t="shared" si="162"/>
        <v>0.44067796610169491</v>
      </c>
    </row>
    <row r="365" spans="1:67" x14ac:dyDescent="0.2">
      <c r="A365" s="59" t="s">
        <v>738</v>
      </c>
      <c r="B365" s="59" t="s">
        <v>739</v>
      </c>
      <c r="C365" s="59" t="s">
        <v>467</v>
      </c>
      <c r="D365" s="60">
        <f>SUM(D366:D381)</f>
        <v>5308872732.0543728</v>
      </c>
      <c r="E365" s="61">
        <f>IFERROR(D365/$D$109,0)</f>
        <v>2.9408554574576196E-2</v>
      </c>
      <c r="F365" s="62">
        <v>46367</v>
      </c>
      <c r="G365" s="62">
        <v>46450</v>
      </c>
      <c r="H365" s="61">
        <f>SUMPRODUCT($E366:$E380,H366:H380)</f>
        <v>0</v>
      </c>
      <c r="I365" s="61">
        <f t="shared" ref="I365:BN365" si="178">SUMPRODUCT($E366:$E380,I366:I380)</f>
        <v>0</v>
      </c>
      <c r="J365" s="61">
        <f t="shared" si="178"/>
        <v>0</v>
      </c>
      <c r="K365" s="61">
        <f t="shared" si="178"/>
        <v>0</v>
      </c>
      <c r="L365" s="61">
        <f t="shared" si="178"/>
        <v>0</v>
      </c>
      <c r="M365" s="61">
        <f t="shared" si="178"/>
        <v>0</v>
      </c>
      <c r="N365" s="61">
        <f t="shared" si="178"/>
        <v>0</v>
      </c>
      <c r="O365" s="61">
        <f t="shared" si="178"/>
        <v>0</v>
      </c>
      <c r="P365" s="61">
        <f t="shared" si="178"/>
        <v>0</v>
      </c>
      <c r="Q365" s="61">
        <f t="shared" si="178"/>
        <v>0</v>
      </c>
      <c r="R365" s="61">
        <f t="shared" si="178"/>
        <v>0</v>
      </c>
      <c r="S365" s="61">
        <f t="shared" si="178"/>
        <v>0</v>
      </c>
      <c r="T365" s="61">
        <f t="shared" si="178"/>
        <v>0</v>
      </c>
      <c r="U365" s="61">
        <f t="shared" si="178"/>
        <v>0</v>
      </c>
      <c r="V365" s="61">
        <f t="shared" si="178"/>
        <v>0</v>
      </c>
      <c r="W365" s="61">
        <f t="shared" si="178"/>
        <v>0</v>
      </c>
      <c r="X365" s="61">
        <f t="shared" si="178"/>
        <v>0</v>
      </c>
      <c r="Y365" s="61">
        <f t="shared" si="178"/>
        <v>0</v>
      </c>
      <c r="Z365" s="61">
        <f t="shared" si="178"/>
        <v>0</v>
      </c>
      <c r="AA365" s="61">
        <f t="shared" si="178"/>
        <v>0</v>
      </c>
      <c r="AB365" s="61">
        <f t="shared" si="178"/>
        <v>0</v>
      </c>
      <c r="AC365" s="61">
        <f t="shared" si="178"/>
        <v>0</v>
      </c>
      <c r="AD365" s="61">
        <f t="shared" si="178"/>
        <v>1.7428219822204871E-3</v>
      </c>
      <c r="AE365" s="61">
        <f t="shared" si="178"/>
        <v>1.3942575857763897E-2</v>
      </c>
      <c r="AF365" s="61">
        <f t="shared" si="178"/>
        <v>3.5298758430500551E-2</v>
      </c>
      <c r="AG365" s="61">
        <f t="shared" si="178"/>
        <v>7.5123712429679551E-2</v>
      </c>
      <c r="AH365" s="61">
        <f t="shared" si="178"/>
        <v>0.13668979566530554</v>
      </c>
      <c r="AI365" s="61">
        <f t="shared" si="178"/>
        <v>0.1689385958692205</v>
      </c>
      <c r="AJ365" s="61">
        <f t="shared" si="178"/>
        <v>0.24535608361815867</v>
      </c>
      <c r="AK365" s="61">
        <f t="shared" si="178"/>
        <v>0.34528741505259125</v>
      </c>
      <c r="AL365" s="61">
        <f t="shared" si="178"/>
        <v>0.41666693750575734</v>
      </c>
      <c r="AM365" s="61">
        <f t="shared" si="178"/>
        <v>0.64850810003989967</v>
      </c>
      <c r="AN365" s="61">
        <f t="shared" si="178"/>
        <v>0.71410290568127988</v>
      </c>
      <c r="AO365" s="61">
        <f t="shared" si="178"/>
        <v>0.90964226306794216</v>
      </c>
      <c r="AP365" s="61">
        <f t="shared" si="178"/>
        <v>1</v>
      </c>
      <c r="AQ365" s="61">
        <f t="shared" si="178"/>
        <v>1</v>
      </c>
      <c r="AR365" s="61">
        <f t="shared" si="178"/>
        <v>1</v>
      </c>
      <c r="AS365" s="61">
        <f t="shared" si="178"/>
        <v>1</v>
      </c>
      <c r="AT365" s="61">
        <f t="shared" si="178"/>
        <v>1</v>
      </c>
      <c r="AU365" s="61">
        <f t="shared" si="178"/>
        <v>1</v>
      </c>
      <c r="AV365" s="61">
        <f t="shared" si="178"/>
        <v>1</v>
      </c>
      <c r="AW365" s="61">
        <f t="shared" si="178"/>
        <v>1</v>
      </c>
      <c r="AX365" s="61">
        <f t="shared" si="178"/>
        <v>1</v>
      </c>
      <c r="AY365" s="61">
        <f t="shared" si="178"/>
        <v>1</v>
      </c>
      <c r="AZ365" s="61">
        <f t="shared" si="178"/>
        <v>1</v>
      </c>
      <c r="BA365" s="61">
        <f t="shared" si="178"/>
        <v>1</v>
      </c>
      <c r="BB365" s="61">
        <f t="shared" si="178"/>
        <v>1</v>
      </c>
      <c r="BC365" s="61">
        <f t="shared" si="178"/>
        <v>1</v>
      </c>
      <c r="BD365" s="61">
        <f t="shared" si="178"/>
        <v>1</v>
      </c>
      <c r="BE365" s="61">
        <f t="shared" si="178"/>
        <v>1</v>
      </c>
      <c r="BF365" s="61">
        <f t="shared" si="178"/>
        <v>1</v>
      </c>
      <c r="BG365" s="61">
        <f t="shared" si="178"/>
        <v>1</v>
      </c>
      <c r="BH365" s="61">
        <f t="shared" si="178"/>
        <v>1</v>
      </c>
      <c r="BI365" s="61">
        <f t="shared" si="178"/>
        <v>1</v>
      </c>
      <c r="BJ365" s="61">
        <f t="shared" si="178"/>
        <v>1</v>
      </c>
      <c r="BK365" s="61">
        <f t="shared" si="178"/>
        <v>1</v>
      </c>
      <c r="BL365" s="61">
        <f t="shared" si="178"/>
        <v>1</v>
      </c>
      <c r="BM365" s="61">
        <f t="shared" si="178"/>
        <v>1</v>
      </c>
      <c r="BN365" s="61">
        <f t="shared" si="178"/>
        <v>1</v>
      </c>
      <c r="BO365" s="32">
        <f t="shared" si="162"/>
        <v>0.48663220280000541</v>
      </c>
    </row>
    <row r="366" spans="1:67" ht="24" x14ac:dyDescent="0.2">
      <c r="A366" s="50" t="s">
        <v>740</v>
      </c>
      <c r="B366" s="50" t="s">
        <v>741</v>
      </c>
      <c r="C366" s="50" t="s">
        <v>74</v>
      </c>
      <c r="D366" s="51">
        <f>VLOOKUP(A366,'[1]Cuadro Control'!C405:J2296,8,FALSE)</f>
        <v>83271780.884117648</v>
      </c>
      <c r="E366" s="52">
        <f t="shared" ref="E366:E380" si="179">IFERROR(D366/$D$365,0)</f>
        <v>1.5685397839984384E-2</v>
      </c>
      <c r="F366" s="53">
        <v>46367</v>
      </c>
      <c r="G366" s="53">
        <v>46375</v>
      </c>
      <c r="H366" s="52">
        <f t="shared" ref="H366:BN370" si="180">IF($F366=0,0,IF(H$6&lt;$F366,0,IF(H$6&gt;$G366,1,(H$6-$F366+1)/($G366-$F366+1))))</f>
        <v>0</v>
      </c>
      <c r="I366" s="52">
        <f t="shared" si="180"/>
        <v>0</v>
      </c>
      <c r="J366" s="52">
        <f t="shared" si="180"/>
        <v>0</v>
      </c>
      <c r="K366" s="52">
        <f t="shared" si="180"/>
        <v>0</v>
      </c>
      <c r="L366" s="52">
        <f t="shared" si="180"/>
        <v>0</v>
      </c>
      <c r="M366" s="52">
        <f t="shared" si="180"/>
        <v>0</v>
      </c>
      <c r="N366" s="52">
        <f t="shared" si="180"/>
        <v>0</v>
      </c>
      <c r="O366" s="52">
        <f t="shared" si="180"/>
        <v>0</v>
      </c>
      <c r="P366" s="52">
        <f t="shared" si="180"/>
        <v>0</v>
      </c>
      <c r="Q366" s="52">
        <f t="shared" si="180"/>
        <v>0</v>
      </c>
      <c r="R366" s="52">
        <f t="shared" si="180"/>
        <v>0</v>
      </c>
      <c r="S366" s="52">
        <f t="shared" si="180"/>
        <v>0</v>
      </c>
      <c r="T366" s="52">
        <f t="shared" si="180"/>
        <v>0</v>
      </c>
      <c r="U366" s="52">
        <f t="shared" si="180"/>
        <v>0</v>
      </c>
      <c r="V366" s="52">
        <f t="shared" si="180"/>
        <v>0</v>
      </c>
      <c r="W366" s="52">
        <f t="shared" si="180"/>
        <v>0</v>
      </c>
      <c r="X366" s="52">
        <f t="shared" si="180"/>
        <v>0</v>
      </c>
      <c r="Y366" s="52">
        <f t="shared" si="180"/>
        <v>0</v>
      </c>
      <c r="Z366" s="52">
        <f t="shared" si="180"/>
        <v>0</v>
      </c>
      <c r="AA366" s="52">
        <f t="shared" si="180"/>
        <v>0</v>
      </c>
      <c r="AB366" s="52">
        <f t="shared" si="180"/>
        <v>0</v>
      </c>
      <c r="AC366" s="52">
        <f t="shared" si="180"/>
        <v>0</v>
      </c>
      <c r="AD366" s="52">
        <f t="shared" si="180"/>
        <v>0.1111111111111111</v>
      </c>
      <c r="AE366" s="52">
        <f t="shared" si="180"/>
        <v>0.88888888888888884</v>
      </c>
      <c r="AF366" s="52">
        <f t="shared" si="180"/>
        <v>1</v>
      </c>
      <c r="AG366" s="52">
        <f t="shared" si="180"/>
        <v>1</v>
      </c>
      <c r="AH366" s="52">
        <f t="shared" si="180"/>
        <v>1</v>
      </c>
      <c r="AI366" s="52">
        <f t="shared" si="180"/>
        <v>1</v>
      </c>
      <c r="AJ366" s="52">
        <f t="shared" si="180"/>
        <v>1</v>
      </c>
      <c r="AK366" s="52">
        <f t="shared" si="180"/>
        <v>1</v>
      </c>
      <c r="AL366" s="52">
        <f t="shared" si="180"/>
        <v>1</v>
      </c>
      <c r="AM366" s="52">
        <f t="shared" si="180"/>
        <v>1</v>
      </c>
      <c r="AN366" s="52">
        <f t="shared" si="180"/>
        <v>1</v>
      </c>
      <c r="AO366" s="52">
        <f t="shared" si="180"/>
        <v>1</v>
      </c>
      <c r="AP366" s="52">
        <f t="shared" si="180"/>
        <v>1</v>
      </c>
      <c r="AQ366" s="52">
        <f t="shared" si="180"/>
        <v>1</v>
      </c>
      <c r="AR366" s="52">
        <f t="shared" si="180"/>
        <v>1</v>
      </c>
      <c r="AS366" s="52">
        <f t="shared" si="180"/>
        <v>1</v>
      </c>
      <c r="AT366" s="52">
        <f t="shared" si="180"/>
        <v>1</v>
      </c>
      <c r="AU366" s="52">
        <f t="shared" si="180"/>
        <v>1</v>
      </c>
      <c r="AV366" s="52">
        <f t="shared" si="180"/>
        <v>1</v>
      </c>
      <c r="AW366" s="52">
        <f t="shared" si="180"/>
        <v>1</v>
      </c>
      <c r="AX366" s="52">
        <f t="shared" si="180"/>
        <v>1</v>
      </c>
      <c r="AY366" s="52">
        <f t="shared" si="180"/>
        <v>1</v>
      </c>
      <c r="AZ366" s="52">
        <f t="shared" si="180"/>
        <v>1</v>
      </c>
      <c r="BA366" s="52">
        <f t="shared" si="180"/>
        <v>1</v>
      </c>
      <c r="BB366" s="52">
        <f t="shared" si="180"/>
        <v>1</v>
      </c>
      <c r="BC366" s="52">
        <f t="shared" si="180"/>
        <v>1</v>
      </c>
      <c r="BD366" s="52">
        <f t="shared" si="180"/>
        <v>1</v>
      </c>
      <c r="BE366" s="52">
        <f t="shared" si="180"/>
        <v>1</v>
      </c>
      <c r="BF366" s="52">
        <f t="shared" si="180"/>
        <v>1</v>
      </c>
      <c r="BG366" s="52">
        <f t="shared" si="180"/>
        <v>1</v>
      </c>
      <c r="BH366" s="52">
        <f t="shared" si="180"/>
        <v>1</v>
      </c>
      <c r="BI366" s="52">
        <f t="shared" si="180"/>
        <v>1</v>
      </c>
      <c r="BJ366" s="52">
        <f t="shared" si="180"/>
        <v>1</v>
      </c>
      <c r="BK366" s="52">
        <f t="shared" si="180"/>
        <v>1</v>
      </c>
      <c r="BL366" s="52">
        <f t="shared" si="180"/>
        <v>1</v>
      </c>
      <c r="BM366" s="52">
        <f t="shared" si="180"/>
        <v>1</v>
      </c>
      <c r="BN366" s="52">
        <f t="shared" si="180"/>
        <v>1</v>
      </c>
      <c r="BO366" s="32">
        <f t="shared" si="162"/>
        <v>0.61016949152542377</v>
      </c>
    </row>
    <row r="367" spans="1:67" x14ac:dyDescent="0.2">
      <c r="A367" s="50" t="s">
        <v>742</v>
      </c>
      <c r="B367" s="50" t="s">
        <v>743</v>
      </c>
      <c r="C367" s="50" t="s">
        <v>61</v>
      </c>
      <c r="D367" s="51">
        <f>VLOOKUP(A367,'[1]Cuadro Control'!C406:J2297,8,FALSE)</f>
        <v>312374505.66882348</v>
      </c>
      <c r="E367" s="52">
        <f t="shared" si="179"/>
        <v>5.8840081771548515E-2</v>
      </c>
      <c r="F367" s="53">
        <v>46379</v>
      </c>
      <c r="G367" s="53">
        <v>46387</v>
      </c>
      <c r="H367" s="52">
        <f t="shared" si="180"/>
        <v>0</v>
      </c>
      <c r="I367" s="52">
        <f t="shared" si="180"/>
        <v>0</v>
      </c>
      <c r="J367" s="52">
        <f t="shared" si="180"/>
        <v>0</v>
      </c>
      <c r="K367" s="52">
        <f t="shared" si="180"/>
        <v>0</v>
      </c>
      <c r="L367" s="52">
        <f t="shared" si="180"/>
        <v>0</v>
      </c>
      <c r="M367" s="52">
        <f t="shared" si="180"/>
        <v>0</v>
      </c>
      <c r="N367" s="52">
        <f t="shared" si="180"/>
        <v>0</v>
      </c>
      <c r="O367" s="52">
        <f t="shared" si="180"/>
        <v>0</v>
      </c>
      <c r="P367" s="52">
        <f t="shared" si="180"/>
        <v>0</v>
      </c>
      <c r="Q367" s="52">
        <f t="shared" si="180"/>
        <v>0</v>
      </c>
      <c r="R367" s="52">
        <f t="shared" si="180"/>
        <v>0</v>
      </c>
      <c r="S367" s="52">
        <f t="shared" si="180"/>
        <v>0</v>
      </c>
      <c r="T367" s="52">
        <f t="shared" si="180"/>
        <v>0</v>
      </c>
      <c r="U367" s="52">
        <f t="shared" si="180"/>
        <v>0</v>
      </c>
      <c r="V367" s="52">
        <f t="shared" si="180"/>
        <v>0</v>
      </c>
      <c r="W367" s="52">
        <f t="shared" si="180"/>
        <v>0</v>
      </c>
      <c r="X367" s="52">
        <f t="shared" si="180"/>
        <v>0</v>
      </c>
      <c r="Y367" s="52">
        <f t="shared" si="180"/>
        <v>0</v>
      </c>
      <c r="Z367" s="52">
        <f t="shared" si="180"/>
        <v>0</v>
      </c>
      <c r="AA367" s="52">
        <f t="shared" si="180"/>
        <v>0</v>
      </c>
      <c r="AB367" s="52">
        <f t="shared" si="180"/>
        <v>0</v>
      </c>
      <c r="AC367" s="52">
        <f t="shared" si="180"/>
        <v>0</v>
      </c>
      <c r="AD367" s="52">
        <f t="shared" si="180"/>
        <v>0</v>
      </c>
      <c r="AE367" s="52">
        <f t="shared" si="180"/>
        <v>0</v>
      </c>
      <c r="AF367" s="52">
        <f t="shared" si="180"/>
        <v>0.33333333333333331</v>
      </c>
      <c r="AG367" s="52">
        <f t="shared" si="180"/>
        <v>1</v>
      </c>
      <c r="AH367" s="52">
        <f t="shared" si="180"/>
        <v>1</v>
      </c>
      <c r="AI367" s="52">
        <f t="shared" si="180"/>
        <v>1</v>
      </c>
      <c r="AJ367" s="52">
        <f t="shared" si="180"/>
        <v>1</v>
      </c>
      <c r="AK367" s="52">
        <f t="shared" si="180"/>
        <v>1</v>
      </c>
      <c r="AL367" s="52">
        <f t="shared" si="180"/>
        <v>1</v>
      </c>
      <c r="AM367" s="52">
        <f t="shared" si="180"/>
        <v>1</v>
      </c>
      <c r="AN367" s="52">
        <f t="shared" si="180"/>
        <v>1</v>
      </c>
      <c r="AO367" s="52">
        <f t="shared" si="180"/>
        <v>1</v>
      </c>
      <c r="AP367" s="52">
        <f t="shared" si="180"/>
        <v>1</v>
      </c>
      <c r="AQ367" s="52">
        <f t="shared" si="180"/>
        <v>1</v>
      </c>
      <c r="AR367" s="52">
        <f t="shared" si="180"/>
        <v>1</v>
      </c>
      <c r="AS367" s="52">
        <f t="shared" si="180"/>
        <v>1</v>
      </c>
      <c r="AT367" s="52">
        <f t="shared" si="180"/>
        <v>1</v>
      </c>
      <c r="AU367" s="52">
        <f t="shared" si="180"/>
        <v>1</v>
      </c>
      <c r="AV367" s="52">
        <f t="shared" si="180"/>
        <v>1</v>
      </c>
      <c r="AW367" s="52">
        <f t="shared" si="180"/>
        <v>1</v>
      </c>
      <c r="AX367" s="52">
        <f t="shared" si="180"/>
        <v>1</v>
      </c>
      <c r="AY367" s="52">
        <f t="shared" si="180"/>
        <v>1</v>
      </c>
      <c r="AZ367" s="52">
        <f t="shared" si="180"/>
        <v>1</v>
      </c>
      <c r="BA367" s="52">
        <f t="shared" si="180"/>
        <v>1</v>
      </c>
      <c r="BB367" s="52">
        <f t="shared" si="180"/>
        <v>1</v>
      </c>
      <c r="BC367" s="52">
        <f t="shared" si="180"/>
        <v>1</v>
      </c>
      <c r="BD367" s="52">
        <f t="shared" si="180"/>
        <v>1</v>
      </c>
      <c r="BE367" s="52">
        <f t="shared" si="180"/>
        <v>1</v>
      </c>
      <c r="BF367" s="52">
        <f t="shared" si="180"/>
        <v>1</v>
      </c>
      <c r="BG367" s="52">
        <f t="shared" si="180"/>
        <v>1</v>
      </c>
      <c r="BH367" s="52">
        <f t="shared" si="180"/>
        <v>1</v>
      </c>
      <c r="BI367" s="52">
        <f t="shared" si="180"/>
        <v>1</v>
      </c>
      <c r="BJ367" s="52">
        <f t="shared" si="180"/>
        <v>1</v>
      </c>
      <c r="BK367" s="52">
        <f t="shared" si="180"/>
        <v>1</v>
      </c>
      <c r="BL367" s="52">
        <f t="shared" si="180"/>
        <v>1</v>
      </c>
      <c r="BM367" s="52">
        <f t="shared" si="180"/>
        <v>1</v>
      </c>
      <c r="BN367" s="52">
        <f t="shared" si="180"/>
        <v>1</v>
      </c>
      <c r="BO367" s="32">
        <f t="shared" si="162"/>
        <v>0.58192090395480223</v>
      </c>
    </row>
    <row r="368" spans="1:67" ht="15" x14ac:dyDescent="0.2">
      <c r="A368" s="46" t="s">
        <v>744</v>
      </c>
      <c r="B368" s="46" t="s">
        <v>745</v>
      </c>
      <c r="C368" s="46" t="s">
        <v>126</v>
      </c>
      <c r="D368" s="47">
        <f>VLOOKUP(A368,'[1]Cuadro Control'!C407:J2298,8,FALSE)</f>
        <v>9527825.6870364472</v>
      </c>
      <c r="E368" s="48">
        <f t="shared" si="179"/>
        <v>1.794698454439963E-3</v>
      </c>
      <c r="F368" s="49">
        <v>46387</v>
      </c>
      <c r="G368" s="49">
        <v>46392</v>
      </c>
      <c r="H368" s="48">
        <f t="shared" si="180"/>
        <v>0</v>
      </c>
      <c r="I368" s="48">
        <f t="shared" si="180"/>
        <v>0</v>
      </c>
      <c r="J368" s="48">
        <f t="shared" si="180"/>
        <v>0</v>
      </c>
      <c r="K368" s="48">
        <f t="shared" si="180"/>
        <v>0</v>
      </c>
      <c r="L368" s="48">
        <f t="shared" si="180"/>
        <v>0</v>
      </c>
      <c r="M368" s="48">
        <f t="shared" si="180"/>
        <v>0</v>
      </c>
      <c r="N368" s="48">
        <f t="shared" si="180"/>
        <v>0</v>
      </c>
      <c r="O368" s="48">
        <f t="shared" si="180"/>
        <v>0</v>
      </c>
      <c r="P368" s="48">
        <f t="shared" si="180"/>
        <v>0</v>
      </c>
      <c r="Q368" s="48">
        <f t="shared" si="180"/>
        <v>0</v>
      </c>
      <c r="R368" s="48">
        <f t="shared" si="180"/>
        <v>0</v>
      </c>
      <c r="S368" s="48">
        <f t="shared" si="180"/>
        <v>0</v>
      </c>
      <c r="T368" s="48">
        <f t="shared" si="180"/>
        <v>0</v>
      </c>
      <c r="U368" s="48">
        <f t="shared" si="180"/>
        <v>0</v>
      </c>
      <c r="V368" s="48">
        <f t="shared" si="180"/>
        <v>0</v>
      </c>
      <c r="W368" s="48">
        <f t="shared" si="180"/>
        <v>0</v>
      </c>
      <c r="X368" s="48">
        <f t="shared" si="180"/>
        <v>0</v>
      </c>
      <c r="Y368" s="48">
        <f t="shared" si="180"/>
        <v>0</v>
      </c>
      <c r="Z368" s="48">
        <f t="shared" si="180"/>
        <v>0</v>
      </c>
      <c r="AA368" s="48">
        <f t="shared" si="180"/>
        <v>0</v>
      </c>
      <c r="AB368" s="48">
        <f t="shared" si="180"/>
        <v>0</v>
      </c>
      <c r="AC368" s="48">
        <f t="shared" si="180"/>
        <v>0</v>
      </c>
      <c r="AD368" s="48">
        <f t="shared" si="180"/>
        <v>0</v>
      </c>
      <c r="AE368" s="48">
        <f t="shared" si="180"/>
        <v>0</v>
      </c>
      <c r="AF368" s="48">
        <f t="shared" si="180"/>
        <v>0</v>
      </c>
      <c r="AG368" s="48">
        <f t="shared" si="180"/>
        <v>0.33333333333333331</v>
      </c>
      <c r="AH368" s="48">
        <f t="shared" si="180"/>
        <v>1</v>
      </c>
      <c r="AI368" s="48">
        <f t="shared" si="180"/>
        <v>1</v>
      </c>
      <c r="AJ368" s="48">
        <f t="shared" si="180"/>
        <v>1</v>
      </c>
      <c r="AK368" s="48">
        <f t="shared" si="180"/>
        <v>1</v>
      </c>
      <c r="AL368" s="48">
        <f t="shared" si="180"/>
        <v>1</v>
      </c>
      <c r="AM368" s="48">
        <f t="shared" si="180"/>
        <v>1</v>
      </c>
      <c r="AN368" s="48">
        <f t="shared" si="180"/>
        <v>1</v>
      </c>
      <c r="AO368" s="48">
        <f t="shared" si="180"/>
        <v>1</v>
      </c>
      <c r="AP368" s="48">
        <f t="shared" si="180"/>
        <v>1</v>
      </c>
      <c r="AQ368" s="48">
        <f t="shared" si="180"/>
        <v>1</v>
      </c>
      <c r="AR368" s="48">
        <f t="shared" si="180"/>
        <v>1</v>
      </c>
      <c r="AS368" s="48">
        <f t="shared" si="180"/>
        <v>1</v>
      </c>
      <c r="AT368" s="48">
        <f t="shared" si="180"/>
        <v>1</v>
      </c>
      <c r="AU368" s="48">
        <f t="shared" si="180"/>
        <v>1</v>
      </c>
      <c r="AV368" s="48">
        <f t="shared" si="180"/>
        <v>1</v>
      </c>
      <c r="AW368" s="48">
        <f t="shared" si="180"/>
        <v>1</v>
      </c>
      <c r="AX368" s="48">
        <f t="shared" si="180"/>
        <v>1</v>
      </c>
      <c r="AY368" s="48">
        <f t="shared" si="180"/>
        <v>1</v>
      </c>
      <c r="AZ368" s="48">
        <f t="shared" si="180"/>
        <v>1</v>
      </c>
      <c r="BA368" s="48">
        <f t="shared" si="180"/>
        <v>1</v>
      </c>
      <c r="BB368" s="48">
        <f t="shared" si="180"/>
        <v>1</v>
      </c>
      <c r="BC368" s="48">
        <f t="shared" si="180"/>
        <v>1</v>
      </c>
      <c r="BD368" s="48">
        <f t="shared" si="180"/>
        <v>1</v>
      </c>
      <c r="BE368" s="48">
        <f t="shared" si="180"/>
        <v>1</v>
      </c>
      <c r="BF368" s="48">
        <f t="shared" si="180"/>
        <v>1</v>
      </c>
      <c r="BG368" s="48">
        <f t="shared" si="180"/>
        <v>1</v>
      </c>
      <c r="BH368" s="48">
        <f t="shared" si="180"/>
        <v>1</v>
      </c>
      <c r="BI368" s="48">
        <f t="shared" si="180"/>
        <v>1</v>
      </c>
      <c r="BJ368" s="48">
        <f t="shared" si="180"/>
        <v>1</v>
      </c>
      <c r="BK368" s="48">
        <f t="shared" si="180"/>
        <v>1</v>
      </c>
      <c r="BL368" s="48">
        <f t="shared" si="180"/>
        <v>1</v>
      </c>
      <c r="BM368" s="48">
        <f t="shared" si="180"/>
        <v>1</v>
      </c>
      <c r="BN368" s="48">
        <f t="shared" si="180"/>
        <v>1</v>
      </c>
      <c r="BO368" s="32">
        <f t="shared" si="162"/>
        <v>0.56497175141242928</v>
      </c>
    </row>
    <row r="369" spans="1:67" x14ac:dyDescent="0.2">
      <c r="A369" s="50" t="s">
        <v>746</v>
      </c>
      <c r="B369" s="50" t="s">
        <v>747</v>
      </c>
      <c r="C369" s="50" t="s">
        <v>117</v>
      </c>
      <c r="D369" s="51">
        <f>VLOOKUP(A369,'[1]Cuadro Control'!C408:J2299,8,FALSE)</f>
        <v>320494616.71764702</v>
      </c>
      <c r="E369" s="52">
        <f t="shared" si="179"/>
        <v>6.0369617599332674E-2</v>
      </c>
      <c r="F369" s="53">
        <v>46392</v>
      </c>
      <c r="G369" s="53">
        <v>46395</v>
      </c>
      <c r="H369" s="52">
        <f t="shared" si="180"/>
        <v>0</v>
      </c>
      <c r="I369" s="52">
        <f t="shared" si="180"/>
        <v>0</v>
      </c>
      <c r="J369" s="52">
        <f t="shared" si="180"/>
        <v>0</v>
      </c>
      <c r="K369" s="52">
        <f t="shared" si="180"/>
        <v>0</v>
      </c>
      <c r="L369" s="52">
        <f t="shared" si="180"/>
        <v>0</v>
      </c>
      <c r="M369" s="52">
        <f t="shared" si="180"/>
        <v>0</v>
      </c>
      <c r="N369" s="52">
        <f t="shared" si="180"/>
        <v>0</v>
      </c>
      <c r="O369" s="52">
        <f t="shared" si="180"/>
        <v>0</v>
      </c>
      <c r="P369" s="52">
        <f t="shared" si="180"/>
        <v>0</v>
      </c>
      <c r="Q369" s="52">
        <f t="shared" si="180"/>
        <v>0</v>
      </c>
      <c r="R369" s="52">
        <f t="shared" si="180"/>
        <v>0</v>
      </c>
      <c r="S369" s="52">
        <f t="shared" si="180"/>
        <v>0</v>
      </c>
      <c r="T369" s="52">
        <f t="shared" si="180"/>
        <v>0</v>
      </c>
      <c r="U369" s="52">
        <f t="shared" si="180"/>
        <v>0</v>
      </c>
      <c r="V369" s="52">
        <f t="shared" si="180"/>
        <v>0</v>
      </c>
      <c r="W369" s="52">
        <f t="shared" si="180"/>
        <v>0</v>
      </c>
      <c r="X369" s="52">
        <f t="shared" si="180"/>
        <v>0</v>
      </c>
      <c r="Y369" s="52">
        <f t="shared" si="180"/>
        <v>0</v>
      </c>
      <c r="Z369" s="52">
        <f t="shared" si="180"/>
        <v>0</v>
      </c>
      <c r="AA369" s="52">
        <f t="shared" si="180"/>
        <v>0</v>
      </c>
      <c r="AB369" s="52">
        <f t="shared" si="180"/>
        <v>0</v>
      </c>
      <c r="AC369" s="52">
        <f t="shared" si="180"/>
        <v>0</v>
      </c>
      <c r="AD369" s="52">
        <f t="shared" si="180"/>
        <v>0</v>
      </c>
      <c r="AE369" s="52">
        <f t="shared" si="180"/>
        <v>0</v>
      </c>
      <c r="AF369" s="52">
        <f t="shared" si="180"/>
        <v>0</v>
      </c>
      <c r="AG369" s="52">
        <f t="shared" si="180"/>
        <v>0</v>
      </c>
      <c r="AH369" s="52">
        <f t="shared" si="180"/>
        <v>1</v>
      </c>
      <c r="AI369" s="52">
        <f t="shared" si="180"/>
        <v>1</v>
      </c>
      <c r="AJ369" s="52">
        <f t="shared" si="180"/>
        <v>1</v>
      </c>
      <c r="AK369" s="52">
        <f t="shared" si="180"/>
        <v>1</v>
      </c>
      <c r="AL369" s="52">
        <f t="shared" si="180"/>
        <v>1</v>
      </c>
      <c r="AM369" s="52">
        <f t="shared" si="180"/>
        <v>1</v>
      </c>
      <c r="AN369" s="52">
        <f t="shared" si="180"/>
        <v>1</v>
      </c>
      <c r="AO369" s="52">
        <f t="shared" si="180"/>
        <v>1</v>
      </c>
      <c r="AP369" s="52">
        <f t="shared" si="180"/>
        <v>1</v>
      </c>
      <c r="AQ369" s="52">
        <f t="shared" si="180"/>
        <v>1</v>
      </c>
      <c r="AR369" s="52">
        <f t="shared" si="180"/>
        <v>1</v>
      </c>
      <c r="AS369" s="52">
        <f t="shared" si="180"/>
        <v>1</v>
      </c>
      <c r="AT369" s="52">
        <f t="shared" si="180"/>
        <v>1</v>
      </c>
      <c r="AU369" s="52">
        <f t="shared" si="180"/>
        <v>1</v>
      </c>
      <c r="AV369" s="52">
        <f t="shared" si="180"/>
        <v>1</v>
      </c>
      <c r="AW369" s="52">
        <f t="shared" si="180"/>
        <v>1</v>
      </c>
      <c r="AX369" s="52">
        <f t="shared" si="180"/>
        <v>1</v>
      </c>
      <c r="AY369" s="52">
        <f t="shared" si="180"/>
        <v>1</v>
      </c>
      <c r="AZ369" s="52">
        <f t="shared" si="180"/>
        <v>1</v>
      </c>
      <c r="BA369" s="52">
        <f t="shared" si="180"/>
        <v>1</v>
      </c>
      <c r="BB369" s="52">
        <f t="shared" si="180"/>
        <v>1</v>
      </c>
      <c r="BC369" s="52">
        <f t="shared" si="180"/>
        <v>1</v>
      </c>
      <c r="BD369" s="52">
        <f t="shared" si="180"/>
        <v>1</v>
      </c>
      <c r="BE369" s="52">
        <f t="shared" si="180"/>
        <v>1</v>
      </c>
      <c r="BF369" s="52">
        <f t="shared" si="180"/>
        <v>1</v>
      </c>
      <c r="BG369" s="52">
        <f t="shared" si="180"/>
        <v>1</v>
      </c>
      <c r="BH369" s="52">
        <f t="shared" si="180"/>
        <v>1</v>
      </c>
      <c r="BI369" s="52">
        <f t="shared" si="180"/>
        <v>1</v>
      </c>
      <c r="BJ369" s="52">
        <f t="shared" si="180"/>
        <v>1</v>
      </c>
      <c r="BK369" s="52">
        <f t="shared" si="180"/>
        <v>1</v>
      </c>
      <c r="BL369" s="52">
        <f t="shared" si="180"/>
        <v>1</v>
      </c>
      <c r="BM369" s="52">
        <f t="shared" si="180"/>
        <v>1</v>
      </c>
      <c r="BN369" s="52">
        <f t="shared" si="180"/>
        <v>1</v>
      </c>
      <c r="BO369" s="32">
        <f t="shared" si="162"/>
        <v>0.55932203389830504</v>
      </c>
    </row>
    <row r="370" spans="1:67" x14ac:dyDescent="0.2">
      <c r="A370" s="50" t="s">
        <v>748</v>
      </c>
      <c r="B370" s="50" t="s">
        <v>749</v>
      </c>
      <c r="C370" s="50" t="s">
        <v>111</v>
      </c>
      <c r="D370" s="51">
        <f>VLOOKUP(A370,'[1]Cuadro Control'!C409:J2300,8,FALSE)</f>
        <v>94303618.549411759</v>
      </c>
      <c r="E370" s="52">
        <f t="shared" si="179"/>
        <v>1.7763397864110998E-2</v>
      </c>
      <c r="F370" s="53">
        <v>46396</v>
      </c>
      <c r="G370" s="53">
        <v>46400</v>
      </c>
      <c r="H370" s="52">
        <f t="shared" si="180"/>
        <v>0</v>
      </c>
      <c r="I370" s="52">
        <f t="shared" si="180"/>
        <v>0</v>
      </c>
      <c r="J370" s="52">
        <f t="shared" si="180"/>
        <v>0</v>
      </c>
      <c r="K370" s="52">
        <f t="shared" si="180"/>
        <v>0</v>
      </c>
      <c r="L370" s="52">
        <f t="shared" si="180"/>
        <v>0</v>
      </c>
      <c r="M370" s="52">
        <f t="shared" si="180"/>
        <v>0</v>
      </c>
      <c r="N370" s="52">
        <f t="shared" si="180"/>
        <v>0</v>
      </c>
      <c r="O370" s="52">
        <f t="shared" si="180"/>
        <v>0</v>
      </c>
      <c r="P370" s="52">
        <f t="shared" si="180"/>
        <v>0</v>
      </c>
      <c r="Q370" s="52">
        <f t="shared" si="180"/>
        <v>0</v>
      </c>
      <c r="R370" s="52">
        <f t="shared" si="180"/>
        <v>0</v>
      </c>
      <c r="S370" s="52">
        <f t="shared" si="180"/>
        <v>0</v>
      </c>
      <c r="T370" s="52">
        <f t="shared" si="180"/>
        <v>0</v>
      </c>
      <c r="U370" s="52">
        <f t="shared" si="180"/>
        <v>0</v>
      </c>
      <c r="V370" s="52">
        <f t="shared" si="180"/>
        <v>0</v>
      </c>
      <c r="W370" s="52">
        <f t="shared" si="180"/>
        <v>0</v>
      </c>
      <c r="X370" s="52">
        <f t="shared" si="180"/>
        <v>0</v>
      </c>
      <c r="Y370" s="52">
        <f t="shared" si="180"/>
        <v>0</v>
      </c>
      <c r="Z370" s="52">
        <f t="shared" si="180"/>
        <v>0</v>
      </c>
      <c r="AA370" s="52">
        <f t="shared" ref="AA370:BF381" si="181">IF($F370=0,0,IF(AA$6&lt;$F370,0,IF(AA$6&gt;$G370,1,(AA$6-$F370+1)/($G370-$F370+1))))</f>
        <v>0</v>
      </c>
      <c r="AB370" s="52">
        <f t="shared" si="181"/>
        <v>0</v>
      </c>
      <c r="AC370" s="52">
        <f t="shared" si="181"/>
        <v>0</v>
      </c>
      <c r="AD370" s="52">
        <f t="shared" si="181"/>
        <v>0</v>
      </c>
      <c r="AE370" s="52">
        <f t="shared" si="181"/>
        <v>0</v>
      </c>
      <c r="AF370" s="52">
        <f t="shared" si="181"/>
        <v>0</v>
      </c>
      <c r="AG370" s="52">
        <f t="shared" si="181"/>
        <v>0</v>
      </c>
      <c r="AH370" s="52">
        <f t="shared" si="181"/>
        <v>0</v>
      </c>
      <c r="AI370" s="52">
        <f t="shared" si="181"/>
        <v>1</v>
      </c>
      <c r="AJ370" s="52">
        <f t="shared" si="181"/>
        <v>1</v>
      </c>
      <c r="AK370" s="52">
        <f t="shared" si="181"/>
        <v>1</v>
      </c>
      <c r="AL370" s="52">
        <f t="shared" si="181"/>
        <v>1</v>
      </c>
      <c r="AM370" s="52">
        <f t="shared" si="181"/>
        <v>1</v>
      </c>
      <c r="AN370" s="52">
        <f t="shared" si="181"/>
        <v>1</v>
      </c>
      <c r="AO370" s="52">
        <f t="shared" si="181"/>
        <v>1</v>
      </c>
      <c r="AP370" s="52">
        <f t="shared" si="181"/>
        <v>1</v>
      </c>
      <c r="AQ370" s="52">
        <f t="shared" si="181"/>
        <v>1</v>
      </c>
      <c r="AR370" s="52">
        <f t="shared" si="181"/>
        <v>1</v>
      </c>
      <c r="AS370" s="52">
        <f t="shared" si="181"/>
        <v>1</v>
      </c>
      <c r="AT370" s="52">
        <f t="shared" si="181"/>
        <v>1</v>
      </c>
      <c r="AU370" s="52">
        <f t="shared" si="181"/>
        <v>1</v>
      </c>
      <c r="AV370" s="52">
        <f t="shared" si="181"/>
        <v>1</v>
      </c>
      <c r="AW370" s="52">
        <f t="shared" si="181"/>
        <v>1</v>
      </c>
      <c r="AX370" s="52">
        <f t="shared" si="181"/>
        <v>1</v>
      </c>
      <c r="AY370" s="52">
        <f t="shared" si="181"/>
        <v>1</v>
      </c>
      <c r="AZ370" s="52">
        <f t="shared" si="181"/>
        <v>1</v>
      </c>
      <c r="BA370" s="52">
        <f t="shared" si="181"/>
        <v>1</v>
      </c>
      <c r="BB370" s="52">
        <f t="shared" si="181"/>
        <v>1</v>
      </c>
      <c r="BC370" s="52">
        <f t="shared" si="181"/>
        <v>1</v>
      </c>
      <c r="BD370" s="52">
        <f t="shared" si="181"/>
        <v>1</v>
      </c>
      <c r="BE370" s="52">
        <f t="shared" si="181"/>
        <v>1</v>
      </c>
      <c r="BF370" s="52">
        <f t="shared" si="181"/>
        <v>1</v>
      </c>
      <c r="BG370" s="52">
        <f t="shared" ref="BG370:BN381" si="182">IF($F370=0,0,IF(BG$6&lt;$F370,0,IF(BG$6&gt;$G370,1,(BG$6-$F370+1)/($G370-$F370+1))))</f>
        <v>1</v>
      </c>
      <c r="BH370" s="52">
        <f t="shared" si="182"/>
        <v>1</v>
      </c>
      <c r="BI370" s="52">
        <f t="shared" si="182"/>
        <v>1</v>
      </c>
      <c r="BJ370" s="52">
        <f t="shared" si="182"/>
        <v>1</v>
      </c>
      <c r="BK370" s="52">
        <f t="shared" si="182"/>
        <v>1</v>
      </c>
      <c r="BL370" s="52">
        <f t="shared" si="182"/>
        <v>1</v>
      </c>
      <c r="BM370" s="52">
        <f t="shared" si="182"/>
        <v>1</v>
      </c>
      <c r="BN370" s="52">
        <f t="shared" si="182"/>
        <v>1</v>
      </c>
      <c r="BO370" s="32">
        <f t="shared" si="162"/>
        <v>0.5423728813559322</v>
      </c>
    </row>
    <row r="371" spans="1:67" x14ac:dyDescent="0.2">
      <c r="A371" s="50" t="s">
        <v>750</v>
      </c>
      <c r="B371" s="50" t="s">
        <v>751</v>
      </c>
      <c r="C371" s="50" t="s">
        <v>238</v>
      </c>
      <c r="D371" s="51">
        <f>VLOOKUP(A371,'[1]Cuadro Control'!C410:J2301,8,FALSE)</f>
        <v>179436034.15411764</v>
      </c>
      <c r="E371" s="52">
        <f t="shared" si="179"/>
        <v>3.3799272126209236E-2</v>
      </c>
      <c r="F371" s="53">
        <v>46400</v>
      </c>
      <c r="G371" s="53">
        <v>46406</v>
      </c>
      <c r="H371" s="52">
        <f t="shared" ref="H371:W381" si="183">IF($F371=0,0,IF(H$6&lt;$F371,0,IF(H$6&gt;$G371,1,(H$6-$F371+1)/($G371-$F371+1))))</f>
        <v>0</v>
      </c>
      <c r="I371" s="52">
        <f t="shared" si="183"/>
        <v>0</v>
      </c>
      <c r="J371" s="52">
        <f t="shared" si="183"/>
        <v>0</v>
      </c>
      <c r="K371" s="52">
        <f t="shared" si="183"/>
        <v>0</v>
      </c>
      <c r="L371" s="52">
        <f t="shared" si="183"/>
        <v>0</v>
      </c>
      <c r="M371" s="52">
        <f t="shared" si="183"/>
        <v>0</v>
      </c>
      <c r="N371" s="52">
        <f t="shared" si="183"/>
        <v>0</v>
      </c>
      <c r="O371" s="52">
        <f t="shared" si="183"/>
        <v>0</v>
      </c>
      <c r="P371" s="52">
        <f t="shared" si="183"/>
        <v>0</v>
      </c>
      <c r="Q371" s="52">
        <f t="shared" si="183"/>
        <v>0</v>
      </c>
      <c r="R371" s="52">
        <f t="shared" si="183"/>
        <v>0</v>
      </c>
      <c r="S371" s="52">
        <f t="shared" si="183"/>
        <v>0</v>
      </c>
      <c r="T371" s="52">
        <f t="shared" si="183"/>
        <v>0</v>
      </c>
      <c r="U371" s="52">
        <f t="shared" si="183"/>
        <v>0</v>
      </c>
      <c r="V371" s="52">
        <f t="shared" si="183"/>
        <v>0</v>
      </c>
      <c r="W371" s="52">
        <f t="shared" si="183"/>
        <v>0</v>
      </c>
      <c r="X371" s="52">
        <f t="shared" ref="X371:BC381" si="184">IF($F371=0,0,IF(X$6&lt;$F371,0,IF(X$6&gt;$G371,1,(X$6-$F371+1)/($G371-$F371+1))))</f>
        <v>0</v>
      </c>
      <c r="Y371" s="52">
        <f t="shared" si="184"/>
        <v>0</v>
      </c>
      <c r="Z371" s="52">
        <f t="shared" si="184"/>
        <v>0</v>
      </c>
      <c r="AA371" s="52">
        <f t="shared" si="184"/>
        <v>0</v>
      </c>
      <c r="AB371" s="52">
        <f t="shared" si="184"/>
        <v>0</v>
      </c>
      <c r="AC371" s="52">
        <f t="shared" si="184"/>
        <v>0</v>
      </c>
      <c r="AD371" s="52">
        <f t="shared" si="184"/>
        <v>0</v>
      </c>
      <c r="AE371" s="52">
        <f t="shared" si="184"/>
        <v>0</v>
      </c>
      <c r="AF371" s="52">
        <f t="shared" si="184"/>
        <v>0</v>
      </c>
      <c r="AG371" s="52">
        <f t="shared" si="184"/>
        <v>0</v>
      </c>
      <c r="AH371" s="52">
        <f t="shared" si="184"/>
        <v>0</v>
      </c>
      <c r="AI371" s="52">
        <f t="shared" si="184"/>
        <v>0.42857142857142855</v>
      </c>
      <c r="AJ371" s="52">
        <f t="shared" si="184"/>
        <v>1</v>
      </c>
      <c r="AK371" s="52">
        <f t="shared" si="184"/>
        <v>1</v>
      </c>
      <c r="AL371" s="52">
        <f t="shared" si="184"/>
        <v>1</v>
      </c>
      <c r="AM371" s="52">
        <f t="shared" si="184"/>
        <v>1</v>
      </c>
      <c r="AN371" s="52">
        <f t="shared" si="184"/>
        <v>1</v>
      </c>
      <c r="AO371" s="52">
        <f t="shared" si="181"/>
        <v>1</v>
      </c>
      <c r="AP371" s="52">
        <f t="shared" si="181"/>
        <v>1</v>
      </c>
      <c r="AQ371" s="52">
        <f t="shared" si="181"/>
        <v>1</v>
      </c>
      <c r="AR371" s="52">
        <f t="shared" si="181"/>
        <v>1</v>
      </c>
      <c r="AS371" s="52">
        <f t="shared" si="181"/>
        <v>1</v>
      </c>
      <c r="AT371" s="52">
        <f t="shared" si="181"/>
        <v>1</v>
      </c>
      <c r="AU371" s="52">
        <f t="shared" si="181"/>
        <v>1</v>
      </c>
      <c r="AV371" s="52">
        <f t="shared" si="181"/>
        <v>1</v>
      </c>
      <c r="AW371" s="52">
        <f t="shared" si="181"/>
        <v>1</v>
      </c>
      <c r="AX371" s="52">
        <f t="shared" si="181"/>
        <v>1</v>
      </c>
      <c r="AY371" s="52">
        <f t="shared" si="181"/>
        <v>1</v>
      </c>
      <c r="AZ371" s="52">
        <f t="shared" si="181"/>
        <v>1</v>
      </c>
      <c r="BA371" s="52">
        <f t="shared" si="181"/>
        <v>1</v>
      </c>
      <c r="BB371" s="52">
        <f t="shared" si="181"/>
        <v>1</v>
      </c>
      <c r="BC371" s="52">
        <f t="shared" si="181"/>
        <v>1</v>
      </c>
      <c r="BD371" s="52">
        <f t="shared" si="181"/>
        <v>1</v>
      </c>
      <c r="BE371" s="52">
        <f t="shared" si="181"/>
        <v>1</v>
      </c>
      <c r="BF371" s="52">
        <f t="shared" si="181"/>
        <v>1</v>
      </c>
      <c r="BG371" s="52">
        <f t="shared" si="182"/>
        <v>1</v>
      </c>
      <c r="BH371" s="52">
        <f t="shared" si="182"/>
        <v>1</v>
      </c>
      <c r="BI371" s="52">
        <f t="shared" si="182"/>
        <v>1</v>
      </c>
      <c r="BJ371" s="52">
        <f t="shared" si="182"/>
        <v>1</v>
      </c>
      <c r="BK371" s="52">
        <f t="shared" si="182"/>
        <v>1</v>
      </c>
      <c r="BL371" s="52">
        <f t="shared" si="182"/>
        <v>1</v>
      </c>
      <c r="BM371" s="52">
        <f t="shared" si="182"/>
        <v>1</v>
      </c>
      <c r="BN371" s="52">
        <f t="shared" si="182"/>
        <v>1</v>
      </c>
      <c r="BO371" s="32">
        <f t="shared" si="162"/>
        <v>0.53268765133171914</v>
      </c>
    </row>
    <row r="372" spans="1:67" x14ac:dyDescent="0.2">
      <c r="A372" s="50" t="s">
        <v>752</v>
      </c>
      <c r="B372" s="50" t="s">
        <v>753</v>
      </c>
      <c r="C372" s="50" t="s">
        <v>58</v>
      </c>
      <c r="D372" s="51">
        <f>VLOOKUP(A372,'[1]Cuadro Control'!C411:J2302,8,FALSE)</f>
        <v>1212623361.2117648</v>
      </c>
      <c r="E372" s="52">
        <f t="shared" si="179"/>
        <v>0.22841447185013161</v>
      </c>
      <c r="F372" s="53">
        <v>46406</v>
      </c>
      <c r="G372" s="53">
        <v>46421</v>
      </c>
      <c r="H372" s="52">
        <f t="shared" si="183"/>
        <v>0</v>
      </c>
      <c r="I372" s="52">
        <f t="shared" si="183"/>
        <v>0</v>
      </c>
      <c r="J372" s="52">
        <f t="shared" si="183"/>
        <v>0</v>
      </c>
      <c r="K372" s="52">
        <f t="shared" si="183"/>
        <v>0</v>
      </c>
      <c r="L372" s="52">
        <f t="shared" si="183"/>
        <v>0</v>
      </c>
      <c r="M372" s="52">
        <f t="shared" si="183"/>
        <v>0</v>
      </c>
      <c r="N372" s="52">
        <f t="shared" si="183"/>
        <v>0</v>
      </c>
      <c r="O372" s="52">
        <f t="shared" si="183"/>
        <v>0</v>
      </c>
      <c r="P372" s="52">
        <f t="shared" si="183"/>
        <v>0</v>
      </c>
      <c r="Q372" s="52">
        <f t="shared" si="183"/>
        <v>0</v>
      </c>
      <c r="R372" s="52">
        <f t="shared" si="183"/>
        <v>0</v>
      </c>
      <c r="S372" s="52">
        <f t="shared" si="183"/>
        <v>0</v>
      </c>
      <c r="T372" s="52">
        <f t="shared" si="183"/>
        <v>0</v>
      </c>
      <c r="U372" s="52">
        <f t="shared" si="183"/>
        <v>0</v>
      </c>
      <c r="V372" s="52">
        <f t="shared" si="183"/>
        <v>0</v>
      </c>
      <c r="W372" s="52">
        <f t="shared" si="183"/>
        <v>0</v>
      </c>
      <c r="X372" s="52">
        <f t="shared" si="184"/>
        <v>0</v>
      </c>
      <c r="Y372" s="52">
        <f t="shared" si="184"/>
        <v>0</v>
      </c>
      <c r="Z372" s="52">
        <f t="shared" si="184"/>
        <v>0</v>
      </c>
      <c r="AA372" s="52">
        <f t="shared" si="184"/>
        <v>0</v>
      </c>
      <c r="AB372" s="52">
        <f t="shared" si="184"/>
        <v>0</v>
      </c>
      <c r="AC372" s="52">
        <f t="shared" si="184"/>
        <v>0</v>
      </c>
      <c r="AD372" s="52">
        <f t="shared" si="184"/>
        <v>0</v>
      </c>
      <c r="AE372" s="52">
        <f t="shared" si="184"/>
        <v>0</v>
      </c>
      <c r="AF372" s="52">
        <f t="shared" si="184"/>
        <v>0</v>
      </c>
      <c r="AG372" s="52">
        <f t="shared" si="184"/>
        <v>0</v>
      </c>
      <c r="AH372" s="52">
        <f t="shared" si="184"/>
        <v>0</v>
      </c>
      <c r="AI372" s="52">
        <f t="shared" si="184"/>
        <v>0</v>
      </c>
      <c r="AJ372" s="52">
        <f t="shared" si="184"/>
        <v>0.25</v>
      </c>
      <c r="AK372" s="52">
        <f t="shared" si="184"/>
        <v>0.6875</v>
      </c>
      <c r="AL372" s="52">
        <f t="shared" si="184"/>
        <v>1</v>
      </c>
      <c r="AM372" s="52">
        <f t="shared" si="184"/>
        <v>1</v>
      </c>
      <c r="AN372" s="52">
        <f t="shared" si="184"/>
        <v>1</v>
      </c>
      <c r="AO372" s="52">
        <f t="shared" si="181"/>
        <v>1</v>
      </c>
      <c r="AP372" s="52">
        <f t="shared" si="181"/>
        <v>1</v>
      </c>
      <c r="AQ372" s="52">
        <f t="shared" si="181"/>
        <v>1</v>
      </c>
      <c r="AR372" s="52">
        <f t="shared" si="181"/>
        <v>1</v>
      </c>
      <c r="AS372" s="52">
        <f t="shared" si="181"/>
        <v>1</v>
      </c>
      <c r="AT372" s="52">
        <f t="shared" si="181"/>
        <v>1</v>
      </c>
      <c r="AU372" s="52">
        <f t="shared" si="181"/>
        <v>1</v>
      </c>
      <c r="AV372" s="52">
        <f t="shared" si="181"/>
        <v>1</v>
      </c>
      <c r="AW372" s="52">
        <f t="shared" si="181"/>
        <v>1</v>
      </c>
      <c r="AX372" s="52">
        <f t="shared" si="181"/>
        <v>1</v>
      </c>
      <c r="AY372" s="52">
        <f t="shared" si="181"/>
        <v>1</v>
      </c>
      <c r="AZ372" s="52">
        <f t="shared" si="181"/>
        <v>1</v>
      </c>
      <c r="BA372" s="52">
        <f t="shared" si="181"/>
        <v>1</v>
      </c>
      <c r="BB372" s="52">
        <f t="shared" si="181"/>
        <v>1</v>
      </c>
      <c r="BC372" s="52">
        <f t="shared" si="181"/>
        <v>1</v>
      </c>
      <c r="BD372" s="52">
        <f t="shared" si="181"/>
        <v>1</v>
      </c>
      <c r="BE372" s="52">
        <f t="shared" si="181"/>
        <v>1</v>
      </c>
      <c r="BF372" s="52">
        <f t="shared" si="181"/>
        <v>1</v>
      </c>
      <c r="BG372" s="52">
        <f t="shared" si="182"/>
        <v>1</v>
      </c>
      <c r="BH372" s="52">
        <f t="shared" si="182"/>
        <v>1</v>
      </c>
      <c r="BI372" s="52">
        <f t="shared" si="182"/>
        <v>1</v>
      </c>
      <c r="BJ372" s="52">
        <f t="shared" si="182"/>
        <v>1</v>
      </c>
      <c r="BK372" s="52">
        <f t="shared" si="182"/>
        <v>1</v>
      </c>
      <c r="BL372" s="52">
        <f t="shared" si="182"/>
        <v>1</v>
      </c>
      <c r="BM372" s="52">
        <f t="shared" si="182"/>
        <v>1</v>
      </c>
      <c r="BN372" s="52">
        <f t="shared" si="182"/>
        <v>1</v>
      </c>
      <c r="BO372" s="32">
        <f t="shared" si="162"/>
        <v>0.50741525423728817</v>
      </c>
    </row>
    <row r="373" spans="1:67" x14ac:dyDescent="0.2">
      <c r="A373" s="50" t="s">
        <v>754</v>
      </c>
      <c r="B373" s="50" t="s">
        <v>755</v>
      </c>
      <c r="C373" s="50" t="s">
        <v>126</v>
      </c>
      <c r="D373" s="51">
        <f>VLOOKUP(A373,'[1]Cuadro Control'!C412:J2303,8,FALSE)</f>
        <v>0</v>
      </c>
      <c r="E373" s="52">
        <f t="shared" si="179"/>
        <v>0</v>
      </c>
      <c r="F373" s="53">
        <v>46421</v>
      </c>
      <c r="G373" s="53">
        <v>46424</v>
      </c>
      <c r="H373" s="52">
        <f t="shared" si="183"/>
        <v>0</v>
      </c>
      <c r="I373" s="52">
        <f t="shared" si="183"/>
        <v>0</v>
      </c>
      <c r="J373" s="52">
        <f t="shared" si="183"/>
        <v>0</v>
      </c>
      <c r="K373" s="52">
        <f t="shared" si="183"/>
        <v>0</v>
      </c>
      <c r="L373" s="52">
        <f t="shared" si="183"/>
        <v>0</v>
      </c>
      <c r="M373" s="52">
        <f t="shared" si="183"/>
        <v>0</v>
      </c>
      <c r="N373" s="52">
        <f t="shared" si="183"/>
        <v>0</v>
      </c>
      <c r="O373" s="52">
        <f t="shared" si="183"/>
        <v>0</v>
      </c>
      <c r="P373" s="52">
        <f t="shared" si="183"/>
        <v>0</v>
      </c>
      <c r="Q373" s="52">
        <f t="shared" si="183"/>
        <v>0</v>
      </c>
      <c r="R373" s="52">
        <f t="shared" si="183"/>
        <v>0</v>
      </c>
      <c r="S373" s="52">
        <f t="shared" si="183"/>
        <v>0</v>
      </c>
      <c r="T373" s="52">
        <f t="shared" si="183"/>
        <v>0</v>
      </c>
      <c r="U373" s="52">
        <f t="shared" si="183"/>
        <v>0</v>
      </c>
      <c r="V373" s="52">
        <f t="shared" si="183"/>
        <v>0</v>
      </c>
      <c r="W373" s="52">
        <f t="shared" si="183"/>
        <v>0</v>
      </c>
      <c r="X373" s="52">
        <f t="shared" si="184"/>
        <v>0</v>
      </c>
      <c r="Y373" s="52">
        <f t="shared" si="184"/>
        <v>0</v>
      </c>
      <c r="Z373" s="52">
        <f t="shared" si="184"/>
        <v>0</v>
      </c>
      <c r="AA373" s="52">
        <f t="shared" si="184"/>
        <v>0</v>
      </c>
      <c r="AB373" s="52">
        <f t="shared" si="184"/>
        <v>0</v>
      </c>
      <c r="AC373" s="52">
        <f t="shared" si="184"/>
        <v>0</v>
      </c>
      <c r="AD373" s="52">
        <f t="shared" si="184"/>
        <v>0</v>
      </c>
      <c r="AE373" s="52">
        <f t="shared" si="184"/>
        <v>0</v>
      </c>
      <c r="AF373" s="52">
        <f t="shared" si="184"/>
        <v>0</v>
      </c>
      <c r="AG373" s="52">
        <f t="shared" si="184"/>
        <v>0</v>
      </c>
      <c r="AH373" s="52">
        <f t="shared" si="184"/>
        <v>0</v>
      </c>
      <c r="AI373" s="52">
        <f t="shared" si="184"/>
        <v>0</v>
      </c>
      <c r="AJ373" s="52">
        <f t="shared" si="184"/>
        <v>0</v>
      </c>
      <c r="AK373" s="52">
        <f t="shared" si="184"/>
        <v>0</v>
      </c>
      <c r="AL373" s="52">
        <f t="shared" si="184"/>
        <v>0.75</v>
      </c>
      <c r="AM373" s="52">
        <f t="shared" si="184"/>
        <v>1</v>
      </c>
      <c r="AN373" s="52">
        <f t="shared" si="184"/>
        <v>1</v>
      </c>
      <c r="AO373" s="52">
        <f t="shared" si="181"/>
        <v>1</v>
      </c>
      <c r="AP373" s="52">
        <f t="shared" si="181"/>
        <v>1</v>
      </c>
      <c r="AQ373" s="52">
        <f t="shared" si="181"/>
        <v>1</v>
      </c>
      <c r="AR373" s="52">
        <f t="shared" si="181"/>
        <v>1</v>
      </c>
      <c r="AS373" s="52">
        <f t="shared" si="181"/>
        <v>1</v>
      </c>
      <c r="AT373" s="52">
        <f t="shared" si="181"/>
        <v>1</v>
      </c>
      <c r="AU373" s="52">
        <f t="shared" si="181"/>
        <v>1</v>
      </c>
      <c r="AV373" s="52">
        <f t="shared" si="181"/>
        <v>1</v>
      </c>
      <c r="AW373" s="52">
        <f t="shared" si="181"/>
        <v>1</v>
      </c>
      <c r="AX373" s="52">
        <f t="shared" si="181"/>
        <v>1</v>
      </c>
      <c r="AY373" s="52">
        <f t="shared" si="181"/>
        <v>1</v>
      </c>
      <c r="AZ373" s="52">
        <f t="shared" si="181"/>
        <v>1</v>
      </c>
      <c r="BA373" s="52">
        <f t="shared" si="181"/>
        <v>1</v>
      </c>
      <c r="BB373" s="52">
        <f t="shared" si="181"/>
        <v>1</v>
      </c>
      <c r="BC373" s="52">
        <f t="shared" si="181"/>
        <v>1</v>
      </c>
      <c r="BD373" s="52">
        <f t="shared" si="181"/>
        <v>1</v>
      </c>
      <c r="BE373" s="52">
        <f t="shared" si="181"/>
        <v>1</v>
      </c>
      <c r="BF373" s="52">
        <f t="shared" si="181"/>
        <v>1</v>
      </c>
      <c r="BG373" s="52">
        <f t="shared" si="182"/>
        <v>1</v>
      </c>
      <c r="BH373" s="52">
        <f t="shared" si="182"/>
        <v>1</v>
      </c>
      <c r="BI373" s="52">
        <f t="shared" si="182"/>
        <v>1</v>
      </c>
      <c r="BJ373" s="52">
        <f t="shared" si="182"/>
        <v>1</v>
      </c>
      <c r="BK373" s="52">
        <f t="shared" si="182"/>
        <v>1</v>
      </c>
      <c r="BL373" s="52">
        <f t="shared" si="182"/>
        <v>1</v>
      </c>
      <c r="BM373" s="52">
        <f t="shared" si="182"/>
        <v>1</v>
      </c>
      <c r="BN373" s="52">
        <f t="shared" si="182"/>
        <v>1</v>
      </c>
      <c r="BO373" s="32">
        <f t="shared" si="162"/>
        <v>0.48728813559322032</v>
      </c>
    </row>
    <row r="374" spans="1:67" ht="24" x14ac:dyDescent="0.2">
      <c r="A374" s="55" t="s">
        <v>756</v>
      </c>
      <c r="B374" s="55" t="s">
        <v>757</v>
      </c>
      <c r="C374" s="55" t="s">
        <v>14</v>
      </c>
      <c r="D374" s="56">
        <f>VLOOKUP(A374,'[1]Cuadro Control'!C413:J2304,8,FALSE)</f>
        <v>0</v>
      </c>
      <c r="E374" s="57">
        <f t="shared" si="179"/>
        <v>0</v>
      </c>
      <c r="F374" s="58">
        <v>46421</v>
      </c>
      <c r="G374" s="58">
        <v>46421</v>
      </c>
      <c r="H374" s="57">
        <f t="shared" si="183"/>
        <v>0</v>
      </c>
      <c r="I374" s="57">
        <f t="shared" si="183"/>
        <v>0</v>
      </c>
      <c r="J374" s="57">
        <f t="shared" si="183"/>
        <v>0</v>
      </c>
      <c r="K374" s="57">
        <f t="shared" si="183"/>
        <v>0</v>
      </c>
      <c r="L374" s="57">
        <f t="shared" si="183"/>
        <v>0</v>
      </c>
      <c r="M374" s="57">
        <f t="shared" si="183"/>
        <v>0</v>
      </c>
      <c r="N374" s="57">
        <f t="shared" si="183"/>
        <v>0</v>
      </c>
      <c r="O374" s="57">
        <f t="shared" si="183"/>
        <v>0</v>
      </c>
      <c r="P374" s="57">
        <f t="shared" si="183"/>
        <v>0</v>
      </c>
      <c r="Q374" s="57">
        <f t="shared" si="183"/>
        <v>0</v>
      </c>
      <c r="R374" s="57">
        <f t="shared" si="183"/>
        <v>0</v>
      </c>
      <c r="S374" s="57">
        <f t="shared" si="183"/>
        <v>0</v>
      </c>
      <c r="T374" s="57">
        <f t="shared" si="183"/>
        <v>0</v>
      </c>
      <c r="U374" s="57">
        <f t="shared" si="183"/>
        <v>0</v>
      </c>
      <c r="V374" s="57">
        <f t="shared" si="183"/>
        <v>0</v>
      </c>
      <c r="W374" s="57">
        <f t="shared" si="183"/>
        <v>0</v>
      </c>
      <c r="X374" s="57">
        <f t="shared" si="184"/>
        <v>0</v>
      </c>
      <c r="Y374" s="57">
        <f t="shared" si="184"/>
        <v>0</v>
      </c>
      <c r="Z374" s="57">
        <f t="shared" si="184"/>
        <v>0</v>
      </c>
      <c r="AA374" s="57">
        <f t="shared" si="184"/>
        <v>0</v>
      </c>
      <c r="AB374" s="57">
        <f t="shared" si="184"/>
        <v>0</v>
      </c>
      <c r="AC374" s="57">
        <f t="shared" si="184"/>
        <v>0</v>
      </c>
      <c r="AD374" s="57">
        <f t="shared" si="184"/>
        <v>0</v>
      </c>
      <c r="AE374" s="57">
        <f t="shared" si="184"/>
        <v>0</v>
      </c>
      <c r="AF374" s="57">
        <f t="shared" si="184"/>
        <v>0</v>
      </c>
      <c r="AG374" s="57">
        <f t="shared" si="184"/>
        <v>0</v>
      </c>
      <c r="AH374" s="57">
        <f t="shared" si="184"/>
        <v>0</v>
      </c>
      <c r="AI374" s="57">
        <f t="shared" si="184"/>
        <v>0</v>
      </c>
      <c r="AJ374" s="57">
        <f t="shared" si="184"/>
        <v>0</v>
      </c>
      <c r="AK374" s="57">
        <f t="shared" si="184"/>
        <v>0</v>
      </c>
      <c r="AL374" s="57">
        <f t="shared" si="184"/>
        <v>1</v>
      </c>
      <c r="AM374" s="57">
        <f t="shared" si="184"/>
        <v>1</v>
      </c>
      <c r="AN374" s="57">
        <f t="shared" si="184"/>
        <v>1</v>
      </c>
      <c r="AO374" s="57">
        <f t="shared" si="181"/>
        <v>1</v>
      </c>
      <c r="AP374" s="57">
        <f t="shared" si="181"/>
        <v>1</v>
      </c>
      <c r="AQ374" s="57">
        <f t="shared" si="181"/>
        <v>1</v>
      </c>
      <c r="AR374" s="57">
        <f t="shared" si="181"/>
        <v>1</v>
      </c>
      <c r="AS374" s="57">
        <f t="shared" si="181"/>
        <v>1</v>
      </c>
      <c r="AT374" s="57">
        <f t="shared" si="181"/>
        <v>1</v>
      </c>
      <c r="AU374" s="57">
        <f t="shared" si="181"/>
        <v>1</v>
      </c>
      <c r="AV374" s="57">
        <f t="shared" si="181"/>
        <v>1</v>
      </c>
      <c r="AW374" s="57">
        <f t="shared" si="181"/>
        <v>1</v>
      </c>
      <c r="AX374" s="57">
        <f t="shared" si="181"/>
        <v>1</v>
      </c>
      <c r="AY374" s="57">
        <f t="shared" si="181"/>
        <v>1</v>
      </c>
      <c r="AZ374" s="57">
        <f t="shared" si="181"/>
        <v>1</v>
      </c>
      <c r="BA374" s="57">
        <f t="shared" si="181"/>
        <v>1</v>
      </c>
      <c r="BB374" s="57">
        <f t="shared" si="181"/>
        <v>1</v>
      </c>
      <c r="BC374" s="57">
        <f t="shared" si="181"/>
        <v>1</v>
      </c>
      <c r="BD374" s="57">
        <f t="shared" si="181"/>
        <v>1</v>
      </c>
      <c r="BE374" s="57">
        <f t="shared" si="181"/>
        <v>1</v>
      </c>
      <c r="BF374" s="57">
        <f t="shared" si="181"/>
        <v>1</v>
      </c>
      <c r="BG374" s="57">
        <f t="shared" si="182"/>
        <v>1</v>
      </c>
      <c r="BH374" s="57">
        <f t="shared" si="182"/>
        <v>1</v>
      </c>
      <c r="BI374" s="57">
        <f t="shared" si="182"/>
        <v>1</v>
      </c>
      <c r="BJ374" s="57">
        <f t="shared" si="182"/>
        <v>1</v>
      </c>
      <c r="BK374" s="57">
        <f t="shared" si="182"/>
        <v>1</v>
      </c>
      <c r="BL374" s="57">
        <f t="shared" si="182"/>
        <v>1</v>
      </c>
      <c r="BM374" s="57">
        <f t="shared" si="182"/>
        <v>1</v>
      </c>
      <c r="BN374" s="57">
        <f t="shared" si="182"/>
        <v>1</v>
      </c>
      <c r="BO374" s="32">
        <f t="shared" si="162"/>
        <v>0.49152542372881358</v>
      </c>
    </row>
    <row r="375" spans="1:67" x14ac:dyDescent="0.2">
      <c r="A375" s="50" t="s">
        <v>758</v>
      </c>
      <c r="B375" s="50" t="s">
        <v>759</v>
      </c>
      <c r="C375" s="50" t="s">
        <v>111</v>
      </c>
      <c r="D375" s="51">
        <f>VLOOKUP(A375,'[1]Cuadro Control'!C414:J2305,8,FALSE)</f>
        <v>1230815225.9452939</v>
      </c>
      <c r="E375" s="52">
        <f t="shared" si="179"/>
        <v>0.2318411625341423</v>
      </c>
      <c r="F375" s="53">
        <v>46424</v>
      </c>
      <c r="G375" s="53">
        <v>46426</v>
      </c>
      <c r="H375" s="52">
        <f t="shared" si="183"/>
        <v>0</v>
      </c>
      <c r="I375" s="52">
        <f t="shared" si="183"/>
        <v>0</v>
      </c>
      <c r="J375" s="52">
        <f t="shared" si="183"/>
        <v>0</v>
      </c>
      <c r="K375" s="52">
        <f t="shared" si="183"/>
        <v>0</v>
      </c>
      <c r="L375" s="52">
        <f t="shared" si="183"/>
        <v>0</v>
      </c>
      <c r="M375" s="52">
        <f t="shared" si="183"/>
        <v>0</v>
      </c>
      <c r="N375" s="52">
        <f t="shared" si="183"/>
        <v>0</v>
      </c>
      <c r="O375" s="52">
        <f t="shared" si="183"/>
        <v>0</v>
      </c>
      <c r="P375" s="52">
        <f t="shared" si="183"/>
        <v>0</v>
      </c>
      <c r="Q375" s="52">
        <f t="shared" si="183"/>
        <v>0</v>
      </c>
      <c r="R375" s="52">
        <f t="shared" si="183"/>
        <v>0</v>
      </c>
      <c r="S375" s="52">
        <f t="shared" si="183"/>
        <v>0</v>
      </c>
      <c r="T375" s="52">
        <f t="shared" si="183"/>
        <v>0</v>
      </c>
      <c r="U375" s="52">
        <f t="shared" si="183"/>
        <v>0</v>
      </c>
      <c r="V375" s="52">
        <f t="shared" si="183"/>
        <v>0</v>
      </c>
      <c r="W375" s="52">
        <f t="shared" si="183"/>
        <v>0</v>
      </c>
      <c r="X375" s="52">
        <f t="shared" si="184"/>
        <v>0</v>
      </c>
      <c r="Y375" s="52">
        <f t="shared" si="184"/>
        <v>0</v>
      </c>
      <c r="Z375" s="52">
        <f t="shared" si="184"/>
        <v>0</v>
      </c>
      <c r="AA375" s="52">
        <f t="shared" si="184"/>
        <v>0</v>
      </c>
      <c r="AB375" s="52">
        <f t="shared" si="184"/>
        <v>0</v>
      </c>
      <c r="AC375" s="52">
        <f t="shared" si="184"/>
        <v>0</v>
      </c>
      <c r="AD375" s="52">
        <f t="shared" si="184"/>
        <v>0</v>
      </c>
      <c r="AE375" s="52">
        <f t="shared" si="184"/>
        <v>0</v>
      </c>
      <c r="AF375" s="52">
        <f t="shared" si="184"/>
        <v>0</v>
      </c>
      <c r="AG375" s="52">
        <f t="shared" si="184"/>
        <v>0</v>
      </c>
      <c r="AH375" s="52">
        <f t="shared" si="184"/>
        <v>0</v>
      </c>
      <c r="AI375" s="52">
        <f t="shared" si="184"/>
        <v>0</v>
      </c>
      <c r="AJ375" s="52">
        <f t="shared" si="184"/>
        <v>0</v>
      </c>
      <c r="AK375" s="52">
        <f t="shared" si="184"/>
        <v>0</v>
      </c>
      <c r="AL375" s="52">
        <f t="shared" si="184"/>
        <v>0</v>
      </c>
      <c r="AM375" s="52">
        <f t="shared" si="184"/>
        <v>1</v>
      </c>
      <c r="AN375" s="52">
        <f t="shared" si="184"/>
        <v>1</v>
      </c>
      <c r="AO375" s="52">
        <f t="shared" si="181"/>
        <v>1</v>
      </c>
      <c r="AP375" s="52">
        <f t="shared" si="181"/>
        <v>1</v>
      </c>
      <c r="AQ375" s="52">
        <f t="shared" si="181"/>
        <v>1</v>
      </c>
      <c r="AR375" s="52">
        <f t="shared" si="181"/>
        <v>1</v>
      </c>
      <c r="AS375" s="52">
        <f t="shared" si="181"/>
        <v>1</v>
      </c>
      <c r="AT375" s="52">
        <f t="shared" si="181"/>
        <v>1</v>
      </c>
      <c r="AU375" s="52">
        <f t="shared" si="181"/>
        <v>1</v>
      </c>
      <c r="AV375" s="52">
        <f t="shared" si="181"/>
        <v>1</v>
      </c>
      <c r="AW375" s="52">
        <f t="shared" si="181"/>
        <v>1</v>
      </c>
      <c r="AX375" s="52">
        <f t="shared" si="181"/>
        <v>1</v>
      </c>
      <c r="AY375" s="52">
        <f t="shared" si="181"/>
        <v>1</v>
      </c>
      <c r="AZ375" s="52">
        <f t="shared" si="181"/>
        <v>1</v>
      </c>
      <c r="BA375" s="52">
        <f t="shared" si="181"/>
        <v>1</v>
      </c>
      <c r="BB375" s="52">
        <f t="shared" si="181"/>
        <v>1</v>
      </c>
      <c r="BC375" s="52">
        <f t="shared" si="181"/>
        <v>1</v>
      </c>
      <c r="BD375" s="52">
        <f t="shared" si="181"/>
        <v>1</v>
      </c>
      <c r="BE375" s="52">
        <f t="shared" si="181"/>
        <v>1</v>
      </c>
      <c r="BF375" s="52">
        <f t="shared" si="181"/>
        <v>1</v>
      </c>
      <c r="BG375" s="52">
        <f t="shared" si="182"/>
        <v>1</v>
      </c>
      <c r="BH375" s="52">
        <f t="shared" si="182"/>
        <v>1</v>
      </c>
      <c r="BI375" s="52">
        <f t="shared" si="182"/>
        <v>1</v>
      </c>
      <c r="BJ375" s="52">
        <f t="shared" si="182"/>
        <v>1</v>
      </c>
      <c r="BK375" s="52">
        <f t="shared" si="182"/>
        <v>1</v>
      </c>
      <c r="BL375" s="52">
        <f t="shared" si="182"/>
        <v>1</v>
      </c>
      <c r="BM375" s="52">
        <f t="shared" si="182"/>
        <v>1</v>
      </c>
      <c r="BN375" s="52">
        <f t="shared" si="182"/>
        <v>1</v>
      </c>
      <c r="BO375" s="32">
        <f t="shared" si="162"/>
        <v>0.47457627118644069</v>
      </c>
    </row>
    <row r="376" spans="1:67" x14ac:dyDescent="0.2">
      <c r="A376" s="50" t="s">
        <v>760</v>
      </c>
      <c r="B376" s="50" t="s">
        <v>761</v>
      </c>
      <c r="C376" s="50" t="s">
        <v>238</v>
      </c>
      <c r="D376" s="51">
        <f>VLOOKUP(A376,'[1]Cuadro Control'!C415:J2306,8,FALSE)</f>
        <v>0</v>
      </c>
      <c r="E376" s="52">
        <f t="shared" si="179"/>
        <v>0</v>
      </c>
      <c r="F376" s="53">
        <v>46426</v>
      </c>
      <c r="G376" s="53">
        <v>46433</v>
      </c>
      <c r="H376" s="52">
        <f t="shared" si="183"/>
        <v>0</v>
      </c>
      <c r="I376" s="52">
        <f t="shared" si="183"/>
        <v>0</v>
      </c>
      <c r="J376" s="52">
        <f t="shared" si="183"/>
        <v>0</v>
      </c>
      <c r="K376" s="52">
        <f t="shared" si="183"/>
        <v>0</v>
      </c>
      <c r="L376" s="52">
        <f t="shared" si="183"/>
        <v>0</v>
      </c>
      <c r="M376" s="52">
        <f t="shared" si="183"/>
        <v>0</v>
      </c>
      <c r="N376" s="52">
        <f t="shared" si="183"/>
        <v>0</v>
      </c>
      <c r="O376" s="52">
        <f t="shared" si="183"/>
        <v>0</v>
      </c>
      <c r="P376" s="52">
        <f t="shared" si="183"/>
        <v>0</v>
      </c>
      <c r="Q376" s="52">
        <f t="shared" si="183"/>
        <v>0</v>
      </c>
      <c r="R376" s="52">
        <f t="shared" si="183"/>
        <v>0</v>
      </c>
      <c r="S376" s="52">
        <f t="shared" si="183"/>
        <v>0</v>
      </c>
      <c r="T376" s="52">
        <f t="shared" si="183"/>
        <v>0</v>
      </c>
      <c r="U376" s="52">
        <f t="shared" si="183"/>
        <v>0</v>
      </c>
      <c r="V376" s="52">
        <f t="shared" si="183"/>
        <v>0</v>
      </c>
      <c r="W376" s="52">
        <f t="shared" si="183"/>
        <v>0</v>
      </c>
      <c r="X376" s="52">
        <f t="shared" si="184"/>
        <v>0</v>
      </c>
      <c r="Y376" s="52">
        <f t="shared" si="184"/>
        <v>0</v>
      </c>
      <c r="Z376" s="52">
        <f t="shared" si="184"/>
        <v>0</v>
      </c>
      <c r="AA376" s="52">
        <f t="shared" si="184"/>
        <v>0</v>
      </c>
      <c r="AB376" s="52">
        <f t="shared" si="184"/>
        <v>0</v>
      </c>
      <c r="AC376" s="52">
        <f t="shared" si="184"/>
        <v>0</v>
      </c>
      <c r="AD376" s="52">
        <f t="shared" si="184"/>
        <v>0</v>
      </c>
      <c r="AE376" s="52">
        <f t="shared" si="184"/>
        <v>0</v>
      </c>
      <c r="AF376" s="52">
        <f t="shared" si="184"/>
        <v>0</v>
      </c>
      <c r="AG376" s="52">
        <f t="shared" si="184"/>
        <v>0</v>
      </c>
      <c r="AH376" s="52">
        <f t="shared" si="184"/>
        <v>0</v>
      </c>
      <c r="AI376" s="52">
        <f t="shared" si="184"/>
        <v>0</v>
      </c>
      <c r="AJ376" s="52">
        <f t="shared" si="184"/>
        <v>0</v>
      </c>
      <c r="AK376" s="52">
        <f t="shared" si="184"/>
        <v>0</v>
      </c>
      <c r="AL376" s="52">
        <f t="shared" si="184"/>
        <v>0</v>
      </c>
      <c r="AM376" s="52">
        <f t="shared" si="184"/>
        <v>0.625</v>
      </c>
      <c r="AN376" s="52">
        <f t="shared" si="184"/>
        <v>1</v>
      </c>
      <c r="AO376" s="52">
        <f t="shared" si="181"/>
        <v>1</v>
      </c>
      <c r="AP376" s="52">
        <f t="shared" si="181"/>
        <v>1</v>
      </c>
      <c r="AQ376" s="52">
        <f t="shared" si="181"/>
        <v>1</v>
      </c>
      <c r="AR376" s="52">
        <f t="shared" si="181"/>
        <v>1</v>
      </c>
      <c r="AS376" s="52">
        <f t="shared" si="181"/>
        <v>1</v>
      </c>
      <c r="AT376" s="52">
        <f t="shared" si="181"/>
        <v>1</v>
      </c>
      <c r="AU376" s="52">
        <f t="shared" si="181"/>
        <v>1</v>
      </c>
      <c r="AV376" s="52">
        <f t="shared" si="181"/>
        <v>1</v>
      </c>
      <c r="AW376" s="52">
        <f t="shared" si="181"/>
        <v>1</v>
      </c>
      <c r="AX376" s="52">
        <f t="shared" si="181"/>
        <v>1</v>
      </c>
      <c r="AY376" s="52">
        <f t="shared" si="181"/>
        <v>1</v>
      </c>
      <c r="AZ376" s="52">
        <f t="shared" si="181"/>
        <v>1</v>
      </c>
      <c r="BA376" s="52">
        <f t="shared" si="181"/>
        <v>1</v>
      </c>
      <c r="BB376" s="52">
        <f t="shared" si="181"/>
        <v>1</v>
      </c>
      <c r="BC376" s="52">
        <f t="shared" si="181"/>
        <v>1</v>
      </c>
      <c r="BD376" s="52">
        <f t="shared" si="181"/>
        <v>1</v>
      </c>
      <c r="BE376" s="52">
        <f t="shared" si="181"/>
        <v>1</v>
      </c>
      <c r="BF376" s="52">
        <f t="shared" si="181"/>
        <v>1</v>
      </c>
      <c r="BG376" s="52">
        <f t="shared" si="182"/>
        <v>1</v>
      </c>
      <c r="BH376" s="52">
        <f t="shared" si="182"/>
        <v>1</v>
      </c>
      <c r="BI376" s="52">
        <f t="shared" si="182"/>
        <v>1</v>
      </c>
      <c r="BJ376" s="52">
        <f t="shared" si="182"/>
        <v>1</v>
      </c>
      <c r="BK376" s="52">
        <f t="shared" si="182"/>
        <v>1</v>
      </c>
      <c r="BL376" s="52">
        <f t="shared" si="182"/>
        <v>1</v>
      </c>
      <c r="BM376" s="52">
        <f t="shared" si="182"/>
        <v>1</v>
      </c>
      <c r="BN376" s="52">
        <f t="shared" si="182"/>
        <v>1</v>
      </c>
      <c r="BO376" s="32">
        <f t="shared" si="162"/>
        <v>0.46822033898305082</v>
      </c>
    </row>
    <row r="377" spans="1:67" ht="24" x14ac:dyDescent="0.2">
      <c r="A377" s="50" t="s">
        <v>762</v>
      </c>
      <c r="B377" s="50" t="s">
        <v>763</v>
      </c>
      <c r="C377" s="50" t="s">
        <v>126</v>
      </c>
      <c r="D377" s="51">
        <f>VLOOKUP(A377,'[1]Cuadro Control'!C416:J2307,8,FALSE)</f>
        <v>52736347.43270281</v>
      </c>
      <c r="E377" s="52">
        <f t="shared" si="179"/>
        <v>9.933624348213644E-3</v>
      </c>
      <c r="F377" s="53">
        <v>46433</v>
      </c>
      <c r="G377" s="53">
        <v>46436</v>
      </c>
      <c r="H377" s="52">
        <f t="shared" si="183"/>
        <v>0</v>
      </c>
      <c r="I377" s="52">
        <f t="shared" si="183"/>
        <v>0</v>
      </c>
      <c r="J377" s="52">
        <f t="shared" si="183"/>
        <v>0</v>
      </c>
      <c r="K377" s="52">
        <f t="shared" si="183"/>
        <v>0</v>
      </c>
      <c r="L377" s="52">
        <f t="shared" si="183"/>
        <v>0</v>
      </c>
      <c r="M377" s="52">
        <f t="shared" si="183"/>
        <v>0</v>
      </c>
      <c r="N377" s="52">
        <f t="shared" si="183"/>
        <v>0</v>
      </c>
      <c r="O377" s="52">
        <f t="shared" si="183"/>
        <v>0</v>
      </c>
      <c r="P377" s="52">
        <f t="shared" si="183"/>
        <v>0</v>
      </c>
      <c r="Q377" s="52">
        <f t="shared" si="183"/>
        <v>0</v>
      </c>
      <c r="R377" s="52">
        <f t="shared" si="183"/>
        <v>0</v>
      </c>
      <c r="S377" s="52">
        <f t="shared" si="183"/>
        <v>0</v>
      </c>
      <c r="T377" s="52">
        <f t="shared" si="183"/>
        <v>0</v>
      </c>
      <c r="U377" s="52">
        <f t="shared" si="183"/>
        <v>0</v>
      </c>
      <c r="V377" s="52">
        <f t="shared" si="183"/>
        <v>0</v>
      </c>
      <c r="W377" s="52">
        <f t="shared" si="183"/>
        <v>0</v>
      </c>
      <c r="X377" s="52">
        <f t="shared" si="184"/>
        <v>0</v>
      </c>
      <c r="Y377" s="52">
        <f t="shared" si="184"/>
        <v>0</v>
      </c>
      <c r="Z377" s="52">
        <f t="shared" si="184"/>
        <v>0</v>
      </c>
      <c r="AA377" s="52">
        <f t="shared" si="184"/>
        <v>0</v>
      </c>
      <c r="AB377" s="52">
        <f t="shared" si="184"/>
        <v>0</v>
      </c>
      <c r="AC377" s="52">
        <f t="shared" si="184"/>
        <v>0</v>
      </c>
      <c r="AD377" s="52">
        <f t="shared" si="184"/>
        <v>0</v>
      </c>
      <c r="AE377" s="52">
        <f t="shared" si="184"/>
        <v>0</v>
      </c>
      <c r="AF377" s="52">
        <f t="shared" si="184"/>
        <v>0</v>
      </c>
      <c r="AG377" s="52">
        <f t="shared" si="184"/>
        <v>0</v>
      </c>
      <c r="AH377" s="52">
        <f t="shared" si="184"/>
        <v>0</v>
      </c>
      <c r="AI377" s="52">
        <f t="shared" si="184"/>
        <v>0</v>
      </c>
      <c r="AJ377" s="52">
        <f t="shared" si="184"/>
        <v>0</v>
      </c>
      <c r="AK377" s="52">
        <f t="shared" si="184"/>
        <v>0</v>
      </c>
      <c r="AL377" s="52">
        <f t="shared" si="184"/>
        <v>0</v>
      </c>
      <c r="AM377" s="52">
        <f t="shared" si="184"/>
        <v>0</v>
      </c>
      <c r="AN377" s="52">
        <f t="shared" si="184"/>
        <v>1</v>
      </c>
      <c r="AO377" s="52">
        <f t="shared" si="181"/>
        <v>1</v>
      </c>
      <c r="AP377" s="52">
        <f t="shared" si="181"/>
        <v>1</v>
      </c>
      <c r="AQ377" s="52">
        <f t="shared" si="181"/>
        <v>1</v>
      </c>
      <c r="AR377" s="52">
        <f t="shared" si="181"/>
        <v>1</v>
      </c>
      <c r="AS377" s="52">
        <f t="shared" si="181"/>
        <v>1</v>
      </c>
      <c r="AT377" s="52">
        <f t="shared" si="181"/>
        <v>1</v>
      </c>
      <c r="AU377" s="52">
        <f t="shared" si="181"/>
        <v>1</v>
      </c>
      <c r="AV377" s="52">
        <f t="shared" si="181"/>
        <v>1</v>
      </c>
      <c r="AW377" s="52">
        <f t="shared" si="181"/>
        <v>1</v>
      </c>
      <c r="AX377" s="52">
        <f t="shared" si="181"/>
        <v>1</v>
      </c>
      <c r="AY377" s="52">
        <f t="shared" si="181"/>
        <v>1</v>
      </c>
      <c r="AZ377" s="52">
        <f t="shared" si="181"/>
        <v>1</v>
      </c>
      <c r="BA377" s="52">
        <f t="shared" si="181"/>
        <v>1</v>
      </c>
      <c r="BB377" s="52">
        <f t="shared" si="181"/>
        <v>1</v>
      </c>
      <c r="BC377" s="52">
        <f t="shared" si="181"/>
        <v>1</v>
      </c>
      <c r="BD377" s="52">
        <f t="shared" si="181"/>
        <v>1</v>
      </c>
      <c r="BE377" s="52">
        <f t="shared" si="181"/>
        <v>1</v>
      </c>
      <c r="BF377" s="52">
        <f t="shared" si="181"/>
        <v>1</v>
      </c>
      <c r="BG377" s="52">
        <f t="shared" si="182"/>
        <v>1</v>
      </c>
      <c r="BH377" s="52">
        <f t="shared" si="182"/>
        <v>1</v>
      </c>
      <c r="BI377" s="52">
        <f t="shared" si="182"/>
        <v>1</v>
      </c>
      <c r="BJ377" s="52">
        <f t="shared" si="182"/>
        <v>1</v>
      </c>
      <c r="BK377" s="52">
        <f t="shared" si="182"/>
        <v>1</v>
      </c>
      <c r="BL377" s="52">
        <f t="shared" si="182"/>
        <v>1</v>
      </c>
      <c r="BM377" s="52">
        <f t="shared" si="182"/>
        <v>1</v>
      </c>
      <c r="BN377" s="52">
        <f t="shared" si="182"/>
        <v>1</v>
      </c>
      <c r="BO377" s="32">
        <f t="shared" si="162"/>
        <v>0.4576271186440678</v>
      </c>
    </row>
    <row r="378" spans="1:67" ht="24" x14ac:dyDescent="0.2">
      <c r="A378" s="50" t="s">
        <v>764</v>
      </c>
      <c r="B378" s="50" t="s">
        <v>765</v>
      </c>
      <c r="C378" s="50" t="s">
        <v>117</v>
      </c>
      <c r="D378" s="51">
        <f>VLOOKUP(A378,'[1]Cuadro Control'!C417:J2308,8,FALSE)</f>
        <v>46410609.014634147</v>
      </c>
      <c r="E378" s="52">
        <f t="shared" si="179"/>
        <v>8.742083556535862E-3</v>
      </c>
      <c r="F378" s="53">
        <v>46436</v>
      </c>
      <c r="G378" s="53">
        <v>46438</v>
      </c>
      <c r="H378" s="52">
        <f t="shared" si="183"/>
        <v>0</v>
      </c>
      <c r="I378" s="52">
        <f t="shared" si="183"/>
        <v>0</v>
      </c>
      <c r="J378" s="52">
        <f t="shared" si="183"/>
        <v>0</v>
      </c>
      <c r="K378" s="52">
        <f t="shared" si="183"/>
        <v>0</v>
      </c>
      <c r="L378" s="52">
        <f t="shared" si="183"/>
        <v>0</v>
      </c>
      <c r="M378" s="52">
        <f t="shared" si="183"/>
        <v>0</v>
      </c>
      <c r="N378" s="52">
        <f t="shared" si="183"/>
        <v>0</v>
      </c>
      <c r="O378" s="52">
        <f t="shared" si="183"/>
        <v>0</v>
      </c>
      <c r="P378" s="52">
        <f t="shared" si="183"/>
        <v>0</v>
      </c>
      <c r="Q378" s="52">
        <f t="shared" si="183"/>
        <v>0</v>
      </c>
      <c r="R378" s="52">
        <f t="shared" si="183"/>
        <v>0</v>
      </c>
      <c r="S378" s="52">
        <f t="shared" si="183"/>
        <v>0</v>
      </c>
      <c r="T378" s="52">
        <f t="shared" si="183"/>
        <v>0</v>
      </c>
      <c r="U378" s="52">
        <f t="shared" si="183"/>
        <v>0</v>
      </c>
      <c r="V378" s="52">
        <f t="shared" si="183"/>
        <v>0</v>
      </c>
      <c r="W378" s="52">
        <f t="shared" si="183"/>
        <v>0</v>
      </c>
      <c r="X378" s="52">
        <f t="shared" si="184"/>
        <v>0</v>
      </c>
      <c r="Y378" s="52">
        <f t="shared" si="184"/>
        <v>0</v>
      </c>
      <c r="Z378" s="52">
        <f t="shared" si="184"/>
        <v>0</v>
      </c>
      <c r="AA378" s="52">
        <f t="shared" si="184"/>
        <v>0</v>
      </c>
      <c r="AB378" s="52">
        <f t="shared" si="184"/>
        <v>0</v>
      </c>
      <c r="AC378" s="52">
        <f t="shared" si="184"/>
        <v>0</v>
      </c>
      <c r="AD378" s="52">
        <f t="shared" si="184"/>
        <v>0</v>
      </c>
      <c r="AE378" s="52">
        <f t="shared" si="184"/>
        <v>0</v>
      </c>
      <c r="AF378" s="52">
        <f t="shared" si="184"/>
        <v>0</v>
      </c>
      <c r="AG378" s="52">
        <f t="shared" si="184"/>
        <v>0</v>
      </c>
      <c r="AH378" s="52">
        <f t="shared" si="184"/>
        <v>0</v>
      </c>
      <c r="AI378" s="52">
        <f t="shared" si="184"/>
        <v>0</v>
      </c>
      <c r="AJ378" s="52">
        <f t="shared" si="184"/>
        <v>0</v>
      </c>
      <c r="AK378" s="52">
        <f t="shared" si="184"/>
        <v>0</v>
      </c>
      <c r="AL378" s="52">
        <f t="shared" si="184"/>
        <v>0</v>
      </c>
      <c r="AM378" s="52">
        <f t="shared" si="184"/>
        <v>0</v>
      </c>
      <c r="AN378" s="52">
        <f t="shared" si="184"/>
        <v>0.66666666666666663</v>
      </c>
      <c r="AO378" s="52">
        <f t="shared" si="181"/>
        <v>1</v>
      </c>
      <c r="AP378" s="52">
        <f t="shared" si="181"/>
        <v>1</v>
      </c>
      <c r="AQ378" s="52">
        <f t="shared" si="181"/>
        <v>1</v>
      </c>
      <c r="AR378" s="52">
        <f t="shared" si="181"/>
        <v>1</v>
      </c>
      <c r="AS378" s="52">
        <f t="shared" si="181"/>
        <v>1</v>
      </c>
      <c r="AT378" s="52">
        <f t="shared" si="181"/>
        <v>1</v>
      </c>
      <c r="AU378" s="52">
        <f t="shared" si="181"/>
        <v>1</v>
      </c>
      <c r="AV378" s="52">
        <f t="shared" si="181"/>
        <v>1</v>
      </c>
      <c r="AW378" s="52">
        <f t="shared" si="181"/>
        <v>1</v>
      </c>
      <c r="AX378" s="52">
        <f t="shared" si="181"/>
        <v>1</v>
      </c>
      <c r="AY378" s="52">
        <f t="shared" si="181"/>
        <v>1</v>
      </c>
      <c r="AZ378" s="52">
        <f t="shared" si="181"/>
        <v>1</v>
      </c>
      <c r="BA378" s="52">
        <f t="shared" si="181"/>
        <v>1</v>
      </c>
      <c r="BB378" s="52">
        <f t="shared" si="181"/>
        <v>1</v>
      </c>
      <c r="BC378" s="52">
        <f t="shared" si="181"/>
        <v>1</v>
      </c>
      <c r="BD378" s="52">
        <f t="shared" si="181"/>
        <v>1</v>
      </c>
      <c r="BE378" s="52">
        <f t="shared" si="181"/>
        <v>1</v>
      </c>
      <c r="BF378" s="52">
        <f t="shared" si="181"/>
        <v>1</v>
      </c>
      <c r="BG378" s="52">
        <f t="shared" si="182"/>
        <v>1</v>
      </c>
      <c r="BH378" s="52">
        <f t="shared" si="182"/>
        <v>1</v>
      </c>
      <c r="BI378" s="52">
        <f t="shared" si="182"/>
        <v>1</v>
      </c>
      <c r="BJ378" s="52">
        <f t="shared" si="182"/>
        <v>1</v>
      </c>
      <c r="BK378" s="52">
        <f t="shared" si="182"/>
        <v>1</v>
      </c>
      <c r="BL378" s="52">
        <f t="shared" si="182"/>
        <v>1</v>
      </c>
      <c r="BM378" s="52">
        <f t="shared" si="182"/>
        <v>1</v>
      </c>
      <c r="BN378" s="52">
        <f t="shared" si="182"/>
        <v>1</v>
      </c>
      <c r="BO378" s="32">
        <f t="shared" si="162"/>
        <v>0.45197740112994345</v>
      </c>
    </row>
    <row r="379" spans="1:67" ht="24" x14ac:dyDescent="0.2">
      <c r="A379" s="50" t="s">
        <v>766</v>
      </c>
      <c r="B379" s="50" t="s">
        <v>767</v>
      </c>
      <c r="C379" s="50" t="s">
        <v>61</v>
      </c>
      <c r="D379" s="51">
        <f>VLOOKUP(A379,'[1]Cuadro Control'!C418:J2309,8,FALSE)</f>
        <v>1587346329.5488234</v>
      </c>
      <c r="E379" s="52">
        <f t="shared" si="179"/>
        <v>0.29899875353285565</v>
      </c>
      <c r="F379" s="53">
        <v>46436</v>
      </c>
      <c r="G379" s="53">
        <v>46447</v>
      </c>
      <c r="H379" s="52">
        <f t="shared" si="183"/>
        <v>0</v>
      </c>
      <c r="I379" s="52">
        <f t="shared" si="183"/>
        <v>0</v>
      </c>
      <c r="J379" s="52">
        <f t="shared" si="183"/>
        <v>0</v>
      </c>
      <c r="K379" s="52">
        <f t="shared" si="183"/>
        <v>0</v>
      </c>
      <c r="L379" s="52">
        <f t="shared" si="183"/>
        <v>0</v>
      </c>
      <c r="M379" s="52">
        <f t="shared" si="183"/>
        <v>0</v>
      </c>
      <c r="N379" s="52">
        <f t="shared" si="183"/>
        <v>0</v>
      </c>
      <c r="O379" s="52">
        <f t="shared" si="183"/>
        <v>0</v>
      </c>
      <c r="P379" s="52">
        <f t="shared" si="183"/>
        <v>0</v>
      </c>
      <c r="Q379" s="52">
        <f t="shared" si="183"/>
        <v>0</v>
      </c>
      <c r="R379" s="52">
        <f t="shared" si="183"/>
        <v>0</v>
      </c>
      <c r="S379" s="52">
        <f t="shared" si="183"/>
        <v>0</v>
      </c>
      <c r="T379" s="52">
        <f t="shared" si="183"/>
        <v>0</v>
      </c>
      <c r="U379" s="52">
        <f t="shared" si="183"/>
        <v>0</v>
      </c>
      <c r="V379" s="52">
        <f t="shared" si="183"/>
        <v>0</v>
      </c>
      <c r="W379" s="52">
        <f t="shared" si="183"/>
        <v>0</v>
      </c>
      <c r="X379" s="52">
        <f t="shared" si="184"/>
        <v>0</v>
      </c>
      <c r="Y379" s="52">
        <f t="shared" si="184"/>
        <v>0</v>
      </c>
      <c r="Z379" s="52">
        <f t="shared" si="184"/>
        <v>0</v>
      </c>
      <c r="AA379" s="52">
        <f t="shared" si="184"/>
        <v>0</v>
      </c>
      <c r="AB379" s="52">
        <f t="shared" si="184"/>
        <v>0</v>
      </c>
      <c r="AC379" s="52">
        <f t="shared" si="184"/>
        <v>0</v>
      </c>
      <c r="AD379" s="52">
        <f t="shared" si="184"/>
        <v>0</v>
      </c>
      <c r="AE379" s="52">
        <f t="shared" si="184"/>
        <v>0</v>
      </c>
      <c r="AF379" s="52">
        <f t="shared" si="184"/>
        <v>0</v>
      </c>
      <c r="AG379" s="52">
        <f t="shared" si="184"/>
        <v>0</v>
      </c>
      <c r="AH379" s="52">
        <f t="shared" si="184"/>
        <v>0</v>
      </c>
      <c r="AI379" s="52">
        <f t="shared" si="184"/>
        <v>0</v>
      </c>
      <c r="AJ379" s="52">
        <f t="shared" si="184"/>
        <v>0</v>
      </c>
      <c r="AK379" s="52">
        <f t="shared" si="184"/>
        <v>0</v>
      </c>
      <c r="AL379" s="52">
        <f t="shared" si="184"/>
        <v>0</v>
      </c>
      <c r="AM379" s="52">
        <f t="shared" si="184"/>
        <v>0</v>
      </c>
      <c r="AN379" s="52">
        <f t="shared" si="184"/>
        <v>0.16666666666666666</v>
      </c>
      <c r="AO379" s="52">
        <f t="shared" si="181"/>
        <v>0.75</v>
      </c>
      <c r="AP379" s="52">
        <f t="shared" si="181"/>
        <v>1</v>
      </c>
      <c r="AQ379" s="52">
        <f t="shared" si="181"/>
        <v>1</v>
      </c>
      <c r="AR379" s="52">
        <f t="shared" si="181"/>
        <v>1</v>
      </c>
      <c r="AS379" s="52">
        <f t="shared" si="181"/>
        <v>1</v>
      </c>
      <c r="AT379" s="52">
        <f t="shared" si="181"/>
        <v>1</v>
      </c>
      <c r="AU379" s="52">
        <f t="shared" si="181"/>
        <v>1</v>
      </c>
      <c r="AV379" s="52">
        <f t="shared" si="181"/>
        <v>1</v>
      </c>
      <c r="AW379" s="52">
        <f t="shared" si="181"/>
        <v>1</v>
      </c>
      <c r="AX379" s="52">
        <f t="shared" si="181"/>
        <v>1</v>
      </c>
      <c r="AY379" s="52">
        <f t="shared" si="181"/>
        <v>1</v>
      </c>
      <c r="AZ379" s="52">
        <f t="shared" si="181"/>
        <v>1</v>
      </c>
      <c r="BA379" s="52">
        <f t="shared" si="181"/>
        <v>1</v>
      </c>
      <c r="BB379" s="52">
        <f t="shared" si="181"/>
        <v>1</v>
      </c>
      <c r="BC379" s="52">
        <f t="shared" si="181"/>
        <v>1</v>
      </c>
      <c r="BD379" s="52">
        <f t="shared" si="181"/>
        <v>1</v>
      </c>
      <c r="BE379" s="52">
        <f t="shared" si="181"/>
        <v>1</v>
      </c>
      <c r="BF379" s="52">
        <f t="shared" si="181"/>
        <v>1</v>
      </c>
      <c r="BG379" s="52">
        <f t="shared" si="182"/>
        <v>1</v>
      </c>
      <c r="BH379" s="52">
        <f t="shared" si="182"/>
        <v>1</v>
      </c>
      <c r="BI379" s="52">
        <f t="shared" si="182"/>
        <v>1</v>
      </c>
      <c r="BJ379" s="52">
        <f t="shared" si="182"/>
        <v>1</v>
      </c>
      <c r="BK379" s="52">
        <f t="shared" si="182"/>
        <v>1</v>
      </c>
      <c r="BL379" s="52">
        <f t="shared" si="182"/>
        <v>1</v>
      </c>
      <c r="BM379" s="52">
        <f t="shared" si="182"/>
        <v>1</v>
      </c>
      <c r="BN379" s="52">
        <f t="shared" si="182"/>
        <v>1</v>
      </c>
      <c r="BO379" s="32">
        <f t="shared" si="162"/>
        <v>0.43926553672316382</v>
      </c>
    </row>
    <row r="380" spans="1:67" ht="30" x14ac:dyDescent="0.2">
      <c r="A380" s="46" t="s">
        <v>768</v>
      </c>
      <c r="B380" s="46" t="s">
        <v>769</v>
      </c>
      <c r="C380" s="46" t="s">
        <v>61</v>
      </c>
      <c r="D380" s="47">
        <f>VLOOKUP(A380,'[1]Cuadro Control'!C419:J2310,8,FALSE)</f>
        <v>179532477.23999998</v>
      </c>
      <c r="E380" s="48">
        <f t="shared" si="179"/>
        <v>3.3817438522495219E-2</v>
      </c>
      <c r="F380" s="49">
        <v>46438</v>
      </c>
      <c r="G380" s="49">
        <v>46450</v>
      </c>
      <c r="H380" s="48">
        <f t="shared" si="183"/>
        <v>0</v>
      </c>
      <c r="I380" s="48">
        <f t="shared" si="183"/>
        <v>0</v>
      </c>
      <c r="J380" s="48">
        <f t="shared" si="183"/>
        <v>0</v>
      </c>
      <c r="K380" s="48">
        <f t="shared" si="183"/>
        <v>0</v>
      </c>
      <c r="L380" s="48">
        <f t="shared" si="183"/>
        <v>0</v>
      </c>
      <c r="M380" s="48">
        <f t="shared" si="183"/>
        <v>0</v>
      </c>
      <c r="N380" s="48">
        <f t="shared" si="183"/>
        <v>0</v>
      </c>
      <c r="O380" s="48">
        <f t="shared" si="183"/>
        <v>0</v>
      </c>
      <c r="P380" s="48">
        <f t="shared" si="183"/>
        <v>0</v>
      </c>
      <c r="Q380" s="48">
        <f t="shared" si="183"/>
        <v>0</v>
      </c>
      <c r="R380" s="48">
        <f t="shared" si="183"/>
        <v>0</v>
      </c>
      <c r="S380" s="48">
        <f t="shared" si="183"/>
        <v>0</v>
      </c>
      <c r="T380" s="48">
        <f t="shared" si="183"/>
        <v>0</v>
      </c>
      <c r="U380" s="48">
        <f t="shared" si="183"/>
        <v>0</v>
      </c>
      <c r="V380" s="48">
        <f t="shared" si="183"/>
        <v>0</v>
      </c>
      <c r="W380" s="48">
        <f t="shared" si="183"/>
        <v>0</v>
      </c>
      <c r="X380" s="48">
        <f t="shared" si="184"/>
        <v>0</v>
      </c>
      <c r="Y380" s="48">
        <f t="shared" si="184"/>
        <v>0</v>
      </c>
      <c r="Z380" s="48">
        <f t="shared" si="184"/>
        <v>0</v>
      </c>
      <c r="AA380" s="48">
        <f t="shared" si="184"/>
        <v>0</v>
      </c>
      <c r="AB380" s="48">
        <f t="shared" si="184"/>
        <v>0</v>
      </c>
      <c r="AC380" s="48">
        <f t="shared" si="184"/>
        <v>0</v>
      </c>
      <c r="AD380" s="48">
        <f t="shared" si="184"/>
        <v>0</v>
      </c>
      <c r="AE380" s="48">
        <f t="shared" si="184"/>
        <v>0</v>
      </c>
      <c r="AF380" s="48">
        <f t="shared" si="184"/>
        <v>0</v>
      </c>
      <c r="AG380" s="48">
        <f t="shared" si="184"/>
        <v>0</v>
      </c>
      <c r="AH380" s="48">
        <f t="shared" si="184"/>
        <v>0</v>
      </c>
      <c r="AI380" s="48">
        <f t="shared" si="184"/>
        <v>0</v>
      </c>
      <c r="AJ380" s="48">
        <f t="shared" si="184"/>
        <v>0</v>
      </c>
      <c r="AK380" s="48">
        <f t="shared" si="184"/>
        <v>0</v>
      </c>
      <c r="AL380" s="48">
        <f t="shared" si="184"/>
        <v>0</v>
      </c>
      <c r="AM380" s="48">
        <f t="shared" si="184"/>
        <v>0</v>
      </c>
      <c r="AN380" s="48">
        <f t="shared" si="184"/>
        <v>0</v>
      </c>
      <c r="AO380" s="48">
        <f t="shared" si="181"/>
        <v>0.53846153846153844</v>
      </c>
      <c r="AP380" s="48">
        <f t="shared" si="181"/>
        <v>1</v>
      </c>
      <c r="AQ380" s="48">
        <f t="shared" si="181"/>
        <v>1</v>
      </c>
      <c r="AR380" s="48">
        <f t="shared" si="181"/>
        <v>1</v>
      </c>
      <c r="AS380" s="48">
        <f t="shared" si="181"/>
        <v>1</v>
      </c>
      <c r="AT380" s="48">
        <f t="shared" si="181"/>
        <v>1</v>
      </c>
      <c r="AU380" s="48">
        <f t="shared" si="181"/>
        <v>1</v>
      </c>
      <c r="AV380" s="48">
        <f t="shared" si="181"/>
        <v>1</v>
      </c>
      <c r="AW380" s="48">
        <f t="shared" si="181"/>
        <v>1</v>
      </c>
      <c r="AX380" s="48">
        <f t="shared" si="181"/>
        <v>1</v>
      </c>
      <c r="AY380" s="48">
        <f t="shared" si="181"/>
        <v>1</v>
      </c>
      <c r="AZ380" s="48">
        <f t="shared" si="181"/>
        <v>1</v>
      </c>
      <c r="BA380" s="48">
        <f t="shared" si="181"/>
        <v>1</v>
      </c>
      <c r="BB380" s="48">
        <f t="shared" si="181"/>
        <v>1</v>
      </c>
      <c r="BC380" s="48">
        <f t="shared" si="181"/>
        <v>1</v>
      </c>
      <c r="BD380" s="48">
        <f t="shared" si="181"/>
        <v>1</v>
      </c>
      <c r="BE380" s="48">
        <f t="shared" si="181"/>
        <v>1</v>
      </c>
      <c r="BF380" s="48">
        <f t="shared" si="181"/>
        <v>1</v>
      </c>
      <c r="BG380" s="48">
        <f t="shared" si="182"/>
        <v>1</v>
      </c>
      <c r="BH380" s="48">
        <f t="shared" si="182"/>
        <v>1</v>
      </c>
      <c r="BI380" s="48">
        <f t="shared" si="182"/>
        <v>1</v>
      </c>
      <c r="BJ380" s="48">
        <f t="shared" si="182"/>
        <v>1</v>
      </c>
      <c r="BK380" s="48">
        <f t="shared" si="182"/>
        <v>1</v>
      </c>
      <c r="BL380" s="48">
        <f t="shared" si="182"/>
        <v>1</v>
      </c>
      <c r="BM380" s="48">
        <f t="shared" si="182"/>
        <v>1</v>
      </c>
      <c r="BN380" s="48">
        <f t="shared" si="182"/>
        <v>1</v>
      </c>
      <c r="BO380" s="32">
        <f t="shared" si="162"/>
        <v>0.43285528031290749</v>
      </c>
    </row>
    <row r="381" spans="1:67" ht="24" x14ac:dyDescent="0.2">
      <c r="A381" s="55" t="s">
        <v>770</v>
      </c>
      <c r="B381" s="55" t="s">
        <v>771</v>
      </c>
      <c r="C381" s="55" t="s">
        <v>14</v>
      </c>
      <c r="D381" s="56">
        <f>VLOOKUP(A381,'[1]Cuadro Control'!C420:J2311,8,FALSE)</f>
        <v>0</v>
      </c>
      <c r="E381" s="57">
        <f>IFERROR(D381/$D$365,0)</f>
        <v>0</v>
      </c>
      <c r="F381" s="58">
        <v>46450</v>
      </c>
      <c r="G381" s="58">
        <v>46450</v>
      </c>
      <c r="H381" s="57">
        <f t="shared" si="183"/>
        <v>0</v>
      </c>
      <c r="I381" s="57">
        <f t="shared" si="183"/>
        <v>0</v>
      </c>
      <c r="J381" s="57">
        <f t="shared" si="183"/>
        <v>0</v>
      </c>
      <c r="K381" s="57">
        <f t="shared" si="183"/>
        <v>0</v>
      </c>
      <c r="L381" s="57">
        <f t="shared" si="183"/>
        <v>0</v>
      </c>
      <c r="M381" s="57">
        <f t="shared" si="183"/>
        <v>0</v>
      </c>
      <c r="N381" s="57">
        <f t="shared" si="183"/>
        <v>0</v>
      </c>
      <c r="O381" s="57">
        <f t="shared" si="183"/>
        <v>0</v>
      </c>
      <c r="P381" s="57">
        <f t="shared" si="183"/>
        <v>0</v>
      </c>
      <c r="Q381" s="57">
        <f t="shared" si="183"/>
        <v>0</v>
      </c>
      <c r="R381" s="57">
        <f t="shared" si="183"/>
        <v>0</v>
      </c>
      <c r="S381" s="57">
        <f t="shared" si="183"/>
        <v>0</v>
      </c>
      <c r="T381" s="57">
        <f t="shared" si="183"/>
        <v>0</v>
      </c>
      <c r="U381" s="57">
        <f t="shared" si="183"/>
        <v>0</v>
      </c>
      <c r="V381" s="57">
        <f t="shared" si="183"/>
        <v>0</v>
      </c>
      <c r="W381" s="57">
        <f t="shared" si="183"/>
        <v>0</v>
      </c>
      <c r="X381" s="57">
        <f t="shared" si="184"/>
        <v>0</v>
      </c>
      <c r="Y381" s="57">
        <f t="shared" si="184"/>
        <v>0</v>
      </c>
      <c r="Z381" s="57">
        <f t="shared" si="184"/>
        <v>0</v>
      </c>
      <c r="AA381" s="57">
        <f t="shared" si="184"/>
        <v>0</v>
      </c>
      <c r="AB381" s="57">
        <f t="shared" si="184"/>
        <v>0</v>
      </c>
      <c r="AC381" s="57">
        <f t="shared" si="184"/>
        <v>0</v>
      </c>
      <c r="AD381" s="57">
        <f t="shared" si="184"/>
        <v>0</v>
      </c>
      <c r="AE381" s="57">
        <f t="shared" si="184"/>
        <v>0</v>
      </c>
      <c r="AF381" s="57">
        <f t="shared" si="184"/>
        <v>0</v>
      </c>
      <c r="AG381" s="57">
        <f t="shared" si="184"/>
        <v>0</v>
      </c>
      <c r="AH381" s="57">
        <f t="shared" si="184"/>
        <v>0</v>
      </c>
      <c r="AI381" s="57">
        <f t="shared" si="184"/>
        <v>0</v>
      </c>
      <c r="AJ381" s="57">
        <f t="shared" si="184"/>
        <v>0</v>
      </c>
      <c r="AK381" s="57">
        <f t="shared" si="184"/>
        <v>0</v>
      </c>
      <c r="AL381" s="57">
        <f t="shared" si="184"/>
        <v>0</v>
      </c>
      <c r="AM381" s="57">
        <f t="shared" si="184"/>
        <v>0</v>
      </c>
      <c r="AN381" s="57">
        <f t="shared" si="184"/>
        <v>0</v>
      </c>
      <c r="AO381" s="57">
        <f t="shared" si="184"/>
        <v>0</v>
      </c>
      <c r="AP381" s="57">
        <f t="shared" si="184"/>
        <v>1</v>
      </c>
      <c r="AQ381" s="57">
        <f t="shared" si="184"/>
        <v>1</v>
      </c>
      <c r="AR381" s="57">
        <f t="shared" si="184"/>
        <v>1</v>
      </c>
      <c r="AS381" s="57">
        <f t="shared" si="184"/>
        <v>1</v>
      </c>
      <c r="AT381" s="57">
        <f t="shared" si="184"/>
        <v>1</v>
      </c>
      <c r="AU381" s="57">
        <f t="shared" si="184"/>
        <v>1</v>
      </c>
      <c r="AV381" s="57">
        <f t="shared" si="184"/>
        <v>1</v>
      </c>
      <c r="AW381" s="57">
        <f t="shared" si="184"/>
        <v>1</v>
      </c>
      <c r="AX381" s="57">
        <f t="shared" si="184"/>
        <v>1</v>
      </c>
      <c r="AY381" s="57">
        <f t="shared" si="184"/>
        <v>1</v>
      </c>
      <c r="AZ381" s="57">
        <f t="shared" si="184"/>
        <v>1</v>
      </c>
      <c r="BA381" s="57">
        <f t="shared" si="184"/>
        <v>1</v>
      </c>
      <c r="BB381" s="57">
        <f t="shared" si="184"/>
        <v>1</v>
      </c>
      <c r="BC381" s="57">
        <f t="shared" si="184"/>
        <v>1</v>
      </c>
      <c r="BD381" s="57">
        <f t="shared" si="181"/>
        <v>1</v>
      </c>
      <c r="BE381" s="57">
        <f t="shared" si="181"/>
        <v>1</v>
      </c>
      <c r="BF381" s="57">
        <f t="shared" si="181"/>
        <v>1</v>
      </c>
      <c r="BG381" s="57">
        <f t="shared" si="182"/>
        <v>1</v>
      </c>
      <c r="BH381" s="57">
        <f t="shared" si="182"/>
        <v>1</v>
      </c>
      <c r="BI381" s="57">
        <f t="shared" si="182"/>
        <v>1</v>
      </c>
      <c r="BJ381" s="57">
        <f t="shared" si="182"/>
        <v>1</v>
      </c>
      <c r="BK381" s="57">
        <f t="shared" si="182"/>
        <v>1</v>
      </c>
      <c r="BL381" s="57">
        <f t="shared" si="182"/>
        <v>1</v>
      </c>
      <c r="BM381" s="57">
        <f t="shared" si="182"/>
        <v>1</v>
      </c>
      <c r="BN381" s="57">
        <f t="shared" si="182"/>
        <v>1</v>
      </c>
      <c r="BO381" s="32">
        <f t="shared" si="162"/>
        <v>0.42372881355932202</v>
      </c>
    </row>
    <row r="382" spans="1:67" x14ac:dyDescent="0.2">
      <c r="A382" s="59" t="s">
        <v>772</v>
      </c>
      <c r="B382" s="59" t="s">
        <v>773</v>
      </c>
      <c r="C382" s="59" t="s">
        <v>467</v>
      </c>
      <c r="D382" s="60">
        <f>SUM(D383:D398)</f>
        <v>5308872732.0543728</v>
      </c>
      <c r="E382" s="61">
        <f>IFERROR(D382/$D$109,0)</f>
        <v>2.9408554574576196E-2</v>
      </c>
      <c r="F382" s="62">
        <v>46375</v>
      </c>
      <c r="G382" s="62">
        <v>46458</v>
      </c>
      <c r="H382" s="61">
        <f>SUMPRODUCT($E383:$E397,H383:H397)</f>
        <v>0</v>
      </c>
      <c r="I382" s="61">
        <f t="shared" ref="I382:BN382" si="185">SUMPRODUCT($E383:$E397,I383:I397)</f>
        <v>0</v>
      </c>
      <c r="J382" s="61">
        <f t="shared" si="185"/>
        <v>0</v>
      </c>
      <c r="K382" s="61">
        <f t="shared" si="185"/>
        <v>0</v>
      </c>
      <c r="L382" s="61">
        <f t="shared" si="185"/>
        <v>0</v>
      </c>
      <c r="M382" s="61">
        <f t="shared" si="185"/>
        <v>0</v>
      </c>
      <c r="N382" s="61">
        <f t="shared" si="185"/>
        <v>0</v>
      </c>
      <c r="O382" s="61">
        <f t="shared" si="185"/>
        <v>0</v>
      </c>
      <c r="P382" s="61">
        <f t="shared" si="185"/>
        <v>0</v>
      </c>
      <c r="Q382" s="61">
        <f t="shared" si="185"/>
        <v>0</v>
      </c>
      <c r="R382" s="61">
        <f t="shared" si="185"/>
        <v>0</v>
      </c>
      <c r="S382" s="61">
        <f t="shared" si="185"/>
        <v>0</v>
      </c>
      <c r="T382" s="61">
        <f t="shared" si="185"/>
        <v>0</v>
      </c>
      <c r="U382" s="61">
        <f t="shared" si="185"/>
        <v>0</v>
      </c>
      <c r="V382" s="61">
        <f t="shared" si="185"/>
        <v>0</v>
      </c>
      <c r="W382" s="61">
        <f t="shared" si="185"/>
        <v>0</v>
      </c>
      <c r="X382" s="61">
        <f t="shared" si="185"/>
        <v>0</v>
      </c>
      <c r="Y382" s="61">
        <f t="shared" si="185"/>
        <v>0</v>
      </c>
      <c r="Z382" s="61">
        <f t="shared" si="185"/>
        <v>0</v>
      </c>
      <c r="AA382" s="61">
        <f t="shared" si="185"/>
        <v>0</v>
      </c>
      <c r="AB382" s="61">
        <f t="shared" si="185"/>
        <v>0</v>
      </c>
      <c r="AC382" s="61">
        <f t="shared" si="185"/>
        <v>0</v>
      </c>
      <c r="AD382" s="61">
        <f t="shared" si="185"/>
        <v>0</v>
      </c>
      <c r="AE382" s="61">
        <f t="shared" si="185"/>
        <v>0</v>
      </c>
      <c r="AF382" s="61">
        <f t="shared" si="185"/>
        <v>9.98161680726279E-3</v>
      </c>
      <c r="AG382" s="61">
        <f t="shared" si="185"/>
        <v>2.8760971566995162E-2</v>
      </c>
      <c r="AH382" s="61">
        <f t="shared" si="185"/>
        <v>7.4824596020606232E-2</v>
      </c>
      <c r="AI382" s="61">
        <f t="shared" si="185"/>
        <v>0.10650498686563921</v>
      </c>
      <c r="AJ382" s="61">
        <f t="shared" si="185"/>
        <v>0.1689385958692205</v>
      </c>
      <c r="AK382" s="61">
        <f t="shared" si="185"/>
        <v>0.24535608361815867</v>
      </c>
      <c r="AL382" s="61">
        <f t="shared" si="185"/>
        <v>0.34528741505259125</v>
      </c>
      <c r="AM382" s="61">
        <f t="shared" si="185"/>
        <v>0.41666693750575734</v>
      </c>
      <c r="AN382" s="61">
        <f t="shared" si="185"/>
        <v>0.64850810003989967</v>
      </c>
      <c r="AO382" s="61">
        <f t="shared" si="185"/>
        <v>0.71410290568127988</v>
      </c>
      <c r="AP382" s="61">
        <f t="shared" si="185"/>
        <v>0.90834159235553846</v>
      </c>
      <c r="AQ382" s="61">
        <f t="shared" si="185"/>
        <v>1</v>
      </c>
      <c r="AR382" s="61">
        <f t="shared" si="185"/>
        <v>1</v>
      </c>
      <c r="AS382" s="61">
        <f t="shared" si="185"/>
        <v>1</v>
      </c>
      <c r="AT382" s="61">
        <f t="shared" si="185"/>
        <v>1</v>
      </c>
      <c r="AU382" s="61">
        <f t="shared" si="185"/>
        <v>1</v>
      </c>
      <c r="AV382" s="61">
        <f t="shared" si="185"/>
        <v>1</v>
      </c>
      <c r="AW382" s="61">
        <f t="shared" si="185"/>
        <v>1</v>
      </c>
      <c r="AX382" s="61">
        <f t="shared" si="185"/>
        <v>1</v>
      </c>
      <c r="AY382" s="61">
        <f t="shared" si="185"/>
        <v>1</v>
      </c>
      <c r="AZ382" s="61">
        <f t="shared" si="185"/>
        <v>1</v>
      </c>
      <c r="BA382" s="61">
        <f t="shared" si="185"/>
        <v>1</v>
      </c>
      <c r="BB382" s="61">
        <f t="shared" si="185"/>
        <v>1</v>
      </c>
      <c r="BC382" s="61">
        <f t="shared" si="185"/>
        <v>1</v>
      </c>
      <c r="BD382" s="61">
        <f t="shared" si="185"/>
        <v>1</v>
      </c>
      <c r="BE382" s="61">
        <f t="shared" si="185"/>
        <v>1</v>
      </c>
      <c r="BF382" s="61">
        <f t="shared" si="185"/>
        <v>1</v>
      </c>
      <c r="BG382" s="61">
        <f t="shared" si="185"/>
        <v>1</v>
      </c>
      <c r="BH382" s="61">
        <f t="shared" si="185"/>
        <v>1</v>
      </c>
      <c r="BI382" s="61">
        <f t="shared" si="185"/>
        <v>1</v>
      </c>
      <c r="BJ382" s="61">
        <f t="shared" si="185"/>
        <v>1</v>
      </c>
      <c r="BK382" s="61">
        <f t="shared" si="185"/>
        <v>1</v>
      </c>
      <c r="BL382" s="61">
        <f t="shared" si="185"/>
        <v>1</v>
      </c>
      <c r="BM382" s="61">
        <f t="shared" si="185"/>
        <v>1</v>
      </c>
      <c r="BN382" s="61">
        <f t="shared" si="185"/>
        <v>1</v>
      </c>
      <c r="BO382" s="32">
        <f t="shared" si="162"/>
        <v>0.46893684409123637</v>
      </c>
    </row>
    <row r="383" spans="1:67" ht="24" x14ac:dyDescent="0.2">
      <c r="A383" s="50" t="s">
        <v>774</v>
      </c>
      <c r="B383" s="50" t="s">
        <v>775</v>
      </c>
      <c r="C383" s="50" t="s">
        <v>74</v>
      </c>
      <c r="D383" s="51">
        <f>VLOOKUP(A383,'[1]Cuadro Control'!C422:J2313,8,FALSE)</f>
        <v>83271780.884117648</v>
      </c>
      <c r="E383" s="52">
        <f t="shared" ref="E383:E397" si="186">IFERROR(D383/$D$382,0)</f>
        <v>1.5685397839984384E-2</v>
      </c>
      <c r="F383" s="53">
        <v>46375</v>
      </c>
      <c r="G383" s="53">
        <v>46385</v>
      </c>
      <c r="H383" s="52">
        <f t="shared" ref="H383:BN387" si="187">IF($F383=0,0,IF(H$6&lt;$F383,0,IF(H$6&gt;$G383,1,(H$6-$F383+1)/($G383-$F383+1))))</f>
        <v>0</v>
      </c>
      <c r="I383" s="52">
        <f t="shared" si="187"/>
        <v>0</v>
      </c>
      <c r="J383" s="52">
        <f t="shared" si="187"/>
        <v>0</v>
      </c>
      <c r="K383" s="52">
        <f t="shared" si="187"/>
        <v>0</v>
      </c>
      <c r="L383" s="52">
        <f t="shared" si="187"/>
        <v>0</v>
      </c>
      <c r="M383" s="52">
        <f t="shared" si="187"/>
        <v>0</v>
      </c>
      <c r="N383" s="52">
        <f t="shared" si="187"/>
        <v>0</v>
      </c>
      <c r="O383" s="52">
        <f t="shared" si="187"/>
        <v>0</v>
      </c>
      <c r="P383" s="52">
        <f t="shared" si="187"/>
        <v>0</v>
      </c>
      <c r="Q383" s="52">
        <f t="shared" si="187"/>
        <v>0</v>
      </c>
      <c r="R383" s="52">
        <f t="shared" si="187"/>
        <v>0</v>
      </c>
      <c r="S383" s="52">
        <f t="shared" si="187"/>
        <v>0</v>
      </c>
      <c r="T383" s="52">
        <f t="shared" si="187"/>
        <v>0</v>
      </c>
      <c r="U383" s="52">
        <f t="shared" si="187"/>
        <v>0</v>
      </c>
      <c r="V383" s="52">
        <f t="shared" si="187"/>
        <v>0</v>
      </c>
      <c r="W383" s="52">
        <f t="shared" si="187"/>
        <v>0</v>
      </c>
      <c r="X383" s="52">
        <f t="shared" si="187"/>
        <v>0</v>
      </c>
      <c r="Y383" s="52">
        <f t="shared" si="187"/>
        <v>0</v>
      </c>
      <c r="Z383" s="52">
        <f t="shared" si="187"/>
        <v>0</v>
      </c>
      <c r="AA383" s="52">
        <f t="shared" si="187"/>
        <v>0</v>
      </c>
      <c r="AB383" s="52">
        <f t="shared" si="187"/>
        <v>0</v>
      </c>
      <c r="AC383" s="52">
        <f t="shared" si="187"/>
        <v>0</v>
      </c>
      <c r="AD383" s="52">
        <f t="shared" si="187"/>
        <v>0</v>
      </c>
      <c r="AE383" s="52">
        <f t="shared" si="187"/>
        <v>0</v>
      </c>
      <c r="AF383" s="52">
        <f t="shared" si="187"/>
        <v>0.63636363636363635</v>
      </c>
      <c r="AG383" s="52">
        <f t="shared" si="187"/>
        <v>1</v>
      </c>
      <c r="AH383" s="52">
        <f t="shared" si="187"/>
        <v>1</v>
      </c>
      <c r="AI383" s="52">
        <f t="shared" si="187"/>
        <v>1</v>
      </c>
      <c r="AJ383" s="52">
        <f t="shared" si="187"/>
        <v>1</v>
      </c>
      <c r="AK383" s="52">
        <f t="shared" si="187"/>
        <v>1</v>
      </c>
      <c r="AL383" s="52">
        <f t="shared" si="187"/>
        <v>1</v>
      </c>
      <c r="AM383" s="52">
        <f t="shared" si="187"/>
        <v>1</v>
      </c>
      <c r="AN383" s="52">
        <f t="shared" si="187"/>
        <v>1</v>
      </c>
      <c r="AO383" s="52">
        <f t="shared" si="187"/>
        <v>1</v>
      </c>
      <c r="AP383" s="52">
        <f t="shared" si="187"/>
        <v>1</v>
      </c>
      <c r="AQ383" s="52">
        <f t="shared" si="187"/>
        <v>1</v>
      </c>
      <c r="AR383" s="52">
        <f t="shared" si="187"/>
        <v>1</v>
      </c>
      <c r="AS383" s="52">
        <f t="shared" si="187"/>
        <v>1</v>
      </c>
      <c r="AT383" s="52">
        <f t="shared" si="187"/>
        <v>1</v>
      </c>
      <c r="AU383" s="52">
        <f t="shared" si="187"/>
        <v>1</v>
      </c>
      <c r="AV383" s="52">
        <f t="shared" si="187"/>
        <v>1</v>
      </c>
      <c r="AW383" s="52">
        <f t="shared" si="187"/>
        <v>1</v>
      </c>
      <c r="AX383" s="52">
        <f t="shared" si="187"/>
        <v>1</v>
      </c>
      <c r="AY383" s="52">
        <f t="shared" si="187"/>
        <v>1</v>
      </c>
      <c r="AZ383" s="52">
        <f t="shared" si="187"/>
        <v>1</v>
      </c>
      <c r="BA383" s="52">
        <f t="shared" si="187"/>
        <v>1</v>
      </c>
      <c r="BB383" s="52">
        <f t="shared" si="187"/>
        <v>1</v>
      </c>
      <c r="BC383" s="52">
        <f t="shared" si="187"/>
        <v>1</v>
      </c>
      <c r="BD383" s="52">
        <f t="shared" si="187"/>
        <v>1</v>
      </c>
      <c r="BE383" s="52">
        <f t="shared" si="187"/>
        <v>1</v>
      </c>
      <c r="BF383" s="52">
        <f t="shared" si="187"/>
        <v>1</v>
      </c>
      <c r="BG383" s="52">
        <f t="shared" si="187"/>
        <v>1</v>
      </c>
      <c r="BH383" s="52">
        <f t="shared" si="187"/>
        <v>1</v>
      </c>
      <c r="BI383" s="52">
        <f t="shared" si="187"/>
        <v>1</v>
      </c>
      <c r="BJ383" s="52">
        <f t="shared" si="187"/>
        <v>1</v>
      </c>
      <c r="BK383" s="52">
        <f t="shared" si="187"/>
        <v>1</v>
      </c>
      <c r="BL383" s="52">
        <f t="shared" si="187"/>
        <v>1</v>
      </c>
      <c r="BM383" s="52">
        <f t="shared" si="187"/>
        <v>1</v>
      </c>
      <c r="BN383" s="52">
        <f t="shared" si="187"/>
        <v>1</v>
      </c>
      <c r="BO383" s="32">
        <f t="shared" si="162"/>
        <v>0.5870570107858244</v>
      </c>
    </row>
    <row r="384" spans="1:67" x14ac:dyDescent="0.2">
      <c r="A384" s="50" t="s">
        <v>776</v>
      </c>
      <c r="B384" s="50" t="s">
        <v>777</v>
      </c>
      <c r="C384" s="50" t="s">
        <v>61</v>
      </c>
      <c r="D384" s="51">
        <f>VLOOKUP(A384,'[1]Cuadro Control'!C423:J2314,8,FALSE)</f>
        <v>312374505.66882348</v>
      </c>
      <c r="E384" s="52">
        <f t="shared" si="186"/>
        <v>5.8840081771548515E-2</v>
      </c>
      <c r="F384" s="53">
        <v>46387</v>
      </c>
      <c r="G384" s="53">
        <v>46395</v>
      </c>
      <c r="H384" s="52">
        <f t="shared" si="187"/>
        <v>0</v>
      </c>
      <c r="I384" s="52">
        <f t="shared" si="187"/>
        <v>0</v>
      </c>
      <c r="J384" s="52">
        <f t="shared" si="187"/>
        <v>0</v>
      </c>
      <c r="K384" s="52">
        <f t="shared" si="187"/>
        <v>0</v>
      </c>
      <c r="L384" s="52">
        <f t="shared" si="187"/>
        <v>0</v>
      </c>
      <c r="M384" s="52">
        <f t="shared" si="187"/>
        <v>0</v>
      </c>
      <c r="N384" s="52">
        <f t="shared" si="187"/>
        <v>0</v>
      </c>
      <c r="O384" s="52">
        <f t="shared" si="187"/>
        <v>0</v>
      </c>
      <c r="P384" s="52">
        <f t="shared" si="187"/>
        <v>0</v>
      </c>
      <c r="Q384" s="52">
        <f t="shared" si="187"/>
        <v>0</v>
      </c>
      <c r="R384" s="52">
        <f t="shared" si="187"/>
        <v>0</v>
      </c>
      <c r="S384" s="52">
        <f t="shared" si="187"/>
        <v>0</v>
      </c>
      <c r="T384" s="52">
        <f t="shared" si="187"/>
        <v>0</v>
      </c>
      <c r="U384" s="52">
        <f t="shared" si="187"/>
        <v>0</v>
      </c>
      <c r="V384" s="52">
        <f t="shared" si="187"/>
        <v>0</v>
      </c>
      <c r="W384" s="52">
        <f t="shared" si="187"/>
        <v>0</v>
      </c>
      <c r="X384" s="52">
        <f t="shared" si="187"/>
        <v>0</v>
      </c>
      <c r="Y384" s="52">
        <f t="shared" si="187"/>
        <v>0</v>
      </c>
      <c r="Z384" s="52">
        <f t="shared" si="187"/>
        <v>0</v>
      </c>
      <c r="AA384" s="52">
        <f t="shared" si="187"/>
        <v>0</v>
      </c>
      <c r="AB384" s="52">
        <f t="shared" si="187"/>
        <v>0</v>
      </c>
      <c r="AC384" s="52">
        <f t="shared" si="187"/>
        <v>0</v>
      </c>
      <c r="AD384" s="52">
        <f t="shared" si="187"/>
        <v>0</v>
      </c>
      <c r="AE384" s="52">
        <f t="shared" si="187"/>
        <v>0</v>
      </c>
      <c r="AF384" s="52">
        <f t="shared" si="187"/>
        <v>0</v>
      </c>
      <c r="AG384" s="52">
        <f t="shared" si="187"/>
        <v>0.22222222222222221</v>
      </c>
      <c r="AH384" s="52">
        <f t="shared" si="187"/>
        <v>1</v>
      </c>
      <c r="AI384" s="52">
        <f t="shared" si="187"/>
        <v>1</v>
      </c>
      <c r="AJ384" s="52">
        <f t="shared" si="187"/>
        <v>1</v>
      </c>
      <c r="AK384" s="52">
        <f t="shared" si="187"/>
        <v>1</v>
      </c>
      <c r="AL384" s="52">
        <f t="shared" si="187"/>
        <v>1</v>
      </c>
      <c r="AM384" s="52">
        <f t="shared" si="187"/>
        <v>1</v>
      </c>
      <c r="AN384" s="52">
        <f t="shared" si="187"/>
        <v>1</v>
      </c>
      <c r="AO384" s="52">
        <f t="shared" si="187"/>
        <v>1</v>
      </c>
      <c r="AP384" s="52">
        <f t="shared" si="187"/>
        <v>1</v>
      </c>
      <c r="AQ384" s="52">
        <f t="shared" si="187"/>
        <v>1</v>
      </c>
      <c r="AR384" s="52">
        <f t="shared" si="187"/>
        <v>1</v>
      </c>
      <c r="AS384" s="52">
        <f t="shared" si="187"/>
        <v>1</v>
      </c>
      <c r="AT384" s="52">
        <f t="shared" si="187"/>
        <v>1</v>
      </c>
      <c r="AU384" s="52">
        <f t="shared" si="187"/>
        <v>1</v>
      </c>
      <c r="AV384" s="52">
        <f t="shared" si="187"/>
        <v>1</v>
      </c>
      <c r="AW384" s="52">
        <f t="shared" si="187"/>
        <v>1</v>
      </c>
      <c r="AX384" s="52">
        <f t="shared" si="187"/>
        <v>1</v>
      </c>
      <c r="AY384" s="52">
        <f t="shared" si="187"/>
        <v>1</v>
      </c>
      <c r="AZ384" s="52">
        <f t="shared" si="187"/>
        <v>1</v>
      </c>
      <c r="BA384" s="52">
        <f t="shared" si="187"/>
        <v>1</v>
      </c>
      <c r="BB384" s="52">
        <f t="shared" si="187"/>
        <v>1</v>
      </c>
      <c r="BC384" s="52">
        <f t="shared" si="187"/>
        <v>1</v>
      </c>
      <c r="BD384" s="52">
        <f t="shared" si="187"/>
        <v>1</v>
      </c>
      <c r="BE384" s="52">
        <f t="shared" si="187"/>
        <v>1</v>
      </c>
      <c r="BF384" s="52">
        <f t="shared" si="187"/>
        <v>1</v>
      </c>
      <c r="BG384" s="52">
        <f t="shared" si="187"/>
        <v>1</v>
      </c>
      <c r="BH384" s="52">
        <f t="shared" si="187"/>
        <v>1</v>
      </c>
      <c r="BI384" s="52">
        <f t="shared" si="187"/>
        <v>1</v>
      </c>
      <c r="BJ384" s="52">
        <f t="shared" si="187"/>
        <v>1</v>
      </c>
      <c r="BK384" s="52">
        <f t="shared" si="187"/>
        <v>1</v>
      </c>
      <c r="BL384" s="52">
        <f t="shared" si="187"/>
        <v>1</v>
      </c>
      <c r="BM384" s="52">
        <f t="shared" si="187"/>
        <v>1</v>
      </c>
      <c r="BN384" s="52">
        <f t="shared" si="187"/>
        <v>1</v>
      </c>
      <c r="BO384" s="32">
        <f t="shared" si="162"/>
        <v>0.56308851224105461</v>
      </c>
    </row>
    <row r="385" spans="1:67" ht="15" x14ac:dyDescent="0.2">
      <c r="A385" s="46" t="s">
        <v>778</v>
      </c>
      <c r="B385" s="46" t="s">
        <v>779</v>
      </c>
      <c r="C385" s="46" t="s">
        <v>126</v>
      </c>
      <c r="D385" s="47">
        <f>VLOOKUP(A385,'[1]Cuadro Control'!C424:J2315,8,FALSE)</f>
        <v>9527825.6870364472</v>
      </c>
      <c r="E385" s="48">
        <f t="shared" si="186"/>
        <v>1.794698454439963E-3</v>
      </c>
      <c r="F385" s="49">
        <v>46395</v>
      </c>
      <c r="G385" s="49">
        <v>46400</v>
      </c>
      <c r="H385" s="48">
        <f t="shared" si="187"/>
        <v>0</v>
      </c>
      <c r="I385" s="48">
        <f t="shared" si="187"/>
        <v>0</v>
      </c>
      <c r="J385" s="48">
        <f t="shared" si="187"/>
        <v>0</v>
      </c>
      <c r="K385" s="48">
        <f t="shared" si="187"/>
        <v>0</v>
      </c>
      <c r="L385" s="48">
        <f t="shared" si="187"/>
        <v>0</v>
      </c>
      <c r="M385" s="48">
        <f t="shared" si="187"/>
        <v>0</v>
      </c>
      <c r="N385" s="48">
        <f t="shared" si="187"/>
        <v>0</v>
      </c>
      <c r="O385" s="48">
        <f t="shared" si="187"/>
        <v>0</v>
      </c>
      <c r="P385" s="48">
        <f t="shared" si="187"/>
        <v>0</v>
      </c>
      <c r="Q385" s="48">
        <f t="shared" si="187"/>
        <v>0</v>
      </c>
      <c r="R385" s="48">
        <f t="shared" si="187"/>
        <v>0</v>
      </c>
      <c r="S385" s="48">
        <f t="shared" si="187"/>
        <v>0</v>
      </c>
      <c r="T385" s="48">
        <f t="shared" si="187"/>
        <v>0</v>
      </c>
      <c r="U385" s="48">
        <f t="shared" si="187"/>
        <v>0</v>
      </c>
      <c r="V385" s="48">
        <f t="shared" si="187"/>
        <v>0</v>
      </c>
      <c r="W385" s="48">
        <f t="shared" si="187"/>
        <v>0</v>
      </c>
      <c r="X385" s="48">
        <f t="shared" si="187"/>
        <v>0</v>
      </c>
      <c r="Y385" s="48">
        <f t="shared" si="187"/>
        <v>0</v>
      </c>
      <c r="Z385" s="48">
        <f t="shared" si="187"/>
        <v>0</v>
      </c>
      <c r="AA385" s="48">
        <f t="shared" si="187"/>
        <v>0</v>
      </c>
      <c r="AB385" s="48">
        <f t="shared" si="187"/>
        <v>0</v>
      </c>
      <c r="AC385" s="48">
        <f t="shared" si="187"/>
        <v>0</v>
      </c>
      <c r="AD385" s="48">
        <f t="shared" si="187"/>
        <v>0</v>
      </c>
      <c r="AE385" s="48">
        <f t="shared" si="187"/>
        <v>0</v>
      </c>
      <c r="AF385" s="48">
        <f t="shared" si="187"/>
        <v>0</v>
      </c>
      <c r="AG385" s="48">
        <f t="shared" si="187"/>
        <v>0</v>
      </c>
      <c r="AH385" s="48">
        <f t="shared" si="187"/>
        <v>0.16666666666666666</v>
      </c>
      <c r="AI385" s="48">
        <f t="shared" si="187"/>
        <v>1</v>
      </c>
      <c r="AJ385" s="48">
        <f t="shared" si="187"/>
        <v>1</v>
      </c>
      <c r="AK385" s="48">
        <f t="shared" si="187"/>
        <v>1</v>
      </c>
      <c r="AL385" s="48">
        <f t="shared" si="187"/>
        <v>1</v>
      </c>
      <c r="AM385" s="48">
        <f t="shared" si="187"/>
        <v>1</v>
      </c>
      <c r="AN385" s="48">
        <f t="shared" si="187"/>
        <v>1</v>
      </c>
      <c r="AO385" s="48">
        <f t="shared" si="187"/>
        <v>1</v>
      </c>
      <c r="AP385" s="48">
        <f t="shared" si="187"/>
        <v>1</v>
      </c>
      <c r="AQ385" s="48">
        <f t="shared" si="187"/>
        <v>1</v>
      </c>
      <c r="AR385" s="48">
        <f t="shared" si="187"/>
        <v>1</v>
      </c>
      <c r="AS385" s="48">
        <f t="shared" si="187"/>
        <v>1</v>
      </c>
      <c r="AT385" s="48">
        <f t="shared" si="187"/>
        <v>1</v>
      </c>
      <c r="AU385" s="48">
        <f t="shared" si="187"/>
        <v>1</v>
      </c>
      <c r="AV385" s="48">
        <f t="shared" si="187"/>
        <v>1</v>
      </c>
      <c r="AW385" s="48">
        <f t="shared" si="187"/>
        <v>1</v>
      </c>
      <c r="AX385" s="48">
        <f t="shared" si="187"/>
        <v>1</v>
      </c>
      <c r="AY385" s="48">
        <f t="shared" si="187"/>
        <v>1</v>
      </c>
      <c r="AZ385" s="48">
        <f t="shared" si="187"/>
        <v>1</v>
      </c>
      <c r="BA385" s="48">
        <f t="shared" si="187"/>
        <v>1</v>
      </c>
      <c r="BB385" s="48">
        <f t="shared" si="187"/>
        <v>1</v>
      </c>
      <c r="BC385" s="48">
        <f t="shared" si="187"/>
        <v>1</v>
      </c>
      <c r="BD385" s="48">
        <f t="shared" si="187"/>
        <v>1</v>
      </c>
      <c r="BE385" s="48">
        <f t="shared" si="187"/>
        <v>1</v>
      </c>
      <c r="BF385" s="48">
        <f t="shared" si="187"/>
        <v>1</v>
      </c>
      <c r="BG385" s="48">
        <f t="shared" si="187"/>
        <v>1</v>
      </c>
      <c r="BH385" s="48">
        <f t="shared" si="187"/>
        <v>1</v>
      </c>
      <c r="BI385" s="48">
        <f t="shared" si="187"/>
        <v>1</v>
      </c>
      <c r="BJ385" s="48">
        <f t="shared" si="187"/>
        <v>1</v>
      </c>
      <c r="BK385" s="48">
        <f t="shared" si="187"/>
        <v>1</v>
      </c>
      <c r="BL385" s="48">
        <f t="shared" si="187"/>
        <v>1</v>
      </c>
      <c r="BM385" s="48">
        <f t="shared" si="187"/>
        <v>1</v>
      </c>
      <c r="BN385" s="48">
        <f t="shared" si="187"/>
        <v>1</v>
      </c>
      <c r="BO385" s="32">
        <f t="shared" si="162"/>
        <v>0.54519774011299438</v>
      </c>
    </row>
    <row r="386" spans="1:67" x14ac:dyDescent="0.2">
      <c r="A386" s="50" t="s">
        <v>780</v>
      </c>
      <c r="B386" s="50" t="s">
        <v>781</v>
      </c>
      <c r="C386" s="50" t="s">
        <v>117</v>
      </c>
      <c r="D386" s="51">
        <f>VLOOKUP(A386,'[1]Cuadro Control'!C425:J2316,8,FALSE)</f>
        <v>320494616.71764702</v>
      </c>
      <c r="E386" s="52">
        <f t="shared" si="186"/>
        <v>6.0369617599332674E-2</v>
      </c>
      <c r="F386" s="53">
        <v>46400</v>
      </c>
      <c r="G386" s="53">
        <v>46405</v>
      </c>
      <c r="H386" s="52">
        <f t="shared" si="187"/>
        <v>0</v>
      </c>
      <c r="I386" s="52">
        <f t="shared" si="187"/>
        <v>0</v>
      </c>
      <c r="J386" s="52">
        <f t="shared" si="187"/>
        <v>0</v>
      </c>
      <c r="K386" s="52">
        <f t="shared" si="187"/>
        <v>0</v>
      </c>
      <c r="L386" s="52">
        <f t="shared" si="187"/>
        <v>0</v>
      </c>
      <c r="M386" s="52">
        <f t="shared" si="187"/>
        <v>0</v>
      </c>
      <c r="N386" s="52">
        <f t="shared" si="187"/>
        <v>0</v>
      </c>
      <c r="O386" s="52">
        <f t="shared" si="187"/>
        <v>0</v>
      </c>
      <c r="P386" s="52">
        <f t="shared" si="187"/>
        <v>0</v>
      </c>
      <c r="Q386" s="52">
        <f t="shared" si="187"/>
        <v>0</v>
      </c>
      <c r="R386" s="52">
        <f t="shared" si="187"/>
        <v>0</v>
      </c>
      <c r="S386" s="52">
        <f t="shared" si="187"/>
        <v>0</v>
      </c>
      <c r="T386" s="52">
        <f t="shared" si="187"/>
        <v>0</v>
      </c>
      <c r="U386" s="52">
        <f t="shared" si="187"/>
        <v>0</v>
      </c>
      <c r="V386" s="52">
        <f t="shared" si="187"/>
        <v>0</v>
      </c>
      <c r="W386" s="52">
        <f t="shared" si="187"/>
        <v>0</v>
      </c>
      <c r="X386" s="52">
        <f t="shared" si="187"/>
        <v>0</v>
      </c>
      <c r="Y386" s="52">
        <f t="shared" si="187"/>
        <v>0</v>
      </c>
      <c r="Z386" s="52">
        <f t="shared" si="187"/>
        <v>0</v>
      </c>
      <c r="AA386" s="52">
        <f t="shared" si="187"/>
        <v>0</v>
      </c>
      <c r="AB386" s="52">
        <f t="shared" si="187"/>
        <v>0</v>
      </c>
      <c r="AC386" s="52">
        <f t="shared" si="187"/>
        <v>0</v>
      </c>
      <c r="AD386" s="52">
        <f t="shared" si="187"/>
        <v>0</v>
      </c>
      <c r="AE386" s="52">
        <f t="shared" si="187"/>
        <v>0</v>
      </c>
      <c r="AF386" s="52">
        <f t="shared" si="187"/>
        <v>0</v>
      </c>
      <c r="AG386" s="52">
        <f t="shared" si="187"/>
        <v>0</v>
      </c>
      <c r="AH386" s="52">
        <f t="shared" si="187"/>
        <v>0</v>
      </c>
      <c r="AI386" s="52">
        <f t="shared" si="187"/>
        <v>0.5</v>
      </c>
      <c r="AJ386" s="52">
        <f t="shared" si="187"/>
        <v>1</v>
      </c>
      <c r="AK386" s="52">
        <f t="shared" si="187"/>
        <v>1</v>
      </c>
      <c r="AL386" s="52">
        <f t="shared" si="187"/>
        <v>1</v>
      </c>
      <c r="AM386" s="52">
        <f t="shared" si="187"/>
        <v>1</v>
      </c>
      <c r="AN386" s="52">
        <f t="shared" si="187"/>
        <v>1</v>
      </c>
      <c r="AO386" s="52">
        <f t="shared" si="187"/>
        <v>1</v>
      </c>
      <c r="AP386" s="52">
        <f t="shared" si="187"/>
        <v>1</v>
      </c>
      <c r="AQ386" s="52">
        <f t="shared" si="187"/>
        <v>1</v>
      </c>
      <c r="AR386" s="52">
        <f t="shared" si="187"/>
        <v>1</v>
      </c>
      <c r="AS386" s="52">
        <f t="shared" si="187"/>
        <v>1</v>
      </c>
      <c r="AT386" s="52">
        <f t="shared" si="187"/>
        <v>1</v>
      </c>
      <c r="AU386" s="52">
        <f t="shared" si="187"/>
        <v>1</v>
      </c>
      <c r="AV386" s="52">
        <f t="shared" si="187"/>
        <v>1</v>
      </c>
      <c r="AW386" s="52">
        <f t="shared" si="187"/>
        <v>1</v>
      </c>
      <c r="AX386" s="52">
        <f t="shared" si="187"/>
        <v>1</v>
      </c>
      <c r="AY386" s="52">
        <f t="shared" si="187"/>
        <v>1</v>
      </c>
      <c r="AZ386" s="52">
        <f t="shared" si="187"/>
        <v>1</v>
      </c>
      <c r="BA386" s="52">
        <f t="shared" si="187"/>
        <v>1</v>
      </c>
      <c r="BB386" s="52">
        <f t="shared" si="187"/>
        <v>1</v>
      </c>
      <c r="BC386" s="52">
        <f t="shared" si="187"/>
        <v>1</v>
      </c>
      <c r="BD386" s="52">
        <f t="shared" si="187"/>
        <v>1</v>
      </c>
      <c r="BE386" s="52">
        <f t="shared" si="187"/>
        <v>1</v>
      </c>
      <c r="BF386" s="52">
        <f t="shared" si="187"/>
        <v>1</v>
      </c>
      <c r="BG386" s="52">
        <f t="shared" si="187"/>
        <v>1</v>
      </c>
      <c r="BH386" s="52">
        <f t="shared" si="187"/>
        <v>1</v>
      </c>
      <c r="BI386" s="52">
        <f t="shared" si="187"/>
        <v>1</v>
      </c>
      <c r="BJ386" s="52">
        <f t="shared" si="187"/>
        <v>1</v>
      </c>
      <c r="BK386" s="52">
        <f t="shared" si="187"/>
        <v>1</v>
      </c>
      <c r="BL386" s="52">
        <f t="shared" si="187"/>
        <v>1</v>
      </c>
      <c r="BM386" s="52">
        <f t="shared" si="187"/>
        <v>1</v>
      </c>
      <c r="BN386" s="52">
        <f t="shared" si="187"/>
        <v>1</v>
      </c>
      <c r="BO386" s="32">
        <f t="shared" si="162"/>
        <v>0.53389830508474578</v>
      </c>
    </row>
    <row r="387" spans="1:67" x14ac:dyDescent="0.2">
      <c r="A387" s="50" t="s">
        <v>782</v>
      </c>
      <c r="B387" s="50" t="s">
        <v>783</v>
      </c>
      <c r="C387" s="50" t="s">
        <v>111</v>
      </c>
      <c r="D387" s="51">
        <f>VLOOKUP(A387,'[1]Cuadro Control'!C426:J2317,8,FALSE)</f>
        <v>94303618.549411759</v>
      </c>
      <c r="E387" s="52">
        <f t="shared" si="186"/>
        <v>1.7763397864110998E-2</v>
      </c>
      <c r="F387" s="53">
        <v>46406</v>
      </c>
      <c r="G387" s="53">
        <v>46407</v>
      </c>
      <c r="H387" s="52">
        <f t="shared" si="187"/>
        <v>0</v>
      </c>
      <c r="I387" s="52">
        <f t="shared" si="187"/>
        <v>0</v>
      </c>
      <c r="J387" s="52">
        <f t="shared" si="187"/>
        <v>0</v>
      </c>
      <c r="K387" s="52">
        <f t="shared" si="187"/>
        <v>0</v>
      </c>
      <c r="L387" s="52">
        <f t="shared" si="187"/>
        <v>0</v>
      </c>
      <c r="M387" s="52">
        <f t="shared" si="187"/>
        <v>0</v>
      </c>
      <c r="N387" s="52">
        <f t="shared" si="187"/>
        <v>0</v>
      </c>
      <c r="O387" s="52">
        <f t="shared" si="187"/>
        <v>0</v>
      </c>
      <c r="P387" s="52">
        <f t="shared" si="187"/>
        <v>0</v>
      </c>
      <c r="Q387" s="52">
        <f t="shared" si="187"/>
        <v>0</v>
      </c>
      <c r="R387" s="52">
        <f t="shared" si="187"/>
        <v>0</v>
      </c>
      <c r="S387" s="52">
        <f t="shared" si="187"/>
        <v>0</v>
      </c>
      <c r="T387" s="52">
        <f t="shared" si="187"/>
        <v>0</v>
      </c>
      <c r="U387" s="52">
        <f t="shared" si="187"/>
        <v>0</v>
      </c>
      <c r="V387" s="52">
        <f t="shared" si="187"/>
        <v>0</v>
      </c>
      <c r="W387" s="52">
        <f t="shared" si="187"/>
        <v>0</v>
      </c>
      <c r="X387" s="52">
        <f t="shared" si="187"/>
        <v>0</v>
      </c>
      <c r="Y387" s="52">
        <f t="shared" si="187"/>
        <v>0</v>
      </c>
      <c r="Z387" s="52">
        <f t="shared" si="187"/>
        <v>0</v>
      </c>
      <c r="AA387" s="52">
        <f t="shared" ref="AA387:BF398" si="188">IF($F387=0,0,IF(AA$6&lt;$F387,0,IF(AA$6&gt;$G387,1,(AA$6-$F387+1)/($G387-$F387+1))))</f>
        <v>0</v>
      </c>
      <c r="AB387" s="52">
        <f t="shared" si="188"/>
        <v>0</v>
      </c>
      <c r="AC387" s="52">
        <f t="shared" si="188"/>
        <v>0</v>
      </c>
      <c r="AD387" s="52">
        <f t="shared" si="188"/>
        <v>0</v>
      </c>
      <c r="AE387" s="52">
        <f t="shared" si="188"/>
        <v>0</v>
      </c>
      <c r="AF387" s="52">
        <f t="shared" si="188"/>
        <v>0</v>
      </c>
      <c r="AG387" s="52">
        <f t="shared" si="188"/>
        <v>0</v>
      </c>
      <c r="AH387" s="52">
        <f t="shared" si="188"/>
        <v>0</v>
      </c>
      <c r="AI387" s="52">
        <f t="shared" si="188"/>
        <v>0</v>
      </c>
      <c r="AJ387" s="52">
        <f t="shared" si="188"/>
        <v>1</v>
      </c>
      <c r="AK387" s="52">
        <f t="shared" si="188"/>
        <v>1</v>
      </c>
      <c r="AL387" s="52">
        <f t="shared" si="188"/>
        <v>1</v>
      </c>
      <c r="AM387" s="52">
        <f t="shared" si="188"/>
        <v>1</v>
      </c>
      <c r="AN387" s="52">
        <f t="shared" si="188"/>
        <v>1</v>
      </c>
      <c r="AO387" s="52">
        <f t="shared" si="188"/>
        <v>1</v>
      </c>
      <c r="AP387" s="52">
        <f t="shared" si="188"/>
        <v>1</v>
      </c>
      <c r="AQ387" s="52">
        <f t="shared" si="188"/>
        <v>1</v>
      </c>
      <c r="AR387" s="52">
        <f t="shared" si="188"/>
        <v>1</v>
      </c>
      <c r="AS387" s="52">
        <f t="shared" si="188"/>
        <v>1</v>
      </c>
      <c r="AT387" s="52">
        <f t="shared" si="188"/>
        <v>1</v>
      </c>
      <c r="AU387" s="52">
        <f t="shared" si="188"/>
        <v>1</v>
      </c>
      <c r="AV387" s="52">
        <f t="shared" si="188"/>
        <v>1</v>
      </c>
      <c r="AW387" s="52">
        <f t="shared" si="188"/>
        <v>1</v>
      </c>
      <c r="AX387" s="52">
        <f t="shared" si="188"/>
        <v>1</v>
      </c>
      <c r="AY387" s="52">
        <f t="shared" si="188"/>
        <v>1</v>
      </c>
      <c r="AZ387" s="52">
        <f t="shared" si="188"/>
        <v>1</v>
      </c>
      <c r="BA387" s="52">
        <f t="shared" si="188"/>
        <v>1</v>
      </c>
      <c r="BB387" s="52">
        <f t="shared" si="188"/>
        <v>1</v>
      </c>
      <c r="BC387" s="52">
        <f t="shared" si="188"/>
        <v>1</v>
      </c>
      <c r="BD387" s="52">
        <f t="shared" si="188"/>
        <v>1</v>
      </c>
      <c r="BE387" s="52">
        <f t="shared" si="188"/>
        <v>1</v>
      </c>
      <c r="BF387" s="52">
        <f t="shared" si="188"/>
        <v>1</v>
      </c>
      <c r="BG387" s="52">
        <f t="shared" ref="BG387:BN398" si="189">IF($F387=0,0,IF(BG$6&lt;$F387,0,IF(BG$6&gt;$G387,1,(BG$6-$F387+1)/($G387-$F387+1))))</f>
        <v>1</v>
      </c>
      <c r="BH387" s="52">
        <f t="shared" si="189"/>
        <v>1</v>
      </c>
      <c r="BI387" s="52">
        <f t="shared" si="189"/>
        <v>1</v>
      </c>
      <c r="BJ387" s="52">
        <f t="shared" si="189"/>
        <v>1</v>
      </c>
      <c r="BK387" s="52">
        <f t="shared" si="189"/>
        <v>1</v>
      </c>
      <c r="BL387" s="52">
        <f t="shared" si="189"/>
        <v>1</v>
      </c>
      <c r="BM387" s="52">
        <f t="shared" si="189"/>
        <v>1</v>
      </c>
      <c r="BN387" s="52">
        <f t="shared" si="189"/>
        <v>1</v>
      </c>
      <c r="BO387" s="32">
        <f t="shared" si="162"/>
        <v>0.52542372881355937</v>
      </c>
    </row>
    <row r="388" spans="1:67" x14ac:dyDescent="0.2">
      <c r="A388" s="50" t="s">
        <v>784</v>
      </c>
      <c r="B388" s="50" t="s">
        <v>785</v>
      </c>
      <c r="C388" s="50" t="s">
        <v>238</v>
      </c>
      <c r="D388" s="51">
        <f>VLOOKUP(A388,'[1]Cuadro Control'!C427:J2318,8,FALSE)</f>
        <v>179436034.15411764</v>
      </c>
      <c r="E388" s="52">
        <f t="shared" si="186"/>
        <v>3.3799272126209236E-2</v>
      </c>
      <c r="F388" s="53">
        <v>46407</v>
      </c>
      <c r="G388" s="53">
        <v>46413</v>
      </c>
      <c r="H388" s="52">
        <f t="shared" ref="H388:W398" si="190">IF($F388=0,0,IF(H$6&lt;$F388,0,IF(H$6&gt;$G388,1,(H$6-$F388+1)/($G388-$F388+1))))</f>
        <v>0</v>
      </c>
      <c r="I388" s="52">
        <f t="shared" si="190"/>
        <v>0</v>
      </c>
      <c r="J388" s="52">
        <f t="shared" si="190"/>
        <v>0</v>
      </c>
      <c r="K388" s="52">
        <f t="shared" si="190"/>
        <v>0</v>
      </c>
      <c r="L388" s="52">
        <f t="shared" si="190"/>
        <v>0</v>
      </c>
      <c r="M388" s="52">
        <f t="shared" si="190"/>
        <v>0</v>
      </c>
      <c r="N388" s="52">
        <f t="shared" si="190"/>
        <v>0</v>
      </c>
      <c r="O388" s="52">
        <f t="shared" si="190"/>
        <v>0</v>
      </c>
      <c r="P388" s="52">
        <f t="shared" si="190"/>
        <v>0</v>
      </c>
      <c r="Q388" s="52">
        <f t="shared" si="190"/>
        <v>0</v>
      </c>
      <c r="R388" s="52">
        <f t="shared" si="190"/>
        <v>0</v>
      </c>
      <c r="S388" s="52">
        <f t="shared" si="190"/>
        <v>0</v>
      </c>
      <c r="T388" s="52">
        <f t="shared" si="190"/>
        <v>0</v>
      </c>
      <c r="U388" s="52">
        <f t="shared" si="190"/>
        <v>0</v>
      </c>
      <c r="V388" s="52">
        <f t="shared" si="190"/>
        <v>0</v>
      </c>
      <c r="W388" s="52">
        <f t="shared" si="190"/>
        <v>0</v>
      </c>
      <c r="X388" s="52">
        <f t="shared" ref="X388:BC398" si="191">IF($F388=0,0,IF(X$6&lt;$F388,0,IF(X$6&gt;$G388,1,(X$6-$F388+1)/($G388-$F388+1))))</f>
        <v>0</v>
      </c>
      <c r="Y388" s="52">
        <f t="shared" si="191"/>
        <v>0</v>
      </c>
      <c r="Z388" s="52">
        <f t="shared" si="191"/>
        <v>0</v>
      </c>
      <c r="AA388" s="52">
        <f t="shared" si="191"/>
        <v>0</v>
      </c>
      <c r="AB388" s="52">
        <f t="shared" si="191"/>
        <v>0</v>
      </c>
      <c r="AC388" s="52">
        <f t="shared" si="191"/>
        <v>0</v>
      </c>
      <c r="AD388" s="52">
        <f t="shared" si="191"/>
        <v>0</v>
      </c>
      <c r="AE388" s="52">
        <f t="shared" si="191"/>
        <v>0</v>
      </c>
      <c r="AF388" s="52">
        <f t="shared" si="191"/>
        <v>0</v>
      </c>
      <c r="AG388" s="52">
        <f t="shared" si="191"/>
        <v>0</v>
      </c>
      <c r="AH388" s="52">
        <f t="shared" si="191"/>
        <v>0</v>
      </c>
      <c r="AI388" s="52">
        <f t="shared" si="191"/>
        <v>0</v>
      </c>
      <c r="AJ388" s="52">
        <f t="shared" si="191"/>
        <v>0.42857142857142855</v>
      </c>
      <c r="AK388" s="52">
        <f t="shared" si="191"/>
        <v>1</v>
      </c>
      <c r="AL388" s="52">
        <f t="shared" si="191"/>
        <v>1</v>
      </c>
      <c r="AM388" s="52">
        <f t="shared" si="191"/>
        <v>1</v>
      </c>
      <c r="AN388" s="52">
        <f t="shared" si="191"/>
        <v>1</v>
      </c>
      <c r="AO388" s="52">
        <f t="shared" si="188"/>
        <v>1</v>
      </c>
      <c r="AP388" s="52">
        <f t="shared" si="188"/>
        <v>1</v>
      </c>
      <c r="AQ388" s="52">
        <f t="shared" si="188"/>
        <v>1</v>
      </c>
      <c r="AR388" s="52">
        <f t="shared" si="188"/>
        <v>1</v>
      </c>
      <c r="AS388" s="52">
        <f t="shared" si="188"/>
        <v>1</v>
      </c>
      <c r="AT388" s="52">
        <f t="shared" si="188"/>
        <v>1</v>
      </c>
      <c r="AU388" s="52">
        <f t="shared" si="188"/>
        <v>1</v>
      </c>
      <c r="AV388" s="52">
        <f t="shared" si="188"/>
        <v>1</v>
      </c>
      <c r="AW388" s="52">
        <f t="shared" si="188"/>
        <v>1</v>
      </c>
      <c r="AX388" s="52">
        <f t="shared" si="188"/>
        <v>1</v>
      </c>
      <c r="AY388" s="52">
        <f t="shared" si="188"/>
        <v>1</v>
      </c>
      <c r="AZ388" s="52">
        <f t="shared" si="188"/>
        <v>1</v>
      </c>
      <c r="BA388" s="52">
        <f t="shared" si="188"/>
        <v>1</v>
      </c>
      <c r="BB388" s="52">
        <f t="shared" si="188"/>
        <v>1</v>
      </c>
      <c r="BC388" s="52">
        <f t="shared" si="188"/>
        <v>1</v>
      </c>
      <c r="BD388" s="52">
        <f t="shared" si="188"/>
        <v>1</v>
      </c>
      <c r="BE388" s="52">
        <f t="shared" si="188"/>
        <v>1</v>
      </c>
      <c r="BF388" s="52">
        <f t="shared" si="188"/>
        <v>1</v>
      </c>
      <c r="BG388" s="52">
        <f t="shared" si="189"/>
        <v>1</v>
      </c>
      <c r="BH388" s="52">
        <f t="shared" si="189"/>
        <v>1</v>
      </c>
      <c r="BI388" s="52">
        <f t="shared" si="189"/>
        <v>1</v>
      </c>
      <c r="BJ388" s="52">
        <f t="shared" si="189"/>
        <v>1</v>
      </c>
      <c r="BK388" s="52">
        <f t="shared" si="189"/>
        <v>1</v>
      </c>
      <c r="BL388" s="52">
        <f t="shared" si="189"/>
        <v>1</v>
      </c>
      <c r="BM388" s="52">
        <f t="shared" si="189"/>
        <v>1</v>
      </c>
      <c r="BN388" s="52">
        <f t="shared" si="189"/>
        <v>1</v>
      </c>
      <c r="BO388" s="32">
        <f t="shared" si="162"/>
        <v>0.5157384987893463</v>
      </c>
    </row>
    <row r="389" spans="1:67" x14ac:dyDescent="0.2">
      <c r="A389" s="50" t="s">
        <v>786</v>
      </c>
      <c r="B389" s="50" t="s">
        <v>787</v>
      </c>
      <c r="C389" s="50" t="s">
        <v>58</v>
      </c>
      <c r="D389" s="51">
        <f>VLOOKUP(A389,'[1]Cuadro Control'!C429:J2319,8,FALSE)</f>
        <v>1212623361.2117648</v>
      </c>
      <c r="E389" s="52">
        <f t="shared" si="186"/>
        <v>0.22841447185013161</v>
      </c>
      <c r="F389" s="53">
        <v>46413</v>
      </c>
      <c r="G389" s="53">
        <v>46428</v>
      </c>
      <c r="H389" s="52">
        <f t="shared" si="190"/>
        <v>0</v>
      </c>
      <c r="I389" s="52">
        <f t="shared" si="190"/>
        <v>0</v>
      </c>
      <c r="J389" s="52">
        <f t="shared" si="190"/>
        <v>0</v>
      </c>
      <c r="K389" s="52">
        <f t="shared" si="190"/>
        <v>0</v>
      </c>
      <c r="L389" s="52">
        <f t="shared" si="190"/>
        <v>0</v>
      </c>
      <c r="M389" s="52">
        <f t="shared" si="190"/>
        <v>0</v>
      </c>
      <c r="N389" s="52">
        <f t="shared" si="190"/>
        <v>0</v>
      </c>
      <c r="O389" s="52">
        <f t="shared" si="190"/>
        <v>0</v>
      </c>
      <c r="P389" s="52">
        <f t="shared" si="190"/>
        <v>0</v>
      </c>
      <c r="Q389" s="52">
        <f t="shared" si="190"/>
        <v>0</v>
      </c>
      <c r="R389" s="52">
        <f t="shared" si="190"/>
        <v>0</v>
      </c>
      <c r="S389" s="52">
        <f t="shared" si="190"/>
        <v>0</v>
      </c>
      <c r="T389" s="52">
        <f t="shared" si="190"/>
        <v>0</v>
      </c>
      <c r="U389" s="52">
        <f t="shared" si="190"/>
        <v>0</v>
      </c>
      <c r="V389" s="52">
        <f t="shared" si="190"/>
        <v>0</v>
      </c>
      <c r="W389" s="52">
        <f t="shared" si="190"/>
        <v>0</v>
      </c>
      <c r="X389" s="52">
        <f t="shared" si="191"/>
        <v>0</v>
      </c>
      <c r="Y389" s="52">
        <f t="shared" si="191"/>
        <v>0</v>
      </c>
      <c r="Z389" s="52">
        <f t="shared" si="191"/>
        <v>0</v>
      </c>
      <c r="AA389" s="52">
        <f t="shared" si="191"/>
        <v>0</v>
      </c>
      <c r="AB389" s="52">
        <f t="shared" si="191"/>
        <v>0</v>
      </c>
      <c r="AC389" s="52">
        <f t="shared" si="191"/>
        <v>0</v>
      </c>
      <c r="AD389" s="52">
        <f t="shared" si="191"/>
        <v>0</v>
      </c>
      <c r="AE389" s="52">
        <f t="shared" si="191"/>
        <v>0</v>
      </c>
      <c r="AF389" s="52">
        <f t="shared" si="191"/>
        <v>0</v>
      </c>
      <c r="AG389" s="52">
        <f t="shared" si="191"/>
        <v>0</v>
      </c>
      <c r="AH389" s="52">
        <f t="shared" si="191"/>
        <v>0</v>
      </c>
      <c r="AI389" s="52">
        <f t="shared" si="191"/>
        <v>0</v>
      </c>
      <c r="AJ389" s="52">
        <f t="shared" si="191"/>
        <v>0</v>
      </c>
      <c r="AK389" s="52">
        <f t="shared" si="191"/>
        <v>0.25</v>
      </c>
      <c r="AL389" s="52">
        <f t="shared" si="191"/>
        <v>0.6875</v>
      </c>
      <c r="AM389" s="52">
        <f t="shared" si="191"/>
        <v>1</v>
      </c>
      <c r="AN389" s="52">
        <f t="shared" si="191"/>
        <v>1</v>
      </c>
      <c r="AO389" s="52">
        <f t="shared" si="188"/>
        <v>1</v>
      </c>
      <c r="AP389" s="52">
        <f t="shared" si="188"/>
        <v>1</v>
      </c>
      <c r="AQ389" s="52">
        <f t="shared" si="188"/>
        <v>1</v>
      </c>
      <c r="AR389" s="52">
        <f t="shared" si="188"/>
        <v>1</v>
      </c>
      <c r="AS389" s="52">
        <f t="shared" si="188"/>
        <v>1</v>
      </c>
      <c r="AT389" s="52">
        <f t="shared" si="188"/>
        <v>1</v>
      </c>
      <c r="AU389" s="52">
        <f t="shared" si="188"/>
        <v>1</v>
      </c>
      <c r="AV389" s="52">
        <f t="shared" si="188"/>
        <v>1</v>
      </c>
      <c r="AW389" s="52">
        <f t="shared" si="188"/>
        <v>1</v>
      </c>
      <c r="AX389" s="52">
        <f t="shared" si="188"/>
        <v>1</v>
      </c>
      <c r="AY389" s="52">
        <f t="shared" si="188"/>
        <v>1</v>
      </c>
      <c r="AZ389" s="52">
        <f t="shared" si="188"/>
        <v>1</v>
      </c>
      <c r="BA389" s="52">
        <f t="shared" si="188"/>
        <v>1</v>
      </c>
      <c r="BB389" s="52">
        <f t="shared" si="188"/>
        <v>1</v>
      </c>
      <c r="BC389" s="52">
        <f t="shared" si="188"/>
        <v>1</v>
      </c>
      <c r="BD389" s="52">
        <f t="shared" si="188"/>
        <v>1</v>
      </c>
      <c r="BE389" s="52">
        <f t="shared" si="188"/>
        <v>1</v>
      </c>
      <c r="BF389" s="52">
        <f t="shared" si="188"/>
        <v>1</v>
      </c>
      <c r="BG389" s="52">
        <f t="shared" si="189"/>
        <v>1</v>
      </c>
      <c r="BH389" s="52">
        <f t="shared" si="189"/>
        <v>1</v>
      </c>
      <c r="BI389" s="52">
        <f t="shared" si="189"/>
        <v>1</v>
      </c>
      <c r="BJ389" s="52">
        <f t="shared" si="189"/>
        <v>1</v>
      </c>
      <c r="BK389" s="52">
        <f t="shared" si="189"/>
        <v>1</v>
      </c>
      <c r="BL389" s="52">
        <f t="shared" si="189"/>
        <v>1</v>
      </c>
      <c r="BM389" s="52">
        <f t="shared" si="189"/>
        <v>1</v>
      </c>
      <c r="BN389" s="52">
        <f t="shared" si="189"/>
        <v>1</v>
      </c>
      <c r="BO389" s="32">
        <f t="shared" si="162"/>
        <v>0.49046610169491528</v>
      </c>
    </row>
    <row r="390" spans="1:67" x14ac:dyDescent="0.2">
      <c r="A390" s="50" t="s">
        <v>788</v>
      </c>
      <c r="B390" s="50" t="s">
        <v>789</v>
      </c>
      <c r="C390" s="50" t="s">
        <v>126</v>
      </c>
      <c r="D390" s="51">
        <f>VLOOKUP(A390,'[1]Cuadro Control'!C430:J2320,8,FALSE)</f>
        <v>0</v>
      </c>
      <c r="E390" s="52">
        <f t="shared" si="186"/>
        <v>0</v>
      </c>
      <c r="F390" s="53">
        <v>46429</v>
      </c>
      <c r="G390" s="53">
        <v>46431</v>
      </c>
      <c r="H390" s="52">
        <f t="shared" si="190"/>
        <v>0</v>
      </c>
      <c r="I390" s="52">
        <f t="shared" si="190"/>
        <v>0</v>
      </c>
      <c r="J390" s="52">
        <f t="shared" si="190"/>
        <v>0</v>
      </c>
      <c r="K390" s="52">
        <f t="shared" si="190"/>
        <v>0</v>
      </c>
      <c r="L390" s="52">
        <f t="shared" si="190"/>
        <v>0</v>
      </c>
      <c r="M390" s="52">
        <f t="shared" si="190"/>
        <v>0</v>
      </c>
      <c r="N390" s="52">
        <f t="shared" si="190"/>
        <v>0</v>
      </c>
      <c r="O390" s="52">
        <f t="shared" si="190"/>
        <v>0</v>
      </c>
      <c r="P390" s="52">
        <f t="shared" si="190"/>
        <v>0</v>
      </c>
      <c r="Q390" s="52">
        <f t="shared" si="190"/>
        <v>0</v>
      </c>
      <c r="R390" s="52">
        <f t="shared" si="190"/>
        <v>0</v>
      </c>
      <c r="S390" s="52">
        <f t="shared" si="190"/>
        <v>0</v>
      </c>
      <c r="T390" s="52">
        <f t="shared" si="190"/>
        <v>0</v>
      </c>
      <c r="U390" s="52">
        <f t="shared" si="190"/>
        <v>0</v>
      </c>
      <c r="V390" s="52">
        <f t="shared" si="190"/>
        <v>0</v>
      </c>
      <c r="W390" s="52">
        <f t="shared" si="190"/>
        <v>0</v>
      </c>
      <c r="X390" s="52">
        <f t="shared" si="191"/>
        <v>0</v>
      </c>
      <c r="Y390" s="52">
        <f t="shared" si="191"/>
        <v>0</v>
      </c>
      <c r="Z390" s="52">
        <f t="shared" si="191"/>
        <v>0</v>
      </c>
      <c r="AA390" s="52">
        <f t="shared" si="191"/>
        <v>0</v>
      </c>
      <c r="AB390" s="52">
        <f t="shared" si="191"/>
        <v>0</v>
      </c>
      <c r="AC390" s="52">
        <f t="shared" si="191"/>
        <v>0</v>
      </c>
      <c r="AD390" s="52">
        <f t="shared" si="191"/>
        <v>0</v>
      </c>
      <c r="AE390" s="52">
        <f t="shared" si="191"/>
        <v>0</v>
      </c>
      <c r="AF390" s="52">
        <f t="shared" si="191"/>
        <v>0</v>
      </c>
      <c r="AG390" s="52">
        <f t="shared" si="191"/>
        <v>0</v>
      </c>
      <c r="AH390" s="52">
        <f t="shared" si="191"/>
        <v>0</v>
      </c>
      <c r="AI390" s="52">
        <f t="shared" si="191"/>
        <v>0</v>
      </c>
      <c r="AJ390" s="52">
        <f t="shared" si="191"/>
        <v>0</v>
      </c>
      <c r="AK390" s="52">
        <f t="shared" si="191"/>
        <v>0</v>
      </c>
      <c r="AL390" s="52">
        <f t="shared" si="191"/>
        <v>0</v>
      </c>
      <c r="AM390" s="52">
        <f t="shared" si="191"/>
        <v>0.66666666666666663</v>
      </c>
      <c r="AN390" s="52">
        <f t="shared" si="191"/>
        <v>1</v>
      </c>
      <c r="AO390" s="52">
        <f t="shared" si="188"/>
        <v>1</v>
      </c>
      <c r="AP390" s="52">
        <f t="shared" si="188"/>
        <v>1</v>
      </c>
      <c r="AQ390" s="52">
        <f t="shared" si="188"/>
        <v>1</v>
      </c>
      <c r="AR390" s="52">
        <f t="shared" si="188"/>
        <v>1</v>
      </c>
      <c r="AS390" s="52">
        <f t="shared" si="188"/>
        <v>1</v>
      </c>
      <c r="AT390" s="52">
        <f t="shared" si="188"/>
        <v>1</v>
      </c>
      <c r="AU390" s="52">
        <f t="shared" si="188"/>
        <v>1</v>
      </c>
      <c r="AV390" s="52">
        <f t="shared" si="188"/>
        <v>1</v>
      </c>
      <c r="AW390" s="52">
        <f t="shared" si="188"/>
        <v>1</v>
      </c>
      <c r="AX390" s="52">
        <f t="shared" si="188"/>
        <v>1</v>
      </c>
      <c r="AY390" s="52">
        <f t="shared" si="188"/>
        <v>1</v>
      </c>
      <c r="AZ390" s="52">
        <f t="shared" si="188"/>
        <v>1</v>
      </c>
      <c r="BA390" s="52">
        <f t="shared" si="188"/>
        <v>1</v>
      </c>
      <c r="BB390" s="52">
        <f t="shared" si="188"/>
        <v>1</v>
      </c>
      <c r="BC390" s="52">
        <f t="shared" si="188"/>
        <v>1</v>
      </c>
      <c r="BD390" s="52">
        <f t="shared" si="188"/>
        <v>1</v>
      </c>
      <c r="BE390" s="52">
        <f t="shared" si="188"/>
        <v>1</v>
      </c>
      <c r="BF390" s="52">
        <f t="shared" si="188"/>
        <v>1</v>
      </c>
      <c r="BG390" s="52">
        <f t="shared" si="189"/>
        <v>1</v>
      </c>
      <c r="BH390" s="52">
        <f t="shared" si="189"/>
        <v>1</v>
      </c>
      <c r="BI390" s="52">
        <f t="shared" si="189"/>
        <v>1</v>
      </c>
      <c r="BJ390" s="52">
        <f t="shared" si="189"/>
        <v>1</v>
      </c>
      <c r="BK390" s="52">
        <f t="shared" si="189"/>
        <v>1</v>
      </c>
      <c r="BL390" s="52">
        <f t="shared" si="189"/>
        <v>1</v>
      </c>
      <c r="BM390" s="52">
        <f t="shared" si="189"/>
        <v>1</v>
      </c>
      <c r="BN390" s="52">
        <f t="shared" si="189"/>
        <v>1</v>
      </c>
      <c r="BO390" s="32">
        <f t="shared" si="162"/>
        <v>0.46892655367231634</v>
      </c>
    </row>
    <row r="391" spans="1:67" ht="24" x14ac:dyDescent="0.2">
      <c r="A391" s="55" t="s">
        <v>790</v>
      </c>
      <c r="B391" s="55" t="s">
        <v>791</v>
      </c>
      <c r="C391" s="55" t="s">
        <v>14</v>
      </c>
      <c r="D391" s="56">
        <f>VLOOKUP(A391,'[1]Cuadro Control'!C431:J2321,8,FALSE)</f>
        <v>0</v>
      </c>
      <c r="E391" s="57">
        <f t="shared" si="186"/>
        <v>0</v>
      </c>
      <c r="F391" s="58">
        <v>46428</v>
      </c>
      <c r="G391" s="58">
        <v>46428</v>
      </c>
      <c r="H391" s="57">
        <f t="shared" si="190"/>
        <v>0</v>
      </c>
      <c r="I391" s="57">
        <f t="shared" si="190"/>
        <v>0</v>
      </c>
      <c r="J391" s="57">
        <f t="shared" si="190"/>
        <v>0</v>
      </c>
      <c r="K391" s="57">
        <f t="shared" si="190"/>
        <v>0</v>
      </c>
      <c r="L391" s="57">
        <f t="shared" si="190"/>
        <v>0</v>
      </c>
      <c r="M391" s="57">
        <f t="shared" si="190"/>
        <v>0</v>
      </c>
      <c r="N391" s="57">
        <f t="shared" si="190"/>
        <v>0</v>
      </c>
      <c r="O391" s="57">
        <f t="shared" si="190"/>
        <v>0</v>
      </c>
      <c r="P391" s="57">
        <f t="shared" si="190"/>
        <v>0</v>
      </c>
      <c r="Q391" s="57">
        <f t="shared" si="190"/>
        <v>0</v>
      </c>
      <c r="R391" s="57">
        <f t="shared" si="190"/>
        <v>0</v>
      </c>
      <c r="S391" s="57">
        <f t="shared" si="190"/>
        <v>0</v>
      </c>
      <c r="T391" s="57">
        <f t="shared" si="190"/>
        <v>0</v>
      </c>
      <c r="U391" s="57">
        <f t="shared" si="190"/>
        <v>0</v>
      </c>
      <c r="V391" s="57">
        <f t="shared" si="190"/>
        <v>0</v>
      </c>
      <c r="W391" s="57">
        <f t="shared" si="190"/>
        <v>0</v>
      </c>
      <c r="X391" s="57">
        <f t="shared" si="191"/>
        <v>0</v>
      </c>
      <c r="Y391" s="57">
        <f t="shared" si="191"/>
        <v>0</v>
      </c>
      <c r="Z391" s="57">
        <f t="shared" si="191"/>
        <v>0</v>
      </c>
      <c r="AA391" s="57">
        <f t="shared" si="191"/>
        <v>0</v>
      </c>
      <c r="AB391" s="57">
        <f t="shared" si="191"/>
        <v>0</v>
      </c>
      <c r="AC391" s="57">
        <f t="shared" si="191"/>
        <v>0</v>
      </c>
      <c r="AD391" s="57">
        <f t="shared" si="191"/>
        <v>0</v>
      </c>
      <c r="AE391" s="57">
        <f t="shared" si="191"/>
        <v>0</v>
      </c>
      <c r="AF391" s="57">
        <f t="shared" si="191"/>
        <v>0</v>
      </c>
      <c r="AG391" s="57">
        <f t="shared" si="191"/>
        <v>0</v>
      </c>
      <c r="AH391" s="57">
        <f t="shared" si="191"/>
        <v>0</v>
      </c>
      <c r="AI391" s="57">
        <f t="shared" si="191"/>
        <v>0</v>
      </c>
      <c r="AJ391" s="57">
        <f t="shared" si="191"/>
        <v>0</v>
      </c>
      <c r="AK391" s="57">
        <f t="shared" si="191"/>
        <v>0</v>
      </c>
      <c r="AL391" s="57">
        <f t="shared" si="191"/>
        <v>0</v>
      </c>
      <c r="AM391" s="57">
        <f t="shared" si="191"/>
        <v>1</v>
      </c>
      <c r="AN391" s="57">
        <f t="shared" si="191"/>
        <v>1</v>
      </c>
      <c r="AO391" s="57">
        <f t="shared" si="188"/>
        <v>1</v>
      </c>
      <c r="AP391" s="57">
        <f t="shared" si="188"/>
        <v>1</v>
      </c>
      <c r="AQ391" s="57">
        <f t="shared" si="188"/>
        <v>1</v>
      </c>
      <c r="AR391" s="57">
        <f t="shared" si="188"/>
        <v>1</v>
      </c>
      <c r="AS391" s="57">
        <f t="shared" si="188"/>
        <v>1</v>
      </c>
      <c r="AT391" s="57">
        <f t="shared" si="188"/>
        <v>1</v>
      </c>
      <c r="AU391" s="57">
        <f t="shared" si="188"/>
        <v>1</v>
      </c>
      <c r="AV391" s="57">
        <f t="shared" si="188"/>
        <v>1</v>
      </c>
      <c r="AW391" s="57">
        <f t="shared" si="188"/>
        <v>1</v>
      </c>
      <c r="AX391" s="57">
        <f t="shared" si="188"/>
        <v>1</v>
      </c>
      <c r="AY391" s="57">
        <f t="shared" si="188"/>
        <v>1</v>
      </c>
      <c r="AZ391" s="57">
        <f t="shared" si="188"/>
        <v>1</v>
      </c>
      <c r="BA391" s="57">
        <f t="shared" si="188"/>
        <v>1</v>
      </c>
      <c r="BB391" s="57">
        <f t="shared" si="188"/>
        <v>1</v>
      </c>
      <c r="BC391" s="57">
        <f t="shared" si="188"/>
        <v>1</v>
      </c>
      <c r="BD391" s="57">
        <f t="shared" si="188"/>
        <v>1</v>
      </c>
      <c r="BE391" s="57">
        <f t="shared" si="188"/>
        <v>1</v>
      </c>
      <c r="BF391" s="57">
        <f t="shared" si="188"/>
        <v>1</v>
      </c>
      <c r="BG391" s="57">
        <f t="shared" si="189"/>
        <v>1</v>
      </c>
      <c r="BH391" s="57">
        <f t="shared" si="189"/>
        <v>1</v>
      </c>
      <c r="BI391" s="57">
        <f t="shared" si="189"/>
        <v>1</v>
      </c>
      <c r="BJ391" s="57">
        <f t="shared" si="189"/>
        <v>1</v>
      </c>
      <c r="BK391" s="57">
        <f t="shared" si="189"/>
        <v>1</v>
      </c>
      <c r="BL391" s="57">
        <f t="shared" si="189"/>
        <v>1</v>
      </c>
      <c r="BM391" s="57">
        <f t="shared" si="189"/>
        <v>1</v>
      </c>
      <c r="BN391" s="57">
        <f t="shared" si="189"/>
        <v>1</v>
      </c>
      <c r="BO391" s="32">
        <f t="shared" si="162"/>
        <v>0.47457627118644069</v>
      </c>
    </row>
    <row r="392" spans="1:67" x14ac:dyDescent="0.2">
      <c r="A392" s="50" t="s">
        <v>792</v>
      </c>
      <c r="B392" s="50" t="s">
        <v>793</v>
      </c>
      <c r="C392" s="50" t="s">
        <v>111</v>
      </c>
      <c r="D392" s="51">
        <f>VLOOKUP(A392,'[1]Cuadro Control'!C432:J2322,8,FALSE)</f>
        <v>1230815225.9452939</v>
      </c>
      <c r="E392" s="52">
        <f t="shared" si="186"/>
        <v>0.2318411625341423</v>
      </c>
      <c r="F392" s="53">
        <v>46431</v>
      </c>
      <c r="G392" s="53">
        <v>46433</v>
      </c>
      <c r="H392" s="52">
        <f t="shared" si="190"/>
        <v>0</v>
      </c>
      <c r="I392" s="52">
        <f t="shared" si="190"/>
        <v>0</v>
      </c>
      <c r="J392" s="52">
        <f t="shared" si="190"/>
        <v>0</v>
      </c>
      <c r="K392" s="52">
        <f t="shared" si="190"/>
        <v>0</v>
      </c>
      <c r="L392" s="52">
        <f t="shared" si="190"/>
        <v>0</v>
      </c>
      <c r="M392" s="52">
        <f t="shared" si="190"/>
        <v>0</v>
      </c>
      <c r="N392" s="52">
        <f t="shared" si="190"/>
        <v>0</v>
      </c>
      <c r="O392" s="52">
        <f t="shared" si="190"/>
        <v>0</v>
      </c>
      <c r="P392" s="52">
        <f t="shared" si="190"/>
        <v>0</v>
      </c>
      <c r="Q392" s="52">
        <f t="shared" si="190"/>
        <v>0</v>
      </c>
      <c r="R392" s="52">
        <f t="shared" si="190"/>
        <v>0</v>
      </c>
      <c r="S392" s="52">
        <f t="shared" si="190"/>
        <v>0</v>
      </c>
      <c r="T392" s="52">
        <f t="shared" si="190"/>
        <v>0</v>
      </c>
      <c r="U392" s="52">
        <f t="shared" si="190"/>
        <v>0</v>
      </c>
      <c r="V392" s="52">
        <f t="shared" si="190"/>
        <v>0</v>
      </c>
      <c r="W392" s="52">
        <f t="shared" si="190"/>
        <v>0</v>
      </c>
      <c r="X392" s="52">
        <f t="shared" si="191"/>
        <v>0</v>
      </c>
      <c r="Y392" s="52">
        <f t="shared" si="191"/>
        <v>0</v>
      </c>
      <c r="Z392" s="52">
        <f t="shared" si="191"/>
        <v>0</v>
      </c>
      <c r="AA392" s="52">
        <f t="shared" si="191"/>
        <v>0</v>
      </c>
      <c r="AB392" s="52">
        <f t="shared" si="191"/>
        <v>0</v>
      </c>
      <c r="AC392" s="52">
        <f t="shared" si="191"/>
        <v>0</v>
      </c>
      <c r="AD392" s="52">
        <f t="shared" si="191"/>
        <v>0</v>
      </c>
      <c r="AE392" s="52">
        <f t="shared" si="191"/>
        <v>0</v>
      </c>
      <c r="AF392" s="52">
        <f t="shared" si="191"/>
        <v>0</v>
      </c>
      <c r="AG392" s="52">
        <f t="shared" si="191"/>
        <v>0</v>
      </c>
      <c r="AH392" s="52">
        <f t="shared" si="191"/>
        <v>0</v>
      </c>
      <c r="AI392" s="52">
        <f t="shared" si="191"/>
        <v>0</v>
      </c>
      <c r="AJ392" s="52">
        <f t="shared" si="191"/>
        <v>0</v>
      </c>
      <c r="AK392" s="52">
        <f t="shared" si="191"/>
        <v>0</v>
      </c>
      <c r="AL392" s="52">
        <f t="shared" si="191"/>
        <v>0</v>
      </c>
      <c r="AM392" s="52">
        <f t="shared" si="191"/>
        <v>0</v>
      </c>
      <c r="AN392" s="52">
        <f t="shared" si="191"/>
        <v>1</v>
      </c>
      <c r="AO392" s="52">
        <f t="shared" si="188"/>
        <v>1</v>
      </c>
      <c r="AP392" s="52">
        <f t="shared" si="188"/>
        <v>1</v>
      </c>
      <c r="AQ392" s="52">
        <f t="shared" si="188"/>
        <v>1</v>
      </c>
      <c r="AR392" s="52">
        <f t="shared" si="188"/>
        <v>1</v>
      </c>
      <c r="AS392" s="52">
        <f t="shared" si="188"/>
        <v>1</v>
      </c>
      <c r="AT392" s="52">
        <f t="shared" si="188"/>
        <v>1</v>
      </c>
      <c r="AU392" s="52">
        <f t="shared" si="188"/>
        <v>1</v>
      </c>
      <c r="AV392" s="52">
        <f t="shared" si="188"/>
        <v>1</v>
      </c>
      <c r="AW392" s="52">
        <f t="shared" si="188"/>
        <v>1</v>
      </c>
      <c r="AX392" s="52">
        <f t="shared" si="188"/>
        <v>1</v>
      </c>
      <c r="AY392" s="52">
        <f t="shared" si="188"/>
        <v>1</v>
      </c>
      <c r="AZ392" s="52">
        <f t="shared" si="188"/>
        <v>1</v>
      </c>
      <c r="BA392" s="52">
        <f t="shared" si="188"/>
        <v>1</v>
      </c>
      <c r="BB392" s="52">
        <f t="shared" si="188"/>
        <v>1</v>
      </c>
      <c r="BC392" s="52">
        <f t="shared" si="188"/>
        <v>1</v>
      </c>
      <c r="BD392" s="52">
        <f t="shared" si="188"/>
        <v>1</v>
      </c>
      <c r="BE392" s="52">
        <f t="shared" si="188"/>
        <v>1</v>
      </c>
      <c r="BF392" s="52">
        <f t="shared" si="188"/>
        <v>1</v>
      </c>
      <c r="BG392" s="52">
        <f t="shared" si="189"/>
        <v>1</v>
      </c>
      <c r="BH392" s="52">
        <f t="shared" si="189"/>
        <v>1</v>
      </c>
      <c r="BI392" s="52">
        <f t="shared" si="189"/>
        <v>1</v>
      </c>
      <c r="BJ392" s="52">
        <f t="shared" si="189"/>
        <v>1</v>
      </c>
      <c r="BK392" s="52">
        <f t="shared" si="189"/>
        <v>1</v>
      </c>
      <c r="BL392" s="52">
        <f t="shared" si="189"/>
        <v>1</v>
      </c>
      <c r="BM392" s="52">
        <f t="shared" si="189"/>
        <v>1</v>
      </c>
      <c r="BN392" s="52">
        <f t="shared" si="189"/>
        <v>1</v>
      </c>
      <c r="BO392" s="32">
        <f t="shared" si="162"/>
        <v>0.4576271186440678</v>
      </c>
    </row>
    <row r="393" spans="1:67" x14ac:dyDescent="0.2">
      <c r="A393" s="50" t="s">
        <v>794</v>
      </c>
      <c r="B393" s="50" t="s">
        <v>795</v>
      </c>
      <c r="C393" s="50" t="s">
        <v>238</v>
      </c>
      <c r="D393" s="51">
        <f>VLOOKUP(A393,'[1]Cuadro Control'!C433:J2323,8,FALSE)</f>
        <v>0</v>
      </c>
      <c r="E393" s="52">
        <f t="shared" si="186"/>
        <v>0</v>
      </c>
      <c r="F393" s="53">
        <v>46433</v>
      </c>
      <c r="G393" s="53">
        <v>46440</v>
      </c>
      <c r="H393" s="52">
        <f t="shared" si="190"/>
        <v>0</v>
      </c>
      <c r="I393" s="52">
        <f t="shared" si="190"/>
        <v>0</v>
      </c>
      <c r="J393" s="52">
        <f t="shared" si="190"/>
        <v>0</v>
      </c>
      <c r="K393" s="52">
        <f t="shared" si="190"/>
        <v>0</v>
      </c>
      <c r="L393" s="52">
        <f t="shared" si="190"/>
        <v>0</v>
      </c>
      <c r="M393" s="52">
        <f t="shared" si="190"/>
        <v>0</v>
      </c>
      <c r="N393" s="52">
        <f t="shared" si="190"/>
        <v>0</v>
      </c>
      <c r="O393" s="52">
        <f t="shared" si="190"/>
        <v>0</v>
      </c>
      <c r="P393" s="52">
        <f t="shared" si="190"/>
        <v>0</v>
      </c>
      <c r="Q393" s="52">
        <f t="shared" si="190"/>
        <v>0</v>
      </c>
      <c r="R393" s="52">
        <f t="shared" si="190"/>
        <v>0</v>
      </c>
      <c r="S393" s="52">
        <f t="shared" si="190"/>
        <v>0</v>
      </c>
      <c r="T393" s="52">
        <f t="shared" si="190"/>
        <v>0</v>
      </c>
      <c r="U393" s="52">
        <f t="shared" si="190"/>
        <v>0</v>
      </c>
      <c r="V393" s="52">
        <f t="shared" si="190"/>
        <v>0</v>
      </c>
      <c r="W393" s="52">
        <f t="shared" si="190"/>
        <v>0</v>
      </c>
      <c r="X393" s="52">
        <f t="shared" si="191"/>
        <v>0</v>
      </c>
      <c r="Y393" s="52">
        <f t="shared" si="191"/>
        <v>0</v>
      </c>
      <c r="Z393" s="52">
        <f t="shared" si="191"/>
        <v>0</v>
      </c>
      <c r="AA393" s="52">
        <f t="shared" si="191"/>
        <v>0</v>
      </c>
      <c r="AB393" s="52">
        <f t="shared" si="191"/>
        <v>0</v>
      </c>
      <c r="AC393" s="52">
        <f t="shared" si="191"/>
        <v>0</v>
      </c>
      <c r="AD393" s="52">
        <f t="shared" si="191"/>
        <v>0</v>
      </c>
      <c r="AE393" s="52">
        <f t="shared" si="191"/>
        <v>0</v>
      </c>
      <c r="AF393" s="52">
        <f t="shared" si="191"/>
        <v>0</v>
      </c>
      <c r="AG393" s="52">
        <f t="shared" si="191"/>
        <v>0</v>
      </c>
      <c r="AH393" s="52">
        <f t="shared" si="191"/>
        <v>0</v>
      </c>
      <c r="AI393" s="52">
        <f t="shared" si="191"/>
        <v>0</v>
      </c>
      <c r="AJ393" s="52">
        <f t="shared" si="191"/>
        <v>0</v>
      </c>
      <c r="AK393" s="52">
        <f t="shared" si="191"/>
        <v>0</v>
      </c>
      <c r="AL393" s="52">
        <f t="shared" si="191"/>
        <v>0</v>
      </c>
      <c r="AM393" s="52">
        <f t="shared" si="191"/>
        <v>0</v>
      </c>
      <c r="AN393" s="52">
        <f t="shared" si="191"/>
        <v>0.625</v>
      </c>
      <c r="AO393" s="52">
        <f t="shared" si="188"/>
        <v>1</v>
      </c>
      <c r="AP393" s="52">
        <f t="shared" si="188"/>
        <v>1</v>
      </c>
      <c r="AQ393" s="52">
        <f t="shared" si="188"/>
        <v>1</v>
      </c>
      <c r="AR393" s="52">
        <f t="shared" si="188"/>
        <v>1</v>
      </c>
      <c r="AS393" s="52">
        <f t="shared" si="188"/>
        <v>1</v>
      </c>
      <c r="AT393" s="52">
        <f t="shared" si="188"/>
        <v>1</v>
      </c>
      <c r="AU393" s="52">
        <f t="shared" si="188"/>
        <v>1</v>
      </c>
      <c r="AV393" s="52">
        <f t="shared" si="188"/>
        <v>1</v>
      </c>
      <c r="AW393" s="52">
        <f t="shared" si="188"/>
        <v>1</v>
      </c>
      <c r="AX393" s="52">
        <f t="shared" si="188"/>
        <v>1</v>
      </c>
      <c r="AY393" s="52">
        <f t="shared" si="188"/>
        <v>1</v>
      </c>
      <c r="AZ393" s="52">
        <f t="shared" si="188"/>
        <v>1</v>
      </c>
      <c r="BA393" s="52">
        <f t="shared" si="188"/>
        <v>1</v>
      </c>
      <c r="BB393" s="52">
        <f t="shared" si="188"/>
        <v>1</v>
      </c>
      <c r="BC393" s="52">
        <f t="shared" si="188"/>
        <v>1</v>
      </c>
      <c r="BD393" s="52">
        <f t="shared" si="188"/>
        <v>1</v>
      </c>
      <c r="BE393" s="52">
        <f t="shared" si="188"/>
        <v>1</v>
      </c>
      <c r="BF393" s="52">
        <f t="shared" si="188"/>
        <v>1</v>
      </c>
      <c r="BG393" s="52">
        <f t="shared" si="189"/>
        <v>1</v>
      </c>
      <c r="BH393" s="52">
        <f t="shared" si="189"/>
        <v>1</v>
      </c>
      <c r="BI393" s="52">
        <f t="shared" si="189"/>
        <v>1</v>
      </c>
      <c r="BJ393" s="52">
        <f t="shared" si="189"/>
        <v>1</v>
      </c>
      <c r="BK393" s="52">
        <f t="shared" si="189"/>
        <v>1</v>
      </c>
      <c r="BL393" s="52">
        <f t="shared" si="189"/>
        <v>1</v>
      </c>
      <c r="BM393" s="52">
        <f t="shared" si="189"/>
        <v>1</v>
      </c>
      <c r="BN393" s="52">
        <f t="shared" si="189"/>
        <v>1</v>
      </c>
      <c r="BO393" s="32">
        <f t="shared" si="162"/>
        <v>0.45127118644067798</v>
      </c>
    </row>
    <row r="394" spans="1:67" ht="24" x14ac:dyDescent="0.2">
      <c r="A394" s="50" t="s">
        <v>796</v>
      </c>
      <c r="B394" s="50" t="s">
        <v>797</v>
      </c>
      <c r="C394" s="50" t="s">
        <v>126</v>
      </c>
      <c r="D394" s="51">
        <f>VLOOKUP(A394,'[1]Cuadro Control'!C434:J2324,8,FALSE)</f>
        <v>52736347.43270281</v>
      </c>
      <c r="E394" s="52">
        <f t="shared" si="186"/>
        <v>9.933624348213644E-3</v>
      </c>
      <c r="F394" s="53">
        <v>46441</v>
      </c>
      <c r="G394" s="53">
        <v>46443</v>
      </c>
      <c r="H394" s="52">
        <f t="shared" si="190"/>
        <v>0</v>
      </c>
      <c r="I394" s="52">
        <f t="shared" si="190"/>
        <v>0</v>
      </c>
      <c r="J394" s="52">
        <f t="shared" si="190"/>
        <v>0</v>
      </c>
      <c r="K394" s="52">
        <f t="shared" si="190"/>
        <v>0</v>
      </c>
      <c r="L394" s="52">
        <f t="shared" si="190"/>
        <v>0</v>
      </c>
      <c r="M394" s="52">
        <f t="shared" si="190"/>
        <v>0</v>
      </c>
      <c r="N394" s="52">
        <f t="shared" si="190"/>
        <v>0</v>
      </c>
      <c r="O394" s="52">
        <f t="shared" si="190"/>
        <v>0</v>
      </c>
      <c r="P394" s="52">
        <f t="shared" si="190"/>
        <v>0</v>
      </c>
      <c r="Q394" s="52">
        <f t="shared" si="190"/>
        <v>0</v>
      </c>
      <c r="R394" s="52">
        <f t="shared" si="190"/>
        <v>0</v>
      </c>
      <c r="S394" s="52">
        <f t="shared" si="190"/>
        <v>0</v>
      </c>
      <c r="T394" s="52">
        <f t="shared" si="190"/>
        <v>0</v>
      </c>
      <c r="U394" s="52">
        <f t="shared" si="190"/>
        <v>0</v>
      </c>
      <c r="V394" s="52">
        <f t="shared" si="190"/>
        <v>0</v>
      </c>
      <c r="W394" s="52">
        <f t="shared" si="190"/>
        <v>0</v>
      </c>
      <c r="X394" s="52">
        <f t="shared" si="191"/>
        <v>0</v>
      </c>
      <c r="Y394" s="52">
        <f t="shared" si="191"/>
        <v>0</v>
      </c>
      <c r="Z394" s="52">
        <f t="shared" si="191"/>
        <v>0</v>
      </c>
      <c r="AA394" s="52">
        <f t="shared" si="191"/>
        <v>0</v>
      </c>
      <c r="AB394" s="52">
        <f t="shared" si="191"/>
        <v>0</v>
      </c>
      <c r="AC394" s="52">
        <f t="shared" si="191"/>
        <v>0</v>
      </c>
      <c r="AD394" s="52">
        <f t="shared" si="191"/>
        <v>0</v>
      </c>
      <c r="AE394" s="52">
        <f t="shared" si="191"/>
        <v>0</v>
      </c>
      <c r="AF394" s="52">
        <f t="shared" si="191"/>
        <v>0</v>
      </c>
      <c r="AG394" s="52">
        <f t="shared" si="191"/>
        <v>0</v>
      </c>
      <c r="AH394" s="52">
        <f t="shared" si="191"/>
        <v>0</v>
      </c>
      <c r="AI394" s="52">
        <f t="shared" si="191"/>
        <v>0</v>
      </c>
      <c r="AJ394" s="52">
        <f t="shared" si="191"/>
        <v>0</v>
      </c>
      <c r="AK394" s="52">
        <f t="shared" si="191"/>
        <v>0</v>
      </c>
      <c r="AL394" s="52">
        <f t="shared" si="191"/>
        <v>0</v>
      </c>
      <c r="AM394" s="52">
        <f t="shared" si="191"/>
        <v>0</v>
      </c>
      <c r="AN394" s="52">
        <f t="shared" si="191"/>
        <v>0</v>
      </c>
      <c r="AO394" s="52">
        <f t="shared" si="188"/>
        <v>1</v>
      </c>
      <c r="AP394" s="52">
        <f t="shared" si="188"/>
        <v>1</v>
      </c>
      <c r="AQ394" s="52">
        <f t="shared" si="188"/>
        <v>1</v>
      </c>
      <c r="AR394" s="52">
        <f t="shared" si="188"/>
        <v>1</v>
      </c>
      <c r="AS394" s="52">
        <f t="shared" si="188"/>
        <v>1</v>
      </c>
      <c r="AT394" s="52">
        <f t="shared" si="188"/>
        <v>1</v>
      </c>
      <c r="AU394" s="52">
        <f t="shared" si="188"/>
        <v>1</v>
      </c>
      <c r="AV394" s="52">
        <f t="shared" si="188"/>
        <v>1</v>
      </c>
      <c r="AW394" s="52">
        <f t="shared" si="188"/>
        <v>1</v>
      </c>
      <c r="AX394" s="52">
        <f t="shared" si="188"/>
        <v>1</v>
      </c>
      <c r="AY394" s="52">
        <f t="shared" si="188"/>
        <v>1</v>
      </c>
      <c r="AZ394" s="52">
        <f t="shared" si="188"/>
        <v>1</v>
      </c>
      <c r="BA394" s="52">
        <f t="shared" si="188"/>
        <v>1</v>
      </c>
      <c r="BB394" s="52">
        <f t="shared" si="188"/>
        <v>1</v>
      </c>
      <c r="BC394" s="52">
        <f t="shared" si="188"/>
        <v>1</v>
      </c>
      <c r="BD394" s="52">
        <f t="shared" si="188"/>
        <v>1</v>
      </c>
      <c r="BE394" s="52">
        <f t="shared" si="188"/>
        <v>1</v>
      </c>
      <c r="BF394" s="52">
        <f t="shared" si="188"/>
        <v>1</v>
      </c>
      <c r="BG394" s="52">
        <f t="shared" si="189"/>
        <v>1</v>
      </c>
      <c r="BH394" s="52">
        <f t="shared" si="189"/>
        <v>1</v>
      </c>
      <c r="BI394" s="52">
        <f t="shared" si="189"/>
        <v>1</v>
      </c>
      <c r="BJ394" s="52">
        <f t="shared" si="189"/>
        <v>1</v>
      </c>
      <c r="BK394" s="52">
        <f t="shared" si="189"/>
        <v>1</v>
      </c>
      <c r="BL394" s="52">
        <f t="shared" si="189"/>
        <v>1</v>
      </c>
      <c r="BM394" s="52">
        <f t="shared" si="189"/>
        <v>1</v>
      </c>
      <c r="BN394" s="52">
        <f t="shared" si="189"/>
        <v>1</v>
      </c>
      <c r="BO394" s="32">
        <f t="shared" ref="BO394:BO457" si="192">+AVERAGE(H394:BN394)</f>
        <v>0.44067796610169491</v>
      </c>
    </row>
    <row r="395" spans="1:67" ht="24" x14ac:dyDescent="0.2">
      <c r="A395" s="50" t="s">
        <v>798</v>
      </c>
      <c r="B395" s="50" t="s">
        <v>799</v>
      </c>
      <c r="C395" s="50" t="s">
        <v>117</v>
      </c>
      <c r="D395" s="51">
        <f>VLOOKUP(A395,'[1]Cuadro Control'!C435:J2325,8,FALSE)</f>
        <v>46410609.014634147</v>
      </c>
      <c r="E395" s="52">
        <f t="shared" si="186"/>
        <v>8.742083556535862E-3</v>
      </c>
      <c r="F395" s="53">
        <v>46443</v>
      </c>
      <c r="G395" s="53">
        <v>46445</v>
      </c>
      <c r="H395" s="52">
        <f t="shared" si="190"/>
        <v>0</v>
      </c>
      <c r="I395" s="52">
        <f t="shared" si="190"/>
        <v>0</v>
      </c>
      <c r="J395" s="52">
        <f t="shared" si="190"/>
        <v>0</v>
      </c>
      <c r="K395" s="52">
        <f t="shared" si="190"/>
        <v>0</v>
      </c>
      <c r="L395" s="52">
        <f t="shared" si="190"/>
        <v>0</v>
      </c>
      <c r="M395" s="52">
        <f t="shared" si="190"/>
        <v>0</v>
      </c>
      <c r="N395" s="52">
        <f t="shared" si="190"/>
        <v>0</v>
      </c>
      <c r="O395" s="52">
        <f t="shared" si="190"/>
        <v>0</v>
      </c>
      <c r="P395" s="52">
        <f t="shared" si="190"/>
        <v>0</v>
      </c>
      <c r="Q395" s="52">
        <f t="shared" si="190"/>
        <v>0</v>
      </c>
      <c r="R395" s="52">
        <f t="shared" si="190"/>
        <v>0</v>
      </c>
      <c r="S395" s="52">
        <f t="shared" si="190"/>
        <v>0</v>
      </c>
      <c r="T395" s="52">
        <f t="shared" si="190"/>
        <v>0</v>
      </c>
      <c r="U395" s="52">
        <f t="shared" si="190"/>
        <v>0</v>
      </c>
      <c r="V395" s="52">
        <f t="shared" si="190"/>
        <v>0</v>
      </c>
      <c r="W395" s="52">
        <f t="shared" si="190"/>
        <v>0</v>
      </c>
      <c r="X395" s="52">
        <f t="shared" si="191"/>
        <v>0</v>
      </c>
      <c r="Y395" s="52">
        <f t="shared" si="191"/>
        <v>0</v>
      </c>
      <c r="Z395" s="52">
        <f t="shared" si="191"/>
        <v>0</v>
      </c>
      <c r="AA395" s="52">
        <f t="shared" si="191"/>
        <v>0</v>
      </c>
      <c r="AB395" s="52">
        <f t="shared" si="191"/>
        <v>0</v>
      </c>
      <c r="AC395" s="52">
        <f t="shared" si="191"/>
        <v>0</v>
      </c>
      <c r="AD395" s="52">
        <f t="shared" si="191"/>
        <v>0</v>
      </c>
      <c r="AE395" s="52">
        <f t="shared" si="191"/>
        <v>0</v>
      </c>
      <c r="AF395" s="52">
        <f t="shared" si="191"/>
        <v>0</v>
      </c>
      <c r="AG395" s="52">
        <f t="shared" si="191"/>
        <v>0</v>
      </c>
      <c r="AH395" s="52">
        <f t="shared" si="191"/>
        <v>0</v>
      </c>
      <c r="AI395" s="52">
        <f t="shared" si="191"/>
        <v>0</v>
      </c>
      <c r="AJ395" s="52">
        <f t="shared" si="191"/>
        <v>0</v>
      </c>
      <c r="AK395" s="52">
        <f t="shared" si="191"/>
        <v>0</v>
      </c>
      <c r="AL395" s="52">
        <f t="shared" si="191"/>
        <v>0</v>
      </c>
      <c r="AM395" s="52">
        <f t="shared" si="191"/>
        <v>0</v>
      </c>
      <c r="AN395" s="52">
        <f t="shared" si="191"/>
        <v>0</v>
      </c>
      <c r="AO395" s="52">
        <f t="shared" si="188"/>
        <v>0.66666666666666663</v>
      </c>
      <c r="AP395" s="52">
        <f t="shared" si="188"/>
        <v>1</v>
      </c>
      <c r="AQ395" s="52">
        <f t="shared" si="188"/>
        <v>1</v>
      </c>
      <c r="AR395" s="52">
        <f t="shared" si="188"/>
        <v>1</v>
      </c>
      <c r="AS395" s="52">
        <f t="shared" si="188"/>
        <v>1</v>
      </c>
      <c r="AT395" s="52">
        <f t="shared" si="188"/>
        <v>1</v>
      </c>
      <c r="AU395" s="52">
        <f t="shared" si="188"/>
        <v>1</v>
      </c>
      <c r="AV395" s="52">
        <f t="shared" si="188"/>
        <v>1</v>
      </c>
      <c r="AW395" s="52">
        <f t="shared" si="188"/>
        <v>1</v>
      </c>
      <c r="AX395" s="52">
        <f t="shared" si="188"/>
        <v>1</v>
      </c>
      <c r="AY395" s="52">
        <f t="shared" si="188"/>
        <v>1</v>
      </c>
      <c r="AZ395" s="52">
        <f t="shared" si="188"/>
        <v>1</v>
      </c>
      <c r="BA395" s="52">
        <f t="shared" si="188"/>
        <v>1</v>
      </c>
      <c r="BB395" s="52">
        <f t="shared" si="188"/>
        <v>1</v>
      </c>
      <c r="BC395" s="52">
        <f t="shared" si="188"/>
        <v>1</v>
      </c>
      <c r="BD395" s="52">
        <f t="shared" si="188"/>
        <v>1</v>
      </c>
      <c r="BE395" s="52">
        <f t="shared" si="188"/>
        <v>1</v>
      </c>
      <c r="BF395" s="52">
        <f t="shared" si="188"/>
        <v>1</v>
      </c>
      <c r="BG395" s="52">
        <f t="shared" si="189"/>
        <v>1</v>
      </c>
      <c r="BH395" s="52">
        <f t="shared" si="189"/>
        <v>1</v>
      </c>
      <c r="BI395" s="52">
        <f t="shared" si="189"/>
        <v>1</v>
      </c>
      <c r="BJ395" s="52">
        <f t="shared" si="189"/>
        <v>1</v>
      </c>
      <c r="BK395" s="52">
        <f t="shared" si="189"/>
        <v>1</v>
      </c>
      <c r="BL395" s="52">
        <f t="shared" si="189"/>
        <v>1</v>
      </c>
      <c r="BM395" s="52">
        <f t="shared" si="189"/>
        <v>1</v>
      </c>
      <c r="BN395" s="52">
        <f t="shared" si="189"/>
        <v>1</v>
      </c>
      <c r="BO395" s="32">
        <f t="shared" si="192"/>
        <v>0.43502824858757055</v>
      </c>
    </row>
    <row r="396" spans="1:67" ht="24" x14ac:dyDescent="0.2">
      <c r="A396" s="50" t="s">
        <v>800</v>
      </c>
      <c r="B396" s="50" t="s">
        <v>801</v>
      </c>
      <c r="C396" s="50" t="s">
        <v>61</v>
      </c>
      <c r="D396" s="51">
        <f>VLOOKUP(A396,'[1]Cuadro Control'!C436:J2326,8,FALSE)</f>
        <v>1587346329.5488234</v>
      </c>
      <c r="E396" s="52">
        <f t="shared" si="186"/>
        <v>0.29899875353285565</v>
      </c>
      <c r="F396" s="53">
        <v>46443</v>
      </c>
      <c r="G396" s="53">
        <v>46454</v>
      </c>
      <c r="H396" s="52">
        <f t="shared" si="190"/>
        <v>0</v>
      </c>
      <c r="I396" s="52">
        <f t="shared" si="190"/>
        <v>0</v>
      </c>
      <c r="J396" s="52">
        <f t="shared" si="190"/>
        <v>0</v>
      </c>
      <c r="K396" s="52">
        <f t="shared" si="190"/>
        <v>0</v>
      </c>
      <c r="L396" s="52">
        <f t="shared" si="190"/>
        <v>0</v>
      </c>
      <c r="M396" s="52">
        <f t="shared" si="190"/>
        <v>0</v>
      </c>
      <c r="N396" s="52">
        <f t="shared" si="190"/>
        <v>0</v>
      </c>
      <c r="O396" s="52">
        <f t="shared" si="190"/>
        <v>0</v>
      </c>
      <c r="P396" s="52">
        <f t="shared" si="190"/>
        <v>0</v>
      </c>
      <c r="Q396" s="52">
        <f t="shared" si="190"/>
        <v>0</v>
      </c>
      <c r="R396" s="52">
        <f t="shared" si="190"/>
        <v>0</v>
      </c>
      <c r="S396" s="52">
        <f t="shared" si="190"/>
        <v>0</v>
      </c>
      <c r="T396" s="52">
        <f t="shared" si="190"/>
        <v>0</v>
      </c>
      <c r="U396" s="52">
        <f t="shared" si="190"/>
        <v>0</v>
      </c>
      <c r="V396" s="52">
        <f t="shared" si="190"/>
        <v>0</v>
      </c>
      <c r="W396" s="52">
        <f t="shared" si="190"/>
        <v>0</v>
      </c>
      <c r="X396" s="52">
        <f t="shared" si="191"/>
        <v>0</v>
      </c>
      <c r="Y396" s="52">
        <f t="shared" si="191"/>
        <v>0</v>
      </c>
      <c r="Z396" s="52">
        <f t="shared" si="191"/>
        <v>0</v>
      </c>
      <c r="AA396" s="52">
        <f t="shared" si="191"/>
        <v>0</v>
      </c>
      <c r="AB396" s="52">
        <f t="shared" si="191"/>
        <v>0</v>
      </c>
      <c r="AC396" s="52">
        <f t="shared" si="191"/>
        <v>0</v>
      </c>
      <c r="AD396" s="52">
        <f t="shared" si="191"/>
        <v>0</v>
      </c>
      <c r="AE396" s="52">
        <f t="shared" si="191"/>
        <v>0</v>
      </c>
      <c r="AF396" s="52">
        <f t="shared" si="191"/>
        <v>0</v>
      </c>
      <c r="AG396" s="52">
        <f t="shared" si="191"/>
        <v>0</v>
      </c>
      <c r="AH396" s="52">
        <f t="shared" si="191"/>
        <v>0</v>
      </c>
      <c r="AI396" s="52">
        <f t="shared" si="191"/>
        <v>0</v>
      </c>
      <c r="AJ396" s="52">
        <f t="shared" si="191"/>
        <v>0</v>
      </c>
      <c r="AK396" s="52">
        <f t="shared" si="191"/>
        <v>0</v>
      </c>
      <c r="AL396" s="52">
        <f t="shared" si="191"/>
        <v>0</v>
      </c>
      <c r="AM396" s="52">
        <f t="shared" si="191"/>
        <v>0</v>
      </c>
      <c r="AN396" s="52">
        <f t="shared" si="191"/>
        <v>0</v>
      </c>
      <c r="AO396" s="52">
        <f t="shared" si="188"/>
        <v>0.16666666666666666</v>
      </c>
      <c r="AP396" s="52">
        <f t="shared" si="188"/>
        <v>0.75</v>
      </c>
      <c r="AQ396" s="52">
        <f t="shared" si="188"/>
        <v>1</v>
      </c>
      <c r="AR396" s="52">
        <f t="shared" si="188"/>
        <v>1</v>
      </c>
      <c r="AS396" s="52">
        <f t="shared" si="188"/>
        <v>1</v>
      </c>
      <c r="AT396" s="52">
        <f t="shared" si="188"/>
        <v>1</v>
      </c>
      <c r="AU396" s="52">
        <f t="shared" si="188"/>
        <v>1</v>
      </c>
      <c r="AV396" s="52">
        <f t="shared" si="188"/>
        <v>1</v>
      </c>
      <c r="AW396" s="52">
        <f t="shared" si="188"/>
        <v>1</v>
      </c>
      <c r="AX396" s="52">
        <f t="shared" si="188"/>
        <v>1</v>
      </c>
      <c r="AY396" s="52">
        <f t="shared" si="188"/>
        <v>1</v>
      </c>
      <c r="AZ396" s="52">
        <f t="shared" si="188"/>
        <v>1</v>
      </c>
      <c r="BA396" s="52">
        <f t="shared" si="188"/>
        <v>1</v>
      </c>
      <c r="BB396" s="52">
        <f t="shared" si="188"/>
        <v>1</v>
      </c>
      <c r="BC396" s="52">
        <f t="shared" si="188"/>
        <v>1</v>
      </c>
      <c r="BD396" s="52">
        <f t="shared" si="188"/>
        <v>1</v>
      </c>
      <c r="BE396" s="52">
        <f t="shared" si="188"/>
        <v>1</v>
      </c>
      <c r="BF396" s="52">
        <f t="shared" si="188"/>
        <v>1</v>
      </c>
      <c r="BG396" s="52">
        <f t="shared" si="189"/>
        <v>1</v>
      </c>
      <c r="BH396" s="52">
        <f t="shared" si="189"/>
        <v>1</v>
      </c>
      <c r="BI396" s="52">
        <f t="shared" si="189"/>
        <v>1</v>
      </c>
      <c r="BJ396" s="52">
        <f t="shared" si="189"/>
        <v>1</v>
      </c>
      <c r="BK396" s="52">
        <f t="shared" si="189"/>
        <v>1</v>
      </c>
      <c r="BL396" s="52">
        <f t="shared" si="189"/>
        <v>1</v>
      </c>
      <c r="BM396" s="52">
        <f t="shared" si="189"/>
        <v>1</v>
      </c>
      <c r="BN396" s="52">
        <f t="shared" si="189"/>
        <v>1</v>
      </c>
      <c r="BO396" s="32">
        <f t="shared" si="192"/>
        <v>0.42231638418079093</v>
      </c>
    </row>
    <row r="397" spans="1:67" ht="30" x14ac:dyDescent="0.2">
      <c r="A397" s="46" t="s">
        <v>802</v>
      </c>
      <c r="B397" s="46" t="s">
        <v>803</v>
      </c>
      <c r="C397" s="46" t="s">
        <v>61</v>
      </c>
      <c r="D397" s="47">
        <f>VLOOKUP(A397,'[1]Cuadro Control'!C437:J2327,8,FALSE)</f>
        <v>179532477.23999998</v>
      </c>
      <c r="E397" s="48">
        <f t="shared" si="186"/>
        <v>3.3817438522495219E-2</v>
      </c>
      <c r="F397" s="49">
        <v>46445</v>
      </c>
      <c r="G397" s="49">
        <v>46458</v>
      </c>
      <c r="H397" s="48">
        <f t="shared" si="190"/>
        <v>0</v>
      </c>
      <c r="I397" s="48">
        <f t="shared" si="190"/>
        <v>0</v>
      </c>
      <c r="J397" s="48">
        <f t="shared" si="190"/>
        <v>0</v>
      </c>
      <c r="K397" s="48">
        <f t="shared" si="190"/>
        <v>0</v>
      </c>
      <c r="L397" s="48">
        <f t="shared" si="190"/>
        <v>0</v>
      </c>
      <c r="M397" s="48">
        <f t="shared" si="190"/>
        <v>0</v>
      </c>
      <c r="N397" s="48">
        <f t="shared" si="190"/>
        <v>0</v>
      </c>
      <c r="O397" s="48">
        <f t="shared" si="190"/>
        <v>0</v>
      </c>
      <c r="P397" s="48">
        <f t="shared" si="190"/>
        <v>0</v>
      </c>
      <c r="Q397" s="48">
        <f t="shared" si="190"/>
        <v>0</v>
      </c>
      <c r="R397" s="48">
        <f t="shared" si="190"/>
        <v>0</v>
      </c>
      <c r="S397" s="48">
        <f t="shared" si="190"/>
        <v>0</v>
      </c>
      <c r="T397" s="48">
        <f t="shared" si="190"/>
        <v>0</v>
      </c>
      <c r="U397" s="48">
        <f t="shared" si="190"/>
        <v>0</v>
      </c>
      <c r="V397" s="48">
        <f t="shared" si="190"/>
        <v>0</v>
      </c>
      <c r="W397" s="48">
        <f t="shared" si="190"/>
        <v>0</v>
      </c>
      <c r="X397" s="48">
        <f t="shared" si="191"/>
        <v>0</v>
      </c>
      <c r="Y397" s="48">
        <f t="shared" si="191"/>
        <v>0</v>
      </c>
      <c r="Z397" s="48">
        <f t="shared" si="191"/>
        <v>0</v>
      </c>
      <c r="AA397" s="48">
        <f t="shared" si="191"/>
        <v>0</v>
      </c>
      <c r="AB397" s="48">
        <f t="shared" si="191"/>
        <v>0</v>
      </c>
      <c r="AC397" s="48">
        <f t="shared" si="191"/>
        <v>0</v>
      </c>
      <c r="AD397" s="48">
        <f t="shared" si="191"/>
        <v>0</v>
      </c>
      <c r="AE397" s="48">
        <f t="shared" si="191"/>
        <v>0</v>
      </c>
      <c r="AF397" s="48">
        <f t="shared" si="191"/>
        <v>0</v>
      </c>
      <c r="AG397" s="48">
        <f t="shared" si="191"/>
        <v>0</v>
      </c>
      <c r="AH397" s="48">
        <f t="shared" si="191"/>
        <v>0</v>
      </c>
      <c r="AI397" s="48">
        <f t="shared" si="191"/>
        <v>0</v>
      </c>
      <c r="AJ397" s="48">
        <f t="shared" si="191"/>
        <v>0</v>
      </c>
      <c r="AK397" s="48">
        <f t="shared" si="191"/>
        <v>0</v>
      </c>
      <c r="AL397" s="48">
        <f t="shared" si="191"/>
        <v>0</v>
      </c>
      <c r="AM397" s="48">
        <f t="shared" si="191"/>
        <v>0</v>
      </c>
      <c r="AN397" s="48">
        <f t="shared" si="191"/>
        <v>0</v>
      </c>
      <c r="AO397" s="48">
        <f t="shared" si="188"/>
        <v>0</v>
      </c>
      <c r="AP397" s="48">
        <f t="shared" si="188"/>
        <v>0.5</v>
      </c>
      <c r="AQ397" s="48">
        <f t="shared" si="188"/>
        <v>1</v>
      </c>
      <c r="AR397" s="48">
        <f t="shared" si="188"/>
        <v>1</v>
      </c>
      <c r="AS397" s="48">
        <f t="shared" si="188"/>
        <v>1</v>
      </c>
      <c r="AT397" s="48">
        <f t="shared" si="188"/>
        <v>1</v>
      </c>
      <c r="AU397" s="48">
        <f t="shared" si="188"/>
        <v>1</v>
      </c>
      <c r="AV397" s="48">
        <f t="shared" si="188"/>
        <v>1</v>
      </c>
      <c r="AW397" s="48">
        <f t="shared" si="188"/>
        <v>1</v>
      </c>
      <c r="AX397" s="48">
        <f t="shared" si="188"/>
        <v>1</v>
      </c>
      <c r="AY397" s="48">
        <f t="shared" si="188"/>
        <v>1</v>
      </c>
      <c r="AZ397" s="48">
        <f t="shared" si="188"/>
        <v>1</v>
      </c>
      <c r="BA397" s="48">
        <f t="shared" si="188"/>
        <v>1</v>
      </c>
      <c r="BB397" s="48">
        <f t="shared" si="188"/>
        <v>1</v>
      </c>
      <c r="BC397" s="48">
        <f t="shared" si="188"/>
        <v>1</v>
      </c>
      <c r="BD397" s="48">
        <f t="shared" si="188"/>
        <v>1</v>
      </c>
      <c r="BE397" s="48">
        <f t="shared" si="188"/>
        <v>1</v>
      </c>
      <c r="BF397" s="48">
        <f t="shared" si="188"/>
        <v>1</v>
      </c>
      <c r="BG397" s="48">
        <f t="shared" si="189"/>
        <v>1</v>
      </c>
      <c r="BH397" s="48">
        <f t="shared" si="189"/>
        <v>1</v>
      </c>
      <c r="BI397" s="48">
        <f t="shared" si="189"/>
        <v>1</v>
      </c>
      <c r="BJ397" s="48">
        <f t="shared" si="189"/>
        <v>1</v>
      </c>
      <c r="BK397" s="48">
        <f t="shared" si="189"/>
        <v>1</v>
      </c>
      <c r="BL397" s="48">
        <f t="shared" si="189"/>
        <v>1</v>
      </c>
      <c r="BM397" s="48">
        <f t="shared" si="189"/>
        <v>1</v>
      </c>
      <c r="BN397" s="48">
        <f t="shared" si="189"/>
        <v>1</v>
      </c>
      <c r="BO397" s="32">
        <f t="shared" si="192"/>
        <v>0.4152542372881356</v>
      </c>
    </row>
    <row r="398" spans="1:67" ht="24" x14ac:dyDescent="0.2">
      <c r="A398" s="55" t="s">
        <v>804</v>
      </c>
      <c r="B398" s="55" t="s">
        <v>805</v>
      </c>
      <c r="C398" s="55" t="s">
        <v>14</v>
      </c>
      <c r="D398" s="56">
        <f>VLOOKUP(A398,'[1]Cuadro Control'!C438:J2328,8,FALSE)</f>
        <v>0</v>
      </c>
      <c r="E398" s="57">
        <f>IFERROR(D398/$D$382,0)</f>
        <v>0</v>
      </c>
      <c r="F398" s="58">
        <v>46458</v>
      </c>
      <c r="G398" s="58">
        <v>46458</v>
      </c>
      <c r="H398" s="57">
        <f t="shared" si="190"/>
        <v>0</v>
      </c>
      <c r="I398" s="57">
        <f t="shared" si="190"/>
        <v>0</v>
      </c>
      <c r="J398" s="57">
        <f t="shared" si="190"/>
        <v>0</v>
      </c>
      <c r="K398" s="57">
        <f t="shared" si="190"/>
        <v>0</v>
      </c>
      <c r="L398" s="57">
        <f t="shared" si="190"/>
        <v>0</v>
      </c>
      <c r="M398" s="57">
        <f t="shared" si="190"/>
        <v>0</v>
      </c>
      <c r="N398" s="57">
        <f t="shared" si="190"/>
        <v>0</v>
      </c>
      <c r="O398" s="57">
        <f t="shared" si="190"/>
        <v>0</v>
      </c>
      <c r="P398" s="57">
        <f t="shared" si="190"/>
        <v>0</v>
      </c>
      <c r="Q398" s="57">
        <f t="shared" si="190"/>
        <v>0</v>
      </c>
      <c r="R398" s="57">
        <f t="shared" si="190"/>
        <v>0</v>
      </c>
      <c r="S398" s="57">
        <f t="shared" si="190"/>
        <v>0</v>
      </c>
      <c r="T398" s="57">
        <f t="shared" si="190"/>
        <v>0</v>
      </c>
      <c r="U398" s="57">
        <f t="shared" si="190"/>
        <v>0</v>
      </c>
      <c r="V398" s="57">
        <f t="shared" si="190"/>
        <v>0</v>
      </c>
      <c r="W398" s="57">
        <f t="shared" si="190"/>
        <v>0</v>
      </c>
      <c r="X398" s="57">
        <f t="shared" si="191"/>
        <v>0</v>
      </c>
      <c r="Y398" s="57">
        <f t="shared" si="191"/>
        <v>0</v>
      </c>
      <c r="Z398" s="57">
        <f t="shared" si="191"/>
        <v>0</v>
      </c>
      <c r="AA398" s="57">
        <f t="shared" si="191"/>
        <v>0</v>
      </c>
      <c r="AB398" s="57">
        <f t="shared" si="191"/>
        <v>0</v>
      </c>
      <c r="AC398" s="57">
        <f t="shared" si="191"/>
        <v>0</v>
      </c>
      <c r="AD398" s="57">
        <f t="shared" si="191"/>
        <v>0</v>
      </c>
      <c r="AE398" s="57">
        <f t="shared" si="191"/>
        <v>0</v>
      </c>
      <c r="AF398" s="57">
        <f t="shared" si="191"/>
        <v>0</v>
      </c>
      <c r="AG398" s="57">
        <f t="shared" si="191"/>
        <v>0</v>
      </c>
      <c r="AH398" s="57">
        <f t="shared" si="191"/>
        <v>0</v>
      </c>
      <c r="AI398" s="57">
        <f t="shared" si="191"/>
        <v>0</v>
      </c>
      <c r="AJ398" s="57">
        <f t="shared" si="191"/>
        <v>0</v>
      </c>
      <c r="AK398" s="57">
        <f t="shared" si="191"/>
        <v>0</v>
      </c>
      <c r="AL398" s="57">
        <f t="shared" si="191"/>
        <v>0</v>
      </c>
      <c r="AM398" s="57">
        <f t="shared" si="191"/>
        <v>0</v>
      </c>
      <c r="AN398" s="57">
        <f t="shared" si="191"/>
        <v>0</v>
      </c>
      <c r="AO398" s="57">
        <f t="shared" si="191"/>
        <v>0</v>
      </c>
      <c r="AP398" s="57">
        <f t="shared" si="191"/>
        <v>0</v>
      </c>
      <c r="AQ398" s="57">
        <f t="shared" si="191"/>
        <v>1</v>
      </c>
      <c r="AR398" s="57">
        <f t="shared" si="191"/>
        <v>1</v>
      </c>
      <c r="AS398" s="57">
        <f t="shared" si="191"/>
        <v>1</v>
      </c>
      <c r="AT398" s="57">
        <f t="shared" si="191"/>
        <v>1</v>
      </c>
      <c r="AU398" s="57">
        <f t="shared" si="191"/>
        <v>1</v>
      </c>
      <c r="AV398" s="57">
        <f t="shared" si="191"/>
        <v>1</v>
      </c>
      <c r="AW398" s="57">
        <f t="shared" si="191"/>
        <v>1</v>
      </c>
      <c r="AX398" s="57">
        <f t="shared" si="191"/>
        <v>1</v>
      </c>
      <c r="AY398" s="57">
        <f t="shared" si="191"/>
        <v>1</v>
      </c>
      <c r="AZ398" s="57">
        <f t="shared" si="191"/>
        <v>1</v>
      </c>
      <c r="BA398" s="57">
        <f t="shared" si="191"/>
        <v>1</v>
      </c>
      <c r="BB398" s="57">
        <f t="shared" si="191"/>
        <v>1</v>
      </c>
      <c r="BC398" s="57">
        <f t="shared" si="191"/>
        <v>1</v>
      </c>
      <c r="BD398" s="57">
        <f t="shared" si="188"/>
        <v>1</v>
      </c>
      <c r="BE398" s="57">
        <f t="shared" si="188"/>
        <v>1</v>
      </c>
      <c r="BF398" s="57">
        <f t="shared" si="188"/>
        <v>1</v>
      </c>
      <c r="BG398" s="57">
        <f t="shared" si="189"/>
        <v>1</v>
      </c>
      <c r="BH398" s="57">
        <f t="shared" si="189"/>
        <v>1</v>
      </c>
      <c r="BI398" s="57">
        <f t="shared" si="189"/>
        <v>1</v>
      </c>
      <c r="BJ398" s="57">
        <f t="shared" si="189"/>
        <v>1</v>
      </c>
      <c r="BK398" s="57">
        <f t="shared" si="189"/>
        <v>1</v>
      </c>
      <c r="BL398" s="57">
        <f t="shared" si="189"/>
        <v>1</v>
      </c>
      <c r="BM398" s="57">
        <f t="shared" si="189"/>
        <v>1</v>
      </c>
      <c r="BN398" s="57">
        <f t="shared" si="189"/>
        <v>1</v>
      </c>
      <c r="BO398" s="32">
        <f t="shared" si="192"/>
        <v>0.40677966101694918</v>
      </c>
    </row>
    <row r="399" spans="1:67" x14ac:dyDescent="0.2">
      <c r="A399" s="59" t="s">
        <v>806</v>
      </c>
      <c r="B399" s="59" t="s">
        <v>807</v>
      </c>
      <c r="C399" s="59" t="s">
        <v>467</v>
      </c>
      <c r="D399" s="60">
        <f>SUM(D400:D415)</f>
        <v>5308872732.0543728</v>
      </c>
      <c r="E399" s="61">
        <f>IFERROR(D399/$D$109,0)</f>
        <v>2.9408554574576196E-2</v>
      </c>
      <c r="F399" s="62">
        <v>46238</v>
      </c>
      <c r="G399" s="62">
        <v>46466</v>
      </c>
      <c r="H399" s="61">
        <f>SUMPRODUCT($E400:$E414,H400:H414)</f>
        <v>0</v>
      </c>
      <c r="I399" s="61">
        <f t="shared" ref="I399:BN399" si="193">SUMPRODUCT($E400:$E414,I400:I414)</f>
        <v>0</v>
      </c>
      <c r="J399" s="61">
        <f t="shared" si="193"/>
        <v>0</v>
      </c>
      <c r="K399" s="61">
        <f t="shared" si="193"/>
        <v>0</v>
      </c>
      <c r="L399" s="61">
        <f t="shared" si="193"/>
        <v>3.9709867949327553E-4</v>
      </c>
      <c r="M399" s="61">
        <f t="shared" si="193"/>
        <v>1.0920213686065076E-3</v>
      </c>
      <c r="N399" s="61">
        <f t="shared" si="193"/>
        <v>1.78694405771974E-3</v>
      </c>
      <c r="O399" s="61">
        <f t="shared" si="193"/>
        <v>2.4818667468329723E-3</v>
      </c>
      <c r="P399" s="61">
        <f t="shared" si="193"/>
        <v>3.1767894359462042E-3</v>
      </c>
      <c r="Q399" s="61">
        <f t="shared" si="193"/>
        <v>3.871712125059437E-3</v>
      </c>
      <c r="R399" s="61">
        <f t="shared" si="193"/>
        <v>4.5666348141726685E-3</v>
      </c>
      <c r="S399" s="61">
        <f t="shared" si="193"/>
        <v>5.2615575032859008E-3</v>
      </c>
      <c r="T399" s="61">
        <f t="shared" si="193"/>
        <v>5.9564801923991341E-3</v>
      </c>
      <c r="U399" s="61">
        <f t="shared" si="193"/>
        <v>6.6514028815123655E-3</v>
      </c>
      <c r="V399" s="61">
        <f t="shared" si="193"/>
        <v>7.3463255706255979E-3</v>
      </c>
      <c r="W399" s="61">
        <f t="shared" si="193"/>
        <v>8.0412482597388285E-3</v>
      </c>
      <c r="X399" s="61">
        <f t="shared" si="193"/>
        <v>8.7361709488520609E-3</v>
      </c>
      <c r="Y399" s="61">
        <f t="shared" si="193"/>
        <v>9.4310936379652949E-3</v>
      </c>
      <c r="Z399" s="61">
        <f t="shared" si="193"/>
        <v>1.0126016327078527E-2</v>
      </c>
      <c r="AA399" s="61">
        <f t="shared" si="193"/>
        <v>1.082093901619176E-2</v>
      </c>
      <c r="AB399" s="61">
        <f t="shared" si="193"/>
        <v>1.1515861705304992E-2</v>
      </c>
      <c r="AC399" s="61">
        <f t="shared" si="193"/>
        <v>1.2210784394418224E-2</v>
      </c>
      <c r="AD399" s="61">
        <f t="shared" si="193"/>
        <v>1.2905707083531457E-2</v>
      </c>
      <c r="AE399" s="61">
        <f t="shared" si="193"/>
        <v>1.3600629772644687E-2</v>
      </c>
      <c r="AF399" s="61">
        <f t="shared" si="193"/>
        <v>1.429555246175792E-2</v>
      </c>
      <c r="AG399" s="61">
        <f t="shared" si="193"/>
        <v>1.4990475150871152E-2</v>
      </c>
      <c r="AH399" s="61">
        <f t="shared" si="193"/>
        <v>2.1034496182852431E-2</v>
      </c>
      <c r="AI399" s="61">
        <f t="shared" si="193"/>
        <v>5.8478184582928763E-2</v>
      </c>
      <c r="AJ399" s="61">
        <f t="shared" si="193"/>
        <v>0.10650498686563921</v>
      </c>
      <c r="AK399" s="61">
        <f t="shared" si="193"/>
        <v>0.16008640555045139</v>
      </c>
      <c r="AL399" s="61">
        <f t="shared" si="193"/>
        <v>0.2285609018644725</v>
      </c>
      <c r="AM399" s="61">
        <f t="shared" si="193"/>
        <v>0.32261391968511494</v>
      </c>
      <c r="AN399" s="61">
        <f t="shared" si="193"/>
        <v>0.41666693750575734</v>
      </c>
      <c r="AO399" s="61">
        <f t="shared" si="193"/>
        <v>0.64850810003989967</v>
      </c>
      <c r="AP399" s="61">
        <f t="shared" si="193"/>
        <v>0.68554380807165194</v>
      </c>
      <c r="AQ399" s="61">
        <f t="shared" si="193"/>
        <v>0.87952301742392291</v>
      </c>
      <c r="AR399" s="61">
        <f t="shared" si="193"/>
        <v>0.99739865857519272</v>
      </c>
      <c r="AS399" s="61">
        <f t="shared" si="193"/>
        <v>1</v>
      </c>
      <c r="AT399" s="61">
        <f t="shared" si="193"/>
        <v>1</v>
      </c>
      <c r="AU399" s="61">
        <f t="shared" si="193"/>
        <v>1</v>
      </c>
      <c r="AV399" s="61">
        <f t="shared" si="193"/>
        <v>1</v>
      </c>
      <c r="AW399" s="61">
        <f t="shared" si="193"/>
        <v>1</v>
      </c>
      <c r="AX399" s="61">
        <f t="shared" si="193"/>
        <v>1</v>
      </c>
      <c r="AY399" s="61">
        <f t="shared" si="193"/>
        <v>1</v>
      </c>
      <c r="AZ399" s="61">
        <f t="shared" si="193"/>
        <v>1</v>
      </c>
      <c r="BA399" s="61">
        <f t="shared" si="193"/>
        <v>1</v>
      </c>
      <c r="BB399" s="61">
        <f t="shared" si="193"/>
        <v>1</v>
      </c>
      <c r="BC399" s="61">
        <f t="shared" si="193"/>
        <v>1</v>
      </c>
      <c r="BD399" s="61">
        <f t="shared" si="193"/>
        <v>1</v>
      </c>
      <c r="BE399" s="61">
        <f t="shared" si="193"/>
        <v>1</v>
      </c>
      <c r="BF399" s="61">
        <f t="shared" si="193"/>
        <v>1</v>
      </c>
      <c r="BG399" s="61">
        <f t="shared" si="193"/>
        <v>1</v>
      </c>
      <c r="BH399" s="61">
        <f t="shared" si="193"/>
        <v>1</v>
      </c>
      <c r="BI399" s="61">
        <f t="shared" si="193"/>
        <v>1</v>
      </c>
      <c r="BJ399" s="61">
        <f t="shared" si="193"/>
        <v>1</v>
      </c>
      <c r="BK399" s="61">
        <f t="shared" si="193"/>
        <v>1</v>
      </c>
      <c r="BL399" s="61">
        <f t="shared" si="193"/>
        <v>1</v>
      </c>
      <c r="BM399" s="61">
        <f t="shared" si="193"/>
        <v>1</v>
      </c>
      <c r="BN399" s="61">
        <f t="shared" si="193"/>
        <v>1</v>
      </c>
      <c r="BO399" s="32">
        <f t="shared" si="192"/>
        <v>0.45244377505901512</v>
      </c>
    </row>
    <row r="400" spans="1:67" ht="24" x14ac:dyDescent="0.2">
      <c r="A400" s="50" t="s">
        <v>808</v>
      </c>
      <c r="B400" s="50" t="s">
        <v>809</v>
      </c>
      <c r="C400" s="50" t="s">
        <v>74</v>
      </c>
      <c r="D400" s="51">
        <f>VLOOKUP(A400,'[1]Cuadro Control'!C440:J2330,8,FALSE)</f>
        <v>83271780.884117648</v>
      </c>
      <c r="E400" s="52">
        <f t="shared" ref="E400:E414" si="194">IFERROR(D400/$D$399,0)</f>
        <v>1.5685397839984384E-2</v>
      </c>
      <c r="F400" s="53">
        <v>46238</v>
      </c>
      <c r="G400" s="53">
        <v>46395</v>
      </c>
      <c r="H400" s="52">
        <f t="shared" ref="H400:BN404" si="195">IF($F400=0,0,IF(H$6&lt;$F400,0,IF(H$6&gt;$G400,1,(H$6-$F400+1)/($G400-$F400+1))))</f>
        <v>0</v>
      </c>
      <c r="I400" s="52">
        <f t="shared" si="195"/>
        <v>0</v>
      </c>
      <c r="J400" s="52">
        <f t="shared" si="195"/>
        <v>0</v>
      </c>
      <c r="K400" s="52">
        <f t="shared" si="195"/>
        <v>0</v>
      </c>
      <c r="L400" s="52">
        <f t="shared" si="195"/>
        <v>2.5316455696202531E-2</v>
      </c>
      <c r="M400" s="52">
        <f t="shared" si="195"/>
        <v>6.9620253164556958E-2</v>
      </c>
      <c r="N400" s="52">
        <f t="shared" si="195"/>
        <v>0.11392405063291139</v>
      </c>
      <c r="O400" s="52">
        <f t="shared" si="195"/>
        <v>0.15822784810126583</v>
      </c>
      <c r="P400" s="52">
        <f t="shared" si="195"/>
        <v>0.20253164556962025</v>
      </c>
      <c r="Q400" s="52">
        <f t="shared" si="195"/>
        <v>0.24683544303797469</v>
      </c>
      <c r="R400" s="52">
        <f t="shared" si="195"/>
        <v>0.29113924050632911</v>
      </c>
      <c r="S400" s="52">
        <f t="shared" si="195"/>
        <v>0.33544303797468356</v>
      </c>
      <c r="T400" s="52">
        <f t="shared" si="195"/>
        <v>0.379746835443038</v>
      </c>
      <c r="U400" s="52">
        <f t="shared" si="195"/>
        <v>0.42405063291139239</v>
      </c>
      <c r="V400" s="52">
        <f t="shared" si="195"/>
        <v>0.46835443037974683</v>
      </c>
      <c r="W400" s="52">
        <f t="shared" si="195"/>
        <v>0.51265822784810122</v>
      </c>
      <c r="X400" s="52">
        <f t="shared" si="195"/>
        <v>0.55696202531645567</v>
      </c>
      <c r="Y400" s="52">
        <f t="shared" si="195"/>
        <v>0.60126582278481011</v>
      </c>
      <c r="Z400" s="52">
        <f t="shared" si="195"/>
        <v>0.64556962025316456</v>
      </c>
      <c r="AA400" s="52">
        <f t="shared" si="195"/>
        <v>0.689873417721519</v>
      </c>
      <c r="AB400" s="52">
        <f t="shared" si="195"/>
        <v>0.73417721518987344</v>
      </c>
      <c r="AC400" s="52">
        <f t="shared" si="195"/>
        <v>0.77848101265822789</v>
      </c>
      <c r="AD400" s="52">
        <f t="shared" si="195"/>
        <v>0.82278481012658233</v>
      </c>
      <c r="AE400" s="52">
        <f t="shared" si="195"/>
        <v>0.86708860759493667</v>
      </c>
      <c r="AF400" s="52">
        <f t="shared" si="195"/>
        <v>0.91139240506329111</v>
      </c>
      <c r="AG400" s="52">
        <f t="shared" si="195"/>
        <v>0.95569620253164556</v>
      </c>
      <c r="AH400" s="52">
        <f t="shared" si="195"/>
        <v>1</v>
      </c>
      <c r="AI400" s="52">
        <f t="shared" si="195"/>
        <v>1</v>
      </c>
      <c r="AJ400" s="52">
        <f t="shared" si="195"/>
        <v>1</v>
      </c>
      <c r="AK400" s="52">
        <f t="shared" si="195"/>
        <v>1</v>
      </c>
      <c r="AL400" s="52">
        <f t="shared" si="195"/>
        <v>1</v>
      </c>
      <c r="AM400" s="52">
        <f t="shared" si="195"/>
        <v>1</v>
      </c>
      <c r="AN400" s="52">
        <f t="shared" si="195"/>
        <v>1</v>
      </c>
      <c r="AO400" s="52">
        <f t="shared" si="195"/>
        <v>1</v>
      </c>
      <c r="AP400" s="52">
        <f t="shared" si="195"/>
        <v>1</v>
      </c>
      <c r="AQ400" s="52">
        <f t="shared" si="195"/>
        <v>1</v>
      </c>
      <c r="AR400" s="52">
        <f t="shared" si="195"/>
        <v>1</v>
      </c>
      <c r="AS400" s="52">
        <f t="shared" si="195"/>
        <v>1</v>
      </c>
      <c r="AT400" s="52">
        <f t="shared" si="195"/>
        <v>1</v>
      </c>
      <c r="AU400" s="52">
        <f t="shared" si="195"/>
        <v>1</v>
      </c>
      <c r="AV400" s="52">
        <f t="shared" si="195"/>
        <v>1</v>
      </c>
      <c r="AW400" s="52">
        <f t="shared" si="195"/>
        <v>1</v>
      </c>
      <c r="AX400" s="52">
        <f t="shared" si="195"/>
        <v>1</v>
      </c>
      <c r="AY400" s="52">
        <f t="shared" si="195"/>
        <v>1</v>
      </c>
      <c r="AZ400" s="52">
        <f t="shared" si="195"/>
        <v>1</v>
      </c>
      <c r="BA400" s="52">
        <f t="shared" si="195"/>
        <v>1</v>
      </c>
      <c r="BB400" s="52">
        <f t="shared" si="195"/>
        <v>1</v>
      </c>
      <c r="BC400" s="52">
        <f t="shared" si="195"/>
        <v>1</v>
      </c>
      <c r="BD400" s="52">
        <f t="shared" si="195"/>
        <v>1</v>
      </c>
      <c r="BE400" s="52">
        <f t="shared" si="195"/>
        <v>1</v>
      </c>
      <c r="BF400" s="52">
        <f t="shared" si="195"/>
        <v>1</v>
      </c>
      <c r="BG400" s="52">
        <f t="shared" si="195"/>
        <v>1</v>
      </c>
      <c r="BH400" s="52">
        <f t="shared" si="195"/>
        <v>1</v>
      </c>
      <c r="BI400" s="52">
        <f t="shared" si="195"/>
        <v>1</v>
      </c>
      <c r="BJ400" s="52">
        <f t="shared" si="195"/>
        <v>1</v>
      </c>
      <c r="BK400" s="52">
        <f t="shared" si="195"/>
        <v>1</v>
      </c>
      <c r="BL400" s="52">
        <f t="shared" si="195"/>
        <v>1</v>
      </c>
      <c r="BM400" s="52">
        <f t="shared" si="195"/>
        <v>1</v>
      </c>
      <c r="BN400" s="52">
        <f t="shared" si="195"/>
        <v>1</v>
      </c>
      <c r="BO400" s="32">
        <f t="shared" si="192"/>
        <v>0.74222269899163262</v>
      </c>
    </row>
    <row r="401" spans="1:67" x14ac:dyDescent="0.2">
      <c r="A401" s="50" t="s">
        <v>810</v>
      </c>
      <c r="B401" s="50" t="s">
        <v>811</v>
      </c>
      <c r="C401" s="50" t="s">
        <v>61</v>
      </c>
      <c r="D401" s="51">
        <f>VLOOKUP(A401,'[1]Cuadro Control'!C441:J2331,8,FALSE)</f>
        <v>312374505.66882348</v>
      </c>
      <c r="E401" s="52">
        <f t="shared" si="194"/>
        <v>5.8840081771548515E-2</v>
      </c>
      <c r="F401" s="53">
        <v>46395</v>
      </c>
      <c r="G401" s="53">
        <v>46405</v>
      </c>
      <c r="H401" s="52">
        <f t="shared" si="195"/>
        <v>0</v>
      </c>
      <c r="I401" s="52">
        <f t="shared" si="195"/>
        <v>0</v>
      </c>
      <c r="J401" s="52">
        <f t="shared" si="195"/>
        <v>0</v>
      </c>
      <c r="K401" s="52">
        <f t="shared" si="195"/>
        <v>0</v>
      </c>
      <c r="L401" s="52">
        <f t="shared" si="195"/>
        <v>0</v>
      </c>
      <c r="M401" s="52">
        <f t="shared" si="195"/>
        <v>0</v>
      </c>
      <c r="N401" s="52">
        <f t="shared" si="195"/>
        <v>0</v>
      </c>
      <c r="O401" s="52">
        <f t="shared" si="195"/>
        <v>0</v>
      </c>
      <c r="P401" s="52">
        <f t="shared" si="195"/>
        <v>0</v>
      </c>
      <c r="Q401" s="52">
        <f t="shared" si="195"/>
        <v>0</v>
      </c>
      <c r="R401" s="52">
        <f t="shared" si="195"/>
        <v>0</v>
      </c>
      <c r="S401" s="52">
        <f t="shared" si="195"/>
        <v>0</v>
      </c>
      <c r="T401" s="52">
        <f t="shared" si="195"/>
        <v>0</v>
      </c>
      <c r="U401" s="52">
        <f t="shared" si="195"/>
        <v>0</v>
      </c>
      <c r="V401" s="52">
        <f t="shared" si="195"/>
        <v>0</v>
      </c>
      <c r="W401" s="52">
        <f t="shared" si="195"/>
        <v>0</v>
      </c>
      <c r="X401" s="52">
        <f t="shared" si="195"/>
        <v>0</v>
      </c>
      <c r="Y401" s="52">
        <f t="shared" si="195"/>
        <v>0</v>
      </c>
      <c r="Z401" s="52">
        <f t="shared" si="195"/>
        <v>0</v>
      </c>
      <c r="AA401" s="52">
        <f t="shared" si="195"/>
        <v>0</v>
      </c>
      <c r="AB401" s="52">
        <f t="shared" si="195"/>
        <v>0</v>
      </c>
      <c r="AC401" s="52">
        <f t="shared" si="195"/>
        <v>0</v>
      </c>
      <c r="AD401" s="52">
        <f t="shared" si="195"/>
        <v>0</v>
      </c>
      <c r="AE401" s="52">
        <f t="shared" si="195"/>
        <v>0</v>
      </c>
      <c r="AF401" s="52">
        <f t="shared" si="195"/>
        <v>0</v>
      </c>
      <c r="AG401" s="52">
        <f t="shared" si="195"/>
        <v>0</v>
      </c>
      <c r="AH401" s="52">
        <f t="shared" si="195"/>
        <v>9.0909090909090912E-2</v>
      </c>
      <c r="AI401" s="52">
        <f t="shared" si="195"/>
        <v>0.72727272727272729</v>
      </c>
      <c r="AJ401" s="52">
        <f t="shared" si="195"/>
        <v>1</v>
      </c>
      <c r="AK401" s="52">
        <f t="shared" si="195"/>
        <v>1</v>
      </c>
      <c r="AL401" s="52">
        <f t="shared" si="195"/>
        <v>1</v>
      </c>
      <c r="AM401" s="52">
        <f t="shared" si="195"/>
        <v>1</v>
      </c>
      <c r="AN401" s="52">
        <f t="shared" si="195"/>
        <v>1</v>
      </c>
      <c r="AO401" s="52">
        <f t="shared" si="195"/>
        <v>1</v>
      </c>
      <c r="AP401" s="52">
        <f t="shared" si="195"/>
        <v>1</v>
      </c>
      <c r="AQ401" s="52">
        <f t="shared" si="195"/>
        <v>1</v>
      </c>
      <c r="AR401" s="52">
        <f t="shared" si="195"/>
        <v>1</v>
      </c>
      <c r="AS401" s="52">
        <f t="shared" si="195"/>
        <v>1</v>
      </c>
      <c r="AT401" s="52">
        <f t="shared" si="195"/>
        <v>1</v>
      </c>
      <c r="AU401" s="52">
        <f t="shared" si="195"/>
        <v>1</v>
      </c>
      <c r="AV401" s="52">
        <f t="shared" si="195"/>
        <v>1</v>
      </c>
      <c r="AW401" s="52">
        <f t="shared" si="195"/>
        <v>1</v>
      </c>
      <c r="AX401" s="52">
        <f t="shared" si="195"/>
        <v>1</v>
      </c>
      <c r="AY401" s="52">
        <f t="shared" si="195"/>
        <v>1</v>
      </c>
      <c r="AZ401" s="52">
        <f t="shared" si="195"/>
        <v>1</v>
      </c>
      <c r="BA401" s="52">
        <f t="shared" si="195"/>
        <v>1</v>
      </c>
      <c r="BB401" s="52">
        <f t="shared" si="195"/>
        <v>1</v>
      </c>
      <c r="BC401" s="52">
        <f t="shared" si="195"/>
        <v>1</v>
      </c>
      <c r="BD401" s="52">
        <f t="shared" si="195"/>
        <v>1</v>
      </c>
      <c r="BE401" s="52">
        <f t="shared" si="195"/>
        <v>1</v>
      </c>
      <c r="BF401" s="52">
        <f t="shared" si="195"/>
        <v>1</v>
      </c>
      <c r="BG401" s="52">
        <f t="shared" si="195"/>
        <v>1</v>
      </c>
      <c r="BH401" s="52">
        <f t="shared" si="195"/>
        <v>1</v>
      </c>
      <c r="BI401" s="52">
        <f t="shared" si="195"/>
        <v>1</v>
      </c>
      <c r="BJ401" s="52">
        <f t="shared" si="195"/>
        <v>1</v>
      </c>
      <c r="BK401" s="52">
        <f t="shared" si="195"/>
        <v>1</v>
      </c>
      <c r="BL401" s="52">
        <f t="shared" si="195"/>
        <v>1</v>
      </c>
      <c r="BM401" s="52">
        <f t="shared" si="195"/>
        <v>1</v>
      </c>
      <c r="BN401" s="52">
        <f t="shared" si="195"/>
        <v>1</v>
      </c>
      <c r="BO401" s="32">
        <f t="shared" si="192"/>
        <v>0.53929121725731899</v>
      </c>
    </row>
    <row r="402" spans="1:67" ht="15" x14ac:dyDescent="0.2">
      <c r="A402" s="46" t="s">
        <v>812</v>
      </c>
      <c r="B402" s="46" t="s">
        <v>813</v>
      </c>
      <c r="C402" s="46" t="s">
        <v>126</v>
      </c>
      <c r="D402" s="47">
        <f>VLOOKUP(A402,'[1]Cuadro Control'!C442:J2332,8,FALSE)</f>
        <v>9527825.6870364472</v>
      </c>
      <c r="E402" s="48">
        <f t="shared" si="194"/>
        <v>1.794698454439963E-3</v>
      </c>
      <c r="F402" s="49">
        <v>46405</v>
      </c>
      <c r="G402" s="49">
        <v>46407</v>
      </c>
      <c r="H402" s="48">
        <f t="shared" si="195"/>
        <v>0</v>
      </c>
      <c r="I402" s="48">
        <f t="shared" si="195"/>
        <v>0</v>
      </c>
      <c r="J402" s="48">
        <f t="shared" si="195"/>
        <v>0</v>
      </c>
      <c r="K402" s="48">
        <f t="shared" si="195"/>
        <v>0</v>
      </c>
      <c r="L402" s="48">
        <f t="shared" si="195"/>
        <v>0</v>
      </c>
      <c r="M402" s="48">
        <f t="shared" si="195"/>
        <v>0</v>
      </c>
      <c r="N402" s="48">
        <f t="shared" si="195"/>
        <v>0</v>
      </c>
      <c r="O402" s="48">
        <f t="shared" si="195"/>
        <v>0</v>
      </c>
      <c r="P402" s="48">
        <f t="shared" si="195"/>
        <v>0</v>
      </c>
      <c r="Q402" s="48">
        <f t="shared" si="195"/>
        <v>0</v>
      </c>
      <c r="R402" s="48">
        <f t="shared" si="195"/>
        <v>0</v>
      </c>
      <c r="S402" s="48">
        <f t="shared" si="195"/>
        <v>0</v>
      </c>
      <c r="T402" s="48">
        <f t="shared" si="195"/>
        <v>0</v>
      </c>
      <c r="U402" s="48">
        <f t="shared" si="195"/>
        <v>0</v>
      </c>
      <c r="V402" s="48">
        <f t="shared" si="195"/>
        <v>0</v>
      </c>
      <c r="W402" s="48">
        <f t="shared" si="195"/>
        <v>0</v>
      </c>
      <c r="X402" s="48">
        <f t="shared" si="195"/>
        <v>0</v>
      </c>
      <c r="Y402" s="48">
        <f t="shared" si="195"/>
        <v>0</v>
      </c>
      <c r="Z402" s="48">
        <f t="shared" si="195"/>
        <v>0</v>
      </c>
      <c r="AA402" s="48">
        <f t="shared" si="195"/>
        <v>0</v>
      </c>
      <c r="AB402" s="48">
        <f t="shared" si="195"/>
        <v>0</v>
      </c>
      <c r="AC402" s="48">
        <f t="shared" si="195"/>
        <v>0</v>
      </c>
      <c r="AD402" s="48">
        <f t="shared" si="195"/>
        <v>0</v>
      </c>
      <c r="AE402" s="48">
        <f t="shared" si="195"/>
        <v>0</v>
      </c>
      <c r="AF402" s="48">
        <f t="shared" si="195"/>
        <v>0</v>
      </c>
      <c r="AG402" s="48">
        <f t="shared" si="195"/>
        <v>0</v>
      </c>
      <c r="AH402" s="48">
        <f t="shared" si="195"/>
        <v>0</v>
      </c>
      <c r="AI402" s="48">
        <f t="shared" si="195"/>
        <v>0</v>
      </c>
      <c r="AJ402" s="48">
        <f t="shared" si="195"/>
        <v>1</v>
      </c>
      <c r="AK402" s="48">
        <f t="shared" si="195"/>
        <v>1</v>
      </c>
      <c r="AL402" s="48">
        <f t="shared" si="195"/>
        <v>1</v>
      </c>
      <c r="AM402" s="48">
        <f t="shared" si="195"/>
        <v>1</v>
      </c>
      <c r="AN402" s="48">
        <f t="shared" si="195"/>
        <v>1</v>
      </c>
      <c r="AO402" s="48">
        <f t="shared" si="195"/>
        <v>1</v>
      </c>
      <c r="AP402" s="48">
        <f t="shared" si="195"/>
        <v>1</v>
      </c>
      <c r="AQ402" s="48">
        <f t="shared" si="195"/>
        <v>1</v>
      </c>
      <c r="AR402" s="48">
        <f t="shared" si="195"/>
        <v>1</v>
      </c>
      <c r="AS402" s="48">
        <f t="shared" si="195"/>
        <v>1</v>
      </c>
      <c r="AT402" s="48">
        <f t="shared" si="195"/>
        <v>1</v>
      </c>
      <c r="AU402" s="48">
        <f t="shared" si="195"/>
        <v>1</v>
      </c>
      <c r="AV402" s="48">
        <f t="shared" si="195"/>
        <v>1</v>
      </c>
      <c r="AW402" s="48">
        <f t="shared" si="195"/>
        <v>1</v>
      </c>
      <c r="AX402" s="48">
        <f t="shared" si="195"/>
        <v>1</v>
      </c>
      <c r="AY402" s="48">
        <f t="shared" si="195"/>
        <v>1</v>
      </c>
      <c r="AZ402" s="48">
        <f t="shared" si="195"/>
        <v>1</v>
      </c>
      <c r="BA402" s="48">
        <f t="shared" si="195"/>
        <v>1</v>
      </c>
      <c r="BB402" s="48">
        <f t="shared" si="195"/>
        <v>1</v>
      </c>
      <c r="BC402" s="48">
        <f t="shared" si="195"/>
        <v>1</v>
      </c>
      <c r="BD402" s="48">
        <f t="shared" si="195"/>
        <v>1</v>
      </c>
      <c r="BE402" s="48">
        <f t="shared" si="195"/>
        <v>1</v>
      </c>
      <c r="BF402" s="48">
        <f t="shared" si="195"/>
        <v>1</v>
      </c>
      <c r="BG402" s="48">
        <f t="shared" si="195"/>
        <v>1</v>
      </c>
      <c r="BH402" s="48">
        <f t="shared" si="195"/>
        <v>1</v>
      </c>
      <c r="BI402" s="48">
        <f t="shared" si="195"/>
        <v>1</v>
      </c>
      <c r="BJ402" s="48">
        <f t="shared" si="195"/>
        <v>1</v>
      </c>
      <c r="BK402" s="48">
        <f t="shared" si="195"/>
        <v>1</v>
      </c>
      <c r="BL402" s="48">
        <f t="shared" si="195"/>
        <v>1</v>
      </c>
      <c r="BM402" s="48">
        <f t="shared" si="195"/>
        <v>1</v>
      </c>
      <c r="BN402" s="48">
        <f t="shared" si="195"/>
        <v>1</v>
      </c>
      <c r="BO402" s="32">
        <f t="shared" si="192"/>
        <v>0.52542372881355937</v>
      </c>
    </row>
    <row r="403" spans="1:67" x14ac:dyDescent="0.2">
      <c r="A403" s="50" t="s">
        <v>814</v>
      </c>
      <c r="B403" s="50" t="s">
        <v>815</v>
      </c>
      <c r="C403" s="50" t="s">
        <v>117</v>
      </c>
      <c r="D403" s="51">
        <f>VLOOKUP(A403,'[1]Cuadro Control'!C443:J2333,8,FALSE)</f>
        <v>320494616.71764702</v>
      </c>
      <c r="E403" s="52">
        <f t="shared" si="194"/>
        <v>6.0369617599332674E-2</v>
      </c>
      <c r="F403" s="53">
        <v>46407</v>
      </c>
      <c r="G403" s="53">
        <v>46412</v>
      </c>
      <c r="H403" s="52">
        <f t="shared" si="195"/>
        <v>0</v>
      </c>
      <c r="I403" s="52">
        <f t="shared" si="195"/>
        <v>0</v>
      </c>
      <c r="J403" s="52">
        <f t="shared" si="195"/>
        <v>0</v>
      </c>
      <c r="K403" s="52">
        <f t="shared" si="195"/>
        <v>0</v>
      </c>
      <c r="L403" s="52">
        <f t="shared" si="195"/>
        <v>0</v>
      </c>
      <c r="M403" s="52">
        <f t="shared" si="195"/>
        <v>0</v>
      </c>
      <c r="N403" s="52">
        <f t="shared" si="195"/>
        <v>0</v>
      </c>
      <c r="O403" s="52">
        <f t="shared" si="195"/>
        <v>0</v>
      </c>
      <c r="P403" s="52">
        <f t="shared" si="195"/>
        <v>0</v>
      </c>
      <c r="Q403" s="52">
        <f t="shared" si="195"/>
        <v>0</v>
      </c>
      <c r="R403" s="52">
        <f t="shared" si="195"/>
        <v>0</v>
      </c>
      <c r="S403" s="52">
        <f t="shared" si="195"/>
        <v>0</v>
      </c>
      <c r="T403" s="52">
        <f t="shared" si="195"/>
        <v>0</v>
      </c>
      <c r="U403" s="52">
        <f t="shared" si="195"/>
        <v>0</v>
      </c>
      <c r="V403" s="52">
        <f t="shared" si="195"/>
        <v>0</v>
      </c>
      <c r="W403" s="52">
        <f t="shared" si="195"/>
        <v>0</v>
      </c>
      <c r="X403" s="52">
        <f t="shared" si="195"/>
        <v>0</v>
      </c>
      <c r="Y403" s="52">
        <f t="shared" si="195"/>
        <v>0</v>
      </c>
      <c r="Z403" s="52">
        <f t="shared" si="195"/>
        <v>0</v>
      </c>
      <c r="AA403" s="52">
        <f t="shared" si="195"/>
        <v>0</v>
      </c>
      <c r="AB403" s="52">
        <f t="shared" si="195"/>
        <v>0</v>
      </c>
      <c r="AC403" s="52">
        <f t="shared" si="195"/>
        <v>0</v>
      </c>
      <c r="AD403" s="52">
        <f t="shared" si="195"/>
        <v>0</v>
      </c>
      <c r="AE403" s="52">
        <f t="shared" si="195"/>
        <v>0</v>
      </c>
      <c r="AF403" s="52">
        <f t="shared" si="195"/>
        <v>0</v>
      </c>
      <c r="AG403" s="52">
        <f t="shared" si="195"/>
        <v>0</v>
      </c>
      <c r="AH403" s="52">
        <f t="shared" si="195"/>
        <v>0</v>
      </c>
      <c r="AI403" s="52">
        <f t="shared" si="195"/>
        <v>0</v>
      </c>
      <c r="AJ403" s="52">
        <f t="shared" si="195"/>
        <v>0.5</v>
      </c>
      <c r="AK403" s="52">
        <f t="shared" si="195"/>
        <v>1</v>
      </c>
      <c r="AL403" s="52">
        <f t="shared" si="195"/>
        <v>1</v>
      </c>
      <c r="AM403" s="52">
        <f t="shared" si="195"/>
        <v>1</v>
      </c>
      <c r="AN403" s="52">
        <f t="shared" si="195"/>
        <v>1</v>
      </c>
      <c r="AO403" s="52">
        <f t="shared" si="195"/>
        <v>1</v>
      </c>
      <c r="AP403" s="52">
        <f t="shared" si="195"/>
        <v>1</v>
      </c>
      <c r="AQ403" s="52">
        <f t="shared" si="195"/>
        <v>1</v>
      </c>
      <c r="AR403" s="52">
        <f t="shared" si="195"/>
        <v>1</v>
      </c>
      <c r="AS403" s="52">
        <f t="shared" si="195"/>
        <v>1</v>
      </c>
      <c r="AT403" s="52">
        <f t="shared" si="195"/>
        <v>1</v>
      </c>
      <c r="AU403" s="52">
        <f t="shared" si="195"/>
        <v>1</v>
      </c>
      <c r="AV403" s="52">
        <f t="shared" si="195"/>
        <v>1</v>
      </c>
      <c r="AW403" s="52">
        <f t="shared" si="195"/>
        <v>1</v>
      </c>
      <c r="AX403" s="52">
        <f t="shared" si="195"/>
        <v>1</v>
      </c>
      <c r="AY403" s="52">
        <f t="shared" si="195"/>
        <v>1</v>
      </c>
      <c r="AZ403" s="52">
        <f t="shared" si="195"/>
        <v>1</v>
      </c>
      <c r="BA403" s="52">
        <f t="shared" si="195"/>
        <v>1</v>
      </c>
      <c r="BB403" s="52">
        <f t="shared" si="195"/>
        <v>1</v>
      </c>
      <c r="BC403" s="52">
        <f t="shared" si="195"/>
        <v>1</v>
      </c>
      <c r="BD403" s="52">
        <f t="shared" si="195"/>
        <v>1</v>
      </c>
      <c r="BE403" s="52">
        <f t="shared" si="195"/>
        <v>1</v>
      </c>
      <c r="BF403" s="52">
        <f t="shared" si="195"/>
        <v>1</v>
      </c>
      <c r="BG403" s="52">
        <f t="shared" si="195"/>
        <v>1</v>
      </c>
      <c r="BH403" s="52">
        <f t="shared" si="195"/>
        <v>1</v>
      </c>
      <c r="BI403" s="52">
        <f t="shared" si="195"/>
        <v>1</v>
      </c>
      <c r="BJ403" s="52">
        <f t="shared" si="195"/>
        <v>1</v>
      </c>
      <c r="BK403" s="52">
        <f t="shared" si="195"/>
        <v>1</v>
      </c>
      <c r="BL403" s="52">
        <f t="shared" si="195"/>
        <v>1</v>
      </c>
      <c r="BM403" s="52">
        <f t="shared" si="195"/>
        <v>1</v>
      </c>
      <c r="BN403" s="52">
        <f t="shared" si="195"/>
        <v>1</v>
      </c>
      <c r="BO403" s="32">
        <f t="shared" si="192"/>
        <v>0.51694915254237284</v>
      </c>
    </row>
    <row r="404" spans="1:67" x14ac:dyDescent="0.2">
      <c r="A404" s="50" t="s">
        <v>816</v>
      </c>
      <c r="B404" s="50" t="s">
        <v>817</v>
      </c>
      <c r="C404" s="50" t="s">
        <v>111</v>
      </c>
      <c r="D404" s="51">
        <f>VLOOKUP(A404,'[1]Cuadro Control'!C444:J2334,8,FALSE)</f>
        <v>94303618.549411759</v>
      </c>
      <c r="E404" s="52">
        <f t="shared" si="194"/>
        <v>1.7763397864110998E-2</v>
      </c>
      <c r="F404" s="53">
        <v>46414</v>
      </c>
      <c r="G404" s="53">
        <v>46416</v>
      </c>
      <c r="H404" s="52">
        <f t="shared" si="195"/>
        <v>0</v>
      </c>
      <c r="I404" s="52">
        <f t="shared" si="195"/>
        <v>0</v>
      </c>
      <c r="J404" s="52">
        <f t="shared" si="195"/>
        <v>0</v>
      </c>
      <c r="K404" s="52">
        <f t="shared" si="195"/>
        <v>0</v>
      </c>
      <c r="L404" s="52">
        <f t="shared" si="195"/>
        <v>0</v>
      </c>
      <c r="M404" s="52">
        <f t="shared" si="195"/>
        <v>0</v>
      </c>
      <c r="N404" s="52">
        <f t="shared" si="195"/>
        <v>0</v>
      </c>
      <c r="O404" s="52">
        <f t="shared" si="195"/>
        <v>0</v>
      </c>
      <c r="P404" s="52">
        <f t="shared" si="195"/>
        <v>0</v>
      </c>
      <c r="Q404" s="52">
        <f t="shared" si="195"/>
        <v>0</v>
      </c>
      <c r="R404" s="52">
        <f t="shared" si="195"/>
        <v>0</v>
      </c>
      <c r="S404" s="52">
        <f t="shared" si="195"/>
        <v>0</v>
      </c>
      <c r="T404" s="52">
        <f t="shared" si="195"/>
        <v>0</v>
      </c>
      <c r="U404" s="52">
        <f t="shared" si="195"/>
        <v>0</v>
      </c>
      <c r="V404" s="52">
        <f t="shared" si="195"/>
        <v>0</v>
      </c>
      <c r="W404" s="52">
        <f t="shared" si="195"/>
        <v>0</v>
      </c>
      <c r="X404" s="52">
        <f t="shared" si="195"/>
        <v>0</v>
      </c>
      <c r="Y404" s="52">
        <f t="shared" si="195"/>
        <v>0</v>
      </c>
      <c r="Z404" s="52">
        <f t="shared" si="195"/>
        <v>0</v>
      </c>
      <c r="AA404" s="52">
        <f t="shared" ref="AA404:BF415" si="196">IF($F404=0,0,IF(AA$6&lt;$F404,0,IF(AA$6&gt;$G404,1,(AA$6-$F404+1)/($G404-$F404+1))))</f>
        <v>0</v>
      </c>
      <c r="AB404" s="52">
        <f t="shared" si="196"/>
        <v>0</v>
      </c>
      <c r="AC404" s="52">
        <f t="shared" si="196"/>
        <v>0</v>
      </c>
      <c r="AD404" s="52">
        <f t="shared" si="196"/>
        <v>0</v>
      </c>
      <c r="AE404" s="52">
        <f t="shared" si="196"/>
        <v>0</v>
      </c>
      <c r="AF404" s="52">
        <f t="shared" si="196"/>
        <v>0</v>
      </c>
      <c r="AG404" s="52">
        <f t="shared" si="196"/>
        <v>0</v>
      </c>
      <c r="AH404" s="52">
        <f t="shared" si="196"/>
        <v>0</v>
      </c>
      <c r="AI404" s="52">
        <f t="shared" si="196"/>
        <v>0</v>
      </c>
      <c r="AJ404" s="52">
        <f t="shared" si="196"/>
        <v>0</v>
      </c>
      <c r="AK404" s="52">
        <f t="shared" si="196"/>
        <v>1</v>
      </c>
      <c r="AL404" s="52">
        <f t="shared" si="196"/>
        <v>1</v>
      </c>
      <c r="AM404" s="52">
        <f t="shared" si="196"/>
        <v>1</v>
      </c>
      <c r="AN404" s="52">
        <f t="shared" si="196"/>
        <v>1</v>
      </c>
      <c r="AO404" s="52">
        <f t="shared" si="196"/>
        <v>1</v>
      </c>
      <c r="AP404" s="52">
        <f t="shared" si="196"/>
        <v>1</v>
      </c>
      <c r="AQ404" s="52">
        <f t="shared" si="196"/>
        <v>1</v>
      </c>
      <c r="AR404" s="52">
        <f t="shared" si="196"/>
        <v>1</v>
      </c>
      <c r="AS404" s="52">
        <f t="shared" si="196"/>
        <v>1</v>
      </c>
      <c r="AT404" s="52">
        <f t="shared" si="196"/>
        <v>1</v>
      </c>
      <c r="AU404" s="52">
        <f t="shared" si="196"/>
        <v>1</v>
      </c>
      <c r="AV404" s="52">
        <f t="shared" si="196"/>
        <v>1</v>
      </c>
      <c r="AW404" s="52">
        <f t="shared" si="196"/>
        <v>1</v>
      </c>
      <c r="AX404" s="52">
        <f t="shared" si="196"/>
        <v>1</v>
      </c>
      <c r="AY404" s="52">
        <f t="shared" si="196"/>
        <v>1</v>
      </c>
      <c r="AZ404" s="52">
        <f t="shared" si="196"/>
        <v>1</v>
      </c>
      <c r="BA404" s="52">
        <f t="shared" si="196"/>
        <v>1</v>
      </c>
      <c r="BB404" s="52">
        <f t="shared" si="196"/>
        <v>1</v>
      </c>
      <c r="BC404" s="52">
        <f t="shared" si="196"/>
        <v>1</v>
      </c>
      <c r="BD404" s="52">
        <f t="shared" si="196"/>
        <v>1</v>
      </c>
      <c r="BE404" s="52">
        <f t="shared" si="196"/>
        <v>1</v>
      </c>
      <c r="BF404" s="52">
        <f t="shared" si="196"/>
        <v>1</v>
      </c>
      <c r="BG404" s="52">
        <f t="shared" ref="BG404:BN415" si="197">IF($F404=0,0,IF(BG$6&lt;$F404,0,IF(BG$6&gt;$G404,1,(BG$6-$F404+1)/($G404-$F404+1))))</f>
        <v>1</v>
      </c>
      <c r="BH404" s="52">
        <f t="shared" si="197"/>
        <v>1</v>
      </c>
      <c r="BI404" s="52">
        <f t="shared" si="197"/>
        <v>1</v>
      </c>
      <c r="BJ404" s="52">
        <f t="shared" si="197"/>
        <v>1</v>
      </c>
      <c r="BK404" s="52">
        <f t="shared" si="197"/>
        <v>1</v>
      </c>
      <c r="BL404" s="52">
        <f t="shared" si="197"/>
        <v>1</v>
      </c>
      <c r="BM404" s="52">
        <f t="shared" si="197"/>
        <v>1</v>
      </c>
      <c r="BN404" s="52">
        <f t="shared" si="197"/>
        <v>1</v>
      </c>
      <c r="BO404" s="32">
        <f t="shared" si="192"/>
        <v>0.50847457627118642</v>
      </c>
    </row>
    <row r="405" spans="1:67" x14ac:dyDescent="0.2">
      <c r="A405" s="50" t="s">
        <v>818</v>
      </c>
      <c r="B405" s="50" t="s">
        <v>819</v>
      </c>
      <c r="C405" s="50" t="s">
        <v>238</v>
      </c>
      <c r="D405" s="51">
        <f>VLOOKUP(A405,'[1]Cuadro Control'!C445:J2335,8,FALSE)</f>
        <v>179436034.15411764</v>
      </c>
      <c r="E405" s="52">
        <f t="shared" si="194"/>
        <v>3.3799272126209236E-2</v>
      </c>
      <c r="F405" s="53">
        <v>46416</v>
      </c>
      <c r="G405" s="53">
        <v>46421</v>
      </c>
      <c r="H405" s="52">
        <f t="shared" ref="H405:W415" si="198">IF($F405=0,0,IF(H$6&lt;$F405,0,IF(H$6&gt;$G405,1,(H$6-$F405+1)/($G405-$F405+1))))</f>
        <v>0</v>
      </c>
      <c r="I405" s="52">
        <f t="shared" si="198"/>
        <v>0</v>
      </c>
      <c r="J405" s="52">
        <f t="shared" si="198"/>
        <v>0</v>
      </c>
      <c r="K405" s="52">
        <f t="shared" si="198"/>
        <v>0</v>
      </c>
      <c r="L405" s="52">
        <f t="shared" si="198"/>
        <v>0</v>
      </c>
      <c r="M405" s="52">
        <f t="shared" si="198"/>
        <v>0</v>
      </c>
      <c r="N405" s="52">
        <f t="shared" si="198"/>
        <v>0</v>
      </c>
      <c r="O405" s="52">
        <f t="shared" si="198"/>
        <v>0</v>
      </c>
      <c r="P405" s="52">
        <f t="shared" si="198"/>
        <v>0</v>
      </c>
      <c r="Q405" s="52">
        <f t="shared" si="198"/>
        <v>0</v>
      </c>
      <c r="R405" s="52">
        <f t="shared" si="198"/>
        <v>0</v>
      </c>
      <c r="S405" s="52">
        <f t="shared" si="198"/>
        <v>0</v>
      </c>
      <c r="T405" s="52">
        <f t="shared" si="198"/>
        <v>0</v>
      </c>
      <c r="U405" s="52">
        <f t="shared" si="198"/>
        <v>0</v>
      </c>
      <c r="V405" s="52">
        <f t="shared" si="198"/>
        <v>0</v>
      </c>
      <c r="W405" s="52">
        <f t="shared" si="198"/>
        <v>0</v>
      </c>
      <c r="X405" s="52">
        <f t="shared" ref="X405:BC415" si="199">IF($F405=0,0,IF(X$6&lt;$F405,0,IF(X$6&gt;$G405,1,(X$6-$F405+1)/($G405-$F405+1))))</f>
        <v>0</v>
      </c>
      <c r="Y405" s="52">
        <f t="shared" si="199"/>
        <v>0</v>
      </c>
      <c r="Z405" s="52">
        <f t="shared" si="199"/>
        <v>0</v>
      </c>
      <c r="AA405" s="52">
        <f t="shared" si="199"/>
        <v>0</v>
      </c>
      <c r="AB405" s="52">
        <f t="shared" si="199"/>
        <v>0</v>
      </c>
      <c r="AC405" s="52">
        <f t="shared" si="199"/>
        <v>0</v>
      </c>
      <c r="AD405" s="52">
        <f t="shared" si="199"/>
        <v>0</v>
      </c>
      <c r="AE405" s="52">
        <f t="shared" si="199"/>
        <v>0</v>
      </c>
      <c r="AF405" s="52">
        <f t="shared" si="199"/>
        <v>0</v>
      </c>
      <c r="AG405" s="52">
        <f t="shared" si="199"/>
        <v>0</v>
      </c>
      <c r="AH405" s="52">
        <f t="shared" si="199"/>
        <v>0</v>
      </c>
      <c r="AI405" s="52">
        <f t="shared" si="199"/>
        <v>0</v>
      </c>
      <c r="AJ405" s="52">
        <f t="shared" si="199"/>
        <v>0</v>
      </c>
      <c r="AK405" s="52">
        <f t="shared" si="199"/>
        <v>0.16666666666666666</v>
      </c>
      <c r="AL405" s="52">
        <f t="shared" si="199"/>
        <v>1</v>
      </c>
      <c r="AM405" s="52">
        <f t="shared" si="199"/>
        <v>1</v>
      </c>
      <c r="AN405" s="52">
        <f t="shared" si="199"/>
        <v>1</v>
      </c>
      <c r="AO405" s="52">
        <f t="shared" si="196"/>
        <v>1</v>
      </c>
      <c r="AP405" s="52">
        <f t="shared" si="196"/>
        <v>1</v>
      </c>
      <c r="AQ405" s="52">
        <f t="shared" si="196"/>
        <v>1</v>
      </c>
      <c r="AR405" s="52">
        <f t="shared" si="196"/>
        <v>1</v>
      </c>
      <c r="AS405" s="52">
        <f t="shared" si="196"/>
        <v>1</v>
      </c>
      <c r="AT405" s="52">
        <f t="shared" si="196"/>
        <v>1</v>
      </c>
      <c r="AU405" s="52">
        <f t="shared" si="196"/>
        <v>1</v>
      </c>
      <c r="AV405" s="52">
        <f t="shared" si="196"/>
        <v>1</v>
      </c>
      <c r="AW405" s="52">
        <f t="shared" si="196"/>
        <v>1</v>
      </c>
      <c r="AX405" s="52">
        <f t="shared" si="196"/>
        <v>1</v>
      </c>
      <c r="AY405" s="52">
        <f t="shared" si="196"/>
        <v>1</v>
      </c>
      <c r="AZ405" s="52">
        <f t="shared" si="196"/>
        <v>1</v>
      </c>
      <c r="BA405" s="52">
        <f t="shared" si="196"/>
        <v>1</v>
      </c>
      <c r="BB405" s="52">
        <f t="shared" si="196"/>
        <v>1</v>
      </c>
      <c r="BC405" s="52">
        <f t="shared" si="196"/>
        <v>1</v>
      </c>
      <c r="BD405" s="52">
        <f t="shared" si="196"/>
        <v>1</v>
      </c>
      <c r="BE405" s="52">
        <f t="shared" si="196"/>
        <v>1</v>
      </c>
      <c r="BF405" s="52">
        <f t="shared" si="196"/>
        <v>1</v>
      </c>
      <c r="BG405" s="52">
        <f t="shared" si="197"/>
        <v>1</v>
      </c>
      <c r="BH405" s="52">
        <f t="shared" si="197"/>
        <v>1</v>
      </c>
      <c r="BI405" s="52">
        <f t="shared" si="197"/>
        <v>1</v>
      </c>
      <c r="BJ405" s="52">
        <f t="shared" si="197"/>
        <v>1</v>
      </c>
      <c r="BK405" s="52">
        <f t="shared" si="197"/>
        <v>1</v>
      </c>
      <c r="BL405" s="52">
        <f t="shared" si="197"/>
        <v>1</v>
      </c>
      <c r="BM405" s="52">
        <f t="shared" si="197"/>
        <v>1</v>
      </c>
      <c r="BN405" s="52">
        <f t="shared" si="197"/>
        <v>1</v>
      </c>
      <c r="BO405" s="32">
        <f t="shared" si="192"/>
        <v>0.4943502824858757</v>
      </c>
    </row>
    <row r="406" spans="1:67" x14ac:dyDescent="0.2">
      <c r="A406" s="50" t="s">
        <v>820</v>
      </c>
      <c r="B406" s="50" t="s">
        <v>821</v>
      </c>
      <c r="C406" s="50" t="s">
        <v>58</v>
      </c>
      <c r="D406" s="51">
        <f>VLOOKUP(A406,'[1]Cuadro Control'!C446:J2336,8,FALSE)</f>
        <v>1212623361.2117648</v>
      </c>
      <c r="E406" s="52">
        <f t="shared" si="194"/>
        <v>0.22841447185013161</v>
      </c>
      <c r="F406" s="53">
        <v>46421</v>
      </c>
      <c r="G406" s="53">
        <v>46437</v>
      </c>
      <c r="H406" s="52">
        <f t="shared" si="198"/>
        <v>0</v>
      </c>
      <c r="I406" s="52">
        <f t="shared" si="198"/>
        <v>0</v>
      </c>
      <c r="J406" s="52">
        <f t="shared" si="198"/>
        <v>0</v>
      </c>
      <c r="K406" s="52">
        <f t="shared" si="198"/>
        <v>0</v>
      </c>
      <c r="L406" s="52">
        <f t="shared" si="198"/>
        <v>0</v>
      </c>
      <c r="M406" s="52">
        <f t="shared" si="198"/>
        <v>0</v>
      </c>
      <c r="N406" s="52">
        <f t="shared" si="198"/>
        <v>0</v>
      </c>
      <c r="O406" s="52">
        <f t="shared" si="198"/>
        <v>0</v>
      </c>
      <c r="P406" s="52">
        <f t="shared" si="198"/>
        <v>0</v>
      </c>
      <c r="Q406" s="52">
        <f t="shared" si="198"/>
        <v>0</v>
      </c>
      <c r="R406" s="52">
        <f t="shared" si="198"/>
        <v>0</v>
      </c>
      <c r="S406" s="52">
        <f t="shared" si="198"/>
        <v>0</v>
      </c>
      <c r="T406" s="52">
        <f t="shared" si="198"/>
        <v>0</v>
      </c>
      <c r="U406" s="52">
        <f t="shared" si="198"/>
        <v>0</v>
      </c>
      <c r="V406" s="52">
        <f t="shared" si="198"/>
        <v>0</v>
      </c>
      <c r="W406" s="52">
        <f t="shared" si="198"/>
        <v>0</v>
      </c>
      <c r="X406" s="52">
        <f t="shared" si="199"/>
        <v>0</v>
      </c>
      <c r="Y406" s="52">
        <f t="shared" si="199"/>
        <v>0</v>
      </c>
      <c r="Z406" s="52">
        <f t="shared" si="199"/>
        <v>0</v>
      </c>
      <c r="AA406" s="52">
        <f t="shared" si="199"/>
        <v>0</v>
      </c>
      <c r="AB406" s="52">
        <f t="shared" si="199"/>
        <v>0</v>
      </c>
      <c r="AC406" s="52">
        <f t="shared" si="199"/>
        <v>0</v>
      </c>
      <c r="AD406" s="52">
        <f t="shared" si="199"/>
        <v>0</v>
      </c>
      <c r="AE406" s="52">
        <f t="shared" si="199"/>
        <v>0</v>
      </c>
      <c r="AF406" s="52">
        <f t="shared" si="199"/>
        <v>0</v>
      </c>
      <c r="AG406" s="52">
        <f t="shared" si="199"/>
        <v>0</v>
      </c>
      <c r="AH406" s="52">
        <f t="shared" si="199"/>
        <v>0</v>
      </c>
      <c r="AI406" s="52">
        <f t="shared" si="199"/>
        <v>0</v>
      </c>
      <c r="AJ406" s="52">
        <f t="shared" si="199"/>
        <v>0</v>
      </c>
      <c r="AK406" s="52">
        <f t="shared" si="199"/>
        <v>0</v>
      </c>
      <c r="AL406" s="52">
        <f t="shared" si="199"/>
        <v>0.17647058823529413</v>
      </c>
      <c r="AM406" s="52">
        <f t="shared" si="199"/>
        <v>0.58823529411764708</v>
      </c>
      <c r="AN406" s="52">
        <f t="shared" si="199"/>
        <v>1</v>
      </c>
      <c r="AO406" s="52">
        <f t="shared" si="196"/>
        <v>1</v>
      </c>
      <c r="AP406" s="52">
        <f t="shared" si="196"/>
        <v>1</v>
      </c>
      <c r="AQ406" s="52">
        <f t="shared" si="196"/>
        <v>1</v>
      </c>
      <c r="AR406" s="52">
        <f t="shared" si="196"/>
        <v>1</v>
      </c>
      <c r="AS406" s="52">
        <f t="shared" si="196"/>
        <v>1</v>
      </c>
      <c r="AT406" s="52">
        <f t="shared" si="196"/>
        <v>1</v>
      </c>
      <c r="AU406" s="52">
        <f t="shared" si="196"/>
        <v>1</v>
      </c>
      <c r="AV406" s="52">
        <f t="shared" si="196"/>
        <v>1</v>
      </c>
      <c r="AW406" s="52">
        <f t="shared" si="196"/>
        <v>1</v>
      </c>
      <c r="AX406" s="52">
        <f t="shared" si="196"/>
        <v>1</v>
      </c>
      <c r="AY406" s="52">
        <f t="shared" si="196"/>
        <v>1</v>
      </c>
      <c r="AZ406" s="52">
        <f t="shared" si="196"/>
        <v>1</v>
      </c>
      <c r="BA406" s="52">
        <f t="shared" si="196"/>
        <v>1</v>
      </c>
      <c r="BB406" s="52">
        <f t="shared" si="196"/>
        <v>1</v>
      </c>
      <c r="BC406" s="52">
        <f t="shared" si="196"/>
        <v>1</v>
      </c>
      <c r="BD406" s="52">
        <f t="shared" si="196"/>
        <v>1</v>
      </c>
      <c r="BE406" s="52">
        <f t="shared" si="196"/>
        <v>1</v>
      </c>
      <c r="BF406" s="52">
        <f t="shared" si="196"/>
        <v>1</v>
      </c>
      <c r="BG406" s="52">
        <f t="shared" si="197"/>
        <v>1</v>
      </c>
      <c r="BH406" s="52">
        <f t="shared" si="197"/>
        <v>1</v>
      </c>
      <c r="BI406" s="52">
        <f t="shared" si="197"/>
        <v>1</v>
      </c>
      <c r="BJ406" s="52">
        <f t="shared" si="197"/>
        <v>1</v>
      </c>
      <c r="BK406" s="52">
        <f t="shared" si="197"/>
        <v>1</v>
      </c>
      <c r="BL406" s="52">
        <f t="shared" si="197"/>
        <v>1</v>
      </c>
      <c r="BM406" s="52">
        <f t="shared" si="197"/>
        <v>1</v>
      </c>
      <c r="BN406" s="52">
        <f t="shared" si="197"/>
        <v>1</v>
      </c>
      <c r="BO406" s="32">
        <f t="shared" si="192"/>
        <v>0.47058823529411764</v>
      </c>
    </row>
    <row r="407" spans="1:67" x14ac:dyDescent="0.2">
      <c r="A407" s="50" t="s">
        <v>822</v>
      </c>
      <c r="B407" s="50" t="s">
        <v>823</v>
      </c>
      <c r="C407" s="50" t="s">
        <v>126</v>
      </c>
      <c r="D407" s="51">
        <f>VLOOKUP(A407,'[1]Cuadro Control'!C447:J2337,8,FALSE)</f>
        <v>0</v>
      </c>
      <c r="E407" s="52">
        <f t="shared" si="194"/>
        <v>0</v>
      </c>
      <c r="F407" s="53">
        <v>46437</v>
      </c>
      <c r="G407" s="53">
        <v>46440</v>
      </c>
      <c r="H407" s="52">
        <f t="shared" si="198"/>
        <v>0</v>
      </c>
      <c r="I407" s="52">
        <f t="shared" si="198"/>
        <v>0</v>
      </c>
      <c r="J407" s="52">
        <f t="shared" si="198"/>
        <v>0</v>
      </c>
      <c r="K407" s="52">
        <f t="shared" si="198"/>
        <v>0</v>
      </c>
      <c r="L407" s="52">
        <f t="shared" si="198"/>
        <v>0</v>
      </c>
      <c r="M407" s="52">
        <f t="shared" si="198"/>
        <v>0</v>
      </c>
      <c r="N407" s="52">
        <f t="shared" si="198"/>
        <v>0</v>
      </c>
      <c r="O407" s="52">
        <f t="shared" si="198"/>
        <v>0</v>
      </c>
      <c r="P407" s="52">
        <f t="shared" si="198"/>
        <v>0</v>
      </c>
      <c r="Q407" s="52">
        <f t="shared" si="198"/>
        <v>0</v>
      </c>
      <c r="R407" s="52">
        <f t="shared" si="198"/>
        <v>0</v>
      </c>
      <c r="S407" s="52">
        <f t="shared" si="198"/>
        <v>0</v>
      </c>
      <c r="T407" s="52">
        <f t="shared" si="198"/>
        <v>0</v>
      </c>
      <c r="U407" s="52">
        <f t="shared" si="198"/>
        <v>0</v>
      </c>
      <c r="V407" s="52">
        <f t="shared" si="198"/>
        <v>0</v>
      </c>
      <c r="W407" s="52">
        <f t="shared" si="198"/>
        <v>0</v>
      </c>
      <c r="X407" s="52">
        <f t="shared" si="199"/>
        <v>0</v>
      </c>
      <c r="Y407" s="52">
        <f t="shared" si="199"/>
        <v>0</v>
      </c>
      <c r="Z407" s="52">
        <f t="shared" si="199"/>
        <v>0</v>
      </c>
      <c r="AA407" s="52">
        <f t="shared" si="199"/>
        <v>0</v>
      </c>
      <c r="AB407" s="52">
        <f t="shared" si="199"/>
        <v>0</v>
      </c>
      <c r="AC407" s="52">
        <f t="shared" si="199"/>
        <v>0</v>
      </c>
      <c r="AD407" s="52">
        <f t="shared" si="199"/>
        <v>0</v>
      </c>
      <c r="AE407" s="52">
        <f t="shared" si="199"/>
        <v>0</v>
      </c>
      <c r="AF407" s="52">
        <f t="shared" si="199"/>
        <v>0</v>
      </c>
      <c r="AG407" s="52">
        <f t="shared" si="199"/>
        <v>0</v>
      </c>
      <c r="AH407" s="52">
        <f t="shared" si="199"/>
        <v>0</v>
      </c>
      <c r="AI407" s="52">
        <f t="shared" si="199"/>
        <v>0</v>
      </c>
      <c r="AJ407" s="52">
        <f t="shared" si="199"/>
        <v>0</v>
      </c>
      <c r="AK407" s="52">
        <f t="shared" si="199"/>
        <v>0</v>
      </c>
      <c r="AL407" s="52">
        <f t="shared" si="199"/>
        <v>0</v>
      </c>
      <c r="AM407" s="52">
        <f t="shared" si="199"/>
        <v>0</v>
      </c>
      <c r="AN407" s="52">
        <f t="shared" si="199"/>
        <v>0.25</v>
      </c>
      <c r="AO407" s="52">
        <f t="shared" si="196"/>
        <v>1</v>
      </c>
      <c r="AP407" s="52">
        <f t="shared" si="196"/>
        <v>1</v>
      </c>
      <c r="AQ407" s="52">
        <f t="shared" si="196"/>
        <v>1</v>
      </c>
      <c r="AR407" s="52">
        <f t="shared" si="196"/>
        <v>1</v>
      </c>
      <c r="AS407" s="52">
        <f t="shared" si="196"/>
        <v>1</v>
      </c>
      <c r="AT407" s="52">
        <f t="shared" si="196"/>
        <v>1</v>
      </c>
      <c r="AU407" s="52">
        <f t="shared" si="196"/>
        <v>1</v>
      </c>
      <c r="AV407" s="52">
        <f t="shared" si="196"/>
        <v>1</v>
      </c>
      <c r="AW407" s="52">
        <f t="shared" si="196"/>
        <v>1</v>
      </c>
      <c r="AX407" s="52">
        <f t="shared" si="196"/>
        <v>1</v>
      </c>
      <c r="AY407" s="52">
        <f t="shared" si="196"/>
        <v>1</v>
      </c>
      <c r="AZ407" s="52">
        <f t="shared" si="196"/>
        <v>1</v>
      </c>
      <c r="BA407" s="52">
        <f t="shared" si="196"/>
        <v>1</v>
      </c>
      <c r="BB407" s="52">
        <f t="shared" si="196"/>
        <v>1</v>
      </c>
      <c r="BC407" s="52">
        <f t="shared" si="196"/>
        <v>1</v>
      </c>
      <c r="BD407" s="52">
        <f t="shared" si="196"/>
        <v>1</v>
      </c>
      <c r="BE407" s="52">
        <f t="shared" si="196"/>
        <v>1</v>
      </c>
      <c r="BF407" s="52">
        <f t="shared" si="196"/>
        <v>1</v>
      </c>
      <c r="BG407" s="52">
        <f t="shared" si="197"/>
        <v>1</v>
      </c>
      <c r="BH407" s="52">
        <f t="shared" si="197"/>
        <v>1</v>
      </c>
      <c r="BI407" s="52">
        <f t="shared" si="197"/>
        <v>1</v>
      </c>
      <c r="BJ407" s="52">
        <f t="shared" si="197"/>
        <v>1</v>
      </c>
      <c r="BK407" s="52">
        <f t="shared" si="197"/>
        <v>1</v>
      </c>
      <c r="BL407" s="52">
        <f t="shared" si="197"/>
        <v>1</v>
      </c>
      <c r="BM407" s="52">
        <f t="shared" si="197"/>
        <v>1</v>
      </c>
      <c r="BN407" s="52">
        <f t="shared" si="197"/>
        <v>1</v>
      </c>
      <c r="BO407" s="32">
        <f t="shared" si="192"/>
        <v>0.44491525423728812</v>
      </c>
    </row>
    <row r="408" spans="1:67" ht="24" x14ac:dyDescent="0.2">
      <c r="A408" s="55" t="s">
        <v>824</v>
      </c>
      <c r="B408" s="55" t="s">
        <v>825</v>
      </c>
      <c r="C408" s="55" t="s">
        <v>14</v>
      </c>
      <c r="D408" s="56">
        <f>VLOOKUP(A408,'[1]Cuadro Control'!C448:J2338,8,FALSE)</f>
        <v>0</v>
      </c>
      <c r="E408" s="57">
        <f t="shared" si="194"/>
        <v>0</v>
      </c>
      <c r="F408" s="58">
        <v>46437</v>
      </c>
      <c r="G408" s="58">
        <v>46437</v>
      </c>
      <c r="H408" s="57">
        <f t="shared" si="198"/>
        <v>0</v>
      </c>
      <c r="I408" s="57">
        <f t="shared" si="198"/>
        <v>0</v>
      </c>
      <c r="J408" s="57">
        <f t="shared" si="198"/>
        <v>0</v>
      </c>
      <c r="K408" s="57">
        <f t="shared" si="198"/>
        <v>0</v>
      </c>
      <c r="L408" s="57">
        <f t="shared" si="198"/>
        <v>0</v>
      </c>
      <c r="M408" s="57">
        <f t="shared" si="198"/>
        <v>0</v>
      </c>
      <c r="N408" s="57">
        <f t="shared" si="198"/>
        <v>0</v>
      </c>
      <c r="O408" s="57">
        <f t="shared" si="198"/>
        <v>0</v>
      </c>
      <c r="P408" s="57">
        <f t="shared" si="198"/>
        <v>0</v>
      </c>
      <c r="Q408" s="57">
        <f t="shared" si="198"/>
        <v>0</v>
      </c>
      <c r="R408" s="57">
        <f t="shared" si="198"/>
        <v>0</v>
      </c>
      <c r="S408" s="57">
        <f t="shared" si="198"/>
        <v>0</v>
      </c>
      <c r="T408" s="57">
        <f t="shared" si="198"/>
        <v>0</v>
      </c>
      <c r="U408" s="57">
        <f t="shared" si="198"/>
        <v>0</v>
      </c>
      <c r="V408" s="57">
        <f t="shared" si="198"/>
        <v>0</v>
      </c>
      <c r="W408" s="57">
        <f t="shared" si="198"/>
        <v>0</v>
      </c>
      <c r="X408" s="57">
        <f t="shared" si="199"/>
        <v>0</v>
      </c>
      <c r="Y408" s="57">
        <f t="shared" si="199"/>
        <v>0</v>
      </c>
      <c r="Z408" s="57">
        <f t="shared" si="199"/>
        <v>0</v>
      </c>
      <c r="AA408" s="57">
        <f t="shared" si="199"/>
        <v>0</v>
      </c>
      <c r="AB408" s="57">
        <f t="shared" si="199"/>
        <v>0</v>
      </c>
      <c r="AC408" s="57">
        <f t="shared" si="199"/>
        <v>0</v>
      </c>
      <c r="AD408" s="57">
        <f t="shared" si="199"/>
        <v>0</v>
      </c>
      <c r="AE408" s="57">
        <f t="shared" si="199"/>
        <v>0</v>
      </c>
      <c r="AF408" s="57">
        <f t="shared" si="199"/>
        <v>0</v>
      </c>
      <c r="AG408" s="57">
        <f t="shared" si="199"/>
        <v>0</v>
      </c>
      <c r="AH408" s="57">
        <f t="shared" si="199"/>
        <v>0</v>
      </c>
      <c r="AI408" s="57">
        <f t="shared" si="199"/>
        <v>0</v>
      </c>
      <c r="AJ408" s="57">
        <f t="shared" si="199"/>
        <v>0</v>
      </c>
      <c r="AK408" s="57">
        <f t="shared" si="199"/>
        <v>0</v>
      </c>
      <c r="AL408" s="57">
        <f t="shared" si="199"/>
        <v>0</v>
      </c>
      <c r="AM408" s="57">
        <f t="shared" si="199"/>
        <v>0</v>
      </c>
      <c r="AN408" s="57">
        <f t="shared" si="199"/>
        <v>1</v>
      </c>
      <c r="AO408" s="57">
        <f t="shared" si="196"/>
        <v>1</v>
      </c>
      <c r="AP408" s="57">
        <f t="shared" si="196"/>
        <v>1</v>
      </c>
      <c r="AQ408" s="57">
        <f t="shared" si="196"/>
        <v>1</v>
      </c>
      <c r="AR408" s="57">
        <f t="shared" si="196"/>
        <v>1</v>
      </c>
      <c r="AS408" s="57">
        <f t="shared" si="196"/>
        <v>1</v>
      </c>
      <c r="AT408" s="57">
        <f t="shared" si="196"/>
        <v>1</v>
      </c>
      <c r="AU408" s="57">
        <f t="shared" si="196"/>
        <v>1</v>
      </c>
      <c r="AV408" s="57">
        <f t="shared" si="196"/>
        <v>1</v>
      </c>
      <c r="AW408" s="57">
        <f t="shared" si="196"/>
        <v>1</v>
      </c>
      <c r="AX408" s="57">
        <f t="shared" si="196"/>
        <v>1</v>
      </c>
      <c r="AY408" s="57">
        <f t="shared" si="196"/>
        <v>1</v>
      </c>
      <c r="AZ408" s="57">
        <f t="shared" si="196"/>
        <v>1</v>
      </c>
      <c r="BA408" s="57">
        <f t="shared" si="196"/>
        <v>1</v>
      </c>
      <c r="BB408" s="57">
        <f t="shared" si="196"/>
        <v>1</v>
      </c>
      <c r="BC408" s="57">
        <f t="shared" si="196"/>
        <v>1</v>
      </c>
      <c r="BD408" s="57">
        <f t="shared" si="196"/>
        <v>1</v>
      </c>
      <c r="BE408" s="57">
        <f t="shared" si="196"/>
        <v>1</v>
      </c>
      <c r="BF408" s="57">
        <f t="shared" si="196"/>
        <v>1</v>
      </c>
      <c r="BG408" s="57">
        <f t="shared" si="197"/>
        <v>1</v>
      </c>
      <c r="BH408" s="57">
        <f t="shared" si="197"/>
        <v>1</v>
      </c>
      <c r="BI408" s="57">
        <f t="shared" si="197"/>
        <v>1</v>
      </c>
      <c r="BJ408" s="57">
        <f t="shared" si="197"/>
        <v>1</v>
      </c>
      <c r="BK408" s="57">
        <f t="shared" si="197"/>
        <v>1</v>
      </c>
      <c r="BL408" s="57">
        <f t="shared" si="197"/>
        <v>1</v>
      </c>
      <c r="BM408" s="57">
        <f t="shared" si="197"/>
        <v>1</v>
      </c>
      <c r="BN408" s="57">
        <f t="shared" si="197"/>
        <v>1</v>
      </c>
      <c r="BO408" s="32">
        <f t="shared" si="192"/>
        <v>0.4576271186440678</v>
      </c>
    </row>
    <row r="409" spans="1:67" x14ac:dyDescent="0.2">
      <c r="A409" s="50" t="s">
        <v>826</v>
      </c>
      <c r="B409" s="50" t="s">
        <v>827</v>
      </c>
      <c r="C409" s="50" t="s">
        <v>111</v>
      </c>
      <c r="D409" s="51">
        <f>VLOOKUP(A409,'[1]Cuadro Control'!C449:J2339,8,FALSE)</f>
        <v>1230815225.9452939</v>
      </c>
      <c r="E409" s="52">
        <f t="shared" si="194"/>
        <v>0.2318411625341423</v>
      </c>
      <c r="F409" s="53">
        <v>46441</v>
      </c>
      <c r="G409" s="53">
        <v>46441</v>
      </c>
      <c r="H409" s="52">
        <f t="shared" si="198"/>
        <v>0</v>
      </c>
      <c r="I409" s="52">
        <f t="shared" si="198"/>
        <v>0</v>
      </c>
      <c r="J409" s="52">
        <f t="shared" si="198"/>
        <v>0</v>
      </c>
      <c r="K409" s="52">
        <f t="shared" si="198"/>
        <v>0</v>
      </c>
      <c r="L409" s="52">
        <f t="shared" si="198"/>
        <v>0</v>
      </c>
      <c r="M409" s="52">
        <f t="shared" si="198"/>
        <v>0</v>
      </c>
      <c r="N409" s="52">
        <f t="shared" si="198"/>
        <v>0</v>
      </c>
      <c r="O409" s="52">
        <f t="shared" si="198"/>
        <v>0</v>
      </c>
      <c r="P409" s="52">
        <f t="shared" si="198"/>
        <v>0</v>
      </c>
      <c r="Q409" s="52">
        <f t="shared" si="198"/>
        <v>0</v>
      </c>
      <c r="R409" s="52">
        <f t="shared" si="198"/>
        <v>0</v>
      </c>
      <c r="S409" s="52">
        <f t="shared" si="198"/>
        <v>0</v>
      </c>
      <c r="T409" s="52">
        <f t="shared" si="198"/>
        <v>0</v>
      </c>
      <c r="U409" s="52">
        <f t="shared" si="198"/>
        <v>0</v>
      </c>
      <c r="V409" s="52">
        <f t="shared" si="198"/>
        <v>0</v>
      </c>
      <c r="W409" s="52">
        <f t="shared" si="198"/>
        <v>0</v>
      </c>
      <c r="X409" s="52">
        <f t="shared" si="199"/>
        <v>0</v>
      </c>
      <c r="Y409" s="52">
        <f t="shared" si="199"/>
        <v>0</v>
      </c>
      <c r="Z409" s="52">
        <f t="shared" si="199"/>
        <v>0</v>
      </c>
      <c r="AA409" s="52">
        <f t="shared" si="199"/>
        <v>0</v>
      </c>
      <c r="AB409" s="52">
        <f t="shared" si="199"/>
        <v>0</v>
      </c>
      <c r="AC409" s="52">
        <f t="shared" si="199"/>
        <v>0</v>
      </c>
      <c r="AD409" s="52">
        <f t="shared" si="199"/>
        <v>0</v>
      </c>
      <c r="AE409" s="52">
        <f t="shared" si="199"/>
        <v>0</v>
      </c>
      <c r="AF409" s="52">
        <f t="shared" si="199"/>
        <v>0</v>
      </c>
      <c r="AG409" s="52">
        <f t="shared" si="199"/>
        <v>0</v>
      </c>
      <c r="AH409" s="52">
        <f t="shared" si="199"/>
        <v>0</v>
      </c>
      <c r="AI409" s="52">
        <f t="shared" si="199"/>
        <v>0</v>
      </c>
      <c r="AJ409" s="52">
        <f t="shared" si="199"/>
        <v>0</v>
      </c>
      <c r="AK409" s="52">
        <f t="shared" si="199"/>
        <v>0</v>
      </c>
      <c r="AL409" s="52">
        <f t="shared" si="199"/>
        <v>0</v>
      </c>
      <c r="AM409" s="52">
        <f t="shared" si="199"/>
        <v>0</v>
      </c>
      <c r="AN409" s="52">
        <f t="shared" si="199"/>
        <v>0</v>
      </c>
      <c r="AO409" s="52">
        <f t="shared" si="196"/>
        <v>1</v>
      </c>
      <c r="AP409" s="52">
        <f t="shared" si="196"/>
        <v>1</v>
      </c>
      <c r="AQ409" s="52">
        <f t="shared" si="196"/>
        <v>1</v>
      </c>
      <c r="AR409" s="52">
        <f t="shared" si="196"/>
        <v>1</v>
      </c>
      <c r="AS409" s="52">
        <f t="shared" si="196"/>
        <v>1</v>
      </c>
      <c r="AT409" s="52">
        <f t="shared" si="196"/>
        <v>1</v>
      </c>
      <c r="AU409" s="52">
        <f t="shared" si="196"/>
        <v>1</v>
      </c>
      <c r="AV409" s="52">
        <f t="shared" si="196"/>
        <v>1</v>
      </c>
      <c r="AW409" s="52">
        <f t="shared" si="196"/>
        <v>1</v>
      </c>
      <c r="AX409" s="52">
        <f t="shared" si="196"/>
        <v>1</v>
      </c>
      <c r="AY409" s="52">
        <f t="shared" si="196"/>
        <v>1</v>
      </c>
      <c r="AZ409" s="52">
        <f t="shared" si="196"/>
        <v>1</v>
      </c>
      <c r="BA409" s="52">
        <f t="shared" si="196"/>
        <v>1</v>
      </c>
      <c r="BB409" s="52">
        <f t="shared" si="196"/>
        <v>1</v>
      </c>
      <c r="BC409" s="52">
        <f t="shared" si="196"/>
        <v>1</v>
      </c>
      <c r="BD409" s="52">
        <f t="shared" si="196"/>
        <v>1</v>
      </c>
      <c r="BE409" s="52">
        <f t="shared" si="196"/>
        <v>1</v>
      </c>
      <c r="BF409" s="52">
        <f t="shared" si="196"/>
        <v>1</v>
      </c>
      <c r="BG409" s="52">
        <f t="shared" si="197"/>
        <v>1</v>
      </c>
      <c r="BH409" s="52">
        <f t="shared" si="197"/>
        <v>1</v>
      </c>
      <c r="BI409" s="52">
        <f t="shared" si="197"/>
        <v>1</v>
      </c>
      <c r="BJ409" s="52">
        <f t="shared" si="197"/>
        <v>1</v>
      </c>
      <c r="BK409" s="52">
        <f t="shared" si="197"/>
        <v>1</v>
      </c>
      <c r="BL409" s="52">
        <f t="shared" si="197"/>
        <v>1</v>
      </c>
      <c r="BM409" s="52">
        <f t="shared" si="197"/>
        <v>1</v>
      </c>
      <c r="BN409" s="52">
        <f t="shared" si="197"/>
        <v>1</v>
      </c>
      <c r="BO409" s="32">
        <f t="shared" si="192"/>
        <v>0.44067796610169491</v>
      </c>
    </row>
    <row r="410" spans="1:67" x14ac:dyDescent="0.2">
      <c r="A410" s="50" t="s">
        <v>828</v>
      </c>
      <c r="B410" s="50" t="s">
        <v>829</v>
      </c>
      <c r="C410" s="50" t="s">
        <v>238</v>
      </c>
      <c r="D410" s="51">
        <f>VLOOKUP(A410,'[1]Cuadro Control'!C450:J2340,8,FALSE)</f>
        <v>0</v>
      </c>
      <c r="E410" s="52">
        <f t="shared" si="194"/>
        <v>0</v>
      </c>
      <c r="F410" s="53">
        <v>46441</v>
      </c>
      <c r="G410" s="53">
        <v>46449</v>
      </c>
      <c r="H410" s="52">
        <f t="shared" si="198"/>
        <v>0</v>
      </c>
      <c r="I410" s="52">
        <f t="shared" si="198"/>
        <v>0</v>
      </c>
      <c r="J410" s="52">
        <f t="shared" si="198"/>
        <v>0</v>
      </c>
      <c r="K410" s="52">
        <f t="shared" si="198"/>
        <v>0</v>
      </c>
      <c r="L410" s="52">
        <f t="shared" si="198"/>
        <v>0</v>
      </c>
      <c r="M410" s="52">
        <f t="shared" si="198"/>
        <v>0</v>
      </c>
      <c r="N410" s="52">
        <f t="shared" si="198"/>
        <v>0</v>
      </c>
      <c r="O410" s="52">
        <f t="shared" si="198"/>
        <v>0</v>
      </c>
      <c r="P410" s="52">
        <f t="shared" si="198"/>
        <v>0</v>
      </c>
      <c r="Q410" s="52">
        <f t="shared" si="198"/>
        <v>0</v>
      </c>
      <c r="R410" s="52">
        <f t="shared" si="198"/>
        <v>0</v>
      </c>
      <c r="S410" s="52">
        <f t="shared" si="198"/>
        <v>0</v>
      </c>
      <c r="T410" s="52">
        <f t="shared" si="198"/>
        <v>0</v>
      </c>
      <c r="U410" s="52">
        <f t="shared" si="198"/>
        <v>0</v>
      </c>
      <c r="V410" s="52">
        <f t="shared" si="198"/>
        <v>0</v>
      </c>
      <c r="W410" s="52">
        <f t="shared" si="198"/>
        <v>0</v>
      </c>
      <c r="X410" s="52">
        <f t="shared" si="199"/>
        <v>0</v>
      </c>
      <c r="Y410" s="52">
        <f t="shared" si="199"/>
        <v>0</v>
      </c>
      <c r="Z410" s="52">
        <f t="shared" si="199"/>
        <v>0</v>
      </c>
      <c r="AA410" s="52">
        <f t="shared" si="199"/>
        <v>0</v>
      </c>
      <c r="AB410" s="52">
        <f t="shared" si="199"/>
        <v>0</v>
      </c>
      <c r="AC410" s="52">
        <f t="shared" si="199"/>
        <v>0</v>
      </c>
      <c r="AD410" s="52">
        <f t="shared" si="199"/>
        <v>0</v>
      </c>
      <c r="AE410" s="52">
        <f t="shared" si="199"/>
        <v>0</v>
      </c>
      <c r="AF410" s="52">
        <f t="shared" si="199"/>
        <v>0</v>
      </c>
      <c r="AG410" s="52">
        <f t="shared" si="199"/>
        <v>0</v>
      </c>
      <c r="AH410" s="52">
        <f t="shared" si="199"/>
        <v>0</v>
      </c>
      <c r="AI410" s="52">
        <f t="shared" si="199"/>
        <v>0</v>
      </c>
      <c r="AJ410" s="52">
        <f t="shared" si="199"/>
        <v>0</v>
      </c>
      <c r="AK410" s="52">
        <f t="shared" si="199"/>
        <v>0</v>
      </c>
      <c r="AL410" s="52">
        <f t="shared" si="199"/>
        <v>0</v>
      </c>
      <c r="AM410" s="52">
        <f t="shared" si="199"/>
        <v>0</v>
      </c>
      <c r="AN410" s="52">
        <f t="shared" si="199"/>
        <v>0</v>
      </c>
      <c r="AO410" s="52">
        <f t="shared" si="196"/>
        <v>0.44444444444444442</v>
      </c>
      <c r="AP410" s="52">
        <f t="shared" si="196"/>
        <v>1</v>
      </c>
      <c r="AQ410" s="52">
        <f t="shared" si="196"/>
        <v>1</v>
      </c>
      <c r="AR410" s="52">
        <f t="shared" si="196"/>
        <v>1</v>
      </c>
      <c r="AS410" s="52">
        <f t="shared" si="196"/>
        <v>1</v>
      </c>
      <c r="AT410" s="52">
        <f t="shared" si="196"/>
        <v>1</v>
      </c>
      <c r="AU410" s="52">
        <f t="shared" si="196"/>
        <v>1</v>
      </c>
      <c r="AV410" s="52">
        <f t="shared" si="196"/>
        <v>1</v>
      </c>
      <c r="AW410" s="52">
        <f t="shared" si="196"/>
        <v>1</v>
      </c>
      <c r="AX410" s="52">
        <f t="shared" si="196"/>
        <v>1</v>
      </c>
      <c r="AY410" s="52">
        <f t="shared" si="196"/>
        <v>1</v>
      </c>
      <c r="AZ410" s="52">
        <f t="shared" si="196"/>
        <v>1</v>
      </c>
      <c r="BA410" s="52">
        <f t="shared" si="196"/>
        <v>1</v>
      </c>
      <c r="BB410" s="52">
        <f t="shared" si="196"/>
        <v>1</v>
      </c>
      <c r="BC410" s="52">
        <f t="shared" si="196"/>
        <v>1</v>
      </c>
      <c r="BD410" s="52">
        <f t="shared" si="196"/>
        <v>1</v>
      </c>
      <c r="BE410" s="52">
        <f t="shared" si="196"/>
        <v>1</v>
      </c>
      <c r="BF410" s="52">
        <f t="shared" si="196"/>
        <v>1</v>
      </c>
      <c r="BG410" s="52">
        <f t="shared" si="197"/>
        <v>1</v>
      </c>
      <c r="BH410" s="52">
        <f t="shared" si="197"/>
        <v>1</v>
      </c>
      <c r="BI410" s="52">
        <f t="shared" si="197"/>
        <v>1</v>
      </c>
      <c r="BJ410" s="52">
        <f t="shared" si="197"/>
        <v>1</v>
      </c>
      <c r="BK410" s="52">
        <f t="shared" si="197"/>
        <v>1</v>
      </c>
      <c r="BL410" s="52">
        <f t="shared" si="197"/>
        <v>1</v>
      </c>
      <c r="BM410" s="52">
        <f t="shared" si="197"/>
        <v>1</v>
      </c>
      <c r="BN410" s="52">
        <f t="shared" si="197"/>
        <v>1</v>
      </c>
      <c r="BO410" s="32">
        <f t="shared" si="192"/>
        <v>0.43126177024482104</v>
      </c>
    </row>
    <row r="411" spans="1:67" ht="24" x14ac:dyDescent="0.2">
      <c r="A411" s="50" t="s">
        <v>830</v>
      </c>
      <c r="B411" s="50" t="s">
        <v>831</v>
      </c>
      <c r="C411" s="50" t="s">
        <v>126</v>
      </c>
      <c r="D411" s="51">
        <f>VLOOKUP(A411,'[1]Cuadro Control'!C451:J2341,8,FALSE)</f>
        <v>52736347.43270281</v>
      </c>
      <c r="E411" s="52">
        <f t="shared" si="194"/>
        <v>9.933624348213644E-3</v>
      </c>
      <c r="F411" s="53">
        <v>46449</v>
      </c>
      <c r="G411" s="53">
        <v>46451</v>
      </c>
      <c r="H411" s="52">
        <f t="shared" si="198"/>
        <v>0</v>
      </c>
      <c r="I411" s="52">
        <f t="shared" si="198"/>
        <v>0</v>
      </c>
      <c r="J411" s="52">
        <f t="shared" si="198"/>
        <v>0</v>
      </c>
      <c r="K411" s="52">
        <f t="shared" si="198"/>
        <v>0</v>
      </c>
      <c r="L411" s="52">
        <f t="shared" si="198"/>
        <v>0</v>
      </c>
      <c r="M411" s="52">
        <f t="shared" si="198"/>
        <v>0</v>
      </c>
      <c r="N411" s="52">
        <f t="shared" si="198"/>
        <v>0</v>
      </c>
      <c r="O411" s="52">
        <f t="shared" si="198"/>
        <v>0</v>
      </c>
      <c r="P411" s="52">
        <f t="shared" si="198"/>
        <v>0</v>
      </c>
      <c r="Q411" s="52">
        <f t="shared" si="198"/>
        <v>0</v>
      </c>
      <c r="R411" s="52">
        <f t="shared" si="198"/>
        <v>0</v>
      </c>
      <c r="S411" s="52">
        <f t="shared" si="198"/>
        <v>0</v>
      </c>
      <c r="T411" s="52">
        <f t="shared" si="198"/>
        <v>0</v>
      </c>
      <c r="U411" s="52">
        <f t="shared" si="198"/>
        <v>0</v>
      </c>
      <c r="V411" s="52">
        <f t="shared" si="198"/>
        <v>0</v>
      </c>
      <c r="W411" s="52">
        <f t="shared" si="198"/>
        <v>0</v>
      </c>
      <c r="X411" s="52">
        <f t="shared" si="199"/>
        <v>0</v>
      </c>
      <c r="Y411" s="52">
        <f t="shared" si="199"/>
        <v>0</v>
      </c>
      <c r="Z411" s="52">
        <f t="shared" si="199"/>
        <v>0</v>
      </c>
      <c r="AA411" s="52">
        <f t="shared" si="199"/>
        <v>0</v>
      </c>
      <c r="AB411" s="52">
        <f t="shared" si="199"/>
        <v>0</v>
      </c>
      <c r="AC411" s="52">
        <f t="shared" si="199"/>
        <v>0</v>
      </c>
      <c r="AD411" s="52">
        <f t="shared" si="199"/>
        <v>0</v>
      </c>
      <c r="AE411" s="52">
        <f t="shared" si="199"/>
        <v>0</v>
      </c>
      <c r="AF411" s="52">
        <f t="shared" si="199"/>
        <v>0</v>
      </c>
      <c r="AG411" s="52">
        <f t="shared" si="199"/>
        <v>0</v>
      </c>
      <c r="AH411" s="52">
        <f t="shared" si="199"/>
        <v>0</v>
      </c>
      <c r="AI411" s="52">
        <f t="shared" si="199"/>
        <v>0</v>
      </c>
      <c r="AJ411" s="52">
        <f t="shared" si="199"/>
        <v>0</v>
      </c>
      <c r="AK411" s="52">
        <f t="shared" si="199"/>
        <v>0</v>
      </c>
      <c r="AL411" s="52">
        <f t="shared" si="199"/>
        <v>0</v>
      </c>
      <c r="AM411" s="52">
        <f t="shared" si="199"/>
        <v>0</v>
      </c>
      <c r="AN411" s="52">
        <f t="shared" si="199"/>
        <v>0</v>
      </c>
      <c r="AO411" s="52">
        <f t="shared" si="196"/>
        <v>0</v>
      </c>
      <c r="AP411" s="52">
        <f t="shared" si="196"/>
        <v>1</v>
      </c>
      <c r="AQ411" s="52">
        <f t="shared" si="196"/>
        <v>1</v>
      </c>
      <c r="AR411" s="52">
        <f t="shared" si="196"/>
        <v>1</v>
      </c>
      <c r="AS411" s="52">
        <f t="shared" si="196"/>
        <v>1</v>
      </c>
      <c r="AT411" s="52">
        <f t="shared" si="196"/>
        <v>1</v>
      </c>
      <c r="AU411" s="52">
        <f t="shared" si="196"/>
        <v>1</v>
      </c>
      <c r="AV411" s="52">
        <f t="shared" si="196"/>
        <v>1</v>
      </c>
      <c r="AW411" s="52">
        <f t="shared" si="196"/>
        <v>1</v>
      </c>
      <c r="AX411" s="52">
        <f t="shared" si="196"/>
        <v>1</v>
      </c>
      <c r="AY411" s="52">
        <f t="shared" si="196"/>
        <v>1</v>
      </c>
      <c r="AZ411" s="52">
        <f t="shared" si="196"/>
        <v>1</v>
      </c>
      <c r="BA411" s="52">
        <f t="shared" si="196"/>
        <v>1</v>
      </c>
      <c r="BB411" s="52">
        <f t="shared" si="196"/>
        <v>1</v>
      </c>
      <c r="BC411" s="52">
        <f t="shared" si="196"/>
        <v>1</v>
      </c>
      <c r="BD411" s="52">
        <f t="shared" si="196"/>
        <v>1</v>
      </c>
      <c r="BE411" s="52">
        <f t="shared" si="196"/>
        <v>1</v>
      </c>
      <c r="BF411" s="52">
        <f t="shared" si="196"/>
        <v>1</v>
      </c>
      <c r="BG411" s="52">
        <f t="shared" si="197"/>
        <v>1</v>
      </c>
      <c r="BH411" s="52">
        <f t="shared" si="197"/>
        <v>1</v>
      </c>
      <c r="BI411" s="52">
        <f t="shared" si="197"/>
        <v>1</v>
      </c>
      <c r="BJ411" s="52">
        <f t="shared" si="197"/>
        <v>1</v>
      </c>
      <c r="BK411" s="52">
        <f t="shared" si="197"/>
        <v>1</v>
      </c>
      <c r="BL411" s="52">
        <f t="shared" si="197"/>
        <v>1</v>
      </c>
      <c r="BM411" s="52">
        <f t="shared" si="197"/>
        <v>1</v>
      </c>
      <c r="BN411" s="52">
        <f t="shared" si="197"/>
        <v>1</v>
      </c>
      <c r="BO411" s="32">
        <f t="shared" si="192"/>
        <v>0.42372881355932202</v>
      </c>
    </row>
    <row r="412" spans="1:67" ht="24" x14ac:dyDescent="0.2">
      <c r="A412" s="50" t="s">
        <v>832</v>
      </c>
      <c r="B412" s="50" t="s">
        <v>833</v>
      </c>
      <c r="C412" s="50" t="s">
        <v>117</v>
      </c>
      <c r="D412" s="51">
        <f>VLOOKUP(A412,'[1]Cuadro Control'!C452:J2342,8,FALSE)</f>
        <v>46410609.014634147</v>
      </c>
      <c r="E412" s="52">
        <f t="shared" si="194"/>
        <v>8.742083556535862E-3</v>
      </c>
      <c r="F412" s="53">
        <v>46451</v>
      </c>
      <c r="G412" s="53">
        <v>46454</v>
      </c>
      <c r="H412" s="52">
        <f t="shared" si="198"/>
        <v>0</v>
      </c>
      <c r="I412" s="52">
        <f t="shared" si="198"/>
        <v>0</v>
      </c>
      <c r="J412" s="52">
        <f t="shared" si="198"/>
        <v>0</v>
      </c>
      <c r="K412" s="52">
        <f t="shared" si="198"/>
        <v>0</v>
      </c>
      <c r="L412" s="52">
        <f t="shared" si="198"/>
        <v>0</v>
      </c>
      <c r="M412" s="52">
        <f t="shared" si="198"/>
        <v>0</v>
      </c>
      <c r="N412" s="52">
        <f t="shared" si="198"/>
        <v>0</v>
      </c>
      <c r="O412" s="52">
        <f t="shared" si="198"/>
        <v>0</v>
      </c>
      <c r="P412" s="52">
        <f t="shared" si="198"/>
        <v>0</v>
      </c>
      <c r="Q412" s="52">
        <f t="shared" si="198"/>
        <v>0</v>
      </c>
      <c r="R412" s="52">
        <f t="shared" si="198"/>
        <v>0</v>
      </c>
      <c r="S412" s="52">
        <f t="shared" si="198"/>
        <v>0</v>
      </c>
      <c r="T412" s="52">
        <f t="shared" si="198"/>
        <v>0</v>
      </c>
      <c r="U412" s="52">
        <f t="shared" si="198"/>
        <v>0</v>
      </c>
      <c r="V412" s="52">
        <f t="shared" si="198"/>
        <v>0</v>
      </c>
      <c r="W412" s="52">
        <f t="shared" si="198"/>
        <v>0</v>
      </c>
      <c r="X412" s="52">
        <f t="shared" si="199"/>
        <v>0</v>
      </c>
      <c r="Y412" s="52">
        <f t="shared" si="199"/>
        <v>0</v>
      </c>
      <c r="Z412" s="52">
        <f t="shared" si="199"/>
        <v>0</v>
      </c>
      <c r="AA412" s="52">
        <f t="shared" si="199"/>
        <v>0</v>
      </c>
      <c r="AB412" s="52">
        <f t="shared" si="199"/>
        <v>0</v>
      </c>
      <c r="AC412" s="52">
        <f t="shared" si="199"/>
        <v>0</v>
      </c>
      <c r="AD412" s="52">
        <f t="shared" si="199"/>
        <v>0</v>
      </c>
      <c r="AE412" s="52">
        <f t="shared" si="199"/>
        <v>0</v>
      </c>
      <c r="AF412" s="52">
        <f t="shared" si="199"/>
        <v>0</v>
      </c>
      <c r="AG412" s="52">
        <f t="shared" si="199"/>
        <v>0</v>
      </c>
      <c r="AH412" s="52">
        <f t="shared" si="199"/>
        <v>0</v>
      </c>
      <c r="AI412" s="52">
        <f t="shared" si="199"/>
        <v>0</v>
      </c>
      <c r="AJ412" s="52">
        <f t="shared" si="199"/>
        <v>0</v>
      </c>
      <c r="AK412" s="52">
        <f t="shared" si="199"/>
        <v>0</v>
      </c>
      <c r="AL412" s="52">
        <f t="shared" si="199"/>
        <v>0</v>
      </c>
      <c r="AM412" s="52">
        <f t="shared" si="199"/>
        <v>0</v>
      </c>
      <c r="AN412" s="52">
        <f t="shared" si="199"/>
        <v>0</v>
      </c>
      <c r="AO412" s="52">
        <f t="shared" si="196"/>
        <v>0</v>
      </c>
      <c r="AP412" s="52">
        <f t="shared" si="196"/>
        <v>0.25</v>
      </c>
      <c r="AQ412" s="52">
        <f t="shared" si="196"/>
        <v>1</v>
      </c>
      <c r="AR412" s="52">
        <f t="shared" si="196"/>
        <v>1</v>
      </c>
      <c r="AS412" s="52">
        <f t="shared" si="196"/>
        <v>1</v>
      </c>
      <c r="AT412" s="52">
        <f t="shared" si="196"/>
        <v>1</v>
      </c>
      <c r="AU412" s="52">
        <f t="shared" si="196"/>
        <v>1</v>
      </c>
      <c r="AV412" s="52">
        <f t="shared" si="196"/>
        <v>1</v>
      </c>
      <c r="AW412" s="52">
        <f t="shared" si="196"/>
        <v>1</v>
      </c>
      <c r="AX412" s="52">
        <f t="shared" si="196"/>
        <v>1</v>
      </c>
      <c r="AY412" s="52">
        <f t="shared" si="196"/>
        <v>1</v>
      </c>
      <c r="AZ412" s="52">
        <f t="shared" si="196"/>
        <v>1</v>
      </c>
      <c r="BA412" s="52">
        <f t="shared" si="196"/>
        <v>1</v>
      </c>
      <c r="BB412" s="52">
        <f t="shared" si="196"/>
        <v>1</v>
      </c>
      <c r="BC412" s="52">
        <f t="shared" si="196"/>
        <v>1</v>
      </c>
      <c r="BD412" s="52">
        <f t="shared" si="196"/>
        <v>1</v>
      </c>
      <c r="BE412" s="52">
        <f t="shared" si="196"/>
        <v>1</v>
      </c>
      <c r="BF412" s="52">
        <f t="shared" si="196"/>
        <v>1</v>
      </c>
      <c r="BG412" s="52">
        <f t="shared" si="197"/>
        <v>1</v>
      </c>
      <c r="BH412" s="52">
        <f t="shared" si="197"/>
        <v>1</v>
      </c>
      <c r="BI412" s="52">
        <f t="shared" si="197"/>
        <v>1</v>
      </c>
      <c r="BJ412" s="52">
        <f t="shared" si="197"/>
        <v>1</v>
      </c>
      <c r="BK412" s="52">
        <f t="shared" si="197"/>
        <v>1</v>
      </c>
      <c r="BL412" s="52">
        <f t="shared" si="197"/>
        <v>1</v>
      </c>
      <c r="BM412" s="52">
        <f t="shared" si="197"/>
        <v>1</v>
      </c>
      <c r="BN412" s="52">
        <f t="shared" si="197"/>
        <v>1</v>
      </c>
      <c r="BO412" s="32">
        <f t="shared" si="192"/>
        <v>0.41101694915254239</v>
      </c>
    </row>
    <row r="413" spans="1:67" ht="24" x14ac:dyDescent="0.2">
      <c r="A413" s="50" t="s">
        <v>834</v>
      </c>
      <c r="B413" s="50" t="s">
        <v>835</v>
      </c>
      <c r="C413" s="50" t="s">
        <v>61</v>
      </c>
      <c r="D413" s="51">
        <f>VLOOKUP(A413,'[1]Cuadro Control'!C453:J2343,8,FALSE)</f>
        <v>1587346329.5488234</v>
      </c>
      <c r="E413" s="52">
        <f t="shared" si="194"/>
        <v>0.29899875353285565</v>
      </c>
      <c r="F413" s="53">
        <v>46451</v>
      </c>
      <c r="G413" s="53">
        <v>46462</v>
      </c>
      <c r="H413" s="52">
        <f t="shared" si="198"/>
        <v>0</v>
      </c>
      <c r="I413" s="52">
        <f t="shared" si="198"/>
        <v>0</v>
      </c>
      <c r="J413" s="52">
        <f t="shared" si="198"/>
        <v>0</v>
      </c>
      <c r="K413" s="52">
        <f t="shared" si="198"/>
        <v>0</v>
      </c>
      <c r="L413" s="52">
        <f t="shared" si="198"/>
        <v>0</v>
      </c>
      <c r="M413" s="52">
        <f t="shared" si="198"/>
        <v>0</v>
      </c>
      <c r="N413" s="52">
        <f t="shared" si="198"/>
        <v>0</v>
      </c>
      <c r="O413" s="52">
        <f t="shared" si="198"/>
        <v>0</v>
      </c>
      <c r="P413" s="52">
        <f t="shared" si="198"/>
        <v>0</v>
      </c>
      <c r="Q413" s="52">
        <f t="shared" si="198"/>
        <v>0</v>
      </c>
      <c r="R413" s="52">
        <f t="shared" si="198"/>
        <v>0</v>
      </c>
      <c r="S413" s="52">
        <f t="shared" si="198"/>
        <v>0</v>
      </c>
      <c r="T413" s="52">
        <f t="shared" si="198"/>
        <v>0</v>
      </c>
      <c r="U413" s="52">
        <f t="shared" si="198"/>
        <v>0</v>
      </c>
      <c r="V413" s="52">
        <f t="shared" si="198"/>
        <v>0</v>
      </c>
      <c r="W413" s="52">
        <f t="shared" si="198"/>
        <v>0</v>
      </c>
      <c r="X413" s="52">
        <f t="shared" si="199"/>
        <v>0</v>
      </c>
      <c r="Y413" s="52">
        <f t="shared" si="199"/>
        <v>0</v>
      </c>
      <c r="Z413" s="52">
        <f t="shared" si="199"/>
        <v>0</v>
      </c>
      <c r="AA413" s="52">
        <f t="shared" si="199"/>
        <v>0</v>
      </c>
      <c r="AB413" s="52">
        <f t="shared" si="199"/>
        <v>0</v>
      </c>
      <c r="AC413" s="52">
        <f t="shared" si="199"/>
        <v>0</v>
      </c>
      <c r="AD413" s="52">
        <f t="shared" si="199"/>
        <v>0</v>
      </c>
      <c r="AE413" s="52">
        <f t="shared" si="199"/>
        <v>0</v>
      </c>
      <c r="AF413" s="52">
        <f t="shared" si="199"/>
        <v>0</v>
      </c>
      <c r="AG413" s="52">
        <f t="shared" si="199"/>
        <v>0</v>
      </c>
      <c r="AH413" s="52">
        <f t="shared" si="199"/>
        <v>0</v>
      </c>
      <c r="AI413" s="52">
        <f t="shared" si="199"/>
        <v>0</v>
      </c>
      <c r="AJ413" s="52">
        <f t="shared" si="199"/>
        <v>0</v>
      </c>
      <c r="AK413" s="52">
        <f t="shared" si="199"/>
        <v>0</v>
      </c>
      <c r="AL413" s="52">
        <f t="shared" si="199"/>
        <v>0</v>
      </c>
      <c r="AM413" s="52">
        <f t="shared" si="199"/>
        <v>0</v>
      </c>
      <c r="AN413" s="52">
        <f t="shared" si="199"/>
        <v>0</v>
      </c>
      <c r="AO413" s="52">
        <f t="shared" si="196"/>
        <v>0</v>
      </c>
      <c r="AP413" s="52">
        <f t="shared" si="196"/>
        <v>8.3333333333333329E-2</v>
      </c>
      <c r="AQ413" s="52">
        <f t="shared" si="196"/>
        <v>0.66666666666666663</v>
      </c>
      <c r="AR413" s="52">
        <f t="shared" si="196"/>
        <v>1</v>
      </c>
      <c r="AS413" s="52">
        <f t="shared" si="196"/>
        <v>1</v>
      </c>
      <c r="AT413" s="52">
        <f t="shared" si="196"/>
        <v>1</v>
      </c>
      <c r="AU413" s="52">
        <f t="shared" si="196"/>
        <v>1</v>
      </c>
      <c r="AV413" s="52">
        <f t="shared" si="196"/>
        <v>1</v>
      </c>
      <c r="AW413" s="52">
        <f t="shared" si="196"/>
        <v>1</v>
      </c>
      <c r="AX413" s="52">
        <f t="shared" si="196"/>
        <v>1</v>
      </c>
      <c r="AY413" s="52">
        <f t="shared" si="196"/>
        <v>1</v>
      </c>
      <c r="AZ413" s="52">
        <f t="shared" si="196"/>
        <v>1</v>
      </c>
      <c r="BA413" s="52">
        <f t="shared" si="196"/>
        <v>1</v>
      </c>
      <c r="BB413" s="52">
        <f t="shared" si="196"/>
        <v>1</v>
      </c>
      <c r="BC413" s="52">
        <f t="shared" si="196"/>
        <v>1</v>
      </c>
      <c r="BD413" s="52">
        <f t="shared" si="196"/>
        <v>1</v>
      </c>
      <c r="BE413" s="52">
        <f t="shared" si="196"/>
        <v>1</v>
      </c>
      <c r="BF413" s="52">
        <f t="shared" si="196"/>
        <v>1</v>
      </c>
      <c r="BG413" s="52">
        <f t="shared" si="197"/>
        <v>1</v>
      </c>
      <c r="BH413" s="52">
        <f t="shared" si="197"/>
        <v>1</v>
      </c>
      <c r="BI413" s="52">
        <f t="shared" si="197"/>
        <v>1</v>
      </c>
      <c r="BJ413" s="52">
        <f t="shared" si="197"/>
        <v>1</v>
      </c>
      <c r="BK413" s="52">
        <f t="shared" si="197"/>
        <v>1</v>
      </c>
      <c r="BL413" s="52">
        <f t="shared" si="197"/>
        <v>1</v>
      </c>
      <c r="BM413" s="52">
        <f t="shared" si="197"/>
        <v>1</v>
      </c>
      <c r="BN413" s="52">
        <f t="shared" si="197"/>
        <v>1</v>
      </c>
      <c r="BO413" s="32">
        <f t="shared" si="192"/>
        <v>0.40254237288135591</v>
      </c>
    </row>
    <row r="414" spans="1:67" ht="30" x14ac:dyDescent="0.2">
      <c r="A414" s="46" t="s">
        <v>836</v>
      </c>
      <c r="B414" s="46" t="s">
        <v>837</v>
      </c>
      <c r="C414" s="46" t="s">
        <v>61</v>
      </c>
      <c r="D414" s="47">
        <f>VLOOKUP(A414,'[1]Cuadro Control'!C454:J2344,8,FALSE)</f>
        <v>179532477.23999998</v>
      </c>
      <c r="E414" s="48">
        <f t="shared" si="194"/>
        <v>3.3817438522495219E-2</v>
      </c>
      <c r="F414" s="49">
        <v>46454</v>
      </c>
      <c r="G414" s="49">
        <v>46466</v>
      </c>
      <c r="H414" s="48">
        <f t="shared" si="198"/>
        <v>0</v>
      </c>
      <c r="I414" s="48">
        <f t="shared" si="198"/>
        <v>0</v>
      </c>
      <c r="J414" s="48">
        <f t="shared" si="198"/>
        <v>0</v>
      </c>
      <c r="K414" s="48">
        <f t="shared" si="198"/>
        <v>0</v>
      </c>
      <c r="L414" s="48">
        <f t="shared" si="198"/>
        <v>0</v>
      </c>
      <c r="M414" s="48">
        <f t="shared" si="198"/>
        <v>0</v>
      </c>
      <c r="N414" s="48">
        <f t="shared" si="198"/>
        <v>0</v>
      </c>
      <c r="O414" s="48">
        <f t="shared" si="198"/>
        <v>0</v>
      </c>
      <c r="P414" s="48">
        <f t="shared" si="198"/>
        <v>0</v>
      </c>
      <c r="Q414" s="48">
        <f t="shared" si="198"/>
        <v>0</v>
      </c>
      <c r="R414" s="48">
        <f t="shared" si="198"/>
        <v>0</v>
      </c>
      <c r="S414" s="48">
        <f t="shared" si="198"/>
        <v>0</v>
      </c>
      <c r="T414" s="48">
        <f t="shared" si="198"/>
        <v>0</v>
      </c>
      <c r="U414" s="48">
        <f t="shared" si="198"/>
        <v>0</v>
      </c>
      <c r="V414" s="48">
        <f t="shared" si="198"/>
        <v>0</v>
      </c>
      <c r="W414" s="48">
        <f t="shared" si="198"/>
        <v>0</v>
      </c>
      <c r="X414" s="48">
        <f t="shared" si="199"/>
        <v>0</v>
      </c>
      <c r="Y414" s="48">
        <f t="shared" si="199"/>
        <v>0</v>
      </c>
      <c r="Z414" s="48">
        <f t="shared" si="199"/>
        <v>0</v>
      </c>
      <c r="AA414" s="48">
        <f t="shared" si="199"/>
        <v>0</v>
      </c>
      <c r="AB414" s="48">
        <f t="shared" si="199"/>
        <v>0</v>
      </c>
      <c r="AC414" s="48">
        <f t="shared" si="199"/>
        <v>0</v>
      </c>
      <c r="AD414" s="48">
        <f t="shared" si="199"/>
        <v>0</v>
      </c>
      <c r="AE414" s="48">
        <f t="shared" si="199"/>
        <v>0</v>
      </c>
      <c r="AF414" s="48">
        <f t="shared" si="199"/>
        <v>0</v>
      </c>
      <c r="AG414" s="48">
        <f t="shared" si="199"/>
        <v>0</v>
      </c>
      <c r="AH414" s="48">
        <f t="shared" si="199"/>
        <v>0</v>
      </c>
      <c r="AI414" s="48">
        <f t="shared" si="199"/>
        <v>0</v>
      </c>
      <c r="AJ414" s="48">
        <f t="shared" si="199"/>
        <v>0</v>
      </c>
      <c r="AK414" s="48">
        <f t="shared" si="199"/>
        <v>0</v>
      </c>
      <c r="AL414" s="48">
        <f t="shared" si="199"/>
        <v>0</v>
      </c>
      <c r="AM414" s="48">
        <f t="shared" si="199"/>
        <v>0</v>
      </c>
      <c r="AN414" s="48">
        <f t="shared" si="199"/>
        <v>0</v>
      </c>
      <c r="AO414" s="48">
        <f t="shared" si="196"/>
        <v>0</v>
      </c>
      <c r="AP414" s="48">
        <f t="shared" si="196"/>
        <v>0</v>
      </c>
      <c r="AQ414" s="48">
        <f t="shared" si="196"/>
        <v>0.38461538461538464</v>
      </c>
      <c r="AR414" s="48">
        <f t="shared" si="196"/>
        <v>0.92307692307692313</v>
      </c>
      <c r="AS414" s="48">
        <f t="shared" si="196"/>
        <v>1</v>
      </c>
      <c r="AT414" s="48">
        <f t="shared" si="196"/>
        <v>1</v>
      </c>
      <c r="AU414" s="48">
        <f t="shared" si="196"/>
        <v>1</v>
      </c>
      <c r="AV414" s="48">
        <f t="shared" si="196"/>
        <v>1</v>
      </c>
      <c r="AW414" s="48">
        <f t="shared" si="196"/>
        <v>1</v>
      </c>
      <c r="AX414" s="48">
        <f t="shared" si="196"/>
        <v>1</v>
      </c>
      <c r="AY414" s="48">
        <f t="shared" si="196"/>
        <v>1</v>
      </c>
      <c r="AZ414" s="48">
        <f t="shared" si="196"/>
        <v>1</v>
      </c>
      <c r="BA414" s="48">
        <f t="shared" si="196"/>
        <v>1</v>
      </c>
      <c r="BB414" s="48">
        <f t="shared" si="196"/>
        <v>1</v>
      </c>
      <c r="BC414" s="48">
        <f t="shared" si="196"/>
        <v>1</v>
      </c>
      <c r="BD414" s="48">
        <f t="shared" si="196"/>
        <v>1</v>
      </c>
      <c r="BE414" s="48">
        <f t="shared" si="196"/>
        <v>1</v>
      </c>
      <c r="BF414" s="48">
        <f t="shared" si="196"/>
        <v>1</v>
      </c>
      <c r="BG414" s="48">
        <f t="shared" si="197"/>
        <v>1</v>
      </c>
      <c r="BH414" s="48">
        <f t="shared" si="197"/>
        <v>1</v>
      </c>
      <c r="BI414" s="48">
        <f t="shared" si="197"/>
        <v>1</v>
      </c>
      <c r="BJ414" s="48">
        <f t="shared" si="197"/>
        <v>1</v>
      </c>
      <c r="BK414" s="48">
        <f t="shared" si="197"/>
        <v>1</v>
      </c>
      <c r="BL414" s="48">
        <f t="shared" si="197"/>
        <v>1</v>
      </c>
      <c r="BM414" s="48">
        <f t="shared" si="197"/>
        <v>1</v>
      </c>
      <c r="BN414" s="48">
        <f t="shared" si="197"/>
        <v>1</v>
      </c>
      <c r="BO414" s="32">
        <f t="shared" si="192"/>
        <v>0.39504563233376788</v>
      </c>
    </row>
    <row r="415" spans="1:67" ht="24" x14ac:dyDescent="0.2">
      <c r="A415" s="55" t="s">
        <v>838</v>
      </c>
      <c r="B415" s="55" t="s">
        <v>839</v>
      </c>
      <c r="C415" s="55" t="s">
        <v>14</v>
      </c>
      <c r="D415" s="56">
        <f>VLOOKUP(A415,'[1]Cuadro Control'!C455:J2345,8,FALSE)</f>
        <v>0</v>
      </c>
      <c r="E415" s="57">
        <f>IFERROR(D415/$D$399,0)</f>
        <v>0</v>
      </c>
      <c r="F415" s="58">
        <v>46466</v>
      </c>
      <c r="G415" s="58">
        <v>46466</v>
      </c>
      <c r="H415" s="57">
        <f t="shared" si="198"/>
        <v>0</v>
      </c>
      <c r="I415" s="57">
        <f t="shared" si="198"/>
        <v>0</v>
      </c>
      <c r="J415" s="57">
        <f t="shared" si="198"/>
        <v>0</v>
      </c>
      <c r="K415" s="57">
        <f t="shared" si="198"/>
        <v>0</v>
      </c>
      <c r="L415" s="57">
        <f t="shared" si="198"/>
        <v>0</v>
      </c>
      <c r="M415" s="57">
        <f t="shared" si="198"/>
        <v>0</v>
      </c>
      <c r="N415" s="57">
        <f t="shared" si="198"/>
        <v>0</v>
      </c>
      <c r="O415" s="57">
        <f t="shared" si="198"/>
        <v>0</v>
      </c>
      <c r="P415" s="57">
        <f t="shared" si="198"/>
        <v>0</v>
      </c>
      <c r="Q415" s="57">
        <f t="shared" si="198"/>
        <v>0</v>
      </c>
      <c r="R415" s="57">
        <f t="shared" si="198"/>
        <v>0</v>
      </c>
      <c r="S415" s="57">
        <f t="shared" si="198"/>
        <v>0</v>
      </c>
      <c r="T415" s="57">
        <f t="shared" si="198"/>
        <v>0</v>
      </c>
      <c r="U415" s="57">
        <f t="shared" si="198"/>
        <v>0</v>
      </c>
      <c r="V415" s="57">
        <f t="shared" si="198"/>
        <v>0</v>
      </c>
      <c r="W415" s="57">
        <f t="shared" si="198"/>
        <v>0</v>
      </c>
      <c r="X415" s="57">
        <f t="shared" si="199"/>
        <v>0</v>
      </c>
      <c r="Y415" s="57">
        <f t="shared" si="199"/>
        <v>0</v>
      </c>
      <c r="Z415" s="57">
        <f t="shared" si="199"/>
        <v>0</v>
      </c>
      <c r="AA415" s="57">
        <f t="shared" si="199"/>
        <v>0</v>
      </c>
      <c r="AB415" s="57">
        <f t="shared" si="199"/>
        <v>0</v>
      </c>
      <c r="AC415" s="57">
        <f t="shared" si="199"/>
        <v>0</v>
      </c>
      <c r="AD415" s="57">
        <f t="shared" si="199"/>
        <v>0</v>
      </c>
      <c r="AE415" s="57">
        <f t="shared" si="199"/>
        <v>0</v>
      </c>
      <c r="AF415" s="57">
        <f t="shared" si="199"/>
        <v>0</v>
      </c>
      <c r="AG415" s="57">
        <f t="shared" si="199"/>
        <v>0</v>
      </c>
      <c r="AH415" s="57">
        <f t="shared" si="199"/>
        <v>0</v>
      </c>
      <c r="AI415" s="57">
        <f t="shared" si="199"/>
        <v>0</v>
      </c>
      <c r="AJ415" s="57">
        <f t="shared" si="199"/>
        <v>0</v>
      </c>
      <c r="AK415" s="57">
        <f t="shared" si="199"/>
        <v>0</v>
      </c>
      <c r="AL415" s="57">
        <f t="shared" si="199"/>
        <v>0</v>
      </c>
      <c r="AM415" s="57">
        <f t="shared" si="199"/>
        <v>0</v>
      </c>
      <c r="AN415" s="57">
        <f t="shared" si="199"/>
        <v>0</v>
      </c>
      <c r="AO415" s="57">
        <f t="shared" si="199"/>
        <v>0</v>
      </c>
      <c r="AP415" s="57">
        <f t="shared" si="199"/>
        <v>0</v>
      </c>
      <c r="AQ415" s="57">
        <f t="shared" si="199"/>
        <v>0</v>
      </c>
      <c r="AR415" s="57">
        <f t="shared" si="199"/>
        <v>0</v>
      </c>
      <c r="AS415" s="57">
        <f t="shared" si="199"/>
        <v>1</v>
      </c>
      <c r="AT415" s="57">
        <f t="shared" si="199"/>
        <v>1</v>
      </c>
      <c r="AU415" s="57">
        <f t="shared" si="199"/>
        <v>1</v>
      </c>
      <c r="AV415" s="57">
        <f t="shared" si="199"/>
        <v>1</v>
      </c>
      <c r="AW415" s="57">
        <f t="shared" si="199"/>
        <v>1</v>
      </c>
      <c r="AX415" s="57">
        <f t="shared" si="199"/>
        <v>1</v>
      </c>
      <c r="AY415" s="57">
        <f t="shared" si="199"/>
        <v>1</v>
      </c>
      <c r="AZ415" s="57">
        <f t="shared" si="199"/>
        <v>1</v>
      </c>
      <c r="BA415" s="57">
        <f t="shared" si="199"/>
        <v>1</v>
      </c>
      <c r="BB415" s="57">
        <f t="shared" si="199"/>
        <v>1</v>
      </c>
      <c r="BC415" s="57">
        <f t="shared" si="199"/>
        <v>1</v>
      </c>
      <c r="BD415" s="57">
        <f t="shared" si="196"/>
        <v>1</v>
      </c>
      <c r="BE415" s="57">
        <f t="shared" si="196"/>
        <v>1</v>
      </c>
      <c r="BF415" s="57">
        <f t="shared" si="196"/>
        <v>1</v>
      </c>
      <c r="BG415" s="57">
        <f t="shared" si="197"/>
        <v>1</v>
      </c>
      <c r="BH415" s="57">
        <f t="shared" si="197"/>
        <v>1</v>
      </c>
      <c r="BI415" s="57">
        <f t="shared" si="197"/>
        <v>1</v>
      </c>
      <c r="BJ415" s="57">
        <f t="shared" si="197"/>
        <v>1</v>
      </c>
      <c r="BK415" s="57">
        <f t="shared" si="197"/>
        <v>1</v>
      </c>
      <c r="BL415" s="57">
        <f t="shared" si="197"/>
        <v>1</v>
      </c>
      <c r="BM415" s="57">
        <f t="shared" si="197"/>
        <v>1</v>
      </c>
      <c r="BN415" s="57">
        <f t="shared" si="197"/>
        <v>1</v>
      </c>
      <c r="BO415" s="32">
        <f t="shared" si="192"/>
        <v>0.3728813559322034</v>
      </c>
    </row>
    <row r="416" spans="1:67" x14ac:dyDescent="0.2">
      <c r="A416" s="42" t="s">
        <v>840</v>
      </c>
      <c r="B416" s="42" t="s">
        <v>841</v>
      </c>
      <c r="C416" s="42" t="s">
        <v>467</v>
      </c>
      <c r="D416" s="43">
        <f>SUM(D417:D432)</f>
        <v>5308872732.0543728</v>
      </c>
      <c r="E416" s="44">
        <f>IFERROR(D416/$D$109,0)</f>
        <v>2.9408554574576196E-2</v>
      </c>
      <c r="F416" s="45">
        <v>46240</v>
      </c>
      <c r="G416" s="45">
        <v>46477</v>
      </c>
      <c r="H416" s="44">
        <f>SUMPRODUCT($E417:$E431,H417:H431)</f>
        <v>0</v>
      </c>
      <c r="I416" s="44">
        <f t="shared" ref="I416:BN416" si="200">SUMPRODUCT($E417:$E431,I417:I431)</f>
        <v>0</v>
      </c>
      <c r="J416" s="44">
        <f t="shared" si="200"/>
        <v>0</v>
      </c>
      <c r="K416" s="44">
        <f t="shared" si="200"/>
        <v>0</v>
      </c>
      <c r="L416" s="44">
        <f t="shared" si="200"/>
        <v>1.8898069686728176E-4</v>
      </c>
      <c r="M416" s="44">
        <f t="shared" si="200"/>
        <v>8.5041313590276783E-4</v>
      </c>
      <c r="N416" s="44">
        <f t="shared" si="200"/>
        <v>1.5118455749382541E-3</v>
      </c>
      <c r="O416" s="44">
        <f t="shared" si="200"/>
        <v>2.17327801397374E-3</v>
      </c>
      <c r="P416" s="44">
        <f t="shared" si="200"/>
        <v>2.8347104530092259E-3</v>
      </c>
      <c r="Q416" s="44">
        <f t="shared" si="200"/>
        <v>3.4961428920447122E-3</v>
      </c>
      <c r="R416" s="44">
        <f t="shared" si="200"/>
        <v>4.157575331080199E-3</v>
      </c>
      <c r="S416" s="44">
        <f t="shared" si="200"/>
        <v>4.819007770115684E-3</v>
      </c>
      <c r="T416" s="44">
        <f t="shared" si="200"/>
        <v>5.4804402091511708E-3</v>
      </c>
      <c r="U416" s="44">
        <f t="shared" si="200"/>
        <v>6.1418726481866559E-3</v>
      </c>
      <c r="V416" s="44">
        <f t="shared" si="200"/>
        <v>6.8033050872221426E-3</v>
      </c>
      <c r="W416" s="44">
        <f t="shared" si="200"/>
        <v>7.4647375262576286E-3</v>
      </c>
      <c r="X416" s="44">
        <f t="shared" si="200"/>
        <v>8.1261699652931153E-3</v>
      </c>
      <c r="Y416" s="44">
        <f t="shared" si="200"/>
        <v>8.7876024043286004E-3</v>
      </c>
      <c r="Z416" s="44">
        <f t="shared" si="200"/>
        <v>9.4490348433640872E-3</v>
      </c>
      <c r="AA416" s="44">
        <f t="shared" si="200"/>
        <v>1.0110467282399574E-2</v>
      </c>
      <c r="AB416" s="44">
        <f t="shared" si="200"/>
        <v>1.0771899721435059E-2</v>
      </c>
      <c r="AC416" s="44">
        <f t="shared" si="200"/>
        <v>1.1433332160470544E-2</v>
      </c>
      <c r="AD416" s="44">
        <f t="shared" si="200"/>
        <v>1.2094764599506033E-2</v>
      </c>
      <c r="AE416" s="44">
        <f t="shared" si="200"/>
        <v>1.2756197038541518E-2</v>
      </c>
      <c r="AF416" s="44">
        <f t="shared" si="200"/>
        <v>1.3417629477577003E-2</v>
      </c>
      <c r="AG416" s="44">
        <f t="shared" si="200"/>
        <v>1.4079061916612489E-2</v>
      </c>
      <c r="AH416" s="44">
        <f t="shared" si="200"/>
        <v>1.4740494355647976E-2</v>
      </c>
      <c r="AI416" s="44">
        <f t="shared" si="200"/>
        <v>1.5401926794683461E-2</v>
      </c>
      <c r="AJ416" s="44">
        <f t="shared" si="200"/>
        <v>4.8374332157511336E-2</v>
      </c>
      <c r="AK416" s="44">
        <f t="shared" si="200"/>
        <v>9.6443383932417096E-2</v>
      </c>
      <c r="AL416" s="44">
        <f t="shared" si="200"/>
        <v>0.16008640555045139</v>
      </c>
      <c r="AM416" s="44">
        <f t="shared" si="200"/>
        <v>0.2168042746368922</v>
      </c>
      <c r="AN416" s="44">
        <f t="shared" si="200"/>
        <v>0.31673560607132478</v>
      </c>
      <c r="AO416" s="44">
        <f t="shared" si="200"/>
        <v>0.41666693750575734</v>
      </c>
      <c r="AP416" s="44">
        <f t="shared" si="200"/>
        <v>0.64850810003989967</v>
      </c>
      <c r="AQ416" s="44">
        <f t="shared" si="200"/>
        <v>0.65595831830105988</v>
      </c>
      <c r="AR416" s="44">
        <f t="shared" si="200"/>
        <v>0.81517091922393892</v>
      </c>
      <c r="AS416" s="44">
        <f t="shared" si="200"/>
        <v>0.9694988002261965</v>
      </c>
      <c r="AT416" s="44">
        <f t="shared" si="200"/>
        <v>1</v>
      </c>
      <c r="AU416" s="44">
        <f t="shared" si="200"/>
        <v>1</v>
      </c>
      <c r="AV416" s="44">
        <f t="shared" si="200"/>
        <v>1</v>
      </c>
      <c r="AW416" s="44">
        <f t="shared" si="200"/>
        <v>1</v>
      </c>
      <c r="AX416" s="44">
        <f t="shared" si="200"/>
        <v>1</v>
      </c>
      <c r="AY416" s="44">
        <f t="shared" si="200"/>
        <v>1</v>
      </c>
      <c r="AZ416" s="44">
        <f t="shared" si="200"/>
        <v>1</v>
      </c>
      <c r="BA416" s="44">
        <f t="shared" si="200"/>
        <v>1</v>
      </c>
      <c r="BB416" s="44">
        <f t="shared" si="200"/>
        <v>1</v>
      </c>
      <c r="BC416" s="44">
        <f t="shared" si="200"/>
        <v>1</v>
      </c>
      <c r="BD416" s="44">
        <f t="shared" si="200"/>
        <v>1</v>
      </c>
      <c r="BE416" s="44">
        <f t="shared" si="200"/>
        <v>1</v>
      </c>
      <c r="BF416" s="44">
        <f t="shared" si="200"/>
        <v>1</v>
      </c>
      <c r="BG416" s="44">
        <f t="shared" si="200"/>
        <v>1</v>
      </c>
      <c r="BH416" s="44">
        <f t="shared" si="200"/>
        <v>1</v>
      </c>
      <c r="BI416" s="44">
        <f t="shared" si="200"/>
        <v>1</v>
      </c>
      <c r="BJ416" s="44">
        <f t="shared" si="200"/>
        <v>1</v>
      </c>
      <c r="BK416" s="44">
        <f t="shared" si="200"/>
        <v>1</v>
      </c>
      <c r="BL416" s="44">
        <f t="shared" si="200"/>
        <v>1</v>
      </c>
      <c r="BM416" s="44">
        <f t="shared" si="200"/>
        <v>1</v>
      </c>
      <c r="BN416" s="44">
        <f t="shared" si="200"/>
        <v>1</v>
      </c>
      <c r="BO416" s="32">
        <f t="shared" si="192"/>
        <v>0.43273454182278065</v>
      </c>
    </row>
    <row r="417" spans="1:67" ht="24" x14ac:dyDescent="0.2">
      <c r="A417" s="50" t="s">
        <v>842</v>
      </c>
      <c r="B417" s="50" t="s">
        <v>843</v>
      </c>
      <c r="C417" s="50" t="s">
        <v>74</v>
      </c>
      <c r="D417" s="51">
        <f>VLOOKUP(A417,'[1]Cuadro Control'!C457:J2347,8,FALSE)</f>
        <v>83271780.884117648</v>
      </c>
      <c r="E417" s="52">
        <f t="shared" ref="E417:E431" si="201">IFERROR(D417/$D$416,0)</f>
        <v>1.5685397839984384E-2</v>
      </c>
      <c r="F417" s="53">
        <v>46240</v>
      </c>
      <c r="G417" s="53">
        <v>46405</v>
      </c>
      <c r="H417" s="52">
        <f t="shared" ref="H417:BN421" si="202">IF($F417=0,0,IF(H$6&lt;$F417,0,IF(H$6&gt;$G417,1,(H$6-$F417+1)/($G417-$F417+1))))</f>
        <v>0</v>
      </c>
      <c r="I417" s="52">
        <f t="shared" si="202"/>
        <v>0</v>
      </c>
      <c r="J417" s="52">
        <f t="shared" si="202"/>
        <v>0</v>
      </c>
      <c r="K417" s="52">
        <f t="shared" si="202"/>
        <v>0</v>
      </c>
      <c r="L417" s="52">
        <f t="shared" si="202"/>
        <v>1.2048192771084338E-2</v>
      </c>
      <c r="M417" s="52">
        <f t="shared" si="202"/>
        <v>5.4216867469879519E-2</v>
      </c>
      <c r="N417" s="52">
        <f t="shared" si="202"/>
        <v>9.6385542168674704E-2</v>
      </c>
      <c r="O417" s="52">
        <f t="shared" si="202"/>
        <v>0.13855421686746988</v>
      </c>
      <c r="P417" s="52">
        <f t="shared" si="202"/>
        <v>0.18072289156626506</v>
      </c>
      <c r="Q417" s="52">
        <f t="shared" si="202"/>
        <v>0.22289156626506024</v>
      </c>
      <c r="R417" s="52">
        <f t="shared" si="202"/>
        <v>0.26506024096385544</v>
      </c>
      <c r="S417" s="52">
        <f t="shared" si="202"/>
        <v>0.30722891566265059</v>
      </c>
      <c r="T417" s="52">
        <f t="shared" si="202"/>
        <v>0.3493975903614458</v>
      </c>
      <c r="U417" s="52">
        <f t="shared" si="202"/>
        <v>0.39156626506024095</v>
      </c>
      <c r="V417" s="52">
        <f t="shared" si="202"/>
        <v>0.43373493975903615</v>
      </c>
      <c r="W417" s="52">
        <f t="shared" si="202"/>
        <v>0.4759036144578313</v>
      </c>
      <c r="X417" s="52">
        <f t="shared" si="202"/>
        <v>0.51807228915662651</v>
      </c>
      <c r="Y417" s="52">
        <f t="shared" si="202"/>
        <v>0.56024096385542166</v>
      </c>
      <c r="Z417" s="52">
        <f t="shared" si="202"/>
        <v>0.60240963855421692</v>
      </c>
      <c r="AA417" s="52">
        <f t="shared" si="202"/>
        <v>0.64457831325301207</v>
      </c>
      <c r="AB417" s="52">
        <f t="shared" si="202"/>
        <v>0.68674698795180722</v>
      </c>
      <c r="AC417" s="52">
        <f t="shared" si="202"/>
        <v>0.72891566265060237</v>
      </c>
      <c r="AD417" s="52">
        <f t="shared" si="202"/>
        <v>0.77108433734939763</v>
      </c>
      <c r="AE417" s="52">
        <f t="shared" si="202"/>
        <v>0.81325301204819278</v>
      </c>
      <c r="AF417" s="52">
        <f t="shared" si="202"/>
        <v>0.85542168674698793</v>
      </c>
      <c r="AG417" s="52">
        <f t="shared" si="202"/>
        <v>0.89759036144578308</v>
      </c>
      <c r="AH417" s="52">
        <f t="shared" si="202"/>
        <v>0.93975903614457834</v>
      </c>
      <c r="AI417" s="52">
        <f t="shared" si="202"/>
        <v>0.98192771084337349</v>
      </c>
      <c r="AJ417" s="52">
        <f t="shared" si="202"/>
        <v>1</v>
      </c>
      <c r="AK417" s="52">
        <f t="shared" si="202"/>
        <v>1</v>
      </c>
      <c r="AL417" s="52">
        <f t="shared" si="202"/>
        <v>1</v>
      </c>
      <c r="AM417" s="52">
        <f t="shared" si="202"/>
        <v>1</v>
      </c>
      <c r="AN417" s="52">
        <f t="shared" si="202"/>
        <v>1</v>
      </c>
      <c r="AO417" s="52">
        <f t="shared" si="202"/>
        <v>1</v>
      </c>
      <c r="AP417" s="52">
        <f t="shared" si="202"/>
        <v>1</v>
      </c>
      <c r="AQ417" s="52">
        <f t="shared" si="202"/>
        <v>1</v>
      </c>
      <c r="AR417" s="52">
        <f t="shared" si="202"/>
        <v>1</v>
      </c>
      <c r="AS417" s="52">
        <f t="shared" si="202"/>
        <v>1</v>
      </c>
      <c r="AT417" s="52">
        <f t="shared" si="202"/>
        <v>1</v>
      </c>
      <c r="AU417" s="52">
        <f t="shared" si="202"/>
        <v>1</v>
      </c>
      <c r="AV417" s="52">
        <f t="shared" si="202"/>
        <v>1</v>
      </c>
      <c r="AW417" s="52">
        <f t="shared" si="202"/>
        <v>1</v>
      </c>
      <c r="AX417" s="52">
        <f t="shared" si="202"/>
        <v>1</v>
      </c>
      <c r="AY417" s="52">
        <f t="shared" si="202"/>
        <v>1</v>
      </c>
      <c r="AZ417" s="52">
        <f t="shared" si="202"/>
        <v>1</v>
      </c>
      <c r="BA417" s="52">
        <f t="shared" si="202"/>
        <v>1</v>
      </c>
      <c r="BB417" s="52">
        <f t="shared" si="202"/>
        <v>1</v>
      </c>
      <c r="BC417" s="52">
        <f t="shared" si="202"/>
        <v>1</v>
      </c>
      <c r="BD417" s="52">
        <f t="shared" si="202"/>
        <v>1</v>
      </c>
      <c r="BE417" s="52">
        <f t="shared" si="202"/>
        <v>1</v>
      </c>
      <c r="BF417" s="52">
        <f t="shared" si="202"/>
        <v>1</v>
      </c>
      <c r="BG417" s="52">
        <f t="shared" si="202"/>
        <v>1</v>
      </c>
      <c r="BH417" s="52">
        <f t="shared" si="202"/>
        <v>1</v>
      </c>
      <c r="BI417" s="52">
        <f t="shared" si="202"/>
        <v>1</v>
      </c>
      <c r="BJ417" s="52">
        <f t="shared" si="202"/>
        <v>1</v>
      </c>
      <c r="BK417" s="52">
        <f t="shared" si="202"/>
        <v>1</v>
      </c>
      <c r="BL417" s="52">
        <f t="shared" si="202"/>
        <v>1</v>
      </c>
      <c r="BM417" s="52">
        <f t="shared" si="202"/>
        <v>1</v>
      </c>
      <c r="BN417" s="52">
        <f t="shared" si="202"/>
        <v>1</v>
      </c>
      <c r="BO417" s="32">
        <f t="shared" si="192"/>
        <v>0.72758831937921165</v>
      </c>
    </row>
    <row r="418" spans="1:67" x14ac:dyDescent="0.2">
      <c r="A418" s="50" t="s">
        <v>844</v>
      </c>
      <c r="B418" s="50" t="s">
        <v>845</v>
      </c>
      <c r="C418" s="50" t="s">
        <v>61</v>
      </c>
      <c r="D418" s="51">
        <f>VLOOKUP(A418,'[1]Cuadro Control'!C458:J2348,8,FALSE)</f>
        <v>312374505.66882348</v>
      </c>
      <c r="E418" s="52">
        <f t="shared" si="201"/>
        <v>5.8840081771548515E-2</v>
      </c>
      <c r="F418" s="53">
        <v>46405</v>
      </c>
      <c r="G418" s="53">
        <v>46413</v>
      </c>
      <c r="H418" s="52">
        <f t="shared" si="202"/>
        <v>0</v>
      </c>
      <c r="I418" s="52">
        <f t="shared" si="202"/>
        <v>0</v>
      </c>
      <c r="J418" s="52">
        <f t="shared" si="202"/>
        <v>0</v>
      </c>
      <c r="K418" s="52">
        <f t="shared" si="202"/>
        <v>0</v>
      </c>
      <c r="L418" s="52">
        <f t="shared" si="202"/>
        <v>0</v>
      </c>
      <c r="M418" s="52">
        <f t="shared" si="202"/>
        <v>0</v>
      </c>
      <c r="N418" s="52">
        <f t="shared" si="202"/>
        <v>0</v>
      </c>
      <c r="O418" s="52">
        <f t="shared" si="202"/>
        <v>0</v>
      </c>
      <c r="P418" s="52">
        <f t="shared" si="202"/>
        <v>0</v>
      </c>
      <c r="Q418" s="52">
        <f t="shared" si="202"/>
        <v>0</v>
      </c>
      <c r="R418" s="52">
        <f t="shared" si="202"/>
        <v>0</v>
      </c>
      <c r="S418" s="52">
        <f t="shared" si="202"/>
        <v>0</v>
      </c>
      <c r="T418" s="52">
        <f t="shared" si="202"/>
        <v>0</v>
      </c>
      <c r="U418" s="52">
        <f t="shared" si="202"/>
        <v>0</v>
      </c>
      <c r="V418" s="52">
        <f t="shared" si="202"/>
        <v>0</v>
      </c>
      <c r="W418" s="52">
        <f t="shared" si="202"/>
        <v>0</v>
      </c>
      <c r="X418" s="52">
        <f t="shared" si="202"/>
        <v>0</v>
      </c>
      <c r="Y418" s="52">
        <f t="shared" si="202"/>
        <v>0</v>
      </c>
      <c r="Z418" s="52">
        <f t="shared" si="202"/>
        <v>0</v>
      </c>
      <c r="AA418" s="52">
        <f t="shared" si="202"/>
        <v>0</v>
      </c>
      <c r="AB418" s="52">
        <f t="shared" si="202"/>
        <v>0</v>
      </c>
      <c r="AC418" s="52">
        <f t="shared" si="202"/>
        <v>0</v>
      </c>
      <c r="AD418" s="52">
        <f t="shared" si="202"/>
        <v>0</v>
      </c>
      <c r="AE418" s="52">
        <f t="shared" si="202"/>
        <v>0</v>
      </c>
      <c r="AF418" s="52">
        <f t="shared" si="202"/>
        <v>0</v>
      </c>
      <c r="AG418" s="52">
        <f t="shared" si="202"/>
        <v>0</v>
      </c>
      <c r="AH418" s="52">
        <f t="shared" si="202"/>
        <v>0</v>
      </c>
      <c r="AI418" s="52">
        <f t="shared" si="202"/>
        <v>0</v>
      </c>
      <c r="AJ418" s="52">
        <f t="shared" si="202"/>
        <v>0.55555555555555558</v>
      </c>
      <c r="AK418" s="52">
        <f t="shared" si="202"/>
        <v>1</v>
      </c>
      <c r="AL418" s="52">
        <f t="shared" si="202"/>
        <v>1</v>
      </c>
      <c r="AM418" s="52">
        <f t="shared" si="202"/>
        <v>1</v>
      </c>
      <c r="AN418" s="52">
        <f t="shared" si="202"/>
        <v>1</v>
      </c>
      <c r="AO418" s="52">
        <f t="shared" si="202"/>
        <v>1</v>
      </c>
      <c r="AP418" s="52">
        <f t="shared" si="202"/>
        <v>1</v>
      </c>
      <c r="AQ418" s="52">
        <f t="shared" si="202"/>
        <v>1</v>
      </c>
      <c r="AR418" s="52">
        <f t="shared" si="202"/>
        <v>1</v>
      </c>
      <c r="AS418" s="52">
        <f t="shared" si="202"/>
        <v>1</v>
      </c>
      <c r="AT418" s="52">
        <f t="shared" si="202"/>
        <v>1</v>
      </c>
      <c r="AU418" s="52">
        <f t="shared" si="202"/>
        <v>1</v>
      </c>
      <c r="AV418" s="52">
        <f t="shared" si="202"/>
        <v>1</v>
      </c>
      <c r="AW418" s="52">
        <f t="shared" si="202"/>
        <v>1</v>
      </c>
      <c r="AX418" s="52">
        <f t="shared" si="202"/>
        <v>1</v>
      </c>
      <c r="AY418" s="52">
        <f t="shared" si="202"/>
        <v>1</v>
      </c>
      <c r="AZ418" s="52">
        <f t="shared" si="202"/>
        <v>1</v>
      </c>
      <c r="BA418" s="52">
        <f t="shared" si="202"/>
        <v>1</v>
      </c>
      <c r="BB418" s="52">
        <f t="shared" si="202"/>
        <v>1</v>
      </c>
      <c r="BC418" s="52">
        <f t="shared" si="202"/>
        <v>1</v>
      </c>
      <c r="BD418" s="52">
        <f t="shared" si="202"/>
        <v>1</v>
      </c>
      <c r="BE418" s="52">
        <f t="shared" si="202"/>
        <v>1</v>
      </c>
      <c r="BF418" s="52">
        <f t="shared" si="202"/>
        <v>1</v>
      </c>
      <c r="BG418" s="52">
        <f t="shared" si="202"/>
        <v>1</v>
      </c>
      <c r="BH418" s="52">
        <f t="shared" si="202"/>
        <v>1</v>
      </c>
      <c r="BI418" s="52">
        <f t="shared" si="202"/>
        <v>1</v>
      </c>
      <c r="BJ418" s="52">
        <f t="shared" si="202"/>
        <v>1</v>
      </c>
      <c r="BK418" s="52">
        <f t="shared" si="202"/>
        <v>1</v>
      </c>
      <c r="BL418" s="52">
        <f t="shared" si="202"/>
        <v>1</v>
      </c>
      <c r="BM418" s="52">
        <f t="shared" si="202"/>
        <v>1</v>
      </c>
      <c r="BN418" s="52">
        <f t="shared" si="202"/>
        <v>1</v>
      </c>
      <c r="BO418" s="32">
        <f t="shared" si="192"/>
        <v>0.51789077212806034</v>
      </c>
    </row>
    <row r="419" spans="1:67" ht="15" x14ac:dyDescent="0.2">
      <c r="A419" s="46" t="s">
        <v>846</v>
      </c>
      <c r="B419" s="46" t="s">
        <v>847</v>
      </c>
      <c r="C419" s="46" t="s">
        <v>126</v>
      </c>
      <c r="D419" s="47">
        <f>VLOOKUP(A419,'[1]Cuadro Control'!C459:J2349,8,FALSE)</f>
        <v>9527825.6870364472</v>
      </c>
      <c r="E419" s="48">
        <f t="shared" si="201"/>
        <v>1.794698454439963E-3</v>
      </c>
      <c r="F419" s="49">
        <v>46413</v>
      </c>
      <c r="G419" s="49">
        <v>46415</v>
      </c>
      <c r="H419" s="48">
        <f t="shared" si="202"/>
        <v>0</v>
      </c>
      <c r="I419" s="48">
        <f t="shared" si="202"/>
        <v>0</v>
      </c>
      <c r="J419" s="48">
        <f t="shared" si="202"/>
        <v>0</v>
      </c>
      <c r="K419" s="48">
        <f t="shared" si="202"/>
        <v>0</v>
      </c>
      <c r="L419" s="48">
        <f t="shared" si="202"/>
        <v>0</v>
      </c>
      <c r="M419" s="48">
        <f t="shared" si="202"/>
        <v>0</v>
      </c>
      <c r="N419" s="48">
        <f t="shared" si="202"/>
        <v>0</v>
      </c>
      <c r="O419" s="48">
        <f t="shared" si="202"/>
        <v>0</v>
      </c>
      <c r="P419" s="48">
        <f t="shared" si="202"/>
        <v>0</v>
      </c>
      <c r="Q419" s="48">
        <f t="shared" si="202"/>
        <v>0</v>
      </c>
      <c r="R419" s="48">
        <f t="shared" si="202"/>
        <v>0</v>
      </c>
      <c r="S419" s="48">
        <f t="shared" si="202"/>
        <v>0</v>
      </c>
      <c r="T419" s="48">
        <f t="shared" si="202"/>
        <v>0</v>
      </c>
      <c r="U419" s="48">
        <f t="shared" si="202"/>
        <v>0</v>
      </c>
      <c r="V419" s="48">
        <f t="shared" si="202"/>
        <v>0</v>
      </c>
      <c r="W419" s="48">
        <f t="shared" si="202"/>
        <v>0</v>
      </c>
      <c r="X419" s="48">
        <f t="shared" si="202"/>
        <v>0</v>
      </c>
      <c r="Y419" s="48">
        <f t="shared" si="202"/>
        <v>0</v>
      </c>
      <c r="Z419" s="48">
        <f t="shared" si="202"/>
        <v>0</v>
      </c>
      <c r="AA419" s="48">
        <f t="shared" si="202"/>
        <v>0</v>
      </c>
      <c r="AB419" s="48">
        <f t="shared" si="202"/>
        <v>0</v>
      </c>
      <c r="AC419" s="48">
        <f t="shared" si="202"/>
        <v>0</v>
      </c>
      <c r="AD419" s="48">
        <f t="shared" si="202"/>
        <v>0</v>
      </c>
      <c r="AE419" s="48">
        <f t="shared" si="202"/>
        <v>0</v>
      </c>
      <c r="AF419" s="48">
        <f t="shared" si="202"/>
        <v>0</v>
      </c>
      <c r="AG419" s="48">
        <f t="shared" si="202"/>
        <v>0</v>
      </c>
      <c r="AH419" s="48">
        <f t="shared" si="202"/>
        <v>0</v>
      </c>
      <c r="AI419" s="48">
        <f t="shared" si="202"/>
        <v>0</v>
      </c>
      <c r="AJ419" s="48">
        <f t="shared" si="202"/>
        <v>0</v>
      </c>
      <c r="AK419" s="48">
        <f t="shared" si="202"/>
        <v>1</v>
      </c>
      <c r="AL419" s="48">
        <f t="shared" si="202"/>
        <v>1</v>
      </c>
      <c r="AM419" s="48">
        <f t="shared" si="202"/>
        <v>1</v>
      </c>
      <c r="AN419" s="48">
        <f t="shared" si="202"/>
        <v>1</v>
      </c>
      <c r="AO419" s="48">
        <f t="shared" si="202"/>
        <v>1</v>
      </c>
      <c r="AP419" s="48">
        <f t="shared" si="202"/>
        <v>1</v>
      </c>
      <c r="AQ419" s="48">
        <f t="shared" si="202"/>
        <v>1</v>
      </c>
      <c r="AR419" s="48">
        <f t="shared" si="202"/>
        <v>1</v>
      </c>
      <c r="AS419" s="48">
        <f t="shared" si="202"/>
        <v>1</v>
      </c>
      <c r="AT419" s="48">
        <f t="shared" si="202"/>
        <v>1</v>
      </c>
      <c r="AU419" s="48">
        <f t="shared" si="202"/>
        <v>1</v>
      </c>
      <c r="AV419" s="48">
        <f t="shared" si="202"/>
        <v>1</v>
      </c>
      <c r="AW419" s="48">
        <f t="shared" si="202"/>
        <v>1</v>
      </c>
      <c r="AX419" s="48">
        <f t="shared" si="202"/>
        <v>1</v>
      </c>
      <c r="AY419" s="48">
        <f t="shared" si="202"/>
        <v>1</v>
      </c>
      <c r="AZ419" s="48">
        <f t="shared" si="202"/>
        <v>1</v>
      </c>
      <c r="BA419" s="48">
        <f t="shared" si="202"/>
        <v>1</v>
      </c>
      <c r="BB419" s="48">
        <f t="shared" si="202"/>
        <v>1</v>
      </c>
      <c r="BC419" s="48">
        <f t="shared" si="202"/>
        <v>1</v>
      </c>
      <c r="BD419" s="48">
        <f t="shared" si="202"/>
        <v>1</v>
      </c>
      <c r="BE419" s="48">
        <f t="shared" si="202"/>
        <v>1</v>
      </c>
      <c r="BF419" s="48">
        <f t="shared" si="202"/>
        <v>1</v>
      </c>
      <c r="BG419" s="48">
        <f t="shared" si="202"/>
        <v>1</v>
      </c>
      <c r="BH419" s="48">
        <f t="shared" si="202"/>
        <v>1</v>
      </c>
      <c r="BI419" s="48">
        <f t="shared" si="202"/>
        <v>1</v>
      </c>
      <c r="BJ419" s="48">
        <f t="shared" si="202"/>
        <v>1</v>
      </c>
      <c r="BK419" s="48">
        <f t="shared" si="202"/>
        <v>1</v>
      </c>
      <c r="BL419" s="48">
        <f t="shared" si="202"/>
        <v>1</v>
      </c>
      <c r="BM419" s="48">
        <f t="shared" si="202"/>
        <v>1</v>
      </c>
      <c r="BN419" s="48">
        <f t="shared" si="202"/>
        <v>1</v>
      </c>
      <c r="BO419" s="32">
        <f t="shared" si="192"/>
        <v>0.50847457627118642</v>
      </c>
    </row>
    <row r="420" spans="1:67" x14ac:dyDescent="0.2">
      <c r="A420" s="50" t="s">
        <v>848</v>
      </c>
      <c r="B420" s="50" t="s">
        <v>849</v>
      </c>
      <c r="C420" s="50" t="s">
        <v>117</v>
      </c>
      <c r="D420" s="51">
        <f>VLOOKUP(A420,'[1]Cuadro Control'!C460:J2350,8,FALSE)</f>
        <v>320494616.71764702</v>
      </c>
      <c r="E420" s="52">
        <f t="shared" si="201"/>
        <v>6.0369617599332674E-2</v>
      </c>
      <c r="F420" s="53">
        <v>46415</v>
      </c>
      <c r="G420" s="53">
        <v>46420</v>
      </c>
      <c r="H420" s="52">
        <f t="shared" si="202"/>
        <v>0</v>
      </c>
      <c r="I420" s="52">
        <f t="shared" si="202"/>
        <v>0</v>
      </c>
      <c r="J420" s="52">
        <f t="shared" si="202"/>
        <v>0</v>
      </c>
      <c r="K420" s="52">
        <f t="shared" si="202"/>
        <v>0</v>
      </c>
      <c r="L420" s="52">
        <f t="shared" si="202"/>
        <v>0</v>
      </c>
      <c r="M420" s="52">
        <f t="shared" si="202"/>
        <v>0</v>
      </c>
      <c r="N420" s="52">
        <f t="shared" si="202"/>
        <v>0</v>
      </c>
      <c r="O420" s="52">
        <f t="shared" si="202"/>
        <v>0</v>
      </c>
      <c r="P420" s="52">
        <f t="shared" si="202"/>
        <v>0</v>
      </c>
      <c r="Q420" s="52">
        <f t="shared" si="202"/>
        <v>0</v>
      </c>
      <c r="R420" s="52">
        <f t="shared" si="202"/>
        <v>0</v>
      </c>
      <c r="S420" s="52">
        <f t="shared" si="202"/>
        <v>0</v>
      </c>
      <c r="T420" s="52">
        <f t="shared" si="202"/>
        <v>0</v>
      </c>
      <c r="U420" s="52">
        <f t="shared" si="202"/>
        <v>0</v>
      </c>
      <c r="V420" s="52">
        <f t="shared" si="202"/>
        <v>0</v>
      </c>
      <c r="W420" s="52">
        <f t="shared" si="202"/>
        <v>0</v>
      </c>
      <c r="X420" s="52">
        <f t="shared" si="202"/>
        <v>0</v>
      </c>
      <c r="Y420" s="52">
        <f t="shared" si="202"/>
        <v>0</v>
      </c>
      <c r="Z420" s="52">
        <f t="shared" si="202"/>
        <v>0</v>
      </c>
      <c r="AA420" s="52">
        <f t="shared" si="202"/>
        <v>0</v>
      </c>
      <c r="AB420" s="52">
        <f t="shared" si="202"/>
        <v>0</v>
      </c>
      <c r="AC420" s="52">
        <f t="shared" si="202"/>
        <v>0</v>
      </c>
      <c r="AD420" s="52">
        <f t="shared" si="202"/>
        <v>0</v>
      </c>
      <c r="AE420" s="52">
        <f t="shared" si="202"/>
        <v>0</v>
      </c>
      <c r="AF420" s="52">
        <f t="shared" si="202"/>
        <v>0</v>
      </c>
      <c r="AG420" s="52">
        <f t="shared" si="202"/>
        <v>0</v>
      </c>
      <c r="AH420" s="52">
        <f t="shared" si="202"/>
        <v>0</v>
      </c>
      <c r="AI420" s="52">
        <f t="shared" si="202"/>
        <v>0</v>
      </c>
      <c r="AJ420" s="52">
        <f t="shared" si="202"/>
        <v>0</v>
      </c>
      <c r="AK420" s="52">
        <f t="shared" si="202"/>
        <v>0.33333333333333331</v>
      </c>
      <c r="AL420" s="52">
        <f t="shared" si="202"/>
        <v>1</v>
      </c>
      <c r="AM420" s="52">
        <f t="shared" si="202"/>
        <v>1</v>
      </c>
      <c r="AN420" s="52">
        <f t="shared" si="202"/>
        <v>1</v>
      </c>
      <c r="AO420" s="52">
        <f t="shared" si="202"/>
        <v>1</v>
      </c>
      <c r="AP420" s="52">
        <f t="shared" si="202"/>
        <v>1</v>
      </c>
      <c r="AQ420" s="52">
        <f t="shared" si="202"/>
        <v>1</v>
      </c>
      <c r="AR420" s="52">
        <f t="shared" si="202"/>
        <v>1</v>
      </c>
      <c r="AS420" s="52">
        <f t="shared" si="202"/>
        <v>1</v>
      </c>
      <c r="AT420" s="52">
        <f t="shared" si="202"/>
        <v>1</v>
      </c>
      <c r="AU420" s="52">
        <f t="shared" si="202"/>
        <v>1</v>
      </c>
      <c r="AV420" s="52">
        <f t="shared" si="202"/>
        <v>1</v>
      </c>
      <c r="AW420" s="52">
        <f t="shared" si="202"/>
        <v>1</v>
      </c>
      <c r="AX420" s="52">
        <f t="shared" si="202"/>
        <v>1</v>
      </c>
      <c r="AY420" s="52">
        <f t="shared" si="202"/>
        <v>1</v>
      </c>
      <c r="AZ420" s="52">
        <f t="shared" si="202"/>
        <v>1</v>
      </c>
      <c r="BA420" s="52">
        <f t="shared" si="202"/>
        <v>1</v>
      </c>
      <c r="BB420" s="52">
        <f t="shared" si="202"/>
        <v>1</v>
      </c>
      <c r="BC420" s="52">
        <f t="shared" si="202"/>
        <v>1</v>
      </c>
      <c r="BD420" s="52">
        <f t="shared" si="202"/>
        <v>1</v>
      </c>
      <c r="BE420" s="52">
        <f t="shared" si="202"/>
        <v>1</v>
      </c>
      <c r="BF420" s="52">
        <f t="shared" si="202"/>
        <v>1</v>
      </c>
      <c r="BG420" s="52">
        <f t="shared" si="202"/>
        <v>1</v>
      </c>
      <c r="BH420" s="52">
        <f t="shared" si="202"/>
        <v>1</v>
      </c>
      <c r="BI420" s="52">
        <f t="shared" si="202"/>
        <v>1</v>
      </c>
      <c r="BJ420" s="52">
        <f t="shared" si="202"/>
        <v>1</v>
      </c>
      <c r="BK420" s="52">
        <f t="shared" si="202"/>
        <v>1</v>
      </c>
      <c r="BL420" s="52">
        <f t="shared" si="202"/>
        <v>1</v>
      </c>
      <c r="BM420" s="52">
        <f t="shared" si="202"/>
        <v>1</v>
      </c>
      <c r="BN420" s="52">
        <f t="shared" si="202"/>
        <v>1</v>
      </c>
      <c r="BO420" s="32">
        <f t="shared" si="192"/>
        <v>0.49717514124293782</v>
      </c>
    </row>
    <row r="421" spans="1:67" x14ac:dyDescent="0.2">
      <c r="A421" s="50" t="s">
        <v>850</v>
      </c>
      <c r="B421" s="50" t="s">
        <v>851</v>
      </c>
      <c r="C421" s="50" t="s">
        <v>111</v>
      </c>
      <c r="D421" s="51">
        <f>VLOOKUP(A421,'[1]Cuadro Control'!C461:J2351,8,FALSE)</f>
        <v>94303618.549411759</v>
      </c>
      <c r="E421" s="52">
        <f t="shared" si="201"/>
        <v>1.7763397864110998E-2</v>
      </c>
      <c r="F421" s="53">
        <v>46421</v>
      </c>
      <c r="G421" s="53">
        <v>46423</v>
      </c>
      <c r="H421" s="52">
        <f t="shared" si="202"/>
        <v>0</v>
      </c>
      <c r="I421" s="52">
        <f t="shared" si="202"/>
        <v>0</v>
      </c>
      <c r="J421" s="52">
        <f t="shared" si="202"/>
        <v>0</v>
      </c>
      <c r="K421" s="52">
        <f t="shared" si="202"/>
        <v>0</v>
      </c>
      <c r="L421" s="52">
        <f t="shared" si="202"/>
        <v>0</v>
      </c>
      <c r="M421" s="52">
        <f t="shared" si="202"/>
        <v>0</v>
      </c>
      <c r="N421" s="52">
        <f t="shared" si="202"/>
        <v>0</v>
      </c>
      <c r="O421" s="52">
        <f t="shared" si="202"/>
        <v>0</v>
      </c>
      <c r="P421" s="52">
        <f t="shared" si="202"/>
        <v>0</v>
      </c>
      <c r="Q421" s="52">
        <f t="shared" si="202"/>
        <v>0</v>
      </c>
      <c r="R421" s="52">
        <f t="shared" si="202"/>
        <v>0</v>
      </c>
      <c r="S421" s="52">
        <f t="shared" si="202"/>
        <v>0</v>
      </c>
      <c r="T421" s="52">
        <f t="shared" si="202"/>
        <v>0</v>
      </c>
      <c r="U421" s="52">
        <f t="shared" si="202"/>
        <v>0</v>
      </c>
      <c r="V421" s="52">
        <f t="shared" si="202"/>
        <v>0</v>
      </c>
      <c r="W421" s="52">
        <f t="shared" si="202"/>
        <v>0</v>
      </c>
      <c r="X421" s="52">
        <f t="shared" si="202"/>
        <v>0</v>
      </c>
      <c r="Y421" s="52">
        <f t="shared" si="202"/>
        <v>0</v>
      </c>
      <c r="Z421" s="52">
        <f t="shared" si="202"/>
        <v>0</v>
      </c>
      <c r="AA421" s="52">
        <f t="shared" ref="AA421:BF432" si="203">IF($F421=0,0,IF(AA$6&lt;$F421,0,IF(AA$6&gt;$G421,1,(AA$6-$F421+1)/($G421-$F421+1))))</f>
        <v>0</v>
      </c>
      <c r="AB421" s="52">
        <f t="shared" si="203"/>
        <v>0</v>
      </c>
      <c r="AC421" s="52">
        <f t="shared" si="203"/>
        <v>0</v>
      </c>
      <c r="AD421" s="52">
        <f t="shared" si="203"/>
        <v>0</v>
      </c>
      <c r="AE421" s="52">
        <f t="shared" si="203"/>
        <v>0</v>
      </c>
      <c r="AF421" s="52">
        <f t="shared" si="203"/>
        <v>0</v>
      </c>
      <c r="AG421" s="52">
        <f t="shared" si="203"/>
        <v>0</v>
      </c>
      <c r="AH421" s="52">
        <f t="shared" si="203"/>
        <v>0</v>
      </c>
      <c r="AI421" s="52">
        <f t="shared" si="203"/>
        <v>0</v>
      </c>
      <c r="AJ421" s="52">
        <f t="shared" si="203"/>
        <v>0</v>
      </c>
      <c r="AK421" s="52">
        <f t="shared" si="203"/>
        <v>0</v>
      </c>
      <c r="AL421" s="52">
        <f t="shared" si="203"/>
        <v>1</v>
      </c>
      <c r="AM421" s="52">
        <f t="shared" si="203"/>
        <v>1</v>
      </c>
      <c r="AN421" s="52">
        <f t="shared" si="203"/>
        <v>1</v>
      </c>
      <c r="AO421" s="52">
        <f t="shared" si="203"/>
        <v>1</v>
      </c>
      <c r="AP421" s="52">
        <f t="shared" si="203"/>
        <v>1</v>
      </c>
      <c r="AQ421" s="52">
        <f t="shared" si="203"/>
        <v>1</v>
      </c>
      <c r="AR421" s="52">
        <f t="shared" si="203"/>
        <v>1</v>
      </c>
      <c r="AS421" s="52">
        <f t="shared" si="203"/>
        <v>1</v>
      </c>
      <c r="AT421" s="52">
        <f t="shared" si="203"/>
        <v>1</v>
      </c>
      <c r="AU421" s="52">
        <f t="shared" si="203"/>
        <v>1</v>
      </c>
      <c r="AV421" s="52">
        <f t="shared" si="203"/>
        <v>1</v>
      </c>
      <c r="AW421" s="52">
        <f t="shared" si="203"/>
        <v>1</v>
      </c>
      <c r="AX421" s="52">
        <f t="shared" si="203"/>
        <v>1</v>
      </c>
      <c r="AY421" s="52">
        <f t="shared" si="203"/>
        <v>1</v>
      </c>
      <c r="AZ421" s="52">
        <f t="shared" si="203"/>
        <v>1</v>
      </c>
      <c r="BA421" s="52">
        <f t="shared" si="203"/>
        <v>1</v>
      </c>
      <c r="BB421" s="52">
        <f t="shared" si="203"/>
        <v>1</v>
      </c>
      <c r="BC421" s="52">
        <f t="shared" si="203"/>
        <v>1</v>
      </c>
      <c r="BD421" s="52">
        <f t="shared" si="203"/>
        <v>1</v>
      </c>
      <c r="BE421" s="52">
        <f t="shared" si="203"/>
        <v>1</v>
      </c>
      <c r="BF421" s="52">
        <f t="shared" si="203"/>
        <v>1</v>
      </c>
      <c r="BG421" s="52">
        <f t="shared" ref="BG421:BN432" si="204">IF($F421=0,0,IF(BG$6&lt;$F421,0,IF(BG$6&gt;$G421,1,(BG$6-$F421+1)/($G421-$F421+1))))</f>
        <v>1</v>
      </c>
      <c r="BH421" s="52">
        <f t="shared" si="204"/>
        <v>1</v>
      </c>
      <c r="BI421" s="52">
        <f t="shared" si="204"/>
        <v>1</v>
      </c>
      <c r="BJ421" s="52">
        <f t="shared" si="204"/>
        <v>1</v>
      </c>
      <c r="BK421" s="52">
        <f t="shared" si="204"/>
        <v>1</v>
      </c>
      <c r="BL421" s="52">
        <f t="shared" si="204"/>
        <v>1</v>
      </c>
      <c r="BM421" s="52">
        <f t="shared" si="204"/>
        <v>1</v>
      </c>
      <c r="BN421" s="52">
        <f t="shared" si="204"/>
        <v>1</v>
      </c>
      <c r="BO421" s="32">
        <f t="shared" si="192"/>
        <v>0.49152542372881358</v>
      </c>
    </row>
    <row r="422" spans="1:67" x14ac:dyDescent="0.2">
      <c r="A422" s="50" t="s">
        <v>852</v>
      </c>
      <c r="B422" s="50" t="s">
        <v>853</v>
      </c>
      <c r="C422" s="50" t="s">
        <v>238</v>
      </c>
      <c r="D422" s="51">
        <f>VLOOKUP(A422,'[1]Cuadro Control'!C462:J2352,8,FALSE)</f>
        <v>179436034.15411764</v>
      </c>
      <c r="E422" s="52">
        <f t="shared" si="201"/>
        <v>3.3799272126209236E-2</v>
      </c>
      <c r="F422" s="53">
        <v>46423</v>
      </c>
      <c r="G422" s="53">
        <v>46428</v>
      </c>
      <c r="H422" s="52">
        <f t="shared" ref="H422:W432" si="205">IF($F422=0,0,IF(H$6&lt;$F422,0,IF(H$6&gt;$G422,1,(H$6-$F422+1)/($G422-$F422+1))))</f>
        <v>0</v>
      </c>
      <c r="I422" s="52">
        <f t="shared" si="205"/>
        <v>0</v>
      </c>
      <c r="J422" s="52">
        <f t="shared" si="205"/>
        <v>0</v>
      </c>
      <c r="K422" s="52">
        <f t="shared" si="205"/>
        <v>0</v>
      </c>
      <c r="L422" s="52">
        <f t="shared" si="205"/>
        <v>0</v>
      </c>
      <c r="M422" s="52">
        <f t="shared" si="205"/>
        <v>0</v>
      </c>
      <c r="N422" s="52">
        <f t="shared" si="205"/>
        <v>0</v>
      </c>
      <c r="O422" s="52">
        <f t="shared" si="205"/>
        <v>0</v>
      </c>
      <c r="P422" s="52">
        <f t="shared" si="205"/>
        <v>0</v>
      </c>
      <c r="Q422" s="52">
        <f t="shared" si="205"/>
        <v>0</v>
      </c>
      <c r="R422" s="52">
        <f t="shared" si="205"/>
        <v>0</v>
      </c>
      <c r="S422" s="52">
        <f t="shared" si="205"/>
        <v>0</v>
      </c>
      <c r="T422" s="52">
        <f t="shared" si="205"/>
        <v>0</v>
      </c>
      <c r="U422" s="52">
        <f t="shared" si="205"/>
        <v>0</v>
      </c>
      <c r="V422" s="52">
        <f t="shared" si="205"/>
        <v>0</v>
      </c>
      <c r="W422" s="52">
        <f t="shared" si="205"/>
        <v>0</v>
      </c>
      <c r="X422" s="52">
        <f t="shared" ref="X422:BC432" si="206">IF($F422=0,0,IF(X$6&lt;$F422,0,IF(X$6&gt;$G422,1,(X$6-$F422+1)/($G422-$F422+1))))</f>
        <v>0</v>
      </c>
      <c r="Y422" s="52">
        <f t="shared" si="206"/>
        <v>0</v>
      </c>
      <c r="Z422" s="52">
        <f t="shared" si="206"/>
        <v>0</v>
      </c>
      <c r="AA422" s="52">
        <f t="shared" si="206"/>
        <v>0</v>
      </c>
      <c r="AB422" s="52">
        <f t="shared" si="206"/>
        <v>0</v>
      </c>
      <c r="AC422" s="52">
        <f t="shared" si="206"/>
        <v>0</v>
      </c>
      <c r="AD422" s="52">
        <f t="shared" si="206"/>
        <v>0</v>
      </c>
      <c r="AE422" s="52">
        <f t="shared" si="206"/>
        <v>0</v>
      </c>
      <c r="AF422" s="52">
        <f t="shared" si="206"/>
        <v>0</v>
      </c>
      <c r="AG422" s="52">
        <f t="shared" si="206"/>
        <v>0</v>
      </c>
      <c r="AH422" s="52">
        <f t="shared" si="206"/>
        <v>0</v>
      </c>
      <c r="AI422" s="52">
        <f t="shared" si="206"/>
        <v>0</v>
      </c>
      <c r="AJ422" s="52">
        <f t="shared" si="206"/>
        <v>0</v>
      </c>
      <c r="AK422" s="52">
        <f t="shared" si="206"/>
        <v>0</v>
      </c>
      <c r="AL422" s="52">
        <f t="shared" si="206"/>
        <v>0.16666666666666666</v>
      </c>
      <c r="AM422" s="52">
        <f t="shared" si="206"/>
        <v>1</v>
      </c>
      <c r="AN422" s="52">
        <f t="shared" si="206"/>
        <v>1</v>
      </c>
      <c r="AO422" s="52">
        <f t="shared" si="203"/>
        <v>1</v>
      </c>
      <c r="AP422" s="52">
        <f t="shared" si="203"/>
        <v>1</v>
      </c>
      <c r="AQ422" s="52">
        <f t="shared" si="203"/>
        <v>1</v>
      </c>
      <c r="AR422" s="52">
        <f t="shared" si="203"/>
        <v>1</v>
      </c>
      <c r="AS422" s="52">
        <f t="shared" si="203"/>
        <v>1</v>
      </c>
      <c r="AT422" s="52">
        <f t="shared" si="203"/>
        <v>1</v>
      </c>
      <c r="AU422" s="52">
        <f t="shared" si="203"/>
        <v>1</v>
      </c>
      <c r="AV422" s="52">
        <f t="shared" si="203"/>
        <v>1</v>
      </c>
      <c r="AW422" s="52">
        <f t="shared" si="203"/>
        <v>1</v>
      </c>
      <c r="AX422" s="52">
        <f t="shared" si="203"/>
        <v>1</v>
      </c>
      <c r="AY422" s="52">
        <f t="shared" si="203"/>
        <v>1</v>
      </c>
      <c r="AZ422" s="52">
        <f t="shared" si="203"/>
        <v>1</v>
      </c>
      <c r="BA422" s="52">
        <f t="shared" si="203"/>
        <v>1</v>
      </c>
      <c r="BB422" s="52">
        <f t="shared" si="203"/>
        <v>1</v>
      </c>
      <c r="BC422" s="52">
        <f t="shared" si="203"/>
        <v>1</v>
      </c>
      <c r="BD422" s="52">
        <f t="shared" si="203"/>
        <v>1</v>
      </c>
      <c r="BE422" s="52">
        <f t="shared" si="203"/>
        <v>1</v>
      </c>
      <c r="BF422" s="52">
        <f t="shared" si="203"/>
        <v>1</v>
      </c>
      <c r="BG422" s="52">
        <f t="shared" si="204"/>
        <v>1</v>
      </c>
      <c r="BH422" s="52">
        <f t="shared" si="204"/>
        <v>1</v>
      </c>
      <c r="BI422" s="52">
        <f t="shared" si="204"/>
        <v>1</v>
      </c>
      <c r="BJ422" s="52">
        <f t="shared" si="204"/>
        <v>1</v>
      </c>
      <c r="BK422" s="52">
        <f t="shared" si="204"/>
        <v>1</v>
      </c>
      <c r="BL422" s="52">
        <f t="shared" si="204"/>
        <v>1</v>
      </c>
      <c r="BM422" s="52">
        <f t="shared" si="204"/>
        <v>1</v>
      </c>
      <c r="BN422" s="52">
        <f t="shared" si="204"/>
        <v>1</v>
      </c>
      <c r="BO422" s="32">
        <f t="shared" si="192"/>
        <v>0.47740112994350287</v>
      </c>
    </row>
    <row r="423" spans="1:67" x14ac:dyDescent="0.2">
      <c r="A423" s="50" t="s">
        <v>854</v>
      </c>
      <c r="B423" s="50" t="s">
        <v>855</v>
      </c>
      <c r="C423" s="50" t="s">
        <v>58</v>
      </c>
      <c r="D423" s="51">
        <f>VLOOKUP(A423,'[1]Cuadro Control'!C463:J2353,8,FALSE)</f>
        <v>1212623361.2117648</v>
      </c>
      <c r="E423" s="52">
        <f t="shared" si="201"/>
        <v>0.22841447185013161</v>
      </c>
      <c r="F423" s="53">
        <v>46429</v>
      </c>
      <c r="G423" s="53">
        <v>46444</v>
      </c>
      <c r="H423" s="52">
        <f t="shared" si="205"/>
        <v>0</v>
      </c>
      <c r="I423" s="52">
        <f t="shared" si="205"/>
        <v>0</v>
      </c>
      <c r="J423" s="52">
        <f t="shared" si="205"/>
        <v>0</v>
      </c>
      <c r="K423" s="52">
        <f t="shared" si="205"/>
        <v>0</v>
      </c>
      <c r="L423" s="52">
        <f t="shared" si="205"/>
        <v>0</v>
      </c>
      <c r="M423" s="52">
        <f t="shared" si="205"/>
        <v>0</v>
      </c>
      <c r="N423" s="52">
        <f t="shared" si="205"/>
        <v>0</v>
      </c>
      <c r="O423" s="52">
        <f t="shared" si="205"/>
        <v>0</v>
      </c>
      <c r="P423" s="52">
        <f t="shared" si="205"/>
        <v>0</v>
      </c>
      <c r="Q423" s="52">
        <f t="shared" si="205"/>
        <v>0</v>
      </c>
      <c r="R423" s="52">
        <f t="shared" si="205"/>
        <v>0</v>
      </c>
      <c r="S423" s="52">
        <f t="shared" si="205"/>
        <v>0</v>
      </c>
      <c r="T423" s="52">
        <f t="shared" si="205"/>
        <v>0</v>
      </c>
      <c r="U423" s="52">
        <f t="shared" si="205"/>
        <v>0</v>
      </c>
      <c r="V423" s="52">
        <f t="shared" si="205"/>
        <v>0</v>
      </c>
      <c r="W423" s="52">
        <f t="shared" si="205"/>
        <v>0</v>
      </c>
      <c r="X423" s="52">
        <f t="shared" si="206"/>
        <v>0</v>
      </c>
      <c r="Y423" s="52">
        <f t="shared" si="206"/>
        <v>0</v>
      </c>
      <c r="Z423" s="52">
        <f t="shared" si="206"/>
        <v>0</v>
      </c>
      <c r="AA423" s="52">
        <f t="shared" si="206"/>
        <v>0</v>
      </c>
      <c r="AB423" s="52">
        <f t="shared" si="206"/>
        <v>0</v>
      </c>
      <c r="AC423" s="52">
        <f t="shared" si="206"/>
        <v>0</v>
      </c>
      <c r="AD423" s="52">
        <f t="shared" si="206"/>
        <v>0</v>
      </c>
      <c r="AE423" s="52">
        <f t="shared" si="206"/>
        <v>0</v>
      </c>
      <c r="AF423" s="52">
        <f t="shared" si="206"/>
        <v>0</v>
      </c>
      <c r="AG423" s="52">
        <f t="shared" si="206"/>
        <v>0</v>
      </c>
      <c r="AH423" s="52">
        <f t="shared" si="206"/>
        <v>0</v>
      </c>
      <c r="AI423" s="52">
        <f t="shared" si="206"/>
        <v>0</v>
      </c>
      <c r="AJ423" s="52">
        <f t="shared" si="206"/>
        <v>0</v>
      </c>
      <c r="AK423" s="52">
        <f t="shared" si="206"/>
        <v>0</v>
      </c>
      <c r="AL423" s="52">
        <f t="shared" si="206"/>
        <v>0</v>
      </c>
      <c r="AM423" s="52">
        <f t="shared" si="206"/>
        <v>0.125</v>
      </c>
      <c r="AN423" s="52">
        <f t="shared" si="206"/>
        <v>0.5625</v>
      </c>
      <c r="AO423" s="52">
        <f t="shared" si="203"/>
        <v>1</v>
      </c>
      <c r="AP423" s="52">
        <f t="shared" si="203"/>
        <v>1</v>
      </c>
      <c r="AQ423" s="52">
        <f t="shared" si="203"/>
        <v>1</v>
      </c>
      <c r="AR423" s="52">
        <f t="shared" si="203"/>
        <v>1</v>
      </c>
      <c r="AS423" s="52">
        <f t="shared" si="203"/>
        <v>1</v>
      </c>
      <c r="AT423" s="52">
        <f t="shared" si="203"/>
        <v>1</v>
      </c>
      <c r="AU423" s="52">
        <f t="shared" si="203"/>
        <v>1</v>
      </c>
      <c r="AV423" s="52">
        <f t="shared" si="203"/>
        <v>1</v>
      </c>
      <c r="AW423" s="52">
        <f t="shared" si="203"/>
        <v>1</v>
      </c>
      <c r="AX423" s="52">
        <f t="shared" si="203"/>
        <v>1</v>
      </c>
      <c r="AY423" s="52">
        <f t="shared" si="203"/>
        <v>1</v>
      </c>
      <c r="AZ423" s="52">
        <f t="shared" si="203"/>
        <v>1</v>
      </c>
      <c r="BA423" s="52">
        <f t="shared" si="203"/>
        <v>1</v>
      </c>
      <c r="BB423" s="52">
        <f t="shared" si="203"/>
        <v>1</v>
      </c>
      <c r="BC423" s="52">
        <f t="shared" si="203"/>
        <v>1</v>
      </c>
      <c r="BD423" s="52">
        <f t="shared" si="203"/>
        <v>1</v>
      </c>
      <c r="BE423" s="52">
        <f t="shared" si="203"/>
        <v>1</v>
      </c>
      <c r="BF423" s="52">
        <f t="shared" si="203"/>
        <v>1</v>
      </c>
      <c r="BG423" s="52">
        <f t="shared" si="204"/>
        <v>1</v>
      </c>
      <c r="BH423" s="52">
        <f t="shared" si="204"/>
        <v>1</v>
      </c>
      <c r="BI423" s="52">
        <f t="shared" si="204"/>
        <v>1</v>
      </c>
      <c r="BJ423" s="52">
        <f t="shared" si="204"/>
        <v>1</v>
      </c>
      <c r="BK423" s="52">
        <f t="shared" si="204"/>
        <v>1</v>
      </c>
      <c r="BL423" s="52">
        <f t="shared" si="204"/>
        <v>1</v>
      </c>
      <c r="BM423" s="52">
        <f t="shared" si="204"/>
        <v>1</v>
      </c>
      <c r="BN423" s="52">
        <f t="shared" si="204"/>
        <v>1</v>
      </c>
      <c r="BO423" s="32">
        <f t="shared" si="192"/>
        <v>0.45233050847457629</v>
      </c>
    </row>
    <row r="424" spans="1:67" x14ac:dyDescent="0.2">
      <c r="A424" s="50" t="s">
        <v>856</v>
      </c>
      <c r="B424" s="50" t="s">
        <v>857</v>
      </c>
      <c r="C424" s="50" t="s">
        <v>126</v>
      </c>
      <c r="D424" s="51">
        <f>VLOOKUP(A424,'[1]Cuadro Control'!C464:J2354,8,FALSE)</f>
        <v>0</v>
      </c>
      <c r="E424" s="52">
        <f t="shared" si="201"/>
        <v>0</v>
      </c>
      <c r="F424" s="53">
        <v>46444</v>
      </c>
      <c r="G424" s="53">
        <v>46448</v>
      </c>
      <c r="H424" s="52">
        <f t="shared" si="205"/>
        <v>0</v>
      </c>
      <c r="I424" s="52">
        <f t="shared" si="205"/>
        <v>0</v>
      </c>
      <c r="J424" s="52">
        <f t="shared" si="205"/>
        <v>0</v>
      </c>
      <c r="K424" s="52">
        <f t="shared" si="205"/>
        <v>0</v>
      </c>
      <c r="L424" s="52">
        <f t="shared" si="205"/>
        <v>0</v>
      </c>
      <c r="M424" s="52">
        <f t="shared" si="205"/>
        <v>0</v>
      </c>
      <c r="N424" s="52">
        <f t="shared" si="205"/>
        <v>0</v>
      </c>
      <c r="O424" s="52">
        <f t="shared" si="205"/>
        <v>0</v>
      </c>
      <c r="P424" s="52">
        <f t="shared" si="205"/>
        <v>0</v>
      </c>
      <c r="Q424" s="52">
        <f t="shared" si="205"/>
        <v>0</v>
      </c>
      <c r="R424" s="52">
        <f t="shared" si="205"/>
        <v>0</v>
      </c>
      <c r="S424" s="52">
        <f t="shared" si="205"/>
        <v>0</v>
      </c>
      <c r="T424" s="52">
        <f t="shared" si="205"/>
        <v>0</v>
      </c>
      <c r="U424" s="52">
        <f t="shared" si="205"/>
        <v>0</v>
      </c>
      <c r="V424" s="52">
        <f t="shared" si="205"/>
        <v>0</v>
      </c>
      <c r="W424" s="52">
        <f t="shared" si="205"/>
        <v>0</v>
      </c>
      <c r="X424" s="52">
        <f t="shared" si="206"/>
        <v>0</v>
      </c>
      <c r="Y424" s="52">
        <f t="shared" si="206"/>
        <v>0</v>
      </c>
      <c r="Z424" s="52">
        <f t="shared" si="206"/>
        <v>0</v>
      </c>
      <c r="AA424" s="52">
        <f t="shared" si="206"/>
        <v>0</v>
      </c>
      <c r="AB424" s="52">
        <f t="shared" si="206"/>
        <v>0</v>
      </c>
      <c r="AC424" s="52">
        <f t="shared" si="206"/>
        <v>0</v>
      </c>
      <c r="AD424" s="52">
        <f t="shared" si="206"/>
        <v>0</v>
      </c>
      <c r="AE424" s="52">
        <f t="shared" si="206"/>
        <v>0</v>
      </c>
      <c r="AF424" s="52">
        <f t="shared" si="206"/>
        <v>0</v>
      </c>
      <c r="AG424" s="52">
        <f t="shared" si="206"/>
        <v>0</v>
      </c>
      <c r="AH424" s="52">
        <f t="shared" si="206"/>
        <v>0</v>
      </c>
      <c r="AI424" s="52">
        <f t="shared" si="206"/>
        <v>0</v>
      </c>
      <c r="AJ424" s="52">
        <f t="shared" si="206"/>
        <v>0</v>
      </c>
      <c r="AK424" s="52">
        <f t="shared" si="206"/>
        <v>0</v>
      </c>
      <c r="AL424" s="52">
        <f t="shared" si="206"/>
        <v>0</v>
      </c>
      <c r="AM424" s="52">
        <f t="shared" si="206"/>
        <v>0</v>
      </c>
      <c r="AN424" s="52">
        <f t="shared" si="206"/>
        <v>0</v>
      </c>
      <c r="AO424" s="52">
        <f t="shared" si="203"/>
        <v>0.2</v>
      </c>
      <c r="AP424" s="52">
        <f t="shared" si="203"/>
        <v>1</v>
      </c>
      <c r="AQ424" s="52">
        <f t="shared" si="203"/>
        <v>1</v>
      </c>
      <c r="AR424" s="52">
        <f t="shared" si="203"/>
        <v>1</v>
      </c>
      <c r="AS424" s="52">
        <f t="shared" si="203"/>
        <v>1</v>
      </c>
      <c r="AT424" s="52">
        <f t="shared" si="203"/>
        <v>1</v>
      </c>
      <c r="AU424" s="52">
        <f t="shared" si="203"/>
        <v>1</v>
      </c>
      <c r="AV424" s="52">
        <f t="shared" si="203"/>
        <v>1</v>
      </c>
      <c r="AW424" s="52">
        <f t="shared" si="203"/>
        <v>1</v>
      </c>
      <c r="AX424" s="52">
        <f t="shared" si="203"/>
        <v>1</v>
      </c>
      <c r="AY424" s="52">
        <f t="shared" si="203"/>
        <v>1</v>
      </c>
      <c r="AZ424" s="52">
        <f t="shared" si="203"/>
        <v>1</v>
      </c>
      <c r="BA424" s="52">
        <f t="shared" si="203"/>
        <v>1</v>
      </c>
      <c r="BB424" s="52">
        <f t="shared" si="203"/>
        <v>1</v>
      </c>
      <c r="BC424" s="52">
        <f t="shared" si="203"/>
        <v>1</v>
      </c>
      <c r="BD424" s="52">
        <f t="shared" si="203"/>
        <v>1</v>
      </c>
      <c r="BE424" s="52">
        <f t="shared" si="203"/>
        <v>1</v>
      </c>
      <c r="BF424" s="52">
        <f t="shared" si="203"/>
        <v>1</v>
      </c>
      <c r="BG424" s="52">
        <f t="shared" si="204"/>
        <v>1</v>
      </c>
      <c r="BH424" s="52">
        <f t="shared" si="204"/>
        <v>1</v>
      </c>
      <c r="BI424" s="52">
        <f t="shared" si="204"/>
        <v>1</v>
      </c>
      <c r="BJ424" s="52">
        <f t="shared" si="204"/>
        <v>1</v>
      </c>
      <c r="BK424" s="52">
        <f t="shared" si="204"/>
        <v>1</v>
      </c>
      <c r="BL424" s="52">
        <f t="shared" si="204"/>
        <v>1</v>
      </c>
      <c r="BM424" s="52">
        <f t="shared" si="204"/>
        <v>1</v>
      </c>
      <c r="BN424" s="52">
        <f t="shared" si="204"/>
        <v>1</v>
      </c>
      <c r="BO424" s="32">
        <f t="shared" si="192"/>
        <v>0.42711864406779659</v>
      </c>
    </row>
    <row r="425" spans="1:67" ht="24" x14ac:dyDescent="0.2">
      <c r="A425" s="55" t="s">
        <v>858</v>
      </c>
      <c r="B425" s="55" t="s">
        <v>859</v>
      </c>
      <c r="C425" s="55" t="s">
        <v>14</v>
      </c>
      <c r="D425" s="56">
        <f>VLOOKUP(A425,'[1]Cuadro Control'!C465:J2355,8,FALSE)</f>
        <v>0</v>
      </c>
      <c r="E425" s="57">
        <f t="shared" si="201"/>
        <v>0</v>
      </c>
      <c r="F425" s="58">
        <v>46444</v>
      </c>
      <c r="G425" s="58">
        <v>46444</v>
      </c>
      <c r="H425" s="57">
        <f t="shared" si="205"/>
        <v>0</v>
      </c>
      <c r="I425" s="57">
        <f t="shared" si="205"/>
        <v>0</v>
      </c>
      <c r="J425" s="57">
        <f t="shared" si="205"/>
        <v>0</v>
      </c>
      <c r="K425" s="57">
        <f t="shared" si="205"/>
        <v>0</v>
      </c>
      <c r="L425" s="57">
        <f t="shared" si="205"/>
        <v>0</v>
      </c>
      <c r="M425" s="57">
        <f t="shared" si="205"/>
        <v>0</v>
      </c>
      <c r="N425" s="57">
        <f t="shared" si="205"/>
        <v>0</v>
      </c>
      <c r="O425" s="57">
        <f t="shared" si="205"/>
        <v>0</v>
      </c>
      <c r="P425" s="57">
        <f t="shared" si="205"/>
        <v>0</v>
      </c>
      <c r="Q425" s="57">
        <f t="shared" si="205"/>
        <v>0</v>
      </c>
      <c r="R425" s="57">
        <f t="shared" si="205"/>
        <v>0</v>
      </c>
      <c r="S425" s="57">
        <f t="shared" si="205"/>
        <v>0</v>
      </c>
      <c r="T425" s="57">
        <f t="shared" si="205"/>
        <v>0</v>
      </c>
      <c r="U425" s="57">
        <f t="shared" si="205"/>
        <v>0</v>
      </c>
      <c r="V425" s="57">
        <f t="shared" si="205"/>
        <v>0</v>
      </c>
      <c r="W425" s="57">
        <f t="shared" si="205"/>
        <v>0</v>
      </c>
      <c r="X425" s="57">
        <f t="shared" si="206"/>
        <v>0</v>
      </c>
      <c r="Y425" s="57">
        <f t="shared" si="206"/>
        <v>0</v>
      </c>
      <c r="Z425" s="57">
        <f t="shared" si="206"/>
        <v>0</v>
      </c>
      <c r="AA425" s="57">
        <f t="shared" si="206"/>
        <v>0</v>
      </c>
      <c r="AB425" s="57">
        <f t="shared" si="206"/>
        <v>0</v>
      </c>
      <c r="AC425" s="57">
        <f t="shared" si="206"/>
        <v>0</v>
      </c>
      <c r="AD425" s="57">
        <f t="shared" si="206"/>
        <v>0</v>
      </c>
      <c r="AE425" s="57">
        <f t="shared" si="206"/>
        <v>0</v>
      </c>
      <c r="AF425" s="57">
        <f t="shared" si="206"/>
        <v>0</v>
      </c>
      <c r="AG425" s="57">
        <f t="shared" si="206"/>
        <v>0</v>
      </c>
      <c r="AH425" s="57">
        <f t="shared" si="206"/>
        <v>0</v>
      </c>
      <c r="AI425" s="57">
        <f t="shared" si="206"/>
        <v>0</v>
      </c>
      <c r="AJ425" s="57">
        <f t="shared" si="206"/>
        <v>0</v>
      </c>
      <c r="AK425" s="57">
        <f t="shared" si="206"/>
        <v>0</v>
      </c>
      <c r="AL425" s="57">
        <f t="shared" si="206"/>
        <v>0</v>
      </c>
      <c r="AM425" s="57">
        <f t="shared" si="206"/>
        <v>0</v>
      </c>
      <c r="AN425" s="57">
        <f t="shared" si="206"/>
        <v>0</v>
      </c>
      <c r="AO425" s="57">
        <f t="shared" si="203"/>
        <v>1</v>
      </c>
      <c r="AP425" s="57">
        <f t="shared" si="203"/>
        <v>1</v>
      </c>
      <c r="AQ425" s="57">
        <f t="shared" si="203"/>
        <v>1</v>
      </c>
      <c r="AR425" s="57">
        <f t="shared" si="203"/>
        <v>1</v>
      </c>
      <c r="AS425" s="57">
        <f t="shared" si="203"/>
        <v>1</v>
      </c>
      <c r="AT425" s="57">
        <f t="shared" si="203"/>
        <v>1</v>
      </c>
      <c r="AU425" s="57">
        <f t="shared" si="203"/>
        <v>1</v>
      </c>
      <c r="AV425" s="57">
        <f t="shared" si="203"/>
        <v>1</v>
      </c>
      <c r="AW425" s="57">
        <f t="shared" si="203"/>
        <v>1</v>
      </c>
      <c r="AX425" s="57">
        <f t="shared" si="203"/>
        <v>1</v>
      </c>
      <c r="AY425" s="57">
        <f t="shared" si="203"/>
        <v>1</v>
      </c>
      <c r="AZ425" s="57">
        <f t="shared" si="203"/>
        <v>1</v>
      </c>
      <c r="BA425" s="57">
        <f t="shared" si="203"/>
        <v>1</v>
      </c>
      <c r="BB425" s="57">
        <f t="shared" si="203"/>
        <v>1</v>
      </c>
      <c r="BC425" s="57">
        <f t="shared" si="203"/>
        <v>1</v>
      </c>
      <c r="BD425" s="57">
        <f t="shared" si="203"/>
        <v>1</v>
      </c>
      <c r="BE425" s="57">
        <f t="shared" si="203"/>
        <v>1</v>
      </c>
      <c r="BF425" s="57">
        <f t="shared" si="203"/>
        <v>1</v>
      </c>
      <c r="BG425" s="57">
        <f t="shared" si="204"/>
        <v>1</v>
      </c>
      <c r="BH425" s="57">
        <f t="shared" si="204"/>
        <v>1</v>
      </c>
      <c r="BI425" s="57">
        <f t="shared" si="204"/>
        <v>1</v>
      </c>
      <c r="BJ425" s="57">
        <f t="shared" si="204"/>
        <v>1</v>
      </c>
      <c r="BK425" s="57">
        <f t="shared" si="204"/>
        <v>1</v>
      </c>
      <c r="BL425" s="57">
        <f t="shared" si="204"/>
        <v>1</v>
      </c>
      <c r="BM425" s="57">
        <f t="shared" si="204"/>
        <v>1</v>
      </c>
      <c r="BN425" s="57">
        <f t="shared" si="204"/>
        <v>1</v>
      </c>
      <c r="BO425" s="32">
        <f t="shared" si="192"/>
        <v>0.44067796610169491</v>
      </c>
    </row>
    <row r="426" spans="1:67" x14ac:dyDescent="0.2">
      <c r="A426" s="50" t="s">
        <v>860</v>
      </c>
      <c r="B426" s="50" t="s">
        <v>861</v>
      </c>
      <c r="C426" s="50" t="s">
        <v>111</v>
      </c>
      <c r="D426" s="51">
        <f>VLOOKUP(A426,'[1]Cuadro Control'!C466:J2356,8,FALSE)</f>
        <v>1230815225.9452939</v>
      </c>
      <c r="E426" s="52">
        <f t="shared" si="201"/>
        <v>0.2318411625341423</v>
      </c>
      <c r="F426" s="53">
        <v>46448</v>
      </c>
      <c r="G426" s="53">
        <v>46449</v>
      </c>
      <c r="H426" s="52">
        <f t="shared" si="205"/>
        <v>0</v>
      </c>
      <c r="I426" s="52">
        <f t="shared" si="205"/>
        <v>0</v>
      </c>
      <c r="J426" s="52">
        <f t="shared" si="205"/>
        <v>0</v>
      </c>
      <c r="K426" s="52">
        <f t="shared" si="205"/>
        <v>0</v>
      </c>
      <c r="L426" s="52">
        <f t="shared" si="205"/>
        <v>0</v>
      </c>
      <c r="M426" s="52">
        <f t="shared" si="205"/>
        <v>0</v>
      </c>
      <c r="N426" s="52">
        <f t="shared" si="205"/>
        <v>0</v>
      </c>
      <c r="O426" s="52">
        <f t="shared" si="205"/>
        <v>0</v>
      </c>
      <c r="P426" s="52">
        <f t="shared" si="205"/>
        <v>0</v>
      </c>
      <c r="Q426" s="52">
        <f t="shared" si="205"/>
        <v>0</v>
      </c>
      <c r="R426" s="52">
        <f t="shared" si="205"/>
        <v>0</v>
      </c>
      <c r="S426" s="52">
        <f t="shared" si="205"/>
        <v>0</v>
      </c>
      <c r="T426" s="52">
        <f t="shared" si="205"/>
        <v>0</v>
      </c>
      <c r="U426" s="52">
        <f t="shared" si="205"/>
        <v>0</v>
      </c>
      <c r="V426" s="52">
        <f t="shared" si="205"/>
        <v>0</v>
      </c>
      <c r="W426" s="52">
        <f t="shared" si="205"/>
        <v>0</v>
      </c>
      <c r="X426" s="52">
        <f t="shared" si="206"/>
        <v>0</v>
      </c>
      <c r="Y426" s="52">
        <f t="shared" si="206"/>
        <v>0</v>
      </c>
      <c r="Z426" s="52">
        <f t="shared" si="206"/>
        <v>0</v>
      </c>
      <c r="AA426" s="52">
        <f t="shared" si="206"/>
        <v>0</v>
      </c>
      <c r="AB426" s="52">
        <f t="shared" si="206"/>
        <v>0</v>
      </c>
      <c r="AC426" s="52">
        <f t="shared" si="206"/>
        <v>0</v>
      </c>
      <c r="AD426" s="52">
        <f t="shared" si="206"/>
        <v>0</v>
      </c>
      <c r="AE426" s="52">
        <f t="shared" si="206"/>
        <v>0</v>
      </c>
      <c r="AF426" s="52">
        <f t="shared" si="206"/>
        <v>0</v>
      </c>
      <c r="AG426" s="52">
        <f t="shared" si="206"/>
        <v>0</v>
      </c>
      <c r="AH426" s="52">
        <f t="shared" si="206"/>
        <v>0</v>
      </c>
      <c r="AI426" s="52">
        <f t="shared" si="206"/>
        <v>0</v>
      </c>
      <c r="AJ426" s="52">
        <f t="shared" si="206"/>
        <v>0</v>
      </c>
      <c r="AK426" s="52">
        <f t="shared" si="206"/>
        <v>0</v>
      </c>
      <c r="AL426" s="52">
        <f t="shared" si="206"/>
        <v>0</v>
      </c>
      <c r="AM426" s="52">
        <f t="shared" si="206"/>
        <v>0</v>
      </c>
      <c r="AN426" s="52">
        <f t="shared" si="206"/>
        <v>0</v>
      </c>
      <c r="AO426" s="52">
        <f t="shared" si="203"/>
        <v>0</v>
      </c>
      <c r="AP426" s="52">
        <f t="shared" si="203"/>
        <v>1</v>
      </c>
      <c r="AQ426" s="52">
        <f t="shared" si="203"/>
        <v>1</v>
      </c>
      <c r="AR426" s="52">
        <f t="shared" si="203"/>
        <v>1</v>
      </c>
      <c r="AS426" s="52">
        <f t="shared" si="203"/>
        <v>1</v>
      </c>
      <c r="AT426" s="52">
        <f t="shared" si="203"/>
        <v>1</v>
      </c>
      <c r="AU426" s="52">
        <f t="shared" si="203"/>
        <v>1</v>
      </c>
      <c r="AV426" s="52">
        <f t="shared" si="203"/>
        <v>1</v>
      </c>
      <c r="AW426" s="52">
        <f t="shared" si="203"/>
        <v>1</v>
      </c>
      <c r="AX426" s="52">
        <f t="shared" si="203"/>
        <v>1</v>
      </c>
      <c r="AY426" s="52">
        <f t="shared" si="203"/>
        <v>1</v>
      </c>
      <c r="AZ426" s="52">
        <f t="shared" si="203"/>
        <v>1</v>
      </c>
      <c r="BA426" s="52">
        <f t="shared" si="203"/>
        <v>1</v>
      </c>
      <c r="BB426" s="52">
        <f t="shared" si="203"/>
        <v>1</v>
      </c>
      <c r="BC426" s="52">
        <f t="shared" si="203"/>
        <v>1</v>
      </c>
      <c r="BD426" s="52">
        <f t="shared" si="203"/>
        <v>1</v>
      </c>
      <c r="BE426" s="52">
        <f t="shared" si="203"/>
        <v>1</v>
      </c>
      <c r="BF426" s="52">
        <f t="shared" si="203"/>
        <v>1</v>
      </c>
      <c r="BG426" s="52">
        <f t="shared" si="204"/>
        <v>1</v>
      </c>
      <c r="BH426" s="52">
        <f t="shared" si="204"/>
        <v>1</v>
      </c>
      <c r="BI426" s="52">
        <f t="shared" si="204"/>
        <v>1</v>
      </c>
      <c r="BJ426" s="52">
        <f t="shared" si="204"/>
        <v>1</v>
      </c>
      <c r="BK426" s="52">
        <f t="shared" si="204"/>
        <v>1</v>
      </c>
      <c r="BL426" s="52">
        <f t="shared" si="204"/>
        <v>1</v>
      </c>
      <c r="BM426" s="52">
        <f t="shared" si="204"/>
        <v>1</v>
      </c>
      <c r="BN426" s="52">
        <f t="shared" si="204"/>
        <v>1</v>
      </c>
      <c r="BO426" s="32">
        <f t="shared" si="192"/>
        <v>0.42372881355932202</v>
      </c>
    </row>
    <row r="427" spans="1:67" x14ac:dyDescent="0.2">
      <c r="A427" s="50" t="s">
        <v>862</v>
      </c>
      <c r="B427" s="50" t="s">
        <v>863</v>
      </c>
      <c r="C427" s="50" t="s">
        <v>238</v>
      </c>
      <c r="D427" s="51">
        <f>VLOOKUP(A427,'[1]Cuadro Control'!C467:J2357,8,FALSE)</f>
        <v>0</v>
      </c>
      <c r="E427" s="52">
        <f t="shared" si="201"/>
        <v>0</v>
      </c>
      <c r="F427" s="53">
        <v>46449</v>
      </c>
      <c r="G427" s="53">
        <v>46456</v>
      </c>
      <c r="H427" s="52">
        <f t="shared" si="205"/>
        <v>0</v>
      </c>
      <c r="I427" s="52">
        <f t="shared" si="205"/>
        <v>0</v>
      </c>
      <c r="J427" s="52">
        <f t="shared" si="205"/>
        <v>0</v>
      </c>
      <c r="K427" s="52">
        <f t="shared" si="205"/>
        <v>0</v>
      </c>
      <c r="L427" s="52">
        <f t="shared" si="205"/>
        <v>0</v>
      </c>
      <c r="M427" s="52">
        <f t="shared" si="205"/>
        <v>0</v>
      </c>
      <c r="N427" s="52">
        <f t="shared" si="205"/>
        <v>0</v>
      </c>
      <c r="O427" s="52">
        <f t="shared" si="205"/>
        <v>0</v>
      </c>
      <c r="P427" s="52">
        <f t="shared" si="205"/>
        <v>0</v>
      </c>
      <c r="Q427" s="52">
        <f t="shared" si="205"/>
        <v>0</v>
      </c>
      <c r="R427" s="52">
        <f t="shared" si="205"/>
        <v>0</v>
      </c>
      <c r="S427" s="52">
        <f t="shared" si="205"/>
        <v>0</v>
      </c>
      <c r="T427" s="52">
        <f t="shared" si="205"/>
        <v>0</v>
      </c>
      <c r="U427" s="52">
        <f t="shared" si="205"/>
        <v>0</v>
      </c>
      <c r="V427" s="52">
        <f t="shared" si="205"/>
        <v>0</v>
      </c>
      <c r="W427" s="52">
        <f t="shared" si="205"/>
        <v>0</v>
      </c>
      <c r="X427" s="52">
        <f t="shared" si="206"/>
        <v>0</v>
      </c>
      <c r="Y427" s="52">
        <f t="shared" si="206"/>
        <v>0</v>
      </c>
      <c r="Z427" s="52">
        <f t="shared" si="206"/>
        <v>0</v>
      </c>
      <c r="AA427" s="52">
        <f t="shared" si="206"/>
        <v>0</v>
      </c>
      <c r="AB427" s="52">
        <f t="shared" si="206"/>
        <v>0</v>
      </c>
      <c r="AC427" s="52">
        <f t="shared" si="206"/>
        <v>0</v>
      </c>
      <c r="AD427" s="52">
        <f t="shared" si="206"/>
        <v>0</v>
      </c>
      <c r="AE427" s="52">
        <f t="shared" si="206"/>
        <v>0</v>
      </c>
      <c r="AF427" s="52">
        <f t="shared" si="206"/>
        <v>0</v>
      </c>
      <c r="AG427" s="52">
        <f t="shared" si="206"/>
        <v>0</v>
      </c>
      <c r="AH427" s="52">
        <f t="shared" si="206"/>
        <v>0</v>
      </c>
      <c r="AI427" s="52">
        <f t="shared" si="206"/>
        <v>0</v>
      </c>
      <c r="AJ427" s="52">
        <f t="shared" si="206"/>
        <v>0</v>
      </c>
      <c r="AK427" s="52">
        <f t="shared" si="206"/>
        <v>0</v>
      </c>
      <c r="AL427" s="52">
        <f t="shared" si="206"/>
        <v>0</v>
      </c>
      <c r="AM427" s="52">
        <f t="shared" si="206"/>
        <v>0</v>
      </c>
      <c r="AN427" s="52">
        <f t="shared" si="206"/>
        <v>0</v>
      </c>
      <c r="AO427" s="52">
        <f t="shared" si="203"/>
        <v>0</v>
      </c>
      <c r="AP427" s="52">
        <f t="shared" si="203"/>
        <v>0.375</v>
      </c>
      <c r="AQ427" s="52">
        <f t="shared" si="203"/>
        <v>1</v>
      </c>
      <c r="AR427" s="52">
        <f t="shared" si="203"/>
        <v>1</v>
      </c>
      <c r="AS427" s="52">
        <f t="shared" si="203"/>
        <v>1</v>
      </c>
      <c r="AT427" s="52">
        <f t="shared" si="203"/>
        <v>1</v>
      </c>
      <c r="AU427" s="52">
        <f t="shared" si="203"/>
        <v>1</v>
      </c>
      <c r="AV427" s="52">
        <f t="shared" si="203"/>
        <v>1</v>
      </c>
      <c r="AW427" s="52">
        <f t="shared" si="203"/>
        <v>1</v>
      </c>
      <c r="AX427" s="52">
        <f t="shared" si="203"/>
        <v>1</v>
      </c>
      <c r="AY427" s="52">
        <f t="shared" si="203"/>
        <v>1</v>
      </c>
      <c r="AZ427" s="52">
        <f t="shared" si="203"/>
        <v>1</v>
      </c>
      <c r="BA427" s="52">
        <f t="shared" si="203"/>
        <v>1</v>
      </c>
      <c r="BB427" s="52">
        <f t="shared" si="203"/>
        <v>1</v>
      </c>
      <c r="BC427" s="52">
        <f t="shared" si="203"/>
        <v>1</v>
      </c>
      <c r="BD427" s="52">
        <f t="shared" si="203"/>
        <v>1</v>
      </c>
      <c r="BE427" s="52">
        <f t="shared" si="203"/>
        <v>1</v>
      </c>
      <c r="BF427" s="52">
        <f t="shared" si="203"/>
        <v>1</v>
      </c>
      <c r="BG427" s="52">
        <f t="shared" si="204"/>
        <v>1</v>
      </c>
      <c r="BH427" s="52">
        <f t="shared" si="204"/>
        <v>1</v>
      </c>
      <c r="BI427" s="52">
        <f t="shared" si="204"/>
        <v>1</v>
      </c>
      <c r="BJ427" s="52">
        <f t="shared" si="204"/>
        <v>1</v>
      </c>
      <c r="BK427" s="52">
        <f t="shared" si="204"/>
        <v>1</v>
      </c>
      <c r="BL427" s="52">
        <f t="shared" si="204"/>
        <v>1</v>
      </c>
      <c r="BM427" s="52">
        <f t="shared" si="204"/>
        <v>1</v>
      </c>
      <c r="BN427" s="52">
        <f t="shared" si="204"/>
        <v>1</v>
      </c>
      <c r="BO427" s="32">
        <f t="shared" si="192"/>
        <v>0.41313559322033899</v>
      </c>
    </row>
    <row r="428" spans="1:67" ht="24" x14ac:dyDescent="0.2">
      <c r="A428" s="50" t="s">
        <v>864</v>
      </c>
      <c r="B428" s="50" t="s">
        <v>865</v>
      </c>
      <c r="C428" s="50" t="s">
        <v>126</v>
      </c>
      <c r="D428" s="51">
        <f>VLOOKUP(A428,'[1]Cuadro Control'!C468:J2358,8,FALSE)</f>
        <v>52736347.43270281</v>
      </c>
      <c r="E428" s="52">
        <f t="shared" si="201"/>
        <v>9.933624348213644E-3</v>
      </c>
      <c r="F428" s="53">
        <v>46456</v>
      </c>
      <c r="G428" s="53">
        <v>46459</v>
      </c>
      <c r="H428" s="52">
        <f t="shared" si="205"/>
        <v>0</v>
      </c>
      <c r="I428" s="52">
        <f t="shared" si="205"/>
        <v>0</v>
      </c>
      <c r="J428" s="52">
        <f t="shared" si="205"/>
        <v>0</v>
      </c>
      <c r="K428" s="52">
        <f t="shared" si="205"/>
        <v>0</v>
      </c>
      <c r="L428" s="52">
        <f t="shared" si="205"/>
        <v>0</v>
      </c>
      <c r="M428" s="52">
        <f t="shared" si="205"/>
        <v>0</v>
      </c>
      <c r="N428" s="52">
        <f t="shared" si="205"/>
        <v>0</v>
      </c>
      <c r="O428" s="52">
        <f t="shared" si="205"/>
        <v>0</v>
      </c>
      <c r="P428" s="52">
        <f t="shared" si="205"/>
        <v>0</v>
      </c>
      <c r="Q428" s="52">
        <f t="shared" si="205"/>
        <v>0</v>
      </c>
      <c r="R428" s="52">
        <f t="shared" si="205"/>
        <v>0</v>
      </c>
      <c r="S428" s="52">
        <f t="shared" si="205"/>
        <v>0</v>
      </c>
      <c r="T428" s="52">
        <f t="shared" si="205"/>
        <v>0</v>
      </c>
      <c r="U428" s="52">
        <f t="shared" si="205"/>
        <v>0</v>
      </c>
      <c r="V428" s="52">
        <f t="shared" si="205"/>
        <v>0</v>
      </c>
      <c r="W428" s="52">
        <f t="shared" si="205"/>
        <v>0</v>
      </c>
      <c r="X428" s="52">
        <f t="shared" si="206"/>
        <v>0</v>
      </c>
      <c r="Y428" s="52">
        <f t="shared" si="206"/>
        <v>0</v>
      </c>
      <c r="Z428" s="52">
        <f t="shared" si="206"/>
        <v>0</v>
      </c>
      <c r="AA428" s="52">
        <f t="shared" si="206"/>
        <v>0</v>
      </c>
      <c r="AB428" s="52">
        <f t="shared" si="206"/>
        <v>0</v>
      </c>
      <c r="AC428" s="52">
        <f t="shared" si="206"/>
        <v>0</v>
      </c>
      <c r="AD428" s="52">
        <f t="shared" si="206"/>
        <v>0</v>
      </c>
      <c r="AE428" s="52">
        <f t="shared" si="206"/>
        <v>0</v>
      </c>
      <c r="AF428" s="52">
        <f t="shared" si="206"/>
        <v>0</v>
      </c>
      <c r="AG428" s="52">
        <f t="shared" si="206"/>
        <v>0</v>
      </c>
      <c r="AH428" s="52">
        <f t="shared" si="206"/>
        <v>0</v>
      </c>
      <c r="AI428" s="52">
        <f t="shared" si="206"/>
        <v>0</v>
      </c>
      <c r="AJ428" s="52">
        <f t="shared" si="206"/>
        <v>0</v>
      </c>
      <c r="AK428" s="52">
        <f t="shared" si="206"/>
        <v>0</v>
      </c>
      <c r="AL428" s="52">
        <f t="shared" si="206"/>
        <v>0</v>
      </c>
      <c r="AM428" s="52">
        <f t="shared" si="206"/>
        <v>0</v>
      </c>
      <c r="AN428" s="52">
        <f t="shared" si="206"/>
        <v>0</v>
      </c>
      <c r="AO428" s="52">
        <f t="shared" si="203"/>
        <v>0</v>
      </c>
      <c r="AP428" s="52">
        <f t="shared" si="203"/>
        <v>0</v>
      </c>
      <c r="AQ428" s="52">
        <f t="shared" si="203"/>
        <v>0.75</v>
      </c>
      <c r="AR428" s="52">
        <f t="shared" si="203"/>
        <v>1</v>
      </c>
      <c r="AS428" s="52">
        <f t="shared" si="203"/>
        <v>1</v>
      </c>
      <c r="AT428" s="52">
        <f t="shared" si="203"/>
        <v>1</v>
      </c>
      <c r="AU428" s="52">
        <f t="shared" si="203"/>
        <v>1</v>
      </c>
      <c r="AV428" s="52">
        <f t="shared" si="203"/>
        <v>1</v>
      </c>
      <c r="AW428" s="52">
        <f t="shared" si="203"/>
        <v>1</v>
      </c>
      <c r="AX428" s="52">
        <f t="shared" si="203"/>
        <v>1</v>
      </c>
      <c r="AY428" s="52">
        <f t="shared" si="203"/>
        <v>1</v>
      </c>
      <c r="AZ428" s="52">
        <f t="shared" si="203"/>
        <v>1</v>
      </c>
      <c r="BA428" s="52">
        <f t="shared" si="203"/>
        <v>1</v>
      </c>
      <c r="BB428" s="52">
        <f t="shared" si="203"/>
        <v>1</v>
      </c>
      <c r="BC428" s="52">
        <f t="shared" si="203"/>
        <v>1</v>
      </c>
      <c r="BD428" s="52">
        <f t="shared" si="203"/>
        <v>1</v>
      </c>
      <c r="BE428" s="52">
        <f t="shared" si="203"/>
        <v>1</v>
      </c>
      <c r="BF428" s="52">
        <f t="shared" si="203"/>
        <v>1</v>
      </c>
      <c r="BG428" s="52">
        <f t="shared" si="204"/>
        <v>1</v>
      </c>
      <c r="BH428" s="52">
        <f t="shared" si="204"/>
        <v>1</v>
      </c>
      <c r="BI428" s="52">
        <f t="shared" si="204"/>
        <v>1</v>
      </c>
      <c r="BJ428" s="52">
        <f t="shared" si="204"/>
        <v>1</v>
      </c>
      <c r="BK428" s="52">
        <f t="shared" si="204"/>
        <v>1</v>
      </c>
      <c r="BL428" s="52">
        <f t="shared" si="204"/>
        <v>1</v>
      </c>
      <c r="BM428" s="52">
        <f t="shared" si="204"/>
        <v>1</v>
      </c>
      <c r="BN428" s="52">
        <f t="shared" si="204"/>
        <v>1</v>
      </c>
      <c r="BO428" s="32">
        <f t="shared" si="192"/>
        <v>0.40254237288135591</v>
      </c>
    </row>
    <row r="429" spans="1:67" ht="24" x14ac:dyDescent="0.2">
      <c r="A429" s="50" t="s">
        <v>866</v>
      </c>
      <c r="B429" s="50" t="s">
        <v>867</v>
      </c>
      <c r="C429" s="50" t="s">
        <v>61</v>
      </c>
      <c r="D429" s="51">
        <f>VLOOKUP(A429,'[1]Cuadro Control'!C469:J2359,8,FALSE)</f>
        <v>46410609.014634147</v>
      </c>
      <c r="E429" s="52">
        <f t="shared" si="201"/>
        <v>8.742083556535862E-3</v>
      </c>
      <c r="F429" s="53">
        <v>46459</v>
      </c>
      <c r="G429" s="53">
        <v>46462</v>
      </c>
      <c r="H429" s="52">
        <f t="shared" si="205"/>
        <v>0</v>
      </c>
      <c r="I429" s="52">
        <f t="shared" si="205"/>
        <v>0</v>
      </c>
      <c r="J429" s="52">
        <f t="shared" si="205"/>
        <v>0</v>
      </c>
      <c r="K429" s="52">
        <f t="shared" si="205"/>
        <v>0</v>
      </c>
      <c r="L429" s="52">
        <f t="shared" si="205"/>
        <v>0</v>
      </c>
      <c r="M429" s="52">
        <f t="shared" si="205"/>
        <v>0</v>
      </c>
      <c r="N429" s="52">
        <f t="shared" si="205"/>
        <v>0</v>
      </c>
      <c r="O429" s="52">
        <f t="shared" si="205"/>
        <v>0</v>
      </c>
      <c r="P429" s="52">
        <f t="shared" si="205"/>
        <v>0</v>
      </c>
      <c r="Q429" s="52">
        <f t="shared" si="205"/>
        <v>0</v>
      </c>
      <c r="R429" s="52">
        <f t="shared" si="205"/>
        <v>0</v>
      </c>
      <c r="S429" s="52">
        <f t="shared" si="205"/>
        <v>0</v>
      </c>
      <c r="T429" s="52">
        <f t="shared" si="205"/>
        <v>0</v>
      </c>
      <c r="U429" s="52">
        <f t="shared" si="205"/>
        <v>0</v>
      </c>
      <c r="V429" s="52">
        <f t="shared" si="205"/>
        <v>0</v>
      </c>
      <c r="W429" s="52">
        <f t="shared" si="205"/>
        <v>0</v>
      </c>
      <c r="X429" s="52">
        <f t="shared" si="206"/>
        <v>0</v>
      </c>
      <c r="Y429" s="52">
        <f t="shared" si="206"/>
        <v>0</v>
      </c>
      <c r="Z429" s="52">
        <f t="shared" si="206"/>
        <v>0</v>
      </c>
      <c r="AA429" s="52">
        <f t="shared" si="206"/>
        <v>0</v>
      </c>
      <c r="AB429" s="52">
        <f t="shared" si="206"/>
        <v>0</v>
      </c>
      <c r="AC429" s="52">
        <f t="shared" si="206"/>
        <v>0</v>
      </c>
      <c r="AD429" s="52">
        <f t="shared" si="206"/>
        <v>0</v>
      </c>
      <c r="AE429" s="52">
        <f t="shared" si="206"/>
        <v>0</v>
      </c>
      <c r="AF429" s="52">
        <f t="shared" si="206"/>
        <v>0</v>
      </c>
      <c r="AG429" s="52">
        <f t="shared" si="206"/>
        <v>0</v>
      </c>
      <c r="AH429" s="52">
        <f t="shared" si="206"/>
        <v>0</v>
      </c>
      <c r="AI429" s="52">
        <f t="shared" si="206"/>
        <v>0</v>
      </c>
      <c r="AJ429" s="52">
        <f t="shared" si="206"/>
        <v>0</v>
      </c>
      <c r="AK429" s="52">
        <f t="shared" si="206"/>
        <v>0</v>
      </c>
      <c r="AL429" s="52">
        <f t="shared" si="206"/>
        <v>0</v>
      </c>
      <c r="AM429" s="52">
        <f t="shared" si="206"/>
        <v>0</v>
      </c>
      <c r="AN429" s="52">
        <f t="shared" si="206"/>
        <v>0</v>
      </c>
      <c r="AO429" s="52">
        <f t="shared" si="203"/>
        <v>0</v>
      </c>
      <c r="AP429" s="52">
        <f t="shared" si="203"/>
        <v>0</v>
      </c>
      <c r="AQ429" s="52">
        <f t="shared" si="203"/>
        <v>0</v>
      </c>
      <c r="AR429" s="52">
        <f t="shared" si="203"/>
        <v>1</v>
      </c>
      <c r="AS429" s="52">
        <f t="shared" si="203"/>
        <v>1</v>
      </c>
      <c r="AT429" s="52">
        <f t="shared" si="203"/>
        <v>1</v>
      </c>
      <c r="AU429" s="52">
        <f t="shared" si="203"/>
        <v>1</v>
      </c>
      <c r="AV429" s="52">
        <f t="shared" si="203"/>
        <v>1</v>
      </c>
      <c r="AW429" s="52">
        <f t="shared" si="203"/>
        <v>1</v>
      </c>
      <c r="AX429" s="52">
        <f t="shared" si="203"/>
        <v>1</v>
      </c>
      <c r="AY429" s="52">
        <f t="shared" si="203"/>
        <v>1</v>
      </c>
      <c r="AZ429" s="52">
        <f t="shared" si="203"/>
        <v>1</v>
      </c>
      <c r="BA429" s="52">
        <f t="shared" si="203"/>
        <v>1</v>
      </c>
      <c r="BB429" s="52">
        <f t="shared" si="203"/>
        <v>1</v>
      </c>
      <c r="BC429" s="52">
        <f t="shared" si="203"/>
        <v>1</v>
      </c>
      <c r="BD429" s="52">
        <f t="shared" si="203"/>
        <v>1</v>
      </c>
      <c r="BE429" s="52">
        <f t="shared" si="203"/>
        <v>1</v>
      </c>
      <c r="BF429" s="52">
        <f t="shared" si="203"/>
        <v>1</v>
      </c>
      <c r="BG429" s="52">
        <f t="shared" si="204"/>
        <v>1</v>
      </c>
      <c r="BH429" s="52">
        <f t="shared" si="204"/>
        <v>1</v>
      </c>
      <c r="BI429" s="52">
        <f t="shared" si="204"/>
        <v>1</v>
      </c>
      <c r="BJ429" s="52">
        <f t="shared" si="204"/>
        <v>1</v>
      </c>
      <c r="BK429" s="52">
        <f t="shared" si="204"/>
        <v>1</v>
      </c>
      <c r="BL429" s="52">
        <f t="shared" si="204"/>
        <v>1</v>
      </c>
      <c r="BM429" s="52">
        <f t="shared" si="204"/>
        <v>1</v>
      </c>
      <c r="BN429" s="52">
        <f t="shared" si="204"/>
        <v>1</v>
      </c>
      <c r="BO429" s="32">
        <f t="shared" si="192"/>
        <v>0.38983050847457629</v>
      </c>
    </row>
    <row r="430" spans="1:67" ht="24" x14ac:dyDescent="0.2">
      <c r="A430" s="50" t="s">
        <v>868</v>
      </c>
      <c r="B430" s="50" t="s">
        <v>869</v>
      </c>
      <c r="C430" s="50" t="s">
        <v>61</v>
      </c>
      <c r="D430" s="51">
        <f>VLOOKUP(A430,'[1]Cuadro Control'!C470:J2360,8,FALSE)</f>
        <v>1587346329.5488234</v>
      </c>
      <c r="E430" s="52">
        <f t="shared" si="201"/>
        <v>0.29899875353285565</v>
      </c>
      <c r="F430" s="53">
        <v>46459</v>
      </c>
      <c r="G430" s="53">
        <v>46473</v>
      </c>
      <c r="H430" s="52">
        <f t="shared" si="205"/>
        <v>0</v>
      </c>
      <c r="I430" s="52">
        <f t="shared" si="205"/>
        <v>0</v>
      </c>
      <c r="J430" s="52">
        <f t="shared" si="205"/>
        <v>0</v>
      </c>
      <c r="K430" s="52">
        <f t="shared" si="205"/>
        <v>0</v>
      </c>
      <c r="L430" s="52">
        <f t="shared" si="205"/>
        <v>0</v>
      </c>
      <c r="M430" s="52">
        <f t="shared" si="205"/>
        <v>0</v>
      </c>
      <c r="N430" s="52">
        <f t="shared" si="205"/>
        <v>0</v>
      </c>
      <c r="O430" s="52">
        <f t="shared" si="205"/>
        <v>0</v>
      </c>
      <c r="P430" s="52">
        <f t="shared" si="205"/>
        <v>0</v>
      </c>
      <c r="Q430" s="52">
        <f t="shared" si="205"/>
        <v>0</v>
      </c>
      <c r="R430" s="52">
        <f t="shared" si="205"/>
        <v>0</v>
      </c>
      <c r="S430" s="52">
        <f t="shared" si="205"/>
        <v>0</v>
      </c>
      <c r="T430" s="52">
        <f t="shared" si="205"/>
        <v>0</v>
      </c>
      <c r="U430" s="52">
        <f t="shared" si="205"/>
        <v>0</v>
      </c>
      <c r="V430" s="52">
        <f t="shared" si="205"/>
        <v>0</v>
      </c>
      <c r="W430" s="52">
        <f t="shared" si="205"/>
        <v>0</v>
      </c>
      <c r="X430" s="52">
        <f t="shared" si="206"/>
        <v>0</v>
      </c>
      <c r="Y430" s="52">
        <f t="shared" si="206"/>
        <v>0</v>
      </c>
      <c r="Z430" s="52">
        <f t="shared" si="206"/>
        <v>0</v>
      </c>
      <c r="AA430" s="52">
        <f t="shared" si="206"/>
        <v>0</v>
      </c>
      <c r="AB430" s="52">
        <f t="shared" si="206"/>
        <v>0</v>
      </c>
      <c r="AC430" s="52">
        <f t="shared" si="206"/>
        <v>0</v>
      </c>
      <c r="AD430" s="52">
        <f t="shared" si="206"/>
        <v>0</v>
      </c>
      <c r="AE430" s="52">
        <f t="shared" si="206"/>
        <v>0</v>
      </c>
      <c r="AF430" s="52">
        <f t="shared" si="206"/>
        <v>0</v>
      </c>
      <c r="AG430" s="52">
        <f t="shared" si="206"/>
        <v>0</v>
      </c>
      <c r="AH430" s="52">
        <f t="shared" si="206"/>
        <v>0</v>
      </c>
      <c r="AI430" s="52">
        <f t="shared" si="206"/>
        <v>0</v>
      </c>
      <c r="AJ430" s="52">
        <f t="shared" si="206"/>
        <v>0</v>
      </c>
      <c r="AK430" s="52">
        <f t="shared" si="206"/>
        <v>0</v>
      </c>
      <c r="AL430" s="52">
        <f t="shared" si="206"/>
        <v>0</v>
      </c>
      <c r="AM430" s="52">
        <f t="shared" si="206"/>
        <v>0</v>
      </c>
      <c r="AN430" s="52">
        <f t="shared" si="206"/>
        <v>0</v>
      </c>
      <c r="AO430" s="52">
        <f t="shared" si="203"/>
        <v>0</v>
      </c>
      <c r="AP430" s="52">
        <f t="shared" si="203"/>
        <v>0</v>
      </c>
      <c r="AQ430" s="52">
        <f t="shared" si="203"/>
        <v>0</v>
      </c>
      <c r="AR430" s="52">
        <f t="shared" si="203"/>
        <v>0.46666666666666667</v>
      </c>
      <c r="AS430" s="52">
        <f t="shared" si="203"/>
        <v>0.93333333333333335</v>
      </c>
      <c r="AT430" s="52">
        <f t="shared" si="203"/>
        <v>1</v>
      </c>
      <c r="AU430" s="52">
        <f t="shared" si="203"/>
        <v>1</v>
      </c>
      <c r="AV430" s="52">
        <f t="shared" si="203"/>
        <v>1</v>
      </c>
      <c r="AW430" s="52">
        <f t="shared" si="203"/>
        <v>1</v>
      </c>
      <c r="AX430" s="52">
        <f t="shared" si="203"/>
        <v>1</v>
      </c>
      <c r="AY430" s="52">
        <f t="shared" si="203"/>
        <v>1</v>
      </c>
      <c r="AZ430" s="52">
        <f t="shared" si="203"/>
        <v>1</v>
      </c>
      <c r="BA430" s="52">
        <f t="shared" si="203"/>
        <v>1</v>
      </c>
      <c r="BB430" s="52">
        <f t="shared" si="203"/>
        <v>1</v>
      </c>
      <c r="BC430" s="52">
        <f t="shared" si="203"/>
        <v>1</v>
      </c>
      <c r="BD430" s="52">
        <f t="shared" si="203"/>
        <v>1</v>
      </c>
      <c r="BE430" s="52">
        <f t="shared" si="203"/>
        <v>1</v>
      </c>
      <c r="BF430" s="52">
        <f t="shared" si="203"/>
        <v>1</v>
      </c>
      <c r="BG430" s="52">
        <f t="shared" si="204"/>
        <v>1</v>
      </c>
      <c r="BH430" s="52">
        <f t="shared" si="204"/>
        <v>1</v>
      </c>
      <c r="BI430" s="52">
        <f t="shared" si="204"/>
        <v>1</v>
      </c>
      <c r="BJ430" s="52">
        <f t="shared" si="204"/>
        <v>1</v>
      </c>
      <c r="BK430" s="52">
        <f t="shared" si="204"/>
        <v>1</v>
      </c>
      <c r="BL430" s="52">
        <f t="shared" si="204"/>
        <v>1</v>
      </c>
      <c r="BM430" s="52">
        <f t="shared" si="204"/>
        <v>1</v>
      </c>
      <c r="BN430" s="52">
        <f t="shared" si="204"/>
        <v>1</v>
      </c>
      <c r="BO430" s="32">
        <f t="shared" si="192"/>
        <v>0.3796610169491525</v>
      </c>
    </row>
    <row r="431" spans="1:67" ht="30" x14ac:dyDescent="0.2">
      <c r="A431" s="46" t="s">
        <v>870</v>
      </c>
      <c r="B431" s="46" t="s">
        <v>871</v>
      </c>
      <c r="C431" s="46" t="s">
        <v>61</v>
      </c>
      <c r="D431" s="47">
        <f>VLOOKUP(A431,'[1]Cuadro Control'!C471:J2361,8,FALSE)</f>
        <v>179532477.23999998</v>
      </c>
      <c r="E431" s="48">
        <f t="shared" si="201"/>
        <v>3.3817438522495219E-2</v>
      </c>
      <c r="F431" s="49">
        <v>46462</v>
      </c>
      <c r="G431" s="49">
        <v>46477</v>
      </c>
      <c r="H431" s="48">
        <f t="shared" si="205"/>
        <v>0</v>
      </c>
      <c r="I431" s="48">
        <f t="shared" si="205"/>
        <v>0</v>
      </c>
      <c r="J431" s="48">
        <f t="shared" si="205"/>
        <v>0</v>
      </c>
      <c r="K431" s="48">
        <f t="shared" si="205"/>
        <v>0</v>
      </c>
      <c r="L431" s="48">
        <f t="shared" si="205"/>
        <v>0</v>
      </c>
      <c r="M431" s="48">
        <f t="shared" si="205"/>
        <v>0</v>
      </c>
      <c r="N431" s="48">
        <f t="shared" si="205"/>
        <v>0</v>
      </c>
      <c r="O431" s="48">
        <f t="shared" si="205"/>
        <v>0</v>
      </c>
      <c r="P431" s="48">
        <f t="shared" si="205"/>
        <v>0</v>
      </c>
      <c r="Q431" s="48">
        <f t="shared" si="205"/>
        <v>0</v>
      </c>
      <c r="R431" s="48">
        <f t="shared" si="205"/>
        <v>0</v>
      </c>
      <c r="S431" s="48">
        <f t="shared" si="205"/>
        <v>0</v>
      </c>
      <c r="T431" s="48">
        <f t="shared" si="205"/>
        <v>0</v>
      </c>
      <c r="U431" s="48">
        <f t="shared" si="205"/>
        <v>0</v>
      </c>
      <c r="V431" s="48">
        <f t="shared" si="205"/>
        <v>0</v>
      </c>
      <c r="W431" s="48">
        <f t="shared" si="205"/>
        <v>0</v>
      </c>
      <c r="X431" s="48">
        <f t="shared" si="206"/>
        <v>0</v>
      </c>
      <c r="Y431" s="48">
        <f t="shared" si="206"/>
        <v>0</v>
      </c>
      <c r="Z431" s="48">
        <f t="shared" si="206"/>
        <v>0</v>
      </c>
      <c r="AA431" s="48">
        <f t="shared" si="206"/>
        <v>0</v>
      </c>
      <c r="AB431" s="48">
        <f t="shared" si="206"/>
        <v>0</v>
      </c>
      <c r="AC431" s="48">
        <f t="shared" si="206"/>
        <v>0</v>
      </c>
      <c r="AD431" s="48">
        <f t="shared" si="206"/>
        <v>0</v>
      </c>
      <c r="AE431" s="48">
        <f t="shared" si="206"/>
        <v>0</v>
      </c>
      <c r="AF431" s="48">
        <f t="shared" si="206"/>
        <v>0</v>
      </c>
      <c r="AG431" s="48">
        <f t="shared" si="206"/>
        <v>0</v>
      </c>
      <c r="AH431" s="48">
        <f t="shared" si="206"/>
        <v>0</v>
      </c>
      <c r="AI431" s="48">
        <f t="shared" si="206"/>
        <v>0</v>
      </c>
      <c r="AJ431" s="48">
        <f t="shared" si="206"/>
        <v>0</v>
      </c>
      <c r="AK431" s="48">
        <f t="shared" si="206"/>
        <v>0</v>
      </c>
      <c r="AL431" s="48">
        <f t="shared" si="206"/>
        <v>0</v>
      </c>
      <c r="AM431" s="48">
        <f t="shared" si="206"/>
        <v>0</v>
      </c>
      <c r="AN431" s="48">
        <f t="shared" si="206"/>
        <v>0</v>
      </c>
      <c r="AO431" s="48">
        <f t="shared" si="203"/>
        <v>0</v>
      </c>
      <c r="AP431" s="48">
        <f t="shared" si="203"/>
        <v>0</v>
      </c>
      <c r="AQ431" s="48">
        <f t="shared" si="203"/>
        <v>0</v>
      </c>
      <c r="AR431" s="48">
        <f t="shared" si="203"/>
        <v>0.25</v>
      </c>
      <c r="AS431" s="48">
        <f t="shared" si="203"/>
        <v>0.6875</v>
      </c>
      <c r="AT431" s="48">
        <f t="shared" si="203"/>
        <v>1</v>
      </c>
      <c r="AU431" s="48">
        <f t="shared" si="203"/>
        <v>1</v>
      </c>
      <c r="AV431" s="48">
        <f t="shared" si="203"/>
        <v>1</v>
      </c>
      <c r="AW431" s="48">
        <f t="shared" si="203"/>
        <v>1</v>
      </c>
      <c r="AX431" s="48">
        <f t="shared" si="203"/>
        <v>1</v>
      </c>
      <c r="AY431" s="48">
        <f t="shared" si="203"/>
        <v>1</v>
      </c>
      <c r="AZ431" s="48">
        <f t="shared" si="203"/>
        <v>1</v>
      </c>
      <c r="BA431" s="48">
        <f t="shared" si="203"/>
        <v>1</v>
      </c>
      <c r="BB431" s="48">
        <f t="shared" si="203"/>
        <v>1</v>
      </c>
      <c r="BC431" s="48">
        <f t="shared" si="203"/>
        <v>1</v>
      </c>
      <c r="BD431" s="48">
        <f t="shared" si="203"/>
        <v>1</v>
      </c>
      <c r="BE431" s="48">
        <f t="shared" si="203"/>
        <v>1</v>
      </c>
      <c r="BF431" s="48">
        <f t="shared" si="203"/>
        <v>1</v>
      </c>
      <c r="BG431" s="48">
        <f t="shared" si="204"/>
        <v>1</v>
      </c>
      <c r="BH431" s="48">
        <f t="shared" si="204"/>
        <v>1</v>
      </c>
      <c r="BI431" s="48">
        <f t="shared" si="204"/>
        <v>1</v>
      </c>
      <c r="BJ431" s="48">
        <f t="shared" si="204"/>
        <v>1</v>
      </c>
      <c r="BK431" s="48">
        <f t="shared" si="204"/>
        <v>1</v>
      </c>
      <c r="BL431" s="48">
        <f t="shared" si="204"/>
        <v>1</v>
      </c>
      <c r="BM431" s="48">
        <f t="shared" si="204"/>
        <v>1</v>
      </c>
      <c r="BN431" s="48">
        <f t="shared" si="204"/>
        <v>1</v>
      </c>
      <c r="BO431" s="32">
        <f t="shared" si="192"/>
        <v>0.37182203389830509</v>
      </c>
    </row>
    <row r="432" spans="1:67" ht="24" x14ac:dyDescent="0.2">
      <c r="A432" s="55" t="s">
        <v>872</v>
      </c>
      <c r="B432" s="55" t="s">
        <v>873</v>
      </c>
      <c r="C432" s="55" t="s">
        <v>14</v>
      </c>
      <c r="D432" s="56">
        <f>VLOOKUP(A432,'[1]Cuadro Control'!C472:J2362,8,FALSE)</f>
        <v>0</v>
      </c>
      <c r="E432" s="57">
        <f>IFERROR(D432/$D$416,0)</f>
        <v>0</v>
      </c>
      <c r="F432" s="58">
        <v>46477</v>
      </c>
      <c r="G432" s="58">
        <v>46477</v>
      </c>
      <c r="H432" s="57">
        <f t="shared" si="205"/>
        <v>0</v>
      </c>
      <c r="I432" s="57">
        <f t="shared" si="205"/>
        <v>0</v>
      </c>
      <c r="J432" s="57">
        <f t="shared" si="205"/>
        <v>0</v>
      </c>
      <c r="K432" s="57">
        <f t="shared" si="205"/>
        <v>0</v>
      </c>
      <c r="L432" s="57">
        <f t="shared" si="205"/>
        <v>0</v>
      </c>
      <c r="M432" s="57">
        <f t="shared" si="205"/>
        <v>0</v>
      </c>
      <c r="N432" s="57">
        <f t="shared" si="205"/>
        <v>0</v>
      </c>
      <c r="O432" s="57">
        <f t="shared" si="205"/>
        <v>0</v>
      </c>
      <c r="P432" s="57">
        <f t="shared" si="205"/>
        <v>0</v>
      </c>
      <c r="Q432" s="57">
        <f t="shared" si="205"/>
        <v>0</v>
      </c>
      <c r="R432" s="57">
        <f t="shared" si="205"/>
        <v>0</v>
      </c>
      <c r="S432" s="57">
        <f t="shared" si="205"/>
        <v>0</v>
      </c>
      <c r="T432" s="57">
        <f t="shared" si="205"/>
        <v>0</v>
      </c>
      <c r="U432" s="57">
        <f t="shared" si="205"/>
        <v>0</v>
      </c>
      <c r="V432" s="57">
        <f t="shared" si="205"/>
        <v>0</v>
      </c>
      <c r="W432" s="57">
        <f t="shared" si="205"/>
        <v>0</v>
      </c>
      <c r="X432" s="57">
        <f t="shared" si="206"/>
        <v>0</v>
      </c>
      <c r="Y432" s="57">
        <f t="shared" si="206"/>
        <v>0</v>
      </c>
      <c r="Z432" s="57">
        <f t="shared" si="206"/>
        <v>0</v>
      </c>
      <c r="AA432" s="57">
        <f t="shared" si="206"/>
        <v>0</v>
      </c>
      <c r="AB432" s="57">
        <f t="shared" si="206"/>
        <v>0</v>
      </c>
      <c r="AC432" s="57">
        <f t="shared" si="206"/>
        <v>0</v>
      </c>
      <c r="AD432" s="57">
        <f t="shared" si="206"/>
        <v>0</v>
      </c>
      <c r="AE432" s="57">
        <f t="shared" si="206"/>
        <v>0</v>
      </c>
      <c r="AF432" s="57">
        <f t="shared" si="206"/>
        <v>0</v>
      </c>
      <c r="AG432" s="57">
        <f t="shared" si="206"/>
        <v>0</v>
      </c>
      <c r="AH432" s="57">
        <f t="shared" si="206"/>
        <v>0</v>
      </c>
      <c r="AI432" s="57">
        <f t="shared" si="206"/>
        <v>0</v>
      </c>
      <c r="AJ432" s="57">
        <f t="shared" si="206"/>
        <v>0</v>
      </c>
      <c r="AK432" s="57">
        <f t="shared" si="206"/>
        <v>0</v>
      </c>
      <c r="AL432" s="57">
        <f t="shared" si="206"/>
        <v>0</v>
      </c>
      <c r="AM432" s="57">
        <f t="shared" si="206"/>
        <v>0</v>
      </c>
      <c r="AN432" s="57">
        <f t="shared" si="206"/>
        <v>0</v>
      </c>
      <c r="AO432" s="57">
        <f t="shared" si="206"/>
        <v>0</v>
      </c>
      <c r="AP432" s="57">
        <f t="shared" si="206"/>
        <v>0</v>
      </c>
      <c r="AQ432" s="57">
        <f t="shared" si="206"/>
        <v>0</v>
      </c>
      <c r="AR432" s="57">
        <f t="shared" si="206"/>
        <v>0</v>
      </c>
      <c r="AS432" s="57">
        <f t="shared" si="206"/>
        <v>0</v>
      </c>
      <c r="AT432" s="57">
        <f t="shared" si="206"/>
        <v>1</v>
      </c>
      <c r="AU432" s="57">
        <f t="shared" si="206"/>
        <v>1</v>
      </c>
      <c r="AV432" s="57">
        <f t="shared" si="206"/>
        <v>1</v>
      </c>
      <c r="AW432" s="57">
        <f t="shared" si="206"/>
        <v>1</v>
      </c>
      <c r="AX432" s="57">
        <f t="shared" si="206"/>
        <v>1</v>
      </c>
      <c r="AY432" s="57">
        <f t="shared" si="206"/>
        <v>1</v>
      </c>
      <c r="AZ432" s="57">
        <f t="shared" si="206"/>
        <v>1</v>
      </c>
      <c r="BA432" s="57">
        <f t="shared" si="206"/>
        <v>1</v>
      </c>
      <c r="BB432" s="57">
        <f t="shared" si="206"/>
        <v>1</v>
      </c>
      <c r="BC432" s="57">
        <f t="shared" si="206"/>
        <v>1</v>
      </c>
      <c r="BD432" s="57">
        <f t="shared" si="203"/>
        <v>1</v>
      </c>
      <c r="BE432" s="57">
        <f t="shared" si="203"/>
        <v>1</v>
      </c>
      <c r="BF432" s="57">
        <f t="shared" si="203"/>
        <v>1</v>
      </c>
      <c r="BG432" s="57">
        <f t="shared" si="204"/>
        <v>1</v>
      </c>
      <c r="BH432" s="57">
        <f t="shared" si="204"/>
        <v>1</v>
      </c>
      <c r="BI432" s="57">
        <f t="shared" si="204"/>
        <v>1</v>
      </c>
      <c r="BJ432" s="57">
        <f t="shared" si="204"/>
        <v>1</v>
      </c>
      <c r="BK432" s="57">
        <f t="shared" si="204"/>
        <v>1</v>
      </c>
      <c r="BL432" s="57">
        <f t="shared" si="204"/>
        <v>1</v>
      </c>
      <c r="BM432" s="57">
        <f t="shared" si="204"/>
        <v>1</v>
      </c>
      <c r="BN432" s="57">
        <f t="shared" si="204"/>
        <v>1</v>
      </c>
      <c r="BO432" s="32">
        <f t="shared" si="192"/>
        <v>0.3559322033898305</v>
      </c>
    </row>
    <row r="433" spans="1:67" x14ac:dyDescent="0.2">
      <c r="A433" s="42" t="s">
        <v>874</v>
      </c>
      <c r="B433" s="42" t="s">
        <v>875</v>
      </c>
      <c r="C433" s="42" t="s">
        <v>467</v>
      </c>
      <c r="D433" s="43">
        <f>SUM(D434:D449)</f>
        <v>5308872732.0543728</v>
      </c>
      <c r="E433" s="44">
        <f>IFERROR(D433/$D$109,0)</f>
        <v>2.9408554574576196E-2</v>
      </c>
      <c r="F433" s="45">
        <v>46244</v>
      </c>
      <c r="G433" s="45">
        <v>46485</v>
      </c>
      <c r="H433" s="44">
        <f>SUMPRODUCT($E434:$E448,H434:H448)</f>
        <v>0</v>
      </c>
      <c r="I433" s="44">
        <f t="shared" ref="I433:BN433" si="207">SUMPRODUCT($E434:$E448,I434:I448)</f>
        <v>0</v>
      </c>
      <c r="J433" s="44">
        <f t="shared" si="207"/>
        <v>0</v>
      </c>
      <c r="K433" s="44">
        <f t="shared" si="207"/>
        <v>0</v>
      </c>
      <c r="L433" s="44">
        <f t="shared" si="207"/>
        <v>0</v>
      </c>
      <c r="M433" s="44">
        <f t="shared" si="207"/>
        <v>4.5863736374223346E-4</v>
      </c>
      <c r="N433" s="44">
        <f t="shared" si="207"/>
        <v>1.1007296729813603E-3</v>
      </c>
      <c r="O433" s="44">
        <f t="shared" si="207"/>
        <v>1.7428219822204871E-3</v>
      </c>
      <c r="P433" s="44">
        <f t="shared" si="207"/>
        <v>2.384914291459614E-3</v>
      </c>
      <c r="Q433" s="44">
        <f t="shared" si="207"/>
        <v>3.0270066006987408E-3</v>
      </c>
      <c r="R433" s="44">
        <f t="shared" si="207"/>
        <v>3.6690989099378677E-3</v>
      </c>
      <c r="S433" s="44">
        <f t="shared" si="207"/>
        <v>4.3111912191769941E-3</v>
      </c>
      <c r="T433" s="44">
        <f t="shared" si="207"/>
        <v>4.9532835284161209E-3</v>
      </c>
      <c r="U433" s="44">
        <f t="shared" si="207"/>
        <v>5.5953758376552478E-3</v>
      </c>
      <c r="V433" s="44">
        <f t="shared" si="207"/>
        <v>6.2374681468943746E-3</v>
      </c>
      <c r="W433" s="44">
        <f t="shared" si="207"/>
        <v>6.8795604561335015E-3</v>
      </c>
      <c r="X433" s="44">
        <f t="shared" si="207"/>
        <v>7.5216527653726283E-3</v>
      </c>
      <c r="Y433" s="44">
        <f t="shared" si="207"/>
        <v>8.163745074611756E-3</v>
      </c>
      <c r="Z433" s="44">
        <f t="shared" si="207"/>
        <v>8.805837383850882E-3</v>
      </c>
      <c r="AA433" s="44">
        <f t="shared" si="207"/>
        <v>9.4479296930900097E-3</v>
      </c>
      <c r="AB433" s="44">
        <f t="shared" si="207"/>
        <v>1.0090022002329136E-2</v>
      </c>
      <c r="AC433" s="44">
        <f t="shared" si="207"/>
        <v>1.0732114311568263E-2</v>
      </c>
      <c r="AD433" s="44">
        <f t="shared" si="207"/>
        <v>1.1374206620807389E-2</v>
      </c>
      <c r="AE433" s="44">
        <f t="shared" si="207"/>
        <v>1.2016298930046517E-2</v>
      </c>
      <c r="AF433" s="44">
        <f t="shared" si="207"/>
        <v>1.2658391239285643E-2</v>
      </c>
      <c r="AG433" s="44">
        <f t="shared" si="207"/>
        <v>1.3300483548524771E-2</v>
      </c>
      <c r="AH433" s="44">
        <f t="shared" si="207"/>
        <v>1.3942575857763897E-2</v>
      </c>
      <c r="AI433" s="44">
        <f t="shared" si="207"/>
        <v>1.4584668167003025E-2</v>
      </c>
      <c r="AJ433" s="44">
        <f t="shared" si="207"/>
        <v>1.5226760476242151E-2</v>
      </c>
      <c r="AK433" s="44">
        <f t="shared" si="207"/>
        <v>3.7750428504315078E-2</v>
      </c>
      <c r="AL433" s="44">
        <f t="shared" si="207"/>
        <v>7.5871503452362876E-2</v>
      </c>
      <c r="AM433" s="44">
        <f t="shared" si="207"/>
        <v>0.15928166097601784</v>
      </c>
      <c r="AN433" s="44">
        <f t="shared" si="207"/>
        <v>0.2168042746368922</v>
      </c>
      <c r="AO433" s="44">
        <f t="shared" si="207"/>
        <v>0.31673560607132478</v>
      </c>
      <c r="AP433" s="44">
        <f t="shared" si="207"/>
        <v>0.41666693750575734</v>
      </c>
      <c r="AQ433" s="44">
        <f t="shared" si="207"/>
        <v>0.64850810003989967</v>
      </c>
      <c r="AR433" s="44">
        <f t="shared" si="207"/>
        <v>0.65595831830105988</v>
      </c>
      <c r="AS433" s="44">
        <f t="shared" si="207"/>
        <v>0.81305732931628294</v>
      </c>
      <c r="AT433" s="44">
        <f t="shared" si="207"/>
        <v>0.96738521031854063</v>
      </c>
      <c r="AU433" s="44">
        <f t="shared" si="207"/>
        <v>1</v>
      </c>
      <c r="AV433" s="44">
        <f t="shared" si="207"/>
        <v>1</v>
      </c>
      <c r="AW433" s="44">
        <f t="shared" si="207"/>
        <v>1</v>
      </c>
      <c r="AX433" s="44">
        <f t="shared" si="207"/>
        <v>1</v>
      </c>
      <c r="AY433" s="44">
        <f t="shared" si="207"/>
        <v>1</v>
      </c>
      <c r="AZ433" s="44">
        <f t="shared" si="207"/>
        <v>1</v>
      </c>
      <c r="BA433" s="44">
        <f t="shared" si="207"/>
        <v>1</v>
      </c>
      <c r="BB433" s="44">
        <f t="shared" si="207"/>
        <v>1</v>
      </c>
      <c r="BC433" s="44">
        <f t="shared" si="207"/>
        <v>1</v>
      </c>
      <c r="BD433" s="44">
        <f t="shared" si="207"/>
        <v>1</v>
      </c>
      <c r="BE433" s="44">
        <f t="shared" si="207"/>
        <v>1</v>
      </c>
      <c r="BF433" s="44">
        <f t="shared" si="207"/>
        <v>1</v>
      </c>
      <c r="BG433" s="44">
        <f t="shared" si="207"/>
        <v>1</v>
      </c>
      <c r="BH433" s="44">
        <f t="shared" si="207"/>
        <v>1</v>
      </c>
      <c r="BI433" s="44">
        <f t="shared" si="207"/>
        <v>1</v>
      </c>
      <c r="BJ433" s="44">
        <f t="shared" si="207"/>
        <v>1</v>
      </c>
      <c r="BK433" s="44">
        <f t="shared" si="207"/>
        <v>1</v>
      </c>
      <c r="BL433" s="44">
        <f t="shared" si="207"/>
        <v>1</v>
      </c>
      <c r="BM433" s="44">
        <f t="shared" si="207"/>
        <v>1</v>
      </c>
      <c r="BN433" s="44">
        <f t="shared" si="207"/>
        <v>1</v>
      </c>
      <c r="BO433" s="32">
        <f t="shared" si="192"/>
        <v>0.41519057869834347</v>
      </c>
    </row>
    <row r="434" spans="1:67" ht="24" x14ac:dyDescent="0.2">
      <c r="A434" s="50" t="s">
        <v>876</v>
      </c>
      <c r="B434" s="50" t="s">
        <v>877</v>
      </c>
      <c r="C434" s="50" t="s">
        <v>74</v>
      </c>
      <c r="D434" s="51">
        <f>VLOOKUP(A434,'[1]Cuadro Control'!C474:J2364,8,FALSE)</f>
        <v>83271780.884117648</v>
      </c>
      <c r="E434" s="52">
        <f t="shared" ref="E434:E448" si="208">IFERROR(D434/$D$433,0)</f>
        <v>1.5685397839984384E-2</v>
      </c>
      <c r="F434" s="53">
        <v>46244</v>
      </c>
      <c r="G434" s="53">
        <v>46414</v>
      </c>
      <c r="H434" s="52">
        <f t="shared" ref="H434:BN438" si="209">IF($F434=0,0,IF(H$6&lt;$F434,0,IF(H$6&gt;$G434,1,(H$6-$F434+1)/($G434-$F434+1))))</f>
        <v>0</v>
      </c>
      <c r="I434" s="52">
        <f t="shared" si="209"/>
        <v>0</v>
      </c>
      <c r="J434" s="52">
        <f t="shared" si="209"/>
        <v>0</v>
      </c>
      <c r="K434" s="52">
        <f t="shared" si="209"/>
        <v>0</v>
      </c>
      <c r="L434" s="52">
        <f t="shared" si="209"/>
        <v>0</v>
      </c>
      <c r="M434" s="52">
        <f t="shared" si="209"/>
        <v>2.9239766081871343E-2</v>
      </c>
      <c r="N434" s="52">
        <f t="shared" si="209"/>
        <v>7.0175438596491224E-2</v>
      </c>
      <c r="O434" s="52">
        <f t="shared" si="209"/>
        <v>0.1111111111111111</v>
      </c>
      <c r="P434" s="52">
        <f t="shared" si="209"/>
        <v>0.15204678362573099</v>
      </c>
      <c r="Q434" s="52">
        <f t="shared" si="209"/>
        <v>0.19298245614035087</v>
      </c>
      <c r="R434" s="52">
        <f t="shared" si="209"/>
        <v>0.23391812865497075</v>
      </c>
      <c r="S434" s="52">
        <f t="shared" si="209"/>
        <v>0.27485380116959063</v>
      </c>
      <c r="T434" s="52">
        <f t="shared" si="209"/>
        <v>0.31578947368421051</v>
      </c>
      <c r="U434" s="52">
        <f t="shared" si="209"/>
        <v>0.35672514619883039</v>
      </c>
      <c r="V434" s="52">
        <f t="shared" si="209"/>
        <v>0.39766081871345027</v>
      </c>
      <c r="W434" s="52">
        <f t="shared" si="209"/>
        <v>0.43859649122807015</v>
      </c>
      <c r="X434" s="52">
        <f t="shared" si="209"/>
        <v>0.47953216374269003</v>
      </c>
      <c r="Y434" s="52">
        <f t="shared" si="209"/>
        <v>0.52046783625730997</v>
      </c>
      <c r="Z434" s="52">
        <f t="shared" si="209"/>
        <v>0.56140350877192979</v>
      </c>
      <c r="AA434" s="52">
        <f t="shared" si="209"/>
        <v>0.60233918128654973</v>
      </c>
      <c r="AB434" s="52">
        <f t="shared" si="209"/>
        <v>0.64327485380116955</v>
      </c>
      <c r="AC434" s="52">
        <f t="shared" si="209"/>
        <v>0.68421052631578949</v>
      </c>
      <c r="AD434" s="52">
        <f t="shared" si="209"/>
        <v>0.72514619883040932</v>
      </c>
      <c r="AE434" s="52">
        <f t="shared" si="209"/>
        <v>0.76608187134502925</v>
      </c>
      <c r="AF434" s="52">
        <f t="shared" si="209"/>
        <v>0.80701754385964908</v>
      </c>
      <c r="AG434" s="52">
        <f t="shared" si="209"/>
        <v>0.84795321637426901</v>
      </c>
      <c r="AH434" s="52">
        <f t="shared" si="209"/>
        <v>0.88888888888888884</v>
      </c>
      <c r="AI434" s="52">
        <f t="shared" si="209"/>
        <v>0.92982456140350878</v>
      </c>
      <c r="AJ434" s="52">
        <f t="shared" si="209"/>
        <v>0.9707602339181286</v>
      </c>
      <c r="AK434" s="52">
        <f t="shared" si="209"/>
        <v>1</v>
      </c>
      <c r="AL434" s="52">
        <f t="shared" si="209"/>
        <v>1</v>
      </c>
      <c r="AM434" s="52">
        <f t="shared" si="209"/>
        <v>1</v>
      </c>
      <c r="AN434" s="52">
        <f t="shared" si="209"/>
        <v>1</v>
      </c>
      <c r="AO434" s="52">
        <f t="shared" si="209"/>
        <v>1</v>
      </c>
      <c r="AP434" s="52">
        <f t="shared" si="209"/>
        <v>1</v>
      </c>
      <c r="AQ434" s="52">
        <f t="shared" si="209"/>
        <v>1</v>
      </c>
      <c r="AR434" s="52">
        <f t="shared" si="209"/>
        <v>1</v>
      </c>
      <c r="AS434" s="52">
        <f t="shared" si="209"/>
        <v>1</v>
      </c>
      <c r="AT434" s="52">
        <f t="shared" si="209"/>
        <v>1</v>
      </c>
      <c r="AU434" s="52">
        <f t="shared" si="209"/>
        <v>1</v>
      </c>
      <c r="AV434" s="52">
        <f t="shared" si="209"/>
        <v>1</v>
      </c>
      <c r="AW434" s="52">
        <f t="shared" si="209"/>
        <v>1</v>
      </c>
      <c r="AX434" s="52">
        <f t="shared" si="209"/>
        <v>1</v>
      </c>
      <c r="AY434" s="52">
        <f t="shared" si="209"/>
        <v>1</v>
      </c>
      <c r="AZ434" s="52">
        <f t="shared" si="209"/>
        <v>1</v>
      </c>
      <c r="BA434" s="52">
        <f t="shared" si="209"/>
        <v>1</v>
      </c>
      <c r="BB434" s="52">
        <f t="shared" si="209"/>
        <v>1</v>
      </c>
      <c r="BC434" s="52">
        <f t="shared" si="209"/>
        <v>1</v>
      </c>
      <c r="BD434" s="52">
        <f t="shared" si="209"/>
        <v>1</v>
      </c>
      <c r="BE434" s="52">
        <f t="shared" si="209"/>
        <v>1</v>
      </c>
      <c r="BF434" s="52">
        <f t="shared" si="209"/>
        <v>1</v>
      </c>
      <c r="BG434" s="52">
        <f t="shared" si="209"/>
        <v>1</v>
      </c>
      <c r="BH434" s="52">
        <f t="shared" si="209"/>
        <v>1</v>
      </c>
      <c r="BI434" s="52">
        <f t="shared" si="209"/>
        <v>1</v>
      </c>
      <c r="BJ434" s="52">
        <f t="shared" si="209"/>
        <v>1</v>
      </c>
      <c r="BK434" s="52">
        <f t="shared" si="209"/>
        <v>1</v>
      </c>
      <c r="BL434" s="52">
        <f t="shared" si="209"/>
        <v>1</v>
      </c>
      <c r="BM434" s="52">
        <f t="shared" si="209"/>
        <v>1</v>
      </c>
      <c r="BN434" s="52">
        <f t="shared" si="209"/>
        <v>1</v>
      </c>
      <c r="BO434" s="32">
        <f t="shared" si="192"/>
        <v>0.71186440677966101</v>
      </c>
    </row>
    <row r="435" spans="1:67" x14ac:dyDescent="0.2">
      <c r="A435" s="50" t="s">
        <v>878</v>
      </c>
      <c r="B435" s="50" t="s">
        <v>879</v>
      </c>
      <c r="C435" s="50" t="s">
        <v>61</v>
      </c>
      <c r="D435" s="51">
        <f>VLOOKUP(A435,'[1]Cuadro Control'!C475:J2365,8,FALSE)</f>
        <v>312374505.66882348</v>
      </c>
      <c r="E435" s="52">
        <f t="shared" si="208"/>
        <v>5.8840081771548515E-2</v>
      </c>
      <c r="F435" s="53">
        <v>46414</v>
      </c>
      <c r="G435" s="53">
        <v>46421</v>
      </c>
      <c r="H435" s="52">
        <f t="shared" si="209"/>
        <v>0</v>
      </c>
      <c r="I435" s="52">
        <f t="shared" si="209"/>
        <v>0</v>
      </c>
      <c r="J435" s="52">
        <f t="shared" si="209"/>
        <v>0</v>
      </c>
      <c r="K435" s="52">
        <f t="shared" si="209"/>
        <v>0</v>
      </c>
      <c r="L435" s="52">
        <f t="shared" si="209"/>
        <v>0</v>
      </c>
      <c r="M435" s="52">
        <f t="shared" si="209"/>
        <v>0</v>
      </c>
      <c r="N435" s="52">
        <f t="shared" si="209"/>
        <v>0</v>
      </c>
      <c r="O435" s="52">
        <f t="shared" si="209"/>
        <v>0</v>
      </c>
      <c r="P435" s="52">
        <f t="shared" si="209"/>
        <v>0</v>
      </c>
      <c r="Q435" s="52">
        <f t="shared" si="209"/>
        <v>0</v>
      </c>
      <c r="R435" s="52">
        <f t="shared" si="209"/>
        <v>0</v>
      </c>
      <c r="S435" s="52">
        <f t="shared" si="209"/>
        <v>0</v>
      </c>
      <c r="T435" s="52">
        <f t="shared" si="209"/>
        <v>0</v>
      </c>
      <c r="U435" s="52">
        <f t="shared" si="209"/>
        <v>0</v>
      </c>
      <c r="V435" s="52">
        <f t="shared" si="209"/>
        <v>0</v>
      </c>
      <c r="W435" s="52">
        <f t="shared" si="209"/>
        <v>0</v>
      </c>
      <c r="X435" s="52">
        <f t="shared" si="209"/>
        <v>0</v>
      </c>
      <c r="Y435" s="52">
        <f t="shared" si="209"/>
        <v>0</v>
      </c>
      <c r="Z435" s="52">
        <f t="shared" si="209"/>
        <v>0</v>
      </c>
      <c r="AA435" s="52">
        <f t="shared" si="209"/>
        <v>0</v>
      </c>
      <c r="AB435" s="52">
        <f t="shared" si="209"/>
        <v>0</v>
      </c>
      <c r="AC435" s="52">
        <f t="shared" si="209"/>
        <v>0</v>
      </c>
      <c r="AD435" s="52">
        <f t="shared" si="209"/>
        <v>0</v>
      </c>
      <c r="AE435" s="52">
        <f t="shared" si="209"/>
        <v>0</v>
      </c>
      <c r="AF435" s="52">
        <f t="shared" si="209"/>
        <v>0</v>
      </c>
      <c r="AG435" s="52">
        <f t="shared" si="209"/>
        <v>0</v>
      </c>
      <c r="AH435" s="52">
        <f t="shared" si="209"/>
        <v>0</v>
      </c>
      <c r="AI435" s="52">
        <f t="shared" si="209"/>
        <v>0</v>
      </c>
      <c r="AJ435" s="52">
        <f t="shared" si="209"/>
        <v>0</v>
      </c>
      <c r="AK435" s="52">
        <f t="shared" si="209"/>
        <v>0.375</v>
      </c>
      <c r="AL435" s="52">
        <f t="shared" si="209"/>
        <v>1</v>
      </c>
      <c r="AM435" s="52">
        <f t="shared" si="209"/>
        <v>1</v>
      </c>
      <c r="AN435" s="52">
        <f t="shared" si="209"/>
        <v>1</v>
      </c>
      <c r="AO435" s="52">
        <f t="shared" si="209"/>
        <v>1</v>
      </c>
      <c r="AP435" s="52">
        <f t="shared" si="209"/>
        <v>1</v>
      </c>
      <c r="AQ435" s="52">
        <f t="shared" si="209"/>
        <v>1</v>
      </c>
      <c r="AR435" s="52">
        <f t="shared" si="209"/>
        <v>1</v>
      </c>
      <c r="AS435" s="52">
        <f t="shared" si="209"/>
        <v>1</v>
      </c>
      <c r="AT435" s="52">
        <f t="shared" si="209"/>
        <v>1</v>
      </c>
      <c r="AU435" s="52">
        <f t="shared" si="209"/>
        <v>1</v>
      </c>
      <c r="AV435" s="52">
        <f t="shared" si="209"/>
        <v>1</v>
      </c>
      <c r="AW435" s="52">
        <f t="shared" si="209"/>
        <v>1</v>
      </c>
      <c r="AX435" s="52">
        <f t="shared" si="209"/>
        <v>1</v>
      </c>
      <c r="AY435" s="52">
        <f t="shared" si="209"/>
        <v>1</v>
      </c>
      <c r="AZ435" s="52">
        <f t="shared" si="209"/>
        <v>1</v>
      </c>
      <c r="BA435" s="52">
        <f t="shared" si="209"/>
        <v>1</v>
      </c>
      <c r="BB435" s="52">
        <f t="shared" si="209"/>
        <v>1</v>
      </c>
      <c r="BC435" s="52">
        <f t="shared" si="209"/>
        <v>1</v>
      </c>
      <c r="BD435" s="52">
        <f t="shared" si="209"/>
        <v>1</v>
      </c>
      <c r="BE435" s="52">
        <f t="shared" si="209"/>
        <v>1</v>
      </c>
      <c r="BF435" s="52">
        <f t="shared" si="209"/>
        <v>1</v>
      </c>
      <c r="BG435" s="52">
        <f t="shared" si="209"/>
        <v>1</v>
      </c>
      <c r="BH435" s="52">
        <f t="shared" si="209"/>
        <v>1</v>
      </c>
      <c r="BI435" s="52">
        <f t="shared" si="209"/>
        <v>1</v>
      </c>
      <c r="BJ435" s="52">
        <f t="shared" si="209"/>
        <v>1</v>
      </c>
      <c r="BK435" s="52">
        <f t="shared" si="209"/>
        <v>1</v>
      </c>
      <c r="BL435" s="52">
        <f t="shared" si="209"/>
        <v>1</v>
      </c>
      <c r="BM435" s="52">
        <f t="shared" si="209"/>
        <v>1</v>
      </c>
      <c r="BN435" s="52">
        <f t="shared" si="209"/>
        <v>1</v>
      </c>
      <c r="BO435" s="32">
        <f t="shared" si="192"/>
        <v>0.4978813559322034</v>
      </c>
    </row>
    <row r="436" spans="1:67" ht="15" x14ac:dyDescent="0.2">
      <c r="A436" s="46" t="s">
        <v>880</v>
      </c>
      <c r="B436" s="46" t="s">
        <v>881</v>
      </c>
      <c r="C436" s="46" t="s">
        <v>126</v>
      </c>
      <c r="D436" s="47">
        <f>VLOOKUP(A436,'[1]Cuadro Control'!C476:J2366,8,FALSE)</f>
        <v>9527825.6870364472</v>
      </c>
      <c r="E436" s="48">
        <f t="shared" si="208"/>
        <v>1.794698454439963E-3</v>
      </c>
      <c r="F436" s="49">
        <v>46421</v>
      </c>
      <c r="G436" s="49">
        <v>46424</v>
      </c>
      <c r="H436" s="48">
        <f t="shared" si="209"/>
        <v>0</v>
      </c>
      <c r="I436" s="48">
        <f t="shared" si="209"/>
        <v>0</v>
      </c>
      <c r="J436" s="48">
        <f t="shared" si="209"/>
        <v>0</v>
      </c>
      <c r="K436" s="48">
        <f t="shared" si="209"/>
        <v>0</v>
      </c>
      <c r="L436" s="48">
        <f t="shared" si="209"/>
        <v>0</v>
      </c>
      <c r="M436" s="48">
        <f t="shared" si="209"/>
        <v>0</v>
      </c>
      <c r="N436" s="48">
        <f t="shared" si="209"/>
        <v>0</v>
      </c>
      <c r="O436" s="48">
        <f t="shared" si="209"/>
        <v>0</v>
      </c>
      <c r="P436" s="48">
        <f t="shared" si="209"/>
        <v>0</v>
      </c>
      <c r="Q436" s="48">
        <f t="shared" si="209"/>
        <v>0</v>
      </c>
      <c r="R436" s="48">
        <f t="shared" si="209"/>
        <v>0</v>
      </c>
      <c r="S436" s="48">
        <f t="shared" si="209"/>
        <v>0</v>
      </c>
      <c r="T436" s="48">
        <f t="shared" si="209"/>
        <v>0</v>
      </c>
      <c r="U436" s="48">
        <f t="shared" si="209"/>
        <v>0</v>
      </c>
      <c r="V436" s="48">
        <f t="shared" si="209"/>
        <v>0</v>
      </c>
      <c r="W436" s="48">
        <f t="shared" si="209"/>
        <v>0</v>
      </c>
      <c r="X436" s="48">
        <f t="shared" si="209"/>
        <v>0</v>
      </c>
      <c r="Y436" s="48">
        <f t="shared" si="209"/>
        <v>0</v>
      </c>
      <c r="Z436" s="48">
        <f t="shared" si="209"/>
        <v>0</v>
      </c>
      <c r="AA436" s="48">
        <f t="shared" si="209"/>
        <v>0</v>
      </c>
      <c r="AB436" s="48">
        <f t="shared" si="209"/>
        <v>0</v>
      </c>
      <c r="AC436" s="48">
        <f t="shared" si="209"/>
        <v>0</v>
      </c>
      <c r="AD436" s="48">
        <f t="shared" si="209"/>
        <v>0</v>
      </c>
      <c r="AE436" s="48">
        <f t="shared" si="209"/>
        <v>0</v>
      </c>
      <c r="AF436" s="48">
        <f t="shared" si="209"/>
        <v>0</v>
      </c>
      <c r="AG436" s="48">
        <f t="shared" si="209"/>
        <v>0</v>
      </c>
      <c r="AH436" s="48">
        <f t="shared" si="209"/>
        <v>0</v>
      </c>
      <c r="AI436" s="48">
        <f t="shared" si="209"/>
        <v>0</v>
      </c>
      <c r="AJ436" s="48">
        <f t="shared" si="209"/>
        <v>0</v>
      </c>
      <c r="AK436" s="48">
        <f t="shared" si="209"/>
        <v>0</v>
      </c>
      <c r="AL436" s="48">
        <f t="shared" si="209"/>
        <v>0.75</v>
      </c>
      <c r="AM436" s="48">
        <f t="shared" si="209"/>
        <v>1</v>
      </c>
      <c r="AN436" s="48">
        <f t="shared" si="209"/>
        <v>1</v>
      </c>
      <c r="AO436" s="48">
        <f t="shared" si="209"/>
        <v>1</v>
      </c>
      <c r="AP436" s="48">
        <f t="shared" si="209"/>
        <v>1</v>
      </c>
      <c r="AQ436" s="48">
        <f t="shared" si="209"/>
        <v>1</v>
      </c>
      <c r="AR436" s="48">
        <f t="shared" si="209"/>
        <v>1</v>
      </c>
      <c r="AS436" s="48">
        <f t="shared" si="209"/>
        <v>1</v>
      </c>
      <c r="AT436" s="48">
        <f t="shared" si="209"/>
        <v>1</v>
      </c>
      <c r="AU436" s="48">
        <f t="shared" si="209"/>
        <v>1</v>
      </c>
      <c r="AV436" s="48">
        <f t="shared" si="209"/>
        <v>1</v>
      </c>
      <c r="AW436" s="48">
        <f t="shared" si="209"/>
        <v>1</v>
      </c>
      <c r="AX436" s="48">
        <f t="shared" si="209"/>
        <v>1</v>
      </c>
      <c r="AY436" s="48">
        <f t="shared" si="209"/>
        <v>1</v>
      </c>
      <c r="AZ436" s="48">
        <f t="shared" si="209"/>
        <v>1</v>
      </c>
      <c r="BA436" s="48">
        <f t="shared" si="209"/>
        <v>1</v>
      </c>
      <c r="BB436" s="48">
        <f t="shared" si="209"/>
        <v>1</v>
      </c>
      <c r="BC436" s="48">
        <f t="shared" si="209"/>
        <v>1</v>
      </c>
      <c r="BD436" s="48">
        <f t="shared" si="209"/>
        <v>1</v>
      </c>
      <c r="BE436" s="48">
        <f t="shared" si="209"/>
        <v>1</v>
      </c>
      <c r="BF436" s="48">
        <f t="shared" si="209"/>
        <v>1</v>
      </c>
      <c r="BG436" s="48">
        <f t="shared" si="209"/>
        <v>1</v>
      </c>
      <c r="BH436" s="48">
        <f t="shared" si="209"/>
        <v>1</v>
      </c>
      <c r="BI436" s="48">
        <f t="shared" si="209"/>
        <v>1</v>
      </c>
      <c r="BJ436" s="48">
        <f t="shared" si="209"/>
        <v>1</v>
      </c>
      <c r="BK436" s="48">
        <f t="shared" si="209"/>
        <v>1</v>
      </c>
      <c r="BL436" s="48">
        <f t="shared" si="209"/>
        <v>1</v>
      </c>
      <c r="BM436" s="48">
        <f t="shared" si="209"/>
        <v>1</v>
      </c>
      <c r="BN436" s="48">
        <f t="shared" si="209"/>
        <v>1</v>
      </c>
      <c r="BO436" s="32">
        <f t="shared" si="192"/>
        <v>0.48728813559322032</v>
      </c>
    </row>
    <row r="437" spans="1:67" x14ac:dyDescent="0.2">
      <c r="A437" s="50" t="s">
        <v>882</v>
      </c>
      <c r="B437" s="50" t="s">
        <v>883</v>
      </c>
      <c r="C437" s="50" t="s">
        <v>117</v>
      </c>
      <c r="D437" s="51">
        <f>VLOOKUP(A437,'[1]Cuadro Control'!C478:J2367,8,FALSE)</f>
        <v>320494616.71764702</v>
      </c>
      <c r="E437" s="52">
        <f t="shared" si="208"/>
        <v>6.0369617599332674E-2</v>
      </c>
      <c r="F437" s="53">
        <v>46424</v>
      </c>
      <c r="G437" s="53">
        <v>46428</v>
      </c>
      <c r="H437" s="52">
        <f t="shared" si="209"/>
        <v>0</v>
      </c>
      <c r="I437" s="52">
        <f t="shared" si="209"/>
        <v>0</v>
      </c>
      <c r="J437" s="52">
        <f t="shared" si="209"/>
        <v>0</v>
      </c>
      <c r="K437" s="52">
        <f t="shared" si="209"/>
        <v>0</v>
      </c>
      <c r="L437" s="52">
        <f t="shared" si="209"/>
        <v>0</v>
      </c>
      <c r="M437" s="52">
        <f t="shared" si="209"/>
        <v>0</v>
      </c>
      <c r="N437" s="52">
        <f t="shared" si="209"/>
        <v>0</v>
      </c>
      <c r="O437" s="52">
        <f t="shared" si="209"/>
        <v>0</v>
      </c>
      <c r="P437" s="52">
        <f t="shared" si="209"/>
        <v>0</v>
      </c>
      <c r="Q437" s="52">
        <f t="shared" si="209"/>
        <v>0</v>
      </c>
      <c r="R437" s="52">
        <f t="shared" si="209"/>
        <v>0</v>
      </c>
      <c r="S437" s="52">
        <f t="shared" si="209"/>
        <v>0</v>
      </c>
      <c r="T437" s="52">
        <f t="shared" si="209"/>
        <v>0</v>
      </c>
      <c r="U437" s="52">
        <f t="shared" si="209"/>
        <v>0</v>
      </c>
      <c r="V437" s="52">
        <f t="shared" si="209"/>
        <v>0</v>
      </c>
      <c r="W437" s="52">
        <f t="shared" si="209"/>
        <v>0</v>
      </c>
      <c r="X437" s="52">
        <f t="shared" si="209"/>
        <v>0</v>
      </c>
      <c r="Y437" s="52">
        <f t="shared" si="209"/>
        <v>0</v>
      </c>
      <c r="Z437" s="52">
        <f t="shared" si="209"/>
        <v>0</v>
      </c>
      <c r="AA437" s="52">
        <f t="shared" si="209"/>
        <v>0</v>
      </c>
      <c r="AB437" s="52">
        <f t="shared" si="209"/>
        <v>0</v>
      </c>
      <c r="AC437" s="52">
        <f t="shared" si="209"/>
        <v>0</v>
      </c>
      <c r="AD437" s="52">
        <f t="shared" si="209"/>
        <v>0</v>
      </c>
      <c r="AE437" s="52">
        <f t="shared" si="209"/>
        <v>0</v>
      </c>
      <c r="AF437" s="52">
        <f t="shared" si="209"/>
        <v>0</v>
      </c>
      <c r="AG437" s="52">
        <f t="shared" si="209"/>
        <v>0</v>
      </c>
      <c r="AH437" s="52">
        <f t="shared" si="209"/>
        <v>0</v>
      </c>
      <c r="AI437" s="52">
        <f t="shared" si="209"/>
        <v>0</v>
      </c>
      <c r="AJ437" s="52">
        <f t="shared" si="209"/>
        <v>0</v>
      </c>
      <c r="AK437" s="52">
        <f t="shared" si="209"/>
        <v>0</v>
      </c>
      <c r="AL437" s="52">
        <f t="shared" si="209"/>
        <v>0</v>
      </c>
      <c r="AM437" s="52">
        <f t="shared" si="209"/>
        <v>1</v>
      </c>
      <c r="AN437" s="52">
        <f t="shared" si="209"/>
        <v>1</v>
      </c>
      <c r="AO437" s="52">
        <f t="shared" si="209"/>
        <v>1</v>
      </c>
      <c r="AP437" s="52">
        <f t="shared" si="209"/>
        <v>1</v>
      </c>
      <c r="AQ437" s="52">
        <f t="shared" si="209"/>
        <v>1</v>
      </c>
      <c r="AR437" s="52">
        <f t="shared" si="209"/>
        <v>1</v>
      </c>
      <c r="AS437" s="52">
        <f t="shared" si="209"/>
        <v>1</v>
      </c>
      <c r="AT437" s="52">
        <f t="shared" si="209"/>
        <v>1</v>
      </c>
      <c r="AU437" s="52">
        <f t="shared" si="209"/>
        <v>1</v>
      </c>
      <c r="AV437" s="52">
        <f t="shared" si="209"/>
        <v>1</v>
      </c>
      <c r="AW437" s="52">
        <f t="shared" si="209"/>
        <v>1</v>
      </c>
      <c r="AX437" s="52">
        <f t="shared" si="209"/>
        <v>1</v>
      </c>
      <c r="AY437" s="52">
        <f t="shared" si="209"/>
        <v>1</v>
      </c>
      <c r="AZ437" s="52">
        <f t="shared" si="209"/>
        <v>1</v>
      </c>
      <c r="BA437" s="52">
        <f t="shared" si="209"/>
        <v>1</v>
      </c>
      <c r="BB437" s="52">
        <f t="shared" si="209"/>
        <v>1</v>
      </c>
      <c r="BC437" s="52">
        <f t="shared" si="209"/>
        <v>1</v>
      </c>
      <c r="BD437" s="52">
        <f t="shared" si="209"/>
        <v>1</v>
      </c>
      <c r="BE437" s="52">
        <f t="shared" si="209"/>
        <v>1</v>
      </c>
      <c r="BF437" s="52">
        <f t="shared" si="209"/>
        <v>1</v>
      </c>
      <c r="BG437" s="52">
        <f t="shared" si="209"/>
        <v>1</v>
      </c>
      <c r="BH437" s="52">
        <f t="shared" si="209"/>
        <v>1</v>
      </c>
      <c r="BI437" s="52">
        <f t="shared" si="209"/>
        <v>1</v>
      </c>
      <c r="BJ437" s="52">
        <f t="shared" si="209"/>
        <v>1</v>
      </c>
      <c r="BK437" s="52">
        <f t="shared" si="209"/>
        <v>1</v>
      </c>
      <c r="BL437" s="52">
        <f t="shared" si="209"/>
        <v>1</v>
      </c>
      <c r="BM437" s="52">
        <f t="shared" si="209"/>
        <v>1</v>
      </c>
      <c r="BN437" s="52">
        <f t="shared" si="209"/>
        <v>1</v>
      </c>
      <c r="BO437" s="32">
        <f t="shared" si="192"/>
        <v>0.47457627118644069</v>
      </c>
    </row>
    <row r="438" spans="1:67" x14ac:dyDescent="0.2">
      <c r="A438" s="50" t="s">
        <v>884</v>
      </c>
      <c r="B438" s="50" t="s">
        <v>885</v>
      </c>
      <c r="C438" s="50" t="s">
        <v>111</v>
      </c>
      <c r="D438" s="51">
        <f>VLOOKUP(A438,'[1]Cuadro Control'!C479:J2368,8,FALSE)</f>
        <v>94303618.549411759</v>
      </c>
      <c r="E438" s="52">
        <f t="shared" si="208"/>
        <v>1.7763397864110998E-2</v>
      </c>
      <c r="F438" s="53">
        <v>46429</v>
      </c>
      <c r="G438" s="53">
        <v>46430</v>
      </c>
      <c r="H438" s="52">
        <f t="shared" si="209"/>
        <v>0</v>
      </c>
      <c r="I438" s="52">
        <f t="shared" si="209"/>
        <v>0</v>
      </c>
      <c r="J438" s="52">
        <f t="shared" si="209"/>
        <v>0</v>
      </c>
      <c r="K438" s="52">
        <f t="shared" si="209"/>
        <v>0</v>
      </c>
      <c r="L438" s="52">
        <f t="shared" si="209"/>
        <v>0</v>
      </c>
      <c r="M438" s="52">
        <f t="shared" si="209"/>
        <v>0</v>
      </c>
      <c r="N438" s="52">
        <f t="shared" si="209"/>
        <v>0</v>
      </c>
      <c r="O438" s="52">
        <f t="shared" si="209"/>
        <v>0</v>
      </c>
      <c r="P438" s="52">
        <f t="shared" si="209"/>
        <v>0</v>
      </c>
      <c r="Q438" s="52">
        <f t="shared" si="209"/>
        <v>0</v>
      </c>
      <c r="R438" s="52">
        <f t="shared" si="209"/>
        <v>0</v>
      </c>
      <c r="S438" s="52">
        <f t="shared" si="209"/>
        <v>0</v>
      </c>
      <c r="T438" s="52">
        <f t="shared" si="209"/>
        <v>0</v>
      </c>
      <c r="U438" s="52">
        <f t="shared" si="209"/>
        <v>0</v>
      </c>
      <c r="V438" s="52">
        <f t="shared" si="209"/>
        <v>0</v>
      </c>
      <c r="W438" s="52">
        <f t="shared" si="209"/>
        <v>0</v>
      </c>
      <c r="X438" s="52">
        <f t="shared" si="209"/>
        <v>0</v>
      </c>
      <c r="Y438" s="52">
        <f t="shared" si="209"/>
        <v>0</v>
      </c>
      <c r="Z438" s="52">
        <f t="shared" si="209"/>
        <v>0</v>
      </c>
      <c r="AA438" s="52">
        <f t="shared" ref="AA438:BF449" si="210">IF($F438=0,0,IF(AA$6&lt;$F438,0,IF(AA$6&gt;$G438,1,(AA$6-$F438+1)/($G438-$F438+1))))</f>
        <v>0</v>
      </c>
      <c r="AB438" s="52">
        <f t="shared" si="210"/>
        <v>0</v>
      </c>
      <c r="AC438" s="52">
        <f t="shared" si="210"/>
        <v>0</v>
      </c>
      <c r="AD438" s="52">
        <f t="shared" si="210"/>
        <v>0</v>
      </c>
      <c r="AE438" s="52">
        <f t="shared" si="210"/>
        <v>0</v>
      </c>
      <c r="AF438" s="52">
        <f t="shared" si="210"/>
        <v>0</v>
      </c>
      <c r="AG438" s="52">
        <f t="shared" si="210"/>
        <v>0</v>
      </c>
      <c r="AH438" s="52">
        <f t="shared" si="210"/>
        <v>0</v>
      </c>
      <c r="AI438" s="52">
        <f t="shared" si="210"/>
        <v>0</v>
      </c>
      <c r="AJ438" s="52">
        <f t="shared" si="210"/>
        <v>0</v>
      </c>
      <c r="AK438" s="52">
        <f t="shared" si="210"/>
        <v>0</v>
      </c>
      <c r="AL438" s="52">
        <f t="shared" si="210"/>
        <v>0</v>
      </c>
      <c r="AM438" s="52">
        <f t="shared" si="210"/>
        <v>1</v>
      </c>
      <c r="AN438" s="52">
        <f t="shared" si="210"/>
        <v>1</v>
      </c>
      <c r="AO438" s="52">
        <f t="shared" si="210"/>
        <v>1</v>
      </c>
      <c r="AP438" s="52">
        <f t="shared" si="210"/>
        <v>1</v>
      </c>
      <c r="AQ438" s="52">
        <f t="shared" si="210"/>
        <v>1</v>
      </c>
      <c r="AR438" s="52">
        <f t="shared" si="210"/>
        <v>1</v>
      </c>
      <c r="AS438" s="52">
        <f t="shared" si="210"/>
        <v>1</v>
      </c>
      <c r="AT438" s="52">
        <f t="shared" si="210"/>
        <v>1</v>
      </c>
      <c r="AU438" s="52">
        <f t="shared" si="210"/>
        <v>1</v>
      </c>
      <c r="AV438" s="52">
        <f t="shared" si="210"/>
        <v>1</v>
      </c>
      <c r="AW438" s="52">
        <f t="shared" si="210"/>
        <v>1</v>
      </c>
      <c r="AX438" s="52">
        <f t="shared" si="210"/>
        <v>1</v>
      </c>
      <c r="AY438" s="52">
        <f t="shared" si="210"/>
        <v>1</v>
      </c>
      <c r="AZ438" s="52">
        <f t="shared" si="210"/>
        <v>1</v>
      </c>
      <c r="BA438" s="52">
        <f t="shared" si="210"/>
        <v>1</v>
      </c>
      <c r="BB438" s="52">
        <f t="shared" si="210"/>
        <v>1</v>
      </c>
      <c r="BC438" s="52">
        <f t="shared" si="210"/>
        <v>1</v>
      </c>
      <c r="BD438" s="52">
        <f t="shared" si="210"/>
        <v>1</v>
      </c>
      <c r="BE438" s="52">
        <f t="shared" si="210"/>
        <v>1</v>
      </c>
      <c r="BF438" s="52">
        <f t="shared" si="210"/>
        <v>1</v>
      </c>
      <c r="BG438" s="52">
        <f t="shared" ref="BG438:BN449" si="211">IF($F438=0,0,IF(BG$6&lt;$F438,0,IF(BG$6&gt;$G438,1,(BG$6-$F438+1)/($G438-$F438+1))))</f>
        <v>1</v>
      </c>
      <c r="BH438" s="52">
        <f t="shared" si="211"/>
        <v>1</v>
      </c>
      <c r="BI438" s="52">
        <f t="shared" si="211"/>
        <v>1</v>
      </c>
      <c r="BJ438" s="52">
        <f t="shared" si="211"/>
        <v>1</v>
      </c>
      <c r="BK438" s="52">
        <f t="shared" si="211"/>
        <v>1</v>
      </c>
      <c r="BL438" s="52">
        <f t="shared" si="211"/>
        <v>1</v>
      </c>
      <c r="BM438" s="52">
        <f t="shared" si="211"/>
        <v>1</v>
      </c>
      <c r="BN438" s="52">
        <f t="shared" si="211"/>
        <v>1</v>
      </c>
      <c r="BO438" s="32">
        <f t="shared" si="192"/>
        <v>0.47457627118644069</v>
      </c>
    </row>
    <row r="439" spans="1:67" x14ac:dyDescent="0.2">
      <c r="A439" s="50" t="s">
        <v>886</v>
      </c>
      <c r="B439" s="50" t="s">
        <v>887</v>
      </c>
      <c r="C439" s="50" t="s">
        <v>238</v>
      </c>
      <c r="D439" s="51">
        <f>VLOOKUP(A439,'[1]Cuadro Control'!C480:J2369,8,FALSE)</f>
        <v>179436034.15411764</v>
      </c>
      <c r="E439" s="52">
        <f t="shared" si="208"/>
        <v>3.3799272126209236E-2</v>
      </c>
      <c r="F439" s="53">
        <v>46430</v>
      </c>
      <c r="G439" s="53">
        <v>46436</v>
      </c>
      <c r="H439" s="52">
        <f t="shared" ref="H439:W449" si="212">IF($F439=0,0,IF(H$6&lt;$F439,0,IF(H$6&gt;$G439,1,(H$6-$F439+1)/($G439-$F439+1))))</f>
        <v>0</v>
      </c>
      <c r="I439" s="52">
        <f t="shared" si="212"/>
        <v>0</v>
      </c>
      <c r="J439" s="52">
        <f t="shared" si="212"/>
        <v>0</v>
      </c>
      <c r="K439" s="52">
        <f t="shared" si="212"/>
        <v>0</v>
      </c>
      <c r="L439" s="52">
        <f t="shared" si="212"/>
        <v>0</v>
      </c>
      <c r="M439" s="52">
        <f t="shared" si="212"/>
        <v>0</v>
      </c>
      <c r="N439" s="52">
        <f t="shared" si="212"/>
        <v>0</v>
      </c>
      <c r="O439" s="52">
        <f t="shared" si="212"/>
        <v>0</v>
      </c>
      <c r="P439" s="52">
        <f t="shared" si="212"/>
        <v>0</v>
      </c>
      <c r="Q439" s="52">
        <f t="shared" si="212"/>
        <v>0</v>
      </c>
      <c r="R439" s="52">
        <f t="shared" si="212"/>
        <v>0</v>
      </c>
      <c r="S439" s="52">
        <f t="shared" si="212"/>
        <v>0</v>
      </c>
      <c r="T439" s="52">
        <f t="shared" si="212"/>
        <v>0</v>
      </c>
      <c r="U439" s="52">
        <f t="shared" si="212"/>
        <v>0</v>
      </c>
      <c r="V439" s="52">
        <f t="shared" si="212"/>
        <v>0</v>
      </c>
      <c r="W439" s="52">
        <f t="shared" si="212"/>
        <v>0</v>
      </c>
      <c r="X439" s="52">
        <f t="shared" ref="X439:BC449" si="213">IF($F439=0,0,IF(X$6&lt;$F439,0,IF(X$6&gt;$G439,1,(X$6-$F439+1)/($G439-$F439+1))))</f>
        <v>0</v>
      </c>
      <c r="Y439" s="52">
        <f t="shared" si="213"/>
        <v>0</v>
      </c>
      <c r="Z439" s="52">
        <f t="shared" si="213"/>
        <v>0</v>
      </c>
      <c r="AA439" s="52">
        <f t="shared" si="213"/>
        <v>0</v>
      </c>
      <c r="AB439" s="52">
        <f t="shared" si="213"/>
        <v>0</v>
      </c>
      <c r="AC439" s="52">
        <f t="shared" si="213"/>
        <v>0</v>
      </c>
      <c r="AD439" s="52">
        <f t="shared" si="213"/>
        <v>0</v>
      </c>
      <c r="AE439" s="52">
        <f t="shared" si="213"/>
        <v>0</v>
      </c>
      <c r="AF439" s="52">
        <f t="shared" si="213"/>
        <v>0</v>
      </c>
      <c r="AG439" s="52">
        <f t="shared" si="213"/>
        <v>0</v>
      </c>
      <c r="AH439" s="52">
        <f t="shared" si="213"/>
        <v>0</v>
      </c>
      <c r="AI439" s="52">
        <f t="shared" si="213"/>
        <v>0</v>
      </c>
      <c r="AJ439" s="52">
        <f t="shared" si="213"/>
        <v>0</v>
      </c>
      <c r="AK439" s="52">
        <f t="shared" si="213"/>
        <v>0</v>
      </c>
      <c r="AL439" s="52">
        <f t="shared" si="213"/>
        <v>0</v>
      </c>
      <c r="AM439" s="52">
        <f t="shared" si="213"/>
        <v>0.14285714285714285</v>
      </c>
      <c r="AN439" s="52">
        <f t="shared" si="213"/>
        <v>1</v>
      </c>
      <c r="AO439" s="52">
        <f t="shared" si="210"/>
        <v>1</v>
      </c>
      <c r="AP439" s="52">
        <f t="shared" si="210"/>
        <v>1</v>
      </c>
      <c r="AQ439" s="52">
        <f t="shared" si="210"/>
        <v>1</v>
      </c>
      <c r="AR439" s="52">
        <f t="shared" si="210"/>
        <v>1</v>
      </c>
      <c r="AS439" s="52">
        <f t="shared" si="210"/>
        <v>1</v>
      </c>
      <c r="AT439" s="52">
        <f t="shared" si="210"/>
        <v>1</v>
      </c>
      <c r="AU439" s="52">
        <f t="shared" si="210"/>
        <v>1</v>
      </c>
      <c r="AV439" s="52">
        <f t="shared" si="210"/>
        <v>1</v>
      </c>
      <c r="AW439" s="52">
        <f t="shared" si="210"/>
        <v>1</v>
      </c>
      <c r="AX439" s="52">
        <f t="shared" si="210"/>
        <v>1</v>
      </c>
      <c r="AY439" s="52">
        <f t="shared" si="210"/>
        <v>1</v>
      </c>
      <c r="AZ439" s="52">
        <f t="shared" si="210"/>
        <v>1</v>
      </c>
      <c r="BA439" s="52">
        <f t="shared" si="210"/>
        <v>1</v>
      </c>
      <c r="BB439" s="52">
        <f t="shared" si="210"/>
        <v>1</v>
      </c>
      <c r="BC439" s="52">
        <f t="shared" si="210"/>
        <v>1</v>
      </c>
      <c r="BD439" s="52">
        <f t="shared" si="210"/>
        <v>1</v>
      </c>
      <c r="BE439" s="52">
        <f t="shared" si="210"/>
        <v>1</v>
      </c>
      <c r="BF439" s="52">
        <f t="shared" si="210"/>
        <v>1</v>
      </c>
      <c r="BG439" s="52">
        <f t="shared" si="211"/>
        <v>1</v>
      </c>
      <c r="BH439" s="52">
        <f t="shared" si="211"/>
        <v>1</v>
      </c>
      <c r="BI439" s="52">
        <f t="shared" si="211"/>
        <v>1</v>
      </c>
      <c r="BJ439" s="52">
        <f t="shared" si="211"/>
        <v>1</v>
      </c>
      <c r="BK439" s="52">
        <f t="shared" si="211"/>
        <v>1</v>
      </c>
      <c r="BL439" s="52">
        <f t="shared" si="211"/>
        <v>1</v>
      </c>
      <c r="BM439" s="52">
        <f t="shared" si="211"/>
        <v>1</v>
      </c>
      <c r="BN439" s="52">
        <f t="shared" si="211"/>
        <v>1</v>
      </c>
      <c r="BO439" s="32">
        <f t="shared" si="192"/>
        <v>0.46004842615012104</v>
      </c>
    </row>
    <row r="440" spans="1:67" x14ac:dyDescent="0.2">
      <c r="A440" s="50" t="s">
        <v>888</v>
      </c>
      <c r="B440" s="50" t="s">
        <v>889</v>
      </c>
      <c r="C440" s="50" t="s">
        <v>58</v>
      </c>
      <c r="D440" s="51">
        <f>VLOOKUP(A440,'[1]Cuadro Control'!C481:J2370,8,FALSE)</f>
        <v>1212623361.2117648</v>
      </c>
      <c r="E440" s="52">
        <f t="shared" si="208"/>
        <v>0.22841447185013161</v>
      </c>
      <c r="F440" s="53">
        <v>46436</v>
      </c>
      <c r="G440" s="53">
        <v>46451</v>
      </c>
      <c r="H440" s="52">
        <f t="shared" si="212"/>
        <v>0</v>
      </c>
      <c r="I440" s="52">
        <f t="shared" si="212"/>
        <v>0</v>
      </c>
      <c r="J440" s="52">
        <f t="shared" si="212"/>
        <v>0</v>
      </c>
      <c r="K440" s="52">
        <f t="shared" si="212"/>
        <v>0</v>
      </c>
      <c r="L440" s="52">
        <f t="shared" si="212"/>
        <v>0</v>
      </c>
      <c r="M440" s="52">
        <f t="shared" si="212"/>
        <v>0</v>
      </c>
      <c r="N440" s="52">
        <f t="shared" si="212"/>
        <v>0</v>
      </c>
      <c r="O440" s="52">
        <f t="shared" si="212"/>
        <v>0</v>
      </c>
      <c r="P440" s="52">
        <f t="shared" si="212"/>
        <v>0</v>
      </c>
      <c r="Q440" s="52">
        <f t="shared" si="212"/>
        <v>0</v>
      </c>
      <c r="R440" s="52">
        <f t="shared" si="212"/>
        <v>0</v>
      </c>
      <c r="S440" s="52">
        <f t="shared" si="212"/>
        <v>0</v>
      </c>
      <c r="T440" s="52">
        <f t="shared" si="212"/>
        <v>0</v>
      </c>
      <c r="U440" s="52">
        <f t="shared" si="212"/>
        <v>0</v>
      </c>
      <c r="V440" s="52">
        <f t="shared" si="212"/>
        <v>0</v>
      </c>
      <c r="W440" s="52">
        <f t="shared" si="212"/>
        <v>0</v>
      </c>
      <c r="X440" s="52">
        <f t="shared" si="213"/>
        <v>0</v>
      </c>
      <c r="Y440" s="52">
        <f t="shared" si="213"/>
        <v>0</v>
      </c>
      <c r="Z440" s="52">
        <f t="shared" si="213"/>
        <v>0</v>
      </c>
      <c r="AA440" s="52">
        <f t="shared" si="213"/>
        <v>0</v>
      </c>
      <c r="AB440" s="52">
        <f t="shared" si="213"/>
        <v>0</v>
      </c>
      <c r="AC440" s="52">
        <f t="shared" si="213"/>
        <v>0</v>
      </c>
      <c r="AD440" s="52">
        <f t="shared" si="213"/>
        <v>0</v>
      </c>
      <c r="AE440" s="52">
        <f t="shared" si="213"/>
        <v>0</v>
      </c>
      <c r="AF440" s="52">
        <f t="shared" si="213"/>
        <v>0</v>
      </c>
      <c r="AG440" s="52">
        <f t="shared" si="213"/>
        <v>0</v>
      </c>
      <c r="AH440" s="52">
        <f t="shared" si="213"/>
        <v>0</v>
      </c>
      <c r="AI440" s="52">
        <f t="shared" si="213"/>
        <v>0</v>
      </c>
      <c r="AJ440" s="52">
        <f t="shared" si="213"/>
        <v>0</v>
      </c>
      <c r="AK440" s="52">
        <f t="shared" si="213"/>
        <v>0</v>
      </c>
      <c r="AL440" s="52">
        <f t="shared" si="213"/>
        <v>0</v>
      </c>
      <c r="AM440" s="52">
        <f t="shared" si="213"/>
        <v>0</v>
      </c>
      <c r="AN440" s="52">
        <f t="shared" si="213"/>
        <v>0.125</v>
      </c>
      <c r="AO440" s="52">
        <f t="shared" si="210"/>
        <v>0.5625</v>
      </c>
      <c r="AP440" s="52">
        <f t="shared" si="210"/>
        <v>1</v>
      </c>
      <c r="AQ440" s="52">
        <f t="shared" si="210"/>
        <v>1</v>
      </c>
      <c r="AR440" s="52">
        <f t="shared" si="210"/>
        <v>1</v>
      </c>
      <c r="AS440" s="52">
        <f t="shared" si="210"/>
        <v>1</v>
      </c>
      <c r="AT440" s="52">
        <f t="shared" si="210"/>
        <v>1</v>
      </c>
      <c r="AU440" s="52">
        <f t="shared" si="210"/>
        <v>1</v>
      </c>
      <c r="AV440" s="52">
        <f t="shared" si="210"/>
        <v>1</v>
      </c>
      <c r="AW440" s="52">
        <f t="shared" si="210"/>
        <v>1</v>
      </c>
      <c r="AX440" s="52">
        <f t="shared" si="210"/>
        <v>1</v>
      </c>
      <c r="AY440" s="52">
        <f t="shared" si="210"/>
        <v>1</v>
      </c>
      <c r="AZ440" s="52">
        <f t="shared" si="210"/>
        <v>1</v>
      </c>
      <c r="BA440" s="52">
        <f t="shared" si="210"/>
        <v>1</v>
      </c>
      <c r="BB440" s="52">
        <f t="shared" si="210"/>
        <v>1</v>
      </c>
      <c r="BC440" s="52">
        <f t="shared" si="210"/>
        <v>1</v>
      </c>
      <c r="BD440" s="52">
        <f t="shared" si="210"/>
        <v>1</v>
      </c>
      <c r="BE440" s="52">
        <f t="shared" si="210"/>
        <v>1</v>
      </c>
      <c r="BF440" s="52">
        <f t="shared" si="210"/>
        <v>1</v>
      </c>
      <c r="BG440" s="52">
        <f t="shared" si="211"/>
        <v>1</v>
      </c>
      <c r="BH440" s="52">
        <f t="shared" si="211"/>
        <v>1</v>
      </c>
      <c r="BI440" s="52">
        <f t="shared" si="211"/>
        <v>1</v>
      </c>
      <c r="BJ440" s="52">
        <f t="shared" si="211"/>
        <v>1</v>
      </c>
      <c r="BK440" s="52">
        <f t="shared" si="211"/>
        <v>1</v>
      </c>
      <c r="BL440" s="52">
        <f t="shared" si="211"/>
        <v>1</v>
      </c>
      <c r="BM440" s="52">
        <f t="shared" si="211"/>
        <v>1</v>
      </c>
      <c r="BN440" s="52">
        <f t="shared" si="211"/>
        <v>1</v>
      </c>
      <c r="BO440" s="32">
        <f t="shared" si="192"/>
        <v>0.4353813559322034</v>
      </c>
    </row>
    <row r="441" spans="1:67" x14ac:dyDescent="0.2">
      <c r="A441" s="50" t="s">
        <v>890</v>
      </c>
      <c r="B441" s="50" t="s">
        <v>891</v>
      </c>
      <c r="C441" s="50" t="s">
        <v>126</v>
      </c>
      <c r="D441" s="51">
        <f>VLOOKUP(A441,'[1]Cuadro Control'!C482:J2371,8,FALSE)</f>
        <v>0</v>
      </c>
      <c r="E441" s="52">
        <f t="shared" si="208"/>
        <v>0</v>
      </c>
      <c r="F441" s="53">
        <v>46451</v>
      </c>
      <c r="G441" s="53">
        <v>46455</v>
      </c>
      <c r="H441" s="52">
        <f t="shared" si="212"/>
        <v>0</v>
      </c>
      <c r="I441" s="52">
        <f t="shared" si="212"/>
        <v>0</v>
      </c>
      <c r="J441" s="52">
        <f t="shared" si="212"/>
        <v>0</v>
      </c>
      <c r="K441" s="52">
        <f t="shared" si="212"/>
        <v>0</v>
      </c>
      <c r="L441" s="52">
        <f t="shared" si="212"/>
        <v>0</v>
      </c>
      <c r="M441" s="52">
        <f t="shared" si="212"/>
        <v>0</v>
      </c>
      <c r="N441" s="52">
        <f t="shared" si="212"/>
        <v>0</v>
      </c>
      <c r="O441" s="52">
        <f t="shared" si="212"/>
        <v>0</v>
      </c>
      <c r="P441" s="52">
        <f t="shared" si="212"/>
        <v>0</v>
      </c>
      <c r="Q441" s="52">
        <f t="shared" si="212"/>
        <v>0</v>
      </c>
      <c r="R441" s="52">
        <f t="shared" si="212"/>
        <v>0</v>
      </c>
      <c r="S441" s="52">
        <f t="shared" si="212"/>
        <v>0</v>
      </c>
      <c r="T441" s="52">
        <f t="shared" si="212"/>
        <v>0</v>
      </c>
      <c r="U441" s="52">
        <f t="shared" si="212"/>
        <v>0</v>
      </c>
      <c r="V441" s="52">
        <f t="shared" si="212"/>
        <v>0</v>
      </c>
      <c r="W441" s="52">
        <f t="shared" si="212"/>
        <v>0</v>
      </c>
      <c r="X441" s="52">
        <f t="shared" si="213"/>
        <v>0</v>
      </c>
      <c r="Y441" s="52">
        <f t="shared" si="213"/>
        <v>0</v>
      </c>
      <c r="Z441" s="52">
        <f t="shared" si="213"/>
        <v>0</v>
      </c>
      <c r="AA441" s="52">
        <f t="shared" si="213"/>
        <v>0</v>
      </c>
      <c r="AB441" s="52">
        <f t="shared" si="213"/>
        <v>0</v>
      </c>
      <c r="AC441" s="52">
        <f t="shared" si="213"/>
        <v>0</v>
      </c>
      <c r="AD441" s="52">
        <f t="shared" si="213"/>
        <v>0</v>
      </c>
      <c r="AE441" s="52">
        <f t="shared" si="213"/>
        <v>0</v>
      </c>
      <c r="AF441" s="52">
        <f t="shared" si="213"/>
        <v>0</v>
      </c>
      <c r="AG441" s="52">
        <f t="shared" si="213"/>
        <v>0</v>
      </c>
      <c r="AH441" s="52">
        <f t="shared" si="213"/>
        <v>0</v>
      </c>
      <c r="AI441" s="52">
        <f t="shared" si="213"/>
        <v>0</v>
      </c>
      <c r="AJ441" s="52">
        <f t="shared" si="213"/>
        <v>0</v>
      </c>
      <c r="AK441" s="52">
        <f t="shared" si="213"/>
        <v>0</v>
      </c>
      <c r="AL441" s="52">
        <f t="shared" si="213"/>
        <v>0</v>
      </c>
      <c r="AM441" s="52">
        <f t="shared" si="213"/>
        <v>0</v>
      </c>
      <c r="AN441" s="52">
        <f t="shared" si="213"/>
        <v>0</v>
      </c>
      <c r="AO441" s="52">
        <f t="shared" si="210"/>
        <v>0</v>
      </c>
      <c r="AP441" s="52">
        <f t="shared" si="210"/>
        <v>0.2</v>
      </c>
      <c r="AQ441" s="52">
        <f t="shared" si="210"/>
        <v>1</v>
      </c>
      <c r="AR441" s="52">
        <f t="shared" si="210"/>
        <v>1</v>
      </c>
      <c r="AS441" s="52">
        <f t="shared" si="210"/>
        <v>1</v>
      </c>
      <c r="AT441" s="52">
        <f t="shared" si="210"/>
        <v>1</v>
      </c>
      <c r="AU441" s="52">
        <f t="shared" si="210"/>
        <v>1</v>
      </c>
      <c r="AV441" s="52">
        <f t="shared" si="210"/>
        <v>1</v>
      </c>
      <c r="AW441" s="52">
        <f t="shared" si="210"/>
        <v>1</v>
      </c>
      <c r="AX441" s="52">
        <f t="shared" si="210"/>
        <v>1</v>
      </c>
      <c r="AY441" s="52">
        <f t="shared" si="210"/>
        <v>1</v>
      </c>
      <c r="AZ441" s="52">
        <f t="shared" si="210"/>
        <v>1</v>
      </c>
      <c r="BA441" s="52">
        <f t="shared" si="210"/>
        <v>1</v>
      </c>
      <c r="BB441" s="52">
        <f t="shared" si="210"/>
        <v>1</v>
      </c>
      <c r="BC441" s="52">
        <f t="shared" si="210"/>
        <v>1</v>
      </c>
      <c r="BD441" s="52">
        <f t="shared" si="210"/>
        <v>1</v>
      </c>
      <c r="BE441" s="52">
        <f t="shared" si="210"/>
        <v>1</v>
      </c>
      <c r="BF441" s="52">
        <f t="shared" si="210"/>
        <v>1</v>
      </c>
      <c r="BG441" s="52">
        <f t="shared" si="211"/>
        <v>1</v>
      </c>
      <c r="BH441" s="52">
        <f t="shared" si="211"/>
        <v>1</v>
      </c>
      <c r="BI441" s="52">
        <f t="shared" si="211"/>
        <v>1</v>
      </c>
      <c r="BJ441" s="52">
        <f t="shared" si="211"/>
        <v>1</v>
      </c>
      <c r="BK441" s="52">
        <f t="shared" si="211"/>
        <v>1</v>
      </c>
      <c r="BL441" s="52">
        <f t="shared" si="211"/>
        <v>1</v>
      </c>
      <c r="BM441" s="52">
        <f t="shared" si="211"/>
        <v>1</v>
      </c>
      <c r="BN441" s="52">
        <f t="shared" si="211"/>
        <v>1</v>
      </c>
      <c r="BO441" s="32">
        <f t="shared" si="192"/>
        <v>0.4101694915254237</v>
      </c>
    </row>
    <row r="442" spans="1:67" ht="24" x14ac:dyDescent="0.2">
      <c r="A442" s="55" t="s">
        <v>892</v>
      </c>
      <c r="B442" s="55" t="s">
        <v>893</v>
      </c>
      <c r="C442" s="55" t="s">
        <v>14</v>
      </c>
      <c r="D442" s="56">
        <f>VLOOKUP(A442,'[1]Cuadro Control'!C483:J2372,8,FALSE)</f>
        <v>0</v>
      </c>
      <c r="E442" s="57">
        <f t="shared" si="208"/>
        <v>0</v>
      </c>
      <c r="F442" s="58">
        <v>46451</v>
      </c>
      <c r="G442" s="58">
        <v>46451</v>
      </c>
      <c r="H442" s="57">
        <f t="shared" si="212"/>
        <v>0</v>
      </c>
      <c r="I442" s="57">
        <f t="shared" si="212"/>
        <v>0</v>
      </c>
      <c r="J442" s="57">
        <f t="shared" si="212"/>
        <v>0</v>
      </c>
      <c r="K442" s="57">
        <f t="shared" si="212"/>
        <v>0</v>
      </c>
      <c r="L442" s="57">
        <f t="shared" si="212"/>
        <v>0</v>
      </c>
      <c r="M442" s="57">
        <f t="shared" si="212"/>
        <v>0</v>
      </c>
      <c r="N442" s="57">
        <f t="shared" si="212"/>
        <v>0</v>
      </c>
      <c r="O442" s="57">
        <f t="shared" si="212"/>
        <v>0</v>
      </c>
      <c r="P442" s="57">
        <f t="shared" si="212"/>
        <v>0</v>
      </c>
      <c r="Q442" s="57">
        <f t="shared" si="212"/>
        <v>0</v>
      </c>
      <c r="R442" s="57">
        <f t="shared" si="212"/>
        <v>0</v>
      </c>
      <c r="S442" s="57">
        <f t="shared" si="212"/>
        <v>0</v>
      </c>
      <c r="T442" s="57">
        <f t="shared" si="212"/>
        <v>0</v>
      </c>
      <c r="U442" s="57">
        <f t="shared" si="212"/>
        <v>0</v>
      </c>
      <c r="V442" s="57">
        <f t="shared" si="212"/>
        <v>0</v>
      </c>
      <c r="W442" s="57">
        <f t="shared" si="212"/>
        <v>0</v>
      </c>
      <c r="X442" s="57">
        <f t="shared" si="213"/>
        <v>0</v>
      </c>
      <c r="Y442" s="57">
        <f t="shared" si="213"/>
        <v>0</v>
      </c>
      <c r="Z442" s="57">
        <f t="shared" si="213"/>
        <v>0</v>
      </c>
      <c r="AA442" s="57">
        <f t="shared" si="213"/>
        <v>0</v>
      </c>
      <c r="AB442" s="57">
        <f t="shared" si="213"/>
        <v>0</v>
      </c>
      <c r="AC442" s="57">
        <f t="shared" si="213"/>
        <v>0</v>
      </c>
      <c r="AD442" s="57">
        <f t="shared" si="213"/>
        <v>0</v>
      </c>
      <c r="AE442" s="57">
        <f t="shared" si="213"/>
        <v>0</v>
      </c>
      <c r="AF442" s="57">
        <f t="shared" si="213"/>
        <v>0</v>
      </c>
      <c r="AG442" s="57">
        <f t="shared" si="213"/>
        <v>0</v>
      </c>
      <c r="AH442" s="57">
        <f t="shared" si="213"/>
        <v>0</v>
      </c>
      <c r="AI442" s="57">
        <f t="shared" si="213"/>
        <v>0</v>
      </c>
      <c r="AJ442" s="57">
        <f t="shared" si="213"/>
        <v>0</v>
      </c>
      <c r="AK442" s="57">
        <f t="shared" si="213"/>
        <v>0</v>
      </c>
      <c r="AL442" s="57">
        <f t="shared" si="213"/>
        <v>0</v>
      </c>
      <c r="AM442" s="57">
        <f t="shared" si="213"/>
        <v>0</v>
      </c>
      <c r="AN442" s="57">
        <f t="shared" si="213"/>
        <v>0</v>
      </c>
      <c r="AO442" s="57">
        <f t="shared" si="210"/>
        <v>0</v>
      </c>
      <c r="AP442" s="57">
        <f t="shared" si="210"/>
        <v>1</v>
      </c>
      <c r="AQ442" s="57">
        <f t="shared" si="210"/>
        <v>1</v>
      </c>
      <c r="AR442" s="57">
        <f t="shared" si="210"/>
        <v>1</v>
      </c>
      <c r="AS442" s="57">
        <f t="shared" si="210"/>
        <v>1</v>
      </c>
      <c r="AT442" s="57">
        <f t="shared" si="210"/>
        <v>1</v>
      </c>
      <c r="AU442" s="57">
        <f t="shared" si="210"/>
        <v>1</v>
      </c>
      <c r="AV442" s="57">
        <f t="shared" si="210"/>
        <v>1</v>
      </c>
      <c r="AW442" s="57">
        <f t="shared" si="210"/>
        <v>1</v>
      </c>
      <c r="AX442" s="57">
        <f t="shared" si="210"/>
        <v>1</v>
      </c>
      <c r="AY442" s="57">
        <f t="shared" si="210"/>
        <v>1</v>
      </c>
      <c r="AZ442" s="57">
        <f t="shared" si="210"/>
        <v>1</v>
      </c>
      <c r="BA442" s="57">
        <f t="shared" si="210"/>
        <v>1</v>
      </c>
      <c r="BB442" s="57">
        <f t="shared" si="210"/>
        <v>1</v>
      </c>
      <c r="BC442" s="57">
        <f t="shared" si="210"/>
        <v>1</v>
      </c>
      <c r="BD442" s="57">
        <f t="shared" si="210"/>
        <v>1</v>
      </c>
      <c r="BE442" s="57">
        <f t="shared" si="210"/>
        <v>1</v>
      </c>
      <c r="BF442" s="57">
        <f t="shared" si="210"/>
        <v>1</v>
      </c>
      <c r="BG442" s="57">
        <f t="shared" si="211"/>
        <v>1</v>
      </c>
      <c r="BH442" s="57">
        <f t="shared" si="211"/>
        <v>1</v>
      </c>
      <c r="BI442" s="57">
        <f t="shared" si="211"/>
        <v>1</v>
      </c>
      <c r="BJ442" s="57">
        <f t="shared" si="211"/>
        <v>1</v>
      </c>
      <c r="BK442" s="57">
        <f t="shared" si="211"/>
        <v>1</v>
      </c>
      <c r="BL442" s="57">
        <f t="shared" si="211"/>
        <v>1</v>
      </c>
      <c r="BM442" s="57">
        <f t="shared" si="211"/>
        <v>1</v>
      </c>
      <c r="BN442" s="57">
        <f t="shared" si="211"/>
        <v>1</v>
      </c>
      <c r="BO442" s="32">
        <f t="shared" si="192"/>
        <v>0.42372881355932202</v>
      </c>
    </row>
    <row r="443" spans="1:67" x14ac:dyDescent="0.2">
      <c r="A443" s="50" t="s">
        <v>894</v>
      </c>
      <c r="B443" s="50" t="s">
        <v>895</v>
      </c>
      <c r="C443" s="50" t="s">
        <v>111</v>
      </c>
      <c r="D443" s="51">
        <f>VLOOKUP(A443,'[1]Cuadro Control'!C484:J2373,8,FALSE)</f>
        <v>1230815225.9452939</v>
      </c>
      <c r="E443" s="52">
        <f t="shared" si="208"/>
        <v>0.2318411625341423</v>
      </c>
      <c r="F443" s="53">
        <v>46455</v>
      </c>
      <c r="G443" s="53">
        <v>46456</v>
      </c>
      <c r="H443" s="52">
        <f t="shared" si="212"/>
        <v>0</v>
      </c>
      <c r="I443" s="52">
        <f t="shared" si="212"/>
        <v>0</v>
      </c>
      <c r="J443" s="52">
        <f t="shared" si="212"/>
        <v>0</v>
      </c>
      <c r="K443" s="52">
        <f t="shared" si="212"/>
        <v>0</v>
      </c>
      <c r="L443" s="52">
        <f t="shared" si="212"/>
        <v>0</v>
      </c>
      <c r="M443" s="52">
        <f t="shared" si="212"/>
        <v>0</v>
      </c>
      <c r="N443" s="52">
        <f t="shared" si="212"/>
        <v>0</v>
      </c>
      <c r="O443" s="52">
        <f t="shared" si="212"/>
        <v>0</v>
      </c>
      <c r="P443" s="52">
        <f t="shared" si="212"/>
        <v>0</v>
      </c>
      <c r="Q443" s="52">
        <f t="shared" si="212"/>
        <v>0</v>
      </c>
      <c r="R443" s="52">
        <f t="shared" si="212"/>
        <v>0</v>
      </c>
      <c r="S443" s="52">
        <f t="shared" si="212"/>
        <v>0</v>
      </c>
      <c r="T443" s="52">
        <f t="shared" si="212"/>
        <v>0</v>
      </c>
      <c r="U443" s="52">
        <f t="shared" si="212"/>
        <v>0</v>
      </c>
      <c r="V443" s="52">
        <f t="shared" si="212"/>
        <v>0</v>
      </c>
      <c r="W443" s="52">
        <f t="shared" si="212"/>
        <v>0</v>
      </c>
      <c r="X443" s="52">
        <f t="shared" si="213"/>
        <v>0</v>
      </c>
      <c r="Y443" s="52">
        <f t="shared" si="213"/>
        <v>0</v>
      </c>
      <c r="Z443" s="52">
        <f t="shared" si="213"/>
        <v>0</v>
      </c>
      <c r="AA443" s="52">
        <f t="shared" si="213"/>
        <v>0</v>
      </c>
      <c r="AB443" s="52">
        <f t="shared" si="213"/>
        <v>0</v>
      </c>
      <c r="AC443" s="52">
        <f t="shared" si="213"/>
        <v>0</v>
      </c>
      <c r="AD443" s="52">
        <f t="shared" si="213"/>
        <v>0</v>
      </c>
      <c r="AE443" s="52">
        <f t="shared" si="213"/>
        <v>0</v>
      </c>
      <c r="AF443" s="52">
        <f t="shared" si="213"/>
        <v>0</v>
      </c>
      <c r="AG443" s="52">
        <f t="shared" si="213"/>
        <v>0</v>
      </c>
      <c r="AH443" s="52">
        <f t="shared" si="213"/>
        <v>0</v>
      </c>
      <c r="AI443" s="52">
        <f t="shared" si="213"/>
        <v>0</v>
      </c>
      <c r="AJ443" s="52">
        <f t="shared" si="213"/>
        <v>0</v>
      </c>
      <c r="AK443" s="52">
        <f t="shared" si="213"/>
        <v>0</v>
      </c>
      <c r="AL443" s="52">
        <f t="shared" si="213"/>
        <v>0</v>
      </c>
      <c r="AM443" s="52">
        <f t="shared" si="213"/>
        <v>0</v>
      </c>
      <c r="AN443" s="52">
        <f t="shared" si="213"/>
        <v>0</v>
      </c>
      <c r="AO443" s="52">
        <f t="shared" si="210"/>
        <v>0</v>
      </c>
      <c r="AP443" s="52">
        <f t="shared" si="210"/>
        <v>0</v>
      </c>
      <c r="AQ443" s="52">
        <f t="shared" si="210"/>
        <v>1</v>
      </c>
      <c r="AR443" s="52">
        <f t="shared" si="210"/>
        <v>1</v>
      </c>
      <c r="AS443" s="52">
        <f t="shared" si="210"/>
        <v>1</v>
      </c>
      <c r="AT443" s="52">
        <f t="shared" si="210"/>
        <v>1</v>
      </c>
      <c r="AU443" s="52">
        <f t="shared" si="210"/>
        <v>1</v>
      </c>
      <c r="AV443" s="52">
        <f t="shared" si="210"/>
        <v>1</v>
      </c>
      <c r="AW443" s="52">
        <f t="shared" si="210"/>
        <v>1</v>
      </c>
      <c r="AX443" s="52">
        <f t="shared" si="210"/>
        <v>1</v>
      </c>
      <c r="AY443" s="52">
        <f t="shared" si="210"/>
        <v>1</v>
      </c>
      <c r="AZ443" s="52">
        <f t="shared" si="210"/>
        <v>1</v>
      </c>
      <c r="BA443" s="52">
        <f t="shared" si="210"/>
        <v>1</v>
      </c>
      <c r="BB443" s="52">
        <f t="shared" si="210"/>
        <v>1</v>
      </c>
      <c r="BC443" s="52">
        <f t="shared" si="210"/>
        <v>1</v>
      </c>
      <c r="BD443" s="52">
        <f t="shared" si="210"/>
        <v>1</v>
      </c>
      <c r="BE443" s="52">
        <f t="shared" si="210"/>
        <v>1</v>
      </c>
      <c r="BF443" s="52">
        <f t="shared" si="210"/>
        <v>1</v>
      </c>
      <c r="BG443" s="52">
        <f t="shared" si="211"/>
        <v>1</v>
      </c>
      <c r="BH443" s="52">
        <f t="shared" si="211"/>
        <v>1</v>
      </c>
      <c r="BI443" s="52">
        <f t="shared" si="211"/>
        <v>1</v>
      </c>
      <c r="BJ443" s="52">
        <f t="shared" si="211"/>
        <v>1</v>
      </c>
      <c r="BK443" s="52">
        <f t="shared" si="211"/>
        <v>1</v>
      </c>
      <c r="BL443" s="52">
        <f t="shared" si="211"/>
        <v>1</v>
      </c>
      <c r="BM443" s="52">
        <f t="shared" si="211"/>
        <v>1</v>
      </c>
      <c r="BN443" s="52">
        <f t="shared" si="211"/>
        <v>1</v>
      </c>
      <c r="BO443" s="32">
        <f t="shared" si="192"/>
        <v>0.40677966101694918</v>
      </c>
    </row>
    <row r="444" spans="1:67" x14ac:dyDescent="0.2">
      <c r="A444" s="50" t="s">
        <v>896</v>
      </c>
      <c r="B444" s="50" t="s">
        <v>897</v>
      </c>
      <c r="C444" s="50" t="s">
        <v>238</v>
      </c>
      <c r="D444" s="51">
        <f>VLOOKUP(A444,'[1]Cuadro Control'!C485:J2374,8,FALSE)</f>
        <v>0</v>
      </c>
      <c r="E444" s="52">
        <f t="shared" si="208"/>
        <v>0</v>
      </c>
      <c r="F444" s="53">
        <v>46456</v>
      </c>
      <c r="G444" s="53">
        <v>46463</v>
      </c>
      <c r="H444" s="52">
        <f t="shared" si="212"/>
        <v>0</v>
      </c>
      <c r="I444" s="52">
        <f t="shared" si="212"/>
        <v>0</v>
      </c>
      <c r="J444" s="52">
        <f t="shared" si="212"/>
        <v>0</v>
      </c>
      <c r="K444" s="52">
        <f t="shared" si="212"/>
        <v>0</v>
      </c>
      <c r="L444" s="52">
        <f t="shared" si="212"/>
        <v>0</v>
      </c>
      <c r="M444" s="52">
        <f t="shared" si="212"/>
        <v>0</v>
      </c>
      <c r="N444" s="52">
        <f t="shared" si="212"/>
        <v>0</v>
      </c>
      <c r="O444" s="52">
        <f t="shared" si="212"/>
        <v>0</v>
      </c>
      <c r="P444" s="52">
        <f t="shared" si="212"/>
        <v>0</v>
      </c>
      <c r="Q444" s="52">
        <f t="shared" si="212"/>
        <v>0</v>
      </c>
      <c r="R444" s="52">
        <f t="shared" si="212"/>
        <v>0</v>
      </c>
      <c r="S444" s="52">
        <f t="shared" si="212"/>
        <v>0</v>
      </c>
      <c r="T444" s="52">
        <f t="shared" si="212"/>
        <v>0</v>
      </c>
      <c r="U444" s="52">
        <f t="shared" si="212"/>
        <v>0</v>
      </c>
      <c r="V444" s="52">
        <f t="shared" si="212"/>
        <v>0</v>
      </c>
      <c r="W444" s="52">
        <f t="shared" si="212"/>
        <v>0</v>
      </c>
      <c r="X444" s="52">
        <f t="shared" si="213"/>
        <v>0</v>
      </c>
      <c r="Y444" s="52">
        <f t="shared" si="213"/>
        <v>0</v>
      </c>
      <c r="Z444" s="52">
        <f t="shared" si="213"/>
        <v>0</v>
      </c>
      <c r="AA444" s="52">
        <f t="shared" si="213"/>
        <v>0</v>
      </c>
      <c r="AB444" s="52">
        <f t="shared" si="213"/>
        <v>0</v>
      </c>
      <c r="AC444" s="52">
        <f t="shared" si="213"/>
        <v>0</v>
      </c>
      <c r="AD444" s="52">
        <f t="shared" si="213"/>
        <v>0</v>
      </c>
      <c r="AE444" s="52">
        <f t="shared" si="213"/>
        <v>0</v>
      </c>
      <c r="AF444" s="52">
        <f t="shared" si="213"/>
        <v>0</v>
      </c>
      <c r="AG444" s="52">
        <f t="shared" si="213"/>
        <v>0</v>
      </c>
      <c r="AH444" s="52">
        <f t="shared" si="213"/>
        <v>0</v>
      </c>
      <c r="AI444" s="52">
        <f t="shared" si="213"/>
        <v>0</v>
      </c>
      <c r="AJ444" s="52">
        <f t="shared" si="213"/>
        <v>0</v>
      </c>
      <c r="AK444" s="52">
        <f t="shared" si="213"/>
        <v>0</v>
      </c>
      <c r="AL444" s="52">
        <f t="shared" si="213"/>
        <v>0</v>
      </c>
      <c r="AM444" s="52">
        <f t="shared" si="213"/>
        <v>0</v>
      </c>
      <c r="AN444" s="52">
        <f t="shared" si="213"/>
        <v>0</v>
      </c>
      <c r="AO444" s="52">
        <f t="shared" si="210"/>
        <v>0</v>
      </c>
      <c r="AP444" s="52">
        <f t="shared" si="210"/>
        <v>0</v>
      </c>
      <c r="AQ444" s="52">
        <f t="shared" si="210"/>
        <v>0.375</v>
      </c>
      <c r="AR444" s="52">
        <f t="shared" si="210"/>
        <v>1</v>
      </c>
      <c r="AS444" s="52">
        <f t="shared" si="210"/>
        <v>1</v>
      </c>
      <c r="AT444" s="52">
        <f t="shared" si="210"/>
        <v>1</v>
      </c>
      <c r="AU444" s="52">
        <f t="shared" si="210"/>
        <v>1</v>
      </c>
      <c r="AV444" s="52">
        <f t="shared" si="210"/>
        <v>1</v>
      </c>
      <c r="AW444" s="52">
        <f t="shared" si="210"/>
        <v>1</v>
      </c>
      <c r="AX444" s="52">
        <f t="shared" si="210"/>
        <v>1</v>
      </c>
      <c r="AY444" s="52">
        <f t="shared" si="210"/>
        <v>1</v>
      </c>
      <c r="AZ444" s="52">
        <f t="shared" si="210"/>
        <v>1</v>
      </c>
      <c r="BA444" s="52">
        <f t="shared" si="210"/>
        <v>1</v>
      </c>
      <c r="BB444" s="52">
        <f t="shared" si="210"/>
        <v>1</v>
      </c>
      <c r="BC444" s="52">
        <f t="shared" si="210"/>
        <v>1</v>
      </c>
      <c r="BD444" s="52">
        <f t="shared" si="210"/>
        <v>1</v>
      </c>
      <c r="BE444" s="52">
        <f t="shared" si="210"/>
        <v>1</v>
      </c>
      <c r="BF444" s="52">
        <f t="shared" si="210"/>
        <v>1</v>
      </c>
      <c r="BG444" s="52">
        <f t="shared" si="211"/>
        <v>1</v>
      </c>
      <c r="BH444" s="52">
        <f t="shared" si="211"/>
        <v>1</v>
      </c>
      <c r="BI444" s="52">
        <f t="shared" si="211"/>
        <v>1</v>
      </c>
      <c r="BJ444" s="52">
        <f t="shared" si="211"/>
        <v>1</v>
      </c>
      <c r="BK444" s="52">
        <f t="shared" si="211"/>
        <v>1</v>
      </c>
      <c r="BL444" s="52">
        <f t="shared" si="211"/>
        <v>1</v>
      </c>
      <c r="BM444" s="52">
        <f t="shared" si="211"/>
        <v>1</v>
      </c>
      <c r="BN444" s="52">
        <f t="shared" si="211"/>
        <v>1</v>
      </c>
      <c r="BO444" s="32">
        <f t="shared" si="192"/>
        <v>0.3961864406779661</v>
      </c>
    </row>
    <row r="445" spans="1:67" ht="24" x14ac:dyDescent="0.2">
      <c r="A445" s="50" t="s">
        <v>898</v>
      </c>
      <c r="B445" s="50" t="s">
        <v>899</v>
      </c>
      <c r="C445" s="50" t="s">
        <v>126</v>
      </c>
      <c r="D445" s="51">
        <f>VLOOKUP(A445,'[1]Cuadro Control'!C486:J2375,8,FALSE)</f>
        <v>52736347.43270281</v>
      </c>
      <c r="E445" s="52">
        <f t="shared" si="208"/>
        <v>9.933624348213644E-3</v>
      </c>
      <c r="F445" s="53">
        <v>46463</v>
      </c>
      <c r="G445" s="53">
        <v>46466</v>
      </c>
      <c r="H445" s="52">
        <f t="shared" si="212"/>
        <v>0</v>
      </c>
      <c r="I445" s="52">
        <f t="shared" si="212"/>
        <v>0</v>
      </c>
      <c r="J445" s="52">
        <f t="shared" si="212"/>
        <v>0</v>
      </c>
      <c r="K445" s="52">
        <f t="shared" si="212"/>
        <v>0</v>
      </c>
      <c r="L445" s="52">
        <f t="shared" si="212"/>
        <v>0</v>
      </c>
      <c r="M445" s="52">
        <f t="shared" si="212"/>
        <v>0</v>
      </c>
      <c r="N445" s="52">
        <f t="shared" si="212"/>
        <v>0</v>
      </c>
      <c r="O445" s="52">
        <f t="shared" si="212"/>
        <v>0</v>
      </c>
      <c r="P445" s="52">
        <f t="shared" si="212"/>
        <v>0</v>
      </c>
      <c r="Q445" s="52">
        <f t="shared" si="212"/>
        <v>0</v>
      </c>
      <c r="R445" s="52">
        <f t="shared" si="212"/>
        <v>0</v>
      </c>
      <c r="S445" s="52">
        <f t="shared" si="212"/>
        <v>0</v>
      </c>
      <c r="T445" s="52">
        <f t="shared" si="212"/>
        <v>0</v>
      </c>
      <c r="U445" s="52">
        <f t="shared" si="212"/>
        <v>0</v>
      </c>
      <c r="V445" s="52">
        <f t="shared" si="212"/>
        <v>0</v>
      </c>
      <c r="W445" s="52">
        <f t="shared" si="212"/>
        <v>0</v>
      </c>
      <c r="X445" s="52">
        <f t="shared" si="213"/>
        <v>0</v>
      </c>
      <c r="Y445" s="52">
        <f t="shared" si="213"/>
        <v>0</v>
      </c>
      <c r="Z445" s="52">
        <f t="shared" si="213"/>
        <v>0</v>
      </c>
      <c r="AA445" s="52">
        <f t="shared" si="213"/>
        <v>0</v>
      </c>
      <c r="AB445" s="52">
        <f t="shared" si="213"/>
        <v>0</v>
      </c>
      <c r="AC445" s="52">
        <f t="shared" si="213"/>
        <v>0</v>
      </c>
      <c r="AD445" s="52">
        <f t="shared" si="213"/>
        <v>0</v>
      </c>
      <c r="AE445" s="52">
        <f t="shared" si="213"/>
        <v>0</v>
      </c>
      <c r="AF445" s="52">
        <f t="shared" si="213"/>
        <v>0</v>
      </c>
      <c r="AG445" s="52">
        <f t="shared" si="213"/>
        <v>0</v>
      </c>
      <c r="AH445" s="52">
        <f t="shared" si="213"/>
        <v>0</v>
      </c>
      <c r="AI445" s="52">
        <f t="shared" si="213"/>
        <v>0</v>
      </c>
      <c r="AJ445" s="52">
        <f t="shared" si="213"/>
        <v>0</v>
      </c>
      <c r="AK445" s="52">
        <f t="shared" si="213"/>
        <v>0</v>
      </c>
      <c r="AL445" s="52">
        <f t="shared" si="213"/>
        <v>0</v>
      </c>
      <c r="AM445" s="52">
        <f t="shared" si="213"/>
        <v>0</v>
      </c>
      <c r="AN445" s="52">
        <f t="shared" si="213"/>
        <v>0</v>
      </c>
      <c r="AO445" s="52">
        <f t="shared" si="210"/>
        <v>0</v>
      </c>
      <c r="AP445" s="52">
        <f t="shared" si="210"/>
        <v>0</v>
      </c>
      <c r="AQ445" s="52">
        <f t="shared" si="210"/>
        <v>0</v>
      </c>
      <c r="AR445" s="52">
        <f t="shared" si="210"/>
        <v>0.75</v>
      </c>
      <c r="AS445" s="52">
        <f t="shared" si="210"/>
        <v>1</v>
      </c>
      <c r="AT445" s="52">
        <f t="shared" si="210"/>
        <v>1</v>
      </c>
      <c r="AU445" s="52">
        <f t="shared" si="210"/>
        <v>1</v>
      </c>
      <c r="AV445" s="52">
        <f t="shared" si="210"/>
        <v>1</v>
      </c>
      <c r="AW445" s="52">
        <f t="shared" si="210"/>
        <v>1</v>
      </c>
      <c r="AX445" s="52">
        <f t="shared" si="210"/>
        <v>1</v>
      </c>
      <c r="AY445" s="52">
        <f t="shared" si="210"/>
        <v>1</v>
      </c>
      <c r="AZ445" s="52">
        <f t="shared" si="210"/>
        <v>1</v>
      </c>
      <c r="BA445" s="52">
        <f t="shared" si="210"/>
        <v>1</v>
      </c>
      <c r="BB445" s="52">
        <f t="shared" si="210"/>
        <v>1</v>
      </c>
      <c r="BC445" s="52">
        <f t="shared" si="210"/>
        <v>1</v>
      </c>
      <c r="BD445" s="52">
        <f t="shared" si="210"/>
        <v>1</v>
      </c>
      <c r="BE445" s="52">
        <f t="shared" si="210"/>
        <v>1</v>
      </c>
      <c r="BF445" s="52">
        <f t="shared" si="210"/>
        <v>1</v>
      </c>
      <c r="BG445" s="52">
        <f t="shared" si="211"/>
        <v>1</v>
      </c>
      <c r="BH445" s="52">
        <f t="shared" si="211"/>
        <v>1</v>
      </c>
      <c r="BI445" s="52">
        <f t="shared" si="211"/>
        <v>1</v>
      </c>
      <c r="BJ445" s="52">
        <f t="shared" si="211"/>
        <v>1</v>
      </c>
      <c r="BK445" s="52">
        <f t="shared" si="211"/>
        <v>1</v>
      </c>
      <c r="BL445" s="52">
        <f t="shared" si="211"/>
        <v>1</v>
      </c>
      <c r="BM445" s="52">
        <f t="shared" si="211"/>
        <v>1</v>
      </c>
      <c r="BN445" s="52">
        <f t="shared" si="211"/>
        <v>1</v>
      </c>
      <c r="BO445" s="32">
        <f t="shared" si="192"/>
        <v>0.38559322033898308</v>
      </c>
    </row>
    <row r="446" spans="1:67" ht="24" x14ac:dyDescent="0.2">
      <c r="A446" s="50" t="s">
        <v>900</v>
      </c>
      <c r="B446" s="50" t="s">
        <v>901</v>
      </c>
      <c r="C446" s="50" t="s">
        <v>117</v>
      </c>
      <c r="D446" s="51">
        <f>VLOOKUP(A446,'[1]Cuadro Control'!C487:J2376,8,FALSE)</f>
        <v>46410609.014634147</v>
      </c>
      <c r="E446" s="52">
        <f t="shared" si="208"/>
        <v>8.742083556535862E-3</v>
      </c>
      <c r="F446" s="53">
        <v>46466</v>
      </c>
      <c r="G446" s="53">
        <v>46470</v>
      </c>
      <c r="H446" s="52">
        <f t="shared" si="212"/>
        <v>0</v>
      </c>
      <c r="I446" s="52">
        <f t="shared" si="212"/>
        <v>0</v>
      </c>
      <c r="J446" s="52">
        <f t="shared" si="212"/>
        <v>0</v>
      </c>
      <c r="K446" s="52">
        <f t="shared" si="212"/>
        <v>0</v>
      </c>
      <c r="L446" s="52">
        <f t="shared" si="212"/>
        <v>0</v>
      </c>
      <c r="M446" s="52">
        <f t="shared" si="212"/>
        <v>0</v>
      </c>
      <c r="N446" s="52">
        <f t="shared" si="212"/>
        <v>0</v>
      </c>
      <c r="O446" s="52">
        <f t="shared" si="212"/>
        <v>0</v>
      </c>
      <c r="P446" s="52">
        <f t="shared" si="212"/>
        <v>0</v>
      </c>
      <c r="Q446" s="52">
        <f t="shared" si="212"/>
        <v>0</v>
      </c>
      <c r="R446" s="52">
        <f t="shared" si="212"/>
        <v>0</v>
      </c>
      <c r="S446" s="52">
        <f t="shared" si="212"/>
        <v>0</v>
      </c>
      <c r="T446" s="52">
        <f t="shared" si="212"/>
        <v>0</v>
      </c>
      <c r="U446" s="52">
        <f t="shared" si="212"/>
        <v>0</v>
      </c>
      <c r="V446" s="52">
        <f t="shared" si="212"/>
        <v>0</v>
      </c>
      <c r="W446" s="52">
        <f t="shared" si="212"/>
        <v>0</v>
      </c>
      <c r="X446" s="52">
        <f t="shared" si="213"/>
        <v>0</v>
      </c>
      <c r="Y446" s="52">
        <f t="shared" si="213"/>
        <v>0</v>
      </c>
      <c r="Z446" s="52">
        <f t="shared" si="213"/>
        <v>0</v>
      </c>
      <c r="AA446" s="52">
        <f t="shared" si="213"/>
        <v>0</v>
      </c>
      <c r="AB446" s="52">
        <f t="shared" si="213"/>
        <v>0</v>
      </c>
      <c r="AC446" s="52">
        <f t="shared" si="213"/>
        <v>0</v>
      </c>
      <c r="AD446" s="52">
        <f t="shared" si="213"/>
        <v>0</v>
      </c>
      <c r="AE446" s="52">
        <f t="shared" si="213"/>
        <v>0</v>
      </c>
      <c r="AF446" s="52">
        <f t="shared" si="213"/>
        <v>0</v>
      </c>
      <c r="AG446" s="52">
        <f t="shared" si="213"/>
        <v>0</v>
      </c>
      <c r="AH446" s="52">
        <f t="shared" si="213"/>
        <v>0</v>
      </c>
      <c r="AI446" s="52">
        <f t="shared" si="213"/>
        <v>0</v>
      </c>
      <c r="AJ446" s="52">
        <f t="shared" si="213"/>
        <v>0</v>
      </c>
      <c r="AK446" s="52">
        <f t="shared" si="213"/>
        <v>0</v>
      </c>
      <c r="AL446" s="52">
        <f t="shared" si="213"/>
        <v>0</v>
      </c>
      <c r="AM446" s="52">
        <f t="shared" si="213"/>
        <v>0</v>
      </c>
      <c r="AN446" s="52">
        <f t="shared" si="213"/>
        <v>0</v>
      </c>
      <c r="AO446" s="52">
        <f t="shared" si="210"/>
        <v>0</v>
      </c>
      <c r="AP446" s="52">
        <f t="shared" si="210"/>
        <v>0</v>
      </c>
      <c r="AQ446" s="52">
        <f t="shared" si="210"/>
        <v>0</v>
      </c>
      <c r="AR446" s="52">
        <f t="shared" si="210"/>
        <v>0</v>
      </c>
      <c r="AS446" s="52">
        <f t="shared" si="210"/>
        <v>1</v>
      </c>
      <c r="AT446" s="52">
        <f t="shared" si="210"/>
        <v>1</v>
      </c>
      <c r="AU446" s="52">
        <f t="shared" si="210"/>
        <v>1</v>
      </c>
      <c r="AV446" s="52">
        <f t="shared" si="210"/>
        <v>1</v>
      </c>
      <c r="AW446" s="52">
        <f t="shared" si="210"/>
        <v>1</v>
      </c>
      <c r="AX446" s="52">
        <f t="shared" si="210"/>
        <v>1</v>
      </c>
      <c r="AY446" s="52">
        <f t="shared" si="210"/>
        <v>1</v>
      </c>
      <c r="AZ446" s="52">
        <f t="shared" si="210"/>
        <v>1</v>
      </c>
      <c r="BA446" s="52">
        <f t="shared" si="210"/>
        <v>1</v>
      </c>
      <c r="BB446" s="52">
        <f t="shared" si="210"/>
        <v>1</v>
      </c>
      <c r="BC446" s="52">
        <f t="shared" si="210"/>
        <v>1</v>
      </c>
      <c r="BD446" s="52">
        <f t="shared" si="210"/>
        <v>1</v>
      </c>
      <c r="BE446" s="52">
        <f t="shared" si="210"/>
        <v>1</v>
      </c>
      <c r="BF446" s="52">
        <f t="shared" si="210"/>
        <v>1</v>
      </c>
      <c r="BG446" s="52">
        <f t="shared" si="211"/>
        <v>1</v>
      </c>
      <c r="BH446" s="52">
        <f t="shared" si="211"/>
        <v>1</v>
      </c>
      <c r="BI446" s="52">
        <f t="shared" si="211"/>
        <v>1</v>
      </c>
      <c r="BJ446" s="52">
        <f t="shared" si="211"/>
        <v>1</v>
      </c>
      <c r="BK446" s="52">
        <f t="shared" si="211"/>
        <v>1</v>
      </c>
      <c r="BL446" s="52">
        <f t="shared" si="211"/>
        <v>1</v>
      </c>
      <c r="BM446" s="52">
        <f t="shared" si="211"/>
        <v>1</v>
      </c>
      <c r="BN446" s="52">
        <f t="shared" si="211"/>
        <v>1</v>
      </c>
      <c r="BO446" s="32">
        <f t="shared" si="192"/>
        <v>0.3728813559322034</v>
      </c>
    </row>
    <row r="447" spans="1:67" ht="24" x14ac:dyDescent="0.2">
      <c r="A447" s="50" t="s">
        <v>902</v>
      </c>
      <c r="B447" s="50" t="s">
        <v>903</v>
      </c>
      <c r="C447" s="50" t="s">
        <v>61</v>
      </c>
      <c r="D447" s="51">
        <f>VLOOKUP(A447,'[1]Cuadro Control'!C488:J2377,8,FALSE)</f>
        <v>1587346329.5488234</v>
      </c>
      <c r="E447" s="52">
        <f t="shared" si="208"/>
        <v>0.29899875353285565</v>
      </c>
      <c r="F447" s="53">
        <v>46466</v>
      </c>
      <c r="G447" s="53">
        <v>46480</v>
      </c>
      <c r="H447" s="52">
        <f t="shared" si="212"/>
        <v>0</v>
      </c>
      <c r="I447" s="52">
        <f t="shared" si="212"/>
        <v>0</v>
      </c>
      <c r="J447" s="52">
        <f t="shared" si="212"/>
        <v>0</v>
      </c>
      <c r="K447" s="52">
        <f t="shared" si="212"/>
        <v>0</v>
      </c>
      <c r="L447" s="52">
        <f t="shared" si="212"/>
        <v>0</v>
      </c>
      <c r="M447" s="52">
        <f t="shared" si="212"/>
        <v>0</v>
      </c>
      <c r="N447" s="52">
        <f t="shared" si="212"/>
        <v>0</v>
      </c>
      <c r="O447" s="52">
        <f t="shared" si="212"/>
        <v>0</v>
      </c>
      <c r="P447" s="52">
        <f t="shared" si="212"/>
        <v>0</v>
      </c>
      <c r="Q447" s="52">
        <f t="shared" si="212"/>
        <v>0</v>
      </c>
      <c r="R447" s="52">
        <f t="shared" si="212"/>
        <v>0</v>
      </c>
      <c r="S447" s="52">
        <f t="shared" si="212"/>
        <v>0</v>
      </c>
      <c r="T447" s="52">
        <f t="shared" si="212"/>
        <v>0</v>
      </c>
      <c r="U447" s="52">
        <f t="shared" si="212"/>
        <v>0</v>
      </c>
      <c r="V447" s="52">
        <f t="shared" si="212"/>
        <v>0</v>
      </c>
      <c r="W447" s="52">
        <f t="shared" si="212"/>
        <v>0</v>
      </c>
      <c r="X447" s="52">
        <f t="shared" si="213"/>
        <v>0</v>
      </c>
      <c r="Y447" s="52">
        <f t="shared" si="213"/>
        <v>0</v>
      </c>
      <c r="Z447" s="52">
        <f t="shared" si="213"/>
        <v>0</v>
      </c>
      <c r="AA447" s="52">
        <f t="shared" si="213"/>
        <v>0</v>
      </c>
      <c r="AB447" s="52">
        <f t="shared" si="213"/>
        <v>0</v>
      </c>
      <c r="AC447" s="52">
        <f t="shared" si="213"/>
        <v>0</v>
      </c>
      <c r="AD447" s="52">
        <f t="shared" si="213"/>
        <v>0</v>
      </c>
      <c r="AE447" s="52">
        <f t="shared" si="213"/>
        <v>0</v>
      </c>
      <c r="AF447" s="52">
        <f t="shared" si="213"/>
        <v>0</v>
      </c>
      <c r="AG447" s="52">
        <f t="shared" si="213"/>
        <v>0</v>
      </c>
      <c r="AH447" s="52">
        <f t="shared" si="213"/>
        <v>0</v>
      </c>
      <c r="AI447" s="52">
        <f t="shared" si="213"/>
        <v>0</v>
      </c>
      <c r="AJ447" s="52">
        <f t="shared" si="213"/>
        <v>0</v>
      </c>
      <c r="AK447" s="52">
        <f t="shared" si="213"/>
        <v>0</v>
      </c>
      <c r="AL447" s="52">
        <f t="shared" si="213"/>
        <v>0</v>
      </c>
      <c r="AM447" s="52">
        <f t="shared" si="213"/>
        <v>0</v>
      </c>
      <c r="AN447" s="52">
        <f t="shared" si="213"/>
        <v>0</v>
      </c>
      <c r="AO447" s="52">
        <f t="shared" si="210"/>
        <v>0</v>
      </c>
      <c r="AP447" s="52">
        <f t="shared" si="210"/>
        <v>0</v>
      </c>
      <c r="AQ447" s="52">
        <f t="shared" si="210"/>
        <v>0</v>
      </c>
      <c r="AR447" s="52">
        <f t="shared" si="210"/>
        <v>0</v>
      </c>
      <c r="AS447" s="52">
        <f t="shared" si="210"/>
        <v>0.46666666666666667</v>
      </c>
      <c r="AT447" s="52">
        <f t="shared" si="210"/>
        <v>0.93333333333333335</v>
      </c>
      <c r="AU447" s="52">
        <f t="shared" si="210"/>
        <v>1</v>
      </c>
      <c r="AV447" s="52">
        <f t="shared" si="210"/>
        <v>1</v>
      </c>
      <c r="AW447" s="52">
        <f t="shared" si="210"/>
        <v>1</v>
      </c>
      <c r="AX447" s="52">
        <f t="shared" si="210"/>
        <v>1</v>
      </c>
      <c r="AY447" s="52">
        <f t="shared" si="210"/>
        <v>1</v>
      </c>
      <c r="AZ447" s="52">
        <f t="shared" si="210"/>
        <v>1</v>
      </c>
      <c r="BA447" s="52">
        <f t="shared" si="210"/>
        <v>1</v>
      </c>
      <c r="BB447" s="52">
        <f t="shared" si="210"/>
        <v>1</v>
      </c>
      <c r="BC447" s="52">
        <f t="shared" si="210"/>
        <v>1</v>
      </c>
      <c r="BD447" s="52">
        <f t="shared" si="210"/>
        <v>1</v>
      </c>
      <c r="BE447" s="52">
        <f t="shared" si="210"/>
        <v>1</v>
      </c>
      <c r="BF447" s="52">
        <f t="shared" si="210"/>
        <v>1</v>
      </c>
      <c r="BG447" s="52">
        <f t="shared" si="211"/>
        <v>1</v>
      </c>
      <c r="BH447" s="52">
        <f t="shared" si="211"/>
        <v>1</v>
      </c>
      <c r="BI447" s="52">
        <f t="shared" si="211"/>
        <v>1</v>
      </c>
      <c r="BJ447" s="52">
        <f t="shared" si="211"/>
        <v>1</v>
      </c>
      <c r="BK447" s="52">
        <f t="shared" si="211"/>
        <v>1</v>
      </c>
      <c r="BL447" s="52">
        <f t="shared" si="211"/>
        <v>1</v>
      </c>
      <c r="BM447" s="52">
        <f t="shared" si="211"/>
        <v>1</v>
      </c>
      <c r="BN447" s="52">
        <f t="shared" si="211"/>
        <v>1</v>
      </c>
      <c r="BO447" s="32">
        <f t="shared" si="192"/>
        <v>0.36271186440677966</v>
      </c>
    </row>
    <row r="448" spans="1:67" ht="30" x14ac:dyDescent="0.2">
      <c r="A448" s="46" t="s">
        <v>904</v>
      </c>
      <c r="B448" s="46" t="s">
        <v>905</v>
      </c>
      <c r="C448" s="46" t="s">
        <v>61</v>
      </c>
      <c r="D448" s="47">
        <f>VLOOKUP(A448,'[1]Cuadro Control'!C489:J2378,8,FALSE)</f>
        <v>179532477.23999998</v>
      </c>
      <c r="E448" s="48">
        <f t="shared" si="208"/>
        <v>3.3817438522495219E-2</v>
      </c>
      <c r="F448" s="49">
        <v>46470</v>
      </c>
      <c r="G448" s="49">
        <v>46485</v>
      </c>
      <c r="H448" s="48">
        <f t="shared" si="212"/>
        <v>0</v>
      </c>
      <c r="I448" s="48">
        <f t="shared" si="212"/>
        <v>0</v>
      </c>
      <c r="J448" s="48">
        <f t="shared" si="212"/>
        <v>0</v>
      </c>
      <c r="K448" s="48">
        <f t="shared" si="212"/>
        <v>0</v>
      </c>
      <c r="L448" s="48">
        <f t="shared" si="212"/>
        <v>0</v>
      </c>
      <c r="M448" s="48">
        <f t="shared" si="212"/>
        <v>0</v>
      </c>
      <c r="N448" s="48">
        <f t="shared" si="212"/>
        <v>0</v>
      </c>
      <c r="O448" s="48">
        <f t="shared" si="212"/>
        <v>0</v>
      </c>
      <c r="P448" s="48">
        <f t="shared" si="212"/>
        <v>0</v>
      </c>
      <c r="Q448" s="48">
        <f t="shared" si="212"/>
        <v>0</v>
      </c>
      <c r="R448" s="48">
        <f t="shared" si="212"/>
        <v>0</v>
      </c>
      <c r="S448" s="48">
        <f t="shared" si="212"/>
        <v>0</v>
      </c>
      <c r="T448" s="48">
        <f t="shared" si="212"/>
        <v>0</v>
      </c>
      <c r="U448" s="48">
        <f t="shared" si="212"/>
        <v>0</v>
      </c>
      <c r="V448" s="48">
        <f t="shared" si="212"/>
        <v>0</v>
      </c>
      <c r="W448" s="48">
        <f t="shared" si="212"/>
        <v>0</v>
      </c>
      <c r="X448" s="48">
        <f t="shared" si="213"/>
        <v>0</v>
      </c>
      <c r="Y448" s="48">
        <f t="shared" si="213"/>
        <v>0</v>
      </c>
      <c r="Z448" s="48">
        <f t="shared" si="213"/>
        <v>0</v>
      </c>
      <c r="AA448" s="48">
        <f t="shared" si="213"/>
        <v>0</v>
      </c>
      <c r="AB448" s="48">
        <f t="shared" si="213"/>
        <v>0</v>
      </c>
      <c r="AC448" s="48">
        <f t="shared" si="213"/>
        <v>0</v>
      </c>
      <c r="AD448" s="48">
        <f t="shared" si="213"/>
        <v>0</v>
      </c>
      <c r="AE448" s="48">
        <f t="shared" si="213"/>
        <v>0</v>
      </c>
      <c r="AF448" s="48">
        <f t="shared" si="213"/>
        <v>0</v>
      </c>
      <c r="AG448" s="48">
        <f t="shared" si="213"/>
        <v>0</v>
      </c>
      <c r="AH448" s="48">
        <f t="shared" si="213"/>
        <v>0</v>
      </c>
      <c r="AI448" s="48">
        <f t="shared" si="213"/>
        <v>0</v>
      </c>
      <c r="AJ448" s="48">
        <f t="shared" si="213"/>
        <v>0</v>
      </c>
      <c r="AK448" s="48">
        <f t="shared" si="213"/>
        <v>0</v>
      </c>
      <c r="AL448" s="48">
        <f t="shared" si="213"/>
        <v>0</v>
      </c>
      <c r="AM448" s="48">
        <f t="shared" si="213"/>
        <v>0</v>
      </c>
      <c r="AN448" s="48">
        <f t="shared" si="213"/>
        <v>0</v>
      </c>
      <c r="AO448" s="48">
        <f t="shared" si="210"/>
        <v>0</v>
      </c>
      <c r="AP448" s="48">
        <f t="shared" si="210"/>
        <v>0</v>
      </c>
      <c r="AQ448" s="48">
        <f t="shared" si="210"/>
        <v>0</v>
      </c>
      <c r="AR448" s="48">
        <f t="shared" si="210"/>
        <v>0</v>
      </c>
      <c r="AS448" s="48">
        <f t="shared" si="210"/>
        <v>0.1875</v>
      </c>
      <c r="AT448" s="48">
        <f t="shared" si="210"/>
        <v>0.625</v>
      </c>
      <c r="AU448" s="48">
        <f t="shared" si="210"/>
        <v>1</v>
      </c>
      <c r="AV448" s="48">
        <f t="shared" si="210"/>
        <v>1</v>
      </c>
      <c r="AW448" s="48">
        <f t="shared" si="210"/>
        <v>1</v>
      </c>
      <c r="AX448" s="48">
        <f t="shared" si="210"/>
        <v>1</v>
      </c>
      <c r="AY448" s="48">
        <f t="shared" si="210"/>
        <v>1</v>
      </c>
      <c r="AZ448" s="48">
        <f t="shared" si="210"/>
        <v>1</v>
      </c>
      <c r="BA448" s="48">
        <f t="shared" si="210"/>
        <v>1</v>
      </c>
      <c r="BB448" s="48">
        <f t="shared" si="210"/>
        <v>1</v>
      </c>
      <c r="BC448" s="48">
        <f t="shared" si="210"/>
        <v>1</v>
      </c>
      <c r="BD448" s="48">
        <f t="shared" si="210"/>
        <v>1</v>
      </c>
      <c r="BE448" s="48">
        <f t="shared" si="210"/>
        <v>1</v>
      </c>
      <c r="BF448" s="48">
        <f t="shared" si="210"/>
        <v>1</v>
      </c>
      <c r="BG448" s="48">
        <f t="shared" si="211"/>
        <v>1</v>
      </c>
      <c r="BH448" s="48">
        <f t="shared" si="211"/>
        <v>1</v>
      </c>
      <c r="BI448" s="48">
        <f t="shared" si="211"/>
        <v>1</v>
      </c>
      <c r="BJ448" s="48">
        <f t="shared" si="211"/>
        <v>1</v>
      </c>
      <c r="BK448" s="48">
        <f t="shared" si="211"/>
        <v>1</v>
      </c>
      <c r="BL448" s="48">
        <f t="shared" si="211"/>
        <v>1</v>
      </c>
      <c r="BM448" s="48">
        <f t="shared" si="211"/>
        <v>1</v>
      </c>
      <c r="BN448" s="48">
        <f t="shared" si="211"/>
        <v>1</v>
      </c>
      <c r="BO448" s="32">
        <f t="shared" si="192"/>
        <v>0.3527542372881356</v>
      </c>
    </row>
    <row r="449" spans="1:67" ht="24" x14ac:dyDescent="0.2">
      <c r="A449" s="55" t="s">
        <v>906</v>
      </c>
      <c r="B449" s="55" t="s">
        <v>907</v>
      </c>
      <c r="C449" s="55" t="s">
        <v>14</v>
      </c>
      <c r="D449" s="56">
        <f>VLOOKUP(A449,'[1]Cuadro Control'!C490:J2379,8,FALSE)</f>
        <v>0</v>
      </c>
      <c r="E449" s="57">
        <f>IFERROR(D449/$D$433,0)</f>
        <v>0</v>
      </c>
      <c r="F449" s="58">
        <v>46485</v>
      </c>
      <c r="G449" s="58">
        <v>46485</v>
      </c>
      <c r="H449" s="57">
        <f t="shared" si="212"/>
        <v>0</v>
      </c>
      <c r="I449" s="57">
        <f t="shared" si="212"/>
        <v>0</v>
      </c>
      <c r="J449" s="57">
        <f t="shared" si="212"/>
        <v>0</v>
      </c>
      <c r="K449" s="57">
        <f t="shared" si="212"/>
        <v>0</v>
      </c>
      <c r="L449" s="57">
        <f t="shared" si="212"/>
        <v>0</v>
      </c>
      <c r="M449" s="57">
        <f t="shared" si="212"/>
        <v>0</v>
      </c>
      <c r="N449" s="57">
        <f t="shared" si="212"/>
        <v>0</v>
      </c>
      <c r="O449" s="57">
        <f t="shared" si="212"/>
        <v>0</v>
      </c>
      <c r="P449" s="57">
        <f t="shared" si="212"/>
        <v>0</v>
      </c>
      <c r="Q449" s="57">
        <f t="shared" si="212"/>
        <v>0</v>
      </c>
      <c r="R449" s="57">
        <f t="shared" si="212"/>
        <v>0</v>
      </c>
      <c r="S449" s="57">
        <f t="shared" si="212"/>
        <v>0</v>
      </c>
      <c r="T449" s="57">
        <f t="shared" si="212"/>
        <v>0</v>
      </c>
      <c r="U449" s="57">
        <f t="shared" si="212"/>
        <v>0</v>
      </c>
      <c r="V449" s="57">
        <f t="shared" si="212"/>
        <v>0</v>
      </c>
      <c r="W449" s="57">
        <f t="shared" si="212"/>
        <v>0</v>
      </c>
      <c r="X449" s="57">
        <f t="shared" si="213"/>
        <v>0</v>
      </c>
      <c r="Y449" s="57">
        <f t="shared" si="213"/>
        <v>0</v>
      </c>
      <c r="Z449" s="57">
        <f t="shared" si="213"/>
        <v>0</v>
      </c>
      <c r="AA449" s="57">
        <f t="shared" si="213"/>
        <v>0</v>
      </c>
      <c r="AB449" s="57">
        <f t="shared" si="213"/>
        <v>0</v>
      </c>
      <c r="AC449" s="57">
        <f t="shared" si="213"/>
        <v>0</v>
      </c>
      <c r="AD449" s="57">
        <f t="shared" si="213"/>
        <v>0</v>
      </c>
      <c r="AE449" s="57">
        <f t="shared" si="213"/>
        <v>0</v>
      </c>
      <c r="AF449" s="57">
        <f t="shared" si="213"/>
        <v>0</v>
      </c>
      <c r="AG449" s="57">
        <f t="shared" si="213"/>
        <v>0</v>
      </c>
      <c r="AH449" s="57">
        <f t="shared" si="213"/>
        <v>0</v>
      </c>
      <c r="AI449" s="57">
        <f t="shared" si="213"/>
        <v>0</v>
      </c>
      <c r="AJ449" s="57">
        <f t="shared" si="213"/>
        <v>0</v>
      </c>
      <c r="AK449" s="57">
        <f t="shared" si="213"/>
        <v>0</v>
      </c>
      <c r="AL449" s="57">
        <f t="shared" si="213"/>
        <v>0</v>
      </c>
      <c r="AM449" s="57">
        <f t="shared" si="213"/>
        <v>0</v>
      </c>
      <c r="AN449" s="57">
        <f t="shared" si="213"/>
        <v>0</v>
      </c>
      <c r="AO449" s="57">
        <f t="shared" si="213"/>
        <v>0</v>
      </c>
      <c r="AP449" s="57">
        <f t="shared" si="213"/>
        <v>0</v>
      </c>
      <c r="AQ449" s="57">
        <f t="shared" si="213"/>
        <v>0</v>
      </c>
      <c r="AR449" s="57">
        <f t="shared" si="213"/>
        <v>0</v>
      </c>
      <c r="AS449" s="57">
        <f t="shared" si="213"/>
        <v>0</v>
      </c>
      <c r="AT449" s="57">
        <f t="shared" si="213"/>
        <v>0</v>
      </c>
      <c r="AU449" s="57">
        <f t="shared" si="213"/>
        <v>1</v>
      </c>
      <c r="AV449" s="57">
        <f t="shared" si="213"/>
        <v>1</v>
      </c>
      <c r="AW449" s="57">
        <f t="shared" si="213"/>
        <v>1</v>
      </c>
      <c r="AX449" s="57">
        <f t="shared" si="213"/>
        <v>1</v>
      </c>
      <c r="AY449" s="57">
        <f t="shared" si="213"/>
        <v>1</v>
      </c>
      <c r="AZ449" s="57">
        <f t="shared" si="213"/>
        <v>1</v>
      </c>
      <c r="BA449" s="57">
        <f t="shared" si="213"/>
        <v>1</v>
      </c>
      <c r="BB449" s="57">
        <f t="shared" si="213"/>
        <v>1</v>
      </c>
      <c r="BC449" s="57">
        <f t="shared" si="213"/>
        <v>1</v>
      </c>
      <c r="BD449" s="57">
        <f t="shared" si="210"/>
        <v>1</v>
      </c>
      <c r="BE449" s="57">
        <f t="shared" si="210"/>
        <v>1</v>
      </c>
      <c r="BF449" s="57">
        <f t="shared" si="210"/>
        <v>1</v>
      </c>
      <c r="BG449" s="57">
        <f t="shared" si="211"/>
        <v>1</v>
      </c>
      <c r="BH449" s="57">
        <f t="shared" si="211"/>
        <v>1</v>
      </c>
      <c r="BI449" s="57">
        <f t="shared" si="211"/>
        <v>1</v>
      </c>
      <c r="BJ449" s="57">
        <f t="shared" si="211"/>
        <v>1</v>
      </c>
      <c r="BK449" s="57">
        <f t="shared" si="211"/>
        <v>1</v>
      </c>
      <c r="BL449" s="57">
        <f t="shared" si="211"/>
        <v>1</v>
      </c>
      <c r="BM449" s="57">
        <f t="shared" si="211"/>
        <v>1</v>
      </c>
      <c r="BN449" s="57">
        <f t="shared" si="211"/>
        <v>1</v>
      </c>
      <c r="BO449" s="32">
        <f t="shared" si="192"/>
        <v>0.33898305084745761</v>
      </c>
    </row>
    <row r="450" spans="1:67" x14ac:dyDescent="0.2">
      <c r="A450" s="42" t="s">
        <v>908</v>
      </c>
      <c r="B450" s="42" t="s">
        <v>909</v>
      </c>
      <c r="C450" s="42" t="s">
        <v>467</v>
      </c>
      <c r="D450" s="43">
        <f>SUM(D451:D466)</f>
        <v>5308872732.0543728</v>
      </c>
      <c r="E450" s="44">
        <f>IFERROR(D450/$D$109,0)</f>
        <v>2.9408554574576196E-2</v>
      </c>
      <c r="F450" s="45">
        <v>46247</v>
      </c>
      <c r="G450" s="45">
        <v>46493</v>
      </c>
      <c r="H450" s="44">
        <f>SUMPRODUCT($E451:$E465,H451:H465)</f>
        <v>0</v>
      </c>
      <c r="I450" s="44">
        <f t="shared" ref="I450:BN450" si="214">SUMPRODUCT($E451:$E465,I451:I465)</f>
        <v>0</v>
      </c>
      <c r="J450" s="44">
        <f t="shared" si="214"/>
        <v>0</v>
      </c>
      <c r="K450" s="44">
        <f t="shared" si="214"/>
        <v>0</v>
      </c>
      <c r="L450" s="44">
        <f t="shared" si="214"/>
        <v>0</v>
      </c>
      <c r="M450" s="44">
        <f t="shared" si="214"/>
        <v>1.7824315727254982E-4</v>
      </c>
      <c r="N450" s="44">
        <f t="shared" si="214"/>
        <v>8.020942077264742E-4</v>
      </c>
      <c r="O450" s="44">
        <f t="shared" si="214"/>
        <v>1.4259452581803986E-3</v>
      </c>
      <c r="P450" s="44">
        <f t="shared" si="214"/>
        <v>2.049796308634323E-3</v>
      </c>
      <c r="Q450" s="44">
        <f t="shared" si="214"/>
        <v>2.6736473590882473E-3</v>
      </c>
      <c r="R450" s="44">
        <f t="shared" si="214"/>
        <v>3.2974984095421717E-3</v>
      </c>
      <c r="S450" s="44">
        <f t="shared" si="214"/>
        <v>3.9213494599960961E-3</v>
      </c>
      <c r="T450" s="44">
        <f t="shared" si="214"/>
        <v>4.5452005104500209E-3</v>
      </c>
      <c r="U450" s="44">
        <f t="shared" si="214"/>
        <v>5.1690515609039448E-3</v>
      </c>
      <c r="V450" s="44">
        <f t="shared" si="214"/>
        <v>5.7929026113578697E-3</v>
      </c>
      <c r="W450" s="44">
        <f t="shared" si="214"/>
        <v>6.4167536618117936E-3</v>
      </c>
      <c r="X450" s="44">
        <f t="shared" si="214"/>
        <v>7.0406047122657175E-3</v>
      </c>
      <c r="Y450" s="44">
        <f t="shared" si="214"/>
        <v>7.6644557627196424E-3</v>
      </c>
      <c r="Z450" s="44">
        <f t="shared" si="214"/>
        <v>8.2883068131735672E-3</v>
      </c>
      <c r="AA450" s="44">
        <f t="shared" si="214"/>
        <v>8.9121578636274911E-3</v>
      </c>
      <c r="AB450" s="44">
        <f t="shared" si="214"/>
        <v>9.5360089140814151E-3</v>
      </c>
      <c r="AC450" s="44">
        <f t="shared" si="214"/>
        <v>1.0159859964535339E-2</v>
      </c>
      <c r="AD450" s="44">
        <f t="shared" si="214"/>
        <v>1.0783711014989265E-2</v>
      </c>
      <c r="AE450" s="44">
        <f t="shared" si="214"/>
        <v>1.1407562065443189E-2</v>
      </c>
      <c r="AF450" s="44">
        <f t="shared" si="214"/>
        <v>1.2031413115897114E-2</v>
      </c>
      <c r="AG450" s="44">
        <f t="shared" si="214"/>
        <v>1.2655264166351037E-2</v>
      </c>
      <c r="AH450" s="44">
        <f t="shared" si="214"/>
        <v>1.327911521680496E-2</v>
      </c>
      <c r="AI450" s="44">
        <f t="shared" si="214"/>
        <v>1.3902966267258886E-2</v>
      </c>
      <c r="AJ450" s="44">
        <f t="shared" si="214"/>
        <v>1.452681731771281E-2</v>
      </c>
      <c r="AK450" s="44">
        <f t="shared" si="214"/>
        <v>1.5150668368166736E-2</v>
      </c>
      <c r="AL450" s="44">
        <f t="shared" si="214"/>
        <v>3.0395418282871511E-2</v>
      </c>
      <c r="AM450" s="44">
        <f t="shared" si="214"/>
        <v>7.4974154225142892E-2</v>
      </c>
      <c r="AN450" s="44">
        <f t="shared" si="214"/>
        <v>0.14113064513133328</v>
      </c>
      <c r="AO450" s="44">
        <f t="shared" si="214"/>
        <v>0.20094215853618863</v>
      </c>
      <c r="AP450" s="44">
        <f t="shared" si="214"/>
        <v>0.2897700087001287</v>
      </c>
      <c r="AQ450" s="44">
        <f t="shared" si="214"/>
        <v>0.37859785886406877</v>
      </c>
      <c r="AR450" s="44">
        <f t="shared" si="214"/>
        <v>0.64850810003989967</v>
      </c>
      <c r="AS450" s="44">
        <f t="shared" si="214"/>
        <v>0.64850810003989967</v>
      </c>
      <c r="AT450" s="44">
        <f t="shared" si="214"/>
        <v>0.71410290568127988</v>
      </c>
      <c r="AU450" s="44">
        <f t="shared" si="214"/>
        <v>0.90834159235553846</v>
      </c>
      <c r="AV450" s="44">
        <f t="shared" si="214"/>
        <v>1</v>
      </c>
      <c r="AW450" s="44">
        <f t="shared" si="214"/>
        <v>1</v>
      </c>
      <c r="AX450" s="44">
        <f t="shared" si="214"/>
        <v>1</v>
      </c>
      <c r="AY450" s="44">
        <f t="shared" si="214"/>
        <v>1</v>
      </c>
      <c r="AZ450" s="44">
        <f t="shared" si="214"/>
        <v>1</v>
      </c>
      <c r="BA450" s="44">
        <f t="shared" si="214"/>
        <v>1</v>
      </c>
      <c r="BB450" s="44">
        <f t="shared" si="214"/>
        <v>1</v>
      </c>
      <c r="BC450" s="44">
        <f t="shared" si="214"/>
        <v>1</v>
      </c>
      <c r="BD450" s="44">
        <f t="shared" si="214"/>
        <v>1</v>
      </c>
      <c r="BE450" s="44">
        <f t="shared" si="214"/>
        <v>1</v>
      </c>
      <c r="BF450" s="44">
        <f t="shared" si="214"/>
        <v>1</v>
      </c>
      <c r="BG450" s="44">
        <f t="shared" si="214"/>
        <v>1</v>
      </c>
      <c r="BH450" s="44">
        <f t="shared" si="214"/>
        <v>1</v>
      </c>
      <c r="BI450" s="44">
        <f t="shared" si="214"/>
        <v>1</v>
      </c>
      <c r="BJ450" s="44">
        <f t="shared" si="214"/>
        <v>1</v>
      </c>
      <c r="BK450" s="44">
        <f t="shared" si="214"/>
        <v>1</v>
      </c>
      <c r="BL450" s="44">
        <f t="shared" si="214"/>
        <v>1</v>
      </c>
      <c r="BM450" s="44">
        <f t="shared" si="214"/>
        <v>1</v>
      </c>
      <c r="BN450" s="44">
        <f t="shared" si="214"/>
        <v>1</v>
      </c>
      <c r="BO450" s="32">
        <f t="shared" si="192"/>
        <v>0.39367597179532787</v>
      </c>
    </row>
    <row r="451" spans="1:67" ht="24" x14ac:dyDescent="0.2">
      <c r="A451" s="50" t="s">
        <v>910</v>
      </c>
      <c r="B451" s="50" t="s">
        <v>911</v>
      </c>
      <c r="C451" s="50" t="s">
        <v>74</v>
      </c>
      <c r="D451" s="51">
        <f>VLOOKUP(A451,'[1]Cuadro Control'!C492:J2381,8,FALSE)</f>
        <v>83271780.884117648</v>
      </c>
      <c r="E451" s="52">
        <f t="shared" ref="E451:E465" si="215">IFERROR(D451/$D$450,0)</f>
        <v>1.5685397839984384E-2</v>
      </c>
      <c r="F451" s="53">
        <v>46247</v>
      </c>
      <c r="G451" s="53">
        <v>46422</v>
      </c>
      <c r="H451" s="52">
        <f t="shared" ref="H451:BN455" si="216">IF($F451=0,0,IF(H$6&lt;$F451,0,IF(H$6&gt;$G451,1,(H$6-$F451+1)/($G451-$F451+1))))</f>
        <v>0</v>
      </c>
      <c r="I451" s="52">
        <f t="shared" si="216"/>
        <v>0</v>
      </c>
      <c r="J451" s="52">
        <f t="shared" si="216"/>
        <v>0</v>
      </c>
      <c r="K451" s="52">
        <f t="shared" si="216"/>
        <v>0</v>
      </c>
      <c r="L451" s="52">
        <f t="shared" si="216"/>
        <v>0</v>
      </c>
      <c r="M451" s="52">
        <f t="shared" si="216"/>
        <v>1.1363636363636364E-2</v>
      </c>
      <c r="N451" s="52">
        <f t="shared" si="216"/>
        <v>5.113636363636364E-2</v>
      </c>
      <c r="O451" s="52">
        <f t="shared" si="216"/>
        <v>9.0909090909090912E-2</v>
      </c>
      <c r="P451" s="52">
        <f t="shared" si="216"/>
        <v>0.13068181818181818</v>
      </c>
      <c r="Q451" s="52">
        <f t="shared" si="216"/>
        <v>0.17045454545454544</v>
      </c>
      <c r="R451" s="52">
        <f t="shared" si="216"/>
        <v>0.21022727272727273</v>
      </c>
      <c r="S451" s="52">
        <f t="shared" si="216"/>
        <v>0.25</v>
      </c>
      <c r="T451" s="52">
        <f t="shared" si="216"/>
        <v>0.28977272727272729</v>
      </c>
      <c r="U451" s="52">
        <f t="shared" si="216"/>
        <v>0.32954545454545453</v>
      </c>
      <c r="V451" s="52">
        <f t="shared" si="216"/>
        <v>0.36931818181818182</v>
      </c>
      <c r="W451" s="52">
        <f t="shared" si="216"/>
        <v>0.40909090909090912</v>
      </c>
      <c r="X451" s="52">
        <f t="shared" si="216"/>
        <v>0.44886363636363635</v>
      </c>
      <c r="Y451" s="52">
        <f t="shared" si="216"/>
        <v>0.48863636363636365</v>
      </c>
      <c r="Z451" s="52">
        <f t="shared" si="216"/>
        <v>0.52840909090909094</v>
      </c>
      <c r="AA451" s="52">
        <f t="shared" si="216"/>
        <v>0.56818181818181823</v>
      </c>
      <c r="AB451" s="52">
        <f t="shared" si="216"/>
        <v>0.60795454545454541</v>
      </c>
      <c r="AC451" s="52">
        <f t="shared" si="216"/>
        <v>0.64772727272727271</v>
      </c>
      <c r="AD451" s="52">
        <f t="shared" si="216"/>
        <v>0.6875</v>
      </c>
      <c r="AE451" s="52">
        <f t="shared" si="216"/>
        <v>0.72727272727272729</v>
      </c>
      <c r="AF451" s="52">
        <f t="shared" si="216"/>
        <v>0.76704545454545459</v>
      </c>
      <c r="AG451" s="52">
        <f t="shared" si="216"/>
        <v>0.80681818181818177</v>
      </c>
      <c r="AH451" s="52">
        <f t="shared" si="216"/>
        <v>0.84659090909090906</v>
      </c>
      <c r="AI451" s="52">
        <f t="shared" si="216"/>
        <v>0.88636363636363635</v>
      </c>
      <c r="AJ451" s="52">
        <f t="shared" si="216"/>
        <v>0.92613636363636365</v>
      </c>
      <c r="AK451" s="52">
        <f t="shared" si="216"/>
        <v>0.96590909090909094</v>
      </c>
      <c r="AL451" s="52">
        <f t="shared" si="216"/>
        <v>1</v>
      </c>
      <c r="AM451" s="52">
        <f t="shared" si="216"/>
        <v>1</v>
      </c>
      <c r="AN451" s="52">
        <f t="shared" si="216"/>
        <v>1</v>
      </c>
      <c r="AO451" s="52">
        <f t="shared" si="216"/>
        <v>1</v>
      </c>
      <c r="AP451" s="52">
        <f t="shared" si="216"/>
        <v>1</v>
      </c>
      <c r="AQ451" s="52">
        <f t="shared" si="216"/>
        <v>1</v>
      </c>
      <c r="AR451" s="52">
        <f t="shared" si="216"/>
        <v>1</v>
      </c>
      <c r="AS451" s="52">
        <f t="shared" si="216"/>
        <v>1</v>
      </c>
      <c r="AT451" s="52">
        <f t="shared" si="216"/>
        <v>1</v>
      </c>
      <c r="AU451" s="52">
        <f t="shared" si="216"/>
        <v>1</v>
      </c>
      <c r="AV451" s="52">
        <f t="shared" si="216"/>
        <v>1</v>
      </c>
      <c r="AW451" s="52">
        <f t="shared" si="216"/>
        <v>1</v>
      </c>
      <c r="AX451" s="52">
        <f t="shared" si="216"/>
        <v>1</v>
      </c>
      <c r="AY451" s="52">
        <f t="shared" si="216"/>
        <v>1</v>
      </c>
      <c r="AZ451" s="52">
        <f t="shared" si="216"/>
        <v>1</v>
      </c>
      <c r="BA451" s="52">
        <f t="shared" si="216"/>
        <v>1</v>
      </c>
      <c r="BB451" s="52">
        <f t="shared" si="216"/>
        <v>1</v>
      </c>
      <c r="BC451" s="52">
        <f t="shared" si="216"/>
        <v>1</v>
      </c>
      <c r="BD451" s="52">
        <f t="shared" si="216"/>
        <v>1</v>
      </c>
      <c r="BE451" s="52">
        <f t="shared" si="216"/>
        <v>1</v>
      </c>
      <c r="BF451" s="52">
        <f t="shared" si="216"/>
        <v>1</v>
      </c>
      <c r="BG451" s="52">
        <f t="shared" si="216"/>
        <v>1</v>
      </c>
      <c r="BH451" s="52">
        <f t="shared" si="216"/>
        <v>1</v>
      </c>
      <c r="BI451" s="52">
        <f t="shared" si="216"/>
        <v>1</v>
      </c>
      <c r="BJ451" s="52">
        <f t="shared" si="216"/>
        <v>1</v>
      </c>
      <c r="BK451" s="52">
        <f t="shared" si="216"/>
        <v>1</v>
      </c>
      <c r="BL451" s="52">
        <f t="shared" si="216"/>
        <v>1</v>
      </c>
      <c r="BM451" s="52">
        <f t="shared" si="216"/>
        <v>1</v>
      </c>
      <c r="BN451" s="52">
        <f t="shared" si="216"/>
        <v>1</v>
      </c>
      <c r="BO451" s="32">
        <f t="shared" si="192"/>
        <v>0.69857473035439144</v>
      </c>
    </row>
    <row r="452" spans="1:67" x14ac:dyDescent="0.2">
      <c r="A452" s="50" t="s">
        <v>912</v>
      </c>
      <c r="B452" s="50" t="s">
        <v>913</v>
      </c>
      <c r="C452" s="50" t="s">
        <v>61</v>
      </c>
      <c r="D452" s="51">
        <f>VLOOKUP(A452,'[1]Cuadro Control'!C493:J2382,8,FALSE)</f>
        <v>312374505.66882348</v>
      </c>
      <c r="E452" s="52">
        <f t="shared" si="215"/>
        <v>5.8840081771548515E-2</v>
      </c>
      <c r="F452" s="53">
        <v>46422</v>
      </c>
      <c r="G452" s="53">
        <v>46429</v>
      </c>
      <c r="H452" s="52">
        <f t="shared" si="216"/>
        <v>0</v>
      </c>
      <c r="I452" s="52">
        <f t="shared" si="216"/>
        <v>0</v>
      </c>
      <c r="J452" s="52">
        <f t="shared" si="216"/>
        <v>0</v>
      </c>
      <c r="K452" s="52">
        <f t="shared" si="216"/>
        <v>0</v>
      </c>
      <c r="L452" s="52">
        <f t="shared" si="216"/>
        <v>0</v>
      </c>
      <c r="M452" s="52">
        <f t="shared" si="216"/>
        <v>0</v>
      </c>
      <c r="N452" s="52">
        <f t="shared" si="216"/>
        <v>0</v>
      </c>
      <c r="O452" s="52">
        <f t="shared" si="216"/>
        <v>0</v>
      </c>
      <c r="P452" s="52">
        <f t="shared" si="216"/>
        <v>0</v>
      </c>
      <c r="Q452" s="52">
        <f t="shared" si="216"/>
        <v>0</v>
      </c>
      <c r="R452" s="52">
        <f t="shared" si="216"/>
        <v>0</v>
      </c>
      <c r="S452" s="52">
        <f t="shared" si="216"/>
        <v>0</v>
      </c>
      <c r="T452" s="52">
        <f t="shared" si="216"/>
        <v>0</v>
      </c>
      <c r="U452" s="52">
        <f t="shared" si="216"/>
        <v>0</v>
      </c>
      <c r="V452" s="52">
        <f t="shared" si="216"/>
        <v>0</v>
      </c>
      <c r="W452" s="52">
        <f t="shared" si="216"/>
        <v>0</v>
      </c>
      <c r="X452" s="52">
        <f t="shared" si="216"/>
        <v>0</v>
      </c>
      <c r="Y452" s="52">
        <f t="shared" si="216"/>
        <v>0</v>
      </c>
      <c r="Z452" s="52">
        <f t="shared" si="216"/>
        <v>0</v>
      </c>
      <c r="AA452" s="52">
        <f t="shared" si="216"/>
        <v>0</v>
      </c>
      <c r="AB452" s="52">
        <f t="shared" si="216"/>
        <v>0</v>
      </c>
      <c r="AC452" s="52">
        <f t="shared" si="216"/>
        <v>0</v>
      </c>
      <c r="AD452" s="52">
        <f t="shared" si="216"/>
        <v>0</v>
      </c>
      <c r="AE452" s="52">
        <f t="shared" si="216"/>
        <v>0</v>
      </c>
      <c r="AF452" s="52">
        <f t="shared" si="216"/>
        <v>0</v>
      </c>
      <c r="AG452" s="52">
        <f t="shared" si="216"/>
        <v>0</v>
      </c>
      <c r="AH452" s="52">
        <f t="shared" si="216"/>
        <v>0</v>
      </c>
      <c r="AI452" s="52">
        <f t="shared" si="216"/>
        <v>0</v>
      </c>
      <c r="AJ452" s="52">
        <f t="shared" si="216"/>
        <v>0</v>
      </c>
      <c r="AK452" s="52">
        <f t="shared" si="216"/>
        <v>0</v>
      </c>
      <c r="AL452" s="52">
        <f t="shared" si="216"/>
        <v>0.25</v>
      </c>
      <c r="AM452" s="52">
        <f t="shared" si="216"/>
        <v>1</v>
      </c>
      <c r="AN452" s="52">
        <f t="shared" si="216"/>
        <v>1</v>
      </c>
      <c r="AO452" s="52">
        <f t="shared" si="216"/>
        <v>1</v>
      </c>
      <c r="AP452" s="52">
        <f t="shared" si="216"/>
        <v>1</v>
      </c>
      <c r="AQ452" s="52">
        <f t="shared" si="216"/>
        <v>1</v>
      </c>
      <c r="AR452" s="52">
        <f t="shared" si="216"/>
        <v>1</v>
      </c>
      <c r="AS452" s="52">
        <f t="shared" si="216"/>
        <v>1</v>
      </c>
      <c r="AT452" s="52">
        <f t="shared" si="216"/>
        <v>1</v>
      </c>
      <c r="AU452" s="52">
        <f t="shared" si="216"/>
        <v>1</v>
      </c>
      <c r="AV452" s="52">
        <f t="shared" si="216"/>
        <v>1</v>
      </c>
      <c r="AW452" s="52">
        <f t="shared" si="216"/>
        <v>1</v>
      </c>
      <c r="AX452" s="52">
        <f t="shared" si="216"/>
        <v>1</v>
      </c>
      <c r="AY452" s="52">
        <f t="shared" si="216"/>
        <v>1</v>
      </c>
      <c r="AZ452" s="52">
        <f t="shared" si="216"/>
        <v>1</v>
      </c>
      <c r="BA452" s="52">
        <f t="shared" si="216"/>
        <v>1</v>
      </c>
      <c r="BB452" s="52">
        <f t="shared" si="216"/>
        <v>1</v>
      </c>
      <c r="BC452" s="52">
        <f t="shared" si="216"/>
        <v>1</v>
      </c>
      <c r="BD452" s="52">
        <f t="shared" si="216"/>
        <v>1</v>
      </c>
      <c r="BE452" s="52">
        <f t="shared" si="216"/>
        <v>1</v>
      </c>
      <c r="BF452" s="52">
        <f t="shared" si="216"/>
        <v>1</v>
      </c>
      <c r="BG452" s="52">
        <f t="shared" si="216"/>
        <v>1</v>
      </c>
      <c r="BH452" s="52">
        <f t="shared" si="216"/>
        <v>1</v>
      </c>
      <c r="BI452" s="52">
        <f t="shared" si="216"/>
        <v>1</v>
      </c>
      <c r="BJ452" s="52">
        <f t="shared" si="216"/>
        <v>1</v>
      </c>
      <c r="BK452" s="52">
        <f t="shared" si="216"/>
        <v>1</v>
      </c>
      <c r="BL452" s="52">
        <f t="shared" si="216"/>
        <v>1</v>
      </c>
      <c r="BM452" s="52">
        <f t="shared" si="216"/>
        <v>1</v>
      </c>
      <c r="BN452" s="52">
        <f t="shared" si="216"/>
        <v>1</v>
      </c>
      <c r="BO452" s="32">
        <f t="shared" si="192"/>
        <v>0.4788135593220339</v>
      </c>
    </row>
    <row r="453" spans="1:67" ht="15" x14ac:dyDescent="0.2">
      <c r="A453" s="46" t="s">
        <v>914</v>
      </c>
      <c r="B453" s="46" t="s">
        <v>915</v>
      </c>
      <c r="C453" s="46" t="s">
        <v>126</v>
      </c>
      <c r="D453" s="47">
        <f>VLOOKUP(A453,'[1]Cuadro Control'!C494:J2383,8,FALSE)</f>
        <v>9527825.6870364472</v>
      </c>
      <c r="E453" s="48">
        <f t="shared" si="215"/>
        <v>1.794698454439963E-3</v>
      </c>
      <c r="F453" s="49">
        <v>46430</v>
      </c>
      <c r="G453" s="49">
        <v>46433</v>
      </c>
      <c r="H453" s="48">
        <f t="shared" si="216"/>
        <v>0</v>
      </c>
      <c r="I453" s="48">
        <f t="shared" si="216"/>
        <v>0</v>
      </c>
      <c r="J453" s="48">
        <f t="shared" si="216"/>
        <v>0</v>
      </c>
      <c r="K453" s="48">
        <f t="shared" si="216"/>
        <v>0</v>
      </c>
      <c r="L453" s="48">
        <f t="shared" si="216"/>
        <v>0</v>
      </c>
      <c r="M453" s="48">
        <f t="shared" si="216"/>
        <v>0</v>
      </c>
      <c r="N453" s="48">
        <f t="shared" si="216"/>
        <v>0</v>
      </c>
      <c r="O453" s="48">
        <f t="shared" si="216"/>
        <v>0</v>
      </c>
      <c r="P453" s="48">
        <f t="shared" si="216"/>
        <v>0</v>
      </c>
      <c r="Q453" s="48">
        <f t="shared" si="216"/>
        <v>0</v>
      </c>
      <c r="R453" s="48">
        <f t="shared" si="216"/>
        <v>0</v>
      </c>
      <c r="S453" s="48">
        <f t="shared" si="216"/>
        <v>0</v>
      </c>
      <c r="T453" s="48">
        <f t="shared" si="216"/>
        <v>0</v>
      </c>
      <c r="U453" s="48">
        <f t="shared" si="216"/>
        <v>0</v>
      </c>
      <c r="V453" s="48">
        <f t="shared" si="216"/>
        <v>0</v>
      </c>
      <c r="W453" s="48">
        <f t="shared" si="216"/>
        <v>0</v>
      </c>
      <c r="X453" s="48">
        <f t="shared" si="216"/>
        <v>0</v>
      </c>
      <c r="Y453" s="48">
        <f t="shared" si="216"/>
        <v>0</v>
      </c>
      <c r="Z453" s="48">
        <f t="shared" si="216"/>
        <v>0</v>
      </c>
      <c r="AA453" s="48">
        <f t="shared" si="216"/>
        <v>0</v>
      </c>
      <c r="AB453" s="48">
        <f t="shared" si="216"/>
        <v>0</v>
      </c>
      <c r="AC453" s="48">
        <f t="shared" si="216"/>
        <v>0</v>
      </c>
      <c r="AD453" s="48">
        <f t="shared" si="216"/>
        <v>0</v>
      </c>
      <c r="AE453" s="48">
        <f t="shared" si="216"/>
        <v>0</v>
      </c>
      <c r="AF453" s="48">
        <f t="shared" si="216"/>
        <v>0</v>
      </c>
      <c r="AG453" s="48">
        <f t="shared" si="216"/>
        <v>0</v>
      </c>
      <c r="AH453" s="48">
        <f t="shared" si="216"/>
        <v>0</v>
      </c>
      <c r="AI453" s="48">
        <f t="shared" si="216"/>
        <v>0</v>
      </c>
      <c r="AJ453" s="48">
        <f t="shared" si="216"/>
        <v>0</v>
      </c>
      <c r="AK453" s="48">
        <f t="shared" si="216"/>
        <v>0</v>
      </c>
      <c r="AL453" s="48">
        <f t="shared" si="216"/>
        <v>0</v>
      </c>
      <c r="AM453" s="48">
        <f t="shared" si="216"/>
        <v>0.25</v>
      </c>
      <c r="AN453" s="48">
        <f t="shared" si="216"/>
        <v>1</v>
      </c>
      <c r="AO453" s="48">
        <f t="shared" si="216"/>
        <v>1</v>
      </c>
      <c r="AP453" s="48">
        <f t="shared" si="216"/>
        <v>1</v>
      </c>
      <c r="AQ453" s="48">
        <f t="shared" si="216"/>
        <v>1</v>
      </c>
      <c r="AR453" s="48">
        <f t="shared" si="216"/>
        <v>1</v>
      </c>
      <c r="AS453" s="48">
        <f t="shared" si="216"/>
        <v>1</v>
      </c>
      <c r="AT453" s="48">
        <f t="shared" si="216"/>
        <v>1</v>
      </c>
      <c r="AU453" s="48">
        <f t="shared" si="216"/>
        <v>1</v>
      </c>
      <c r="AV453" s="48">
        <f t="shared" si="216"/>
        <v>1</v>
      </c>
      <c r="AW453" s="48">
        <f t="shared" si="216"/>
        <v>1</v>
      </c>
      <c r="AX453" s="48">
        <f t="shared" si="216"/>
        <v>1</v>
      </c>
      <c r="AY453" s="48">
        <f t="shared" si="216"/>
        <v>1</v>
      </c>
      <c r="AZ453" s="48">
        <f t="shared" si="216"/>
        <v>1</v>
      </c>
      <c r="BA453" s="48">
        <f t="shared" si="216"/>
        <v>1</v>
      </c>
      <c r="BB453" s="48">
        <f t="shared" si="216"/>
        <v>1</v>
      </c>
      <c r="BC453" s="48">
        <f t="shared" si="216"/>
        <v>1</v>
      </c>
      <c r="BD453" s="48">
        <f t="shared" si="216"/>
        <v>1</v>
      </c>
      <c r="BE453" s="48">
        <f t="shared" si="216"/>
        <v>1</v>
      </c>
      <c r="BF453" s="48">
        <f t="shared" si="216"/>
        <v>1</v>
      </c>
      <c r="BG453" s="48">
        <f t="shared" si="216"/>
        <v>1</v>
      </c>
      <c r="BH453" s="48">
        <f t="shared" si="216"/>
        <v>1</v>
      </c>
      <c r="BI453" s="48">
        <f t="shared" si="216"/>
        <v>1</v>
      </c>
      <c r="BJ453" s="48">
        <f t="shared" si="216"/>
        <v>1</v>
      </c>
      <c r="BK453" s="48">
        <f t="shared" si="216"/>
        <v>1</v>
      </c>
      <c r="BL453" s="48">
        <f t="shared" si="216"/>
        <v>1</v>
      </c>
      <c r="BM453" s="48">
        <f t="shared" si="216"/>
        <v>1</v>
      </c>
      <c r="BN453" s="48">
        <f t="shared" si="216"/>
        <v>1</v>
      </c>
      <c r="BO453" s="32">
        <f t="shared" si="192"/>
        <v>0.46186440677966101</v>
      </c>
    </row>
    <row r="454" spans="1:67" x14ac:dyDescent="0.2">
      <c r="A454" s="50" t="s">
        <v>916</v>
      </c>
      <c r="B454" s="50" t="s">
        <v>917</v>
      </c>
      <c r="C454" s="50" t="s">
        <v>117</v>
      </c>
      <c r="D454" s="51">
        <f>VLOOKUP(A454,'[1]Cuadro Control'!C495:J2384,8,FALSE)</f>
        <v>320494616.71764702</v>
      </c>
      <c r="E454" s="52">
        <f t="shared" si="215"/>
        <v>6.0369617599332674E-2</v>
      </c>
      <c r="F454" s="53">
        <v>46433</v>
      </c>
      <c r="G454" s="53">
        <v>46437</v>
      </c>
      <c r="H454" s="52">
        <f t="shared" si="216"/>
        <v>0</v>
      </c>
      <c r="I454" s="52">
        <f t="shared" si="216"/>
        <v>0</v>
      </c>
      <c r="J454" s="52">
        <f t="shared" si="216"/>
        <v>0</v>
      </c>
      <c r="K454" s="52">
        <f t="shared" si="216"/>
        <v>0</v>
      </c>
      <c r="L454" s="52">
        <f t="shared" si="216"/>
        <v>0</v>
      </c>
      <c r="M454" s="52">
        <f t="shared" si="216"/>
        <v>0</v>
      </c>
      <c r="N454" s="52">
        <f t="shared" si="216"/>
        <v>0</v>
      </c>
      <c r="O454" s="52">
        <f t="shared" si="216"/>
        <v>0</v>
      </c>
      <c r="P454" s="52">
        <f t="shared" si="216"/>
        <v>0</v>
      </c>
      <c r="Q454" s="52">
        <f t="shared" si="216"/>
        <v>0</v>
      </c>
      <c r="R454" s="52">
        <f t="shared" si="216"/>
        <v>0</v>
      </c>
      <c r="S454" s="52">
        <f t="shared" si="216"/>
        <v>0</v>
      </c>
      <c r="T454" s="52">
        <f t="shared" si="216"/>
        <v>0</v>
      </c>
      <c r="U454" s="52">
        <f t="shared" si="216"/>
        <v>0</v>
      </c>
      <c r="V454" s="52">
        <f t="shared" si="216"/>
        <v>0</v>
      </c>
      <c r="W454" s="52">
        <f t="shared" si="216"/>
        <v>0</v>
      </c>
      <c r="X454" s="52">
        <f t="shared" si="216"/>
        <v>0</v>
      </c>
      <c r="Y454" s="52">
        <f t="shared" si="216"/>
        <v>0</v>
      </c>
      <c r="Z454" s="52">
        <f t="shared" si="216"/>
        <v>0</v>
      </c>
      <c r="AA454" s="52">
        <f t="shared" si="216"/>
        <v>0</v>
      </c>
      <c r="AB454" s="52">
        <f t="shared" si="216"/>
        <v>0</v>
      </c>
      <c r="AC454" s="52">
        <f t="shared" si="216"/>
        <v>0</v>
      </c>
      <c r="AD454" s="52">
        <f t="shared" si="216"/>
        <v>0</v>
      </c>
      <c r="AE454" s="52">
        <f t="shared" si="216"/>
        <v>0</v>
      </c>
      <c r="AF454" s="52">
        <f t="shared" si="216"/>
        <v>0</v>
      </c>
      <c r="AG454" s="52">
        <f t="shared" si="216"/>
        <v>0</v>
      </c>
      <c r="AH454" s="52">
        <f t="shared" si="216"/>
        <v>0</v>
      </c>
      <c r="AI454" s="52">
        <f t="shared" si="216"/>
        <v>0</v>
      </c>
      <c r="AJ454" s="52">
        <f t="shared" si="216"/>
        <v>0</v>
      </c>
      <c r="AK454" s="52">
        <f t="shared" si="216"/>
        <v>0</v>
      </c>
      <c r="AL454" s="52">
        <f t="shared" si="216"/>
        <v>0</v>
      </c>
      <c r="AM454" s="52">
        <f t="shared" si="216"/>
        <v>0</v>
      </c>
      <c r="AN454" s="52">
        <f t="shared" si="216"/>
        <v>1</v>
      </c>
      <c r="AO454" s="52">
        <f t="shared" si="216"/>
        <v>1</v>
      </c>
      <c r="AP454" s="52">
        <f t="shared" si="216"/>
        <v>1</v>
      </c>
      <c r="AQ454" s="52">
        <f t="shared" si="216"/>
        <v>1</v>
      </c>
      <c r="AR454" s="52">
        <f t="shared" si="216"/>
        <v>1</v>
      </c>
      <c r="AS454" s="52">
        <f t="shared" si="216"/>
        <v>1</v>
      </c>
      <c r="AT454" s="52">
        <f t="shared" si="216"/>
        <v>1</v>
      </c>
      <c r="AU454" s="52">
        <f t="shared" si="216"/>
        <v>1</v>
      </c>
      <c r="AV454" s="52">
        <f t="shared" si="216"/>
        <v>1</v>
      </c>
      <c r="AW454" s="52">
        <f t="shared" si="216"/>
        <v>1</v>
      </c>
      <c r="AX454" s="52">
        <f t="shared" si="216"/>
        <v>1</v>
      </c>
      <c r="AY454" s="52">
        <f t="shared" si="216"/>
        <v>1</v>
      </c>
      <c r="AZ454" s="52">
        <f t="shared" si="216"/>
        <v>1</v>
      </c>
      <c r="BA454" s="52">
        <f t="shared" si="216"/>
        <v>1</v>
      </c>
      <c r="BB454" s="52">
        <f t="shared" si="216"/>
        <v>1</v>
      </c>
      <c r="BC454" s="52">
        <f t="shared" si="216"/>
        <v>1</v>
      </c>
      <c r="BD454" s="52">
        <f t="shared" si="216"/>
        <v>1</v>
      </c>
      <c r="BE454" s="52">
        <f t="shared" si="216"/>
        <v>1</v>
      </c>
      <c r="BF454" s="52">
        <f t="shared" si="216"/>
        <v>1</v>
      </c>
      <c r="BG454" s="52">
        <f t="shared" si="216"/>
        <v>1</v>
      </c>
      <c r="BH454" s="52">
        <f t="shared" si="216"/>
        <v>1</v>
      </c>
      <c r="BI454" s="52">
        <f t="shared" si="216"/>
        <v>1</v>
      </c>
      <c r="BJ454" s="52">
        <f t="shared" si="216"/>
        <v>1</v>
      </c>
      <c r="BK454" s="52">
        <f t="shared" si="216"/>
        <v>1</v>
      </c>
      <c r="BL454" s="52">
        <f t="shared" si="216"/>
        <v>1</v>
      </c>
      <c r="BM454" s="52">
        <f t="shared" si="216"/>
        <v>1</v>
      </c>
      <c r="BN454" s="52">
        <f t="shared" si="216"/>
        <v>1</v>
      </c>
      <c r="BO454" s="32">
        <f t="shared" si="192"/>
        <v>0.4576271186440678</v>
      </c>
    </row>
    <row r="455" spans="1:67" x14ac:dyDescent="0.2">
      <c r="A455" s="50" t="s">
        <v>918</v>
      </c>
      <c r="B455" s="50" t="s">
        <v>919</v>
      </c>
      <c r="C455" s="50" t="s">
        <v>111</v>
      </c>
      <c r="D455" s="51">
        <f>VLOOKUP(A455,'[1]Cuadro Control'!C496:J2385,8,FALSE)</f>
        <v>94303618.549411759</v>
      </c>
      <c r="E455" s="52">
        <f t="shared" si="215"/>
        <v>1.7763397864110998E-2</v>
      </c>
      <c r="F455" s="53">
        <v>46437</v>
      </c>
      <c r="G455" s="53">
        <v>46440</v>
      </c>
      <c r="H455" s="52">
        <f t="shared" si="216"/>
        <v>0</v>
      </c>
      <c r="I455" s="52">
        <f t="shared" si="216"/>
        <v>0</v>
      </c>
      <c r="J455" s="52">
        <f t="shared" si="216"/>
        <v>0</v>
      </c>
      <c r="K455" s="52">
        <f t="shared" si="216"/>
        <v>0</v>
      </c>
      <c r="L455" s="52">
        <f t="shared" si="216"/>
        <v>0</v>
      </c>
      <c r="M455" s="52">
        <f t="shared" si="216"/>
        <v>0</v>
      </c>
      <c r="N455" s="52">
        <f t="shared" si="216"/>
        <v>0</v>
      </c>
      <c r="O455" s="52">
        <f t="shared" si="216"/>
        <v>0</v>
      </c>
      <c r="P455" s="52">
        <f t="shared" si="216"/>
        <v>0</v>
      </c>
      <c r="Q455" s="52">
        <f t="shared" si="216"/>
        <v>0</v>
      </c>
      <c r="R455" s="52">
        <f t="shared" si="216"/>
        <v>0</v>
      </c>
      <c r="S455" s="52">
        <f t="shared" si="216"/>
        <v>0</v>
      </c>
      <c r="T455" s="52">
        <f t="shared" si="216"/>
        <v>0</v>
      </c>
      <c r="U455" s="52">
        <f t="shared" si="216"/>
        <v>0</v>
      </c>
      <c r="V455" s="52">
        <f t="shared" si="216"/>
        <v>0</v>
      </c>
      <c r="W455" s="52">
        <f t="shared" si="216"/>
        <v>0</v>
      </c>
      <c r="X455" s="52">
        <f t="shared" si="216"/>
        <v>0</v>
      </c>
      <c r="Y455" s="52">
        <f t="shared" si="216"/>
        <v>0</v>
      </c>
      <c r="Z455" s="52">
        <f t="shared" si="216"/>
        <v>0</v>
      </c>
      <c r="AA455" s="52">
        <f t="shared" ref="AA455:BF466" si="217">IF($F455=0,0,IF(AA$6&lt;$F455,0,IF(AA$6&gt;$G455,1,(AA$6-$F455+1)/($G455-$F455+1))))</f>
        <v>0</v>
      </c>
      <c r="AB455" s="52">
        <f t="shared" si="217"/>
        <v>0</v>
      </c>
      <c r="AC455" s="52">
        <f t="shared" si="217"/>
        <v>0</v>
      </c>
      <c r="AD455" s="52">
        <f t="shared" si="217"/>
        <v>0</v>
      </c>
      <c r="AE455" s="52">
        <f t="shared" si="217"/>
        <v>0</v>
      </c>
      <c r="AF455" s="52">
        <f t="shared" si="217"/>
        <v>0</v>
      </c>
      <c r="AG455" s="52">
        <f t="shared" si="217"/>
        <v>0</v>
      </c>
      <c r="AH455" s="52">
        <f t="shared" si="217"/>
        <v>0</v>
      </c>
      <c r="AI455" s="52">
        <f t="shared" si="217"/>
        <v>0</v>
      </c>
      <c r="AJ455" s="52">
        <f t="shared" si="217"/>
        <v>0</v>
      </c>
      <c r="AK455" s="52">
        <f t="shared" si="217"/>
        <v>0</v>
      </c>
      <c r="AL455" s="52">
        <f t="shared" si="217"/>
        <v>0</v>
      </c>
      <c r="AM455" s="52">
        <f t="shared" si="217"/>
        <v>0</v>
      </c>
      <c r="AN455" s="52">
        <f t="shared" si="217"/>
        <v>0.25</v>
      </c>
      <c r="AO455" s="52">
        <f t="shared" si="217"/>
        <v>1</v>
      </c>
      <c r="AP455" s="52">
        <f t="shared" si="217"/>
        <v>1</v>
      </c>
      <c r="AQ455" s="52">
        <f t="shared" si="217"/>
        <v>1</v>
      </c>
      <c r="AR455" s="52">
        <f t="shared" si="217"/>
        <v>1</v>
      </c>
      <c r="AS455" s="52">
        <f t="shared" si="217"/>
        <v>1</v>
      </c>
      <c r="AT455" s="52">
        <f t="shared" si="217"/>
        <v>1</v>
      </c>
      <c r="AU455" s="52">
        <f t="shared" si="217"/>
        <v>1</v>
      </c>
      <c r="AV455" s="52">
        <f t="shared" si="217"/>
        <v>1</v>
      </c>
      <c r="AW455" s="52">
        <f t="shared" si="217"/>
        <v>1</v>
      </c>
      <c r="AX455" s="52">
        <f t="shared" si="217"/>
        <v>1</v>
      </c>
      <c r="AY455" s="52">
        <f t="shared" si="217"/>
        <v>1</v>
      </c>
      <c r="AZ455" s="52">
        <f t="shared" si="217"/>
        <v>1</v>
      </c>
      <c r="BA455" s="52">
        <f t="shared" si="217"/>
        <v>1</v>
      </c>
      <c r="BB455" s="52">
        <f t="shared" si="217"/>
        <v>1</v>
      </c>
      <c r="BC455" s="52">
        <f t="shared" si="217"/>
        <v>1</v>
      </c>
      <c r="BD455" s="52">
        <f t="shared" si="217"/>
        <v>1</v>
      </c>
      <c r="BE455" s="52">
        <f t="shared" si="217"/>
        <v>1</v>
      </c>
      <c r="BF455" s="52">
        <f t="shared" si="217"/>
        <v>1</v>
      </c>
      <c r="BG455" s="52">
        <f t="shared" ref="BG455:BN466" si="218">IF($F455=0,0,IF(BG$6&lt;$F455,0,IF(BG$6&gt;$G455,1,(BG$6-$F455+1)/($G455-$F455+1))))</f>
        <v>1</v>
      </c>
      <c r="BH455" s="52">
        <f t="shared" si="218"/>
        <v>1</v>
      </c>
      <c r="BI455" s="52">
        <f t="shared" si="218"/>
        <v>1</v>
      </c>
      <c r="BJ455" s="52">
        <f t="shared" si="218"/>
        <v>1</v>
      </c>
      <c r="BK455" s="52">
        <f t="shared" si="218"/>
        <v>1</v>
      </c>
      <c r="BL455" s="52">
        <f t="shared" si="218"/>
        <v>1</v>
      </c>
      <c r="BM455" s="52">
        <f t="shared" si="218"/>
        <v>1</v>
      </c>
      <c r="BN455" s="52">
        <f t="shared" si="218"/>
        <v>1</v>
      </c>
      <c r="BO455" s="32">
        <f t="shared" si="192"/>
        <v>0.44491525423728812</v>
      </c>
    </row>
    <row r="456" spans="1:67" x14ac:dyDescent="0.2">
      <c r="A456" s="50" t="s">
        <v>920</v>
      </c>
      <c r="B456" s="50" t="s">
        <v>921</v>
      </c>
      <c r="C456" s="50" t="s">
        <v>238</v>
      </c>
      <c r="D456" s="51">
        <f>VLOOKUP(A456,'[1]Cuadro Control'!C497:J2386,8,FALSE)</f>
        <v>179436034.15411764</v>
      </c>
      <c r="E456" s="52">
        <f t="shared" si="215"/>
        <v>3.3799272126209236E-2</v>
      </c>
      <c r="F456" s="53">
        <v>46440</v>
      </c>
      <c r="G456" s="53">
        <v>46444</v>
      </c>
      <c r="H456" s="52">
        <f t="shared" ref="H456:W466" si="219">IF($F456=0,0,IF(H$6&lt;$F456,0,IF(H$6&gt;$G456,1,(H$6-$F456+1)/($G456-$F456+1))))</f>
        <v>0</v>
      </c>
      <c r="I456" s="52">
        <f t="shared" si="219"/>
        <v>0</v>
      </c>
      <c r="J456" s="52">
        <f t="shared" si="219"/>
        <v>0</v>
      </c>
      <c r="K456" s="52">
        <f t="shared" si="219"/>
        <v>0</v>
      </c>
      <c r="L456" s="52">
        <f t="shared" si="219"/>
        <v>0</v>
      </c>
      <c r="M456" s="52">
        <f t="shared" si="219"/>
        <v>0</v>
      </c>
      <c r="N456" s="52">
        <f t="shared" si="219"/>
        <v>0</v>
      </c>
      <c r="O456" s="52">
        <f t="shared" si="219"/>
        <v>0</v>
      </c>
      <c r="P456" s="52">
        <f t="shared" si="219"/>
        <v>0</v>
      </c>
      <c r="Q456" s="52">
        <f t="shared" si="219"/>
        <v>0</v>
      </c>
      <c r="R456" s="52">
        <f t="shared" si="219"/>
        <v>0</v>
      </c>
      <c r="S456" s="52">
        <f t="shared" si="219"/>
        <v>0</v>
      </c>
      <c r="T456" s="52">
        <f t="shared" si="219"/>
        <v>0</v>
      </c>
      <c r="U456" s="52">
        <f t="shared" si="219"/>
        <v>0</v>
      </c>
      <c r="V456" s="52">
        <f t="shared" si="219"/>
        <v>0</v>
      </c>
      <c r="W456" s="52">
        <f t="shared" si="219"/>
        <v>0</v>
      </c>
      <c r="X456" s="52">
        <f t="shared" ref="X456:BC466" si="220">IF($F456=0,0,IF(X$6&lt;$F456,0,IF(X$6&gt;$G456,1,(X$6-$F456+1)/($G456-$F456+1))))</f>
        <v>0</v>
      </c>
      <c r="Y456" s="52">
        <f t="shared" si="220"/>
        <v>0</v>
      </c>
      <c r="Z456" s="52">
        <f t="shared" si="220"/>
        <v>0</v>
      </c>
      <c r="AA456" s="52">
        <f t="shared" si="220"/>
        <v>0</v>
      </c>
      <c r="AB456" s="52">
        <f t="shared" si="220"/>
        <v>0</v>
      </c>
      <c r="AC456" s="52">
        <f t="shared" si="220"/>
        <v>0</v>
      </c>
      <c r="AD456" s="52">
        <f t="shared" si="220"/>
        <v>0</v>
      </c>
      <c r="AE456" s="52">
        <f t="shared" si="220"/>
        <v>0</v>
      </c>
      <c r="AF456" s="52">
        <f t="shared" si="220"/>
        <v>0</v>
      </c>
      <c r="AG456" s="52">
        <f t="shared" si="220"/>
        <v>0</v>
      </c>
      <c r="AH456" s="52">
        <f t="shared" si="220"/>
        <v>0</v>
      </c>
      <c r="AI456" s="52">
        <f t="shared" si="220"/>
        <v>0</v>
      </c>
      <c r="AJ456" s="52">
        <f t="shared" si="220"/>
        <v>0</v>
      </c>
      <c r="AK456" s="52">
        <f t="shared" si="220"/>
        <v>0</v>
      </c>
      <c r="AL456" s="52">
        <f t="shared" si="220"/>
        <v>0</v>
      </c>
      <c r="AM456" s="52">
        <f t="shared" si="220"/>
        <v>0</v>
      </c>
      <c r="AN456" s="52">
        <f t="shared" si="220"/>
        <v>0</v>
      </c>
      <c r="AO456" s="52">
        <f t="shared" si="217"/>
        <v>1</v>
      </c>
      <c r="AP456" s="52">
        <f t="shared" si="217"/>
        <v>1</v>
      </c>
      <c r="AQ456" s="52">
        <f t="shared" si="217"/>
        <v>1</v>
      </c>
      <c r="AR456" s="52">
        <f t="shared" si="217"/>
        <v>1</v>
      </c>
      <c r="AS456" s="52">
        <f t="shared" si="217"/>
        <v>1</v>
      </c>
      <c r="AT456" s="52">
        <f t="shared" si="217"/>
        <v>1</v>
      </c>
      <c r="AU456" s="52">
        <f t="shared" si="217"/>
        <v>1</v>
      </c>
      <c r="AV456" s="52">
        <f t="shared" si="217"/>
        <v>1</v>
      </c>
      <c r="AW456" s="52">
        <f t="shared" si="217"/>
        <v>1</v>
      </c>
      <c r="AX456" s="52">
        <f t="shared" si="217"/>
        <v>1</v>
      </c>
      <c r="AY456" s="52">
        <f t="shared" si="217"/>
        <v>1</v>
      </c>
      <c r="AZ456" s="52">
        <f t="shared" si="217"/>
        <v>1</v>
      </c>
      <c r="BA456" s="52">
        <f t="shared" si="217"/>
        <v>1</v>
      </c>
      <c r="BB456" s="52">
        <f t="shared" si="217"/>
        <v>1</v>
      </c>
      <c r="BC456" s="52">
        <f t="shared" si="217"/>
        <v>1</v>
      </c>
      <c r="BD456" s="52">
        <f t="shared" si="217"/>
        <v>1</v>
      </c>
      <c r="BE456" s="52">
        <f t="shared" si="217"/>
        <v>1</v>
      </c>
      <c r="BF456" s="52">
        <f t="shared" si="217"/>
        <v>1</v>
      </c>
      <c r="BG456" s="52">
        <f t="shared" si="218"/>
        <v>1</v>
      </c>
      <c r="BH456" s="52">
        <f t="shared" si="218"/>
        <v>1</v>
      </c>
      <c r="BI456" s="52">
        <f t="shared" si="218"/>
        <v>1</v>
      </c>
      <c r="BJ456" s="52">
        <f t="shared" si="218"/>
        <v>1</v>
      </c>
      <c r="BK456" s="52">
        <f t="shared" si="218"/>
        <v>1</v>
      </c>
      <c r="BL456" s="52">
        <f t="shared" si="218"/>
        <v>1</v>
      </c>
      <c r="BM456" s="52">
        <f t="shared" si="218"/>
        <v>1</v>
      </c>
      <c r="BN456" s="52">
        <f t="shared" si="218"/>
        <v>1</v>
      </c>
      <c r="BO456" s="32">
        <f t="shared" si="192"/>
        <v>0.44067796610169491</v>
      </c>
    </row>
    <row r="457" spans="1:67" x14ac:dyDescent="0.2">
      <c r="A457" s="50" t="s">
        <v>922</v>
      </c>
      <c r="B457" s="50" t="s">
        <v>923</v>
      </c>
      <c r="C457" s="50" t="s">
        <v>58</v>
      </c>
      <c r="D457" s="51">
        <f>VLOOKUP(A457,'[1]Cuadro Control'!C498:J2387,8,FALSE)</f>
        <v>1212623361.2117648</v>
      </c>
      <c r="E457" s="52">
        <f t="shared" si="215"/>
        <v>0.22841447185013161</v>
      </c>
      <c r="F457" s="53">
        <v>46444</v>
      </c>
      <c r="G457" s="53">
        <v>46461</v>
      </c>
      <c r="H457" s="52">
        <f t="shared" si="219"/>
        <v>0</v>
      </c>
      <c r="I457" s="52">
        <f t="shared" si="219"/>
        <v>0</v>
      </c>
      <c r="J457" s="52">
        <f t="shared" si="219"/>
        <v>0</v>
      </c>
      <c r="K457" s="52">
        <f t="shared" si="219"/>
        <v>0</v>
      </c>
      <c r="L457" s="52">
        <f t="shared" si="219"/>
        <v>0</v>
      </c>
      <c r="M457" s="52">
        <f t="shared" si="219"/>
        <v>0</v>
      </c>
      <c r="N457" s="52">
        <f t="shared" si="219"/>
        <v>0</v>
      </c>
      <c r="O457" s="52">
        <f t="shared" si="219"/>
        <v>0</v>
      </c>
      <c r="P457" s="52">
        <f t="shared" si="219"/>
        <v>0</v>
      </c>
      <c r="Q457" s="52">
        <f t="shared" si="219"/>
        <v>0</v>
      </c>
      <c r="R457" s="52">
        <f t="shared" si="219"/>
        <v>0</v>
      </c>
      <c r="S457" s="52">
        <f t="shared" si="219"/>
        <v>0</v>
      </c>
      <c r="T457" s="52">
        <f t="shared" si="219"/>
        <v>0</v>
      </c>
      <c r="U457" s="52">
        <f t="shared" si="219"/>
        <v>0</v>
      </c>
      <c r="V457" s="52">
        <f t="shared" si="219"/>
        <v>0</v>
      </c>
      <c r="W457" s="52">
        <f t="shared" si="219"/>
        <v>0</v>
      </c>
      <c r="X457" s="52">
        <f t="shared" si="220"/>
        <v>0</v>
      </c>
      <c r="Y457" s="52">
        <f t="shared" si="220"/>
        <v>0</v>
      </c>
      <c r="Z457" s="52">
        <f t="shared" si="220"/>
        <v>0</v>
      </c>
      <c r="AA457" s="52">
        <f t="shared" si="220"/>
        <v>0</v>
      </c>
      <c r="AB457" s="52">
        <f t="shared" si="220"/>
        <v>0</v>
      </c>
      <c r="AC457" s="52">
        <f t="shared" si="220"/>
        <v>0</v>
      </c>
      <c r="AD457" s="52">
        <f t="shared" si="220"/>
        <v>0</v>
      </c>
      <c r="AE457" s="52">
        <f t="shared" si="220"/>
        <v>0</v>
      </c>
      <c r="AF457" s="52">
        <f t="shared" si="220"/>
        <v>0</v>
      </c>
      <c r="AG457" s="52">
        <f t="shared" si="220"/>
        <v>0</v>
      </c>
      <c r="AH457" s="52">
        <f t="shared" si="220"/>
        <v>0</v>
      </c>
      <c r="AI457" s="52">
        <f t="shared" si="220"/>
        <v>0</v>
      </c>
      <c r="AJ457" s="52">
        <f t="shared" si="220"/>
        <v>0</v>
      </c>
      <c r="AK457" s="52">
        <f t="shared" si="220"/>
        <v>0</v>
      </c>
      <c r="AL457" s="52">
        <f t="shared" si="220"/>
        <v>0</v>
      </c>
      <c r="AM457" s="52">
        <f t="shared" si="220"/>
        <v>0</v>
      </c>
      <c r="AN457" s="52">
        <f t="shared" si="220"/>
        <v>0</v>
      </c>
      <c r="AO457" s="52">
        <f t="shared" si="217"/>
        <v>5.5555555555555552E-2</v>
      </c>
      <c r="AP457" s="52">
        <f t="shared" si="217"/>
        <v>0.44444444444444442</v>
      </c>
      <c r="AQ457" s="52">
        <f t="shared" si="217"/>
        <v>0.83333333333333337</v>
      </c>
      <c r="AR457" s="52">
        <f t="shared" si="217"/>
        <v>1</v>
      </c>
      <c r="AS457" s="52">
        <f t="shared" si="217"/>
        <v>1</v>
      </c>
      <c r="AT457" s="52">
        <f t="shared" si="217"/>
        <v>1</v>
      </c>
      <c r="AU457" s="52">
        <f t="shared" si="217"/>
        <v>1</v>
      </c>
      <c r="AV457" s="52">
        <f t="shared" si="217"/>
        <v>1</v>
      </c>
      <c r="AW457" s="52">
        <f t="shared" si="217"/>
        <v>1</v>
      </c>
      <c r="AX457" s="52">
        <f t="shared" si="217"/>
        <v>1</v>
      </c>
      <c r="AY457" s="52">
        <f t="shared" si="217"/>
        <v>1</v>
      </c>
      <c r="AZ457" s="52">
        <f t="shared" si="217"/>
        <v>1</v>
      </c>
      <c r="BA457" s="52">
        <f t="shared" si="217"/>
        <v>1</v>
      </c>
      <c r="BB457" s="52">
        <f t="shared" si="217"/>
        <v>1</v>
      </c>
      <c r="BC457" s="52">
        <f t="shared" si="217"/>
        <v>1</v>
      </c>
      <c r="BD457" s="52">
        <f t="shared" si="217"/>
        <v>1</v>
      </c>
      <c r="BE457" s="52">
        <f t="shared" si="217"/>
        <v>1</v>
      </c>
      <c r="BF457" s="52">
        <f t="shared" si="217"/>
        <v>1</v>
      </c>
      <c r="BG457" s="52">
        <f t="shared" si="218"/>
        <v>1</v>
      </c>
      <c r="BH457" s="52">
        <f t="shared" si="218"/>
        <v>1</v>
      </c>
      <c r="BI457" s="52">
        <f t="shared" si="218"/>
        <v>1</v>
      </c>
      <c r="BJ457" s="52">
        <f t="shared" si="218"/>
        <v>1</v>
      </c>
      <c r="BK457" s="52">
        <f t="shared" si="218"/>
        <v>1</v>
      </c>
      <c r="BL457" s="52">
        <f t="shared" si="218"/>
        <v>1</v>
      </c>
      <c r="BM457" s="52">
        <f t="shared" si="218"/>
        <v>1</v>
      </c>
      <c r="BN457" s="52">
        <f t="shared" si="218"/>
        <v>1</v>
      </c>
      <c r="BO457" s="32">
        <f t="shared" si="192"/>
        <v>0.41242937853107348</v>
      </c>
    </row>
    <row r="458" spans="1:67" x14ac:dyDescent="0.2">
      <c r="A458" s="50" t="s">
        <v>924</v>
      </c>
      <c r="B458" s="50" t="s">
        <v>925</v>
      </c>
      <c r="C458" s="50" t="s">
        <v>126</v>
      </c>
      <c r="D458" s="51">
        <f>VLOOKUP(A458,'[1]Cuadro Control'!C499:J2388,8,FALSE)</f>
        <v>0</v>
      </c>
      <c r="E458" s="52">
        <f t="shared" si="215"/>
        <v>0</v>
      </c>
      <c r="F458" s="53">
        <v>46461</v>
      </c>
      <c r="G458" s="53">
        <v>46463</v>
      </c>
      <c r="H458" s="52">
        <f t="shared" si="219"/>
        <v>0</v>
      </c>
      <c r="I458" s="52">
        <f t="shared" si="219"/>
        <v>0</v>
      </c>
      <c r="J458" s="52">
        <f t="shared" si="219"/>
        <v>0</v>
      </c>
      <c r="K458" s="52">
        <f t="shared" si="219"/>
        <v>0</v>
      </c>
      <c r="L458" s="52">
        <f t="shared" si="219"/>
        <v>0</v>
      </c>
      <c r="M458" s="52">
        <f t="shared" si="219"/>
        <v>0</v>
      </c>
      <c r="N458" s="52">
        <f t="shared" si="219"/>
        <v>0</v>
      </c>
      <c r="O458" s="52">
        <f t="shared" si="219"/>
        <v>0</v>
      </c>
      <c r="P458" s="52">
        <f t="shared" si="219"/>
        <v>0</v>
      </c>
      <c r="Q458" s="52">
        <f t="shared" si="219"/>
        <v>0</v>
      </c>
      <c r="R458" s="52">
        <f t="shared" si="219"/>
        <v>0</v>
      </c>
      <c r="S458" s="52">
        <f t="shared" si="219"/>
        <v>0</v>
      </c>
      <c r="T458" s="52">
        <f t="shared" si="219"/>
        <v>0</v>
      </c>
      <c r="U458" s="52">
        <f t="shared" si="219"/>
        <v>0</v>
      </c>
      <c r="V458" s="52">
        <f t="shared" si="219"/>
        <v>0</v>
      </c>
      <c r="W458" s="52">
        <f t="shared" si="219"/>
        <v>0</v>
      </c>
      <c r="X458" s="52">
        <f t="shared" si="220"/>
        <v>0</v>
      </c>
      <c r="Y458" s="52">
        <f t="shared" si="220"/>
        <v>0</v>
      </c>
      <c r="Z458" s="52">
        <f t="shared" si="220"/>
        <v>0</v>
      </c>
      <c r="AA458" s="52">
        <f t="shared" si="220"/>
        <v>0</v>
      </c>
      <c r="AB458" s="52">
        <f t="shared" si="220"/>
        <v>0</v>
      </c>
      <c r="AC458" s="52">
        <f t="shared" si="220"/>
        <v>0</v>
      </c>
      <c r="AD458" s="52">
        <f t="shared" si="220"/>
        <v>0</v>
      </c>
      <c r="AE458" s="52">
        <f t="shared" si="220"/>
        <v>0</v>
      </c>
      <c r="AF458" s="52">
        <f t="shared" si="220"/>
        <v>0</v>
      </c>
      <c r="AG458" s="52">
        <f t="shared" si="220"/>
        <v>0</v>
      </c>
      <c r="AH458" s="52">
        <f t="shared" si="220"/>
        <v>0</v>
      </c>
      <c r="AI458" s="52">
        <f t="shared" si="220"/>
        <v>0</v>
      </c>
      <c r="AJ458" s="52">
        <f t="shared" si="220"/>
        <v>0</v>
      </c>
      <c r="AK458" s="52">
        <f t="shared" si="220"/>
        <v>0</v>
      </c>
      <c r="AL458" s="52">
        <f t="shared" si="220"/>
        <v>0</v>
      </c>
      <c r="AM458" s="52">
        <f t="shared" si="220"/>
        <v>0</v>
      </c>
      <c r="AN458" s="52">
        <f t="shared" si="220"/>
        <v>0</v>
      </c>
      <c r="AO458" s="52">
        <f t="shared" si="217"/>
        <v>0</v>
      </c>
      <c r="AP458" s="52">
        <f t="shared" si="217"/>
        <v>0</v>
      </c>
      <c r="AQ458" s="52">
        <f t="shared" si="217"/>
        <v>0</v>
      </c>
      <c r="AR458" s="52">
        <f t="shared" si="217"/>
        <v>1</v>
      </c>
      <c r="AS458" s="52">
        <f t="shared" si="217"/>
        <v>1</v>
      </c>
      <c r="AT458" s="52">
        <f t="shared" si="217"/>
        <v>1</v>
      </c>
      <c r="AU458" s="52">
        <f t="shared" si="217"/>
        <v>1</v>
      </c>
      <c r="AV458" s="52">
        <f t="shared" si="217"/>
        <v>1</v>
      </c>
      <c r="AW458" s="52">
        <f t="shared" si="217"/>
        <v>1</v>
      </c>
      <c r="AX458" s="52">
        <f t="shared" si="217"/>
        <v>1</v>
      </c>
      <c r="AY458" s="52">
        <f t="shared" si="217"/>
        <v>1</v>
      </c>
      <c r="AZ458" s="52">
        <f t="shared" si="217"/>
        <v>1</v>
      </c>
      <c r="BA458" s="52">
        <f t="shared" si="217"/>
        <v>1</v>
      </c>
      <c r="BB458" s="52">
        <f t="shared" si="217"/>
        <v>1</v>
      </c>
      <c r="BC458" s="52">
        <f t="shared" si="217"/>
        <v>1</v>
      </c>
      <c r="BD458" s="52">
        <f t="shared" si="217"/>
        <v>1</v>
      </c>
      <c r="BE458" s="52">
        <f t="shared" si="217"/>
        <v>1</v>
      </c>
      <c r="BF458" s="52">
        <f t="shared" si="217"/>
        <v>1</v>
      </c>
      <c r="BG458" s="52">
        <f t="shared" si="218"/>
        <v>1</v>
      </c>
      <c r="BH458" s="52">
        <f t="shared" si="218"/>
        <v>1</v>
      </c>
      <c r="BI458" s="52">
        <f t="shared" si="218"/>
        <v>1</v>
      </c>
      <c r="BJ458" s="52">
        <f t="shared" si="218"/>
        <v>1</v>
      </c>
      <c r="BK458" s="52">
        <f t="shared" si="218"/>
        <v>1</v>
      </c>
      <c r="BL458" s="52">
        <f t="shared" si="218"/>
        <v>1</v>
      </c>
      <c r="BM458" s="52">
        <f t="shared" si="218"/>
        <v>1</v>
      </c>
      <c r="BN458" s="52">
        <f t="shared" si="218"/>
        <v>1</v>
      </c>
      <c r="BO458" s="32">
        <f t="shared" ref="BO458:BO521" si="221">+AVERAGE(H458:BN458)</f>
        <v>0.38983050847457629</v>
      </c>
    </row>
    <row r="459" spans="1:67" ht="24" x14ac:dyDescent="0.2">
      <c r="A459" s="55" t="s">
        <v>926</v>
      </c>
      <c r="B459" s="55" t="s">
        <v>927</v>
      </c>
      <c r="C459" s="55" t="s">
        <v>14</v>
      </c>
      <c r="D459" s="56">
        <f>VLOOKUP(A459,'[1]Cuadro Control'!C500:J2389,8,FALSE)</f>
        <v>0</v>
      </c>
      <c r="E459" s="57">
        <f t="shared" si="215"/>
        <v>0</v>
      </c>
      <c r="F459" s="58">
        <v>46461</v>
      </c>
      <c r="G459" s="58">
        <v>46461</v>
      </c>
      <c r="H459" s="57">
        <f t="shared" si="219"/>
        <v>0</v>
      </c>
      <c r="I459" s="57">
        <f t="shared" si="219"/>
        <v>0</v>
      </c>
      <c r="J459" s="57">
        <f t="shared" si="219"/>
        <v>0</v>
      </c>
      <c r="K459" s="57">
        <f t="shared" si="219"/>
        <v>0</v>
      </c>
      <c r="L459" s="57">
        <f t="shared" si="219"/>
        <v>0</v>
      </c>
      <c r="M459" s="57">
        <f t="shared" si="219"/>
        <v>0</v>
      </c>
      <c r="N459" s="57">
        <f t="shared" si="219"/>
        <v>0</v>
      </c>
      <c r="O459" s="57">
        <f t="shared" si="219"/>
        <v>0</v>
      </c>
      <c r="P459" s="57">
        <f t="shared" si="219"/>
        <v>0</v>
      </c>
      <c r="Q459" s="57">
        <f t="shared" si="219"/>
        <v>0</v>
      </c>
      <c r="R459" s="57">
        <f t="shared" si="219"/>
        <v>0</v>
      </c>
      <c r="S459" s="57">
        <f t="shared" si="219"/>
        <v>0</v>
      </c>
      <c r="T459" s="57">
        <f t="shared" si="219"/>
        <v>0</v>
      </c>
      <c r="U459" s="57">
        <f t="shared" si="219"/>
        <v>0</v>
      </c>
      <c r="V459" s="57">
        <f t="shared" si="219"/>
        <v>0</v>
      </c>
      <c r="W459" s="57">
        <f t="shared" si="219"/>
        <v>0</v>
      </c>
      <c r="X459" s="57">
        <f t="shared" si="220"/>
        <v>0</v>
      </c>
      <c r="Y459" s="57">
        <f t="shared" si="220"/>
        <v>0</v>
      </c>
      <c r="Z459" s="57">
        <f t="shared" si="220"/>
        <v>0</v>
      </c>
      <c r="AA459" s="57">
        <f t="shared" si="220"/>
        <v>0</v>
      </c>
      <c r="AB459" s="57">
        <f t="shared" si="220"/>
        <v>0</v>
      </c>
      <c r="AC459" s="57">
        <f t="shared" si="220"/>
        <v>0</v>
      </c>
      <c r="AD459" s="57">
        <f t="shared" si="220"/>
        <v>0</v>
      </c>
      <c r="AE459" s="57">
        <f t="shared" si="220"/>
        <v>0</v>
      </c>
      <c r="AF459" s="57">
        <f t="shared" si="220"/>
        <v>0</v>
      </c>
      <c r="AG459" s="57">
        <f t="shared" si="220"/>
        <v>0</v>
      </c>
      <c r="AH459" s="57">
        <f t="shared" si="220"/>
        <v>0</v>
      </c>
      <c r="AI459" s="57">
        <f t="shared" si="220"/>
        <v>0</v>
      </c>
      <c r="AJ459" s="57">
        <f t="shared" si="220"/>
        <v>0</v>
      </c>
      <c r="AK459" s="57">
        <f t="shared" si="220"/>
        <v>0</v>
      </c>
      <c r="AL459" s="57">
        <f t="shared" si="220"/>
        <v>0</v>
      </c>
      <c r="AM459" s="57">
        <f t="shared" si="220"/>
        <v>0</v>
      </c>
      <c r="AN459" s="57">
        <f t="shared" si="220"/>
        <v>0</v>
      </c>
      <c r="AO459" s="57">
        <f t="shared" si="217"/>
        <v>0</v>
      </c>
      <c r="AP459" s="57">
        <f t="shared" si="217"/>
        <v>0</v>
      </c>
      <c r="AQ459" s="57">
        <f t="shared" si="217"/>
        <v>0</v>
      </c>
      <c r="AR459" s="57">
        <f t="shared" si="217"/>
        <v>1</v>
      </c>
      <c r="AS459" s="57">
        <f t="shared" si="217"/>
        <v>1</v>
      </c>
      <c r="AT459" s="57">
        <f t="shared" si="217"/>
        <v>1</v>
      </c>
      <c r="AU459" s="57">
        <f t="shared" si="217"/>
        <v>1</v>
      </c>
      <c r="AV459" s="57">
        <f t="shared" si="217"/>
        <v>1</v>
      </c>
      <c r="AW459" s="57">
        <f t="shared" si="217"/>
        <v>1</v>
      </c>
      <c r="AX459" s="57">
        <f t="shared" si="217"/>
        <v>1</v>
      </c>
      <c r="AY459" s="57">
        <f t="shared" si="217"/>
        <v>1</v>
      </c>
      <c r="AZ459" s="57">
        <f t="shared" si="217"/>
        <v>1</v>
      </c>
      <c r="BA459" s="57">
        <f t="shared" si="217"/>
        <v>1</v>
      </c>
      <c r="BB459" s="57">
        <f t="shared" si="217"/>
        <v>1</v>
      </c>
      <c r="BC459" s="57">
        <f t="shared" si="217"/>
        <v>1</v>
      </c>
      <c r="BD459" s="57">
        <f t="shared" si="217"/>
        <v>1</v>
      </c>
      <c r="BE459" s="57">
        <f t="shared" si="217"/>
        <v>1</v>
      </c>
      <c r="BF459" s="57">
        <f t="shared" si="217"/>
        <v>1</v>
      </c>
      <c r="BG459" s="57">
        <f t="shared" si="218"/>
        <v>1</v>
      </c>
      <c r="BH459" s="57">
        <f t="shared" si="218"/>
        <v>1</v>
      </c>
      <c r="BI459" s="57">
        <f t="shared" si="218"/>
        <v>1</v>
      </c>
      <c r="BJ459" s="57">
        <f t="shared" si="218"/>
        <v>1</v>
      </c>
      <c r="BK459" s="57">
        <f t="shared" si="218"/>
        <v>1</v>
      </c>
      <c r="BL459" s="57">
        <f t="shared" si="218"/>
        <v>1</v>
      </c>
      <c r="BM459" s="57">
        <f t="shared" si="218"/>
        <v>1</v>
      </c>
      <c r="BN459" s="57">
        <f t="shared" si="218"/>
        <v>1</v>
      </c>
      <c r="BO459" s="32">
        <f t="shared" si="221"/>
        <v>0.38983050847457629</v>
      </c>
    </row>
    <row r="460" spans="1:67" x14ac:dyDescent="0.2">
      <c r="A460" s="50" t="s">
        <v>928</v>
      </c>
      <c r="B460" s="50" t="s">
        <v>929</v>
      </c>
      <c r="C460" s="50" t="s">
        <v>111</v>
      </c>
      <c r="D460" s="51">
        <f>VLOOKUP(A460,'[1]Cuadro Control'!C501:J2390,8,FALSE)</f>
        <v>1230815225.9452939</v>
      </c>
      <c r="E460" s="52">
        <f t="shared" si="215"/>
        <v>0.2318411625341423</v>
      </c>
      <c r="F460" s="53">
        <v>46464</v>
      </c>
      <c r="G460" s="53">
        <v>46464</v>
      </c>
      <c r="H460" s="52">
        <f t="shared" si="219"/>
        <v>0</v>
      </c>
      <c r="I460" s="52">
        <f t="shared" si="219"/>
        <v>0</v>
      </c>
      <c r="J460" s="52">
        <f t="shared" si="219"/>
        <v>0</v>
      </c>
      <c r="K460" s="52">
        <f t="shared" si="219"/>
        <v>0</v>
      </c>
      <c r="L460" s="52">
        <f t="shared" si="219"/>
        <v>0</v>
      </c>
      <c r="M460" s="52">
        <f t="shared" si="219"/>
        <v>0</v>
      </c>
      <c r="N460" s="52">
        <f t="shared" si="219"/>
        <v>0</v>
      </c>
      <c r="O460" s="52">
        <f t="shared" si="219"/>
        <v>0</v>
      </c>
      <c r="P460" s="52">
        <f t="shared" si="219"/>
        <v>0</v>
      </c>
      <c r="Q460" s="52">
        <f t="shared" si="219"/>
        <v>0</v>
      </c>
      <c r="R460" s="52">
        <f t="shared" si="219"/>
        <v>0</v>
      </c>
      <c r="S460" s="52">
        <f t="shared" si="219"/>
        <v>0</v>
      </c>
      <c r="T460" s="52">
        <f t="shared" si="219"/>
        <v>0</v>
      </c>
      <c r="U460" s="52">
        <f t="shared" si="219"/>
        <v>0</v>
      </c>
      <c r="V460" s="52">
        <f t="shared" si="219"/>
        <v>0</v>
      </c>
      <c r="W460" s="52">
        <f t="shared" si="219"/>
        <v>0</v>
      </c>
      <c r="X460" s="52">
        <f t="shared" si="220"/>
        <v>0</v>
      </c>
      <c r="Y460" s="52">
        <f t="shared" si="220"/>
        <v>0</v>
      </c>
      <c r="Z460" s="52">
        <f t="shared" si="220"/>
        <v>0</v>
      </c>
      <c r="AA460" s="52">
        <f t="shared" si="220"/>
        <v>0</v>
      </c>
      <c r="AB460" s="52">
        <f t="shared" si="220"/>
        <v>0</v>
      </c>
      <c r="AC460" s="52">
        <f t="shared" si="220"/>
        <v>0</v>
      </c>
      <c r="AD460" s="52">
        <f t="shared" si="220"/>
        <v>0</v>
      </c>
      <c r="AE460" s="52">
        <f t="shared" si="220"/>
        <v>0</v>
      </c>
      <c r="AF460" s="52">
        <f t="shared" si="220"/>
        <v>0</v>
      </c>
      <c r="AG460" s="52">
        <f t="shared" si="220"/>
        <v>0</v>
      </c>
      <c r="AH460" s="52">
        <f t="shared" si="220"/>
        <v>0</v>
      </c>
      <c r="AI460" s="52">
        <f t="shared" si="220"/>
        <v>0</v>
      </c>
      <c r="AJ460" s="52">
        <f t="shared" si="220"/>
        <v>0</v>
      </c>
      <c r="AK460" s="52">
        <f t="shared" si="220"/>
        <v>0</v>
      </c>
      <c r="AL460" s="52">
        <f t="shared" si="220"/>
        <v>0</v>
      </c>
      <c r="AM460" s="52">
        <f t="shared" si="220"/>
        <v>0</v>
      </c>
      <c r="AN460" s="52">
        <f t="shared" si="220"/>
        <v>0</v>
      </c>
      <c r="AO460" s="52">
        <f t="shared" si="217"/>
        <v>0</v>
      </c>
      <c r="AP460" s="52">
        <f t="shared" si="217"/>
        <v>0</v>
      </c>
      <c r="AQ460" s="52">
        <f t="shared" si="217"/>
        <v>0</v>
      </c>
      <c r="AR460" s="52">
        <f t="shared" si="217"/>
        <v>1</v>
      </c>
      <c r="AS460" s="52">
        <f t="shared" si="217"/>
        <v>1</v>
      </c>
      <c r="AT460" s="52">
        <f t="shared" si="217"/>
        <v>1</v>
      </c>
      <c r="AU460" s="52">
        <f t="shared" si="217"/>
        <v>1</v>
      </c>
      <c r="AV460" s="52">
        <f t="shared" si="217"/>
        <v>1</v>
      </c>
      <c r="AW460" s="52">
        <f t="shared" si="217"/>
        <v>1</v>
      </c>
      <c r="AX460" s="52">
        <f t="shared" si="217"/>
        <v>1</v>
      </c>
      <c r="AY460" s="52">
        <f t="shared" si="217"/>
        <v>1</v>
      </c>
      <c r="AZ460" s="52">
        <f t="shared" si="217"/>
        <v>1</v>
      </c>
      <c r="BA460" s="52">
        <f t="shared" si="217"/>
        <v>1</v>
      </c>
      <c r="BB460" s="52">
        <f t="shared" si="217"/>
        <v>1</v>
      </c>
      <c r="BC460" s="52">
        <f t="shared" si="217"/>
        <v>1</v>
      </c>
      <c r="BD460" s="52">
        <f t="shared" si="217"/>
        <v>1</v>
      </c>
      <c r="BE460" s="52">
        <f t="shared" si="217"/>
        <v>1</v>
      </c>
      <c r="BF460" s="52">
        <f t="shared" si="217"/>
        <v>1</v>
      </c>
      <c r="BG460" s="52">
        <f t="shared" si="218"/>
        <v>1</v>
      </c>
      <c r="BH460" s="52">
        <f t="shared" si="218"/>
        <v>1</v>
      </c>
      <c r="BI460" s="52">
        <f t="shared" si="218"/>
        <v>1</v>
      </c>
      <c r="BJ460" s="52">
        <f t="shared" si="218"/>
        <v>1</v>
      </c>
      <c r="BK460" s="52">
        <f t="shared" si="218"/>
        <v>1</v>
      </c>
      <c r="BL460" s="52">
        <f t="shared" si="218"/>
        <v>1</v>
      </c>
      <c r="BM460" s="52">
        <f t="shared" si="218"/>
        <v>1</v>
      </c>
      <c r="BN460" s="52">
        <f t="shared" si="218"/>
        <v>1</v>
      </c>
      <c r="BO460" s="32">
        <f t="shared" si="221"/>
        <v>0.38983050847457629</v>
      </c>
    </row>
    <row r="461" spans="1:67" x14ac:dyDescent="0.2">
      <c r="A461" s="50" t="s">
        <v>930</v>
      </c>
      <c r="B461" s="50" t="s">
        <v>931</v>
      </c>
      <c r="C461" s="50" t="s">
        <v>238</v>
      </c>
      <c r="D461" s="51">
        <f>VLOOKUP(A461,'[1]Cuadro Control'!C502:J2391,8,FALSE)</f>
        <v>0</v>
      </c>
      <c r="E461" s="52">
        <f t="shared" si="215"/>
        <v>0</v>
      </c>
      <c r="F461" s="53">
        <v>46464</v>
      </c>
      <c r="G461" s="53">
        <v>46476</v>
      </c>
      <c r="H461" s="52">
        <f t="shared" si="219"/>
        <v>0</v>
      </c>
      <c r="I461" s="52">
        <f t="shared" si="219"/>
        <v>0</v>
      </c>
      <c r="J461" s="52">
        <f t="shared" si="219"/>
        <v>0</v>
      </c>
      <c r="K461" s="52">
        <f t="shared" si="219"/>
        <v>0</v>
      </c>
      <c r="L461" s="52">
        <f t="shared" si="219"/>
        <v>0</v>
      </c>
      <c r="M461" s="52">
        <f t="shared" si="219"/>
        <v>0</v>
      </c>
      <c r="N461" s="52">
        <f t="shared" si="219"/>
        <v>0</v>
      </c>
      <c r="O461" s="52">
        <f t="shared" si="219"/>
        <v>0</v>
      </c>
      <c r="P461" s="52">
        <f t="shared" si="219"/>
        <v>0</v>
      </c>
      <c r="Q461" s="52">
        <f t="shared" si="219"/>
        <v>0</v>
      </c>
      <c r="R461" s="52">
        <f t="shared" si="219"/>
        <v>0</v>
      </c>
      <c r="S461" s="52">
        <f t="shared" si="219"/>
        <v>0</v>
      </c>
      <c r="T461" s="52">
        <f t="shared" si="219"/>
        <v>0</v>
      </c>
      <c r="U461" s="52">
        <f t="shared" si="219"/>
        <v>0</v>
      </c>
      <c r="V461" s="52">
        <f t="shared" si="219"/>
        <v>0</v>
      </c>
      <c r="W461" s="52">
        <f t="shared" si="219"/>
        <v>0</v>
      </c>
      <c r="X461" s="52">
        <f t="shared" si="220"/>
        <v>0</v>
      </c>
      <c r="Y461" s="52">
        <f t="shared" si="220"/>
        <v>0</v>
      </c>
      <c r="Z461" s="52">
        <f t="shared" si="220"/>
        <v>0</v>
      </c>
      <c r="AA461" s="52">
        <f t="shared" si="220"/>
        <v>0</v>
      </c>
      <c r="AB461" s="52">
        <f t="shared" si="220"/>
        <v>0</v>
      </c>
      <c r="AC461" s="52">
        <f t="shared" si="220"/>
        <v>0</v>
      </c>
      <c r="AD461" s="52">
        <f t="shared" si="220"/>
        <v>0</v>
      </c>
      <c r="AE461" s="52">
        <f t="shared" si="220"/>
        <v>0</v>
      </c>
      <c r="AF461" s="52">
        <f t="shared" si="220"/>
        <v>0</v>
      </c>
      <c r="AG461" s="52">
        <f t="shared" si="220"/>
        <v>0</v>
      </c>
      <c r="AH461" s="52">
        <f t="shared" si="220"/>
        <v>0</v>
      </c>
      <c r="AI461" s="52">
        <f t="shared" si="220"/>
        <v>0</v>
      </c>
      <c r="AJ461" s="52">
        <f t="shared" si="220"/>
        <v>0</v>
      </c>
      <c r="AK461" s="52">
        <f t="shared" si="220"/>
        <v>0</v>
      </c>
      <c r="AL461" s="52">
        <f t="shared" si="220"/>
        <v>0</v>
      </c>
      <c r="AM461" s="52">
        <f t="shared" si="220"/>
        <v>0</v>
      </c>
      <c r="AN461" s="52">
        <f t="shared" si="220"/>
        <v>0</v>
      </c>
      <c r="AO461" s="52">
        <f t="shared" si="217"/>
        <v>0</v>
      </c>
      <c r="AP461" s="52">
        <f t="shared" si="217"/>
        <v>0</v>
      </c>
      <c r="AQ461" s="52">
        <f t="shared" si="217"/>
        <v>0</v>
      </c>
      <c r="AR461" s="52">
        <f t="shared" si="217"/>
        <v>0.15384615384615385</v>
      </c>
      <c r="AS461" s="52">
        <f t="shared" si="217"/>
        <v>0.69230769230769229</v>
      </c>
      <c r="AT461" s="52">
        <f t="shared" si="217"/>
        <v>1</v>
      </c>
      <c r="AU461" s="52">
        <f t="shared" si="217"/>
        <v>1</v>
      </c>
      <c r="AV461" s="52">
        <f t="shared" si="217"/>
        <v>1</v>
      </c>
      <c r="AW461" s="52">
        <f t="shared" si="217"/>
        <v>1</v>
      </c>
      <c r="AX461" s="52">
        <f t="shared" si="217"/>
        <v>1</v>
      </c>
      <c r="AY461" s="52">
        <f t="shared" si="217"/>
        <v>1</v>
      </c>
      <c r="AZ461" s="52">
        <f t="shared" si="217"/>
        <v>1</v>
      </c>
      <c r="BA461" s="52">
        <f t="shared" si="217"/>
        <v>1</v>
      </c>
      <c r="BB461" s="52">
        <f t="shared" si="217"/>
        <v>1</v>
      </c>
      <c r="BC461" s="52">
        <f t="shared" si="217"/>
        <v>1</v>
      </c>
      <c r="BD461" s="52">
        <f t="shared" si="217"/>
        <v>1</v>
      </c>
      <c r="BE461" s="52">
        <f t="shared" si="217"/>
        <v>1</v>
      </c>
      <c r="BF461" s="52">
        <f t="shared" si="217"/>
        <v>1</v>
      </c>
      <c r="BG461" s="52">
        <f t="shared" si="218"/>
        <v>1</v>
      </c>
      <c r="BH461" s="52">
        <f t="shared" si="218"/>
        <v>1</v>
      </c>
      <c r="BI461" s="52">
        <f t="shared" si="218"/>
        <v>1</v>
      </c>
      <c r="BJ461" s="52">
        <f t="shared" si="218"/>
        <v>1</v>
      </c>
      <c r="BK461" s="52">
        <f t="shared" si="218"/>
        <v>1</v>
      </c>
      <c r="BL461" s="52">
        <f t="shared" si="218"/>
        <v>1</v>
      </c>
      <c r="BM461" s="52">
        <f t="shared" si="218"/>
        <v>1</v>
      </c>
      <c r="BN461" s="52">
        <f t="shared" si="218"/>
        <v>1</v>
      </c>
      <c r="BO461" s="32">
        <f t="shared" si="221"/>
        <v>0.37027379400260757</v>
      </c>
    </row>
    <row r="462" spans="1:67" ht="24" x14ac:dyDescent="0.2">
      <c r="A462" s="50" t="s">
        <v>932</v>
      </c>
      <c r="B462" s="50" t="s">
        <v>933</v>
      </c>
      <c r="C462" s="50" t="s">
        <v>126</v>
      </c>
      <c r="D462" s="51">
        <f>VLOOKUP(A462,'[1]Cuadro Control'!C503:J2392,8,FALSE)</f>
        <v>52736347.43270281</v>
      </c>
      <c r="E462" s="52">
        <f t="shared" si="215"/>
        <v>9.933624348213644E-3</v>
      </c>
      <c r="F462" s="53">
        <v>46476</v>
      </c>
      <c r="G462" s="53">
        <v>46478</v>
      </c>
      <c r="H462" s="52">
        <f t="shared" si="219"/>
        <v>0</v>
      </c>
      <c r="I462" s="52">
        <f t="shared" si="219"/>
        <v>0</v>
      </c>
      <c r="J462" s="52">
        <f t="shared" si="219"/>
        <v>0</v>
      </c>
      <c r="K462" s="52">
        <f t="shared" si="219"/>
        <v>0</v>
      </c>
      <c r="L462" s="52">
        <f t="shared" si="219"/>
        <v>0</v>
      </c>
      <c r="M462" s="52">
        <f t="shared" si="219"/>
        <v>0</v>
      </c>
      <c r="N462" s="52">
        <f t="shared" si="219"/>
        <v>0</v>
      </c>
      <c r="O462" s="52">
        <f t="shared" si="219"/>
        <v>0</v>
      </c>
      <c r="P462" s="52">
        <f t="shared" si="219"/>
        <v>0</v>
      </c>
      <c r="Q462" s="52">
        <f t="shared" si="219"/>
        <v>0</v>
      </c>
      <c r="R462" s="52">
        <f t="shared" si="219"/>
        <v>0</v>
      </c>
      <c r="S462" s="52">
        <f t="shared" si="219"/>
        <v>0</v>
      </c>
      <c r="T462" s="52">
        <f t="shared" si="219"/>
        <v>0</v>
      </c>
      <c r="U462" s="52">
        <f t="shared" si="219"/>
        <v>0</v>
      </c>
      <c r="V462" s="52">
        <f t="shared" si="219"/>
        <v>0</v>
      </c>
      <c r="W462" s="52">
        <f t="shared" si="219"/>
        <v>0</v>
      </c>
      <c r="X462" s="52">
        <f t="shared" si="220"/>
        <v>0</v>
      </c>
      <c r="Y462" s="52">
        <f t="shared" si="220"/>
        <v>0</v>
      </c>
      <c r="Z462" s="52">
        <f t="shared" si="220"/>
        <v>0</v>
      </c>
      <c r="AA462" s="52">
        <f t="shared" si="220"/>
        <v>0</v>
      </c>
      <c r="AB462" s="52">
        <f t="shared" si="220"/>
        <v>0</v>
      </c>
      <c r="AC462" s="52">
        <f t="shared" si="220"/>
        <v>0</v>
      </c>
      <c r="AD462" s="52">
        <f t="shared" si="220"/>
        <v>0</v>
      </c>
      <c r="AE462" s="52">
        <f t="shared" si="220"/>
        <v>0</v>
      </c>
      <c r="AF462" s="52">
        <f t="shared" si="220"/>
        <v>0</v>
      </c>
      <c r="AG462" s="52">
        <f t="shared" si="220"/>
        <v>0</v>
      </c>
      <c r="AH462" s="52">
        <f t="shared" si="220"/>
        <v>0</v>
      </c>
      <c r="AI462" s="52">
        <f t="shared" si="220"/>
        <v>0</v>
      </c>
      <c r="AJ462" s="52">
        <f t="shared" si="220"/>
        <v>0</v>
      </c>
      <c r="AK462" s="52">
        <f t="shared" si="220"/>
        <v>0</v>
      </c>
      <c r="AL462" s="52">
        <f t="shared" si="220"/>
        <v>0</v>
      </c>
      <c r="AM462" s="52">
        <f t="shared" si="220"/>
        <v>0</v>
      </c>
      <c r="AN462" s="52">
        <f t="shared" si="220"/>
        <v>0</v>
      </c>
      <c r="AO462" s="52">
        <f t="shared" si="217"/>
        <v>0</v>
      </c>
      <c r="AP462" s="52">
        <f t="shared" si="217"/>
        <v>0</v>
      </c>
      <c r="AQ462" s="52">
        <f t="shared" si="217"/>
        <v>0</v>
      </c>
      <c r="AR462" s="52">
        <f t="shared" si="217"/>
        <v>0</v>
      </c>
      <c r="AS462" s="52">
        <f t="shared" si="217"/>
        <v>0</v>
      </c>
      <c r="AT462" s="52">
        <f t="shared" si="217"/>
        <v>1</v>
      </c>
      <c r="AU462" s="52">
        <f t="shared" si="217"/>
        <v>1</v>
      </c>
      <c r="AV462" s="52">
        <f t="shared" si="217"/>
        <v>1</v>
      </c>
      <c r="AW462" s="52">
        <f t="shared" si="217"/>
        <v>1</v>
      </c>
      <c r="AX462" s="52">
        <f t="shared" si="217"/>
        <v>1</v>
      </c>
      <c r="AY462" s="52">
        <f t="shared" si="217"/>
        <v>1</v>
      </c>
      <c r="AZ462" s="52">
        <f t="shared" si="217"/>
        <v>1</v>
      </c>
      <c r="BA462" s="52">
        <f t="shared" si="217"/>
        <v>1</v>
      </c>
      <c r="BB462" s="52">
        <f t="shared" si="217"/>
        <v>1</v>
      </c>
      <c r="BC462" s="52">
        <f t="shared" si="217"/>
        <v>1</v>
      </c>
      <c r="BD462" s="52">
        <f t="shared" si="217"/>
        <v>1</v>
      </c>
      <c r="BE462" s="52">
        <f t="shared" si="217"/>
        <v>1</v>
      </c>
      <c r="BF462" s="52">
        <f t="shared" si="217"/>
        <v>1</v>
      </c>
      <c r="BG462" s="52">
        <f t="shared" si="218"/>
        <v>1</v>
      </c>
      <c r="BH462" s="52">
        <f t="shared" si="218"/>
        <v>1</v>
      </c>
      <c r="BI462" s="52">
        <f t="shared" si="218"/>
        <v>1</v>
      </c>
      <c r="BJ462" s="52">
        <f t="shared" si="218"/>
        <v>1</v>
      </c>
      <c r="BK462" s="52">
        <f t="shared" si="218"/>
        <v>1</v>
      </c>
      <c r="BL462" s="52">
        <f t="shared" si="218"/>
        <v>1</v>
      </c>
      <c r="BM462" s="52">
        <f t="shared" si="218"/>
        <v>1</v>
      </c>
      <c r="BN462" s="52">
        <f t="shared" si="218"/>
        <v>1</v>
      </c>
      <c r="BO462" s="32">
        <f t="shared" si="221"/>
        <v>0.3559322033898305</v>
      </c>
    </row>
    <row r="463" spans="1:67" ht="24" x14ac:dyDescent="0.2">
      <c r="A463" s="50" t="s">
        <v>934</v>
      </c>
      <c r="B463" s="50" t="s">
        <v>935</v>
      </c>
      <c r="C463" s="50" t="s">
        <v>117</v>
      </c>
      <c r="D463" s="51">
        <f>VLOOKUP(A463,'[1]Cuadro Control'!C504:J2393,8,FALSE)</f>
        <v>46410609.014634147</v>
      </c>
      <c r="E463" s="52">
        <f t="shared" si="215"/>
        <v>8.742083556535862E-3</v>
      </c>
      <c r="F463" s="53">
        <v>46478</v>
      </c>
      <c r="G463" s="53">
        <v>46480</v>
      </c>
      <c r="H463" s="52">
        <f t="shared" si="219"/>
        <v>0</v>
      </c>
      <c r="I463" s="52">
        <f t="shared" si="219"/>
        <v>0</v>
      </c>
      <c r="J463" s="52">
        <f t="shared" si="219"/>
        <v>0</v>
      </c>
      <c r="K463" s="52">
        <f t="shared" si="219"/>
        <v>0</v>
      </c>
      <c r="L463" s="52">
        <f t="shared" si="219"/>
        <v>0</v>
      </c>
      <c r="M463" s="52">
        <f t="shared" si="219"/>
        <v>0</v>
      </c>
      <c r="N463" s="52">
        <f t="shared" si="219"/>
        <v>0</v>
      </c>
      <c r="O463" s="52">
        <f t="shared" si="219"/>
        <v>0</v>
      </c>
      <c r="P463" s="52">
        <f t="shared" si="219"/>
        <v>0</v>
      </c>
      <c r="Q463" s="52">
        <f t="shared" si="219"/>
        <v>0</v>
      </c>
      <c r="R463" s="52">
        <f t="shared" si="219"/>
        <v>0</v>
      </c>
      <c r="S463" s="52">
        <f t="shared" si="219"/>
        <v>0</v>
      </c>
      <c r="T463" s="52">
        <f t="shared" si="219"/>
        <v>0</v>
      </c>
      <c r="U463" s="52">
        <f t="shared" si="219"/>
        <v>0</v>
      </c>
      <c r="V463" s="52">
        <f t="shared" si="219"/>
        <v>0</v>
      </c>
      <c r="W463" s="52">
        <f t="shared" si="219"/>
        <v>0</v>
      </c>
      <c r="X463" s="52">
        <f t="shared" si="220"/>
        <v>0</v>
      </c>
      <c r="Y463" s="52">
        <f t="shared" si="220"/>
        <v>0</v>
      </c>
      <c r="Z463" s="52">
        <f t="shared" si="220"/>
        <v>0</v>
      </c>
      <c r="AA463" s="52">
        <f t="shared" si="220"/>
        <v>0</v>
      </c>
      <c r="AB463" s="52">
        <f t="shared" si="220"/>
        <v>0</v>
      </c>
      <c r="AC463" s="52">
        <f t="shared" si="220"/>
        <v>0</v>
      </c>
      <c r="AD463" s="52">
        <f t="shared" si="220"/>
        <v>0</v>
      </c>
      <c r="AE463" s="52">
        <f t="shared" si="220"/>
        <v>0</v>
      </c>
      <c r="AF463" s="52">
        <f t="shared" si="220"/>
        <v>0</v>
      </c>
      <c r="AG463" s="52">
        <f t="shared" si="220"/>
        <v>0</v>
      </c>
      <c r="AH463" s="52">
        <f t="shared" si="220"/>
        <v>0</v>
      </c>
      <c r="AI463" s="52">
        <f t="shared" si="220"/>
        <v>0</v>
      </c>
      <c r="AJ463" s="52">
        <f t="shared" si="220"/>
        <v>0</v>
      </c>
      <c r="AK463" s="52">
        <f t="shared" si="220"/>
        <v>0</v>
      </c>
      <c r="AL463" s="52">
        <f t="shared" si="220"/>
        <v>0</v>
      </c>
      <c r="AM463" s="52">
        <f t="shared" si="220"/>
        <v>0</v>
      </c>
      <c r="AN463" s="52">
        <f t="shared" si="220"/>
        <v>0</v>
      </c>
      <c r="AO463" s="52">
        <f t="shared" si="217"/>
        <v>0</v>
      </c>
      <c r="AP463" s="52">
        <f t="shared" si="217"/>
        <v>0</v>
      </c>
      <c r="AQ463" s="52">
        <f t="shared" si="217"/>
        <v>0</v>
      </c>
      <c r="AR463" s="52">
        <f t="shared" si="217"/>
        <v>0</v>
      </c>
      <c r="AS463" s="52">
        <f t="shared" si="217"/>
        <v>0</v>
      </c>
      <c r="AT463" s="52">
        <f t="shared" si="217"/>
        <v>0.66666666666666663</v>
      </c>
      <c r="AU463" s="52">
        <f t="shared" si="217"/>
        <v>1</v>
      </c>
      <c r="AV463" s="52">
        <f t="shared" si="217"/>
        <v>1</v>
      </c>
      <c r="AW463" s="52">
        <f t="shared" si="217"/>
        <v>1</v>
      </c>
      <c r="AX463" s="52">
        <f t="shared" si="217"/>
        <v>1</v>
      </c>
      <c r="AY463" s="52">
        <f t="shared" si="217"/>
        <v>1</v>
      </c>
      <c r="AZ463" s="52">
        <f t="shared" si="217"/>
        <v>1</v>
      </c>
      <c r="BA463" s="52">
        <f t="shared" si="217"/>
        <v>1</v>
      </c>
      <c r="BB463" s="52">
        <f t="shared" si="217"/>
        <v>1</v>
      </c>
      <c r="BC463" s="52">
        <f t="shared" si="217"/>
        <v>1</v>
      </c>
      <c r="BD463" s="52">
        <f t="shared" si="217"/>
        <v>1</v>
      </c>
      <c r="BE463" s="52">
        <f t="shared" si="217"/>
        <v>1</v>
      </c>
      <c r="BF463" s="52">
        <f t="shared" si="217"/>
        <v>1</v>
      </c>
      <c r="BG463" s="52">
        <f t="shared" si="218"/>
        <v>1</v>
      </c>
      <c r="BH463" s="52">
        <f t="shared" si="218"/>
        <v>1</v>
      </c>
      <c r="BI463" s="52">
        <f t="shared" si="218"/>
        <v>1</v>
      </c>
      <c r="BJ463" s="52">
        <f t="shared" si="218"/>
        <v>1</v>
      </c>
      <c r="BK463" s="52">
        <f t="shared" si="218"/>
        <v>1</v>
      </c>
      <c r="BL463" s="52">
        <f t="shared" si="218"/>
        <v>1</v>
      </c>
      <c r="BM463" s="52">
        <f t="shared" si="218"/>
        <v>1</v>
      </c>
      <c r="BN463" s="52">
        <f t="shared" si="218"/>
        <v>1</v>
      </c>
      <c r="BO463" s="32">
        <f t="shared" si="221"/>
        <v>0.35028248587570615</v>
      </c>
    </row>
    <row r="464" spans="1:67" ht="24" x14ac:dyDescent="0.2">
      <c r="A464" s="50" t="s">
        <v>936</v>
      </c>
      <c r="B464" s="50" t="s">
        <v>937</v>
      </c>
      <c r="C464" s="50" t="s">
        <v>61</v>
      </c>
      <c r="D464" s="51">
        <f>VLOOKUP(A464,'[1]Cuadro Control'!C505:J2394,8,FALSE)</f>
        <v>1587346329.5488234</v>
      </c>
      <c r="E464" s="52">
        <f t="shared" si="215"/>
        <v>0.29899875353285565</v>
      </c>
      <c r="F464" s="53">
        <v>46478</v>
      </c>
      <c r="G464" s="53">
        <v>46489</v>
      </c>
      <c r="H464" s="52">
        <f t="shared" si="219"/>
        <v>0</v>
      </c>
      <c r="I464" s="52">
        <f t="shared" si="219"/>
        <v>0</v>
      </c>
      <c r="J464" s="52">
        <f t="shared" si="219"/>
        <v>0</v>
      </c>
      <c r="K464" s="52">
        <f t="shared" si="219"/>
        <v>0</v>
      </c>
      <c r="L464" s="52">
        <f t="shared" si="219"/>
        <v>0</v>
      </c>
      <c r="M464" s="52">
        <f t="shared" si="219"/>
        <v>0</v>
      </c>
      <c r="N464" s="52">
        <f t="shared" si="219"/>
        <v>0</v>
      </c>
      <c r="O464" s="52">
        <f t="shared" si="219"/>
        <v>0</v>
      </c>
      <c r="P464" s="52">
        <f t="shared" si="219"/>
        <v>0</v>
      </c>
      <c r="Q464" s="52">
        <f t="shared" si="219"/>
        <v>0</v>
      </c>
      <c r="R464" s="52">
        <f t="shared" si="219"/>
        <v>0</v>
      </c>
      <c r="S464" s="52">
        <f t="shared" si="219"/>
        <v>0</v>
      </c>
      <c r="T464" s="52">
        <f t="shared" si="219"/>
        <v>0</v>
      </c>
      <c r="U464" s="52">
        <f t="shared" si="219"/>
        <v>0</v>
      </c>
      <c r="V464" s="52">
        <f t="shared" si="219"/>
        <v>0</v>
      </c>
      <c r="W464" s="52">
        <f t="shared" si="219"/>
        <v>0</v>
      </c>
      <c r="X464" s="52">
        <f t="shared" si="220"/>
        <v>0</v>
      </c>
      <c r="Y464" s="52">
        <f t="shared" si="220"/>
        <v>0</v>
      </c>
      <c r="Z464" s="52">
        <f t="shared" si="220"/>
        <v>0</v>
      </c>
      <c r="AA464" s="52">
        <f t="shared" si="220"/>
        <v>0</v>
      </c>
      <c r="AB464" s="52">
        <f t="shared" si="220"/>
        <v>0</v>
      </c>
      <c r="AC464" s="52">
        <f t="shared" si="220"/>
        <v>0</v>
      </c>
      <c r="AD464" s="52">
        <f t="shared" si="220"/>
        <v>0</v>
      </c>
      <c r="AE464" s="52">
        <f t="shared" si="220"/>
        <v>0</v>
      </c>
      <c r="AF464" s="52">
        <f t="shared" si="220"/>
        <v>0</v>
      </c>
      <c r="AG464" s="52">
        <f t="shared" si="220"/>
        <v>0</v>
      </c>
      <c r="AH464" s="52">
        <f t="shared" si="220"/>
        <v>0</v>
      </c>
      <c r="AI464" s="52">
        <f t="shared" si="220"/>
        <v>0</v>
      </c>
      <c r="AJ464" s="52">
        <f t="shared" si="220"/>
        <v>0</v>
      </c>
      <c r="AK464" s="52">
        <f t="shared" si="220"/>
        <v>0</v>
      </c>
      <c r="AL464" s="52">
        <f t="shared" si="220"/>
        <v>0</v>
      </c>
      <c r="AM464" s="52">
        <f t="shared" si="220"/>
        <v>0</v>
      </c>
      <c r="AN464" s="52">
        <f t="shared" si="220"/>
        <v>0</v>
      </c>
      <c r="AO464" s="52">
        <f t="shared" si="217"/>
        <v>0</v>
      </c>
      <c r="AP464" s="52">
        <f t="shared" si="217"/>
        <v>0</v>
      </c>
      <c r="AQ464" s="52">
        <f t="shared" si="217"/>
        <v>0</v>
      </c>
      <c r="AR464" s="52">
        <f t="shared" si="217"/>
        <v>0</v>
      </c>
      <c r="AS464" s="52">
        <f t="shared" si="217"/>
        <v>0</v>
      </c>
      <c r="AT464" s="52">
        <f t="shared" si="217"/>
        <v>0.16666666666666666</v>
      </c>
      <c r="AU464" s="52">
        <f t="shared" si="217"/>
        <v>0.75</v>
      </c>
      <c r="AV464" s="52">
        <f t="shared" si="217"/>
        <v>1</v>
      </c>
      <c r="AW464" s="52">
        <f t="shared" si="217"/>
        <v>1</v>
      </c>
      <c r="AX464" s="52">
        <f t="shared" si="217"/>
        <v>1</v>
      </c>
      <c r="AY464" s="52">
        <f t="shared" si="217"/>
        <v>1</v>
      </c>
      <c r="AZ464" s="52">
        <f t="shared" si="217"/>
        <v>1</v>
      </c>
      <c r="BA464" s="52">
        <f t="shared" si="217"/>
        <v>1</v>
      </c>
      <c r="BB464" s="52">
        <f t="shared" si="217"/>
        <v>1</v>
      </c>
      <c r="BC464" s="52">
        <f t="shared" si="217"/>
        <v>1</v>
      </c>
      <c r="BD464" s="52">
        <f t="shared" si="217"/>
        <v>1</v>
      </c>
      <c r="BE464" s="52">
        <f t="shared" si="217"/>
        <v>1</v>
      </c>
      <c r="BF464" s="52">
        <f t="shared" si="217"/>
        <v>1</v>
      </c>
      <c r="BG464" s="52">
        <f t="shared" si="218"/>
        <v>1</v>
      </c>
      <c r="BH464" s="52">
        <f t="shared" si="218"/>
        <v>1</v>
      </c>
      <c r="BI464" s="52">
        <f t="shared" si="218"/>
        <v>1</v>
      </c>
      <c r="BJ464" s="52">
        <f t="shared" si="218"/>
        <v>1</v>
      </c>
      <c r="BK464" s="52">
        <f t="shared" si="218"/>
        <v>1</v>
      </c>
      <c r="BL464" s="52">
        <f t="shared" si="218"/>
        <v>1</v>
      </c>
      <c r="BM464" s="52">
        <f t="shared" si="218"/>
        <v>1</v>
      </c>
      <c r="BN464" s="52">
        <f t="shared" si="218"/>
        <v>1</v>
      </c>
      <c r="BO464" s="32">
        <f t="shared" si="221"/>
        <v>0.33757062146892652</v>
      </c>
    </row>
    <row r="465" spans="1:67" ht="30" x14ac:dyDescent="0.2">
      <c r="A465" s="46" t="s">
        <v>938</v>
      </c>
      <c r="B465" s="46" t="s">
        <v>939</v>
      </c>
      <c r="C465" s="46" t="s">
        <v>61</v>
      </c>
      <c r="D465" s="47">
        <f>VLOOKUP(A465,'[1]Cuadro Control'!C506:J2395,8,FALSE)</f>
        <v>179532477.23999998</v>
      </c>
      <c r="E465" s="48">
        <f t="shared" si="215"/>
        <v>3.3817438522495219E-2</v>
      </c>
      <c r="F465" s="49">
        <v>46480</v>
      </c>
      <c r="G465" s="49">
        <v>46493</v>
      </c>
      <c r="H465" s="48">
        <f t="shared" si="219"/>
        <v>0</v>
      </c>
      <c r="I465" s="48">
        <f t="shared" si="219"/>
        <v>0</v>
      </c>
      <c r="J465" s="48">
        <f t="shared" si="219"/>
        <v>0</v>
      </c>
      <c r="K465" s="48">
        <f t="shared" si="219"/>
        <v>0</v>
      </c>
      <c r="L465" s="48">
        <f t="shared" si="219"/>
        <v>0</v>
      </c>
      <c r="M465" s="48">
        <f t="shared" si="219"/>
        <v>0</v>
      </c>
      <c r="N465" s="48">
        <f t="shared" si="219"/>
        <v>0</v>
      </c>
      <c r="O465" s="48">
        <f t="shared" si="219"/>
        <v>0</v>
      </c>
      <c r="P465" s="48">
        <f t="shared" si="219"/>
        <v>0</v>
      </c>
      <c r="Q465" s="48">
        <f t="shared" si="219"/>
        <v>0</v>
      </c>
      <c r="R465" s="48">
        <f t="shared" si="219"/>
        <v>0</v>
      </c>
      <c r="S465" s="48">
        <f t="shared" si="219"/>
        <v>0</v>
      </c>
      <c r="T465" s="48">
        <f t="shared" si="219"/>
        <v>0</v>
      </c>
      <c r="U465" s="48">
        <f t="shared" si="219"/>
        <v>0</v>
      </c>
      <c r="V465" s="48">
        <f t="shared" si="219"/>
        <v>0</v>
      </c>
      <c r="W465" s="48">
        <f t="shared" si="219"/>
        <v>0</v>
      </c>
      <c r="X465" s="48">
        <f t="shared" si="220"/>
        <v>0</v>
      </c>
      <c r="Y465" s="48">
        <f t="shared" si="220"/>
        <v>0</v>
      </c>
      <c r="Z465" s="48">
        <f t="shared" si="220"/>
        <v>0</v>
      </c>
      <c r="AA465" s="48">
        <f t="shared" si="220"/>
        <v>0</v>
      </c>
      <c r="AB465" s="48">
        <f t="shared" si="220"/>
        <v>0</v>
      </c>
      <c r="AC465" s="48">
        <f t="shared" si="220"/>
        <v>0</v>
      </c>
      <c r="AD465" s="48">
        <f t="shared" si="220"/>
        <v>0</v>
      </c>
      <c r="AE465" s="48">
        <f t="shared" si="220"/>
        <v>0</v>
      </c>
      <c r="AF465" s="48">
        <f t="shared" si="220"/>
        <v>0</v>
      </c>
      <c r="AG465" s="48">
        <f t="shared" si="220"/>
        <v>0</v>
      </c>
      <c r="AH465" s="48">
        <f t="shared" si="220"/>
        <v>0</v>
      </c>
      <c r="AI465" s="48">
        <f t="shared" si="220"/>
        <v>0</v>
      </c>
      <c r="AJ465" s="48">
        <f t="shared" si="220"/>
        <v>0</v>
      </c>
      <c r="AK465" s="48">
        <f t="shared" si="220"/>
        <v>0</v>
      </c>
      <c r="AL465" s="48">
        <f t="shared" si="220"/>
        <v>0</v>
      </c>
      <c r="AM465" s="48">
        <f t="shared" si="220"/>
        <v>0</v>
      </c>
      <c r="AN465" s="48">
        <f t="shared" si="220"/>
        <v>0</v>
      </c>
      <c r="AO465" s="48">
        <f t="shared" si="217"/>
        <v>0</v>
      </c>
      <c r="AP465" s="48">
        <f t="shared" si="217"/>
        <v>0</v>
      </c>
      <c r="AQ465" s="48">
        <f t="shared" si="217"/>
        <v>0</v>
      </c>
      <c r="AR465" s="48">
        <f t="shared" si="217"/>
        <v>0</v>
      </c>
      <c r="AS465" s="48">
        <f t="shared" si="217"/>
        <v>0</v>
      </c>
      <c r="AT465" s="48">
        <f t="shared" si="217"/>
        <v>0</v>
      </c>
      <c r="AU465" s="48">
        <f t="shared" si="217"/>
        <v>0.5</v>
      </c>
      <c r="AV465" s="48">
        <f t="shared" si="217"/>
        <v>1</v>
      </c>
      <c r="AW465" s="48">
        <f t="shared" si="217"/>
        <v>1</v>
      </c>
      <c r="AX465" s="48">
        <f t="shared" si="217"/>
        <v>1</v>
      </c>
      <c r="AY465" s="48">
        <f t="shared" si="217"/>
        <v>1</v>
      </c>
      <c r="AZ465" s="48">
        <f t="shared" si="217"/>
        <v>1</v>
      </c>
      <c r="BA465" s="48">
        <f t="shared" si="217"/>
        <v>1</v>
      </c>
      <c r="BB465" s="48">
        <f t="shared" si="217"/>
        <v>1</v>
      </c>
      <c r="BC465" s="48">
        <f t="shared" si="217"/>
        <v>1</v>
      </c>
      <c r="BD465" s="48">
        <f t="shared" si="217"/>
        <v>1</v>
      </c>
      <c r="BE465" s="48">
        <f t="shared" si="217"/>
        <v>1</v>
      </c>
      <c r="BF465" s="48">
        <f t="shared" si="217"/>
        <v>1</v>
      </c>
      <c r="BG465" s="48">
        <f t="shared" si="218"/>
        <v>1</v>
      </c>
      <c r="BH465" s="48">
        <f t="shared" si="218"/>
        <v>1</v>
      </c>
      <c r="BI465" s="48">
        <f t="shared" si="218"/>
        <v>1</v>
      </c>
      <c r="BJ465" s="48">
        <f t="shared" si="218"/>
        <v>1</v>
      </c>
      <c r="BK465" s="48">
        <f t="shared" si="218"/>
        <v>1</v>
      </c>
      <c r="BL465" s="48">
        <f t="shared" si="218"/>
        <v>1</v>
      </c>
      <c r="BM465" s="48">
        <f t="shared" si="218"/>
        <v>1</v>
      </c>
      <c r="BN465" s="48">
        <f t="shared" si="218"/>
        <v>1</v>
      </c>
      <c r="BO465" s="32">
        <f t="shared" si="221"/>
        <v>0.33050847457627119</v>
      </c>
    </row>
    <row r="466" spans="1:67" ht="24" x14ac:dyDescent="0.2">
      <c r="A466" s="55" t="s">
        <v>940</v>
      </c>
      <c r="B466" s="55" t="s">
        <v>941</v>
      </c>
      <c r="C466" s="55" t="s">
        <v>14</v>
      </c>
      <c r="D466" s="56">
        <f>VLOOKUP(A466,'[1]Cuadro Control'!C507:J2396,8,FALSE)</f>
        <v>0</v>
      </c>
      <c r="E466" s="57">
        <f>IFERROR(D466/$D$450,0)</f>
        <v>0</v>
      </c>
      <c r="F466" s="58">
        <v>46493</v>
      </c>
      <c r="G466" s="58">
        <v>46493</v>
      </c>
      <c r="H466" s="57">
        <f t="shared" si="219"/>
        <v>0</v>
      </c>
      <c r="I466" s="57">
        <f t="shared" si="219"/>
        <v>0</v>
      </c>
      <c r="J466" s="57">
        <f t="shared" si="219"/>
        <v>0</v>
      </c>
      <c r="K466" s="57">
        <f t="shared" si="219"/>
        <v>0</v>
      </c>
      <c r="L466" s="57">
        <f t="shared" si="219"/>
        <v>0</v>
      </c>
      <c r="M466" s="57">
        <f t="shared" si="219"/>
        <v>0</v>
      </c>
      <c r="N466" s="57">
        <f t="shared" si="219"/>
        <v>0</v>
      </c>
      <c r="O466" s="57">
        <f t="shared" si="219"/>
        <v>0</v>
      </c>
      <c r="P466" s="57">
        <f t="shared" si="219"/>
        <v>0</v>
      </c>
      <c r="Q466" s="57">
        <f t="shared" si="219"/>
        <v>0</v>
      </c>
      <c r="R466" s="57">
        <f t="shared" si="219"/>
        <v>0</v>
      </c>
      <c r="S466" s="57">
        <f t="shared" si="219"/>
        <v>0</v>
      </c>
      <c r="T466" s="57">
        <f t="shared" si="219"/>
        <v>0</v>
      </c>
      <c r="U466" s="57">
        <f t="shared" si="219"/>
        <v>0</v>
      </c>
      <c r="V466" s="57">
        <f t="shared" si="219"/>
        <v>0</v>
      </c>
      <c r="W466" s="57">
        <f t="shared" si="219"/>
        <v>0</v>
      </c>
      <c r="X466" s="57">
        <f t="shared" si="220"/>
        <v>0</v>
      </c>
      <c r="Y466" s="57">
        <f t="shared" si="220"/>
        <v>0</v>
      </c>
      <c r="Z466" s="57">
        <f t="shared" si="220"/>
        <v>0</v>
      </c>
      <c r="AA466" s="57">
        <f t="shared" si="220"/>
        <v>0</v>
      </c>
      <c r="AB466" s="57">
        <f t="shared" si="220"/>
        <v>0</v>
      </c>
      <c r="AC466" s="57">
        <f t="shared" si="220"/>
        <v>0</v>
      </c>
      <c r="AD466" s="57">
        <f t="shared" si="220"/>
        <v>0</v>
      </c>
      <c r="AE466" s="57">
        <f t="shared" si="220"/>
        <v>0</v>
      </c>
      <c r="AF466" s="57">
        <f t="shared" si="220"/>
        <v>0</v>
      </c>
      <c r="AG466" s="57">
        <f t="shared" si="220"/>
        <v>0</v>
      </c>
      <c r="AH466" s="57">
        <f t="shared" si="220"/>
        <v>0</v>
      </c>
      <c r="AI466" s="57">
        <f t="shared" si="220"/>
        <v>0</v>
      </c>
      <c r="AJ466" s="57">
        <f t="shared" si="220"/>
        <v>0</v>
      </c>
      <c r="AK466" s="57">
        <f t="shared" si="220"/>
        <v>0</v>
      </c>
      <c r="AL466" s="57">
        <f t="shared" si="220"/>
        <v>0</v>
      </c>
      <c r="AM466" s="57">
        <f t="shared" si="220"/>
        <v>0</v>
      </c>
      <c r="AN466" s="57">
        <f t="shared" si="220"/>
        <v>0</v>
      </c>
      <c r="AO466" s="57">
        <f t="shared" si="220"/>
        <v>0</v>
      </c>
      <c r="AP466" s="57">
        <f t="shared" si="220"/>
        <v>0</v>
      </c>
      <c r="AQ466" s="57">
        <f t="shared" si="220"/>
        <v>0</v>
      </c>
      <c r="AR466" s="57">
        <f t="shared" si="220"/>
        <v>0</v>
      </c>
      <c r="AS466" s="57">
        <f t="shared" si="220"/>
        <v>0</v>
      </c>
      <c r="AT466" s="57">
        <f t="shared" si="220"/>
        <v>0</v>
      </c>
      <c r="AU466" s="57">
        <f t="shared" si="220"/>
        <v>0</v>
      </c>
      <c r="AV466" s="57">
        <f t="shared" si="220"/>
        <v>1</v>
      </c>
      <c r="AW466" s="57">
        <f t="shared" si="220"/>
        <v>1</v>
      </c>
      <c r="AX466" s="57">
        <f t="shared" si="220"/>
        <v>1</v>
      </c>
      <c r="AY466" s="57">
        <f t="shared" si="220"/>
        <v>1</v>
      </c>
      <c r="AZ466" s="57">
        <f t="shared" si="220"/>
        <v>1</v>
      </c>
      <c r="BA466" s="57">
        <f t="shared" si="220"/>
        <v>1</v>
      </c>
      <c r="BB466" s="57">
        <f t="shared" si="220"/>
        <v>1</v>
      </c>
      <c r="BC466" s="57">
        <f t="shared" si="220"/>
        <v>1</v>
      </c>
      <c r="BD466" s="57">
        <f t="shared" si="217"/>
        <v>1</v>
      </c>
      <c r="BE466" s="57">
        <f t="shared" si="217"/>
        <v>1</v>
      </c>
      <c r="BF466" s="57">
        <f t="shared" si="217"/>
        <v>1</v>
      </c>
      <c r="BG466" s="57">
        <f t="shared" si="218"/>
        <v>1</v>
      </c>
      <c r="BH466" s="57">
        <f t="shared" si="218"/>
        <v>1</v>
      </c>
      <c r="BI466" s="57">
        <f t="shared" si="218"/>
        <v>1</v>
      </c>
      <c r="BJ466" s="57">
        <f t="shared" si="218"/>
        <v>1</v>
      </c>
      <c r="BK466" s="57">
        <f t="shared" si="218"/>
        <v>1</v>
      </c>
      <c r="BL466" s="57">
        <f t="shared" si="218"/>
        <v>1</v>
      </c>
      <c r="BM466" s="57">
        <f t="shared" si="218"/>
        <v>1</v>
      </c>
      <c r="BN466" s="57">
        <f t="shared" si="218"/>
        <v>1</v>
      </c>
      <c r="BO466" s="32">
        <f t="shared" si="221"/>
        <v>0.32203389830508472</v>
      </c>
    </row>
    <row r="467" spans="1:67" x14ac:dyDescent="0.2">
      <c r="A467" s="59" t="s">
        <v>942</v>
      </c>
      <c r="B467" s="59" t="s">
        <v>943</v>
      </c>
      <c r="C467" s="59" t="s">
        <v>467</v>
      </c>
      <c r="D467" s="60">
        <f>SUM(D468:D483)</f>
        <v>5308872732.0543728</v>
      </c>
      <c r="E467" s="61">
        <f>IFERROR(D467/$D$109,0)</f>
        <v>2.9408554574576196E-2</v>
      </c>
      <c r="F467" s="62">
        <v>46246</v>
      </c>
      <c r="G467" s="62">
        <v>46503</v>
      </c>
      <c r="H467" s="61">
        <f>SUMPRODUCT($E468:$E482,H468:H482)</f>
        <v>0</v>
      </c>
      <c r="I467" s="61">
        <f t="shared" ref="I467:BN467" si="222">SUMPRODUCT($E468:$E482,I468:I482)</f>
        <v>0</v>
      </c>
      <c r="J467" s="61">
        <f t="shared" si="222"/>
        <v>0</v>
      </c>
      <c r="K467" s="61">
        <f t="shared" si="222"/>
        <v>0</v>
      </c>
      <c r="L467" s="61">
        <f t="shared" si="222"/>
        <v>0</v>
      </c>
      <c r="M467" s="61">
        <f t="shared" si="222"/>
        <v>2.5299028774168359E-4</v>
      </c>
      <c r="N467" s="61">
        <f t="shared" si="222"/>
        <v>8.4330095913894541E-4</v>
      </c>
      <c r="O467" s="61">
        <f t="shared" si="222"/>
        <v>1.4336116305362072E-3</v>
      </c>
      <c r="P467" s="61">
        <f t="shared" si="222"/>
        <v>2.0239223019334687E-3</v>
      </c>
      <c r="Q467" s="61">
        <f t="shared" si="222"/>
        <v>2.6142329733307304E-3</v>
      </c>
      <c r="R467" s="61">
        <f t="shared" si="222"/>
        <v>3.2045436447279926E-3</v>
      </c>
      <c r="S467" s="61">
        <f t="shared" si="222"/>
        <v>3.7948543161252543E-3</v>
      </c>
      <c r="T467" s="61">
        <f t="shared" si="222"/>
        <v>4.3851649875225156E-3</v>
      </c>
      <c r="U467" s="61">
        <f t="shared" si="222"/>
        <v>4.9754756589197782E-3</v>
      </c>
      <c r="V467" s="61">
        <f t="shared" si="222"/>
        <v>5.5657863303170399E-3</v>
      </c>
      <c r="W467" s="61">
        <f t="shared" si="222"/>
        <v>6.1560970017143016E-3</v>
      </c>
      <c r="X467" s="61">
        <f t="shared" si="222"/>
        <v>6.7464076731115633E-3</v>
      </c>
      <c r="Y467" s="61">
        <f t="shared" si="222"/>
        <v>7.3367183445088241E-3</v>
      </c>
      <c r="Z467" s="61">
        <f t="shared" si="222"/>
        <v>7.9270290159060858E-3</v>
      </c>
      <c r="AA467" s="61">
        <f t="shared" si="222"/>
        <v>8.5173396873033484E-3</v>
      </c>
      <c r="AB467" s="61">
        <f t="shared" si="222"/>
        <v>9.107650358700611E-3</v>
      </c>
      <c r="AC467" s="61">
        <f t="shared" si="222"/>
        <v>9.6979610300978718E-3</v>
      </c>
      <c r="AD467" s="61">
        <f t="shared" si="222"/>
        <v>1.0288271701495133E-2</v>
      </c>
      <c r="AE467" s="61">
        <f t="shared" si="222"/>
        <v>1.0878582372892397E-2</v>
      </c>
      <c r="AF467" s="61">
        <f t="shared" si="222"/>
        <v>1.1468893044289658E-2</v>
      </c>
      <c r="AG467" s="61">
        <f t="shared" si="222"/>
        <v>1.2059203715686919E-2</v>
      </c>
      <c r="AH467" s="61">
        <f t="shared" si="222"/>
        <v>1.264951438708418E-2</v>
      </c>
      <c r="AI467" s="61">
        <f t="shared" si="222"/>
        <v>1.3239825058481444E-2</v>
      </c>
      <c r="AJ467" s="61">
        <f t="shared" si="222"/>
        <v>1.3830135729878705E-2</v>
      </c>
      <c r="AK467" s="61">
        <f t="shared" si="222"/>
        <v>1.4420446401275966E-2</v>
      </c>
      <c r="AL467" s="61">
        <f t="shared" si="222"/>
        <v>1.5010757072673228E-2</v>
      </c>
      <c r="AM467" s="61">
        <f t="shared" si="222"/>
        <v>1.5601067744070491E-2</v>
      </c>
      <c r="AN467" s="61">
        <f t="shared" si="222"/>
        <v>6.7170469390089332E-2</v>
      </c>
      <c r="AO467" s="61">
        <f t="shared" si="222"/>
        <v>0.10650498686563921</v>
      </c>
      <c r="AP467" s="61">
        <f t="shared" si="222"/>
        <v>0.17135282959252116</v>
      </c>
      <c r="AQ467" s="61">
        <f t="shared" si="222"/>
        <v>0.24535608361815867</v>
      </c>
      <c r="AR467" s="61">
        <f t="shared" si="222"/>
        <v>0.32530114876570471</v>
      </c>
      <c r="AS467" s="61">
        <f t="shared" si="222"/>
        <v>0.40524621391325077</v>
      </c>
      <c r="AT467" s="61">
        <f t="shared" si="222"/>
        <v>0.64850810003989967</v>
      </c>
      <c r="AU467" s="61">
        <f t="shared" si="222"/>
        <v>0.65513051627204211</v>
      </c>
      <c r="AV467" s="61">
        <f t="shared" si="222"/>
        <v>0.85126187279762311</v>
      </c>
      <c r="AW467" s="61">
        <f t="shared" si="222"/>
        <v>0.9927534060308939</v>
      </c>
      <c r="AX467" s="61">
        <f t="shared" si="222"/>
        <v>1</v>
      </c>
      <c r="AY467" s="61">
        <f t="shared" si="222"/>
        <v>1</v>
      </c>
      <c r="AZ467" s="61">
        <f t="shared" si="222"/>
        <v>1</v>
      </c>
      <c r="BA467" s="61">
        <f t="shared" si="222"/>
        <v>1</v>
      </c>
      <c r="BB467" s="61">
        <f t="shared" si="222"/>
        <v>1</v>
      </c>
      <c r="BC467" s="61">
        <f t="shared" si="222"/>
        <v>1</v>
      </c>
      <c r="BD467" s="61">
        <f t="shared" si="222"/>
        <v>1</v>
      </c>
      <c r="BE467" s="61">
        <f t="shared" si="222"/>
        <v>1</v>
      </c>
      <c r="BF467" s="61">
        <f t="shared" si="222"/>
        <v>1</v>
      </c>
      <c r="BG467" s="61">
        <f t="shared" si="222"/>
        <v>1</v>
      </c>
      <c r="BH467" s="61">
        <f t="shared" si="222"/>
        <v>1</v>
      </c>
      <c r="BI467" s="61">
        <f t="shared" si="222"/>
        <v>1</v>
      </c>
      <c r="BJ467" s="61">
        <f t="shared" si="222"/>
        <v>1</v>
      </c>
      <c r="BK467" s="61">
        <f t="shared" si="222"/>
        <v>1</v>
      </c>
      <c r="BL467" s="61">
        <f t="shared" si="222"/>
        <v>1</v>
      </c>
      <c r="BM467" s="61">
        <f t="shared" si="222"/>
        <v>1</v>
      </c>
      <c r="BN467" s="61">
        <f t="shared" si="222"/>
        <v>1</v>
      </c>
      <c r="BO467" s="32">
        <f t="shared" si="221"/>
        <v>0.36750195611381842</v>
      </c>
    </row>
    <row r="468" spans="1:67" ht="24" x14ac:dyDescent="0.2">
      <c r="A468" s="50" t="s">
        <v>944</v>
      </c>
      <c r="B468" s="50" t="s">
        <v>945</v>
      </c>
      <c r="C468" s="50" t="s">
        <v>74</v>
      </c>
      <c r="D468" s="51">
        <f>VLOOKUP(A468,'[1]Cuadro Control'!C509:J2398,8,FALSE)</f>
        <v>83271780.884117648</v>
      </c>
      <c r="E468" s="52">
        <f t="shared" ref="E468:E482" si="223">IFERROR(D468/$D$467,0)</f>
        <v>1.5685397839984384E-2</v>
      </c>
      <c r="F468" s="53">
        <v>46246</v>
      </c>
      <c r="G468" s="53">
        <v>46431</v>
      </c>
      <c r="H468" s="52">
        <f t="shared" ref="H468:BN472" si="224">IF($F468=0,0,IF(H$6&lt;$F468,0,IF(H$6&gt;$G468,1,(H$6-$F468+1)/($G468-$F468+1))))</f>
        <v>0</v>
      </c>
      <c r="I468" s="52">
        <f t="shared" si="224"/>
        <v>0</v>
      </c>
      <c r="J468" s="52">
        <f t="shared" si="224"/>
        <v>0</v>
      </c>
      <c r="K468" s="52">
        <f t="shared" si="224"/>
        <v>0</v>
      </c>
      <c r="L468" s="52">
        <f t="shared" si="224"/>
        <v>0</v>
      </c>
      <c r="M468" s="52">
        <f t="shared" si="224"/>
        <v>1.6129032258064516E-2</v>
      </c>
      <c r="N468" s="52">
        <f t="shared" si="224"/>
        <v>5.3763440860215055E-2</v>
      </c>
      <c r="O468" s="52">
        <f t="shared" si="224"/>
        <v>9.1397849462365593E-2</v>
      </c>
      <c r="P468" s="52">
        <f t="shared" si="224"/>
        <v>0.12903225806451613</v>
      </c>
      <c r="Q468" s="52">
        <f t="shared" si="224"/>
        <v>0.16666666666666666</v>
      </c>
      <c r="R468" s="52">
        <f t="shared" si="224"/>
        <v>0.20430107526881722</v>
      </c>
      <c r="S468" s="52">
        <f t="shared" si="224"/>
        <v>0.24193548387096775</v>
      </c>
      <c r="T468" s="52">
        <f t="shared" si="224"/>
        <v>0.27956989247311825</v>
      </c>
      <c r="U468" s="52">
        <f t="shared" si="224"/>
        <v>0.31720430107526881</v>
      </c>
      <c r="V468" s="52">
        <f t="shared" si="224"/>
        <v>0.35483870967741937</v>
      </c>
      <c r="W468" s="52">
        <f t="shared" si="224"/>
        <v>0.39247311827956988</v>
      </c>
      <c r="X468" s="52">
        <f t="shared" si="224"/>
        <v>0.43010752688172044</v>
      </c>
      <c r="Y468" s="52">
        <f t="shared" si="224"/>
        <v>0.46774193548387094</v>
      </c>
      <c r="Z468" s="52">
        <f t="shared" si="224"/>
        <v>0.5053763440860215</v>
      </c>
      <c r="AA468" s="52">
        <f t="shared" si="224"/>
        <v>0.543010752688172</v>
      </c>
      <c r="AB468" s="52">
        <f t="shared" si="224"/>
        <v>0.58064516129032262</v>
      </c>
      <c r="AC468" s="52">
        <f t="shared" si="224"/>
        <v>0.61827956989247312</v>
      </c>
      <c r="AD468" s="52">
        <f t="shared" si="224"/>
        <v>0.65591397849462363</v>
      </c>
      <c r="AE468" s="52">
        <f t="shared" si="224"/>
        <v>0.69354838709677424</v>
      </c>
      <c r="AF468" s="52">
        <f t="shared" si="224"/>
        <v>0.73118279569892475</v>
      </c>
      <c r="AG468" s="52">
        <f t="shared" si="224"/>
        <v>0.76881720430107525</v>
      </c>
      <c r="AH468" s="52">
        <f t="shared" si="224"/>
        <v>0.80645161290322576</v>
      </c>
      <c r="AI468" s="52">
        <f t="shared" si="224"/>
        <v>0.84408602150537637</v>
      </c>
      <c r="AJ468" s="52">
        <f t="shared" si="224"/>
        <v>0.88172043010752688</v>
      </c>
      <c r="AK468" s="52">
        <f t="shared" si="224"/>
        <v>0.91935483870967738</v>
      </c>
      <c r="AL468" s="52">
        <f t="shared" si="224"/>
        <v>0.956989247311828</v>
      </c>
      <c r="AM468" s="52">
        <f t="shared" si="224"/>
        <v>0.9946236559139785</v>
      </c>
      <c r="AN468" s="52">
        <f t="shared" si="224"/>
        <v>1</v>
      </c>
      <c r="AO468" s="52">
        <f t="shared" si="224"/>
        <v>1</v>
      </c>
      <c r="AP468" s="52">
        <f t="shared" si="224"/>
        <v>1</v>
      </c>
      <c r="AQ468" s="52">
        <f t="shared" si="224"/>
        <v>1</v>
      </c>
      <c r="AR468" s="52">
        <f t="shared" si="224"/>
        <v>1</v>
      </c>
      <c r="AS468" s="52">
        <f t="shared" si="224"/>
        <v>1</v>
      </c>
      <c r="AT468" s="52">
        <f t="shared" si="224"/>
        <v>1</v>
      </c>
      <c r="AU468" s="52">
        <f t="shared" si="224"/>
        <v>1</v>
      </c>
      <c r="AV468" s="52">
        <f t="shared" si="224"/>
        <v>1</v>
      </c>
      <c r="AW468" s="52">
        <f t="shared" si="224"/>
        <v>1</v>
      </c>
      <c r="AX468" s="52">
        <f t="shared" si="224"/>
        <v>1</v>
      </c>
      <c r="AY468" s="52">
        <f t="shared" si="224"/>
        <v>1</v>
      </c>
      <c r="AZ468" s="52">
        <f t="shared" si="224"/>
        <v>1</v>
      </c>
      <c r="BA468" s="52">
        <f t="shared" si="224"/>
        <v>1</v>
      </c>
      <c r="BB468" s="52">
        <f t="shared" si="224"/>
        <v>1</v>
      </c>
      <c r="BC468" s="52">
        <f t="shared" si="224"/>
        <v>1</v>
      </c>
      <c r="BD468" s="52">
        <f t="shared" si="224"/>
        <v>1</v>
      </c>
      <c r="BE468" s="52">
        <f t="shared" si="224"/>
        <v>1</v>
      </c>
      <c r="BF468" s="52">
        <f t="shared" si="224"/>
        <v>1</v>
      </c>
      <c r="BG468" s="52">
        <f t="shared" si="224"/>
        <v>1</v>
      </c>
      <c r="BH468" s="52">
        <f t="shared" si="224"/>
        <v>1</v>
      </c>
      <c r="BI468" s="52">
        <f t="shared" si="224"/>
        <v>1</v>
      </c>
      <c r="BJ468" s="52">
        <f t="shared" si="224"/>
        <v>1</v>
      </c>
      <c r="BK468" s="52">
        <f t="shared" si="224"/>
        <v>1</v>
      </c>
      <c r="BL468" s="52">
        <f t="shared" si="224"/>
        <v>1</v>
      </c>
      <c r="BM468" s="52">
        <f t="shared" si="224"/>
        <v>1</v>
      </c>
      <c r="BN468" s="52">
        <f t="shared" si="224"/>
        <v>1</v>
      </c>
      <c r="BO468" s="32">
        <f t="shared" si="221"/>
        <v>0.68890103881902676</v>
      </c>
    </row>
    <row r="469" spans="1:67" x14ac:dyDescent="0.2">
      <c r="A469" s="50" t="s">
        <v>946</v>
      </c>
      <c r="B469" s="50" t="s">
        <v>947</v>
      </c>
      <c r="C469" s="50" t="s">
        <v>61</v>
      </c>
      <c r="D469" s="51">
        <f>VLOOKUP(A469,'[1]Cuadro Control'!C510:J2399,8,FALSE)</f>
        <v>312374505.66882348</v>
      </c>
      <c r="E469" s="52">
        <f t="shared" si="223"/>
        <v>5.8840081771548515E-2</v>
      </c>
      <c r="F469" s="53">
        <v>46431</v>
      </c>
      <c r="G469" s="53">
        <v>46438</v>
      </c>
      <c r="H469" s="52">
        <f t="shared" si="224"/>
        <v>0</v>
      </c>
      <c r="I469" s="52">
        <f t="shared" si="224"/>
        <v>0</v>
      </c>
      <c r="J469" s="52">
        <f t="shared" si="224"/>
        <v>0</v>
      </c>
      <c r="K469" s="52">
        <f t="shared" si="224"/>
        <v>0</v>
      </c>
      <c r="L469" s="52">
        <f t="shared" si="224"/>
        <v>0</v>
      </c>
      <c r="M469" s="52">
        <f t="shared" si="224"/>
        <v>0</v>
      </c>
      <c r="N469" s="52">
        <f t="shared" si="224"/>
        <v>0</v>
      </c>
      <c r="O469" s="52">
        <f t="shared" si="224"/>
        <v>0</v>
      </c>
      <c r="P469" s="52">
        <f t="shared" si="224"/>
        <v>0</v>
      </c>
      <c r="Q469" s="52">
        <f t="shared" si="224"/>
        <v>0</v>
      </c>
      <c r="R469" s="52">
        <f t="shared" si="224"/>
        <v>0</v>
      </c>
      <c r="S469" s="52">
        <f t="shared" si="224"/>
        <v>0</v>
      </c>
      <c r="T469" s="52">
        <f t="shared" si="224"/>
        <v>0</v>
      </c>
      <c r="U469" s="52">
        <f t="shared" si="224"/>
        <v>0</v>
      </c>
      <c r="V469" s="52">
        <f t="shared" si="224"/>
        <v>0</v>
      </c>
      <c r="W469" s="52">
        <f t="shared" si="224"/>
        <v>0</v>
      </c>
      <c r="X469" s="52">
        <f t="shared" si="224"/>
        <v>0</v>
      </c>
      <c r="Y469" s="52">
        <f t="shared" si="224"/>
        <v>0</v>
      </c>
      <c r="Z469" s="52">
        <f t="shared" si="224"/>
        <v>0</v>
      </c>
      <c r="AA469" s="52">
        <f t="shared" si="224"/>
        <v>0</v>
      </c>
      <c r="AB469" s="52">
        <f t="shared" si="224"/>
        <v>0</v>
      </c>
      <c r="AC469" s="52">
        <f t="shared" si="224"/>
        <v>0</v>
      </c>
      <c r="AD469" s="52">
        <f t="shared" si="224"/>
        <v>0</v>
      </c>
      <c r="AE469" s="52">
        <f t="shared" si="224"/>
        <v>0</v>
      </c>
      <c r="AF469" s="52">
        <f t="shared" si="224"/>
        <v>0</v>
      </c>
      <c r="AG469" s="52">
        <f t="shared" si="224"/>
        <v>0</v>
      </c>
      <c r="AH469" s="52">
        <f t="shared" si="224"/>
        <v>0</v>
      </c>
      <c r="AI469" s="52">
        <f t="shared" si="224"/>
        <v>0</v>
      </c>
      <c r="AJ469" s="52">
        <f t="shared" si="224"/>
        <v>0</v>
      </c>
      <c r="AK469" s="52">
        <f t="shared" si="224"/>
        <v>0</v>
      </c>
      <c r="AL469" s="52">
        <f t="shared" si="224"/>
        <v>0</v>
      </c>
      <c r="AM469" s="52">
        <f t="shared" si="224"/>
        <v>0</v>
      </c>
      <c r="AN469" s="52">
        <f t="shared" si="224"/>
        <v>0.875</v>
      </c>
      <c r="AO469" s="52">
        <f t="shared" si="224"/>
        <v>1</v>
      </c>
      <c r="AP469" s="52">
        <f t="shared" si="224"/>
        <v>1</v>
      </c>
      <c r="AQ469" s="52">
        <f t="shared" si="224"/>
        <v>1</v>
      </c>
      <c r="AR469" s="52">
        <f t="shared" si="224"/>
        <v>1</v>
      </c>
      <c r="AS469" s="52">
        <f t="shared" si="224"/>
        <v>1</v>
      </c>
      <c r="AT469" s="52">
        <f t="shared" si="224"/>
        <v>1</v>
      </c>
      <c r="AU469" s="52">
        <f t="shared" si="224"/>
        <v>1</v>
      </c>
      <c r="AV469" s="52">
        <f t="shared" si="224"/>
        <v>1</v>
      </c>
      <c r="AW469" s="52">
        <f t="shared" si="224"/>
        <v>1</v>
      </c>
      <c r="AX469" s="52">
        <f t="shared" si="224"/>
        <v>1</v>
      </c>
      <c r="AY469" s="52">
        <f t="shared" si="224"/>
        <v>1</v>
      </c>
      <c r="AZ469" s="52">
        <f t="shared" si="224"/>
        <v>1</v>
      </c>
      <c r="BA469" s="52">
        <f t="shared" si="224"/>
        <v>1</v>
      </c>
      <c r="BB469" s="52">
        <f t="shared" si="224"/>
        <v>1</v>
      </c>
      <c r="BC469" s="52">
        <f t="shared" si="224"/>
        <v>1</v>
      </c>
      <c r="BD469" s="52">
        <f t="shared" si="224"/>
        <v>1</v>
      </c>
      <c r="BE469" s="52">
        <f t="shared" si="224"/>
        <v>1</v>
      </c>
      <c r="BF469" s="52">
        <f t="shared" si="224"/>
        <v>1</v>
      </c>
      <c r="BG469" s="52">
        <f t="shared" si="224"/>
        <v>1</v>
      </c>
      <c r="BH469" s="52">
        <f t="shared" si="224"/>
        <v>1</v>
      </c>
      <c r="BI469" s="52">
        <f t="shared" si="224"/>
        <v>1</v>
      </c>
      <c r="BJ469" s="52">
        <f t="shared" si="224"/>
        <v>1</v>
      </c>
      <c r="BK469" s="52">
        <f t="shared" si="224"/>
        <v>1</v>
      </c>
      <c r="BL469" s="52">
        <f t="shared" si="224"/>
        <v>1</v>
      </c>
      <c r="BM469" s="52">
        <f t="shared" si="224"/>
        <v>1</v>
      </c>
      <c r="BN469" s="52">
        <f t="shared" si="224"/>
        <v>1</v>
      </c>
      <c r="BO469" s="32">
        <f t="shared" si="221"/>
        <v>0.45550847457627119</v>
      </c>
    </row>
    <row r="470" spans="1:67" ht="15" x14ac:dyDescent="0.2">
      <c r="A470" s="46" t="s">
        <v>948</v>
      </c>
      <c r="B470" s="46" t="s">
        <v>949</v>
      </c>
      <c r="C470" s="46" t="s">
        <v>126</v>
      </c>
      <c r="D470" s="47">
        <f>VLOOKUP(A470,'[1]Cuadro Control'!C511:J2400,8,FALSE)</f>
        <v>9527825.6870364472</v>
      </c>
      <c r="E470" s="48">
        <f t="shared" si="223"/>
        <v>1.794698454439963E-3</v>
      </c>
      <c r="F470" s="49">
        <v>46440</v>
      </c>
      <c r="G470" s="49">
        <v>46442</v>
      </c>
      <c r="H470" s="48">
        <f t="shared" si="224"/>
        <v>0</v>
      </c>
      <c r="I470" s="48">
        <f t="shared" si="224"/>
        <v>0</v>
      </c>
      <c r="J470" s="48">
        <f t="shared" si="224"/>
        <v>0</v>
      </c>
      <c r="K470" s="48">
        <f t="shared" si="224"/>
        <v>0</v>
      </c>
      <c r="L470" s="48">
        <f t="shared" si="224"/>
        <v>0</v>
      </c>
      <c r="M470" s="48">
        <f t="shared" si="224"/>
        <v>0</v>
      </c>
      <c r="N470" s="48">
        <f t="shared" si="224"/>
        <v>0</v>
      </c>
      <c r="O470" s="48">
        <f t="shared" si="224"/>
        <v>0</v>
      </c>
      <c r="P470" s="48">
        <f t="shared" si="224"/>
        <v>0</v>
      </c>
      <c r="Q470" s="48">
        <f t="shared" si="224"/>
        <v>0</v>
      </c>
      <c r="R470" s="48">
        <f t="shared" si="224"/>
        <v>0</v>
      </c>
      <c r="S470" s="48">
        <f t="shared" si="224"/>
        <v>0</v>
      </c>
      <c r="T470" s="48">
        <f t="shared" si="224"/>
        <v>0</v>
      </c>
      <c r="U470" s="48">
        <f t="shared" si="224"/>
        <v>0</v>
      </c>
      <c r="V470" s="48">
        <f t="shared" si="224"/>
        <v>0</v>
      </c>
      <c r="W470" s="48">
        <f t="shared" si="224"/>
        <v>0</v>
      </c>
      <c r="X470" s="48">
        <f t="shared" si="224"/>
        <v>0</v>
      </c>
      <c r="Y470" s="48">
        <f t="shared" si="224"/>
        <v>0</v>
      </c>
      <c r="Z470" s="48">
        <f t="shared" si="224"/>
        <v>0</v>
      </c>
      <c r="AA470" s="48">
        <f t="shared" si="224"/>
        <v>0</v>
      </c>
      <c r="AB470" s="48">
        <f t="shared" si="224"/>
        <v>0</v>
      </c>
      <c r="AC470" s="48">
        <f t="shared" si="224"/>
        <v>0</v>
      </c>
      <c r="AD470" s="48">
        <f t="shared" si="224"/>
        <v>0</v>
      </c>
      <c r="AE470" s="48">
        <f t="shared" si="224"/>
        <v>0</v>
      </c>
      <c r="AF470" s="48">
        <f t="shared" si="224"/>
        <v>0</v>
      </c>
      <c r="AG470" s="48">
        <f t="shared" si="224"/>
        <v>0</v>
      </c>
      <c r="AH470" s="48">
        <f t="shared" si="224"/>
        <v>0</v>
      </c>
      <c r="AI470" s="48">
        <f t="shared" si="224"/>
        <v>0</v>
      </c>
      <c r="AJ470" s="48">
        <f t="shared" si="224"/>
        <v>0</v>
      </c>
      <c r="AK470" s="48">
        <f t="shared" si="224"/>
        <v>0</v>
      </c>
      <c r="AL470" s="48">
        <f t="shared" si="224"/>
        <v>0</v>
      </c>
      <c r="AM470" s="48">
        <f t="shared" si="224"/>
        <v>0</v>
      </c>
      <c r="AN470" s="48">
        <f t="shared" si="224"/>
        <v>0</v>
      </c>
      <c r="AO470" s="48">
        <f t="shared" si="224"/>
        <v>1</v>
      </c>
      <c r="AP470" s="48">
        <f t="shared" si="224"/>
        <v>1</v>
      </c>
      <c r="AQ470" s="48">
        <f t="shared" si="224"/>
        <v>1</v>
      </c>
      <c r="AR470" s="48">
        <f t="shared" si="224"/>
        <v>1</v>
      </c>
      <c r="AS470" s="48">
        <f t="shared" si="224"/>
        <v>1</v>
      </c>
      <c r="AT470" s="48">
        <f t="shared" si="224"/>
        <v>1</v>
      </c>
      <c r="AU470" s="48">
        <f t="shared" si="224"/>
        <v>1</v>
      </c>
      <c r="AV470" s="48">
        <f t="shared" si="224"/>
        <v>1</v>
      </c>
      <c r="AW470" s="48">
        <f t="shared" si="224"/>
        <v>1</v>
      </c>
      <c r="AX470" s="48">
        <f t="shared" si="224"/>
        <v>1</v>
      </c>
      <c r="AY470" s="48">
        <f t="shared" si="224"/>
        <v>1</v>
      </c>
      <c r="AZ470" s="48">
        <f t="shared" si="224"/>
        <v>1</v>
      </c>
      <c r="BA470" s="48">
        <f t="shared" si="224"/>
        <v>1</v>
      </c>
      <c r="BB470" s="48">
        <f t="shared" si="224"/>
        <v>1</v>
      </c>
      <c r="BC470" s="48">
        <f t="shared" si="224"/>
        <v>1</v>
      </c>
      <c r="BD470" s="48">
        <f t="shared" si="224"/>
        <v>1</v>
      </c>
      <c r="BE470" s="48">
        <f t="shared" si="224"/>
        <v>1</v>
      </c>
      <c r="BF470" s="48">
        <f t="shared" si="224"/>
        <v>1</v>
      </c>
      <c r="BG470" s="48">
        <f t="shared" si="224"/>
        <v>1</v>
      </c>
      <c r="BH470" s="48">
        <f t="shared" si="224"/>
        <v>1</v>
      </c>
      <c r="BI470" s="48">
        <f t="shared" si="224"/>
        <v>1</v>
      </c>
      <c r="BJ470" s="48">
        <f t="shared" si="224"/>
        <v>1</v>
      </c>
      <c r="BK470" s="48">
        <f t="shared" si="224"/>
        <v>1</v>
      </c>
      <c r="BL470" s="48">
        <f t="shared" si="224"/>
        <v>1</v>
      </c>
      <c r="BM470" s="48">
        <f t="shared" si="224"/>
        <v>1</v>
      </c>
      <c r="BN470" s="48">
        <f t="shared" si="224"/>
        <v>1</v>
      </c>
      <c r="BO470" s="32">
        <f t="shared" si="221"/>
        <v>0.44067796610169491</v>
      </c>
    </row>
    <row r="471" spans="1:67" x14ac:dyDescent="0.2">
      <c r="A471" s="50" t="s">
        <v>950</v>
      </c>
      <c r="B471" s="50" t="s">
        <v>951</v>
      </c>
      <c r="C471" s="50" t="s">
        <v>117</v>
      </c>
      <c r="D471" s="51">
        <f>VLOOKUP(A471,'[1]Cuadro Control'!C512:J2401,8,FALSE)</f>
        <v>320494616.71764702</v>
      </c>
      <c r="E471" s="52">
        <f t="shared" si="223"/>
        <v>6.0369617599332674E-2</v>
      </c>
      <c r="F471" s="53">
        <v>46442</v>
      </c>
      <c r="G471" s="53">
        <v>46447</v>
      </c>
      <c r="H471" s="52">
        <f t="shared" si="224"/>
        <v>0</v>
      </c>
      <c r="I471" s="52">
        <f t="shared" si="224"/>
        <v>0</v>
      </c>
      <c r="J471" s="52">
        <f t="shared" si="224"/>
        <v>0</v>
      </c>
      <c r="K471" s="52">
        <f t="shared" si="224"/>
        <v>0</v>
      </c>
      <c r="L471" s="52">
        <f t="shared" si="224"/>
        <v>0</v>
      </c>
      <c r="M471" s="52">
        <f t="shared" si="224"/>
        <v>0</v>
      </c>
      <c r="N471" s="52">
        <f t="shared" si="224"/>
        <v>0</v>
      </c>
      <c r="O471" s="52">
        <f t="shared" si="224"/>
        <v>0</v>
      </c>
      <c r="P471" s="52">
        <f t="shared" si="224"/>
        <v>0</v>
      </c>
      <c r="Q471" s="52">
        <f t="shared" si="224"/>
        <v>0</v>
      </c>
      <c r="R471" s="52">
        <f t="shared" si="224"/>
        <v>0</v>
      </c>
      <c r="S471" s="52">
        <f t="shared" si="224"/>
        <v>0</v>
      </c>
      <c r="T471" s="52">
        <f t="shared" si="224"/>
        <v>0</v>
      </c>
      <c r="U471" s="52">
        <f t="shared" si="224"/>
        <v>0</v>
      </c>
      <c r="V471" s="52">
        <f t="shared" si="224"/>
        <v>0</v>
      </c>
      <c r="W471" s="52">
        <f t="shared" si="224"/>
        <v>0</v>
      </c>
      <c r="X471" s="52">
        <f t="shared" si="224"/>
        <v>0</v>
      </c>
      <c r="Y471" s="52">
        <f t="shared" si="224"/>
        <v>0</v>
      </c>
      <c r="Z471" s="52">
        <f t="shared" si="224"/>
        <v>0</v>
      </c>
      <c r="AA471" s="52">
        <f t="shared" si="224"/>
        <v>0</v>
      </c>
      <c r="AB471" s="52">
        <f t="shared" si="224"/>
        <v>0</v>
      </c>
      <c r="AC471" s="52">
        <f t="shared" si="224"/>
        <v>0</v>
      </c>
      <c r="AD471" s="52">
        <f t="shared" si="224"/>
        <v>0</v>
      </c>
      <c r="AE471" s="52">
        <f t="shared" si="224"/>
        <v>0</v>
      </c>
      <c r="AF471" s="52">
        <f t="shared" si="224"/>
        <v>0</v>
      </c>
      <c r="AG471" s="52">
        <f t="shared" si="224"/>
        <v>0</v>
      </c>
      <c r="AH471" s="52">
        <f t="shared" si="224"/>
        <v>0</v>
      </c>
      <c r="AI471" s="52">
        <f t="shared" si="224"/>
        <v>0</v>
      </c>
      <c r="AJ471" s="52">
        <f t="shared" si="224"/>
        <v>0</v>
      </c>
      <c r="AK471" s="52">
        <f t="shared" si="224"/>
        <v>0</v>
      </c>
      <c r="AL471" s="52">
        <f t="shared" si="224"/>
        <v>0</v>
      </c>
      <c r="AM471" s="52">
        <f t="shared" si="224"/>
        <v>0</v>
      </c>
      <c r="AN471" s="52">
        <f t="shared" si="224"/>
        <v>0</v>
      </c>
      <c r="AO471" s="52">
        <f t="shared" si="224"/>
        <v>0.5</v>
      </c>
      <c r="AP471" s="52">
        <f t="shared" si="224"/>
        <v>1</v>
      </c>
      <c r="AQ471" s="52">
        <f t="shared" si="224"/>
        <v>1</v>
      </c>
      <c r="AR471" s="52">
        <f t="shared" si="224"/>
        <v>1</v>
      </c>
      <c r="AS471" s="52">
        <f t="shared" si="224"/>
        <v>1</v>
      </c>
      <c r="AT471" s="52">
        <f t="shared" si="224"/>
        <v>1</v>
      </c>
      <c r="AU471" s="52">
        <f t="shared" si="224"/>
        <v>1</v>
      </c>
      <c r="AV471" s="52">
        <f t="shared" si="224"/>
        <v>1</v>
      </c>
      <c r="AW471" s="52">
        <f t="shared" si="224"/>
        <v>1</v>
      </c>
      <c r="AX471" s="52">
        <f t="shared" si="224"/>
        <v>1</v>
      </c>
      <c r="AY471" s="52">
        <f t="shared" si="224"/>
        <v>1</v>
      </c>
      <c r="AZ471" s="52">
        <f t="shared" si="224"/>
        <v>1</v>
      </c>
      <c r="BA471" s="52">
        <f t="shared" si="224"/>
        <v>1</v>
      </c>
      <c r="BB471" s="52">
        <f t="shared" si="224"/>
        <v>1</v>
      </c>
      <c r="BC471" s="52">
        <f t="shared" si="224"/>
        <v>1</v>
      </c>
      <c r="BD471" s="52">
        <f t="shared" si="224"/>
        <v>1</v>
      </c>
      <c r="BE471" s="52">
        <f t="shared" si="224"/>
        <v>1</v>
      </c>
      <c r="BF471" s="52">
        <f t="shared" si="224"/>
        <v>1</v>
      </c>
      <c r="BG471" s="52">
        <f t="shared" si="224"/>
        <v>1</v>
      </c>
      <c r="BH471" s="52">
        <f t="shared" si="224"/>
        <v>1</v>
      </c>
      <c r="BI471" s="52">
        <f t="shared" si="224"/>
        <v>1</v>
      </c>
      <c r="BJ471" s="52">
        <f t="shared" si="224"/>
        <v>1</v>
      </c>
      <c r="BK471" s="52">
        <f t="shared" si="224"/>
        <v>1</v>
      </c>
      <c r="BL471" s="52">
        <f t="shared" si="224"/>
        <v>1</v>
      </c>
      <c r="BM471" s="52">
        <f t="shared" si="224"/>
        <v>1</v>
      </c>
      <c r="BN471" s="52">
        <f t="shared" si="224"/>
        <v>1</v>
      </c>
      <c r="BO471" s="32">
        <f t="shared" si="221"/>
        <v>0.43220338983050849</v>
      </c>
    </row>
    <row r="472" spans="1:67" x14ac:dyDescent="0.2">
      <c r="A472" s="50" t="s">
        <v>952</v>
      </c>
      <c r="B472" s="50" t="s">
        <v>953</v>
      </c>
      <c r="C472" s="50" t="s">
        <v>111</v>
      </c>
      <c r="D472" s="51">
        <f>VLOOKUP(A472,'[1]Cuadro Control'!C513:J2402,8,FALSE)</f>
        <v>94303618.549411759</v>
      </c>
      <c r="E472" s="52">
        <f t="shared" si="223"/>
        <v>1.7763397864110998E-2</v>
      </c>
      <c r="F472" s="53">
        <v>46447</v>
      </c>
      <c r="G472" s="53">
        <v>46449</v>
      </c>
      <c r="H472" s="52">
        <f t="shared" si="224"/>
        <v>0</v>
      </c>
      <c r="I472" s="52">
        <f t="shared" si="224"/>
        <v>0</v>
      </c>
      <c r="J472" s="52">
        <f t="shared" si="224"/>
        <v>0</v>
      </c>
      <c r="K472" s="52">
        <f t="shared" si="224"/>
        <v>0</v>
      </c>
      <c r="L472" s="52">
        <f t="shared" si="224"/>
        <v>0</v>
      </c>
      <c r="M472" s="52">
        <f t="shared" si="224"/>
        <v>0</v>
      </c>
      <c r="N472" s="52">
        <f t="shared" si="224"/>
        <v>0</v>
      </c>
      <c r="O472" s="52">
        <f t="shared" si="224"/>
        <v>0</v>
      </c>
      <c r="P472" s="52">
        <f t="shared" si="224"/>
        <v>0</v>
      </c>
      <c r="Q472" s="52">
        <f t="shared" si="224"/>
        <v>0</v>
      </c>
      <c r="R472" s="52">
        <f t="shared" si="224"/>
        <v>0</v>
      </c>
      <c r="S472" s="52">
        <f t="shared" si="224"/>
        <v>0</v>
      </c>
      <c r="T472" s="52">
        <f t="shared" si="224"/>
        <v>0</v>
      </c>
      <c r="U472" s="52">
        <f t="shared" si="224"/>
        <v>0</v>
      </c>
      <c r="V472" s="52">
        <f t="shared" si="224"/>
        <v>0</v>
      </c>
      <c r="W472" s="52">
        <f t="shared" si="224"/>
        <v>0</v>
      </c>
      <c r="X472" s="52">
        <f t="shared" si="224"/>
        <v>0</v>
      </c>
      <c r="Y472" s="52">
        <f t="shared" si="224"/>
        <v>0</v>
      </c>
      <c r="Z472" s="52">
        <f t="shared" si="224"/>
        <v>0</v>
      </c>
      <c r="AA472" s="52">
        <f t="shared" ref="AA472:BF483" si="225">IF($F472=0,0,IF(AA$6&lt;$F472,0,IF(AA$6&gt;$G472,1,(AA$6-$F472+1)/($G472-$F472+1))))</f>
        <v>0</v>
      </c>
      <c r="AB472" s="52">
        <f t="shared" si="225"/>
        <v>0</v>
      </c>
      <c r="AC472" s="52">
        <f t="shared" si="225"/>
        <v>0</v>
      </c>
      <c r="AD472" s="52">
        <f t="shared" si="225"/>
        <v>0</v>
      </c>
      <c r="AE472" s="52">
        <f t="shared" si="225"/>
        <v>0</v>
      </c>
      <c r="AF472" s="52">
        <f t="shared" si="225"/>
        <v>0</v>
      </c>
      <c r="AG472" s="52">
        <f t="shared" si="225"/>
        <v>0</v>
      </c>
      <c r="AH472" s="52">
        <f t="shared" si="225"/>
        <v>0</v>
      </c>
      <c r="AI472" s="52">
        <f t="shared" si="225"/>
        <v>0</v>
      </c>
      <c r="AJ472" s="52">
        <f t="shared" si="225"/>
        <v>0</v>
      </c>
      <c r="AK472" s="52">
        <f t="shared" si="225"/>
        <v>0</v>
      </c>
      <c r="AL472" s="52">
        <f t="shared" si="225"/>
        <v>0</v>
      </c>
      <c r="AM472" s="52">
        <f t="shared" si="225"/>
        <v>0</v>
      </c>
      <c r="AN472" s="52">
        <f t="shared" si="225"/>
        <v>0</v>
      </c>
      <c r="AO472" s="52">
        <f t="shared" si="225"/>
        <v>0</v>
      </c>
      <c r="AP472" s="52">
        <f t="shared" si="225"/>
        <v>1</v>
      </c>
      <c r="AQ472" s="52">
        <f t="shared" si="225"/>
        <v>1</v>
      </c>
      <c r="AR472" s="52">
        <f t="shared" si="225"/>
        <v>1</v>
      </c>
      <c r="AS472" s="52">
        <f t="shared" si="225"/>
        <v>1</v>
      </c>
      <c r="AT472" s="52">
        <f t="shared" si="225"/>
        <v>1</v>
      </c>
      <c r="AU472" s="52">
        <f t="shared" si="225"/>
        <v>1</v>
      </c>
      <c r="AV472" s="52">
        <f t="shared" si="225"/>
        <v>1</v>
      </c>
      <c r="AW472" s="52">
        <f t="shared" si="225"/>
        <v>1</v>
      </c>
      <c r="AX472" s="52">
        <f t="shared" si="225"/>
        <v>1</v>
      </c>
      <c r="AY472" s="52">
        <f t="shared" si="225"/>
        <v>1</v>
      </c>
      <c r="AZ472" s="52">
        <f t="shared" si="225"/>
        <v>1</v>
      </c>
      <c r="BA472" s="52">
        <f t="shared" si="225"/>
        <v>1</v>
      </c>
      <c r="BB472" s="52">
        <f t="shared" si="225"/>
        <v>1</v>
      </c>
      <c r="BC472" s="52">
        <f t="shared" si="225"/>
        <v>1</v>
      </c>
      <c r="BD472" s="52">
        <f t="shared" si="225"/>
        <v>1</v>
      </c>
      <c r="BE472" s="52">
        <f t="shared" si="225"/>
        <v>1</v>
      </c>
      <c r="BF472" s="52">
        <f t="shared" si="225"/>
        <v>1</v>
      </c>
      <c r="BG472" s="52">
        <f t="shared" ref="BG472:BN483" si="226">IF($F472=0,0,IF(BG$6&lt;$F472,0,IF(BG$6&gt;$G472,1,(BG$6-$F472+1)/($G472-$F472+1))))</f>
        <v>1</v>
      </c>
      <c r="BH472" s="52">
        <f t="shared" si="226"/>
        <v>1</v>
      </c>
      <c r="BI472" s="52">
        <f t="shared" si="226"/>
        <v>1</v>
      </c>
      <c r="BJ472" s="52">
        <f t="shared" si="226"/>
        <v>1</v>
      </c>
      <c r="BK472" s="52">
        <f t="shared" si="226"/>
        <v>1</v>
      </c>
      <c r="BL472" s="52">
        <f t="shared" si="226"/>
        <v>1</v>
      </c>
      <c r="BM472" s="52">
        <f t="shared" si="226"/>
        <v>1</v>
      </c>
      <c r="BN472" s="52">
        <f t="shared" si="226"/>
        <v>1</v>
      </c>
      <c r="BO472" s="32">
        <f t="shared" si="221"/>
        <v>0.42372881355932202</v>
      </c>
    </row>
    <row r="473" spans="1:67" x14ac:dyDescent="0.2">
      <c r="A473" s="50" t="s">
        <v>954</v>
      </c>
      <c r="B473" s="50" t="s">
        <v>955</v>
      </c>
      <c r="C473" s="50" t="s">
        <v>238</v>
      </c>
      <c r="D473" s="51">
        <f>VLOOKUP(A473,'[1]Cuadro Control'!C514:J2403,8,FALSE)</f>
        <v>179436034.15411764</v>
      </c>
      <c r="E473" s="52">
        <f t="shared" si="223"/>
        <v>3.3799272126209236E-2</v>
      </c>
      <c r="F473" s="53">
        <v>46449</v>
      </c>
      <c r="G473" s="53">
        <v>46454</v>
      </c>
      <c r="H473" s="52">
        <f t="shared" ref="H473:W483" si="227">IF($F473=0,0,IF(H$6&lt;$F473,0,IF(H$6&gt;$G473,1,(H$6-$F473+1)/($G473-$F473+1))))</f>
        <v>0</v>
      </c>
      <c r="I473" s="52">
        <f t="shared" si="227"/>
        <v>0</v>
      </c>
      <c r="J473" s="52">
        <f t="shared" si="227"/>
        <v>0</v>
      </c>
      <c r="K473" s="52">
        <f t="shared" si="227"/>
        <v>0</v>
      </c>
      <c r="L473" s="52">
        <f t="shared" si="227"/>
        <v>0</v>
      </c>
      <c r="M473" s="52">
        <f t="shared" si="227"/>
        <v>0</v>
      </c>
      <c r="N473" s="52">
        <f t="shared" si="227"/>
        <v>0</v>
      </c>
      <c r="O473" s="52">
        <f t="shared" si="227"/>
        <v>0</v>
      </c>
      <c r="P473" s="52">
        <f t="shared" si="227"/>
        <v>0</v>
      </c>
      <c r="Q473" s="52">
        <f t="shared" si="227"/>
        <v>0</v>
      </c>
      <c r="R473" s="52">
        <f t="shared" si="227"/>
        <v>0</v>
      </c>
      <c r="S473" s="52">
        <f t="shared" si="227"/>
        <v>0</v>
      </c>
      <c r="T473" s="52">
        <f t="shared" si="227"/>
        <v>0</v>
      </c>
      <c r="U473" s="52">
        <f t="shared" si="227"/>
        <v>0</v>
      </c>
      <c r="V473" s="52">
        <f t="shared" si="227"/>
        <v>0</v>
      </c>
      <c r="W473" s="52">
        <f t="shared" si="227"/>
        <v>0</v>
      </c>
      <c r="X473" s="52">
        <f t="shared" ref="X473:BC483" si="228">IF($F473=0,0,IF(X$6&lt;$F473,0,IF(X$6&gt;$G473,1,(X$6-$F473+1)/($G473-$F473+1))))</f>
        <v>0</v>
      </c>
      <c r="Y473" s="52">
        <f t="shared" si="228"/>
        <v>0</v>
      </c>
      <c r="Z473" s="52">
        <f t="shared" si="228"/>
        <v>0</v>
      </c>
      <c r="AA473" s="52">
        <f t="shared" si="228"/>
        <v>0</v>
      </c>
      <c r="AB473" s="52">
        <f t="shared" si="228"/>
        <v>0</v>
      </c>
      <c r="AC473" s="52">
        <f t="shared" si="228"/>
        <v>0</v>
      </c>
      <c r="AD473" s="52">
        <f t="shared" si="228"/>
        <v>0</v>
      </c>
      <c r="AE473" s="52">
        <f t="shared" si="228"/>
        <v>0</v>
      </c>
      <c r="AF473" s="52">
        <f t="shared" si="228"/>
        <v>0</v>
      </c>
      <c r="AG473" s="52">
        <f t="shared" si="228"/>
        <v>0</v>
      </c>
      <c r="AH473" s="52">
        <f t="shared" si="228"/>
        <v>0</v>
      </c>
      <c r="AI473" s="52">
        <f t="shared" si="228"/>
        <v>0</v>
      </c>
      <c r="AJ473" s="52">
        <f t="shared" si="228"/>
        <v>0</v>
      </c>
      <c r="AK473" s="52">
        <f t="shared" si="228"/>
        <v>0</v>
      </c>
      <c r="AL473" s="52">
        <f t="shared" si="228"/>
        <v>0</v>
      </c>
      <c r="AM473" s="52">
        <f t="shared" si="228"/>
        <v>0</v>
      </c>
      <c r="AN473" s="52">
        <f t="shared" si="228"/>
        <v>0</v>
      </c>
      <c r="AO473" s="52">
        <f t="shared" si="225"/>
        <v>0</v>
      </c>
      <c r="AP473" s="52">
        <f t="shared" si="225"/>
        <v>0.5</v>
      </c>
      <c r="AQ473" s="52">
        <f t="shared" si="225"/>
        <v>1</v>
      </c>
      <c r="AR473" s="52">
        <f t="shared" si="225"/>
        <v>1</v>
      </c>
      <c r="AS473" s="52">
        <f t="shared" si="225"/>
        <v>1</v>
      </c>
      <c r="AT473" s="52">
        <f t="shared" si="225"/>
        <v>1</v>
      </c>
      <c r="AU473" s="52">
        <f t="shared" si="225"/>
        <v>1</v>
      </c>
      <c r="AV473" s="52">
        <f t="shared" si="225"/>
        <v>1</v>
      </c>
      <c r="AW473" s="52">
        <f t="shared" si="225"/>
        <v>1</v>
      </c>
      <c r="AX473" s="52">
        <f t="shared" si="225"/>
        <v>1</v>
      </c>
      <c r="AY473" s="52">
        <f t="shared" si="225"/>
        <v>1</v>
      </c>
      <c r="AZ473" s="52">
        <f t="shared" si="225"/>
        <v>1</v>
      </c>
      <c r="BA473" s="52">
        <f t="shared" si="225"/>
        <v>1</v>
      </c>
      <c r="BB473" s="52">
        <f t="shared" si="225"/>
        <v>1</v>
      </c>
      <c r="BC473" s="52">
        <f t="shared" si="225"/>
        <v>1</v>
      </c>
      <c r="BD473" s="52">
        <f t="shared" si="225"/>
        <v>1</v>
      </c>
      <c r="BE473" s="52">
        <f t="shared" si="225"/>
        <v>1</v>
      </c>
      <c r="BF473" s="52">
        <f t="shared" si="225"/>
        <v>1</v>
      </c>
      <c r="BG473" s="52">
        <f t="shared" si="226"/>
        <v>1</v>
      </c>
      <c r="BH473" s="52">
        <f t="shared" si="226"/>
        <v>1</v>
      </c>
      <c r="BI473" s="52">
        <f t="shared" si="226"/>
        <v>1</v>
      </c>
      <c r="BJ473" s="52">
        <f t="shared" si="226"/>
        <v>1</v>
      </c>
      <c r="BK473" s="52">
        <f t="shared" si="226"/>
        <v>1</v>
      </c>
      <c r="BL473" s="52">
        <f t="shared" si="226"/>
        <v>1</v>
      </c>
      <c r="BM473" s="52">
        <f t="shared" si="226"/>
        <v>1</v>
      </c>
      <c r="BN473" s="52">
        <f t="shared" si="226"/>
        <v>1</v>
      </c>
      <c r="BO473" s="32">
        <f t="shared" si="221"/>
        <v>0.4152542372881356</v>
      </c>
    </row>
    <row r="474" spans="1:67" x14ac:dyDescent="0.2">
      <c r="A474" s="50" t="s">
        <v>956</v>
      </c>
      <c r="B474" s="50" t="s">
        <v>957</v>
      </c>
      <c r="C474" s="50" t="s">
        <v>58</v>
      </c>
      <c r="D474" s="51">
        <f>VLOOKUP(A474,'[1]Cuadro Control'!C515:J2404,8,FALSE)</f>
        <v>1212623361.2117648</v>
      </c>
      <c r="E474" s="52">
        <f t="shared" si="223"/>
        <v>0.22841447185013161</v>
      </c>
      <c r="F474" s="53">
        <v>46454</v>
      </c>
      <c r="G474" s="53">
        <v>46473</v>
      </c>
      <c r="H474" s="52">
        <f t="shared" si="227"/>
        <v>0</v>
      </c>
      <c r="I474" s="52">
        <f t="shared" si="227"/>
        <v>0</v>
      </c>
      <c r="J474" s="52">
        <f t="shared" si="227"/>
        <v>0</v>
      </c>
      <c r="K474" s="52">
        <f t="shared" si="227"/>
        <v>0</v>
      </c>
      <c r="L474" s="52">
        <f t="shared" si="227"/>
        <v>0</v>
      </c>
      <c r="M474" s="52">
        <f t="shared" si="227"/>
        <v>0</v>
      </c>
      <c r="N474" s="52">
        <f t="shared" si="227"/>
        <v>0</v>
      </c>
      <c r="O474" s="52">
        <f t="shared" si="227"/>
        <v>0</v>
      </c>
      <c r="P474" s="52">
        <f t="shared" si="227"/>
        <v>0</v>
      </c>
      <c r="Q474" s="52">
        <f t="shared" si="227"/>
        <v>0</v>
      </c>
      <c r="R474" s="52">
        <f t="shared" si="227"/>
        <v>0</v>
      </c>
      <c r="S474" s="52">
        <f t="shared" si="227"/>
        <v>0</v>
      </c>
      <c r="T474" s="52">
        <f t="shared" si="227"/>
        <v>0</v>
      </c>
      <c r="U474" s="52">
        <f t="shared" si="227"/>
        <v>0</v>
      </c>
      <c r="V474" s="52">
        <f t="shared" si="227"/>
        <v>0</v>
      </c>
      <c r="W474" s="52">
        <f t="shared" si="227"/>
        <v>0</v>
      </c>
      <c r="X474" s="52">
        <f t="shared" si="228"/>
        <v>0</v>
      </c>
      <c r="Y474" s="52">
        <f t="shared" si="228"/>
        <v>0</v>
      </c>
      <c r="Z474" s="52">
        <f t="shared" si="228"/>
        <v>0</v>
      </c>
      <c r="AA474" s="52">
        <f t="shared" si="228"/>
        <v>0</v>
      </c>
      <c r="AB474" s="52">
        <f t="shared" si="228"/>
        <v>0</v>
      </c>
      <c r="AC474" s="52">
        <f t="shared" si="228"/>
        <v>0</v>
      </c>
      <c r="AD474" s="52">
        <f t="shared" si="228"/>
        <v>0</v>
      </c>
      <c r="AE474" s="52">
        <f t="shared" si="228"/>
        <v>0</v>
      </c>
      <c r="AF474" s="52">
        <f t="shared" si="228"/>
        <v>0</v>
      </c>
      <c r="AG474" s="52">
        <f t="shared" si="228"/>
        <v>0</v>
      </c>
      <c r="AH474" s="52">
        <f t="shared" si="228"/>
        <v>0</v>
      </c>
      <c r="AI474" s="52">
        <f t="shared" si="228"/>
        <v>0</v>
      </c>
      <c r="AJ474" s="52">
        <f t="shared" si="228"/>
        <v>0</v>
      </c>
      <c r="AK474" s="52">
        <f t="shared" si="228"/>
        <v>0</v>
      </c>
      <c r="AL474" s="52">
        <f t="shared" si="228"/>
        <v>0</v>
      </c>
      <c r="AM474" s="52">
        <f t="shared" si="228"/>
        <v>0</v>
      </c>
      <c r="AN474" s="52">
        <f t="shared" si="228"/>
        <v>0</v>
      </c>
      <c r="AO474" s="52">
        <f t="shared" si="225"/>
        <v>0</v>
      </c>
      <c r="AP474" s="52">
        <f t="shared" si="225"/>
        <v>0</v>
      </c>
      <c r="AQ474" s="52">
        <f t="shared" si="225"/>
        <v>0.25</v>
      </c>
      <c r="AR474" s="52">
        <f t="shared" si="225"/>
        <v>0.6</v>
      </c>
      <c r="AS474" s="52">
        <f t="shared" si="225"/>
        <v>0.95</v>
      </c>
      <c r="AT474" s="52">
        <f t="shared" si="225"/>
        <v>1</v>
      </c>
      <c r="AU474" s="52">
        <f t="shared" si="225"/>
        <v>1</v>
      </c>
      <c r="AV474" s="52">
        <f t="shared" si="225"/>
        <v>1</v>
      </c>
      <c r="AW474" s="52">
        <f t="shared" si="225"/>
        <v>1</v>
      </c>
      <c r="AX474" s="52">
        <f t="shared" si="225"/>
        <v>1</v>
      </c>
      <c r="AY474" s="52">
        <f t="shared" si="225"/>
        <v>1</v>
      </c>
      <c r="AZ474" s="52">
        <f t="shared" si="225"/>
        <v>1</v>
      </c>
      <c r="BA474" s="52">
        <f t="shared" si="225"/>
        <v>1</v>
      </c>
      <c r="BB474" s="52">
        <f t="shared" si="225"/>
        <v>1</v>
      </c>
      <c r="BC474" s="52">
        <f t="shared" si="225"/>
        <v>1</v>
      </c>
      <c r="BD474" s="52">
        <f t="shared" si="225"/>
        <v>1</v>
      </c>
      <c r="BE474" s="52">
        <f t="shared" si="225"/>
        <v>1</v>
      </c>
      <c r="BF474" s="52">
        <f t="shared" si="225"/>
        <v>1</v>
      </c>
      <c r="BG474" s="52">
        <f t="shared" si="226"/>
        <v>1</v>
      </c>
      <c r="BH474" s="52">
        <f t="shared" si="226"/>
        <v>1</v>
      </c>
      <c r="BI474" s="52">
        <f t="shared" si="226"/>
        <v>1</v>
      </c>
      <c r="BJ474" s="52">
        <f t="shared" si="226"/>
        <v>1</v>
      </c>
      <c r="BK474" s="52">
        <f t="shared" si="226"/>
        <v>1</v>
      </c>
      <c r="BL474" s="52">
        <f t="shared" si="226"/>
        <v>1</v>
      </c>
      <c r="BM474" s="52">
        <f t="shared" si="226"/>
        <v>1</v>
      </c>
      <c r="BN474" s="52">
        <f t="shared" si="226"/>
        <v>1</v>
      </c>
      <c r="BO474" s="32">
        <f t="shared" si="221"/>
        <v>0.38644067796610171</v>
      </c>
    </row>
    <row r="475" spans="1:67" x14ac:dyDescent="0.2">
      <c r="A475" s="50" t="s">
        <v>958</v>
      </c>
      <c r="B475" s="50" t="s">
        <v>959</v>
      </c>
      <c r="C475" s="50" t="s">
        <v>126</v>
      </c>
      <c r="D475" s="51">
        <f>VLOOKUP(A475,'[1]Cuadro Control'!C516:J2405,8,FALSE)</f>
        <v>0</v>
      </c>
      <c r="E475" s="52">
        <f t="shared" si="223"/>
        <v>0</v>
      </c>
      <c r="F475" s="53">
        <v>46473</v>
      </c>
      <c r="G475" s="53">
        <v>46476</v>
      </c>
      <c r="H475" s="52">
        <f t="shared" si="227"/>
        <v>0</v>
      </c>
      <c r="I475" s="52">
        <f t="shared" si="227"/>
        <v>0</v>
      </c>
      <c r="J475" s="52">
        <f t="shared" si="227"/>
        <v>0</v>
      </c>
      <c r="K475" s="52">
        <f t="shared" si="227"/>
        <v>0</v>
      </c>
      <c r="L475" s="52">
        <f t="shared" si="227"/>
        <v>0</v>
      </c>
      <c r="M475" s="52">
        <f t="shared" si="227"/>
        <v>0</v>
      </c>
      <c r="N475" s="52">
        <f t="shared" si="227"/>
        <v>0</v>
      </c>
      <c r="O475" s="52">
        <f t="shared" si="227"/>
        <v>0</v>
      </c>
      <c r="P475" s="52">
        <f t="shared" si="227"/>
        <v>0</v>
      </c>
      <c r="Q475" s="52">
        <f t="shared" si="227"/>
        <v>0</v>
      </c>
      <c r="R475" s="52">
        <f t="shared" si="227"/>
        <v>0</v>
      </c>
      <c r="S475" s="52">
        <f t="shared" si="227"/>
        <v>0</v>
      </c>
      <c r="T475" s="52">
        <f t="shared" si="227"/>
        <v>0</v>
      </c>
      <c r="U475" s="52">
        <f t="shared" si="227"/>
        <v>0</v>
      </c>
      <c r="V475" s="52">
        <f t="shared" si="227"/>
        <v>0</v>
      </c>
      <c r="W475" s="52">
        <f t="shared" si="227"/>
        <v>0</v>
      </c>
      <c r="X475" s="52">
        <f t="shared" si="228"/>
        <v>0</v>
      </c>
      <c r="Y475" s="52">
        <f t="shared" si="228"/>
        <v>0</v>
      </c>
      <c r="Z475" s="52">
        <f t="shared" si="228"/>
        <v>0</v>
      </c>
      <c r="AA475" s="52">
        <f t="shared" si="228"/>
        <v>0</v>
      </c>
      <c r="AB475" s="52">
        <f t="shared" si="228"/>
        <v>0</v>
      </c>
      <c r="AC475" s="52">
        <f t="shared" si="228"/>
        <v>0</v>
      </c>
      <c r="AD475" s="52">
        <f t="shared" si="228"/>
        <v>0</v>
      </c>
      <c r="AE475" s="52">
        <f t="shared" si="228"/>
        <v>0</v>
      </c>
      <c r="AF475" s="52">
        <f t="shared" si="228"/>
        <v>0</v>
      </c>
      <c r="AG475" s="52">
        <f t="shared" si="228"/>
        <v>0</v>
      </c>
      <c r="AH475" s="52">
        <f t="shared" si="228"/>
        <v>0</v>
      </c>
      <c r="AI475" s="52">
        <f t="shared" si="228"/>
        <v>0</v>
      </c>
      <c r="AJ475" s="52">
        <f t="shared" si="228"/>
        <v>0</v>
      </c>
      <c r="AK475" s="52">
        <f t="shared" si="228"/>
        <v>0</v>
      </c>
      <c r="AL475" s="52">
        <f t="shared" si="228"/>
        <v>0</v>
      </c>
      <c r="AM475" s="52">
        <f t="shared" si="228"/>
        <v>0</v>
      </c>
      <c r="AN475" s="52">
        <f t="shared" si="228"/>
        <v>0</v>
      </c>
      <c r="AO475" s="52">
        <f t="shared" si="225"/>
        <v>0</v>
      </c>
      <c r="AP475" s="52">
        <f t="shared" si="225"/>
        <v>0</v>
      </c>
      <c r="AQ475" s="52">
        <f t="shared" si="225"/>
        <v>0</v>
      </c>
      <c r="AR475" s="52">
        <f t="shared" si="225"/>
        <v>0</v>
      </c>
      <c r="AS475" s="52">
        <f t="shared" si="225"/>
        <v>0</v>
      </c>
      <c r="AT475" s="52">
        <f t="shared" si="225"/>
        <v>1</v>
      </c>
      <c r="AU475" s="52">
        <f t="shared" si="225"/>
        <v>1</v>
      </c>
      <c r="AV475" s="52">
        <f t="shared" si="225"/>
        <v>1</v>
      </c>
      <c r="AW475" s="52">
        <f t="shared" si="225"/>
        <v>1</v>
      </c>
      <c r="AX475" s="52">
        <f t="shared" si="225"/>
        <v>1</v>
      </c>
      <c r="AY475" s="52">
        <f t="shared" si="225"/>
        <v>1</v>
      </c>
      <c r="AZ475" s="52">
        <f t="shared" si="225"/>
        <v>1</v>
      </c>
      <c r="BA475" s="52">
        <f t="shared" si="225"/>
        <v>1</v>
      </c>
      <c r="BB475" s="52">
        <f t="shared" si="225"/>
        <v>1</v>
      </c>
      <c r="BC475" s="52">
        <f t="shared" si="225"/>
        <v>1</v>
      </c>
      <c r="BD475" s="52">
        <f t="shared" si="225"/>
        <v>1</v>
      </c>
      <c r="BE475" s="52">
        <f t="shared" si="225"/>
        <v>1</v>
      </c>
      <c r="BF475" s="52">
        <f t="shared" si="225"/>
        <v>1</v>
      </c>
      <c r="BG475" s="52">
        <f t="shared" si="226"/>
        <v>1</v>
      </c>
      <c r="BH475" s="52">
        <f t="shared" si="226"/>
        <v>1</v>
      </c>
      <c r="BI475" s="52">
        <f t="shared" si="226"/>
        <v>1</v>
      </c>
      <c r="BJ475" s="52">
        <f t="shared" si="226"/>
        <v>1</v>
      </c>
      <c r="BK475" s="52">
        <f t="shared" si="226"/>
        <v>1</v>
      </c>
      <c r="BL475" s="52">
        <f t="shared" si="226"/>
        <v>1</v>
      </c>
      <c r="BM475" s="52">
        <f t="shared" si="226"/>
        <v>1</v>
      </c>
      <c r="BN475" s="52">
        <f t="shared" si="226"/>
        <v>1</v>
      </c>
      <c r="BO475" s="32">
        <f t="shared" si="221"/>
        <v>0.3559322033898305</v>
      </c>
    </row>
    <row r="476" spans="1:67" ht="24" x14ac:dyDescent="0.2">
      <c r="A476" s="55" t="s">
        <v>960</v>
      </c>
      <c r="B476" s="55" t="s">
        <v>961</v>
      </c>
      <c r="C476" s="55" t="s">
        <v>14</v>
      </c>
      <c r="D476" s="56">
        <f>VLOOKUP(A476,'[1]Cuadro Control'!C517:J2406,8,FALSE)</f>
        <v>0</v>
      </c>
      <c r="E476" s="57">
        <f t="shared" si="223"/>
        <v>0</v>
      </c>
      <c r="F476" s="58">
        <v>46473</v>
      </c>
      <c r="G476" s="58">
        <v>46473</v>
      </c>
      <c r="H476" s="57">
        <f t="shared" si="227"/>
        <v>0</v>
      </c>
      <c r="I476" s="57">
        <f t="shared" si="227"/>
        <v>0</v>
      </c>
      <c r="J476" s="57">
        <f t="shared" si="227"/>
        <v>0</v>
      </c>
      <c r="K476" s="57">
        <f t="shared" si="227"/>
        <v>0</v>
      </c>
      <c r="L476" s="57">
        <f t="shared" si="227"/>
        <v>0</v>
      </c>
      <c r="M476" s="57">
        <f t="shared" si="227"/>
        <v>0</v>
      </c>
      <c r="N476" s="57">
        <f t="shared" si="227"/>
        <v>0</v>
      </c>
      <c r="O476" s="57">
        <f t="shared" si="227"/>
        <v>0</v>
      </c>
      <c r="P476" s="57">
        <f t="shared" si="227"/>
        <v>0</v>
      </c>
      <c r="Q476" s="57">
        <f t="shared" si="227"/>
        <v>0</v>
      </c>
      <c r="R476" s="57">
        <f t="shared" si="227"/>
        <v>0</v>
      </c>
      <c r="S476" s="57">
        <f t="shared" si="227"/>
        <v>0</v>
      </c>
      <c r="T476" s="57">
        <f t="shared" si="227"/>
        <v>0</v>
      </c>
      <c r="U476" s="57">
        <f t="shared" si="227"/>
        <v>0</v>
      </c>
      <c r="V476" s="57">
        <f t="shared" si="227"/>
        <v>0</v>
      </c>
      <c r="W476" s="57">
        <f t="shared" si="227"/>
        <v>0</v>
      </c>
      <c r="X476" s="57">
        <f t="shared" si="228"/>
        <v>0</v>
      </c>
      <c r="Y476" s="57">
        <f t="shared" si="228"/>
        <v>0</v>
      </c>
      <c r="Z476" s="57">
        <f t="shared" si="228"/>
        <v>0</v>
      </c>
      <c r="AA476" s="57">
        <f t="shared" si="228"/>
        <v>0</v>
      </c>
      <c r="AB476" s="57">
        <f t="shared" si="228"/>
        <v>0</v>
      </c>
      <c r="AC476" s="57">
        <f t="shared" si="228"/>
        <v>0</v>
      </c>
      <c r="AD476" s="57">
        <f t="shared" si="228"/>
        <v>0</v>
      </c>
      <c r="AE476" s="57">
        <f t="shared" si="228"/>
        <v>0</v>
      </c>
      <c r="AF476" s="57">
        <f t="shared" si="228"/>
        <v>0</v>
      </c>
      <c r="AG476" s="57">
        <f t="shared" si="228"/>
        <v>0</v>
      </c>
      <c r="AH476" s="57">
        <f t="shared" si="228"/>
        <v>0</v>
      </c>
      <c r="AI476" s="57">
        <f t="shared" si="228"/>
        <v>0</v>
      </c>
      <c r="AJ476" s="57">
        <f t="shared" si="228"/>
        <v>0</v>
      </c>
      <c r="AK476" s="57">
        <f t="shared" si="228"/>
        <v>0</v>
      </c>
      <c r="AL476" s="57">
        <f t="shared" si="228"/>
        <v>0</v>
      </c>
      <c r="AM476" s="57">
        <f t="shared" si="228"/>
        <v>0</v>
      </c>
      <c r="AN476" s="57">
        <f t="shared" si="228"/>
        <v>0</v>
      </c>
      <c r="AO476" s="57">
        <f t="shared" si="225"/>
        <v>0</v>
      </c>
      <c r="AP476" s="57">
        <f t="shared" si="225"/>
        <v>0</v>
      </c>
      <c r="AQ476" s="57">
        <f t="shared" si="225"/>
        <v>0</v>
      </c>
      <c r="AR476" s="57">
        <f t="shared" si="225"/>
        <v>0</v>
      </c>
      <c r="AS476" s="57">
        <f t="shared" si="225"/>
        <v>0</v>
      </c>
      <c r="AT476" s="57">
        <f t="shared" si="225"/>
        <v>1</v>
      </c>
      <c r="AU476" s="57">
        <f t="shared" si="225"/>
        <v>1</v>
      </c>
      <c r="AV476" s="57">
        <f t="shared" si="225"/>
        <v>1</v>
      </c>
      <c r="AW476" s="57">
        <f t="shared" si="225"/>
        <v>1</v>
      </c>
      <c r="AX476" s="57">
        <f t="shared" si="225"/>
        <v>1</v>
      </c>
      <c r="AY476" s="57">
        <f t="shared" si="225"/>
        <v>1</v>
      </c>
      <c r="AZ476" s="57">
        <f t="shared" si="225"/>
        <v>1</v>
      </c>
      <c r="BA476" s="57">
        <f t="shared" si="225"/>
        <v>1</v>
      </c>
      <c r="BB476" s="57">
        <f t="shared" si="225"/>
        <v>1</v>
      </c>
      <c r="BC476" s="57">
        <f t="shared" si="225"/>
        <v>1</v>
      </c>
      <c r="BD476" s="57">
        <f t="shared" si="225"/>
        <v>1</v>
      </c>
      <c r="BE476" s="57">
        <f t="shared" si="225"/>
        <v>1</v>
      </c>
      <c r="BF476" s="57">
        <f t="shared" si="225"/>
        <v>1</v>
      </c>
      <c r="BG476" s="57">
        <f t="shared" si="226"/>
        <v>1</v>
      </c>
      <c r="BH476" s="57">
        <f t="shared" si="226"/>
        <v>1</v>
      </c>
      <c r="BI476" s="57">
        <f t="shared" si="226"/>
        <v>1</v>
      </c>
      <c r="BJ476" s="57">
        <f t="shared" si="226"/>
        <v>1</v>
      </c>
      <c r="BK476" s="57">
        <f t="shared" si="226"/>
        <v>1</v>
      </c>
      <c r="BL476" s="57">
        <f t="shared" si="226"/>
        <v>1</v>
      </c>
      <c r="BM476" s="57">
        <f t="shared" si="226"/>
        <v>1</v>
      </c>
      <c r="BN476" s="57">
        <f t="shared" si="226"/>
        <v>1</v>
      </c>
      <c r="BO476" s="32">
        <f t="shared" si="221"/>
        <v>0.3559322033898305</v>
      </c>
    </row>
    <row r="477" spans="1:67" x14ac:dyDescent="0.2">
      <c r="A477" s="50" t="s">
        <v>962</v>
      </c>
      <c r="B477" s="50" t="s">
        <v>963</v>
      </c>
      <c r="C477" s="50" t="s">
        <v>111</v>
      </c>
      <c r="D477" s="51">
        <f>VLOOKUP(A477,'[1]Cuadro Control'!C518:J2407,8,FALSE)</f>
        <v>1230815225.9452939</v>
      </c>
      <c r="E477" s="52">
        <f t="shared" si="223"/>
        <v>0.2318411625341423</v>
      </c>
      <c r="F477" s="53">
        <v>46477</v>
      </c>
      <c r="G477" s="53">
        <v>46477</v>
      </c>
      <c r="H477" s="52">
        <f t="shared" si="227"/>
        <v>0</v>
      </c>
      <c r="I477" s="52">
        <f t="shared" si="227"/>
        <v>0</v>
      </c>
      <c r="J477" s="52">
        <f t="shared" si="227"/>
        <v>0</v>
      </c>
      <c r="K477" s="52">
        <f t="shared" si="227"/>
        <v>0</v>
      </c>
      <c r="L477" s="52">
        <f t="shared" si="227"/>
        <v>0</v>
      </c>
      <c r="M477" s="52">
        <f t="shared" si="227"/>
        <v>0</v>
      </c>
      <c r="N477" s="52">
        <f t="shared" si="227"/>
        <v>0</v>
      </c>
      <c r="O477" s="52">
        <f t="shared" si="227"/>
        <v>0</v>
      </c>
      <c r="P477" s="52">
        <f t="shared" si="227"/>
        <v>0</v>
      </c>
      <c r="Q477" s="52">
        <f t="shared" si="227"/>
        <v>0</v>
      </c>
      <c r="R477" s="52">
        <f t="shared" si="227"/>
        <v>0</v>
      </c>
      <c r="S477" s="52">
        <f t="shared" si="227"/>
        <v>0</v>
      </c>
      <c r="T477" s="52">
        <f t="shared" si="227"/>
        <v>0</v>
      </c>
      <c r="U477" s="52">
        <f t="shared" si="227"/>
        <v>0</v>
      </c>
      <c r="V477" s="52">
        <f t="shared" si="227"/>
        <v>0</v>
      </c>
      <c r="W477" s="52">
        <f t="shared" si="227"/>
        <v>0</v>
      </c>
      <c r="X477" s="52">
        <f t="shared" si="228"/>
        <v>0</v>
      </c>
      <c r="Y477" s="52">
        <f t="shared" si="228"/>
        <v>0</v>
      </c>
      <c r="Z477" s="52">
        <f t="shared" si="228"/>
        <v>0</v>
      </c>
      <c r="AA477" s="52">
        <f t="shared" si="228"/>
        <v>0</v>
      </c>
      <c r="AB477" s="52">
        <f t="shared" si="228"/>
        <v>0</v>
      </c>
      <c r="AC477" s="52">
        <f t="shared" si="228"/>
        <v>0</v>
      </c>
      <c r="AD477" s="52">
        <f t="shared" si="228"/>
        <v>0</v>
      </c>
      <c r="AE477" s="52">
        <f t="shared" si="228"/>
        <v>0</v>
      </c>
      <c r="AF477" s="52">
        <f t="shared" si="228"/>
        <v>0</v>
      </c>
      <c r="AG477" s="52">
        <f t="shared" si="228"/>
        <v>0</v>
      </c>
      <c r="AH477" s="52">
        <f t="shared" si="228"/>
        <v>0</v>
      </c>
      <c r="AI477" s="52">
        <f t="shared" si="228"/>
        <v>0</v>
      </c>
      <c r="AJ477" s="52">
        <f t="shared" si="228"/>
        <v>0</v>
      </c>
      <c r="AK477" s="52">
        <f t="shared" si="228"/>
        <v>0</v>
      </c>
      <c r="AL477" s="52">
        <f t="shared" si="228"/>
        <v>0</v>
      </c>
      <c r="AM477" s="52">
        <f t="shared" si="228"/>
        <v>0</v>
      </c>
      <c r="AN477" s="52">
        <f t="shared" si="228"/>
        <v>0</v>
      </c>
      <c r="AO477" s="52">
        <f t="shared" si="225"/>
        <v>0</v>
      </c>
      <c r="AP477" s="52">
        <f t="shared" si="225"/>
        <v>0</v>
      </c>
      <c r="AQ477" s="52">
        <f t="shared" si="225"/>
        <v>0</v>
      </c>
      <c r="AR477" s="52">
        <f t="shared" si="225"/>
        <v>0</v>
      </c>
      <c r="AS477" s="52">
        <f t="shared" si="225"/>
        <v>0</v>
      </c>
      <c r="AT477" s="52">
        <f t="shared" si="225"/>
        <v>1</v>
      </c>
      <c r="AU477" s="52">
        <f t="shared" si="225"/>
        <v>1</v>
      </c>
      <c r="AV477" s="52">
        <f t="shared" si="225"/>
        <v>1</v>
      </c>
      <c r="AW477" s="52">
        <f t="shared" si="225"/>
        <v>1</v>
      </c>
      <c r="AX477" s="52">
        <f t="shared" si="225"/>
        <v>1</v>
      </c>
      <c r="AY477" s="52">
        <f t="shared" si="225"/>
        <v>1</v>
      </c>
      <c r="AZ477" s="52">
        <f t="shared" si="225"/>
        <v>1</v>
      </c>
      <c r="BA477" s="52">
        <f t="shared" si="225"/>
        <v>1</v>
      </c>
      <c r="BB477" s="52">
        <f t="shared" si="225"/>
        <v>1</v>
      </c>
      <c r="BC477" s="52">
        <f t="shared" si="225"/>
        <v>1</v>
      </c>
      <c r="BD477" s="52">
        <f t="shared" si="225"/>
        <v>1</v>
      </c>
      <c r="BE477" s="52">
        <f t="shared" si="225"/>
        <v>1</v>
      </c>
      <c r="BF477" s="52">
        <f t="shared" si="225"/>
        <v>1</v>
      </c>
      <c r="BG477" s="52">
        <f t="shared" si="226"/>
        <v>1</v>
      </c>
      <c r="BH477" s="52">
        <f t="shared" si="226"/>
        <v>1</v>
      </c>
      <c r="BI477" s="52">
        <f t="shared" si="226"/>
        <v>1</v>
      </c>
      <c r="BJ477" s="52">
        <f t="shared" si="226"/>
        <v>1</v>
      </c>
      <c r="BK477" s="52">
        <f t="shared" si="226"/>
        <v>1</v>
      </c>
      <c r="BL477" s="52">
        <f t="shared" si="226"/>
        <v>1</v>
      </c>
      <c r="BM477" s="52">
        <f t="shared" si="226"/>
        <v>1</v>
      </c>
      <c r="BN477" s="52">
        <f t="shared" si="226"/>
        <v>1</v>
      </c>
      <c r="BO477" s="32">
        <f t="shared" si="221"/>
        <v>0.3559322033898305</v>
      </c>
    </row>
    <row r="478" spans="1:67" x14ac:dyDescent="0.2">
      <c r="A478" s="50" t="s">
        <v>964</v>
      </c>
      <c r="B478" s="50" t="s">
        <v>965</v>
      </c>
      <c r="C478" s="50" t="s">
        <v>238</v>
      </c>
      <c r="D478" s="51">
        <f>VLOOKUP(A478,'[1]Cuadro Control'!C519:J2408,8,FALSE)</f>
        <v>0</v>
      </c>
      <c r="E478" s="52">
        <f t="shared" si="223"/>
        <v>0</v>
      </c>
      <c r="F478" s="53">
        <v>46477</v>
      </c>
      <c r="G478" s="53">
        <v>46485</v>
      </c>
      <c r="H478" s="52">
        <f t="shared" si="227"/>
        <v>0</v>
      </c>
      <c r="I478" s="52">
        <f t="shared" si="227"/>
        <v>0</v>
      </c>
      <c r="J478" s="52">
        <f t="shared" si="227"/>
        <v>0</v>
      </c>
      <c r="K478" s="52">
        <f t="shared" si="227"/>
        <v>0</v>
      </c>
      <c r="L478" s="52">
        <f t="shared" si="227"/>
        <v>0</v>
      </c>
      <c r="M478" s="52">
        <f t="shared" si="227"/>
        <v>0</v>
      </c>
      <c r="N478" s="52">
        <f t="shared" si="227"/>
        <v>0</v>
      </c>
      <c r="O478" s="52">
        <f t="shared" si="227"/>
        <v>0</v>
      </c>
      <c r="P478" s="52">
        <f t="shared" si="227"/>
        <v>0</v>
      </c>
      <c r="Q478" s="52">
        <f t="shared" si="227"/>
        <v>0</v>
      </c>
      <c r="R478" s="52">
        <f t="shared" si="227"/>
        <v>0</v>
      </c>
      <c r="S478" s="52">
        <f t="shared" si="227"/>
        <v>0</v>
      </c>
      <c r="T478" s="52">
        <f t="shared" si="227"/>
        <v>0</v>
      </c>
      <c r="U478" s="52">
        <f t="shared" si="227"/>
        <v>0</v>
      </c>
      <c r="V478" s="52">
        <f t="shared" si="227"/>
        <v>0</v>
      </c>
      <c r="W478" s="52">
        <f t="shared" si="227"/>
        <v>0</v>
      </c>
      <c r="X478" s="52">
        <f t="shared" si="228"/>
        <v>0</v>
      </c>
      <c r="Y478" s="52">
        <f t="shared" si="228"/>
        <v>0</v>
      </c>
      <c r="Z478" s="52">
        <f t="shared" si="228"/>
        <v>0</v>
      </c>
      <c r="AA478" s="52">
        <f t="shared" si="228"/>
        <v>0</v>
      </c>
      <c r="AB478" s="52">
        <f t="shared" si="228"/>
        <v>0</v>
      </c>
      <c r="AC478" s="52">
        <f t="shared" si="228"/>
        <v>0</v>
      </c>
      <c r="AD478" s="52">
        <f t="shared" si="228"/>
        <v>0</v>
      </c>
      <c r="AE478" s="52">
        <f t="shared" si="228"/>
        <v>0</v>
      </c>
      <c r="AF478" s="52">
        <f t="shared" si="228"/>
        <v>0</v>
      </c>
      <c r="AG478" s="52">
        <f t="shared" si="228"/>
        <v>0</v>
      </c>
      <c r="AH478" s="52">
        <f t="shared" si="228"/>
        <v>0</v>
      </c>
      <c r="AI478" s="52">
        <f t="shared" si="228"/>
        <v>0</v>
      </c>
      <c r="AJ478" s="52">
        <f t="shared" si="228"/>
        <v>0</v>
      </c>
      <c r="AK478" s="52">
        <f t="shared" si="228"/>
        <v>0</v>
      </c>
      <c r="AL478" s="52">
        <f t="shared" si="228"/>
        <v>0</v>
      </c>
      <c r="AM478" s="52">
        <f t="shared" si="228"/>
        <v>0</v>
      </c>
      <c r="AN478" s="52">
        <f t="shared" si="228"/>
        <v>0</v>
      </c>
      <c r="AO478" s="52">
        <f t="shared" si="225"/>
        <v>0</v>
      </c>
      <c r="AP478" s="52">
        <f t="shared" si="225"/>
        <v>0</v>
      </c>
      <c r="AQ478" s="52">
        <f t="shared" si="225"/>
        <v>0</v>
      </c>
      <c r="AR478" s="52">
        <f t="shared" si="225"/>
        <v>0</v>
      </c>
      <c r="AS478" s="52">
        <f t="shared" si="225"/>
        <v>0</v>
      </c>
      <c r="AT478" s="52">
        <f t="shared" si="225"/>
        <v>0.33333333333333331</v>
      </c>
      <c r="AU478" s="52">
        <f t="shared" si="225"/>
        <v>1</v>
      </c>
      <c r="AV478" s="52">
        <f t="shared" si="225"/>
        <v>1</v>
      </c>
      <c r="AW478" s="52">
        <f t="shared" si="225"/>
        <v>1</v>
      </c>
      <c r="AX478" s="52">
        <f t="shared" si="225"/>
        <v>1</v>
      </c>
      <c r="AY478" s="52">
        <f t="shared" si="225"/>
        <v>1</v>
      </c>
      <c r="AZ478" s="52">
        <f t="shared" si="225"/>
        <v>1</v>
      </c>
      <c r="BA478" s="52">
        <f t="shared" si="225"/>
        <v>1</v>
      </c>
      <c r="BB478" s="52">
        <f t="shared" si="225"/>
        <v>1</v>
      </c>
      <c r="BC478" s="52">
        <f t="shared" si="225"/>
        <v>1</v>
      </c>
      <c r="BD478" s="52">
        <f t="shared" si="225"/>
        <v>1</v>
      </c>
      <c r="BE478" s="52">
        <f t="shared" si="225"/>
        <v>1</v>
      </c>
      <c r="BF478" s="52">
        <f t="shared" si="225"/>
        <v>1</v>
      </c>
      <c r="BG478" s="52">
        <f t="shared" si="226"/>
        <v>1</v>
      </c>
      <c r="BH478" s="52">
        <f t="shared" si="226"/>
        <v>1</v>
      </c>
      <c r="BI478" s="52">
        <f t="shared" si="226"/>
        <v>1</v>
      </c>
      <c r="BJ478" s="52">
        <f t="shared" si="226"/>
        <v>1</v>
      </c>
      <c r="BK478" s="52">
        <f t="shared" si="226"/>
        <v>1</v>
      </c>
      <c r="BL478" s="52">
        <f t="shared" si="226"/>
        <v>1</v>
      </c>
      <c r="BM478" s="52">
        <f t="shared" si="226"/>
        <v>1</v>
      </c>
      <c r="BN478" s="52">
        <f t="shared" si="226"/>
        <v>1</v>
      </c>
      <c r="BO478" s="32">
        <f t="shared" si="221"/>
        <v>0.34463276836158191</v>
      </c>
    </row>
    <row r="479" spans="1:67" ht="24" x14ac:dyDescent="0.2">
      <c r="A479" s="50" t="s">
        <v>966</v>
      </c>
      <c r="B479" s="50" t="s">
        <v>967</v>
      </c>
      <c r="C479" s="50" t="s">
        <v>126</v>
      </c>
      <c r="D479" s="51">
        <f>VLOOKUP(A479,'[1]Cuadro Control'!C520:J2409,8,FALSE)</f>
        <v>52736347.43270281</v>
      </c>
      <c r="E479" s="52">
        <f t="shared" si="223"/>
        <v>9.933624348213644E-3</v>
      </c>
      <c r="F479" s="53">
        <v>46485</v>
      </c>
      <c r="G479" s="53">
        <v>46487</v>
      </c>
      <c r="H479" s="52">
        <f t="shared" si="227"/>
        <v>0</v>
      </c>
      <c r="I479" s="52">
        <f t="shared" si="227"/>
        <v>0</v>
      </c>
      <c r="J479" s="52">
        <f t="shared" si="227"/>
        <v>0</v>
      </c>
      <c r="K479" s="52">
        <f t="shared" si="227"/>
        <v>0</v>
      </c>
      <c r="L479" s="52">
        <f t="shared" si="227"/>
        <v>0</v>
      </c>
      <c r="M479" s="52">
        <f t="shared" si="227"/>
        <v>0</v>
      </c>
      <c r="N479" s="52">
        <f t="shared" si="227"/>
        <v>0</v>
      </c>
      <c r="O479" s="52">
        <f t="shared" si="227"/>
        <v>0</v>
      </c>
      <c r="P479" s="52">
        <f t="shared" si="227"/>
        <v>0</v>
      </c>
      <c r="Q479" s="52">
        <f t="shared" si="227"/>
        <v>0</v>
      </c>
      <c r="R479" s="52">
        <f t="shared" si="227"/>
        <v>0</v>
      </c>
      <c r="S479" s="52">
        <f t="shared" si="227"/>
        <v>0</v>
      </c>
      <c r="T479" s="52">
        <f t="shared" si="227"/>
        <v>0</v>
      </c>
      <c r="U479" s="52">
        <f t="shared" si="227"/>
        <v>0</v>
      </c>
      <c r="V479" s="52">
        <f t="shared" si="227"/>
        <v>0</v>
      </c>
      <c r="W479" s="52">
        <f t="shared" si="227"/>
        <v>0</v>
      </c>
      <c r="X479" s="52">
        <f t="shared" si="228"/>
        <v>0</v>
      </c>
      <c r="Y479" s="52">
        <f t="shared" si="228"/>
        <v>0</v>
      </c>
      <c r="Z479" s="52">
        <f t="shared" si="228"/>
        <v>0</v>
      </c>
      <c r="AA479" s="52">
        <f t="shared" si="228"/>
        <v>0</v>
      </c>
      <c r="AB479" s="52">
        <f t="shared" si="228"/>
        <v>0</v>
      </c>
      <c r="AC479" s="52">
        <f t="shared" si="228"/>
        <v>0</v>
      </c>
      <c r="AD479" s="52">
        <f t="shared" si="228"/>
        <v>0</v>
      </c>
      <c r="AE479" s="52">
        <f t="shared" si="228"/>
        <v>0</v>
      </c>
      <c r="AF479" s="52">
        <f t="shared" si="228"/>
        <v>0</v>
      </c>
      <c r="AG479" s="52">
        <f t="shared" si="228"/>
        <v>0</v>
      </c>
      <c r="AH479" s="52">
        <f t="shared" si="228"/>
        <v>0</v>
      </c>
      <c r="AI479" s="52">
        <f t="shared" si="228"/>
        <v>0</v>
      </c>
      <c r="AJ479" s="52">
        <f t="shared" si="228"/>
        <v>0</v>
      </c>
      <c r="AK479" s="52">
        <f t="shared" si="228"/>
        <v>0</v>
      </c>
      <c r="AL479" s="52">
        <f t="shared" si="228"/>
        <v>0</v>
      </c>
      <c r="AM479" s="52">
        <f t="shared" si="228"/>
        <v>0</v>
      </c>
      <c r="AN479" s="52">
        <f t="shared" si="228"/>
        <v>0</v>
      </c>
      <c r="AO479" s="52">
        <f t="shared" si="225"/>
        <v>0</v>
      </c>
      <c r="AP479" s="52">
        <f t="shared" si="225"/>
        <v>0</v>
      </c>
      <c r="AQ479" s="52">
        <f t="shared" si="225"/>
        <v>0</v>
      </c>
      <c r="AR479" s="52">
        <f t="shared" si="225"/>
        <v>0</v>
      </c>
      <c r="AS479" s="52">
        <f t="shared" si="225"/>
        <v>0</v>
      </c>
      <c r="AT479" s="52">
        <f t="shared" si="225"/>
        <v>0</v>
      </c>
      <c r="AU479" s="52">
        <f t="shared" si="225"/>
        <v>0.66666666666666663</v>
      </c>
      <c r="AV479" s="52">
        <f t="shared" si="225"/>
        <v>1</v>
      </c>
      <c r="AW479" s="52">
        <f t="shared" si="225"/>
        <v>1</v>
      </c>
      <c r="AX479" s="52">
        <f t="shared" si="225"/>
        <v>1</v>
      </c>
      <c r="AY479" s="52">
        <f t="shared" si="225"/>
        <v>1</v>
      </c>
      <c r="AZ479" s="52">
        <f t="shared" si="225"/>
        <v>1</v>
      </c>
      <c r="BA479" s="52">
        <f t="shared" si="225"/>
        <v>1</v>
      </c>
      <c r="BB479" s="52">
        <f t="shared" si="225"/>
        <v>1</v>
      </c>
      <c r="BC479" s="52">
        <f t="shared" si="225"/>
        <v>1</v>
      </c>
      <c r="BD479" s="52">
        <f t="shared" si="225"/>
        <v>1</v>
      </c>
      <c r="BE479" s="52">
        <f t="shared" si="225"/>
        <v>1</v>
      </c>
      <c r="BF479" s="52">
        <f t="shared" si="225"/>
        <v>1</v>
      </c>
      <c r="BG479" s="52">
        <f t="shared" si="226"/>
        <v>1</v>
      </c>
      <c r="BH479" s="52">
        <f t="shared" si="226"/>
        <v>1</v>
      </c>
      <c r="BI479" s="52">
        <f t="shared" si="226"/>
        <v>1</v>
      </c>
      <c r="BJ479" s="52">
        <f t="shared" si="226"/>
        <v>1</v>
      </c>
      <c r="BK479" s="52">
        <f t="shared" si="226"/>
        <v>1</v>
      </c>
      <c r="BL479" s="52">
        <f t="shared" si="226"/>
        <v>1</v>
      </c>
      <c r="BM479" s="52">
        <f t="shared" si="226"/>
        <v>1</v>
      </c>
      <c r="BN479" s="52">
        <f t="shared" si="226"/>
        <v>1</v>
      </c>
      <c r="BO479" s="32">
        <f t="shared" si="221"/>
        <v>0.33333333333333331</v>
      </c>
    </row>
    <row r="480" spans="1:67" ht="24" x14ac:dyDescent="0.2">
      <c r="A480" s="50" t="s">
        <v>968</v>
      </c>
      <c r="B480" s="50" t="s">
        <v>969</v>
      </c>
      <c r="C480" s="50" t="s">
        <v>117</v>
      </c>
      <c r="D480" s="51">
        <f>VLOOKUP(A480,'[1]Cuadro Control'!C521:J2410,8,FALSE)</f>
        <v>46410609.014634147</v>
      </c>
      <c r="E480" s="52">
        <f t="shared" si="223"/>
        <v>8.742083556535862E-3</v>
      </c>
      <c r="F480" s="53">
        <v>46487</v>
      </c>
      <c r="G480" s="53">
        <v>46490</v>
      </c>
      <c r="H480" s="52">
        <f t="shared" si="227"/>
        <v>0</v>
      </c>
      <c r="I480" s="52">
        <f t="shared" si="227"/>
        <v>0</v>
      </c>
      <c r="J480" s="52">
        <f t="shared" si="227"/>
        <v>0</v>
      </c>
      <c r="K480" s="52">
        <f t="shared" si="227"/>
        <v>0</v>
      </c>
      <c r="L480" s="52">
        <f t="shared" si="227"/>
        <v>0</v>
      </c>
      <c r="M480" s="52">
        <f t="shared" si="227"/>
        <v>0</v>
      </c>
      <c r="N480" s="52">
        <f t="shared" si="227"/>
        <v>0</v>
      </c>
      <c r="O480" s="52">
        <f t="shared" si="227"/>
        <v>0</v>
      </c>
      <c r="P480" s="52">
        <f t="shared" si="227"/>
        <v>0</v>
      </c>
      <c r="Q480" s="52">
        <f t="shared" si="227"/>
        <v>0</v>
      </c>
      <c r="R480" s="52">
        <f t="shared" si="227"/>
        <v>0</v>
      </c>
      <c r="S480" s="52">
        <f t="shared" si="227"/>
        <v>0</v>
      </c>
      <c r="T480" s="52">
        <f t="shared" si="227"/>
        <v>0</v>
      </c>
      <c r="U480" s="52">
        <f t="shared" si="227"/>
        <v>0</v>
      </c>
      <c r="V480" s="52">
        <f t="shared" si="227"/>
        <v>0</v>
      </c>
      <c r="W480" s="52">
        <f t="shared" si="227"/>
        <v>0</v>
      </c>
      <c r="X480" s="52">
        <f t="shared" si="228"/>
        <v>0</v>
      </c>
      <c r="Y480" s="52">
        <f t="shared" si="228"/>
        <v>0</v>
      </c>
      <c r="Z480" s="52">
        <f t="shared" si="228"/>
        <v>0</v>
      </c>
      <c r="AA480" s="52">
        <f t="shared" si="228"/>
        <v>0</v>
      </c>
      <c r="AB480" s="52">
        <f t="shared" si="228"/>
        <v>0</v>
      </c>
      <c r="AC480" s="52">
        <f t="shared" si="228"/>
        <v>0</v>
      </c>
      <c r="AD480" s="52">
        <f t="shared" si="228"/>
        <v>0</v>
      </c>
      <c r="AE480" s="52">
        <f t="shared" si="228"/>
        <v>0</v>
      </c>
      <c r="AF480" s="52">
        <f t="shared" si="228"/>
        <v>0</v>
      </c>
      <c r="AG480" s="52">
        <f t="shared" si="228"/>
        <v>0</v>
      </c>
      <c r="AH480" s="52">
        <f t="shared" si="228"/>
        <v>0</v>
      </c>
      <c r="AI480" s="52">
        <f t="shared" si="228"/>
        <v>0</v>
      </c>
      <c r="AJ480" s="52">
        <f t="shared" si="228"/>
        <v>0</v>
      </c>
      <c r="AK480" s="52">
        <f t="shared" si="228"/>
        <v>0</v>
      </c>
      <c r="AL480" s="52">
        <f t="shared" si="228"/>
        <v>0</v>
      </c>
      <c r="AM480" s="52">
        <f t="shared" si="228"/>
        <v>0</v>
      </c>
      <c r="AN480" s="52">
        <f t="shared" si="228"/>
        <v>0</v>
      </c>
      <c r="AO480" s="52">
        <f t="shared" si="225"/>
        <v>0</v>
      </c>
      <c r="AP480" s="52">
        <f t="shared" si="225"/>
        <v>0</v>
      </c>
      <c r="AQ480" s="52">
        <f t="shared" si="225"/>
        <v>0</v>
      </c>
      <c r="AR480" s="52">
        <f t="shared" si="225"/>
        <v>0</v>
      </c>
      <c r="AS480" s="52">
        <f t="shared" si="225"/>
        <v>0</v>
      </c>
      <c r="AT480" s="52">
        <f t="shared" si="225"/>
        <v>0</v>
      </c>
      <c r="AU480" s="52">
        <f t="shared" si="225"/>
        <v>0</v>
      </c>
      <c r="AV480" s="52">
        <f t="shared" si="225"/>
        <v>1</v>
      </c>
      <c r="AW480" s="52">
        <f t="shared" si="225"/>
        <v>1</v>
      </c>
      <c r="AX480" s="52">
        <f t="shared" si="225"/>
        <v>1</v>
      </c>
      <c r="AY480" s="52">
        <f t="shared" si="225"/>
        <v>1</v>
      </c>
      <c r="AZ480" s="52">
        <f t="shared" si="225"/>
        <v>1</v>
      </c>
      <c r="BA480" s="52">
        <f t="shared" si="225"/>
        <v>1</v>
      </c>
      <c r="BB480" s="52">
        <f t="shared" si="225"/>
        <v>1</v>
      </c>
      <c r="BC480" s="52">
        <f t="shared" si="225"/>
        <v>1</v>
      </c>
      <c r="BD480" s="52">
        <f t="shared" si="225"/>
        <v>1</v>
      </c>
      <c r="BE480" s="52">
        <f t="shared" si="225"/>
        <v>1</v>
      </c>
      <c r="BF480" s="52">
        <f t="shared" si="225"/>
        <v>1</v>
      </c>
      <c r="BG480" s="52">
        <f t="shared" si="226"/>
        <v>1</v>
      </c>
      <c r="BH480" s="52">
        <f t="shared" si="226"/>
        <v>1</v>
      </c>
      <c r="BI480" s="52">
        <f t="shared" si="226"/>
        <v>1</v>
      </c>
      <c r="BJ480" s="52">
        <f t="shared" si="226"/>
        <v>1</v>
      </c>
      <c r="BK480" s="52">
        <f t="shared" si="226"/>
        <v>1</v>
      </c>
      <c r="BL480" s="52">
        <f t="shared" si="226"/>
        <v>1</v>
      </c>
      <c r="BM480" s="52">
        <f t="shared" si="226"/>
        <v>1</v>
      </c>
      <c r="BN480" s="52">
        <f t="shared" si="226"/>
        <v>1</v>
      </c>
      <c r="BO480" s="32">
        <f t="shared" si="221"/>
        <v>0.32203389830508472</v>
      </c>
    </row>
    <row r="481" spans="1:67" ht="24" x14ac:dyDescent="0.2">
      <c r="A481" s="50" t="s">
        <v>970</v>
      </c>
      <c r="B481" s="50" t="s">
        <v>971</v>
      </c>
      <c r="C481" s="50" t="s">
        <v>61</v>
      </c>
      <c r="D481" s="51">
        <f>VLOOKUP(A481,'[1]Cuadro Control'!C522:J2411,8,FALSE)</f>
        <v>1587346329.5488234</v>
      </c>
      <c r="E481" s="52">
        <f t="shared" si="223"/>
        <v>0.29899875353285565</v>
      </c>
      <c r="F481" s="53">
        <v>46487</v>
      </c>
      <c r="G481" s="53">
        <v>46498</v>
      </c>
      <c r="H481" s="52">
        <f t="shared" si="227"/>
        <v>0</v>
      </c>
      <c r="I481" s="52">
        <f t="shared" si="227"/>
        <v>0</v>
      </c>
      <c r="J481" s="52">
        <f t="shared" si="227"/>
        <v>0</v>
      </c>
      <c r="K481" s="52">
        <f t="shared" si="227"/>
        <v>0</v>
      </c>
      <c r="L481" s="52">
        <f t="shared" si="227"/>
        <v>0</v>
      </c>
      <c r="M481" s="52">
        <f t="shared" si="227"/>
        <v>0</v>
      </c>
      <c r="N481" s="52">
        <f t="shared" si="227"/>
        <v>0</v>
      </c>
      <c r="O481" s="52">
        <f t="shared" si="227"/>
        <v>0</v>
      </c>
      <c r="P481" s="52">
        <f t="shared" si="227"/>
        <v>0</v>
      </c>
      <c r="Q481" s="52">
        <f t="shared" si="227"/>
        <v>0</v>
      </c>
      <c r="R481" s="52">
        <f t="shared" si="227"/>
        <v>0</v>
      </c>
      <c r="S481" s="52">
        <f t="shared" si="227"/>
        <v>0</v>
      </c>
      <c r="T481" s="52">
        <f t="shared" si="227"/>
        <v>0</v>
      </c>
      <c r="U481" s="52">
        <f t="shared" si="227"/>
        <v>0</v>
      </c>
      <c r="V481" s="52">
        <f t="shared" si="227"/>
        <v>0</v>
      </c>
      <c r="W481" s="52">
        <f t="shared" si="227"/>
        <v>0</v>
      </c>
      <c r="X481" s="52">
        <f t="shared" si="228"/>
        <v>0</v>
      </c>
      <c r="Y481" s="52">
        <f t="shared" si="228"/>
        <v>0</v>
      </c>
      <c r="Z481" s="52">
        <f t="shared" si="228"/>
        <v>0</v>
      </c>
      <c r="AA481" s="52">
        <f t="shared" si="228"/>
        <v>0</v>
      </c>
      <c r="AB481" s="52">
        <f t="shared" si="228"/>
        <v>0</v>
      </c>
      <c r="AC481" s="52">
        <f t="shared" si="228"/>
        <v>0</v>
      </c>
      <c r="AD481" s="52">
        <f t="shared" si="228"/>
        <v>0</v>
      </c>
      <c r="AE481" s="52">
        <f t="shared" si="228"/>
        <v>0</v>
      </c>
      <c r="AF481" s="52">
        <f t="shared" si="228"/>
        <v>0</v>
      </c>
      <c r="AG481" s="52">
        <f t="shared" si="228"/>
        <v>0</v>
      </c>
      <c r="AH481" s="52">
        <f t="shared" si="228"/>
        <v>0</v>
      </c>
      <c r="AI481" s="52">
        <f t="shared" si="228"/>
        <v>0</v>
      </c>
      <c r="AJ481" s="52">
        <f t="shared" si="228"/>
        <v>0</v>
      </c>
      <c r="AK481" s="52">
        <f t="shared" si="228"/>
        <v>0</v>
      </c>
      <c r="AL481" s="52">
        <f t="shared" si="228"/>
        <v>0</v>
      </c>
      <c r="AM481" s="52">
        <f t="shared" si="228"/>
        <v>0</v>
      </c>
      <c r="AN481" s="52">
        <f t="shared" si="228"/>
        <v>0</v>
      </c>
      <c r="AO481" s="52">
        <f t="shared" si="225"/>
        <v>0</v>
      </c>
      <c r="AP481" s="52">
        <f t="shared" si="225"/>
        <v>0</v>
      </c>
      <c r="AQ481" s="52">
        <f t="shared" si="225"/>
        <v>0</v>
      </c>
      <c r="AR481" s="52">
        <f t="shared" si="225"/>
        <v>0</v>
      </c>
      <c r="AS481" s="52">
        <f t="shared" si="225"/>
        <v>0</v>
      </c>
      <c r="AT481" s="52">
        <f t="shared" si="225"/>
        <v>0</v>
      </c>
      <c r="AU481" s="52">
        <f t="shared" si="225"/>
        <v>0</v>
      </c>
      <c r="AV481" s="52">
        <f t="shared" si="225"/>
        <v>0.58333333333333337</v>
      </c>
      <c r="AW481" s="52">
        <f t="shared" si="225"/>
        <v>1</v>
      </c>
      <c r="AX481" s="52">
        <f t="shared" si="225"/>
        <v>1</v>
      </c>
      <c r="AY481" s="52">
        <f t="shared" si="225"/>
        <v>1</v>
      </c>
      <c r="AZ481" s="52">
        <f t="shared" si="225"/>
        <v>1</v>
      </c>
      <c r="BA481" s="52">
        <f t="shared" si="225"/>
        <v>1</v>
      </c>
      <c r="BB481" s="52">
        <f t="shared" si="225"/>
        <v>1</v>
      </c>
      <c r="BC481" s="52">
        <f t="shared" si="225"/>
        <v>1</v>
      </c>
      <c r="BD481" s="52">
        <f t="shared" si="225"/>
        <v>1</v>
      </c>
      <c r="BE481" s="52">
        <f t="shared" si="225"/>
        <v>1</v>
      </c>
      <c r="BF481" s="52">
        <f t="shared" si="225"/>
        <v>1</v>
      </c>
      <c r="BG481" s="52">
        <f t="shared" si="226"/>
        <v>1</v>
      </c>
      <c r="BH481" s="52">
        <f t="shared" si="226"/>
        <v>1</v>
      </c>
      <c r="BI481" s="52">
        <f t="shared" si="226"/>
        <v>1</v>
      </c>
      <c r="BJ481" s="52">
        <f t="shared" si="226"/>
        <v>1</v>
      </c>
      <c r="BK481" s="52">
        <f t="shared" si="226"/>
        <v>1</v>
      </c>
      <c r="BL481" s="52">
        <f t="shared" si="226"/>
        <v>1</v>
      </c>
      <c r="BM481" s="52">
        <f t="shared" si="226"/>
        <v>1</v>
      </c>
      <c r="BN481" s="52">
        <f t="shared" si="226"/>
        <v>1</v>
      </c>
      <c r="BO481" s="32">
        <f t="shared" si="221"/>
        <v>0.31497175141242945</v>
      </c>
    </row>
    <row r="482" spans="1:67" ht="30" x14ac:dyDescent="0.2">
      <c r="A482" s="46" t="s">
        <v>972</v>
      </c>
      <c r="B482" s="46" t="s">
        <v>973</v>
      </c>
      <c r="C482" s="46" t="s">
        <v>61</v>
      </c>
      <c r="D482" s="47">
        <f>VLOOKUP(A482,'[1]Cuadro Control'!C523:J2412,8,FALSE)</f>
        <v>179532477.23999998</v>
      </c>
      <c r="E482" s="48">
        <f t="shared" si="223"/>
        <v>3.3817438522495219E-2</v>
      </c>
      <c r="F482" s="49">
        <v>46490</v>
      </c>
      <c r="G482" s="49">
        <v>46503</v>
      </c>
      <c r="H482" s="48">
        <f t="shared" si="227"/>
        <v>0</v>
      </c>
      <c r="I482" s="48">
        <f t="shared" si="227"/>
        <v>0</v>
      </c>
      <c r="J482" s="48">
        <f t="shared" si="227"/>
        <v>0</v>
      </c>
      <c r="K482" s="48">
        <f t="shared" si="227"/>
        <v>0</v>
      </c>
      <c r="L482" s="48">
        <f t="shared" si="227"/>
        <v>0</v>
      </c>
      <c r="M482" s="48">
        <f t="shared" si="227"/>
        <v>0</v>
      </c>
      <c r="N482" s="48">
        <f t="shared" si="227"/>
        <v>0</v>
      </c>
      <c r="O482" s="48">
        <f t="shared" si="227"/>
        <v>0</v>
      </c>
      <c r="P482" s="48">
        <f t="shared" si="227"/>
        <v>0</v>
      </c>
      <c r="Q482" s="48">
        <f t="shared" si="227"/>
        <v>0</v>
      </c>
      <c r="R482" s="48">
        <f t="shared" si="227"/>
        <v>0</v>
      </c>
      <c r="S482" s="48">
        <f t="shared" si="227"/>
        <v>0</v>
      </c>
      <c r="T482" s="48">
        <f t="shared" si="227"/>
        <v>0</v>
      </c>
      <c r="U482" s="48">
        <f t="shared" si="227"/>
        <v>0</v>
      </c>
      <c r="V482" s="48">
        <f t="shared" si="227"/>
        <v>0</v>
      </c>
      <c r="W482" s="48">
        <f t="shared" si="227"/>
        <v>0</v>
      </c>
      <c r="X482" s="48">
        <f t="shared" si="228"/>
        <v>0</v>
      </c>
      <c r="Y482" s="48">
        <f t="shared" si="228"/>
        <v>0</v>
      </c>
      <c r="Z482" s="48">
        <f t="shared" si="228"/>
        <v>0</v>
      </c>
      <c r="AA482" s="48">
        <f t="shared" si="228"/>
        <v>0</v>
      </c>
      <c r="AB482" s="48">
        <f t="shared" si="228"/>
        <v>0</v>
      </c>
      <c r="AC482" s="48">
        <f t="shared" si="228"/>
        <v>0</v>
      </c>
      <c r="AD482" s="48">
        <f t="shared" si="228"/>
        <v>0</v>
      </c>
      <c r="AE482" s="48">
        <f t="shared" si="228"/>
        <v>0</v>
      </c>
      <c r="AF482" s="48">
        <f t="shared" si="228"/>
        <v>0</v>
      </c>
      <c r="AG482" s="48">
        <f t="shared" si="228"/>
        <v>0</v>
      </c>
      <c r="AH482" s="48">
        <f t="shared" si="228"/>
        <v>0</v>
      </c>
      <c r="AI482" s="48">
        <f t="shared" si="228"/>
        <v>0</v>
      </c>
      <c r="AJ482" s="48">
        <f t="shared" si="228"/>
        <v>0</v>
      </c>
      <c r="AK482" s="48">
        <f t="shared" si="228"/>
        <v>0</v>
      </c>
      <c r="AL482" s="48">
        <f t="shared" si="228"/>
        <v>0</v>
      </c>
      <c r="AM482" s="48">
        <f t="shared" si="228"/>
        <v>0</v>
      </c>
      <c r="AN482" s="48">
        <f t="shared" si="228"/>
        <v>0</v>
      </c>
      <c r="AO482" s="48">
        <f t="shared" si="225"/>
        <v>0</v>
      </c>
      <c r="AP482" s="48">
        <f t="shared" si="225"/>
        <v>0</v>
      </c>
      <c r="AQ482" s="48">
        <f t="shared" si="225"/>
        <v>0</v>
      </c>
      <c r="AR482" s="48">
        <f t="shared" si="225"/>
        <v>0</v>
      </c>
      <c r="AS482" s="48">
        <f t="shared" si="225"/>
        <v>0</v>
      </c>
      <c r="AT482" s="48">
        <f t="shared" si="225"/>
        <v>0</v>
      </c>
      <c r="AU482" s="48">
        <f t="shared" si="225"/>
        <v>0</v>
      </c>
      <c r="AV482" s="48">
        <f t="shared" si="225"/>
        <v>0.2857142857142857</v>
      </c>
      <c r="AW482" s="48">
        <f t="shared" si="225"/>
        <v>0.7857142857142857</v>
      </c>
      <c r="AX482" s="48">
        <f t="shared" si="225"/>
        <v>1</v>
      </c>
      <c r="AY482" s="48">
        <f t="shared" si="225"/>
        <v>1</v>
      </c>
      <c r="AZ482" s="48">
        <f t="shared" si="225"/>
        <v>1</v>
      </c>
      <c r="BA482" s="48">
        <f t="shared" si="225"/>
        <v>1</v>
      </c>
      <c r="BB482" s="48">
        <f t="shared" si="225"/>
        <v>1</v>
      </c>
      <c r="BC482" s="48">
        <f t="shared" si="225"/>
        <v>1</v>
      </c>
      <c r="BD482" s="48">
        <f t="shared" si="225"/>
        <v>1</v>
      </c>
      <c r="BE482" s="48">
        <f t="shared" si="225"/>
        <v>1</v>
      </c>
      <c r="BF482" s="48">
        <f t="shared" si="225"/>
        <v>1</v>
      </c>
      <c r="BG482" s="48">
        <f t="shared" si="226"/>
        <v>1</v>
      </c>
      <c r="BH482" s="48">
        <f t="shared" si="226"/>
        <v>1</v>
      </c>
      <c r="BI482" s="48">
        <f t="shared" si="226"/>
        <v>1</v>
      </c>
      <c r="BJ482" s="48">
        <f t="shared" si="226"/>
        <v>1</v>
      </c>
      <c r="BK482" s="48">
        <f t="shared" si="226"/>
        <v>1</v>
      </c>
      <c r="BL482" s="48">
        <f t="shared" si="226"/>
        <v>1</v>
      </c>
      <c r="BM482" s="48">
        <f t="shared" si="226"/>
        <v>1</v>
      </c>
      <c r="BN482" s="48">
        <f t="shared" si="226"/>
        <v>1</v>
      </c>
      <c r="BO482" s="32">
        <f t="shared" si="221"/>
        <v>0.30629539951573848</v>
      </c>
    </row>
    <row r="483" spans="1:67" ht="24" x14ac:dyDescent="0.2">
      <c r="A483" s="55" t="s">
        <v>974</v>
      </c>
      <c r="B483" s="55" t="s">
        <v>975</v>
      </c>
      <c r="C483" s="55" t="s">
        <v>14</v>
      </c>
      <c r="D483" s="56">
        <f>VLOOKUP(A483,'[1]Cuadro Control'!C524:J2413,8,FALSE)</f>
        <v>0</v>
      </c>
      <c r="E483" s="57">
        <f>IFERROR(D483/$D$467,0)</f>
        <v>0</v>
      </c>
      <c r="F483" s="58">
        <v>46503</v>
      </c>
      <c r="G483" s="58">
        <v>46503</v>
      </c>
      <c r="H483" s="57">
        <f t="shared" si="227"/>
        <v>0</v>
      </c>
      <c r="I483" s="57">
        <f t="shared" si="227"/>
        <v>0</v>
      </c>
      <c r="J483" s="57">
        <f t="shared" si="227"/>
        <v>0</v>
      </c>
      <c r="K483" s="57">
        <f t="shared" si="227"/>
        <v>0</v>
      </c>
      <c r="L483" s="57">
        <f t="shared" si="227"/>
        <v>0</v>
      </c>
      <c r="M483" s="57">
        <f t="shared" si="227"/>
        <v>0</v>
      </c>
      <c r="N483" s="57">
        <f t="shared" si="227"/>
        <v>0</v>
      </c>
      <c r="O483" s="57">
        <f t="shared" si="227"/>
        <v>0</v>
      </c>
      <c r="P483" s="57">
        <f t="shared" si="227"/>
        <v>0</v>
      </c>
      <c r="Q483" s="57">
        <f t="shared" si="227"/>
        <v>0</v>
      </c>
      <c r="R483" s="57">
        <f t="shared" si="227"/>
        <v>0</v>
      </c>
      <c r="S483" s="57">
        <f t="shared" si="227"/>
        <v>0</v>
      </c>
      <c r="T483" s="57">
        <f t="shared" si="227"/>
        <v>0</v>
      </c>
      <c r="U483" s="57">
        <f t="shared" si="227"/>
        <v>0</v>
      </c>
      <c r="V483" s="57">
        <f t="shared" si="227"/>
        <v>0</v>
      </c>
      <c r="W483" s="57">
        <f t="shared" si="227"/>
        <v>0</v>
      </c>
      <c r="X483" s="57">
        <f t="shared" si="228"/>
        <v>0</v>
      </c>
      <c r="Y483" s="57">
        <f t="shared" si="228"/>
        <v>0</v>
      </c>
      <c r="Z483" s="57">
        <f t="shared" si="228"/>
        <v>0</v>
      </c>
      <c r="AA483" s="57">
        <f t="shared" si="228"/>
        <v>0</v>
      </c>
      <c r="AB483" s="57">
        <f t="shared" si="228"/>
        <v>0</v>
      </c>
      <c r="AC483" s="57">
        <f t="shared" si="228"/>
        <v>0</v>
      </c>
      <c r="AD483" s="57">
        <f t="shared" si="228"/>
        <v>0</v>
      </c>
      <c r="AE483" s="57">
        <f t="shared" si="228"/>
        <v>0</v>
      </c>
      <c r="AF483" s="57">
        <f t="shared" si="228"/>
        <v>0</v>
      </c>
      <c r="AG483" s="57">
        <f t="shared" si="228"/>
        <v>0</v>
      </c>
      <c r="AH483" s="57">
        <f t="shared" si="228"/>
        <v>0</v>
      </c>
      <c r="AI483" s="57">
        <f t="shared" si="228"/>
        <v>0</v>
      </c>
      <c r="AJ483" s="57">
        <f t="shared" si="228"/>
        <v>0</v>
      </c>
      <c r="AK483" s="57">
        <f t="shared" si="228"/>
        <v>0</v>
      </c>
      <c r="AL483" s="57">
        <f t="shared" si="228"/>
        <v>0</v>
      </c>
      <c r="AM483" s="57">
        <f t="shared" si="228"/>
        <v>0</v>
      </c>
      <c r="AN483" s="57">
        <f t="shared" si="228"/>
        <v>0</v>
      </c>
      <c r="AO483" s="57">
        <f t="shared" si="228"/>
        <v>0</v>
      </c>
      <c r="AP483" s="57">
        <f t="shared" si="228"/>
        <v>0</v>
      </c>
      <c r="AQ483" s="57">
        <f t="shared" si="228"/>
        <v>0</v>
      </c>
      <c r="AR483" s="57">
        <f t="shared" si="228"/>
        <v>0</v>
      </c>
      <c r="AS483" s="57">
        <f t="shared" si="228"/>
        <v>0</v>
      </c>
      <c r="AT483" s="57">
        <f t="shared" si="228"/>
        <v>0</v>
      </c>
      <c r="AU483" s="57">
        <f t="shared" si="228"/>
        <v>0</v>
      </c>
      <c r="AV483" s="57">
        <f t="shared" si="228"/>
        <v>0</v>
      </c>
      <c r="AW483" s="57">
        <f t="shared" si="228"/>
        <v>0</v>
      </c>
      <c r="AX483" s="57">
        <f t="shared" si="228"/>
        <v>1</v>
      </c>
      <c r="AY483" s="57">
        <f t="shared" si="228"/>
        <v>1</v>
      </c>
      <c r="AZ483" s="57">
        <f t="shared" si="228"/>
        <v>1</v>
      </c>
      <c r="BA483" s="57">
        <f t="shared" si="228"/>
        <v>1</v>
      </c>
      <c r="BB483" s="57">
        <f t="shared" si="228"/>
        <v>1</v>
      </c>
      <c r="BC483" s="57">
        <f t="shared" si="228"/>
        <v>1</v>
      </c>
      <c r="BD483" s="57">
        <f t="shared" si="225"/>
        <v>1</v>
      </c>
      <c r="BE483" s="57">
        <f t="shared" si="225"/>
        <v>1</v>
      </c>
      <c r="BF483" s="57">
        <f t="shared" si="225"/>
        <v>1</v>
      </c>
      <c r="BG483" s="57">
        <f t="shared" si="226"/>
        <v>1</v>
      </c>
      <c r="BH483" s="57">
        <f t="shared" si="226"/>
        <v>1</v>
      </c>
      <c r="BI483" s="57">
        <f t="shared" si="226"/>
        <v>1</v>
      </c>
      <c r="BJ483" s="57">
        <f t="shared" si="226"/>
        <v>1</v>
      </c>
      <c r="BK483" s="57">
        <f t="shared" si="226"/>
        <v>1</v>
      </c>
      <c r="BL483" s="57">
        <f t="shared" si="226"/>
        <v>1</v>
      </c>
      <c r="BM483" s="57">
        <f t="shared" si="226"/>
        <v>1</v>
      </c>
      <c r="BN483" s="57">
        <f t="shared" si="226"/>
        <v>1</v>
      </c>
      <c r="BO483" s="32">
        <f t="shared" si="221"/>
        <v>0.28813559322033899</v>
      </c>
    </row>
    <row r="484" spans="1:67" x14ac:dyDescent="0.2">
      <c r="A484" s="59" t="s">
        <v>976</v>
      </c>
      <c r="B484" s="59" t="s">
        <v>977</v>
      </c>
      <c r="C484" s="59" t="s">
        <v>467</v>
      </c>
      <c r="D484" s="60">
        <f>SUM(D485:D500)</f>
        <v>5308872732.0543728</v>
      </c>
      <c r="E484" s="61">
        <f>IFERROR(D484/$D$109,0)</f>
        <v>2.9408554574576196E-2</v>
      </c>
      <c r="F484" s="62">
        <v>46431</v>
      </c>
      <c r="G484" s="62">
        <v>46511</v>
      </c>
      <c r="H484" s="61">
        <f>SUMPRODUCT($E485:$E499,H485:H499)</f>
        <v>0</v>
      </c>
      <c r="I484" s="61">
        <f t="shared" ref="I484:BN484" si="229">SUMPRODUCT($E485:$E499,I485:I499)</f>
        <v>0</v>
      </c>
      <c r="J484" s="61">
        <f t="shared" si="229"/>
        <v>0</v>
      </c>
      <c r="K484" s="61">
        <f t="shared" si="229"/>
        <v>0</v>
      </c>
      <c r="L484" s="61">
        <f t="shared" si="229"/>
        <v>0</v>
      </c>
      <c r="M484" s="61">
        <f t="shared" si="229"/>
        <v>0</v>
      </c>
      <c r="N484" s="61">
        <f t="shared" si="229"/>
        <v>0</v>
      </c>
      <c r="O484" s="61">
        <f t="shared" si="229"/>
        <v>0</v>
      </c>
      <c r="P484" s="61">
        <f t="shared" si="229"/>
        <v>0</v>
      </c>
      <c r="Q484" s="61">
        <f t="shared" si="229"/>
        <v>0</v>
      </c>
      <c r="R484" s="61">
        <f t="shared" si="229"/>
        <v>0</v>
      </c>
      <c r="S484" s="61">
        <f t="shared" si="229"/>
        <v>0</v>
      </c>
      <c r="T484" s="61">
        <f t="shared" si="229"/>
        <v>0</v>
      </c>
      <c r="U484" s="61">
        <f t="shared" si="229"/>
        <v>0</v>
      </c>
      <c r="V484" s="61">
        <f t="shared" si="229"/>
        <v>0</v>
      </c>
      <c r="W484" s="61">
        <f t="shared" si="229"/>
        <v>0</v>
      </c>
      <c r="X484" s="61">
        <f t="shared" si="229"/>
        <v>0</v>
      </c>
      <c r="Y484" s="61">
        <f t="shared" si="229"/>
        <v>0</v>
      </c>
      <c r="Z484" s="61">
        <f t="shared" si="229"/>
        <v>0</v>
      </c>
      <c r="AA484" s="61">
        <f t="shared" si="229"/>
        <v>0</v>
      </c>
      <c r="AB484" s="61">
        <f t="shared" si="229"/>
        <v>0</v>
      </c>
      <c r="AC484" s="61">
        <f t="shared" si="229"/>
        <v>0</v>
      </c>
      <c r="AD484" s="61">
        <f t="shared" si="229"/>
        <v>0</v>
      </c>
      <c r="AE484" s="61">
        <f t="shared" si="229"/>
        <v>0</v>
      </c>
      <c r="AF484" s="61">
        <f t="shared" si="229"/>
        <v>0</v>
      </c>
      <c r="AG484" s="61">
        <f t="shared" si="229"/>
        <v>0</v>
      </c>
      <c r="AH484" s="61">
        <f t="shared" si="229"/>
        <v>0</v>
      </c>
      <c r="AI484" s="61">
        <f t="shared" si="229"/>
        <v>0</v>
      </c>
      <c r="AJ484" s="61">
        <f t="shared" si="229"/>
        <v>0</v>
      </c>
      <c r="AK484" s="61">
        <f t="shared" si="229"/>
        <v>0</v>
      </c>
      <c r="AL484" s="61">
        <f t="shared" si="229"/>
        <v>0</v>
      </c>
      <c r="AM484" s="61">
        <f t="shared" si="229"/>
        <v>0</v>
      </c>
      <c r="AN484" s="61">
        <f t="shared" si="229"/>
        <v>1.0979778487989068E-2</v>
      </c>
      <c r="AO484" s="61">
        <f t="shared" si="229"/>
        <v>4.5105438725758645E-2</v>
      </c>
      <c r="AP484" s="61">
        <f t="shared" si="229"/>
        <v>8.8394101585839407E-2</v>
      </c>
      <c r="AQ484" s="61">
        <f t="shared" si="229"/>
        <v>0.16571961757148626</v>
      </c>
      <c r="AR484" s="61">
        <f t="shared" si="229"/>
        <v>0.22251463643314551</v>
      </c>
      <c r="AS484" s="61">
        <f t="shared" si="229"/>
        <v>0.30245970158069158</v>
      </c>
      <c r="AT484" s="61">
        <f t="shared" si="229"/>
        <v>0.38240476672823764</v>
      </c>
      <c r="AU484" s="61">
        <f t="shared" si="229"/>
        <v>0.64850810003989967</v>
      </c>
      <c r="AV484" s="61">
        <f t="shared" si="229"/>
        <v>0.65049482490954236</v>
      </c>
      <c r="AW484" s="61">
        <f t="shared" si="229"/>
        <v>0.78111331026075681</v>
      </c>
      <c r="AX484" s="61">
        <f t="shared" si="229"/>
        <v>0.98959463430077077</v>
      </c>
      <c r="AY484" s="61">
        <f t="shared" si="229"/>
        <v>1</v>
      </c>
      <c r="AZ484" s="61">
        <f t="shared" si="229"/>
        <v>1</v>
      </c>
      <c r="BA484" s="61">
        <f t="shared" si="229"/>
        <v>1</v>
      </c>
      <c r="BB484" s="61">
        <f t="shared" si="229"/>
        <v>1</v>
      </c>
      <c r="BC484" s="61">
        <f t="shared" si="229"/>
        <v>1</v>
      </c>
      <c r="BD484" s="61">
        <f t="shared" si="229"/>
        <v>1</v>
      </c>
      <c r="BE484" s="61">
        <f t="shared" si="229"/>
        <v>1</v>
      </c>
      <c r="BF484" s="61">
        <f t="shared" si="229"/>
        <v>1</v>
      </c>
      <c r="BG484" s="61">
        <f t="shared" si="229"/>
        <v>1</v>
      </c>
      <c r="BH484" s="61">
        <f t="shared" si="229"/>
        <v>1</v>
      </c>
      <c r="BI484" s="61">
        <f t="shared" si="229"/>
        <v>1</v>
      </c>
      <c r="BJ484" s="61">
        <f t="shared" si="229"/>
        <v>1</v>
      </c>
      <c r="BK484" s="61">
        <f t="shared" si="229"/>
        <v>1</v>
      </c>
      <c r="BL484" s="61">
        <f t="shared" si="229"/>
        <v>1</v>
      </c>
      <c r="BM484" s="61">
        <f t="shared" si="229"/>
        <v>1</v>
      </c>
      <c r="BN484" s="61">
        <f t="shared" si="229"/>
        <v>1</v>
      </c>
      <c r="BO484" s="32">
        <f t="shared" si="221"/>
        <v>0.3438523544173579</v>
      </c>
    </row>
    <row r="485" spans="1:67" ht="24" x14ac:dyDescent="0.2">
      <c r="A485" s="50" t="s">
        <v>978</v>
      </c>
      <c r="B485" s="50" t="s">
        <v>979</v>
      </c>
      <c r="C485" s="50" t="s">
        <v>74</v>
      </c>
      <c r="D485" s="51">
        <f>VLOOKUP(A485,'[1]Cuadro Control'!C527:J2415,8,FALSE)</f>
        <v>83271780.884117648</v>
      </c>
      <c r="E485" s="52">
        <f t="shared" ref="E485:E499" si="230">IFERROR(D485/$D$484,0)</f>
        <v>1.5685397839984384E-2</v>
      </c>
      <c r="F485" s="53">
        <v>46431</v>
      </c>
      <c r="G485" s="53">
        <v>46440</v>
      </c>
      <c r="H485" s="52">
        <f t="shared" ref="H485:BN489" si="231">IF($F485=0,0,IF(H$6&lt;$F485,0,IF(H$6&gt;$G485,1,(H$6-$F485+1)/($G485-$F485+1))))</f>
        <v>0</v>
      </c>
      <c r="I485" s="52">
        <f t="shared" si="231"/>
        <v>0</v>
      </c>
      <c r="J485" s="52">
        <f t="shared" si="231"/>
        <v>0</v>
      </c>
      <c r="K485" s="52">
        <f t="shared" si="231"/>
        <v>0</v>
      </c>
      <c r="L485" s="52">
        <f t="shared" si="231"/>
        <v>0</v>
      </c>
      <c r="M485" s="52">
        <f t="shared" si="231"/>
        <v>0</v>
      </c>
      <c r="N485" s="52">
        <f t="shared" si="231"/>
        <v>0</v>
      </c>
      <c r="O485" s="52">
        <f t="shared" si="231"/>
        <v>0</v>
      </c>
      <c r="P485" s="52">
        <f t="shared" si="231"/>
        <v>0</v>
      </c>
      <c r="Q485" s="52">
        <f t="shared" si="231"/>
        <v>0</v>
      </c>
      <c r="R485" s="52">
        <f t="shared" si="231"/>
        <v>0</v>
      </c>
      <c r="S485" s="52">
        <f t="shared" si="231"/>
        <v>0</v>
      </c>
      <c r="T485" s="52">
        <f t="shared" si="231"/>
        <v>0</v>
      </c>
      <c r="U485" s="52">
        <f t="shared" si="231"/>
        <v>0</v>
      </c>
      <c r="V485" s="52">
        <f t="shared" si="231"/>
        <v>0</v>
      </c>
      <c r="W485" s="52">
        <f t="shared" si="231"/>
        <v>0</v>
      </c>
      <c r="X485" s="52">
        <f t="shared" si="231"/>
        <v>0</v>
      </c>
      <c r="Y485" s="52">
        <f t="shared" si="231"/>
        <v>0</v>
      </c>
      <c r="Z485" s="52">
        <f t="shared" si="231"/>
        <v>0</v>
      </c>
      <c r="AA485" s="52">
        <f t="shared" si="231"/>
        <v>0</v>
      </c>
      <c r="AB485" s="52">
        <f t="shared" si="231"/>
        <v>0</v>
      </c>
      <c r="AC485" s="52">
        <f t="shared" si="231"/>
        <v>0</v>
      </c>
      <c r="AD485" s="52">
        <f t="shared" si="231"/>
        <v>0</v>
      </c>
      <c r="AE485" s="52">
        <f t="shared" si="231"/>
        <v>0</v>
      </c>
      <c r="AF485" s="52">
        <f t="shared" si="231"/>
        <v>0</v>
      </c>
      <c r="AG485" s="52">
        <f t="shared" si="231"/>
        <v>0</v>
      </c>
      <c r="AH485" s="52">
        <f t="shared" si="231"/>
        <v>0</v>
      </c>
      <c r="AI485" s="52">
        <f t="shared" si="231"/>
        <v>0</v>
      </c>
      <c r="AJ485" s="52">
        <f t="shared" si="231"/>
        <v>0</v>
      </c>
      <c r="AK485" s="52">
        <f t="shared" si="231"/>
        <v>0</v>
      </c>
      <c r="AL485" s="52">
        <f t="shared" si="231"/>
        <v>0</v>
      </c>
      <c r="AM485" s="52">
        <f t="shared" si="231"/>
        <v>0</v>
      </c>
      <c r="AN485" s="52">
        <f t="shared" si="231"/>
        <v>0.7</v>
      </c>
      <c r="AO485" s="52">
        <f t="shared" si="231"/>
        <v>1</v>
      </c>
      <c r="AP485" s="52">
        <f t="shared" si="231"/>
        <v>1</v>
      </c>
      <c r="AQ485" s="52">
        <f t="shared" si="231"/>
        <v>1</v>
      </c>
      <c r="AR485" s="52">
        <f t="shared" si="231"/>
        <v>1</v>
      </c>
      <c r="AS485" s="52">
        <f t="shared" si="231"/>
        <v>1</v>
      </c>
      <c r="AT485" s="52">
        <f t="shared" si="231"/>
        <v>1</v>
      </c>
      <c r="AU485" s="52">
        <f t="shared" si="231"/>
        <v>1</v>
      </c>
      <c r="AV485" s="52">
        <f t="shared" si="231"/>
        <v>1</v>
      </c>
      <c r="AW485" s="52">
        <f t="shared" si="231"/>
        <v>1</v>
      </c>
      <c r="AX485" s="52">
        <f t="shared" si="231"/>
        <v>1</v>
      </c>
      <c r="AY485" s="52">
        <f t="shared" si="231"/>
        <v>1</v>
      </c>
      <c r="AZ485" s="52">
        <f t="shared" si="231"/>
        <v>1</v>
      </c>
      <c r="BA485" s="52">
        <f t="shared" si="231"/>
        <v>1</v>
      </c>
      <c r="BB485" s="52">
        <f t="shared" si="231"/>
        <v>1</v>
      </c>
      <c r="BC485" s="52">
        <f t="shared" si="231"/>
        <v>1</v>
      </c>
      <c r="BD485" s="52">
        <f t="shared" si="231"/>
        <v>1</v>
      </c>
      <c r="BE485" s="52">
        <f t="shared" si="231"/>
        <v>1</v>
      </c>
      <c r="BF485" s="52">
        <f t="shared" si="231"/>
        <v>1</v>
      </c>
      <c r="BG485" s="52">
        <f t="shared" si="231"/>
        <v>1</v>
      </c>
      <c r="BH485" s="52">
        <f t="shared" si="231"/>
        <v>1</v>
      </c>
      <c r="BI485" s="52">
        <f t="shared" si="231"/>
        <v>1</v>
      </c>
      <c r="BJ485" s="52">
        <f t="shared" si="231"/>
        <v>1</v>
      </c>
      <c r="BK485" s="52">
        <f t="shared" si="231"/>
        <v>1</v>
      </c>
      <c r="BL485" s="52">
        <f t="shared" si="231"/>
        <v>1</v>
      </c>
      <c r="BM485" s="52">
        <f t="shared" si="231"/>
        <v>1</v>
      </c>
      <c r="BN485" s="52">
        <f t="shared" si="231"/>
        <v>1</v>
      </c>
      <c r="BO485" s="32">
        <f t="shared" si="221"/>
        <v>0.4525423728813559</v>
      </c>
    </row>
    <row r="486" spans="1:67" x14ac:dyDescent="0.2">
      <c r="A486" s="50" t="s">
        <v>980</v>
      </c>
      <c r="B486" s="50" t="s">
        <v>981</v>
      </c>
      <c r="C486" s="50" t="s">
        <v>61</v>
      </c>
      <c r="D486" s="51">
        <f>VLOOKUP(A486,'[1]Cuadro Control'!C528:J2416,8,FALSE)</f>
        <v>312374505.66882348</v>
      </c>
      <c r="E486" s="52">
        <f t="shared" si="230"/>
        <v>5.8840081771548515E-2</v>
      </c>
      <c r="F486" s="53">
        <v>46441</v>
      </c>
      <c r="G486" s="53">
        <v>46448</v>
      </c>
      <c r="H486" s="52">
        <f t="shared" si="231"/>
        <v>0</v>
      </c>
      <c r="I486" s="52">
        <f t="shared" si="231"/>
        <v>0</v>
      </c>
      <c r="J486" s="52">
        <f t="shared" si="231"/>
        <v>0</v>
      </c>
      <c r="K486" s="52">
        <f t="shared" si="231"/>
        <v>0</v>
      </c>
      <c r="L486" s="52">
        <f t="shared" si="231"/>
        <v>0</v>
      </c>
      <c r="M486" s="52">
        <f t="shared" si="231"/>
        <v>0</v>
      </c>
      <c r="N486" s="52">
        <f t="shared" si="231"/>
        <v>0</v>
      </c>
      <c r="O486" s="52">
        <f t="shared" si="231"/>
        <v>0</v>
      </c>
      <c r="P486" s="52">
        <f t="shared" si="231"/>
        <v>0</v>
      </c>
      <c r="Q486" s="52">
        <f t="shared" si="231"/>
        <v>0</v>
      </c>
      <c r="R486" s="52">
        <f t="shared" si="231"/>
        <v>0</v>
      </c>
      <c r="S486" s="52">
        <f t="shared" si="231"/>
        <v>0</v>
      </c>
      <c r="T486" s="52">
        <f t="shared" si="231"/>
        <v>0</v>
      </c>
      <c r="U486" s="52">
        <f t="shared" si="231"/>
        <v>0</v>
      </c>
      <c r="V486" s="52">
        <f t="shared" si="231"/>
        <v>0</v>
      </c>
      <c r="W486" s="52">
        <f t="shared" si="231"/>
        <v>0</v>
      </c>
      <c r="X486" s="52">
        <f t="shared" si="231"/>
        <v>0</v>
      </c>
      <c r="Y486" s="52">
        <f t="shared" si="231"/>
        <v>0</v>
      </c>
      <c r="Z486" s="52">
        <f t="shared" si="231"/>
        <v>0</v>
      </c>
      <c r="AA486" s="52">
        <f t="shared" si="231"/>
        <v>0</v>
      </c>
      <c r="AB486" s="52">
        <f t="shared" si="231"/>
        <v>0</v>
      </c>
      <c r="AC486" s="52">
        <f t="shared" si="231"/>
        <v>0</v>
      </c>
      <c r="AD486" s="52">
        <f t="shared" si="231"/>
        <v>0</v>
      </c>
      <c r="AE486" s="52">
        <f t="shared" si="231"/>
        <v>0</v>
      </c>
      <c r="AF486" s="52">
        <f t="shared" si="231"/>
        <v>0</v>
      </c>
      <c r="AG486" s="52">
        <f t="shared" si="231"/>
        <v>0</v>
      </c>
      <c r="AH486" s="52">
        <f t="shared" si="231"/>
        <v>0</v>
      </c>
      <c r="AI486" s="52">
        <f t="shared" si="231"/>
        <v>0</v>
      </c>
      <c r="AJ486" s="52">
        <f t="shared" si="231"/>
        <v>0</v>
      </c>
      <c r="AK486" s="52">
        <f t="shared" si="231"/>
        <v>0</v>
      </c>
      <c r="AL486" s="52">
        <f t="shared" si="231"/>
        <v>0</v>
      </c>
      <c r="AM486" s="52">
        <f t="shared" si="231"/>
        <v>0</v>
      </c>
      <c r="AN486" s="52">
        <f t="shared" si="231"/>
        <v>0</v>
      </c>
      <c r="AO486" s="52">
        <f t="shared" si="231"/>
        <v>0.5</v>
      </c>
      <c r="AP486" s="52">
        <f t="shared" si="231"/>
        <v>1</v>
      </c>
      <c r="AQ486" s="52">
        <f t="shared" si="231"/>
        <v>1</v>
      </c>
      <c r="AR486" s="52">
        <f t="shared" si="231"/>
        <v>1</v>
      </c>
      <c r="AS486" s="52">
        <f t="shared" si="231"/>
        <v>1</v>
      </c>
      <c r="AT486" s="52">
        <f t="shared" si="231"/>
        <v>1</v>
      </c>
      <c r="AU486" s="52">
        <f t="shared" si="231"/>
        <v>1</v>
      </c>
      <c r="AV486" s="52">
        <f t="shared" si="231"/>
        <v>1</v>
      </c>
      <c r="AW486" s="52">
        <f t="shared" si="231"/>
        <v>1</v>
      </c>
      <c r="AX486" s="52">
        <f t="shared" si="231"/>
        <v>1</v>
      </c>
      <c r="AY486" s="52">
        <f t="shared" si="231"/>
        <v>1</v>
      </c>
      <c r="AZ486" s="52">
        <f t="shared" si="231"/>
        <v>1</v>
      </c>
      <c r="BA486" s="52">
        <f t="shared" si="231"/>
        <v>1</v>
      </c>
      <c r="BB486" s="52">
        <f t="shared" si="231"/>
        <v>1</v>
      </c>
      <c r="BC486" s="52">
        <f t="shared" si="231"/>
        <v>1</v>
      </c>
      <c r="BD486" s="52">
        <f t="shared" si="231"/>
        <v>1</v>
      </c>
      <c r="BE486" s="52">
        <f t="shared" si="231"/>
        <v>1</v>
      </c>
      <c r="BF486" s="52">
        <f t="shared" si="231"/>
        <v>1</v>
      </c>
      <c r="BG486" s="52">
        <f t="shared" si="231"/>
        <v>1</v>
      </c>
      <c r="BH486" s="52">
        <f t="shared" si="231"/>
        <v>1</v>
      </c>
      <c r="BI486" s="52">
        <f t="shared" si="231"/>
        <v>1</v>
      </c>
      <c r="BJ486" s="52">
        <f t="shared" si="231"/>
        <v>1</v>
      </c>
      <c r="BK486" s="52">
        <f t="shared" si="231"/>
        <v>1</v>
      </c>
      <c r="BL486" s="52">
        <f t="shared" si="231"/>
        <v>1</v>
      </c>
      <c r="BM486" s="52">
        <f t="shared" si="231"/>
        <v>1</v>
      </c>
      <c r="BN486" s="52">
        <f t="shared" si="231"/>
        <v>1</v>
      </c>
      <c r="BO486" s="32">
        <f t="shared" si="221"/>
        <v>0.43220338983050849</v>
      </c>
    </row>
    <row r="487" spans="1:67" ht="15" x14ac:dyDescent="0.2">
      <c r="A487" s="46" t="s">
        <v>982</v>
      </c>
      <c r="B487" s="46" t="s">
        <v>983</v>
      </c>
      <c r="C487" s="46" t="s">
        <v>126</v>
      </c>
      <c r="D487" s="47">
        <f>VLOOKUP(A487,'[1]Cuadro Control'!C529:J2417,8,FALSE)</f>
        <v>9527825.6870364472</v>
      </c>
      <c r="E487" s="48">
        <f t="shared" si="230"/>
        <v>1.794698454439963E-3</v>
      </c>
      <c r="F487" s="49">
        <v>46448</v>
      </c>
      <c r="G487" s="49">
        <v>46450</v>
      </c>
      <c r="H487" s="48">
        <f t="shared" si="231"/>
        <v>0</v>
      </c>
      <c r="I487" s="48">
        <f t="shared" si="231"/>
        <v>0</v>
      </c>
      <c r="J487" s="48">
        <f t="shared" si="231"/>
        <v>0</v>
      </c>
      <c r="K487" s="48">
        <f t="shared" si="231"/>
        <v>0</v>
      </c>
      <c r="L487" s="48">
        <f t="shared" si="231"/>
        <v>0</v>
      </c>
      <c r="M487" s="48">
        <f t="shared" si="231"/>
        <v>0</v>
      </c>
      <c r="N487" s="48">
        <f t="shared" si="231"/>
        <v>0</v>
      </c>
      <c r="O487" s="48">
        <f t="shared" si="231"/>
        <v>0</v>
      </c>
      <c r="P487" s="48">
        <f t="shared" si="231"/>
        <v>0</v>
      </c>
      <c r="Q487" s="48">
        <f t="shared" si="231"/>
        <v>0</v>
      </c>
      <c r="R487" s="48">
        <f t="shared" si="231"/>
        <v>0</v>
      </c>
      <c r="S487" s="48">
        <f t="shared" si="231"/>
        <v>0</v>
      </c>
      <c r="T487" s="48">
        <f t="shared" si="231"/>
        <v>0</v>
      </c>
      <c r="U487" s="48">
        <f t="shared" si="231"/>
        <v>0</v>
      </c>
      <c r="V487" s="48">
        <f t="shared" si="231"/>
        <v>0</v>
      </c>
      <c r="W487" s="48">
        <f t="shared" si="231"/>
        <v>0</v>
      </c>
      <c r="X487" s="48">
        <f t="shared" si="231"/>
        <v>0</v>
      </c>
      <c r="Y487" s="48">
        <f t="shared" si="231"/>
        <v>0</v>
      </c>
      <c r="Z487" s="48">
        <f t="shared" si="231"/>
        <v>0</v>
      </c>
      <c r="AA487" s="48">
        <f t="shared" si="231"/>
        <v>0</v>
      </c>
      <c r="AB487" s="48">
        <f t="shared" si="231"/>
        <v>0</v>
      </c>
      <c r="AC487" s="48">
        <f t="shared" si="231"/>
        <v>0</v>
      </c>
      <c r="AD487" s="48">
        <f t="shared" si="231"/>
        <v>0</v>
      </c>
      <c r="AE487" s="48">
        <f t="shared" si="231"/>
        <v>0</v>
      </c>
      <c r="AF487" s="48">
        <f t="shared" si="231"/>
        <v>0</v>
      </c>
      <c r="AG487" s="48">
        <f t="shared" si="231"/>
        <v>0</v>
      </c>
      <c r="AH487" s="48">
        <f t="shared" si="231"/>
        <v>0</v>
      </c>
      <c r="AI487" s="48">
        <f t="shared" si="231"/>
        <v>0</v>
      </c>
      <c r="AJ487" s="48">
        <f t="shared" si="231"/>
        <v>0</v>
      </c>
      <c r="AK487" s="48">
        <f t="shared" si="231"/>
        <v>0</v>
      </c>
      <c r="AL487" s="48">
        <f t="shared" si="231"/>
        <v>0</v>
      </c>
      <c r="AM487" s="48">
        <f t="shared" si="231"/>
        <v>0</v>
      </c>
      <c r="AN487" s="48">
        <f t="shared" si="231"/>
        <v>0</v>
      </c>
      <c r="AO487" s="48">
        <f t="shared" si="231"/>
        <v>0</v>
      </c>
      <c r="AP487" s="48">
        <f t="shared" si="231"/>
        <v>1</v>
      </c>
      <c r="AQ487" s="48">
        <f t="shared" si="231"/>
        <v>1</v>
      </c>
      <c r="AR487" s="48">
        <f t="shared" si="231"/>
        <v>1</v>
      </c>
      <c r="AS487" s="48">
        <f t="shared" si="231"/>
        <v>1</v>
      </c>
      <c r="AT487" s="48">
        <f t="shared" si="231"/>
        <v>1</v>
      </c>
      <c r="AU487" s="48">
        <f t="shared" si="231"/>
        <v>1</v>
      </c>
      <c r="AV487" s="48">
        <f t="shared" si="231"/>
        <v>1</v>
      </c>
      <c r="AW487" s="48">
        <f t="shared" si="231"/>
        <v>1</v>
      </c>
      <c r="AX487" s="48">
        <f t="shared" si="231"/>
        <v>1</v>
      </c>
      <c r="AY487" s="48">
        <f t="shared" si="231"/>
        <v>1</v>
      </c>
      <c r="AZ487" s="48">
        <f t="shared" si="231"/>
        <v>1</v>
      </c>
      <c r="BA487" s="48">
        <f t="shared" si="231"/>
        <v>1</v>
      </c>
      <c r="BB487" s="48">
        <f t="shared" si="231"/>
        <v>1</v>
      </c>
      <c r="BC487" s="48">
        <f t="shared" si="231"/>
        <v>1</v>
      </c>
      <c r="BD487" s="48">
        <f t="shared" si="231"/>
        <v>1</v>
      </c>
      <c r="BE487" s="48">
        <f t="shared" si="231"/>
        <v>1</v>
      </c>
      <c r="BF487" s="48">
        <f t="shared" si="231"/>
        <v>1</v>
      </c>
      <c r="BG487" s="48">
        <f t="shared" si="231"/>
        <v>1</v>
      </c>
      <c r="BH487" s="48">
        <f t="shared" si="231"/>
        <v>1</v>
      </c>
      <c r="BI487" s="48">
        <f t="shared" si="231"/>
        <v>1</v>
      </c>
      <c r="BJ487" s="48">
        <f t="shared" si="231"/>
        <v>1</v>
      </c>
      <c r="BK487" s="48">
        <f t="shared" si="231"/>
        <v>1</v>
      </c>
      <c r="BL487" s="48">
        <f t="shared" si="231"/>
        <v>1</v>
      </c>
      <c r="BM487" s="48">
        <f t="shared" si="231"/>
        <v>1</v>
      </c>
      <c r="BN487" s="48">
        <f t="shared" si="231"/>
        <v>1</v>
      </c>
      <c r="BO487" s="32">
        <f t="shared" si="221"/>
        <v>0.42372881355932202</v>
      </c>
    </row>
    <row r="488" spans="1:67" x14ac:dyDescent="0.2">
      <c r="A488" s="50" t="s">
        <v>984</v>
      </c>
      <c r="B488" s="50" t="s">
        <v>985</v>
      </c>
      <c r="C488" s="50" t="s">
        <v>117</v>
      </c>
      <c r="D488" s="51">
        <f>VLOOKUP(A488,'[1]Cuadro Control'!C530:J2418,8,FALSE)</f>
        <v>320494616.71764702</v>
      </c>
      <c r="E488" s="52">
        <f t="shared" si="230"/>
        <v>6.0369617599332674E-2</v>
      </c>
      <c r="F488" s="53">
        <v>46451</v>
      </c>
      <c r="G488" s="53">
        <v>46455</v>
      </c>
      <c r="H488" s="52">
        <f t="shared" si="231"/>
        <v>0</v>
      </c>
      <c r="I488" s="52">
        <f t="shared" si="231"/>
        <v>0</v>
      </c>
      <c r="J488" s="52">
        <f t="shared" si="231"/>
        <v>0</v>
      </c>
      <c r="K488" s="52">
        <f t="shared" si="231"/>
        <v>0</v>
      </c>
      <c r="L488" s="52">
        <f t="shared" si="231"/>
        <v>0</v>
      </c>
      <c r="M488" s="52">
        <f t="shared" si="231"/>
        <v>0</v>
      </c>
      <c r="N488" s="52">
        <f t="shared" si="231"/>
        <v>0</v>
      </c>
      <c r="O488" s="52">
        <f t="shared" si="231"/>
        <v>0</v>
      </c>
      <c r="P488" s="52">
        <f t="shared" si="231"/>
        <v>0</v>
      </c>
      <c r="Q488" s="52">
        <f t="shared" si="231"/>
        <v>0</v>
      </c>
      <c r="R488" s="52">
        <f t="shared" si="231"/>
        <v>0</v>
      </c>
      <c r="S488" s="52">
        <f t="shared" si="231"/>
        <v>0</v>
      </c>
      <c r="T488" s="52">
        <f t="shared" si="231"/>
        <v>0</v>
      </c>
      <c r="U488" s="52">
        <f t="shared" si="231"/>
        <v>0</v>
      </c>
      <c r="V488" s="52">
        <f t="shared" si="231"/>
        <v>0</v>
      </c>
      <c r="W488" s="52">
        <f t="shared" si="231"/>
        <v>0</v>
      </c>
      <c r="X488" s="52">
        <f t="shared" si="231"/>
        <v>0</v>
      </c>
      <c r="Y488" s="52">
        <f t="shared" si="231"/>
        <v>0</v>
      </c>
      <c r="Z488" s="52">
        <f t="shared" si="231"/>
        <v>0</v>
      </c>
      <c r="AA488" s="52">
        <f t="shared" si="231"/>
        <v>0</v>
      </c>
      <c r="AB488" s="52">
        <f t="shared" si="231"/>
        <v>0</v>
      </c>
      <c r="AC488" s="52">
        <f t="shared" si="231"/>
        <v>0</v>
      </c>
      <c r="AD488" s="52">
        <f t="shared" si="231"/>
        <v>0</v>
      </c>
      <c r="AE488" s="52">
        <f t="shared" si="231"/>
        <v>0</v>
      </c>
      <c r="AF488" s="52">
        <f t="shared" si="231"/>
        <v>0</v>
      </c>
      <c r="AG488" s="52">
        <f t="shared" si="231"/>
        <v>0</v>
      </c>
      <c r="AH488" s="52">
        <f t="shared" si="231"/>
        <v>0</v>
      </c>
      <c r="AI488" s="52">
        <f t="shared" si="231"/>
        <v>0</v>
      </c>
      <c r="AJ488" s="52">
        <f t="shared" si="231"/>
        <v>0</v>
      </c>
      <c r="AK488" s="52">
        <f t="shared" si="231"/>
        <v>0</v>
      </c>
      <c r="AL488" s="52">
        <f t="shared" si="231"/>
        <v>0</v>
      </c>
      <c r="AM488" s="52">
        <f t="shared" si="231"/>
        <v>0</v>
      </c>
      <c r="AN488" s="52">
        <f t="shared" si="231"/>
        <v>0</v>
      </c>
      <c r="AO488" s="52">
        <f t="shared" si="231"/>
        <v>0</v>
      </c>
      <c r="AP488" s="52">
        <f t="shared" si="231"/>
        <v>0.2</v>
      </c>
      <c r="AQ488" s="52">
        <f t="shared" si="231"/>
        <v>1</v>
      </c>
      <c r="AR488" s="52">
        <f t="shared" si="231"/>
        <v>1</v>
      </c>
      <c r="AS488" s="52">
        <f t="shared" si="231"/>
        <v>1</v>
      </c>
      <c r="AT488" s="52">
        <f t="shared" si="231"/>
        <v>1</v>
      </c>
      <c r="AU488" s="52">
        <f t="shared" si="231"/>
        <v>1</v>
      </c>
      <c r="AV488" s="52">
        <f t="shared" si="231"/>
        <v>1</v>
      </c>
      <c r="AW488" s="52">
        <f t="shared" si="231"/>
        <v>1</v>
      </c>
      <c r="AX488" s="52">
        <f t="shared" si="231"/>
        <v>1</v>
      </c>
      <c r="AY488" s="52">
        <f t="shared" si="231"/>
        <v>1</v>
      </c>
      <c r="AZ488" s="52">
        <f t="shared" si="231"/>
        <v>1</v>
      </c>
      <c r="BA488" s="52">
        <f t="shared" si="231"/>
        <v>1</v>
      </c>
      <c r="BB488" s="52">
        <f t="shared" si="231"/>
        <v>1</v>
      </c>
      <c r="BC488" s="52">
        <f t="shared" si="231"/>
        <v>1</v>
      </c>
      <c r="BD488" s="52">
        <f t="shared" si="231"/>
        <v>1</v>
      </c>
      <c r="BE488" s="52">
        <f t="shared" si="231"/>
        <v>1</v>
      </c>
      <c r="BF488" s="52">
        <f t="shared" si="231"/>
        <v>1</v>
      </c>
      <c r="BG488" s="52">
        <f t="shared" si="231"/>
        <v>1</v>
      </c>
      <c r="BH488" s="52">
        <f t="shared" si="231"/>
        <v>1</v>
      </c>
      <c r="BI488" s="52">
        <f t="shared" si="231"/>
        <v>1</v>
      </c>
      <c r="BJ488" s="52">
        <f t="shared" si="231"/>
        <v>1</v>
      </c>
      <c r="BK488" s="52">
        <f t="shared" si="231"/>
        <v>1</v>
      </c>
      <c r="BL488" s="52">
        <f t="shared" si="231"/>
        <v>1</v>
      </c>
      <c r="BM488" s="52">
        <f t="shared" si="231"/>
        <v>1</v>
      </c>
      <c r="BN488" s="52">
        <f t="shared" si="231"/>
        <v>1</v>
      </c>
      <c r="BO488" s="32">
        <f t="shared" si="221"/>
        <v>0.4101694915254237</v>
      </c>
    </row>
    <row r="489" spans="1:67" x14ac:dyDescent="0.2">
      <c r="A489" s="50" t="s">
        <v>986</v>
      </c>
      <c r="B489" s="50" t="s">
        <v>987</v>
      </c>
      <c r="C489" s="50" t="s">
        <v>111</v>
      </c>
      <c r="D489" s="51">
        <f>VLOOKUP(A489,'[1]Cuadro Control'!C531:J2419,8,FALSE)</f>
        <v>94303618.549411759</v>
      </c>
      <c r="E489" s="52">
        <f t="shared" si="230"/>
        <v>1.7763397864110998E-2</v>
      </c>
      <c r="F489" s="53">
        <v>46455</v>
      </c>
      <c r="G489" s="53">
        <v>46457</v>
      </c>
      <c r="H489" s="52">
        <f t="shared" si="231"/>
        <v>0</v>
      </c>
      <c r="I489" s="52">
        <f t="shared" si="231"/>
        <v>0</v>
      </c>
      <c r="J489" s="52">
        <f t="shared" si="231"/>
        <v>0</v>
      </c>
      <c r="K489" s="52">
        <f t="shared" si="231"/>
        <v>0</v>
      </c>
      <c r="L489" s="52">
        <f t="shared" si="231"/>
        <v>0</v>
      </c>
      <c r="M489" s="52">
        <f t="shared" si="231"/>
        <v>0</v>
      </c>
      <c r="N489" s="52">
        <f t="shared" si="231"/>
        <v>0</v>
      </c>
      <c r="O489" s="52">
        <f t="shared" si="231"/>
        <v>0</v>
      </c>
      <c r="P489" s="52">
        <f t="shared" si="231"/>
        <v>0</v>
      </c>
      <c r="Q489" s="52">
        <f t="shared" si="231"/>
        <v>0</v>
      </c>
      <c r="R489" s="52">
        <f t="shared" si="231"/>
        <v>0</v>
      </c>
      <c r="S489" s="52">
        <f t="shared" si="231"/>
        <v>0</v>
      </c>
      <c r="T489" s="52">
        <f t="shared" si="231"/>
        <v>0</v>
      </c>
      <c r="U489" s="52">
        <f t="shared" si="231"/>
        <v>0</v>
      </c>
      <c r="V489" s="52">
        <f t="shared" si="231"/>
        <v>0</v>
      </c>
      <c r="W489" s="52">
        <f t="shared" si="231"/>
        <v>0</v>
      </c>
      <c r="X489" s="52">
        <f t="shared" si="231"/>
        <v>0</v>
      </c>
      <c r="Y489" s="52">
        <f t="shared" si="231"/>
        <v>0</v>
      </c>
      <c r="Z489" s="52">
        <f t="shared" si="231"/>
        <v>0</v>
      </c>
      <c r="AA489" s="52">
        <f t="shared" ref="AA489:BF500" si="232">IF($F489=0,0,IF(AA$6&lt;$F489,0,IF(AA$6&gt;$G489,1,(AA$6-$F489+1)/($G489-$F489+1))))</f>
        <v>0</v>
      </c>
      <c r="AB489" s="52">
        <f t="shared" si="232"/>
        <v>0</v>
      </c>
      <c r="AC489" s="52">
        <f t="shared" si="232"/>
        <v>0</v>
      </c>
      <c r="AD489" s="52">
        <f t="shared" si="232"/>
        <v>0</v>
      </c>
      <c r="AE489" s="52">
        <f t="shared" si="232"/>
        <v>0</v>
      </c>
      <c r="AF489" s="52">
        <f t="shared" si="232"/>
        <v>0</v>
      </c>
      <c r="AG489" s="52">
        <f t="shared" si="232"/>
        <v>0</v>
      </c>
      <c r="AH489" s="52">
        <f t="shared" si="232"/>
        <v>0</v>
      </c>
      <c r="AI489" s="52">
        <f t="shared" si="232"/>
        <v>0</v>
      </c>
      <c r="AJ489" s="52">
        <f t="shared" si="232"/>
        <v>0</v>
      </c>
      <c r="AK489" s="52">
        <f t="shared" si="232"/>
        <v>0</v>
      </c>
      <c r="AL489" s="52">
        <f t="shared" si="232"/>
        <v>0</v>
      </c>
      <c r="AM489" s="52">
        <f t="shared" si="232"/>
        <v>0</v>
      </c>
      <c r="AN489" s="52">
        <f t="shared" si="232"/>
        <v>0</v>
      </c>
      <c r="AO489" s="52">
        <f t="shared" si="232"/>
        <v>0</v>
      </c>
      <c r="AP489" s="52">
        <f t="shared" si="232"/>
        <v>0</v>
      </c>
      <c r="AQ489" s="52">
        <f t="shared" si="232"/>
        <v>1</v>
      </c>
      <c r="AR489" s="52">
        <f t="shared" si="232"/>
        <v>1</v>
      </c>
      <c r="AS489" s="52">
        <f t="shared" si="232"/>
        <v>1</v>
      </c>
      <c r="AT489" s="52">
        <f t="shared" si="232"/>
        <v>1</v>
      </c>
      <c r="AU489" s="52">
        <f t="shared" si="232"/>
        <v>1</v>
      </c>
      <c r="AV489" s="52">
        <f t="shared" si="232"/>
        <v>1</v>
      </c>
      <c r="AW489" s="52">
        <f t="shared" si="232"/>
        <v>1</v>
      </c>
      <c r="AX489" s="52">
        <f t="shared" si="232"/>
        <v>1</v>
      </c>
      <c r="AY489" s="52">
        <f t="shared" si="232"/>
        <v>1</v>
      </c>
      <c r="AZ489" s="52">
        <f t="shared" si="232"/>
        <v>1</v>
      </c>
      <c r="BA489" s="52">
        <f t="shared" si="232"/>
        <v>1</v>
      </c>
      <c r="BB489" s="52">
        <f t="shared" si="232"/>
        <v>1</v>
      </c>
      <c r="BC489" s="52">
        <f t="shared" si="232"/>
        <v>1</v>
      </c>
      <c r="BD489" s="52">
        <f t="shared" si="232"/>
        <v>1</v>
      </c>
      <c r="BE489" s="52">
        <f t="shared" si="232"/>
        <v>1</v>
      </c>
      <c r="BF489" s="52">
        <f t="shared" si="232"/>
        <v>1</v>
      </c>
      <c r="BG489" s="52">
        <f t="shared" ref="BG489:BN500" si="233">IF($F489=0,0,IF(BG$6&lt;$F489,0,IF(BG$6&gt;$G489,1,(BG$6-$F489+1)/($G489-$F489+1))))</f>
        <v>1</v>
      </c>
      <c r="BH489" s="52">
        <f t="shared" si="233"/>
        <v>1</v>
      </c>
      <c r="BI489" s="52">
        <f t="shared" si="233"/>
        <v>1</v>
      </c>
      <c r="BJ489" s="52">
        <f t="shared" si="233"/>
        <v>1</v>
      </c>
      <c r="BK489" s="52">
        <f t="shared" si="233"/>
        <v>1</v>
      </c>
      <c r="BL489" s="52">
        <f t="shared" si="233"/>
        <v>1</v>
      </c>
      <c r="BM489" s="52">
        <f t="shared" si="233"/>
        <v>1</v>
      </c>
      <c r="BN489" s="52">
        <f t="shared" si="233"/>
        <v>1</v>
      </c>
      <c r="BO489" s="32">
        <f t="shared" si="221"/>
        <v>0.40677966101694918</v>
      </c>
    </row>
    <row r="490" spans="1:67" x14ac:dyDescent="0.2">
      <c r="A490" s="50" t="s">
        <v>988</v>
      </c>
      <c r="B490" s="50" t="s">
        <v>989</v>
      </c>
      <c r="C490" s="50" t="s">
        <v>238</v>
      </c>
      <c r="D490" s="51">
        <f>VLOOKUP(A490,'[1]Cuadro Control'!C532:J2420,8,FALSE)</f>
        <v>179436034.15411764</v>
      </c>
      <c r="E490" s="52">
        <f t="shared" si="230"/>
        <v>3.3799272126209236E-2</v>
      </c>
      <c r="F490" s="53">
        <v>46457</v>
      </c>
      <c r="G490" s="53">
        <v>46462</v>
      </c>
      <c r="H490" s="52">
        <f t="shared" ref="H490:W500" si="234">IF($F490=0,0,IF(H$6&lt;$F490,0,IF(H$6&gt;$G490,1,(H$6-$F490+1)/($G490-$F490+1))))</f>
        <v>0</v>
      </c>
      <c r="I490" s="52">
        <f t="shared" si="234"/>
        <v>0</v>
      </c>
      <c r="J490" s="52">
        <f t="shared" si="234"/>
        <v>0</v>
      </c>
      <c r="K490" s="52">
        <f t="shared" si="234"/>
        <v>0</v>
      </c>
      <c r="L490" s="52">
        <f t="shared" si="234"/>
        <v>0</v>
      </c>
      <c r="M490" s="52">
        <f t="shared" si="234"/>
        <v>0</v>
      </c>
      <c r="N490" s="52">
        <f t="shared" si="234"/>
        <v>0</v>
      </c>
      <c r="O490" s="52">
        <f t="shared" si="234"/>
        <v>0</v>
      </c>
      <c r="P490" s="52">
        <f t="shared" si="234"/>
        <v>0</v>
      </c>
      <c r="Q490" s="52">
        <f t="shared" si="234"/>
        <v>0</v>
      </c>
      <c r="R490" s="52">
        <f t="shared" si="234"/>
        <v>0</v>
      </c>
      <c r="S490" s="52">
        <f t="shared" si="234"/>
        <v>0</v>
      </c>
      <c r="T490" s="52">
        <f t="shared" si="234"/>
        <v>0</v>
      </c>
      <c r="U490" s="52">
        <f t="shared" si="234"/>
        <v>0</v>
      </c>
      <c r="V490" s="52">
        <f t="shared" si="234"/>
        <v>0</v>
      </c>
      <c r="W490" s="52">
        <f t="shared" si="234"/>
        <v>0</v>
      </c>
      <c r="X490" s="52">
        <f t="shared" ref="X490:BC500" si="235">IF($F490=0,0,IF(X$6&lt;$F490,0,IF(X$6&gt;$G490,1,(X$6-$F490+1)/($G490-$F490+1))))</f>
        <v>0</v>
      </c>
      <c r="Y490" s="52">
        <f t="shared" si="235"/>
        <v>0</v>
      </c>
      <c r="Z490" s="52">
        <f t="shared" si="235"/>
        <v>0</v>
      </c>
      <c r="AA490" s="52">
        <f t="shared" si="235"/>
        <v>0</v>
      </c>
      <c r="AB490" s="52">
        <f t="shared" si="235"/>
        <v>0</v>
      </c>
      <c r="AC490" s="52">
        <f t="shared" si="235"/>
        <v>0</v>
      </c>
      <c r="AD490" s="52">
        <f t="shared" si="235"/>
        <v>0</v>
      </c>
      <c r="AE490" s="52">
        <f t="shared" si="235"/>
        <v>0</v>
      </c>
      <c r="AF490" s="52">
        <f t="shared" si="235"/>
        <v>0</v>
      </c>
      <c r="AG490" s="52">
        <f t="shared" si="235"/>
        <v>0</v>
      </c>
      <c r="AH490" s="52">
        <f t="shared" si="235"/>
        <v>0</v>
      </c>
      <c r="AI490" s="52">
        <f t="shared" si="235"/>
        <v>0</v>
      </c>
      <c r="AJ490" s="52">
        <f t="shared" si="235"/>
        <v>0</v>
      </c>
      <c r="AK490" s="52">
        <f t="shared" si="235"/>
        <v>0</v>
      </c>
      <c r="AL490" s="52">
        <f t="shared" si="235"/>
        <v>0</v>
      </c>
      <c r="AM490" s="52">
        <f t="shared" si="235"/>
        <v>0</v>
      </c>
      <c r="AN490" s="52">
        <f t="shared" si="235"/>
        <v>0</v>
      </c>
      <c r="AO490" s="52">
        <f t="shared" si="232"/>
        <v>0</v>
      </c>
      <c r="AP490" s="52">
        <f t="shared" si="232"/>
        <v>0</v>
      </c>
      <c r="AQ490" s="52">
        <f t="shared" si="232"/>
        <v>0.33333333333333331</v>
      </c>
      <c r="AR490" s="52">
        <f t="shared" si="232"/>
        <v>1</v>
      </c>
      <c r="AS490" s="52">
        <f t="shared" si="232"/>
        <v>1</v>
      </c>
      <c r="AT490" s="52">
        <f t="shared" si="232"/>
        <v>1</v>
      </c>
      <c r="AU490" s="52">
        <f t="shared" si="232"/>
        <v>1</v>
      </c>
      <c r="AV490" s="52">
        <f t="shared" si="232"/>
        <v>1</v>
      </c>
      <c r="AW490" s="52">
        <f t="shared" si="232"/>
        <v>1</v>
      </c>
      <c r="AX490" s="52">
        <f t="shared" si="232"/>
        <v>1</v>
      </c>
      <c r="AY490" s="52">
        <f t="shared" si="232"/>
        <v>1</v>
      </c>
      <c r="AZ490" s="52">
        <f t="shared" si="232"/>
        <v>1</v>
      </c>
      <c r="BA490" s="52">
        <f t="shared" si="232"/>
        <v>1</v>
      </c>
      <c r="BB490" s="52">
        <f t="shared" si="232"/>
        <v>1</v>
      </c>
      <c r="BC490" s="52">
        <f t="shared" si="232"/>
        <v>1</v>
      </c>
      <c r="BD490" s="52">
        <f t="shared" si="232"/>
        <v>1</v>
      </c>
      <c r="BE490" s="52">
        <f t="shared" si="232"/>
        <v>1</v>
      </c>
      <c r="BF490" s="52">
        <f t="shared" si="232"/>
        <v>1</v>
      </c>
      <c r="BG490" s="52">
        <f t="shared" si="233"/>
        <v>1</v>
      </c>
      <c r="BH490" s="52">
        <f t="shared" si="233"/>
        <v>1</v>
      </c>
      <c r="BI490" s="52">
        <f t="shared" si="233"/>
        <v>1</v>
      </c>
      <c r="BJ490" s="52">
        <f t="shared" si="233"/>
        <v>1</v>
      </c>
      <c r="BK490" s="52">
        <f t="shared" si="233"/>
        <v>1</v>
      </c>
      <c r="BL490" s="52">
        <f t="shared" si="233"/>
        <v>1</v>
      </c>
      <c r="BM490" s="52">
        <f t="shared" si="233"/>
        <v>1</v>
      </c>
      <c r="BN490" s="52">
        <f t="shared" si="233"/>
        <v>1</v>
      </c>
      <c r="BO490" s="32">
        <f t="shared" si="221"/>
        <v>0.39548022598870053</v>
      </c>
    </row>
    <row r="491" spans="1:67" x14ac:dyDescent="0.2">
      <c r="A491" s="50" t="s">
        <v>990</v>
      </c>
      <c r="B491" s="50" t="s">
        <v>991</v>
      </c>
      <c r="C491" s="50" t="s">
        <v>58</v>
      </c>
      <c r="D491" s="51">
        <f>VLOOKUP(A491,'[1]Cuadro Control'!C533:J2421,8,FALSE)</f>
        <v>1212623361.2117648</v>
      </c>
      <c r="E491" s="52">
        <f t="shared" si="230"/>
        <v>0.22841447185013161</v>
      </c>
      <c r="F491" s="53">
        <v>46463</v>
      </c>
      <c r="G491" s="53">
        <v>46482</v>
      </c>
      <c r="H491" s="52">
        <f t="shared" si="234"/>
        <v>0</v>
      </c>
      <c r="I491" s="52">
        <f t="shared" si="234"/>
        <v>0</v>
      </c>
      <c r="J491" s="52">
        <f t="shared" si="234"/>
        <v>0</v>
      </c>
      <c r="K491" s="52">
        <f t="shared" si="234"/>
        <v>0</v>
      </c>
      <c r="L491" s="52">
        <f t="shared" si="234"/>
        <v>0</v>
      </c>
      <c r="M491" s="52">
        <f t="shared" si="234"/>
        <v>0</v>
      </c>
      <c r="N491" s="52">
        <f t="shared" si="234"/>
        <v>0</v>
      </c>
      <c r="O491" s="52">
        <f t="shared" si="234"/>
        <v>0</v>
      </c>
      <c r="P491" s="52">
        <f t="shared" si="234"/>
        <v>0</v>
      </c>
      <c r="Q491" s="52">
        <f t="shared" si="234"/>
        <v>0</v>
      </c>
      <c r="R491" s="52">
        <f t="shared" si="234"/>
        <v>0</v>
      </c>
      <c r="S491" s="52">
        <f t="shared" si="234"/>
        <v>0</v>
      </c>
      <c r="T491" s="52">
        <f t="shared" si="234"/>
        <v>0</v>
      </c>
      <c r="U491" s="52">
        <f t="shared" si="234"/>
        <v>0</v>
      </c>
      <c r="V491" s="52">
        <f t="shared" si="234"/>
        <v>0</v>
      </c>
      <c r="W491" s="52">
        <f t="shared" si="234"/>
        <v>0</v>
      </c>
      <c r="X491" s="52">
        <f t="shared" si="235"/>
        <v>0</v>
      </c>
      <c r="Y491" s="52">
        <f t="shared" si="235"/>
        <v>0</v>
      </c>
      <c r="Z491" s="52">
        <f t="shared" si="235"/>
        <v>0</v>
      </c>
      <c r="AA491" s="52">
        <f t="shared" si="235"/>
        <v>0</v>
      </c>
      <c r="AB491" s="52">
        <f t="shared" si="235"/>
        <v>0</v>
      </c>
      <c r="AC491" s="52">
        <f t="shared" si="235"/>
        <v>0</v>
      </c>
      <c r="AD491" s="52">
        <f t="shared" si="235"/>
        <v>0</v>
      </c>
      <c r="AE491" s="52">
        <f t="shared" si="235"/>
        <v>0</v>
      </c>
      <c r="AF491" s="52">
        <f t="shared" si="235"/>
        <v>0</v>
      </c>
      <c r="AG491" s="52">
        <f t="shared" si="235"/>
        <v>0</v>
      </c>
      <c r="AH491" s="52">
        <f t="shared" si="235"/>
        <v>0</v>
      </c>
      <c r="AI491" s="52">
        <f t="shared" si="235"/>
        <v>0</v>
      </c>
      <c r="AJ491" s="52">
        <f t="shared" si="235"/>
        <v>0</v>
      </c>
      <c r="AK491" s="52">
        <f t="shared" si="235"/>
        <v>0</v>
      </c>
      <c r="AL491" s="52">
        <f t="shared" si="235"/>
        <v>0</v>
      </c>
      <c r="AM491" s="52">
        <f t="shared" si="235"/>
        <v>0</v>
      </c>
      <c r="AN491" s="52">
        <f t="shared" si="235"/>
        <v>0</v>
      </c>
      <c r="AO491" s="52">
        <f t="shared" si="232"/>
        <v>0</v>
      </c>
      <c r="AP491" s="52">
        <f t="shared" si="232"/>
        <v>0</v>
      </c>
      <c r="AQ491" s="52">
        <f t="shared" si="232"/>
        <v>0</v>
      </c>
      <c r="AR491" s="52">
        <f t="shared" si="232"/>
        <v>0.15</v>
      </c>
      <c r="AS491" s="52">
        <f t="shared" si="232"/>
        <v>0.5</v>
      </c>
      <c r="AT491" s="52">
        <f t="shared" si="232"/>
        <v>0.85</v>
      </c>
      <c r="AU491" s="52">
        <f t="shared" si="232"/>
        <v>1</v>
      </c>
      <c r="AV491" s="52">
        <f t="shared" si="232"/>
        <v>1</v>
      </c>
      <c r="AW491" s="52">
        <f t="shared" si="232"/>
        <v>1</v>
      </c>
      <c r="AX491" s="52">
        <f t="shared" si="232"/>
        <v>1</v>
      </c>
      <c r="AY491" s="52">
        <f t="shared" si="232"/>
        <v>1</v>
      </c>
      <c r="AZ491" s="52">
        <f t="shared" si="232"/>
        <v>1</v>
      </c>
      <c r="BA491" s="52">
        <f t="shared" si="232"/>
        <v>1</v>
      </c>
      <c r="BB491" s="52">
        <f t="shared" si="232"/>
        <v>1</v>
      </c>
      <c r="BC491" s="52">
        <f t="shared" si="232"/>
        <v>1</v>
      </c>
      <c r="BD491" s="52">
        <f t="shared" si="232"/>
        <v>1</v>
      </c>
      <c r="BE491" s="52">
        <f t="shared" si="232"/>
        <v>1</v>
      </c>
      <c r="BF491" s="52">
        <f t="shared" si="232"/>
        <v>1</v>
      </c>
      <c r="BG491" s="52">
        <f t="shared" si="233"/>
        <v>1</v>
      </c>
      <c r="BH491" s="52">
        <f t="shared" si="233"/>
        <v>1</v>
      </c>
      <c r="BI491" s="52">
        <f t="shared" si="233"/>
        <v>1</v>
      </c>
      <c r="BJ491" s="52">
        <f t="shared" si="233"/>
        <v>1</v>
      </c>
      <c r="BK491" s="52">
        <f t="shared" si="233"/>
        <v>1</v>
      </c>
      <c r="BL491" s="52">
        <f t="shared" si="233"/>
        <v>1</v>
      </c>
      <c r="BM491" s="52">
        <f t="shared" si="233"/>
        <v>1</v>
      </c>
      <c r="BN491" s="52">
        <f t="shared" si="233"/>
        <v>1</v>
      </c>
      <c r="BO491" s="32">
        <f t="shared" si="221"/>
        <v>0.36440677966101692</v>
      </c>
    </row>
    <row r="492" spans="1:67" x14ac:dyDescent="0.2">
      <c r="A492" s="50" t="s">
        <v>992</v>
      </c>
      <c r="B492" s="50" t="s">
        <v>993</v>
      </c>
      <c r="C492" s="50" t="s">
        <v>126</v>
      </c>
      <c r="D492" s="51">
        <f>VLOOKUP(A492,'[1]Cuadro Control'!C534:J2422,8,FALSE)</f>
        <v>0</v>
      </c>
      <c r="E492" s="52">
        <f t="shared" si="230"/>
        <v>0</v>
      </c>
      <c r="F492" s="53">
        <v>46482</v>
      </c>
      <c r="G492" s="53">
        <v>46485</v>
      </c>
      <c r="H492" s="52">
        <f t="shared" si="234"/>
        <v>0</v>
      </c>
      <c r="I492" s="52">
        <f t="shared" si="234"/>
        <v>0</v>
      </c>
      <c r="J492" s="52">
        <f t="shared" si="234"/>
        <v>0</v>
      </c>
      <c r="K492" s="52">
        <f t="shared" si="234"/>
        <v>0</v>
      </c>
      <c r="L492" s="52">
        <f t="shared" si="234"/>
        <v>0</v>
      </c>
      <c r="M492" s="52">
        <f t="shared" si="234"/>
        <v>0</v>
      </c>
      <c r="N492" s="52">
        <f t="shared" si="234"/>
        <v>0</v>
      </c>
      <c r="O492" s="52">
        <f t="shared" si="234"/>
        <v>0</v>
      </c>
      <c r="P492" s="52">
        <f t="shared" si="234"/>
        <v>0</v>
      </c>
      <c r="Q492" s="52">
        <f t="shared" si="234"/>
        <v>0</v>
      </c>
      <c r="R492" s="52">
        <f t="shared" si="234"/>
        <v>0</v>
      </c>
      <c r="S492" s="52">
        <f t="shared" si="234"/>
        <v>0</v>
      </c>
      <c r="T492" s="52">
        <f t="shared" si="234"/>
        <v>0</v>
      </c>
      <c r="U492" s="52">
        <f t="shared" si="234"/>
        <v>0</v>
      </c>
      <c r="V492" s="52">
        <f t="shared" si="234"/>
        <v>0</v>
      </c>
      <c r="W492" s="52">
        <f t="shared" si="234"/>
        <v>0</v>
      </c>
      <c r="X492" s="52">
        <f t="shared" si="235"/>
        <v>0</v>
      </c>
      <c r="Y492" s="52">
        <f t="shared" si="235"/>
        <v>0</v>
      </c>
      <c r="Z492" s="52">
        <f t="shared" si="235"/>
        <v>0</v>
      </c>
      <c r="AA492" s="52">
        <f t="shared" si="235"/>
        <v>0</v>
      </c>
      <c r="AB492" s="52">
        <f t="shared" si="235"/>
        <v>0</v>
      </c>
      <c r="AC492" s="52">
        <f t="shared" si="235"/>
        <v>0</v>
      </c>
      <c r="AD492" s="52">
        <f t="shared" si="235"/>
        <v>0</v>
      </c>
      <c r="AE492" s="52">
        <f t="shared" si="235"/>
        <v>0</v>
      </c>
      <c r="AF492" s="52">
        <f t="shared" si="235"/>
        <v>0</v>
      </c>
      <c r="AG492" s="52">
        <f t="shared" si="235"/>
        <v>0</v>
      </c>
      <c r="AH492" s="52">
        <f t="shared" si="235"/>
        <v>0</v>
      </c>
      <c r="AI492" s="52">
        <f t="shared" si="235"/>
        <v>0</v>
      </c>
      <c r="AJ492" s="52">
        <f t="shared" si="235"/>
        <v>0</v>
      </c>
      <c r="AK492" s="52">
        <f t="shared" si="235"/>
        <v>0</v>
      </c>
      <c r="AL492" s="52">
        <f t="shared" si="235"/>
        <v>0</v>
      </c>
      <c r="AM492" s="52">
        <f t="shared" si="235"/>
        <v>0</v>
      </c>
      <c r="AN492" s="52">
        <f t="shared" si="235"/>
        <v>0</v>
      </c>
      <c r="AO492" s="52">
        <f t="shared" si="232"/>
        <v>0</v>
      </c>
      <c r="AP492" s="52">
        <f t="shared" si="232"/>
        <v>0</v>
      </c>
      <c r="AQ492" s="52">
        <f t="shared" si="232"/>
        <v>0</v>
      </c>
      <c r="AR492" s="52">
        <f t="shared" si="232"/>
        <v>0</v>
      </c>
      <c r="AS492" s="52">
        <f t="shared" si="232"/>
        <v>0</v>
      </c>
      <c r="AT492" s="52">
        <f t="shared" si="232"/>
        <v>0</v>
      </c>
      <c r="AU492" s="52">
        <f t="shared" si="232"/>
        <v>1</v>
      </c>
      <c r="AV492" s="52">
        <f t="shared" si="232"/>
        <v>1</v>
      </c>
      <c r="AW492" s="52">
        <f t="shared" si="232"/>
        <v>1</v>
      </c>
      <c r="AX492" s="52">
        <f t="shared" si="232"/>
        <v>1</v>
      </c>
      <c r="AY492" s="52">
        <f t="shared" si="232"/>
        <v>1</v>
      </c>
      <c r="AZ492" s="52">
        <f t="shared" si="232"/>
        <v>1</v>
      </c>
      <c r="BA492" s="52">
        <f t="shared" si="232"/>
        <v>1</v>
      </c>
      <c r="BB492" s="52">
        <f t="shared" si="232"/>
        <v>1</v>
      </c>
      <c r="BC492" s="52">
        <f t="shared" si="232"/>
        <v>1</v>
      </c>
      <c r="BD492" s="52">
        <f t="shared" si="232"/>
        <v>1</v>
      </c>
      <c r="BE492" s="52">
        <f t="shared" si="232"/>
        <v>1</v>
      </c>
      <c r="BF492" s="52">
        <f t="shared" si="232"/>
        <v>1</v>
      </c>
      <c r="BG492" s="52">
        <f t="shared" si="233"/>
        <v>1</v>
      </c>
      <c r="BH492" s="52">
        <f t="shared" si="233"/>
        <v>1</v>
      </c>
      <c r="BI492" s="52">
        <f t="shared" si="233"/>
        <v>1</v>
      </c>
      <c r="BJ492" s="52">
        <f t="shared" si="233"/>
        <v>1</v>
      </c>
      <c r="BK492" s="52">
        <f t="shared" si="233"/>
        <v>1</v>
      </c>
      <c r="BL492" s="52">
        <f t="shared" si="233"/>
        <v>1</v>
      </c>
      <c r="BM492" s="52">
        <f t="shared" si="233"/>
        <v>1</v>
      </c>
      <c r="BN492" s="52">
        <f t="shared" si="233"/>
        <v>1</v>
      </c>
      <c r="BO492" s="32">
        <f t="shared" si="221"/>
        <v>0.33898305084745761</v>
      </c>
    </row>
    <row r="493" spans="1:67" ht="24" x14ac:dyDescent="0.2">
      <c r="A493" s="55" t="s">
        <v>994</v>
      </c>
      <c r="B493" s="55" t="s">
        <v>995</v>
      </c>
      <c r="C493" s="55" t="s">
        <v>14</v>
      </c>
      <c r="D493" s="56">
        <f>VLOOKUP(A493,'[1]Cuadro Control'!C535:J2423,8,FALSE)</f>
        <v>0</v>
      </c>
      <c r="E493" s="57">
        <f t="shared" si="230"/>
        <v>0</v>
      </c>
      <c r="F493" s="58">
        <v>46482</v>
      </c>
      <c r="G493" s="58">
        <v>46482</v>
      </c>
      <c r="H493" s="57">
        <f t="shared" si="234"/>
        <v>0</v>
      </c>
      <c r="I493" s="57">
        <f t="shared" si="234"/>
        <v>0</v>
      </c>
      <c r="J493" s="57">
        <f t="shared" si="234"/>
        <v>0</v>
      </c>
      <c r="K493" s="57">
        <f t="shared" si="234"/>
        <v>0</v>
      </c>
      <c r="L493" s="57">
        <f t="shared" si="234"/>
        <v>0</v>
      </c>
      <c r="M493" s="57">
        <f t="shared" si="234"/>
        <v>0</v>
      </c>
      <c r="N493" s="57">
        <f t="shared" si="234"/>
        <v>0</v>
      </c>
      <c r="O493" s="57">
        <f t="shared" si="234"/>
        <v>0</v>
      </c>
      <c r="P493" s="57">
        <f t="shared" si="234"/>
        <v>0</v>
      </c>
      <c r="Q493" s="57">
        <f t="shared" si="234"/>
        <v>0</v>
      </c>
      <c r="R493" s="57">
        <f t="shared" si="234"/>
        <v>0</v>
      </c>
      <c r="S493" s="57">
        <f t="shared" si="234"/>
        <v>0</v>
      </c>
      <c r="T493" s="57">
        <f t="shared" si="234"/>
        <v>0</v>
      </c>
      <c r="U493" s="57">
        <f t="shared" si="234"/>
        <v>0</v>
      </c>
      <c r="V493" s="57">
        <f t="shared" si="234"/>
        <v>0</v>
      </c>
      <c r="W493" s="57">
        <f t="shared" si="234"/>
        <v>0</v>
      </c>
      <c r="X493" s="57">
        <f t="shared" si="235"/>
        <v>0</v>
      </c>
      <c r="Y493" s="57">
        <f t="shared" si="235"/>
        <v>0</v>
      </c>
      <c r="Z493" s="57">
        <f t="shared" si="235"/>
        <v>0</v>
      </c>
      <c r="AA493" s="57">
        <f t="shared" si="235"/>
        <v>0</v>
      </c>
      <c r="AB493" s="57">
        <f t="shared" si="235"/>
        <v>0</v>
      </c>
      <c r="AC493" s="57">
        <f t="shared" si="235"/>
        <v>0</v>
      </c>
      <c r="AD493" s="57">
        <f t="shared" si="235"/>
        <v>0</v>
      </c>
      <c r="AE493" s="57">
        <f t="shared" si="235"/>
        <v>0</v>
      </c>
      <c r="AF493" s="57">
        <f t="shared" si="235"/>
        <v>0</v>
      </c>
      <c r="AG493" s="57">
        <f t="shared" si="235"/>
        <v>0</v>
      </c>
      <c r="AH493" s="57">
        <f t="shared" si="235"/>
        <v>0</v>
      </c>
      <c r="AI493" s="57">
        <f t="shared" si="235"/>
        <v>0</v>
      </c>
      <c r="AJ493" s="57">
        <f t="shared" si="235"/>
        <v>0</v>
      </c>
      <c r="AK493" s="57">
        <f t="shared" si="235"/>
        <v>0</v>
      </c>
      <c r="AL493" s="57">
        <f t="shared" si="235"/>
        <v>0</v>
      </c>
      <c r="AM493" s="57">
        <f t="shared" si="235"/>
        <v>0</v>
      </c>
      <c r="AN493" s="57">
        <f t="shared" si="235"/>
        <v>0</v>
      </c>
      <c r="AO493" s="57">
        <f t="shared" si="232"/>
        <v>0</v>
      </c>
      <c r="AP493" s="57">
        <f t="shared" si="232"/>
        <v>0</v>
      </c>
      <c r="AQ493" s="57">
        <f t="shared" si="232"/>
        <v>0</v>
      </c>
      <c r="AR493" s="57">
        <f t="shared" si="232"/>
        <v>0</v>
      </c>
      <c r="AS493" s="57">
        <f t="shared" si="232"/>
        <v>0</v>
      </c>
      <c r="AT493" s="57">
        <f t="shared" si="232"/>
        <v>0</v>
      </c>
      <c r="AU493" s="57">
        <f t="shared" si="232"/>
        <v>1</v>
      </c>
      <c r="AV493" s="57">
        <f t="shared" si="232"/>
        <v>1</v>
      </c>
      <c r="AW493" s="57">
        <f t="shared" si="232"/>
        <v>1</v>
      </c>
      <c r="AX493" s="57">
        <f t="shared" si="232"/>
        <v>1</v>
      </c>
      <c r="AY493" s="57">
        <f t="shared" si="232"/>
        <v>1</v>
      </c>
      <c r="AZ493" s="57">
        <f t="shared" si="232"/>
        <v>1</v>
      </c>
      <c r="BA493" s="57">
        <f t="shared" si="232"/>
        <v>1</v>
      </c>
      <c r="BB493" s="57">
        <f t="shared" si="232"/>
        <v>1</v>
      </c>
      <c r="BC493" s="57">
        <f t="shared" si="232"/>
        <v>1</v>
      </c>
      <c r="BD493" s="57">
        <f t="shared" si="232"/>
        <v>1</v>
      </c>
      <c r="BE493" s="57">
        <f t="shared" si="232"/>
        <v>1</v>
      </c>
      <c r="BF493" s="57">
        <f t="shared" si="232"/>
        <v>1</v>
      </c>
      <c r="BG493" s="57">
        <f t="shared" si="233"/>
        <v>1</v>
      </c>
      <c r="BH493" s="57">
        <f t="shared" si="233"/>
        <v>1</v>
      </c>
      <c r="BI493" s="57">
        <f t="shared" si="233"/>
        <v>1</v>
      </c>
      <c r="BJ493" s="57">
        <f t="shared" si="233"/>
        <v>1</v>
      </c>
      <c r="BK493" s="57">
        <f t="shared" si="233"/>
        <v>1</v>
      </c>
      <c r="BL493" s="57">
        <f t="shared" si="233"/>
        <v>1</v>
      </c>
      <c r="BM493" s="57">
        <f t="shared" si="233"/>
        <v>1</v>
      </c>
      <c r="BN493" s="57">
        <f t="shared" si="233"/>
        <v>1</v>
      </c>
      <c r="BO493" s="32">
        <f t="shared" si="221"/>
        <v>0.33898305084745761</v>
      </c>
    </row>
    <row r="494" spans="1:67" x14ac:dyDescent="0.2">
      <c r="A494" s="50" t="s">
        <v>996</v>
      </c>
      <c r="B494" s="50" t="s">
        <v>997</v>
      </c>
      <c r="C494" s="50" t="s">
        <v>111</v>
      </c>
      <c r="D494" s="51">
        <f>VLOOKUP(A494,'[1]Cuadro Control'!C536:J2424,8,FALSE)</f>
        <v>1230815225.9452939</v>
      </c>
      <c r="E494" s="52">
        <f t="shared" si="230"/>
        <v>0.2318411625341423</v>
      </c>
      <c r="F494" s="53">
        <v>46485</v>
      </c>
      <c r="G494" s="53">
        <v>46486</v>
      </c>
      <c r="H494" s="52">
        <f t="shared" si="234"/>
        <v>0</v>
      </c>
      <c r="I494" s="52">
        <f t="shared" si="234"/>
        <v>0</v>
      </c>
      <c r="J494" s="52">
        <f t="shared" si="234"/>
        <v>0</v>
      </c>
      <c r="K494" s="52">
        <f t="shared" si="234"/>
        <v>0</v>
      </c>
      <c r="L494" s="52">
        <f t="shared" si="234"/>
        <v>0</v>
      </c>
      <c r="M494" s="52">
        <f t="shared" si="234"/>
        <v>0</v>
      </c>
      <c r="N494" s="52">
        <f t="shared" si="234"/>
        <v>0</v>
      </c>
      <c r="O494" s="52">
        <f t="shared" si="234"/>
        <v>0</v>
      </c>
      <c r="P494" s="52">
        <f t="shared" si="234"/>
        <v>0</v>
      </c>
      <c r="Q494" s="52">
        <f t="shared" si="234"/>
        <v>0</v>
      </c>
      <c r="R494" s="52">
        <f t="shared" si="234"/>
        <v>0</v>
      </c>
      <c r="S494" s="52">
        <f t="shared" si="234"/>
        <v>0</v>
      </c>
      <c r="T494" s="52">
        <f t="shared" si="234"/>
        <v>0</v>
      </c>
      <c r="U494" s="52">
        <f t="shared" si="234"/>
        <v>0</v>
      </c>
      <c r="V494" s="52">
        <f t="shared" si="234"/>
        <v>0</v>
      </c>
      <c r="W494" s="52">
        <f t="shared" si="234"/>
        <v>0</v>
      </c>
      <c r="X494" s="52">
        <f t="shared" si="235"/>
        <v>0</v>
      </c>
      <c r="Y494" s="52">
        <f t="shared" si="235"/>
        <v>0</v>
      </c>
      <c r="Z494" s="52">
        <f t="shared" si="235"/>
        <v>0</v>
      </c>
      <c r="AA494" s="52">
        <f t="shared" si="235"/>
        <v>0</v>
      </c>
      <c r="AB494" s="52">
        <f t="shared" si="235"/>
        <v>0</v>
      </c>
      <c r="AC494" s="52">
        <f t="shared" si="235"/>
        <v>0</v>
      </c>
      <c r="AD494" s="52">
        <f t="shared" si="235"/>
        <v>0</v>
      </c>
      <c r="AE494" s="52">
        <f t="shared" si="235"/>
        <v>0</v>
      </c>
      <c r="AF494" s="52">
        <f t="shared" si="235"/>
        <v>0</v>
      </c>
      <c r="AG494" s="52">
        <f t="shared" si="235"/>
        <v>0</v>
      </c>
      <c r="AH494" s="52">
        <f t="shared" si="235"/>
        <v>0</v>
      </c>
      <c r="AI494" s="52">
        <f t="shared" si="235"/>
        <v>0</v>
      </c>
      <c r="AJ494" s="52">
        <f t="shared" si="235"/>
        <v>0</v>
      </c>
      <c r="AK494" s="52">
        <f t="shared" si="235"/>
        <v>0</v>
      </c>
      <c r="AL494" s="52">
        <f t="shared" si="235"/>
        <v>0</v>
      </c>
      <c r="AM494" s="52">
        <f t="shared" si="235"/>
        <v>0</v>
      </c>
      <c r="AN494" s="52">
        <f t="shared" si="235"/>
        <v>0</v>
      </c>
      <c r="AO494" s="52">
        <f t="shared" si="232"/>
        <v>0</v>
      </c>
      <c r="AP494" s="52">
        <f t="shared" si="232"/>
        <v>0</v>
      </c>
      <c r="AQ494" s="52">
        <f t="shared" si="232"/>
        <v>0</v>
      </c>
      <c r="AR494" s="52">
        <f t="shared" si="232"/>
        <v>0</v>
      </c>
      <c r="AS494" s="52">
        <f t="shared" si="232"/>
        <v>0</v>
      </c>
      <c r="AT494" s="52">
        <f t="shared" si="232"/>
        <v>0</v>
      </c>
      <c r="AU494" s="52">
        <f t="shared" si="232"/>
        <v>1</v>
      </c>
      <c r="AV494" s="52">
        <f t="shared" si="232"/>
        <v>1</v>
      </c>
      <c r="AW494" s="52">
        <f t="shared" si="232"/>
        <v>1</v>
      </c>
      <c r="AX494" s="52">
        <f t="shared" si="232"/>
        <v>1</v>
      </c>
      <c r="AY494" s="52">
        <f t="shared" si="232"/>
        <v>1</v>
      </c>
      <c r="AZ494" s="52">
        <f t="shared" si="232"/>
        <v>1</v>
      </c>
      <c r="BA494" s="52">
        <f t="shared" si="232"/>
        <v>1</v>
      </c>
      <c r="BB494" s="52">
        <f t="shared" si="232"/>
        <v>1</v>
      </c>
      <c r="BC494" s="52">
        <f t="shared" si="232"/>
        <v>1</v>
      </c>
      <c r="BD494" s="52">
        <f t="shared" si="232"/>
        <v>1</v>
      </c>
      <c r="BE494" s="52">
        <f t="shared" si="232"/>
        <v>1</v>
      </c>
      <c r="BF494" s="52">
        <f t="shared" si="232"/>
        <v>1</v>
      </c>
      <c r="BG494" s="52">
        <f t="shared" si="233"/>
        <v>1</v>
      </c>
      <c r="BH494" s="52">
        <f t="shared" si="233"/>
        <v>1</v>
      </c>
      <c r="BI494" s="52">
        <f t="shared" si="233"/>
        <v>1</v>
      </c>
      <c r="BJ494" s="52">
        <f t="shared" si="233"/>
        <v>1</v>
      </c>
      <c r="BK494" s="52">
        <f t="shared" si="233"/>
        <v>1</v>
      </c>
      <c r="BL494" s="52">
        <f t="shared" si="233"/>
        <v>1</v>
      </c>
      <c r="BM494" s="52">
        <f t="shared" si="233"/>
        <v>1</v>
      </c>
      <c r="BN494" s="52">
        <f t="shared" si="233"/>
        <v>1</v>
      </c>
      <c r="BO494" s="32">
        <f t="shared" si="221"/>
        <v>0.33898305084745761</v>
      </c>
    </row>
    <row r="495" spans="1:67" x14ac:dyDescent="0.2">
      <c r="A495" s="50" t="s">
        <v>998</v>
      </c>
      <c r="B495" s="50" t="s">
        <v>999</v>
      </c>
      <c r="C495" s="50" t="s">
        <v>238</v>
      </c>
      <c r="D495" s="51">
        <f>VLOOKUP(A495,'[1]Cuadro Control'!C537:J2425,8,FALSE)</f>
        <v>0</v>
      </c>
      <c r="E495" s="52">
        <f t="shared" si="230"/>
        <v>0</v>
      </c>
      <c r="F495" s="53">
        <v>46486</v>
      </c>
      <c r="G495" s="53">
        <v>46493</v>
      </c>
      <c r="H495" s="52">
        <f t="shared" si="234"/>
        <v>0</v>
      </c>
      <c r="I495" s="52">
        <f t="shared" si="234"/>
        <v>0</v>
      </c>
      <c r="J495" s="52">
        <f t="shared" si="234"/>
        <v>0</v>
      </c>
      <c r="K495" s="52">
        <f t="shared" si="234"/>
        <v>0</v>
      </c>
      <c r="L495" s="52">
        <f t="shared" si="234"/>
        <v>0</v>
      </c>
      <c r="M495" s="52">
        <f t="shared" si="234"/>
        <v>0</v>
      </c>
      <c r="N495" s="52">
        <f t="shared" si="234"/>
        <v>0</v>
      </c>
      <c r="O495" s="52">
        <f t="shared" si="234"/>
        <v>0</v>
      </c>
      <c r="P495" s="52">
        <f t="shared" si="234"/>
        <v>0</v>
      </c>
      <c r="Q495" s="52">
        <f t="shared" si="234"/>
        <v>0</v>
      </c>
      <c r="R495" s="52">
        <f t="shared" si="234"/>
        <v>0</v>
      </c>
      <c r="S495" s="52">
        <f t="shared" si="234"/>
        <v>0</v>
      </c>
      <c r="T495" s="52">
        <f t="shared" si="234"/>
        <v>0</v>
      </c>
      <c r="U495" s="52">
        <f t="shared" si="234"/>
        <v>0</v>
      </c>
      <c r="V495" s="52">
        <f t="shared" si="234"/>
        <v>0</v>
      </c>
      <c r="W495" s="52">
        <f t="shared" si="234"/>
        <v>0</v>
      </c>
      <c r="X495" s="52">
        <f t="shared" si="235"/>
        <v>0</v>
      </c>
      <c r="Y495" s="52">
        <f t="shared" si="235"/>
        <v>0</v>
      </c>
      <c r="Z495" s="52">
        <f t="shared" si="235"/>
        <v>0</v>
      </c>
      <c r="AA495" s="52">
        <f t="shared" si="235"/>
        <v>0</v>
      </c>
      <c r="AB495" s="52">
        <f t="shared" si="235"/>
        <v>0</v>
      </c>
      <c r="AC495" s="52">
        <f t="shared" si="235"/>
        <v>0</v>
      </c>
      <c r="AD495" s="52">
        <f t="shared" si="235"/>
        <v>0</v>
      </c>
      <c r="AE495" s="52">
        <f t="shared" si="235"/>
        <v>0</v>
      </c>
      <c r="AF495" s="52">
        <f t="shared" si="235"/>
        <v>0</v>
      </c>
      <c r="AG495" s="52">
        <f t="shared" si="235"/>
        <v>0</v>
      </c>
      <c r="AH495" s="52">
        <f t="shared" si="235"/>
        <v>0</v>
      </c>
      <c r="AI495" s="52">
        <f t="shared" si="235"/>
        <v>0</v>
      </c>
      <c r="AJ495" s="52">
        <f t="shared" si="235"/>
        <v>0</v>
      </c>
      <c r="AK495" s="52">
        <f t="shared" si="235"/>
        <v>0</v>
      </c>
      <c r="AL495" s="52">
        <f t="shared" si="235"/>
        <v>0</v>
      </c>
      <c r="AM495" s="52">
        <f t="shared" si="235"/>
        <v>0</v>
      </c>
      <c r="AN495" s="52">
        <f t="shared" si="235"/>
        <v>0</v>
      </c>
      <c r="AO495" s="52">
        <f t="shared" si="232"/>
        <v>0</v>
      </c>
      <c r="AP495" s="52">
        <f t="shared" si="232"/>
        <v>0</v>
      </c>
      <c r="AQ495" s="52">
        <f t="shared" si="232"/>
        <v>0</v>
      </c>
      <c r="AR495" s="52">
        <f t="shared" si="232"/>
        <v>0</v>
      </c>
      <c r="AS495" s="52">
        <f t="shared" si="232"/>
        <v>0</v>
      </c>
      <c r="AT495" s="52">
        <f t="shared" si="232"/>
        <v>0</v>
      </c>
      <c r="AU495" s="52">
        <f t="shared" si="232"/>
        <v>0.125</v>
      </c>
      <c r="AV495" s="52">
        <f t="shared" si="232"/>
        <v>1</v>
      </c>
      <c r="AW495" s="52">
        <f t="shared" si="232"/>
        <v>1</v>
      </c>
      <c r="AX495" s="52">
        <f t="shared" si="232"/>
        <v>1</v>
      </c>
      <c r="AY495" s="52">
        <f t="shared" si="232"/>
        <v>1</v>
      </c>
      <c r="AZ495" s="52">
        <f t="shared" si="232"/>
        <v>1</v>
      </c>
      <c r="BA495" s="52">
        <f t="shared" si="232"/>
        <v>1</v>
      </c>
      <c r="BB495" s="52">
        <f t="shared" si="232"/>
        <v>1</v>
      </c>
      <c r="BC495" s="52">
        <f t="shared" si="232"/>
        <v>1</v>
      </c>
      <c r="BD495" s="52">
        <f t="shared" si="232"/>
        <v>1</v>
      </c>
      <c r="BE495" s="52">
        <f t="shared" si="232"/>
        <v>1</v>
      </c>
      <c r="BF495" s="52">
        <f t="shared" si="232"/>
        <v>1</v>
      </c>
      <c r="BG495" s="52">
        <f t="shared" si="233"/>
        <v>1</v>
      </c>
      <c r="BH495" s="52">
        <f t="shared" si="233"/>
        <v>1</v>
      </c>
      <c r="BI495" s="52">
        <f t="shared" si="233"/>
        <v>1</v>
      </c>
      <c r="BJ495" s="52">
        <f t="shared" si="233"/>
        <v>1</v>
      </c>
      <c r="BK495" s="52">
        <f t="shared" si="233"/>
        <v>1</v>
      </c>
      <c r="BL495" s="52">
        <f t="shared" si="233"/>
        <v>1</v>
      </c>
      <c r="BM495" s="52">
        <f t="shared" si="233"/>
        <v>1</v>
      </c>
      <c r="BN495" s="52">
        <f t="shared" si="233"/>
        <v>1</v>
      </c>
      <c r="BO495" s="32">
        <f t="shared" si="221"/>
        <v>0.32415254237288138</v>
      </c>
    </row>
    <row r="496" spans="1:67" ht="24" x14ac:dyDescent="0.2">
      <c r="A496" s="50" t="s">
        <v>1000</v>
      </c>
      <c r="B496" s="50" t="s">
        <v>1001</v>
      </c>
      <c r="C496" s="50" t="s">
        <v>126</v>
      </c>
      <c r="D496" s="51">
        <f>VLOOKUP(A496,'[1]Cuadro Control'!C538:J2426,8,FALSE)</f>
        <v>52736347.43270281</v>
      </c>
      <c r="E496" s="52">
        <f t="shared" si="230"/>
        <v>9.933624348213644E-3</v>
      </c>
      <c r="F496" s="53">
        <v>46493</v>
      </c>
      <c r="G496" s="53">
        <v>46497</v>
      </c>
      <c r="H496" s="52">
        <f t="shared" si="234"/>
        <v>0</v>
      </c>
      <c r="I496" s="52">
        <f t="shared" si="234"/>
        <v>0</v>
      </c>
      <c r="J496" s="52">
        <f t="shared" si="234"/>
        <v>0</v>
      </c>
      <c r="K496" s="52">
        <f t="shared" si="234"/>
        <v>0</v>
      </c>
      <c r="L496" s="52">
        <f t="shared" si="234"/>
        <v>0</v>
      </c>
      <c r="M496" s="52">
        <f t="shared" si="234"/>
        <v>0</v>
      </c>
      <c r="N496" s="52">
        <f t="shared" si="234"/>
        <v>0</v>
      </c>
      <c r="O496" s="52">
        <f t="shared" si="234"/>
        <v>0</v>
      </c>
      <c r="P496" s="52">
        <f t="shared" si="234"/>
        <v>0</v>
      </c>
      <c r="Q496" s="52">
        <f t="shared" si="234"/>
        <v>0</v>
      </c>
      <c r="R496" s="52">
        <f t="shared" si="234"/>
        <v>0</v>
      </c>
      <c r="S496" s="52">
        <f t="shared" si="234"/>
        <v>0</v>
      </c>
      <c r="T496" s="52">
        <f t="shared" si="234"/>
        <v>0</v>
      </c>
      <c r="U496" s="52">
        <f t="shared" si="234"/>
        <v>0</v>
      </c>
      <c r="V496" s="52">
        <f t="shared" si="234"/>
        <v>0</v>
      </c>
      <c r="W496" s="52">
        <f t="shared" si="234"/>
        <v>0</v>
      </c>
      <c r="X496" s="52">
        <f t="shared" si="235"/>
        <v>0</v>
      </c>
      <c r="Y496" s="52">
        <f t="shared" si="235"/>
        <v>0</v>
      </c>
      <c r="Z496" s="52">
        <f t="shared" si="235"/>
        <v>0</v>
      </c>
      <c r="AA496" s="52">
        <f t="shared" si="235"/>
        <v>0</v>
      </c>
      <c r="AB496" s="52">
        <f t="shared" si="235"/>
        <v>0</v>
      </c>
      <c r="AC496" s="52">
        <f t="shared" si="235"/>
        <v>0</v>
      </c>
      <c r="AD496" s="52">
        <f t="shared" si="235"/>
        <v>0</v>
      </c>
      <c r="AE496" s="52">
        <f t="shared" si="235"/>
        <v>0</v>
      </c>
      <c r="AF496" s="52">
        <f t="shared" si="235"/>
        <v>0</v>
      </c>
      <c r="AG496" s="52">
        <f t="shared" si="235"/>
        <v>0</v>
      </c>
      <c r="AH496" s="52">
        <f t="shared" si="235"/>
        <v>0</v>
      </c>
      <c r="AI496" s="52">
        <f t="shared" si="235"/>
        <v>0</v>
      </c>
      <c r="AJ496" s="52">
        <f t="shared" si="235"/>
        <v>0</v>
      </c>
      <c r="AK496" s="52">
        <f t="shared" si="235"/>
        <v>0</v>
      </c>
      <c r="AL496" s="52">
        <f t="shared" si="235"/>
        <v>0</v>
      </c>
      <c r="AM496" s="52">
        <f t="shared" si="235"/>
        <v>0</v>
      </c>
      <c r="AN496" s="52">
        <f t="shared" si="235"/>
        <v>0</v>
      </c>
      <c r="AO496" s="52">
        <f t="shared" si="232"/>
        <v>0</v>
      </c>
      <c r="AP496" s="52">
        <f t="shared" si="232"/>
        <v>0</v>
      </c>
      <c r="AQ496" s="52">
        <f t="shared" si="232"/>
        <v>0</v>
      </c>
      <c r="AR496" s="52">
        <f t="shared" si="232"/>
        <v>0</v>
      </c>
      <c r="AS496" s="52">
        <f t="shared" si="232"/>
        <v>0</v>
      </c>
      <c r="AT496" s="52">
        <f t="shared" si="232"/>
        <v>0</v>
      </c>
      <c r="AU496" s="52">
        <f t="shared" si="232"/>
        <v>0</v>
      </c>
      <c r="AV496" s="52">
        <f t="shared" si="232"/>
        <v>0.2</v>
      </c>
      <c r="AW496" s="52">
        <f t="shared" si="232"/>
        <v>1</v>
      </c>
      <c r="AX496" s="52">
        <f t="shared" si="232"/>
        <v>1</v>
      </c>
      <c r="AY496" s="52">
        <f t="shared" si="232"/>
        <v>1</v>
      </c>
      <c r="AZ496" s="52">
        <f t="shared" si="232"/>
        <v>1</v>
      </c>
      <c r="BA496" s="52">
        <f t="shared" si="232"/>
        <v>1</v>
      </c>
      <c r="BB496" s="52">
        <f t="shared" si="232"/>
        <v>1</v>
      </c>
      <c r="BC496" s="52">
        <f t="shared" si="232"/>
        <v>1</v>
      </c>
      <c r="BD496" s="52">
        <f t="shared" si="232"/>
        <v>1</v>
      </c>
      <c r="BE496" s="52">
        <f t="shared" si="232"/>
        <v>1</v>
      </c>
      <c r="BF496" s="52">
        <f t="shared" si="232"/>
        <v>1</v>
      </c>
      <c r="BG496" s="52">
        <f t="shared" si="233"/>
        <v>1</v>
      </c>
      <c r="BH496" s="52">
        <f t="shared" si="233"/>
        <v>1</v>
      </c>
      <c r="BI496" s="52">
        <f t="shared" si="233"/>
        <v>1</v>
      </c>
      <c r="BJ496" s="52">
        <f t="shared" si="233"/>
        <v>1</v>
      </c>
      <c r="BK496" s="52">
        <f t="shared" si="233"/>
        <v>1</v>
      </c>
      <c r="BL496" s="52">
        <f t="shared" si="233"/>
        <v>1</v>
      </c>
      <c r="BM496" s="52">
        <f t="shared" si="233"/>
        <v>1</v>
      </c>
      <c r="BN496" s="52">
        <f t="shared" si="233"/>
        <v>1</v>
      </c>
      <c r="BO496" s="32">
        <f t="shared" si="221"/>
        <v>0.30847457627118641</v>
      </c>
    </row>
    <row r="497" spans="1:67" ht="24" x14ac:dyDescent="0.2">
      <c r="A497" s="50" t="s">
        <v>1002</v>
      </c>
      <c r="B497" s="50" t="s">
        <v>1003</v>
      </c>
      <c r="C497" s="50" t="s">
        <v>117</v>
      </c>
      <c r="D497" s="51">
        <f>VLOOKUP(A497,'[1]Cuadro Control'!C539:J2427,8,FALSE)</f>
        <v>46410609.014634147</v>
      </c>
      <c r="E497" s="52">
        <f t="shared" si="230"/>
        <v>8.742083556535862E-3</v>
      </c>
      <c r="F497" s="53">
        <v>46497</v>
      </c>
      <c r="G497" s="53">
        <v>46498</v>
      </c>
      <c r="H497" s="52">
        <f t="shared" si="234"/>
        <v>0</v>
      </c>
      <c r="I497" s="52">
        <f t="shared" si="234"/>
        <v>0</v>
      </c>
      <c r="J497" s="52">
        <f t="shared" si="234"/>
        <v>0</v>
      </c>
      <c r="K497" s="52">
        <f t="shared" si="234"/>
        <v>0</v>
      </c>
      <c r="L497" s="52">
        <f t="shared" si="234"/>
        <v>0</v>
      </c>
      <c r="M497" s="52">
        <f t="shared" si="234"/>
        <v>0</v>
      </c>
      <c r="N497" s="52">
        <f t="shared" si="234"/>
        <v>0</v>
      </c>
      <c r="O497" s="52">
        <f t="shared" si="234"/>
        <v>0</v>
      </c>
      <c r="P497" s="52">
        <f t="shared" si="234"/>
        <v>0</v>
      </c>
      <c r="Q497" s="52">
        <f t="shared" si="234"/>
        <v>0</v>
      </c>
      <c r="R497" s="52">
        <f t="shared" si="234"/>
        <v>0</v>
      </c>
      <c r="S497" s="52">
        <f t="shared" si="234"/>
        <v>0</v>
      </c>
      <c r="T497" s="52">
        <f t="shared" si="234"/>
        <v>0</v>
      </c>
      <c r="U497" s="52">
        <f t="shared" si="234"/>
        <v>0</v>
      </c>
      <c r="V497" s="52">
        <f t="shared" si="234"/>
        <v>0</v>
      </c>
      <c r="W497" s="52">
        <f t="shared" si="234"/>
        <v>0</v>
      </c>
      <c r="X497" s="52">
        <f t="shared" si="235"/>
        <v>0</v>
      </c>
      <c r="Y497" s="52">
        <f t="shared" si="235"/>
        <v>0</v>
      </c>
      <c r="Z497" s="52">
        <f t="shared" si="235"/>
        <v>0</v>
      </c>
      <c r="AA497" s="52">
        <f t="shared" si="235"/>
        <v>0</v>
      </c>
      <c r="AB497" s="52">
        <f t="shared" si="235"/>
        <v>0</v>
      </c>
      <c r="AC497" s="52">
        <f t="shared" si="235"/>
        <v>0</v>
      </c>
      <c r="AD497" s="52">
        <f t="shared" si="235"/>
        <v>0</v>
      </c>
      <c r="AE497" s="52">
        <f t="shared" si="235"/>
        <v>0</v>
      </c>
      <c r="AF497" s="52">
        <f t="shared" si="235"/>
        <v>0</v>
      </c>
      <c r="AG497" s="52">
        <f t="shared" si="235"/>
        <v>0</v>
      </c>
      <c r="AH497" s="52">
        <f t="shared" si="235"/>
        <v>0</v>
      </c>
      <c r="AI497" s="52">
        <f t="shared" si="235"/>
        <v>0</v>
      </c>
      <c r="AJ497" s="52">
        <f t="shared" si="235"/>
        <v>0</v>
      </c>
      <c r="AK497" s="52">
        <f t="shared" si="235"/>
        <v>0</v>
      </c>
      <c r="AL497" s="52">
        <f t="shared" si="235"/>
        <v>0</v>
      </c>
      <c r="AM497" s="52">
        <f t="shared" si="235"/>
        <v>0</v>
      </c>
      <c r="AN497" s="52">
        <f t="shared" si="235"/>
        <v>0</v>
      </c>
      <c r="AO497" s="52">
        <f t="shared" si="232"/>
        <v>0</v>
      </c>
      <c r="AP497" s="52">
        <f t="shared" si="232"/>
        <v>0</v>
      </c>
      <c r="AQ497" s="52">
        <f t="shared" si="232"/>
        <v>0</v>
      </c>
      <c r="AR497" s="52">
        <f t="shared" si="232"/>
        <v>0</v>
      </c>
      <c r="AS497" s="52">
        <f t="shared" si="232"/>
        <v>0</v>
      </c>
      <c r="AT497" s="52">
        <f t="shared" si="232"/>
        <v>0</v>
      </c>
      <c r="AU497" s="52">
        <f t="shared" si="232"/>
        <v>0</v>
      </c>
      <c r="AV497" s="52">
        <f t="shared" si="232"/>
        <v>0</v>
      </c>
      <c r="AW497" s="52">
        <f t="shared" si="232"/>
        <v>1</v>
      </c>
      <c r="AX497" s="52">
        <f t="shared" si="232"/>
        <v>1</v>
      </c>
      <c r="AY497" s="52">
        <f t="shared" si="232"/>
        <v>1</v>
      </c>
      <c r="AZ497" s="52">
        <f t="shared" si="232"/>
        <v>1</v>
      </c>
      <c r="BA497" s="52">
        <f t="shared" si="232"/>
        <v>1</v>
      </c>
      <c r="BB497" s="52">
        <f t="shared" si="232"/>
        <v>1</v>
      </c>
      <c r="BC497" s="52">
        <f t="shared" si="232"/>
        <v>1</v>
      </c>
      <c r="BD497" s="52">
        <f t="shared" si="232"/>
        <v>1</v>
      </c>
      <c r="BE497" s="52">
        <f t="shared" si="232"/>
        <v>1</v>
      </c>
      <c r="BF497" s="52">
        <f t="shared" si="232"/>
        <v>1</v>
      </c>
      <c r="BG497" s="52">
        <f t="shared" si="233"/>
        <v>1</v>
      </c>
      <c r="BH497" s="52">
        <f t="shared" si="233"/>
        <v>1</v>
      </c>
      <c r="BI497" s="52">
        <f t="shared" si="233"/>
        <v>1</v>
      </c>
      <c r="BJ497" s="52">
        <f t="shared" si="233"/>
        <v>1</v>
      </c>
      <c r="BK497" s="52">
        <f t="shared" si="233"/>
        <v>1</v>
      </c>
      <c r="BL497" s="52">
        <f t="shared" si="233"/>
        <v>1</v>
      </c>
      <c r="BM497" s="52">
        <f t="shared" si="233"/>
        <v>1</v>
      </c>
      <c r="BN497" s="52">
        <f t="shared" si="233"/>
        <v>1</v>
      </c>
      <c r="BO497" s="32">
        <f t="shared" si="221"/>
        <v>0.30508474576271188</v>
      </c>
    </row>
    <row r="498" spans="1:67" ht="24" x14ac:dyDescent="0.2">
      <c r="A498" s="50" t="s">
        <v>1004</v>
      </c>
      <c r="B498" s="50" t="s">
        <v>1005</v>
      </c>
      <c r="C498" s="50" t="s">
        <v>61</v>
      </c>
      <c r="D498" s="51">
        <f>VLOOKUP(A498,'[1]Cuadro Control'!C540:J2428,8,FALSE)</f>
        <v>1587346329.5488234</v>
      </c>
      <c r="E498" s="52">
        <f t="shared" si="230"/>
        <v>0.29899875353285565</v>
      </c>
      <c r="F498" s="53">
        <v>46497</v>
      </c>
      <c r="G498" s="53">
        <v>46507</v>
      </c>
      <c r="H498" s="52">
        <f t="shared" si="234"/>
        <v>0</v>
      </c>
      <c r="I498" s="52">
        <f t="shared" si="234"/>
        <v>0</v>
      </c>
      <c r="J498" s="52">
        <f t="shared" si="234"/>
        <v>0</v>
      </c>
      <c r="K498" s="52">
        <f t="shared" si="234"/>
        <v>0</v>
      </c>
      <c r="L498" s="52">
        <f t="shared" si="234"/>
        <v>0</v>
      </c>
      <c r="M498" s="52">
        <f t="shared" si="234"/>
        <v>0</v>
      </c>
      <c r="N498" s="52">
        <f t="shared" si="234"/>
        <v>0</v>
      </c>
      <c r="O498" s="52">
        <f t="shared" si="234"/>
        <v>0</v>
      </c>
      <c r="P498" s="52">
        <f t="shared" si="234"/>
        <v>0</v>
      </c>
      <c r="Q498" s="52">
        <f t="shared" si="234"/>
        <v>0</v>
      </c>
      <c r="R498" s="52">
        <f t="shared" si="234"/>
        <v>0</v>
      </c>
      <c r="S498" s="52">
        <f t="shared" si="234"/>
        <v>0</v>
      </c>
      <c r="T498" s="52">
        <f t="shared" si="234"/>
        <v>0</v>
      </c>
      <c r="U498" s="52">
        <f t="shared" si="234"/>
        <v>0</v>
      </c>
      <c r="V498" s="52">
        <f t="shared" si="234"/>
        <v>0</v>
      </c>
      <c r="W498" s="52">
        <f t="shared" si="234"/>
        <v>0</v>
      </c>
      <c r="X498" s="52">
        <f t="shared" si="235"/>
        <v>0</v>
      </c>
      <c r="Y498" s="52">
        <f t="shared" si="235"/>
        <v>0</v>
      </c>
      <c r="Z498" s="52">
        <f t="shared" si="235"/>
        <v>0</v>
      </c>
      <c r="AA498" s="52">
        <f t="shared" si="235"/>
        <v>0</v>
      </c>
      <c r="AB498" s="52">
        <f t="shared" si="235"/>
        <v>0</v>
      </c>
      <c r="AC498" s="52">
        <f t="shared" si="235"/>
        <v>0</v>
      </c>
      <c r="AD498" s="52">
        <f t="shared" si="235"/>
        <v>0</v>
      </c>
      <c r="AE498" s="52">
        <f t="shared" si="235"/>
        <v>0</v>
      </c>
      <c r="AF498" s="52">
        <f t="shared" si="235"/>
        <v>0</v>
      </c>
      <c r="AG498" s="52">
        <f t="shared" si="235"/>
        <v>0</v>
      </c>
      <c r="AH498" s="52">
        <f t="shared" si="235"/>
        <v>0</v>
      </c>
      <c r="AI498" s="52">
        <f t="shared" si="235"/>
        <v>0</v>
      </c>
      <c r="AJ498" s="52">
        <f t="shared" si="235"/>
        <v>0</v>
      </c>
      <c r="AK498" s="52">
        <f t="shared" si="235"/>
        <v>0</v>
      </c>
      <c r="AL498" s="52">
        <f t="shared" si="235"/>
        <v>0</v>
      </c>
      <c r="AM498" s="52">
        <f t="shared" si="235"/>
        <v>0</v>
      </c>
      <c r="AN498" s="52">
        <f t="shared" si="235"/>
        <v>0</v>
      </c>
      <c r="AO498" s="52">
        <f t="shared" si="232"/>
        <v>0</v>
      </c>
      <c r="AP498" s="52">
        <f t="shared" si="232"/>
        <v>0</v>
      </c>
      <c r="AQ498" s="52">
        <f t="shared" si="232"/>
        <v>0</v>
      </c>
      <c r="AR498" s="52">
        <f t="shared" si="232"/>
        <v>0</v>
      </c>
      <c r="AS498" s="52">
        <f t="shared" si="232"/>
        <v>0</v>
      </c>
      <c r="AT498" s="52">
        <f t="shared" si="232"/>
        <v>0</v>
      </c>
      <c r="AU498" s="52">
        <f t="shared" si="232"/>
        <v>0</v>
      </c>
      <c r="AV498" s="52">
        <f t="shared" si="232"/>
        <v>0</v>
      </c>
      <c r="AW498" s="52">
        <f t="shared" si="232"/>
        <v>0.36363636363636365</v>
      </c>
      <c r="AX498" s="52">
        <f t="shared" si="232"/>
        <v>1</v>
      </c>
      <c r="AY498" s="52">
        <f t="shared" si="232"/>
        <v>1</v>
      </c>
      <c r="AZ498" s="52">
        <f t="shared" si="232"/>
        <v>1</v>
      </c>
      <c r="BA498" s="52">
        <f t="shared" si="232"/>
        <v>1</v>
      </c>
      <c r="BB498" s="52">
        <f t="shared" si="232"/>
        <v>1</v>
      </c>
      <c r="BC498" s="52">
        <f t="shared" si="232"/>
        <v>1</v>
      </c>
      <c r="BD498" s="52">
        <f t="shared" si="232"/>
        <v>1</v>
      </c>
      <c r="BE498" s="52">
        <f t="shared" si="232"/>
        <v>1</v>
      </c>
      <c r="BF498" s="52">
        <f t="shared" si="232"/>
        <v>1</v>
      </c>
      <c r="BG498" s="52">
        <f t="shared" si="233"/>
        <v>1</v>
      </c>
      <c r="BH498" s="52">
        <f t="shared" si="233"/>
        <v>1</v>
      </c>
      <c r="BI498" s="52">
        <f t="shared" si="233"/>
        <v>1</v>
      </c>
      <c r="BJ498" s="52">
        <f t="shared" si="233"/>
        <v>1</v>
      </c>
      <c r="BK498" s="52">
        <f t="shared" si="233"/>
        <v>1</v>
      </c>
      <c r="BL498" s="52">
        <f t="shared" si="233"/>
        <v>1</v>
      </c>
      <c r="BM498" s="52">
        <f t="shared" si="233"/>
        <v>1</v>
      </c>
      <c r="BN498" s="52">
        <f t="shared" si="233"/>
        <v>1</v>
      </c>
      <c r="BO498" s="32">
        <f t="shared" si="221"/>
        <v>0.29429892141756547</v>
      </c>
    </row>
    <row r="499" spans="1:67" ht="30" x14ac:dyDescent="0.2">
      <c r="A499" s="46" t="s">
        <v>1006</v>
      </c>
      <c r="B499" s="46" t="s">
        <v>1007</v>
      </c>
      <c r="C499" s="46" t="s">
        <v>61</v>
      </c>
      <c r="D499" s="47">
        <f>VLOOKUP(A499,'[1]Cuadro Control'!C541:J2429,8,FALSE)</f>
        <v>179532477.23999998</v>
      </c>
      <c r="E499" s="48">
        <f t="shared" si="230"/>
        <v>3.3817438522495219E-2</v>
      </c>
      <c r="F499" s="49">
        <v>46499</v>
      </c>
      <c r="G499" s="49">
        <v>46511</v>
      </c>
      <c r="H499" s="48">
        <f t="shared" si="234"/>
        <v>0</v>
      </c>
      <c r="I499" s="48">
        <f t="shared" si="234"/>
        <v>0</v>
      </c>
      <c r="J499" s="48">
        <f t="shared" si="234"/>
        <v>0</v>
      </c>
      <c r="K499" s="48">
        <f t="shared" si="234"/>
        <v>0</v>
      </c>
      <c r="L499" s="48">
        <f t="shared" si="234"/>
        <v>0</v>
      </c>
      <c r="M499" s="48">
        <f t="shared" si="234"/>
        <v>0</v>
      </c>
      <c r="N499" s="48">
        <f t="shared" si="234"/>
        <v>0</v>
      </c>
      <c r="O499" s="48">
        <f t="shared" si="234"/>
        <v>0</v>
      </c>
      <c r="P499" s="48">
        <f t="shared" si="234"/>
        <v>0</v>
      </c>
      <c r="Q499" s="48">
        <f t="shared" si="234"/>
        <v>0</v>
      </c>
      <c r="R499" s="48">
        <f t="shared" si="234"/>
        <v>0</v>
      </c>
      <c r="S499" s="48">
        <f t="shared" si="234"/>
        <v>0</v>
      </c>
      <c r="T499" s="48">
        <f t="shared" si="234"/>
        <v>0</v>
      </c>
      <c r="U499" s="48">
        <f t="shared" si="234"/>
        <v>0</v>
      </c>
      <c r="V499" s="48">
        <f t="shared" si="234"/>
        <v>0</v>
      </c>
      <c r="W499" s="48">
        <f t="shared" si="234"/>
        <v>0</v>
      </c>
      <c r="X499" s="48">
        <f t="shared" si="235"/>
        <v>0</v>
      </c>
      <c r="Y499" s="48">
        <f t="shared" si="235"/>
        <v>0</v>
      </c>
      <c r="Z499" s="48">
        <f t="shared" si="235"/>
        <v>0</v>
      </c>
      <c r="AA499" s="48">
        <f t="shared" si="235"/>
        <v>0</v>
      </c>
      <c r="AB499" s="48">
        <f t="shared" si="235"/>
        <v>0</v>
      </c>
      <c r="AC499" s="48">
        <f t="shared" si="235"/>
        <v>0</v>
      </c>
      <c r="AD499" s="48">
        <f t="shared" si="235"/>
        <v>0</v>
      </c>
      <c r="AE499" s="48">
        <f t="shared" si="235"/>
        <v>0</v>
      </c>
      <c r="AF499" s="48">
        <f t="shared" si="235"/>
        <v>0</v>
      </c>
      <c r="AG499" s="48">
        <f t="shared" si="235"/>
        <v>0</v>
      </c>
      <c r="AH499" s="48">
        <f t="shared" si="235"/>
        <v>0</v>
      </c>
      <c r="AI499" s="48">
        <f t="shared" si="235"/>
        <v>0</v>
      </c>
      <c r="AJ499" s="48">
        <f t="shared" si="235"/>
        <v>0</v>
      </c>
      <c r="AK499" s="48">
        <f t="shared" si="235"/>
        <v>0</v>
      </c>
      <c r="AL499" s="48">
        <f t="shared" si="235"/>
        <v>0</v>
      </c>
      <c r="AM499" s="48">
        <f t="shared" si="235"/>
        <v>0</v>
      </c>
      <c r="AN499" s="48">
        <f t="shared" si="235"/>
        <v>0</v>
      </c>
      <c r="AO499" s="48">
        <f t="shared" si="232"/>
        <v>0</v>
      </c>
      <c r="AP499" s="48">
        <f t="shared" si="232"/>
        <v>0</v>
      </c>
      <c r="AQ499" s="48">
        <f t="shared" si="232"/>
        <v>0</v>
      </c>
      <c r="AR499" s="48">
        <f t="shared" si="232"/>
        <v>0</v>
      </c>
      <c r="AS499" s="48">
        <f t="shared" si="232"/>
        <v>0</v>
      </c>
      <c r="AT499" s="48">
        <f t="shared" si="232"/>
        <v>0</v>
      </c>
      <c r="AU499" s="48">
        <f t="shared" si="232"/>
        <v>0</v>
      </c>
      <c r="AV499" s="48">
        <f t="shared" si="232"/>
        <v>0</v>
      </c>
      <c r="AW499" s="48">
        <f t="shared" si="232"/>
        <v>0.15384615384615385</v>
      </c>
      <c r="AX499" s="48">
        <f t="shared" si="232"/>
        <v>0.69230769230769229</v>
      </c>
      <c r="AY499" s="48">
        <f t="shared" si="232"/>
        <v>1</v>
      </c>
      <c r="AZ499" s="48">
        <f t="shared" si="232"/>
        <v>1</v>
      </c>
      <c r="BA499" s="48">
        <f t="shared" si="232"/>
        <v>1</v>
      </c>
      <c r="BB499" s="48">
        <f t="shared" si="232"/>
        <v>1</v>
      </c>
      <c r="BC499" s="48">
        <f t="shared" si="232"/>
        <v>1</v>
      </c>
      <c r="BD499" s="48">
        <f t="shared" si="232"/>
        <v>1</v>
      </c>
      <c r="BE499" s="48">
        <f t="shared" si="232"/>
        <v>1</v>
      </c>
      <c r="BF499" s="48">
        <f t="shared" si="232"/>
        <v>1</v>
      </c>
      <c r="BG499" s="48">
        <f t="shared" si="233"/>
        <v>1</v>
      </c>
      <c r="BH499" s="48">
        <f t="shared" si="233"/>
        <v>1</v>
      </c>
      <c r="BI499" s="48">
        <f t="shared" si="233"/>
        <v>1</v>
      </c>
      <c r="BJ499" s="48">
        <f t="shared" si="233"/>
        <v>1</v>
      </c>
      <c r="BK499" s="48">
        <f t="shared" si="233"/>
        <v>1</v>
      </c>
      <c r="BL499" s="48">
        <f t="shared" si="233"/>
        <v>1</v>
      </c>
      <c r="BM499" s="48">
        <f t="shared" si="233"/>
        <v>1</v>
      </c>
      <c r="BN499" s="48">
        <f t="shared" si="233"/>
        <v>1</v>
      </c>
      <c r="BO499" s="32">
        <f t="shared" si="221"/>
        <v>0.28552803129074317</v>
      </c>
    </row>
    <row r="500" spans="1:67" ht="24" x14ac:dyDescent="0.2">
      <c r="A500" s="55" t="s">
        <v>1008</v>
      </c>
      <c r="B500" s="55" t="s">
        <v>1009</v>
      </c>
      <c r="C500" s="55" t="s">
        <v>14</v>
      </c>
      <c r="D500" s="56">
        <f>VLOOKUP(A500,'[1]Cuadro Control'!C542:J2430,8,FALSE)</f>
        <v>0</v>
      </c>
      <c r="E500" s="57">
        <f>IFERROR(D500/$D$484,0)</f>
        <v>0</v>
      </c>
      <c r="F500" s="58">
        <v>46511</v>
      </c>
      <c r="G500" s="58">
        <v>46511</v>
      </c>
      <c r="H500" s="57">
        <f t="shared" si="234"/>
        <v>0</v>
      </c>
      <c r="I500" s="57">
        <f t="shared" si="234"/>
        <v>0</v>
      </c>
      <c r="J500" s="57">
        <f t="shared" si="234"/>
        <v>0</v>
      </c>
      <c r="K500" s="57">
        <f t="shared" si="234"/>
        <v>0</v>
      </c>
      <c r="L500" s="57">
        <f t="shared" si="234"/>
        <v>0</v>
      </c>
      <c r="M500" s="57">
        <f t="shared" si="234"/>
        <v>0</v>
      </c>
      <c r="N500" s="57">
        <f t="shared" si="234"/>
        <v>0</v>
      </c>
      <c r="O500" s="57">
        <f t="shared" si="234"/>
        <v>0</v>
      </c>
      <c r="P500" s="57">
        <f t="shared" si="234"/>
        <v>0</v>
      </c>
      <c r="Q500" s="57">
        <f t="shared" si="234"/>
        <v>0</v>
      </c>
      <c r="R500" s="57">
        <f t="shared" si="234"/>
        <v>0</v>
      </c>
      <c r="S500" s="57">
        <f t="shared" si="234"/>
        <v>0</v>
      </c>
      <c r="T500" s="57">
        <f t="shared" si="234"/>
        <v>0</v>
      </c>
      <c r="U500" s="57">
        <f t="shared" si="234"/>
        <v>0</v>
      </c>
      <c r="V500" s="57">
        <f t="shared" si="234"/>
        <v>0</v>
      </c>
      <c r="W500" s="57">
        <f t="shared" si="234"/>
        <v>0</v>
      </c>
      <c r="X500" s="57">
        <f t="shared" si="235"/>
        <v>0</v>
      </c>
      <c r="Y500" s="57">
        <f t="shared" si="235"/>
        <v>0</v>
      </c>
      <c r="Z500" s="57">
        <f t="shared" si="235"/>
        <v>0</v>
      </c>
      <c r="AA500" s="57">
        <f t="shared" si="235"/>
        <v>0</v>
      </c>
      <c r="AB500" s="57">
        <f t="shared" si="235"/>
        <v>0</v>
      </c>
      <c r="AC500" s="57">
        <f t="shared" si="235"/>
        <v>0</v>
      </c>
      <c r="AD500" s="57">
        <f t="shared" si="235"/>
        <v>0</v>
      </c>
      <c r="AE500" s="57">
        <f t="shared" si="235"/>
        <v>0</v>
      </c>
      <c r="AF500" s="57">
        <f t="shared" si="235"/>
        <v>0</v>
      </c>
      <c r="AG500" s="57">
        <f t="shared" si="235"/>
        <v>0</v>
      </c>
      <c r="AH500" s="57">
        <f t="shared" si="235"/>
        <v>0</v>
      </c>
      <c r="AI500" s="57">
        <f t="shared" si="235"/>
        <v>0</v>
      </c>
      <c r="AJ500" s="57">
        <f t="shared" si="235"/>
        <v>0</v>
      </c>
      <c r="AK500" s="57">
        <f t="shared" si="235"/>
        <v>0</v>
      </c>
      <c r="AL500" s="57">
        <f t="shared" si="235"/>
        <v>0</v>
      </c>
      <c r="AM500" s="57">
        <f t="shared" si="235"/>
        <v>0</v>
      </c>
      <c r="AN500" s="57">
        <f t="shared" si="235"/>
        <v>0</v>
      </c>
      <c r="AO500" s="57">
        <f t="shared" si="235"/>
        <v>0</v>
      </c>
      <c r="AP500" s="57">
        <f t="shared" si="235"/>
        <v>0</v>
      </c>
      <c r="AQ500" s="57">
        <f t="shared" si="235"/>
        <v>0</v>
      </c>
      <c r="AR500" s="57">
        <f t="shared" si="235"/>
        <v>0</v>
      </c>
      <c r="AS500" s="57">
        <f t="shared" si="235"/>
        <v>0</v>
      </c>
      <c r="AT500" s="57">
        <f t="shared" si="235"/>
        <v>0</v>
      </c>
      <c r="AU500" s="57">
        <f t="shared" si="235"/>
        <v>0</v>
      </c>
      <c r="AV500" s="57">
        <f t="shared" si="235"/>
        <v>0</v>
      </c>
      <c r="AW500" s="57">
        <f t="shared" si="235"/>
        <v>0</v>
      </c>
      <c r="AX500" s="57">
        <f t="shared" si="235"/>
        <v>0</v>
      </c>
      <c r="AY500" s="57">
        <f t="shared" si="235"/>
        <v>1</v>
      </c>
      <c r="AZ500" s="57">
        <f t="shared" si="235"/>
        <v>1</v>
      </c>
      <c r="BA500" s="57">
        <f t="shared" si="235"/>
        <v>1</v>
      </c>
      <c r="BB500" s="57">
        <f t="shared" si="235"/>
        <v>1</v>
      </c>
      <c r="BC500" s="57">
        <f t="shared" si="235"/>
        <v>1</v>
      </c>
      <c r="BD500" s="57">
        <f t="shared" si="232"/>
        <v>1</v>
      </c>
      <c r="BE500" s="57">
        <f t="shared" si="232"/>
        <v>1</v>
      </c>
      <c r="BF500" s="57">
        <f t="shared" si="232"/>
        <v>1</v>
      </c>
      <c r="BG500" s="57">
        <f t="shared" si="233"/>
        <v>1</v>
      </c>
      <c r="BH500" s="57">
        <f t="shared" si="233"/>
        <v>1</v>
      </c>
      <c r="BI500" s="57">
        <f t="shared" si="233"/>
        <v>1</v>
      </c>
      <c r="BJ500" s="57">
        <f t="shared" si="233"/>
        <v>1</v>
      </c>
      <c r="BK500" s="57">
        <f t="shared" si="233"/>
        <v>1</v>
      </c>
      <c r="BL500" s="57">
        <f t="shared" si="233"/>
        <v>1</v>
      </c>
      <c r="BM500" s="57">
        <f t="shared" si="233"/>
        <v>1</v>
      </c>
      <c r="BN500" s="57">
        <f t="shared" si="233"/>
        <v>1</v>
      </c>
      <c r="BO500" s="32">
        <f t="shared" si="221"/>
        <v>0.2711864406779661</v>
      </c>
    </row>
    <row r="501" spans="1:67" x14ac:dyDescent="0.2">
      <c r="A501" s="59" t="s">
        <v>1010</v>
      </c>
      <c r="B501" s="59" t="s">
        <v>1011</v>
      </c>
      <c r="C501" s="59" t="s">
        <v>467</v>
      </c>
      <c r="D501" s="60">
        <f>SUM(D502:D517)</f>
        <v>5308872732.0543728</v>
      </c>
      <c r="E501" s="61">
        <f>IFERROR(D501/$D$109,0)</f>
        <v>2.9408554574576196E-2</v>
      </c>
      <c r="F501" s="62">
        <v>46441</v>
      </c>
      <c r="G501" s="62">
        <v>46520</v>
      </c>
      <c r="H501" s="61">
        <f>SUMPRODUCT($E502:$E516,H502:H516)</f>
        <v>0</v>
      </c>
      <c r="I501" s="61">
        <f t="shared" ref="I501:BN501" si="236">SUMPRODUCT($E502:$E516,I502:I516)</f>
        <v>0</v>
      </c>
      <c r="J501" s="61">
        <f t="shared" si="236"/>
        <v>0</v>
      </c>
      <c r="K501" s="61">
        <f t="shared" si="236"/>
        <v>0</v>
      </c>
      <c r="L501" s="61">
        <f t="shared" si="236"/>
        <v>0</v>
      </c>
      <c r="M501" s="61">
        <f t="shared" si="236"/>
        <v>0</v>
      </c>
      <c r="N501" s="61">
        <f t="shared" si="236"/>
        <v>0</v>
      </c>
      <c r="O501" s="61">
        <f t="shared" si="236"/>
        <v>0</v>
      </c>
      <c r="P501" s="61">
        <f t="shared" si="236"/>
        <v>0</v>
      </c>
      <c r="Q501" s="61">
        <f t="shared" si="236"/>
        <v>0</v>
      </c>
      <c r="R501" s="61">
        <f t="shared" si="236"/>
        <v>0</v>
      </c>
      <c r="S501" s="61">
        <f t="shared" si="236"/>
        <v>0</v>
      </c>
      <c r="T501" s="61">
        <f t="shared" si="236"/>
        <v>0</v>
      </c>
      <c r="U501" s="61">
        <f t="shared" si="236"/>
        <v>0</v>
      </c>
      <c r="V501" s="61">
        <f t="shared" si="236"/>
        <v>0</v>
      </c>
      <c r="W501" s="61">
        <f t="shared" si="236"/>
        <v>0</v>
      </c>
      <c r="X501" s="61">
        <f t="shared" si="236"/>
        <v>0</v>
      </c>
      <c r="Y501" s="61">
        <f t="shared" si="236"/>
        <v>0</v>
      </c>
      <c r="Z501" s="61">
        <f t="shared" si="236"/>
        <v>0</v>
      </c>
      <c r="AA501" s="61">
        <f t="shared" si="236"/>
        <v>0</v>
      </c>
      <c r="AB501" s="61">
        <f t="shared" si="236"/>
        <v>0</v>
      </c>
      <c r="AC501" s="61">
        <f t="shared" si="236"/>
        <v>0</v>
      </c>
      <c r="AD501" s="61">
        <f t="shared" si="236"/>
        <v>0</v>
      </c>
      <c r="AE501" s="61">
        <f t="shared" si="236"/>
        <v>0</v>
      </c>
      <c r="AF501" s="61">
        <f t="shared" si="236"/>
        <v>0</v>
      </c>
      <c r="AG501" s="61">
        <f t="shared" si="236"/>
        <v>0</v>
      </c>
      <c r="AH501" s="61">
        <f t="shared" si="236"/>
        <v>0</v>
      </c>
      <c r="AI501" s="61">
        <f t="shared" si="236"/>
        <v>0</v>
      </c>
      <c r="AJ501" s="61">
        <f t="shared" si="236"/>
        <v>0</v>
      </c>
      <c r="AK501" s="61">
        <f t="shared" si="236"/>
        <v>0</v>
      </c>
      <c r="AL501" s="61">
        <f t="shared" si="236"/>
        <v>0</v>
      </c>
      <c r="AM501" s="61">
        <f t="shared" si="236"/>
        <v>0</v>
      </c>
      <c r="AN501" s="61">
        <f t="shared" si="236"/>
        <v>0</v>
      </c>
      <c r="AO501" s="61">
        <f t="shared" si="236"/>
        <v>6.9712879288819484E-3</v>
      </c>
      <c r="AP501" s="61">
        <f t="shared" si="236"/>
        <v>3.7750428504315078E-2</v>
      </c>
      <c r="AQ501" s="61">
        <f t="shared" si="236"/>
        <v>7.5871503452362876E-2</v>
      </c>
      <c r="AR501" s="61">
        <f t="shared" si="236"/>
        <v>0.15752585463179919</v>
      </c>
      <c r="AS501" s="61">
        <f t="shared" si="236"/>
        <v>0.1790344823484778</v>
      </c>
      <c r="AT501" s="61">
        <f t="shared" si="236"/>
        <v>0.2596319881087919</v>
      </c>
      <c r="AU501" s="61">
        <f t="shared" si="236"/>
        <v>0.35956331954322446</v>
      </c>
      <c r="AV501" s="61">
        <f t="shared" si="236"/>
        <v>0.53258751877282851</v>
      </c>
      <c r="AW501" s="61">
        <f t="shared" si="236"/>
        <v>0.64850810003989967</v>
      </c>
      <c r="AX501" s="61">
        <f t="shared" si="236"/>
        <v>0.75114445386755424</v>
      </c>
      <c r="AY501" s="61">
        <f t="shared" si="236"/>
        <v>0.95832510719516462</v>
      </c>
      <c r="AZ501" s="61">
        <f t="shared" si="236"/>
        <v>1</v>
      </c>
      <c r="BA501" s="61">
        <f t="shared" si="236"/>
        <v>1</v>
      </c>
      <c r="BB501" s="61">
        <f t="shared" si="236"/>
        <v>1</v>
      </c>
      <c r="BC501" s="61">
        <f t="shared" si="236"/>
        <v>1</v>
      </c>
      <c r="BD501" s="61">
        <f t="shared" si="236"/>
        <v>1</v>
      </c>
      <c r="BE501" s="61">
        <f t="shared" si="236"/>
        <v>1</v>
      </c>
      <c r="BF501" s="61">
        <f t="shared" si="236"/>
        <v>1</v>
      </c>
      <c r="BG501" s="61">
        <f t="shared" si="236"/>
        <v>1</v>
      </c>
      <c r="BH501" s="61">
        <f t="shared" si="236"/>
        <v>1</v>
      </c>
      <c r="BI501" s="61">
        <f t="shared" si="236"/>
        <v>1</v>
      </c>
      <c r="BJ501" s="61">
        <f t="shared" si="236"/>
        <v>1</v>
      </c>
      <c r="BK501" s="61">
        <f t="shared" si="236"/>
        <v>1</v>
      </c>
      <c r="BL501" s="61">
        <f t="shared" si="236"/>
        <v>1</v>
      </c>
      <c r="BM501" s="61">
        <f t="shared" si="236"/>
        <v>1</v>
      </c>
      <c r="BN501" s="61">
        <f t="shared" si="236"/>
        <v>1</v>
      </c>
      <c r="BO501" s="32">
        <f t="shared" si="221"/>
        <v>0.32147311939649659</v>
      </c>
    </row>
    <row r="502" spans="1:67" ht="24" x14ac:dyDescent="0.2">
      <c r="A502" s="50" t="s">
        <v>1012</v>
      </c>
      <c r="B502" s="50" t="s">
        <v>1013</v>
      </c>
      <c r="C502" s="50" t="s">
        <v>74</v>
      </c>
      <c r="D502" s="51">
        <f>VLOOKUP(A502,'[1]Cuadro Control'!C544:J2432,8,FALSE)</f>
        <v>83271780.884117648</v>
      </c>
      <c r="E502" s="52">
        <f t="shared" ref="E502:E516" si="237">IFERROR(D502/$D$501,0)</f>
        <v>1.5685397839984384E-2</v>
      </c>
      <c r="F502" s="53">
        <v>46441</v>
      </c>
      <c r="G502" s="53">
        <v>46449</v>
      </c>
      <c r="H502" s="52">
        <f t="shared" ref="H502:BN506" si="238">IF($F502=0,0,IF(H$6&lt;$F502,0,IF(H$6&gt;$G502,1,(H$6-$F502+1)/($G502-$F502+1))))</f>
        <v>0</v>
      </c>
      <c r="I502" s="52">
        <f t="shared" si="238"/>
        <v>0</v>
      </c>
      <c r="J502" s="52">
        <f t="shared" si="238"/>
        <v>0</v>
      </c>
      <c r="K502" s="52">
        <f t="shared" si="238"/>
        <v>0</v>
      </c>
      <c r="L502" s="52">
        <f t="shared" si="238"/>
        <v>0</v>
      </c>
      <c r="M502" s="52">
        <f t="shared" si="238"/>
        <v>0</v>
      </c>
      <c r="N502" s="52">
        <f t="shared" si="238"/>
        <v>0</v>
      </c>
      <c r="O502" s="52">
        <f t="shared" si="238"/>
        <v>0</v>
      </c>
      <c r="P502" s="52">
        <f t="shared" si="238"/>
        <v>0</v>
      </c>
      <c r="Q502" s="52">
        <f t="shared" si="238"/>
        <v>0</v>
      </c>
      <c r="R502" s="52">
        <f t="shared" si="238"/>
        <v>0</v>
      </c>
      <c r="S502" s="52">
        <f t="shared" si="238"/>
        <v>0</v>
      </c>
      <c r="T502" s="52">
        <f t="shared" si="238"/>
        <v>0</v>
      </c>
      <c r="U502" s="52">
        <f t="shared" si="238"/>
        <v>0</v>
      </c>
      <c r="V502" s="52">
        <f t="shared" si="238"/>
        <v>0</v>
      </c>
      <c r="W502" s="52">
        <f t="shared" si="238"/>
        <v>0</v>
      </c>
      <c r="X502" s="52">
        <f t="shared" si="238"/>
        <v>0</v>
      </c>
      <c r="Y502" s="52">
        <f t="shared" si="238"/>
        <v>0</v>
      </c>
      <c r="Z502" s="52">
        <f t="shared" si="238"/>
        <v>0</v>
      </c>
      <c r="AA502" s="52">
        <f t="shared" si="238"/>
        <v>0</v>
      </c>
      <c r="AB502" s="52">
        <f t="shared" si="238"/>
        <v>0</v>
      </c>
      <c r="AC502" s="52">
        <f t="shared" si="238"/>
        <v>0</v>
      </c>
      <c r="AD502" s="52">
        <f t="shared" si="238"/>
        <v>0</v>
      </c>
      <c r="AE502" s="52">
        <f t="shared" si="238"/>
        <v>0</v>
      </c>
      <c r="AF502" s="52">
        <f t="shared" si="238"/>
        <v>0</v>
      </c>
      <c r="AG502" s="52">
        <f t="shared" si="238"/>
        <v>0</v>
      </c>
      <c r="AH502" s="52">
        <f t="shared" si="238"/>
        <v>0</v>
      </c>
      <c r="AI502" s="52">
        <f t="shared" si="238"/>
        <v>0</v>
      </c>
      <c r="AJ502" s="52">
        <f t="shared" si="238"/>
        <v>0</v>
      </c>
      <c r="AK502" s="52">
        <f t="shared" si="238"/>
        <v>0</v>
      </c>
      <c r="AL502" s="52">
        <f t="shared" si="238"/>
        <v>0</v>
      </c>
      <c r="AM502" s="52">
        <f t="shared" si="238"/>
        <v>0</v>
      </c>
      <c r="AN502" s="52">
        <f t="shared" si="238"/>
        <v>0</v>
      </c>
      <c r="AO502" s="52">
        <f t="shared" si="238"/>
        <v>0.44444444444444442</v>
      </c>
      <c r="AP502" s="52">
        <f t="shared" si="238"/>
        <v>1</v>
      </c>
      <c r="AQ502" s="52">
        <f t="shared" si="238"/>
        <v>1</v>
      </c>
      <c r="AR502" s="52">
        <f t="shared" si="238"/>
        <v>1</v>
      </c>
      <c r="AS502" s="52">
        <f t="shared" si="238"/>
        <v>1</v>
      </c>
      <c r="AT502" s="52">
        <f t="shared" si="238"/>
        <v>1</v>
      </c>
      <c r="AU502" s="52">
        <f t="shared" si="238"/>
        <v>1</v>
      </c>
      <c r="AV502" s="52">
        <f t="shared" si="238"/>
        <v>1</v>
      </c>
      <c r="AW502" s="52">
        <f t="shared" si="238"/>
        <v>1</v>
      </c>
      <c r="AX502" s="52">
        <f t="shared" si="238"/>
        <v>1</v>
      </c>
      <c r="AY502" s="52">
        <f t="shared" si="238"/>
        <v>1</v>
      </c>
      <c r="AZ502" s="52">
        <f t="shared" si="238"/>
        <v>1</v>
      </c>
      <c r="BA502" s="52">
        <f t="shared" si="238"/>
        <v>1</v>
      </c>
      <c r="BB502" s="52">
        <f t="shared" si="238"/>
        <v>1</v>
      </c>
      <c r="BC502" s="52">
        <f t="shared" si="238"/>
        <v>1</v>
      </c>
      <c r="BD502" s="52">
        <f t="shared" si="238"/>
        <v>1</v>
      </c>
      <c r="BE502" s="52">
        <f t="shared" si="238"/>
        <v>1</v>
      </c>
      <c r="BF502" s="52">
        <f t="shared" si="238"/>
        <v>1</v>
      </c>
      <c r="BG502" s="52">
        <f t="shared" si="238"/>
        <v>1</v>
      </c>
      <c r="BH502" s="52">
        <f t="shared" si="238"/>
        <v>1</v>
      </c>
      <c r="BI502" s="52">
        <f t="shared" si="238"/>
        <v>1</v>
      </c>
      <c r="BJ502" s="52">
        <f t="shared" si="238"/>
        <v>1</v>
      </c>
      <c r="BK502" s="52">
        <f t="shared" si="238"/>
        <v>1</v>
      </c>
      <c r="BL502" s="52">
        <f t="shared" si="238"/>
        <v>1</v>
      </c>
      <c r="BM502" s="52">
        <f t="shared" si="238"/>
        <v>1</v>
      </c>
      <c r="BN502" s="52">
        <f t="shared" si="238"/>
        <v>1</v>
      </c>
      <c r="BO502" s="32">
        <f t="shared" si="221"/>
        <v>0.43126177024482104</v>
      </c>
    </row>
    <row r="503" spans="1:67" x14ac:dyDescent="0.2">
      <c r="A503" s="50" t="s">
        <v>1014</v>
      </c>
      <c r="B503" s="50" t="s">
        <v>1015</v>
      </c>
      <c r="C503" s="50" t="s">
        <v>61</v>
      </c>
      <c r="D503" s="51">
        <f>VLOOKUP(A503,'[1]Cuadro Control'!C545:J2433,8,FALSE)</f>
        <v>312374505.66882348</v>
      </c>
      <c r="E503" s="52">
        <f t="shared" si="237"/>
        <v>5.8840081771548515E-2</v>
      </c>
      <c r="F503" s="53">
        <v>46449</v>
      </c>
      <c r="G503" s="53">
        <v>46456</v>
      </c>
      <c r="H503" s="52">
        <f t="shared" si="238"/>
        <v>0</v>
      </c>
      <c r="I503" s="52">
        <f t="shared" si="238"/>
        <v>0</v>
      </c>
      <c r="J503" s="52">
        <f t="shared" si="238"/>
        <v>0</v>
      </c>
      <c r="K503" s="52">
        <f t="shared" si="238"/>
        <v>0</v>
      </c>
      <c r="L503" s="52">
        <f t="shared" si="238"/>
        <v>0</v>
      </c>
      <c r="M503" s="52">
        <f t="shared" si="238"/>
        <v>0</v>
      </c>
      <c r="N503" s="52">
        <f t="shared" si="238"/>
        <v>0</v>
      </c>
      <c r="O503" s="52">
        <f t="shared" si="238"/>
        <v>0</v>
      </c>
      <c r="P503" s="52">
        <f t="shared" si="238"/>
        <v>0</v>
      </c>
      <c r="Q503" s="52">
        <f t="shared" si="238"/>
        <v>0</v>
      </c>
      <c r="R503" s="52">
        <f t="shared" si="238"/>
        <v>0</v>
      </c>
      <c r="S503" s="52">
        <f t="shared" si="238"/>
        <v>0</v>
      </c>
      <c r="T503" s="52">
        <f t="shared" si="238"/>
        <v>0</v>
      </c>
      <c r="U503" s="52">
        <f t="shared" si="238"/>
        <v>0</v>
      </c>
      <c r="V503" s="52">
        <f t="shared" si="238"/>
        <v>0</v>
      </c>
      <c r="W503" s="52">
        <f t="shared" si="238"/>
        <v>0</v>
      </c>
      <c r="X503" s="52">
        <f t="shared" si="238"/>
        <v>0</v>
      </c>
      <c r="Y503" s="52">
        <f t="shared" si="238"/>
        <v>0</v>
      </c>
      <c r="Z503" s="52">
        <f t="shared" si="238"/>
        <v>0</v>
      </c>
      <c r="AA503" s="52">
        <f t="shared" si="238"/>
        <v>0</v>
      </c>
      <c r="AB503" s="52">
        <f t="shared" si="238"/>
        <v>0</v>
      </c>
      <c r="AC503" s="52">
        <f t="shared" si="238"/>
        <v>0</v>
      </c>
      <c r="AD503" s="52">
        <f t="shared" si="238"/>
        <v>0</v>
      </c>
      <c r="AE503" s="52">
        <f t="shared" si="238"/>
        <v>0</v>
      </c>
      <c r="AF503" s="52">
        <f t="shared" si="238"/>
        <v>0</v>
      </c>
      <c r="AG503" s="52">
        <f t="shared" si="238"/>
        <v>0</v>
      </c>
      <c r="AH503" s="52">
        <f t="shared" si="238"/>
        <v>0</v>
      </c>
      <c r="AI503" s="52">
        <f t="shared" si="238"/>
        <v>0</v>
      </c>
      <c r="AJ503" s="52">
        <f t="shared" si="238"/>
        <v>0</v>
      </c>
      <c r="AK503" s="52">
        <f t="shared" si="238"/>
        <v>0</v>
      </c>
      <c r="AL503" s="52">
        <f t="shared" si="238"/>
        <v>0</v>
      </c>
      <c r="AM503" s="52">
        <f t="shared" si="238"/>
        <v>0</v>
      </c>
      <c r="AN503" s="52">
        <f t="shared" si="238"/>
        <v>0</v>
      </c>
      <c r="AO503" s="52">
        <f t="shared" si="238"/>
        <v>0</v>
      </c>
      <c r="AP503" s="52">
        <f t="shared" si="238"/>
        <v>0.375</v>
      </c>
      <c r="AQ503" s="52">
        <f t="shared" si="238"/>
        <v>1</v>
      </c>
      <c r="AR503" s="52">
        <f t="shared" si="238"/>
        <v>1</v>
      </c>
      <c r="AS503" s="52">
        <f t="shared" si="238"/>
        <v>1</v>
      </c>
      <c r="AT503" s="52">
        <f t="shared" si="238"/>
        <v>1</v>
      </c>
      <c r="AU503" s="52">
        <f t="shared" si="238"/>
        <v>1</v>
      </c>
      <c r="AV503" s="52">
        <f t="shared" si="238"/>
        <v>1</v>
      </c>
      <c r="AW503" s="52">
        <f t="shared" si="238"/>
        <v>1</v>
      </c>
      <c r="AX503" s="52">
        <f t="shared" si="238"/>
        <v>1</v>
      </c>
      <c r="AY503" s="52">
        <f t="shared" si="238"/>
        <v>1</v>
      </c>
      <c r="AZ503" s="52">
        <f t="shared" si="238"/>
        <v>1</v>
      </c>
      <c r="BA503" s="52">
        <f t="shared" si="238"/>
        <v>1</v>
      </c>
      <c r="BB503" s="52">
        <f t="shared" si="238"/>
        <v>1</v>
      </c>
      <c r="BC503" s="52">
        <f t="shared" si="238"/>
        <v>1</v>
      </c>
      <c r="BD503" s="52">
        <f t="shared" si="238"/>
        <v>1</v>
      </c>
      <c r="BE503" s="52">
        <f t="shared" si="238"/>
        <v>1</v>
      </c>
      <c r="BF503" s="52">
        <f t="shared" si="238"/>
        <v>1</v>
      </c>
      <c r="BG503" s="52">
        <f t="shared" si="238"/>
        <v>1</v>
      </c>
      <c r="BH503" s="52">
        <f t="shared" si="238"/>
        <v>1</v>
      </c>
      <c r="BI503" s="52">
        <f t="shared" si="238"/>
        <v>1</v>
      </c>
      <c r="BJ503" s="52">
        <f t="shared" si="238"/>
        <v>1</v>
      </c>
      <c r="BK503" s="52">
        <f t="shared" si="238"/>
        <v>1</v>
      </c>
      <c r="BL503" s="52">
        <f t="shared" si="238"/>
        <v>1</v>
      </c>
      <c r="BM503" s="52">
        <f t="shared" si="238"/>
        <v>1</v>
      </c>
      <c r="BN503" s="52">
        <f t="shared" si="238"/>
        <v>1</v>
      </c>
      <c r="BO503" s="32">
        <f t="shared" si="221"/>
        <v>0.41313559322033899</v>
      </c>
    </row>
    <row r="504" spans="1:67" ht="15" x14ac:dyDescent="0.2">
      <c r="A504" s="46" t="s">
        <v>1016</v>
      </c>
      <c r="B504" s="46" t="s">
        <v>1017</v>
      </c>
      <c r="C504" s="46" t="s">
        <v>126</v>
      </c>
      <c r="D504" s="47">
        <f>VLOOKUP(A504,'[1]Cuadro Control'!C546:J2434,8,FALSE)</f>
        <v>9527825.6870364472</v>
      </c>
      <c r="E504" s="48">
        <f t="shared" si="237"/>
        <v>1.794698454439963E-3</v>
      </c>
      <c r="F504" s="49">
        <v>46456</v>
      </c>
      <c r="G504" s="49">
        <v>46459</v>
      </c>
      <c r="H504" s="48">
        <f t="shared" si="238"/>
        <v>0</v>
      </c>
      <c r="I504" s="48">
        <f t="shared" si="238"/>
        <v>0</v>
      </c>
      <c r="J504" s="48">
        <f t="shared" si="238"/>
        <v>0</v>
      </c>
      <c r="K504" s="48">
        <f t="shared" si="238"/>
        <v>0</v>
      </c>
      <c r="L504" s="48">
        <f t="shared" si="238"/>
        <v>0</v>
      </c>
      <c r="M504" s="48">
        <f t="shared" si="238"/>
        <v>0</v>
      </c>
      <c r="N504" s="48">
        <f t="shared" si="238"/>
        <v>0</v>
      </c>
      <c r="O504" s="48">
        <f t="shared" si="238"/>
        <v>0</v>
      </c>
      <c r="P504" s="48">
        <f t="shared" si="238"/>
        <v>0</v>
      </c>
      <c r="Q504" s="48">
        <f t="shared" si="238"/>
        <v>0</v>
      </c>
      <c r="R504" s="48">
        <f t="shared" si="238"/>
        <v>0</v>
      </c>
      <c r="S504" s="48">
        <f t="shared" si="238"/>
        <v>0</v>
      </c>
      <c r="T504" s="48">
        <f t="shared" si="238"/>
        <v>0</v>
      </c>
      <c r="U504" s="48">
        <f t="shared" si="238"/>
        <v>0</v>
      </c>
      <c r="V504" s="48">
        <f t="shared" si="238"/>
        <v>0</v>
      </c>
      <c r="W504" s="48">
        <f t="shared" si="238"/>
        <v>0</v>
      </c>
      <c r="X504" s="48">
        <f t="shared" si="238"/>
        <v>0</v>
      </c>
      <c r="Y504" s="48">
        <f t="shared" si="238"/>
        <v>0</v>
      </c>
      <c r="Z504" s="48">
        <f t="shared" si="238"/>
        <v>0</v>
      </c>
      <c r="AA504" s="48">
        <f t="shared" si="238"/>
        <v>0</v>
      </c>
      <c r="AB504" s="48">
        <f t="shared" si="238"/>
        <v>0</v>
      </c>
      <c r="AC504" s="48">
        <f t="shared" si="238"/>
        <v>0</v>
      </c>
      <c r="AD504" s="48">
        <f t="shared" si="238"/>
        <v>0</v>
      </c>
      <c r="AE504" s="48">
        <f t="shared" si="238"/>
        <v>0</v>
      </c>
      <c r="AF504" s="48">
        <f t="shared" si="238"/>
        <v>0</v>
      </c>
      <c r="AG504" s="48">
        <f t="shared" si="238"/>
        <v>0</v>
      </c>
      <c r="AH504" s="48">
        <f t="shared" si="238"/>
        <v>0</v>
      </c>
      <c r="AI504" s="48">
        <f t="shared" si="238"/>
        <v>0</v>
      </c>
      <c r="AJ504" s="48">
        <f t="shared" si="238"/>
        <v>0</v>
      </c>
      <c r="AK504" s="48">
        <f t="shared" si="238"/>
        <v>0</v>
      </c>
      <c r="AL504" s="48">
        <f t="shared" si="238"/>
        <v>0</v>
      </c>
      <c r="AM504" s="48">
        <f t="shared" si="238"/>
        <v>0</v>
      </c>
      <c r="AN504" s="48">
        <f t="shared" si="238"/>
        <v>0</v>
      </c>
      <c r="AO504" s="48">
        <f t="shared" si="238"/>
        <v>0</v>
      </c>
      <c r="AP504" s="48">
        <f t="shared" si="238"/>
        <v>0</v>
      </c>
      <c r="AQ504" s="48">
        <f t="shared" si="238"/>
        <v>0.75</v>
      </c>
      <c r="AR504" s="48">
        <f t="shared" si="238"/>
        <v>1</v>
      </c>
      <c r="AS504" s="48">
        <f t="shared" si="238"/>
        <v>1</v>
      </c>
      <c r="AT504" s="48">
        <f t="shared" si="238"/>
        <v>1</v>
      </c>
      <c r="AU504" s="48">
        <f t="shared" si="238"/>
        <v>1</v>
      </c>
      <c r="AV504" s="48">
        <f t="shared" si="238"/>
        <v>1</v>
      </c>
      <c r="AW504" s="48">
        <f t="shared" si="238"/>
        <v>1</v>
      </c>
      <c r="AX504" s="48">
        <f t="shared" si="238"/>
        <v>1</v>
      </c>
      <c r="AY504" s="48">
        <f t="shared" si="238"/>
        <v>1</v>
      </c>
      <c r="AZ504" s="48">
        <f t="shared" si="238"/>
        <v>1</v>
      </c>
      <c r="BA504" s="48">
        <f t="shared" si="238"/>
        <v>1</v>
      </c>
      <c r="BB504" s="48">
        <f t="shared" si="238"/>
        <v>1</v>
      </c>
      <c r="BC504" s="48">
        <f t="shared" si="238"/>
        <v>1</v>
      </c>
      <c r="BD504" s="48">
        <f t="shared" si="238"/>
        <v>1</v>
      </c>
      <c r="BE504" s="48">
        <f t="shared" si="238"/>
        <v>1</v>
      </c>
      <c r="BF504" s="48">
        <f t="shared" si="238"/>
        <v>1</v>
      </c>
      <c r="BG504" s="48">
        <f t="shared" si="238"/>
        <v>1</v>
      </c>
      <c r="BH504" s="48">
        <f t="shared" si="238"/>
        <v>1</v>
      </c>
      <c r="BI504" s="48">
        <f t="shared" si="238"/>
        <v>1</v>
      </c>
      <c r="BJ504" s="48">
        <f t="shared" si="238"/>
        <v>1</v>
      </c>
      <c r="BK504" s="48">
        <f t="shared" si="238"/>
        <v>1</v>
      </c>
      <c r="BL504" s="48">
        <f t="shared" si="238"/>
        <v>1</v>
      </c>
      <c r="BM504" s="48">
        <f t="shared" si="238"/>
        <v>1</v>
      </c>
      <c r="BN504" s="48">
        <f t="shared" si="238"/>
        <v>1</v>
      </c>
      <c r="BO504" s="32">
        <f t="shared" si="221"/>
        <v>0.40254237288135591</v>
      </c>
    </row>
    <row r="505" spans="1:67" x14ac:dyDescent="0.2">
      <c r="A505" s="50" t="s">
        <v>1018</v>
      </c>
      <c r="B505" s="50" t="s">
        <v>1019</v>
      </c>
      <c r="C505" s="50" t="s">
        <v>117</v>
      </c>
      <c r="D505" s="51">
        <f>VLOOKUP(A505,'[1]Cuadro Control'!C547:J2435,8,FALSE)</f>
        <v>320494616.71764702</v>
      </c>
      <c r="E505" s="52">
        <f t="shared" si="237"/>
        <v>6.0369617599332674E-2</v>
      </c>
      <c r="F505" s="53">
        <v>46459</v>
      </c>
      <c r="G505" s="53">
        <v>46463</v>
      </c>
      <c r="H505" s="52">
        <f t="shared" si="238"/>
        <v>0</v>
      </c>
      <c r="I505" s="52">
        <f t="shared" si="238"/>
        <v>0</v>
      </c>
      <c r="J505" s="52">
        <f t="shared" si="238"/>
        <v>0</v>
      </c>
      <c r="K505" s="52">
        <f t="shared" si="238"/>
        <v>0</v>
      </c>
      <c r="L505" s="52">
        <f t="shared" si="238"/>
        <v>0</v>
      </c>
      <c r="M505" s="52">
        <f t="shared" si="238"/>
        <v>0</v>
      </c>
      <c r="N505" s="52">
        <f t="shared" si="238"/>
        <v>0</v>
      </c>
      <c r="O505" s="52">
        <f t="shared" si="238"/>
        <v>0</v>
      </c>
      <c r="P505" s="52">
        <f t="shared" si="238"/>
        <v>0</v>
      </c>
      <c r="Q505" s="52">
        <f t="shared" si="238"/>
        <v>0</v>
      </c>
      <c r="R505" s="52">
        <f t="shared" si="238"/>
        <v>0</v>
      </c>
      <c r="S505" s="52">
        <f t="shared" si="238"/>
        <v>0</v>
      </c>
      <c r="T505" s="52">
        <f t="shared" si="238"/>
        <v>0</v>
      </c>
      <c r="U505" s="52">
        <f t="shared" si="238"/>
        <v>0</v>
      </c>
      <c r="V505" s="52">
        <f t="shared" si="238"/>
        <v>0</v>
      </c>
      <c r="W505" s="52">
        <f t="shared" si="238"/>
        <v>0</v>
      </c>
      <c r="X505" s="52">
        <f t="shared" si="238"/>
        <v>0</v>
      </c>
      <c r="Y505" s="52">
        <f t="shared" si="238"/>
        <v>0</v>
      </c>
      <c r="Z505" s="52">
        <f t="shared" si="238"/>
        <v>0</v>
      </c>
      <c r="AA505" s="52">
        <f t="shared" si="238"/>
        <v>0</v>
      </c>
      <c r="AB505" s="52">
        <f t="shared" si="238"/>
        <v>0</v>
      </c>
      <c r="AC505" s="52">
        <f t="shared" si="238"/>
        <v>0</v>
      </c>
      <c r="AD505" s="52">
        <f t="shared" si="238"/>
        <v>0</v>
      </c>
      <c r="AE505" s="52">
        <f t="shared" si="238"/>
        <v>0</v>
      </c>
      <c r="AF505" s="52">
        <f t="shared" si="238"/>
        <v>0</v>
      </c>
      <c r="AG505" s="52">
        <f t="shared" si="238"/>
        <v>0</v>
      </c>
      <c r="AH505" s="52">
        <f t="shared" si="238"/>
        <v>0</v>
      </c>
      <c r="AI505" s="52">
        <f t="shared" si="238"/>
        <v>0</v>
      </c>
      <c r="AJ505" s="52">
        <f t="shared" si="238"/>
        <v>0</v>
      </c>
      <c r="AK505" s="52">
        <f t="shared" si="238"/>
        <v>0</v>
      </c>
      <c r="AL505" s="52">
        <f t="shared" si="238"/>
        <v>0</v>
      </c>
      <c r="AM505" s="52">
        <f t="shared" si="238"/>
        <v>0</v>
      </c>
      <c r="AN505" s="52">
        <f t="shared" si="238"/>
        <v>0</v>
      </c>
      <c r="AO505" s="52">
        <f t="shared" si="238"/>
        <v>0</v>
      </c>
      <c r="AP505" s="52">
        <f t="shared" si="238"/>
        <v>0</v>
      </c>
      <c r="AQ505" s="52">
        <f t="shared" si="238"/>
        <v>0</v>
      </c>
      <c r="AR505" s="52">
        <f t="shared" si="238"/>
        <v>1</v>
      </c>
      <c r="AS505" s="52">
        <f t="shared" si="238"/>
        <v>1</v>
      </c>
      <c r="AT505" s="52">
        <f t="shared" si="238"/>
        <v>1</v>
      </c>
      <c r="AU505" s="52">
        <f t="shared" si="238"/>
        <v>1</v>
      </c>
      <c r="AV505" s="52">
        <f t="shared" si="238"/>
        <v>1</v>
      </c>
      <c r="AW505" s="52">
        <f t="shared" si="238"/>
        <v>1</v>
      </c>
      <c r="AX505" s="52">
        <f t="shared" si="238"/>
        <v>1</v>
      </c>
      <c r="AY505" s="52">
        <f t="shared" si="238"/>
        <v>1</v>
      </c>
      <c r="AZ505" s="52">
        <f t="shared" si="238"/>
        <v>1</v>
      </c>
      <c r="BA505" s="52">
        <f t="shared" si="238"/>
        <v>1</v>
      </c>
      <c r="BB505" s="52">
        <f t="shared" si="238"/>
        <v>1</v>
      </c>
      <c r="BC505" s="52">
        <f t="shared" si="238"/>
        <v>1</v>
      </c>
      <c r="BD505" s="52">
        <f t="shared" si="238"/>
        <v>1</v>
      </c>
      <c r="BE505" s="52">
        <f t="shared" si="238"/>
        <v>1</v>
      </c>
      <c r="BF505" s="52">
        <f t="shared" si="238"/>
        <v>1</v>
      </c>
      <c r="BG505" s="52">
        <f t="shared" si="238"/>
        <v>1</v>
      </c>
      <c r="BH505" s="52">
        <f t="shared" si="238"/>
        <v>1</v>
      </c>
      <c r="BI505" s="52">
        <f t="shared" si="238"/>
        <v>1</v>
      </c>
      <c r="BJ505" s="52">
        <f t="shared" si="238"/>
        <v>1</v>
      </c>
      <c r="BK505" s="52">
        <f t="shared" si="238"/>
        <v>1</v>
      </c>
      <c r="BL505" s="52">
        <f t="shared" si="238"/>
        <v>1</v>
      </c>
      <c r="BM505" s="52">
        <f t="shared" si="238"/>
        <v>1</v>
      </c>
      <c r="BN505" s="52">
        <f t="shared" si="238"/>
        <v>1</v>
      </c>
      <c r="BO505" s="32">
        <f t="shared" si="221"/>
        <v>0.38983050847457629</v>
      </c>
    </row>
    <row r="506" spans="1:67" x14ac:dyDescent="0.2">
      <c r="A506" s="50" t="s">
        <v>1020</v>
      </c>
      <c r="B506" s="50" t="s">
        <v>1021</v>
      </c>
      <c r="C506" s="50" t="s">
        <v>111</v>
      </c>
      <c r="D506" s="51">
        <f>VLOOKUP(A506,'[1]Cuadro Control'!C548:J2436,8,FALSE)</f>
        <v>94303618.549411759</v>
      </c>
      <c r="E506" s="52">
        <f t="shared" si="237"/>
        <v>1.7763397864110998E-2</v>
      </c>
      <c r="F506" s="53">
        <v>46463</v>
      </c>
      <c r="G506" s="53">
        <v>46465</v>
      </c>
      <c r="H506" s="52">
        <f t="shared" si="238"/>
        <v>0</v>
      </c>
      <c r="I506" s="52">
        <f t="shared" si="238"/>
        <v>0</v>
      </c>
      <c r="J506" s="52">
        <f t="shared" si="238"/>
        <v>0</v>
      </c>
      <c r="K506" s="52">
        <f t="shared" si="238"/>
        <v>0</v>
      </c>
      <c r="L506" s="52">
        <f t="shared" si="238"/>
        <v>0</v>
      </c>
      <c r="M506" s="52">
        <f t="shared" si="238"/>
        <v>0</v>
      </c>
      <c r="N506" s="52">
        <f t="shared" si="238"/>
        <v>0</v>
      </c>
      <c r="O506" s="52">
        <f t="shared" si="238"/>
        <v>0</v>
      </c>
      <c r="P506" s="52">
        <f t="shared" si="238"/>
        <v>0</v>
      </c>
      <c r="Q506" s="52">
        <f t="shared" si="238"/>
        <v>0</v>
      </c>
      <c r="R506" s="52">
        <f t="shared" si="238"/>
        <v>0</v>
      </c>
      <c r="S506" s="52">
        <f t="shared" si="238"/>
        <v>0</v>
      </c>
      <c r="T506" s="52">
        <f t="shared" si="238"/>
        <v>0</v>
      </c>
      <c r="U506" s="52">
        <f t="shared" si="238"/>
        <v>0</v>
      </c>
      <c r="V506" s="52">
        <f t="shared" si="238"/>
        <v>0</v>
      </c>
      <c r="W506" s="52">
        <f t="shared" si="238"/>
        <v>0</v>
      </c>
      <c r="X506" s="52">
        <f t="shared" si="238"/>
        <v>0</v>
      </c>
      <c r="Y506" s="52">
        <f t="shared" si="238"/>
        <v>0</v>
      </c>
      <c r="Z506" s="52">
        <f t="shared" si="238"/>
        <v>0</v>
      </c>
      <c r="AA506" s="52">
        <f t="shared" ref="AA506:BF517" si="239">IF($F506=0,0,IF(AA$6&lt;$F506,0,IF(AA$6&gt;$G506,1,(AA$6-$F506+1)/($G506-$F506+1))))</f>
        <v>0</v>
      </c>
      <c r="AB506" s="52">
        <f t="shared" si="239"/>
        <v>0</v>
      </c>
      <c r="AC506" s="52">
        <f t="shared" si="239"/>
        <v>0</v>
      </c>
      <c r="AD506" s="52">
        <f t="shared" si="239"/>
        <v>0</v>
      </c>
      <c r="AE506" s="52">
        <f t="shared" si="239"/>
        <v>0</v>
      </c>
      <c r="AF506" s="52">
        <f t="shared" si="239"/>
        <v>0</v>
      </c>
      <c r="AG506" s="52">
        <f t="shared" si="239"/>
        <v>0</v>
      </c>
      <c r="AH506" s="52">
        <f t="shared" si="239"/>
        <v>0</v>
      </c>
      <c r="AI506" s="52">
        <f t="shared" si="239"/>
        <v>0</v>
      </c>
      <c r="AJ506" s="52">
        <f t="shared" si="239"/>
        <v>0</v>
      </c>
      <c r="AK506" s="52">
        <f t="shared" si="239"/>
        <v>0</v>
      </c>
      <c r="AL506" s="52">
        <f t="shared" si="239"/>
        <v>0</v>
      </c>
      <c r="AM506" s="52">
        <f t="shared" si="239"/>
        <v>0</v>
      </c>
      <c r="AN506" s="52">
        <f t="shared" si="239"/>
        <v>0</v>
      </c>
      <c r="AO506" s="52">
        <f t="shared" si="239"/>
        <v>0</v>
      </c>
      <c r="AP506" s="52">
        <f t="shared" si="239"/>
        <v>0</v>
      </c>
      <c r="AQ506" s="52">
        <f t="shared" si="239"/>
        <v>0</v>
      </c>
      <c r="AR506" s="52">
        <f t="shared" si="239"/>
        <v>1</v>
      </c>
      <c r="AS506" s="52">
        <f t="shared" si="239"/>
        <v>1</v>
      </c>
      <c r="AT506" s="52">
        <f t="shared" si="239"/>
        <v>1</v>
      </c>
      <c r="AU506" s="52">
        <f t="shared" si="239"/>
        <v>1</v>
      </c>
      <c r="AV506" s="52">
        <f t="shared" si="239"/>
        <v>1</v>
      </c>
      <c r="AW506" s="52">
        <f t="shared" si="239"/>
        <v>1</v>
      </c>
      <c r="AX506" s="52">
        <f t="shared" si="239"/>
        <v>1</v>
      </c>
      <c r="AY506" s="52">
        <f t="shared" si="239"/>
        <v>1</v>
      </c>
      <c r="AZ506" s="52">
        <f t="shared" si="239"/>
        <v>1</v>
      </c>
      <c r="BA506" s="52">
        <f t="shared" si="239"/>
        <v>1</v>
      </c>
      <c r="BB506" s="52">
        <f t="shared" si="239"/>
        <v>1</v>
      </c>
      <c r="BC506" s="52">
        <f t="shared" si="239"/>
        <v>1</v>
      </c>
      <c r="BD506" s="52">
        <f t="shared" si="239"/>
        <v>1</v>
      </c>
      <c r="BE506" s="52">
        <f t="shared" si="239"/>
        <v>1</v>
      </c>
      <c r="BF506" s="52">
        <f t="shared" si="239"/>
        <v>1</v>
      </c>
      <c r="BG506" s="52">
        <f t="shared" ref="BG506:BN517" si="240">IF($F506=0,0,IF(BG$6&lt;$F506,0,IF(BG$6&gt;$G506,1,(BG$6-$F506+1)/($G506-$F506+1))))</f>
        <v>1</v>
      </c>
      <c r="BH506" s="52">
        <f t="shared" si="240"/>
        <v>1</v>
      </c>
      <c r="BI506" s="52">
        <f t="shared" si="240"/>
        <v>1</v>
      </c>
      <c r="BJ506" s="52">
        <f t="shared" si="240"/>
        <v>1</v>
      </c>
      <c r="BK506" s="52">
        <f t="shared" si="240"/>
        <v>1</v>
      </c>
      <c r="BL506" s="52">
        <f t="shared" si="240"/>
        <v>1</v>
      </c>
      <c r="BM506" s="52">
        <f t="shared" si="240"/>
        <v>1</v>
      </c>
      <c r="BN506" s="52">
        <f t="shared" si="240"/>
        <v>1</v>
      </c>
      <c r="BO506" s="32">
        <f t="shared" si="221"/>
        <v>0.38983050847457629</v>
      </c>
    </row>
    <row r="507" spans="1:67" x14ac:dyDescent="0.2">
      <c r="A507" s="50" t="s">
        <v>1022</v>
      </c>
      <c r="B507" s="50" t="s">
        <v>1023</v>
      </c>
      <c r="C507" s="50" t="s">
        <v>238</v>
      </c>
      <c r="D507" s="51">
        <f>VLOOKUP(A507,'[1]Cuadro Control'!C549:J2437,8,FALSE)</f>
        <v>179436034.15411764</v>
      </c>
      <c r="E507" s="52">
        <f t="shared" si="237"/>
        <v>3.3799272126209236E-2</v>
      </c>
      <c r="F507" s="53">
        <v>46465</v>
      </c>
      <c r="G507" s="53">
        <v>46475</v>
      </c>
      <c r="H507" s="52">
        <f t="shared" ref="H507:W517" si="241">IF($F507=0,0,IF(H$6&lt;$F507,0,IF(H$6&gt;$G507,1,(H$6-$F507+1)/($G507-$F507+1))))</f>
        <v>0</v>
      </c>
      <c r="I507" s="52">
        <f t="shared" si="241"/>
        <v>0</v>
      </c>
      <c r="J507" s="52">
        <f t="shared" si="241"/>
        <v>0</v>
      </c>
      <c r="K507" s="52">
        <f t="shared" si="241"/>
        <v>0</v>
      </c>
      <c r="L507" s="52">
        <f t="shared" si="241"/>
        <v>0</v>
      </c>
      <c r="M507" s="52">
        <f t="shared" si="241"/>
        <v>0</v>
      </c>
      <c r="N507" s="52">
        <f t="shared" si="241"/>
        <v>0</v>
      </c>
      <c r="O507" s="52">
        <f t="shared" si="241"/>
        <v>0</v>
      </c>
      <c r="P507" s="52">
        <f t="shared" si="241"/>
        <v>0</v>
      </c>
      <c r="Q507" s="52">
        <f t="shared" si="241"/>
        <v>0</v>
      </c>
      <c r="R507" s="52">
        <f t="shared" si="241"/>
        <v>0</v>
      </c>
      <c r="S507" s="52">
        <f t="shared" si="241"/>
        <v>0</v>
      </c>
      <c r="T507" s="52">
        <f t="shared" si="241"/>
        <v>0</v>
      </c>
      <c r="U507" s="52">
        <f t="shared" si="241"/>
        <v>0</v>
      </c>
      <c r="V507" s="52">
        <f t="shared" si="241"/>
        <v>0</v>
      </c>
      <c r="W507" s="52">
        <f t="shared" si="241"/>
        <v>0</v>
      </c>
      <c r="X507" s="52">
        <f t="shared" ref="X507:BC517" si="242">IF($F507=0,0,IF(X$6&lt;$F507,0,IF(X$6&gt;$G507,1,(X$6-$F507+1)/($G507-$F507+1))))</f>
        <v>0</v>
      </c>
      <c r="Y507" s="52">
        <f t="shared" si="242"/>
        <v>0</v>
      </c>
      <c r="Z507" s="52">
        <f t="shared" si="242"/>
        <v>0</v>
      </c>
      <c r="AA507" s="52">
        <f t="shared" si="242"/>
        <v>0</v>
      </c>
      <c r="AB507" s="52">
        <f t="shared" si="242"/>
        <v>0</v>
      </c>
      <c r="AC507" s="52">
        <f t="shared" si="242"/>
        <v>0</v>
      </c>
      <c r="AD507" s="52">
        <f t="shared" si="242"/>
        <v>0</v>
      </c>
      <c r="AE507" s="52">
        <f t="shared" si="242"/>
        <v>0</v>
      </c>
      <c r="AF507" s="52">
        <f t="shared" si="242"/>
        <v>0</v>
      </c>
      <c r="AG507" s="52">
        <f t="shared" si="242"/>
        <v>0</v>
      </c>
      <c r="AH507" s="52">
        <f t="shared" si="242"/>
        <v>0</v>
      </c>
      <c r="AI507" s="52">
        <f t="shared" si="242"/>
        <v>0</v>
      </c>
      <c r="AJ507" s="52">
        <f t="shared" si="242"/>
        <v>0</v>
      </c>
      <c r="AK507" s="52">
        <f t="shared" si="242"/>
        <v>0</v>
      </c>
      <c r="AL507" s="52">
        <f t="shared" si="242"/>
        <v>0</v>
      </c>
      <c r="AM507" s="52">
        <f t="shared" si="242"/>
        <v>0</v>
      </c>
      <c r="AN507" s="52">
        <f t="shared" si="242"/>
        <v>0</v>
      </c>
      <c r="AO507" s="52">
        <f t="shared" si="239"/>
        <v>0</v>
      </c>
      <c r="AP507" s="52">
        <f t="shared" si="239"/>
        <v>0</v>
      </c>
      <c r="AQ507" s="52">
        <f t="shared" si="239"/>
        <v>0</v>
      </c>
      <c r="AR507" s="52">
        <f t="shared" si="239"/>
        <v>9.0909090909090912E-2</v>
      </c>
      <c r="AS507" s="52">
        <f t="shared" si="239"/>
        <v>0.72727272727272729</v>
      </c>
      <c r="AT507" s="52">
        <f t="shared" si="239"/>
        <v>1</v>
      </c>
      <c r="AU507" s="52">
        <f t="shared" si="239"/>
        <v>1</v>
      </c>
      <c r="AV507" s="52">
        <f t="shared" si="239"/>
        <v>1</v>
      </c>
      <c r="AW507" s="52">
        <f t="shared" si="239"/>
        <v>1</v>
      </c>
      <c r="AX507" s="52">
        <f t="shared" si="239"/>
        <v>1</v>
      </c>
      <c r="AY507" s="52">
        <f t="shared" si="239"/>
        <v>1</v>
      </c>
      <c r="AZ507" s="52">
        <f t="shared" si="239"/>
        <v>1</v>
      </c>
      <c r="BA507" s="52">
        <f t="shared" si="239"/>
        <v>1</v>
      </c>
      <c r="BB507" s="52">
        <f t="shared" si="239"/>
        <v>1</v>
      </c>
      <c r="BC507" s="52">
        <f t="shared" si="239"/>
        <v>1</v>
      </c>
      <c r="BD507" s="52">
        <f t="shared" si="239"/>
        <v>1</v>
      </c>
      <c r="BE507" s="52">
        <f t="shared" si="239"/>
        <v>1</v>
      </c>
      <c r="BF507" s="52">
        <f t="shared" si="239"/>
        <v>1</v>
      </c>
      <c r="BG507" s="52">
        <f t="shared" si="240"/>
        <v>1</v>
      </c>
      <c r="BH507" s="52">
        <f t="shared" si="240"/>
        <v>1</v>
      </c>
      <c r="BI507" s="52">
        <f t="shared" si="240"/>
        <v>1</v>
      </c>
      <c r="BJ507" s="52">
        <f t="shared" si="240"/>
        <v>1</v>
      </c>
      <c r="BK507" s="52">
        <f t="shared" si="240"/>
        <v>1</v>
      </c>
      <c r="BL507" s="52">
        <f t="shared" si="240"/>
        <v>1</v>
      </c>
      <c r="BM507" s="52">
        <f t="shared" si="240"/>
        <v>1</v>
      </c>
      <c r="BN507" s="52">
        <f t="shared" si="240"/>
        <v>1</v>
      </c>
      <c r="BO507" s="32">
        <f t="shared" si="221"/>
        <v>0.36979969183359018</v>
      </c>
    </row>
    <row r="508" spans="1:67" x14ac:dyDescent="0.2">
      <c r="A508" s="50" t="s">
        <v>1024</v>
      </c>
      <c r="B508" s="50" t="s">
        <v>1025</v>
      </c>
      <c r="C508" s="50" t="s">
        <v>58</v>
      </c>
      <c r="D508" s="51">
        <f>VLOOKUP(A508,'[1]Cuadro Control'!C550:J2438,8,FALSE)</f>
        <v>1212623361.2117648</v>
      </c>
      <c r="E508" s="52">
        <f t="shared" si="237"/>
        <v>0.22841447185013161</v>
      </c>
      <c r="F508" s="53">
        <v>46475</v>
      </c>
      <c r="G508" s="53">
        <v>46490</v>
      </c>
      <c r="H508" s="52">
        <f t="shared" si="241"/>
        <v>0</v>
      </c>
      <c r="I508" s="52">
        <f t="shared" si="241"/>
        <v>0</v>
      </c>
      <c r="J508" s="52">
        <f t="shared" si="241"/>
        <v>0</v>
      </c>
      <c r="K508" s="52">
        <f t="shared" si="241"/>
        <v>0</v>
      </c>
      <c r="L508" s="52">
        <f t="shared" si="241"/>
        <v>0</v>
      </c>
      <c r="M508" s="52">
        <f t="shared" si="241"/>
        <v>0</v>
      </c>
      <c r="N508" s="52">
        <f t="shared" si="241"/>
        <v>0</v>
      </c>
      <c r="O508" s="52">
        <f t="shared" si="241"/>
        <v>0</v>
      </c>
      <c r="P508" s="52">
        <f t="shared" si="241"/>
        <v>0</v>
      </c>
      <c r="Q508" s="52">
        <f t="shared" si="241"/>
        <v>0</v>
      </c>
      <c r="R508" s="52">
        <f t="shared" si="241"/>
        <v>0</v>
      </c>
      <c r="S508" s="52">
        <f t="shared" si="241"/>
        <v>0</v>
      </c>
      <c r="T508" s="52">
        <f t="shared" si="241"/>
        <v>0</v>
      </c>
      <c r="U508" s="52">
        <f t="shared" si="241"/>
        <v>0</v>
      </c>
      <c r="V508" s="52">
        <f t="shared" si="241"/>
        <v>0</v>
      </c>
      <c r="W508" s="52">
        <f t="shared" si="241"/>
        <v>0</v>
      </c>
      <c r="X508" s="52">
        <f t="shared" si="242"/>
        <v>0</v>
      </c>
      <c r="Y508" s="52">
        <f t="shared" si="242"/>
        <v>0</v>
      </c>
      <c r="Z508" s="52">
        <f t="shared" si="242"/>
        <v>0</v>
      </c>
      <c r="AA508" s="52">
        <f t="shared" si="242"/>
        <v>0</v>
      </c>
      <c r="AB508" s="52">
        <f t="shared" si="242"/>
        <v>0</v>
      </c>
      <c r="AC508" s="52">
        <f t="shared" si="242"/>
        <v>0</v>
      </c>
      <c r="AD508" s="52">
        <f t="shared" si="242"/>
        <v>0</v>
      </c>
      <c r="AE508" s="52">
        <f t="shared" si="242"/>
        <v>0</v>
      </c>
      <c r="AF508" s="52">
        <f t="shared" si="242"/>
        <v>0</v>
      </c>
      <c r="AG508" s="52">
        <f t="shared" si="242"/>
        <v>0</v>
      </c>
      <c r="AH508" s="52">
        <f t="shared" si="242"/>
        <v>0</v>
      </c>
      <c r="AI508" s="52">
        <f t="shared" si="242"/>
        <v>0</v>
      </c>
      <c r="AJ508" s="52">
        <f t="shared" si="242"/>
        <v>0</v>
      </c>
      <c r="AK508" s="52">
        <f t="shared" si="242"/>
        <v>0</v>
      </c>
      <c r="AL508" s="52">
        <f t="shared" si="242"/>
        <v>0</v>
      </c>
      <c r="AM508" s="52">
        <f t="shared" si="242"/>
        <v>0</v>
      </c>
      <c r="AN508" s="52">
        <f t="shared" si="242"/>
        <v>0</v>
      </c>
      <c r="AO508" s="52">
        <f t="shared" si="239"/>
        <v>0</v>
      </c>
      <c r="AP508" s="52">
        <f t="shared" si="239"/>
        <v>0</v>
      </c>
      <c r="AQ508" s="52">
        <f t="shared" si="239"/>
        <v>0</v>
      </c>
      <c r="AR508" s="52">
        <f t="shared" si="239"/>
        <v>0</v>
      </c>
      <c r="AS508" s="52">
        <f t="shared" si="239"/>
        <v>0</v>
      </c>
      <c r="AT508" s="52">
        <f t="shared" si="239"/>
        <v>0.3125</v>
      </c>
      <c r="AU508" s="52">
        <f t="shared" si="239"/>
        <v>0.75</v>
      </c>
      <c r="AV508" s="52">
        <f t="shared" si="239"/>
        <v>1</v>
      </c>
      <c r="AW508" s="52">
        <f t="shared" si="239"/>
        <v>1</v>
      </c>
      <c r="AX508" s="52">
        <f t="shared" si="239"/>
        <v>1</v>
      </c>
      <c r="AY508" s="52">
        <f t="shared" si="239"/>
        <v>1</v>
      </c>
      <c r="AZ508" s="52">
        <f t="shared" si="239"/>
        <v>1</v>
      </c>
      <c r="BA508" s="52">
        <f t="shared" si="239"/>
        <v>1</v>
      </c>
      <c r="BB508" s="52">
        <f t="shared" si="239"/>
        <v>1</v>
      </c>
      <c r="BC508" s="52">
        <f t="shared" si="239"/>
        <v>1</v>
      </c>
      <c r="BD508" s="52">
        <f t="shared" si="239"/>
        <v>1</v>
      </c>
      <c r="BE508" s="52">
        <f t="shared" si="239"/>
        <v>1</v>
      </c>
      <c r="BF508" s="52">
        <f t="shared" si="239"/>
        <v>1</v>
      </c>
      <c r="BG508" s="52">
        <f t="shared" si="240"/>
        <v>1</v>
      </c>
      <c r="BH508" s="52">
        <f t="shared" si="240"/>
        <v>1</v>
      </c>
      <c r="BI508" s="52">
        <f t="shared" si="240"/>
        <v>1</v>
      </c>
      <c r="BJ508" s="52">
        <f t="shared" si="240"/>
        <v>1</v>
      </c>
      <c r="BK508" s="52">
        <f t="shared" si="240"/>
        <v>1</v>
      </c>
      <c r="BL508" s="52">
        <f t="shared" si="240"/>
        <v>1</v>
      </c>
      <c r="BM508" s="52">
        <f t="shared" si="240"/>
        <v>1</v>
      </c>
      <c r="BN508" s="52">
        <f t="shared" si="240"/>
        <v>1</v>
      </c>
      <c r="BO508" s="32">
        <f t="shared" si="221"/>
        <v>0.34004237288135591</v>
      </c>
    </row>
    <row r="509" spans="1:67" x14ac:dyDescent="0.2">
      <c r="A509" s="50" t="s">
        <v>1026</v>
      </c>
      <c r="B509" s="50" t="s">
        <v>1027</v>
      </c>
      <c r="C509" s="50" t="s">
        <v>126</v>
      </c>
      <c r="D509" s="51">
        <f>VLOOKUP(A509,'[1]Cuadro Control'!C551:J2439,8,FALSE)</f>
        <v>0</v>
      </c>
      <c r="E509" s="52">
        <f t="shared" si="237"/>
        <v>0</v>
      </c>
      <c r="F509" s="53">
        <v>46490</v>
      </c>
      <c r="G509" s="53">
        <v>46493</v>
      </c>
      <c r="H509" s="52">
        <f t="shared" si="241"/>
        <v>0</v>
      </c>
      <c r="I509" s="52">
        <f t="shared" si="241"/>
        <v>0</v>
      </c>
      <c r="J509" s="52">
        <f t="shared" si="241"/>
        <v>0</v>
      </c>
      <c r="K509" s="52">
        <f t="shared" si="241"/>
        <v>0</v>
      </c>
      <c r="L509" s="52">
        <f t="shared" si="241"/>
        <v>0</v>
      </c>
      <c r="M509" s="52">
        <f t="shared" si="241"/>
        <v>0</v>
      </c>
      <c r="N509" s="52">
        <f t="shared" si="241"/>
        <v>0</v>
      </c>
      <c r="O509" s="52">
        <f t="shared" si="241"/>
        <v>0</v>
      </c>
      <c r="P509" s="52">
        <f t="shared" si="241"/>
        <v>0</v>
      </c>
      <c r="Q509" s="52">
        <f t="shared" si="241"/>
        <v>0</v>
      </c>
      <c r="R509" s="52">
        <f t="shared" si="241"/>
        <v>0</v>
      </c>
      <c r="S509" s="52">
        <f t="shared" si="241"/>
        <v>0</v>
      </c>
      <c r="T509" s="52">
        <f t="shared" si="241"/>
        <v>0</v>
      </c>
      <c r="U509" s="52">
        <f t="shared" si="241"/>
        <v>0</v>
      </c>
      <c r="V509" s="52">
        <f t="shared" si="241"/>
        <v>0</v>
      </c>
      <c r="W509" s="52">
        <f t="shared" si="241"/>
        <v>0</v>
      </c>
      <c r="X509" s="52">
        <f t="shared" si="242"/>
        <v>0</v>
      </c>
      <c r="Y509" s="52">
        <f t="shared" si="242"/>
        <v>0</v>
      </c>
      <c r="Z509" s="52">
        <f t="shared" si="242"/>
        <v>0</v>
      </c>
      <c r="AA509" s="52">
        <f t="shared" si="242"/>
        <v>0</v>
      </c>
      <c r="AB509" s="52">
        <f t="shared" si="242"/>
        <v>0</v>
      </c>
      <c r="AC509" s="52">
        <f t="shared" si="242"/>
        <v>0</v>
      </c>
      <c r="AD509" s="52">
        <f t="shared" si="242"/>
        <v>0</v>
      </c>
      <c r="AE509" s="52">
        <f t="shared" si="242"/>
        <v>0</v>
      </c>
      <c r="AF509" s="52">
        <f t="shared" si="242"/>
        <v>0</v>
      </c>
      <c r="AG509" s="52">
        <f t="shared" si="242"/>
        <v>0</v>
      </c>
      <c r="AH509" s="52">
        <f t="shared" si="242"/>
        <v>0</v>
      </c>
      <c r="AI509" s="52">
        <f t="shared" si="242"/>
        <v>0</v>
      </c>
      <c r="AJ509" s="52">
        <f t="shared" si="242"/>
        <v>0</v>
      </c>
      <c r="AK509" s="52">
        <f t="shared" si="242"/>
        <v>0</v>
      </c>
      <c r="AL509" s="52">
        <f t="shared" si="242"/>
        <v>0</v>
      </c>
      <c r="AM509" s="52">
        <f t="shared" si="242"/>
        <v>0</v>
      </c>
      <c r="AN509" s="52">
        <f t="shared" si="242"/>
        <v>0</v>
      </c>
      <c r="AO509" s="52">
        <f t="shared" si="239"/>
        <v>0</v>
      </c>
      <c r="AP509" s="52">
        <f t="shared" si="239"/>
        <v>0</v>
      </c>
      <c r="AQ509" s="52">
        <f t="shared" si="239"/>
        <v>0</v>
      </c>
      <c r="AR509" s="52">
        <f t="shared" si="239"/>
        <v>0</v>
      </c>
      <c r="AS509" s="52">
        <f t="shared" si="239"/>
        <v>0</v>
      </c>
      <c r="AT509" s="52">
        <f t="shared" si="239"/>
        <v>0</v>
      </c>
      <c r="AU509" s="52">
        <f t="shared" si="239"/>
        <v>0</v>
      </c>
      <c r="AV509" s="52">
        <f t="shared" si="239"/>
        <v>1</v>
      </c>
      <c r="AW509" s="52">
        <f t="shared" si="239"/>
        <v>1</v>
      </c>
      <c r="AX509" s="52">
        <f t="shared" si="239"/>
        <v>1</v>
      </c>
      <c r="AY509" s="52">
        <f t="shared" si="239"/>
        <v>1</v>
      </c>
      <c r="AZ509" s="52">
        <f t="shared" si="239"/>
        <v>1</v>
      </c>
      <c r="BA509" s="52">
        <f t="shared" si="239"/>
        <v>1</v>
      </c>
      <c r="BB509" s="52">
        <f t="shared" si="239"/>
        <v>1</v>
      </c>
      <c r="BC509" s="52">
        <f t="shared" si="239"/>
        <v>1</v>
      </c>
      <c r="BD509" s="52">
        <f t="shared" si="239"/>
        <v>1</v>
      </c>
      <c r="BE509" s="52">
        <f t="shared" si="239"/>
        <v>1</v>
      </c>
      <c r="BF509" s="52">
        <f t="shared" si="239"/>
        <v>1</v>
      </c>
      <c r="BG509" s="52">
        <f t="shared" si="240"/>
        <v>1</v>
      </c>
      <c r="BH509" s="52">
        <f t="shared" si="240"/>
        <v>1</v>
      </c>
      <c r="BI509" s="52">
        <f t="shared" si="240"/>
        <v>1</v>
      </c>
      <c r="BJ509" s="52">
        <f t="shared" si="240"/>
        <v>1</v>
      </c>
      <c r="BK509" s="52">
        <f t="shared" si="240"/>
        <v>1</v>
      </c>
      <c r="BL509" s="52">
        <f t="shared" si="240"/>
        <v>1</v>
      </c>
      <c r="BM509" s="52">
        <f t="shared" si="240"/>
        <v>1</v>
      </c>
      <c r="BN509" s="52">
        <f t="shared" si="240"/>
        <v>1</v>
      </c>
      <c r="BO509" s="32">
        <f t="shared" si="221"/>
        <v>0.32203389830508472</v>
      </c>
    </row>
    <row r="510" spans="1:67" ht="24" x14ac:dyDescent="0.2">
      <c r="A510" s="55" t="s">
        <v>1028</v>
      </c>
      <c r="B510" s="55" t="s">
        <v>1029</v>
      </c>
      <c r="C510" s="55" t="s">
        <v>14</v>
      </c>
      <c r="D510" s="56">
        <f>VLOOKUP(A510,'[1]Cuadro Control'!C552:J2440,8,FALSE)</f>
        <v>0</v>
      </c>
      <c r="E510" s="57">
        <f t="shared" si="237"/>
        <v>0</v>
      </c>
      <c r="F510" s="58">
        <v>46490</v>
      </c>
      <c r="G510" s="58">
        <v>46490</v>
      </c>
      <c r="H510" s="57">
        <f t="shared" si="241"/>
        <v>0</v>
      </c>
      <c r="I510" s="57">
        <f t="shared" si="241"/>
        <v>0</v>
      </c>
      <c r="J510" s="57">
        <f t="shared" si="241"/>
        <v>0</v>
      </c>
      <c r="K510" s="57">
        <f t="shared" si="241"/>
        <v>0</v>
      </c>
      <c r="L510" s="57">
        <f t="shared" si="241"/>
        <v>0</v>
      </c>
      <c r="M510" s="57">
        <f t="shared" si="241"/>
        <v>0</v>
      </c>
      <c r="N510" s="57">
        <f t="shared" si="241"/>
        <v>0</v>
      </c>
      <c r="O510" s="57">
        <f t="shared" si="241"/>
        <v>0</v>
      </c>
      <c r="P510" s="57">
        <f t="shared" si="241"/>
        <v>0</v>
      </c>
      <c r="Q510" s="57">
        <f t="shared" si="241"/>
        <v>0</v>
      </c>
      <c r="R510" s="57">
        <f t="shared" si="241"/>
        <v>0</v>
      </c>
      <c r="S510" s="57">
        <f t="shared" si="241"/>
        <v>0</v>
      </c>
      <c r="T510" s="57">
        <f t="shared" si="241"/>
        <v>0</v>
      </c>
      <c r="U510" s="57">
        <f t="shared" si="241"/>
        <v>0</v>
      </c>
      <c r="V510" s="57">
        <f t="shared" si="241"/>
        <v>0</v>
      </c>
      <c r="W510" s="57">
        <f t="shared" si="241"/>
        <v>0</v>
      </c>
      <c r="X510" s="57">
        <f t="shared" si="242"/>
        <v>0</v>
      </c>
      <c r="Y510" s="57">
        <f t="shared" si="242"/>
        <v>0</v>
      </c>
      <c r="Z510" s="57">
        <f t="shared" si="242"/>
        <v>0</v>
      </c>
      <c r="AA510" s="57">
        <f t="shared" si="242"/>
        <v>0</v>
      </c>
      <c r="AB510" s="57">
        <f t="shared" si="242"/>
        <v>0</v>
      </c>
      <c r="AC510" s="57">
        <f t="shared" si="242"/>
        <v>0</v>
      </c>
      <c r="AD510" s="57">
        <f t="shared" si="242"/>
        <v>0</v>
      </c>
      <c r="AE510" s="57">
        <f t="shared" si="242"/>
        <v>0</v>
      </c>
      <c r="AF510" s="57">
        <f t="shared" si="242"/>
        <v>0</v>
      </c>
      <c r="AG510" s="57">
        <f t="shared" si="242"/>
        <v>0</v>
      </c>
      <c r="AH510" s="57">
        <f t="shared" si="242"/>
        <v>0</v>
      </c>
      <c r="AI510" s="57">
        <f t="shared" si="242"/>
        <v>0</v>
      </c>
      <c r="AJ510" s="57">
        <f t="shared" si="242"/>
        <v>0</v>
      </c>
      <c r="AK510" s="57">
        <f t="shared" si="242"/>
        <v>0</v>
      </c>
      <c r="AL510" s="57">
        <f t="shared" si="242"/>
        <v>0</v>
      </c>
      <c r="AM510" s="57">
        <f t="shared" si="242"/>
        <v>0</v>
      </c>
      <c r="AN510" s="57">
        <f t="shared" si="242"/>
        <v>0</v>
      </c>
      <c r="AO510" s="57">
        <f t="shared" si="239"/>
        <v>0</v>
      </c>
      <c r="AP510" s="57">
        <f t="shared" si="239"/>
        <v>0</v>
      </c>
      <c r="AQ510" s="57">
        <f t="shared" si="239"/>
        <v>0</v>
      </c>
      <c r="AR510" s="57">
        <f t="shared" si="239"/>
        <v>0</v>
      </c>
      <c r="AS510" s="57">
        <f t="shared" si="239"/>
        <v>0</v>
      </c>
      <c r="AT510" s="57">
        <f t="shared" si="239"/>
        <v>0</v>
      </c>
      <c r="AU510" s="57">
        <f t="shared" si="239"/>
        <v>0</v>
      </c>
      <c r="AV510" s="57">
        <f t="shared" si="239"/>
        <v>1</v>
      </c>
      <c r="AW510" s="57">
        <f t="shared" si="239"/>
        <v>1</v>
      </c>
      <c r="AX510" s="57">
        <f t="shared" si="239"/>
        <v>1</v>
      </c>
      <c r="AY510" s="57">
        <f t="shared" si="239"/>
        <v>1</v>
      </c>
      <c r="AZ510" s="57">
        <f t="shared" si="239"/>
        <v>1</v>
      </c>
      <c r="BA510" s="57">
        <f t="shared" si="239"/>
        <v>1</v>
      </c>
      <c r="BB510" s="57">
        <f t="shared" si="239"/>
        <v>1</v>
      </c>
      <c r="BC510" s="57">
        <f t="shared" si="239"/>
        <v>1</v>
      </c>
      <c r="BD510" s="57">
        <f t="shared" si="239"/>
        <v>1</v>
      </c>
      <c r="BE510" s="57">
        <f t="shared" si="239"/>
        <v>1</v>
      </c>
      <c r="BF510" s="57">
        <f t="shared" si="239"/>
        <v>1</v>
      </c>
      <c r="BG510" s="57">
        <f t="shared" si="240"/>
        <v>1</v>
      </c>
      <c r="BH510" s="57">
        <f t="shared" si="240"/>
        <v>1</v>
      </c>
      <c r="BI510" s="57">
        <f t="shared" si="240"/>
        <v>1</v>
      </c>
      <c r="BJ510" s="57">
        <f t="shared" si="240"/>
        <v>1</v>
      </c>
      <c r="BK510" s="57">
        <f t="shared" si="240"/>
        <v>1</v>
      </c>
      <c r="BL510" s="57">
        <f t="shared" si="240"/>
        <v>1</v>
      </c>
      <c r="BM510" s="57">
        <f t="shared" si="240"/>
        <v>1</v>
      </c>
      <c r="BN510" s="57">
        <f t="shared" si="240"/>
        <v>1</v>
      </c>
      <c r="BO510" s="32">
        <f t="shared" si="221"/>
        <v>0.32203389830508472</v>
      </c>
    </row>
    <row r="511" spans="1:67" x14ac:dyDescent="0.2">
      <c r="A511" s="50" t="s">
        <v>1030</v>
      </c>
      <c r="B511" s="50" t="s">
        <v>1031</v>
      </c>
      <c r="C511" s="50" t="s">
        <v>111</v>
      </c>
      <c r="D511" s="51">
        <f>VLOOKUP(A511,'[1]Cuadro Control'!C553:J2441,8,FALSE)</f>
        <v>1230815225.9452939</v>
      </c>
      <c r="E511" s="52">
        <f t="shared" si="237"/>
        <v>0.2318411625341423</v>
      </c>
      <c r="F511" s="53">
        <v>46493</v>
      </c>
      <c r="G511" s="53">
        <v>46494</v>
      </c>
      <c r="H511" s="52">
        <f t="shared" si="241"/>
        <v>0</v>
      </c>
      <c r="I511" s="52">
        <f t="shared" si="241"/>
        <v>0</v>
      </c>
      <c r="J511" s="52">
        <f t="shared" si="241"/>
        <v>0</v>
      </c>
      <c r="K511" s="52">
        <f t="shared" si="241"/>
        <v>0</v>
      </c>
      <c r="L511" s="52">
        <f t="shared" si="241"/>
        <v>0</v>
      </c>
      <c r="M511" s="52">
        <f t="shared" si="241"/>
        <v>0</v>
      </c>
      <c r="N511" s="52">
        <f t="shared" si="241"/>
        <v>0</v>
      </c>
      <c r="O511" s="52">
        <f t="shared" si="241"/>
        <v>0</v>
      </c>
      <c r="P511" s="52">
        <f t="shared" si="241"/>
        <v>0</v>
      </c>
      <c r="Q511" s="52">
        <f t="shared" si="241"/>
        <v>0</v>
      </c>
      <c r="R511" s="52">
        <f t="shared" si="241"/>
        <v>0</v>
      </c>
      <c r="S511" s="52">
        <f t="shared" si="241"/>
        <v>0</v>
      </c>
      <c r="T511" s="52">
        <f t="shared" si="241"/>
        <v>0</v>
      </c>
      <c r="U511" s="52">
        <f t="shared" si="241"/>
        <v>0</v>
      </c>
      <c r="V511" s="52">
        <f t="shared" si="241"/>
        <v>0</v>
      </c>
      <c r="W511" s="52">
        <f t="shared" si="241"/>
        <v>0</v>
      </c>
      <c r="X511" s="52">
        <f t="shared" si="242"/>
        <v>0</v>
      </c>
      <c r="Y511" s="52">
        <f t="shared" si="242"/>
        <v>0</v>
      </c>
      <c r="Z511" s="52">
        <f t="shared" si="242"/>
        <v>0</v>
      </c>
      <c r="AA511" s="52">
        <f t="shared" si="242"/>
        <v>0</v>
      </c>
      <c r="AB511" s="52">
        <f t="shared" si="242"/>
        <v>0</v>
      </c>
      <c r="AC511" s="52">
        <f t="shared" si="242"/>
        <v>0</v>
      </c>
      <c r="AD511" s="52">
        <f t="shared" si="242"/>
        <v>0</v>
      </c>
      <c r="AE511" s="52">
        <f t="shared" si="242"/>
        <v>0</v>
      </c>
      <c r="AF511" s="52">
        <f t="shared" si="242"/>
        <v>0</v>
      </c>
      <c r="AG511" s="52">
        <f t="shared" si="242"/>
        <v>0</v>
      </c>
      <c r="AH511" s="52">
        <f t="shared" si="242"/>
        <v>0</v>
      </c>
      <c r="AI511" s="52">
        <f t="shared" si="242"/>
        <v>0</v>
      </c>
      <c r="AJ511" s="52">
        <f t="shared" si="242"/>
        <v>0</v>
      </c>
      <c r="AK511" s="52">
        <f t="shared" si="242"/>
        <v>0</v>
      </c>
      <c r="AL511" s="52">
        <f t="shared" si="242"/>
        <v>0</v>
      </c>
      <c r="AM511" s="52">
        <f t="shared" si="242"/>
        <v>0</v>
      </c>
      <c r="AN511" s="52">
        <f t="shared" si="242"/>
        <v>0</v>
      </c>
      <c r="AO511" s="52">
        <f t="shared" si="239"/>
        <v>0</v>
      </c>
      <c r="AP511" s="52">
        <f t="shared" si="239"/>
        <v>0</v>
      </c>
      <c r="AQ511" s="52">
        <f t="shared" si="239"/>
        <v>0</v>
      </c>
      <c r="AR511" s="52">
        <f t="shared" si="239"/>
        <v>0</v>
      </c>
      <c r="AS511" s="52">
        <f t="shared" si="239"/>
        <v>0</v>
      </c>
      <c r="AT511" s="52">
        <f t="shared" si="239"/>
        <v>0</v>
      </c>
      <c r="AU511" s="52">
        <f t="shared" si="239"/>
        <v>0</v>
      </c>
      <c r="AV511" s="52">
        <f t="shared" si="239"/>
        <v>0.5</v>
      </c>
      <c r="AW511" s="52">
        <f t="shared" si="239"/>
        <v>1</v>
      </c>
      <c r="AX511" s="52">
        <f t="shared" si="239"/>
        <v>1</v>
      </c>
      <c r="AY511" s="52">
        <f t="shared" si="239"/>
        <v>1</v>
      </c>
      <c r="AZ511" s="52">
        <f t="shared" si="239"/>
        <v>1</v>
      </c>
      <c r="BA511" s="52">
        <f t="shared" si="239"/>
        <v>1</v>
      </c>
      <c r="BB511" s="52">
        <f t="shared" si="239"/>
        <v>1</v>
      </c>
      <c r="BC511" s="52">
        <f t="shared" si="239"/>
        <v>1</v>
      </c>
      <c r="BD511" s="52">
        <f t="shared" si="239"/>
        <v>1</v>
      </c>
      <c r="BE511" s="52">
        <f t="shared" si="239"/>
        <v>1</v>
      </c>
      <c r="BF511" s="52">
        <f t="shared" si="239"/>
        <v>1</v>
      </c>
      <c r="BG511" s="52">
        <f t="shared" si="240"/>
        <v>1</v>
      </c>
      <c r="BH511" s="52">
        <f t="shared" si="240"/>
        <v>1</v>
      </c>
      <c r="BI511" s="52">
        <f t="shared" si="240"/>
        <v>1</v>
      </c>
      <c r="BJ511" s="52">
        <f t="shared" si="240"/>
        <v>1</v>
      </c>
      <c r="BK511" s="52">
        <f t="shared" si="240"/>
        <v>1</v>
      </c>
      <c r="BL511" s="52">
        <f t="shared" si="240"/>
        <v>1</v>
      </c>
      <c r="BM511" s="52">
        <f t="shared" si="240"/>
        <v>1</v>
      </c>
      <c r="BN511" s="52">
        <f t="shared" si="240"/>
        <v>1</v>
      </c>
      <c r="BO511" s="32">
        <f t="shared" si="221"/>
        <v>0.3135593220338983</v>
      </c>
    </row>
    <row r="512" spans="1:67" x14ac:dyDescent="0.2">
      <c r="A512" s="50" t="s">
        <v>1032</v>
      </c>
      <c r="B512" s="50" t="s">
        <v>1033</v>
      </c>
      <c r="C512" s="50" t="s">
        <v>238</v>
      </c>
      <c r="D512" s="51">
        <f>VLOOKUP(A512,'[1]Cuadro Control'!C554:J2442,8,FALSE)</f>
        <v>0</v>
      </c>
      <c r="E512" s="52">
        <f t="shared" si="237"/>
        <v>0</v>
      </c>
      <c r="F512" s="53">
        <v>46494</v>
      </c>
      <c r="G512" s="53">
        <v>46501</v>
      </c>
      <c r="H512" s="52">
        <f t="shared" si="241"/>
        <v>0</v>
      </c>
      <c r="I512" s="52">
        <f t="shared" si="241"/>
        <v>0</v>
      </c>
      <c r="J512" s="52">
        <f t="shared" si="241"/>
        <v>0</v>
      </c>
      <c r="K512" s="52">
        <f t="shared" si="241"/>
        <v>0</v>
      </c>
      <c r="L512" s="52">
        <f t="shared" si="241"/>
        <v>0</v>
      </c>
      <c r="M512" s="52">
        <f t="shared" si="241"/>
        <v>0</v>
      </c>
      <c r="N512" s="52">
        <f t="shared" si="241"/>
        <v>0</v>
      </c>
      <c r="O512" s="52">
        <f t="shared" si="241"/>
        <v>0</v>
      </c>
      <c r="P512" s="52">
        <f t="shared" si="241"/>
        <v>0</v>
      </c>
      <c r="Q512" s="52">
        <f t="shared" si="241"/>
        <v>0</v>
      </c>
      <c r="R512" s="52">
        <f t="shared" si="241"/>
        <v>0</v>
      </c>
      <c r="S512" s="52">
        <f t="shared" si="241"/>
        <v>0</v>
      </c>
      <c r="T512" s="52">
        <f t="shared" si="241"/>
        <v>0</v>
      </c>
      <c r="U512" s="52">
        <f t="shared" si="241"/>
        <v>0</v>
      </c>
      <c r="V512" s="52">
        <f t="shared" si="241"/>
        <v>0</v>
      </c>
      <c r="W512" s="52">
        <f t="shared" si="241"/>
        <v>0</v>
      </c>
      <c r="X512" s="52">
        <f t="shared" si="242"/>
        <v>0</v>
      </c>
      <c r="Y512" s="52">
        <f t="shared" si="242"/>
        <v>0</v>
      </c>
      <c r="Z512" s="52">
        <f t="shared" si="242"/>
        <v>0</v>
      </c>
      <c r="AA512" s="52">
        <f t="shared" si="242"/>
        <v>0</v>
      </c>
      <c r="AB512" s="52">
        <f t="shared" si="242"/>
        <v>0</v>
      </c>
      <c r="AC512" s="52">
        <f t="shared" si="242"/>
        <v>0</v>
      </c>
      <c r="AD512" s="52">
        <f t="shared" si="242"/>
        <v>0</v>
      </c>
      <c r="AE512" s="52">
        <f t="shared" si="242"/>
        <v>0</v>
      </c>
      <c r="AF512" s="52">
        <f t="shared" si="242"/>
        <v>0</v>
      </c>
      <c r="AG512" s="52">
        <f t="shared" si="242"/>
        <v>0</v>
      </c>
      <c r="AH512" s="52">
        <f t="shared" si="242"/>
        <v>0</v>
      </c>
      <c r="AI512" s="52">
        <f t="shared" si="242"/>
        <v>0</v>
      </c>
      <c r="AJ512" s="52">
        <f t="shared" si="242"/>
        <v>0</v>
      </c>
      <c r="AK512" s="52">
        <f t="shared" si="242"/>
        <v>0</v>
      </c>
      <c r="AL512" s="52">
        <f t="shared" si="242"/>
        <v>0</v>
      </c>
      <c r="AM512" s="52">
        <f t="shared" si="242"/>
        <v>0</v>
      </c>
      <c r="AN512" s="52">
        <f t="shared" si="242"/>
        <v>0</v>
      </c>
      <c r="AO512" s="52">
        <f t="shared" si="239"/>
        <v>0</v>
      </c>
      <c r="AP512" s="52">
        <f t="shared" si="239"/>
        <v>0</v>
      </c>
      <c r="AQ512" s="52">
        <f t="shared" si="239"/>
        <v>0</v>
      </c>
      <c r="AR512" s="52">
        <f t="shared" si="239"/>
        <v>0</v>
      </c>
      <c r="AS512" s="52">
        <f t="shared" si="239"/>
        <v>0</v>
      </c>
      <c r="AT512" s="52">
        <f t="shared" si="239"/>
        <v>0</v>
      </c>
      <c r="AU512" s="52">
        <f t="shared" si="239"/>
        <v>0</v>
      </c>
      <c r="AV512" s="52">
        <f t="shared" si="239"/>
        <v>0</v>
      </c>
      <c r="AW512" s="52">
        <f t="shared" si="239"/>
        <v>0.875</v>
      </c>
      <c r="AX512" s="52">
        <f t="shared" si="239"/>
        <v>1</v>
      </c>
      <c r="AY512" s="52">
        <f t="shared" si="239"/>
        <v>1</v>
      </c>
      <c r="AZ512" s="52">
        <f t="shared" si="239"/>
        <v>1</v>
      </c>
      <c r="BA512" s="52">
        <f t="shared" si="239"/>
        <v>1</v>
      </c>
      <c r="BB512" s="52">
        <f t="shared" si="239"/>
        <v>1</v>
      </c>
      <c r="BC512" s="52">
        <f t="shared" si="239"/>
        <v>1</v>
      </c>
      <c r="BD512" s="52">
        <f t="shared" si="239"/>
        <v>1</v>
      </c>
      <c r="BE512" s="52">
        <f t="shared" si="239"/>
        <v>1</v>
      </c>
      <c r="BF512" s="52">
        <f t="shared" si="239"/>
        <v>1</v>
      </c>
      <c r="BG512" s="52">
        <f t="shared" si="240"/>
        <v>1</v>
      </c>
      <c r="BH512" s="52">
        <f t="shared" si="240"/>
        <v>1</v>
      </c>
      <c r="BI512" s="52">
        <f t="shared" si="240"/>
        <v>1</v>
      </c>
      <c r="BJ512" s="52">
        <f t="shared" si="240"/>
        <v>1</v>
      </c>
      <c r="BK512" s="52">
        <f t="shared" si="240"/>
        <v>1</v>
      </c>
      <c r="BL512" s="52">
        <f t="shared" si="240"/>
        <v>1</v>
      </c>
      <c r="BM512" s="52">
        <f t="shared" si="240"/>
        <v>1</v>
      </c>
      <c r="BN512" s="52">
        <f t="shared" si="240"/>
        <v>1</v>
      </c>
      <c r="BO512" s="32">
        <f t="shared" si="221"/>
        <v>0.30296610169491528</v>
      </c>
    </row>
    <row r="513" spans="1:67" ht="24" x14ac:dyDescent="0.2">
      <c r="A513" s="50" t="s">
        <v>1034</v>
      </c>
      <c r="B513" s="50" t="s">
        <v>1035</v>
      </c>
      <c r="C513" s="50" t="s">
        <v>126</v>
      </c>
      <c r="D513" s="51">
        <f>VLOOKUP(A513,'[1]Cuadro Control'!C555:J2443,8,FALSE)</f>
        <v>52736347.43270281</v>
      </c>
      <c r="E513" s="52">
        <f t="shared" si="237"/>
        <v>9.933624348213644E-3</v>
      </c>
      <c r="F513" s="53">
        <v>46501</v>
      </c>
      <c r="G513" s="53">
        <v>46505</v>
      </c>
      <c r="H513" s="52">
        <f t="shared" si="241"/>
        <v>0</v>
      </c>
      <c r="I513" s="52">
        <f t="shared" si="241"/>
        <v>0</v>
      </c>
      <c r="J513" s="52">
        <f t="shared" si="241"/>
        <v>0</v>
      </c>
      <c r="K513" s="52">
        <f t="shared" si="241"/>
        <v>0</v>
      </c>
      <c r="L513" s="52">
        <f t="shared" si="241"/>
        <v>0</v>
      </c>
      <c r="M513" s="52">
        <f t="shared" si="241"/>
        <v>0</v>
      </c>
      <c r="N513" s="52">
        <f t="shared" si="241"/>
        <v>0</v>
      </c>
      <c r="O513" s="52">
        <f t="shared" si="241"/>
        <v>0</v>
      </c>
      <c r="P513" s="52">
        <f t="shared" si="241"/>
        <v>0</v>
      </c>
      <c r="Q513" s="52">
        <f t="shared" si="241"/>
        <v>0</v>
      </c>
      <c r="R513" s="52">
        <f t="shared" si="241"/>
        <v>0</v>
      </c>
      <c r="S513" s="52">
        <f t="shared" si="241"/>
        <v>0</v>
      </c>
      <c r="T513" s="52">
        <f t="shared" si="241"/>
        <v>0</v>
      </c>
      <c r="U513" s="52">
        <f t="shared" si="241"/>
        <v>0</v>
      </c>
      <c r="V513" s="52">
        <f t="shared" si="241"/>
        <v>0</v>
      </c>
      <c r="W513" s="52">
        <f t="shared" si="241"/>
        <v>0</v>
      </c>
      <c r="X513" s="52">
        <f t="shared" si="242"/>
        <v>0</v>
      </c>
      <c r="Y513" s="52">
        <f t="shared" si="242"/>
        <v>0</v>
      </c>
      <c r="Z513" s="52">
        <f t="shared" si="242"/>
        <v>0</v>
      </c>
      <c r="AA513" s="52">
        <f t="shared" si="242"/>
        <v>0</v>
      </c>
      <c r="AB513" s="52">
        <f t="shared" si="242"/>
        <v>0</v>
      </c>
      <c r="AC513" s="52">
        <f t="shared" si="242"/>
        <v>0</v>
      </c>
      <c r="AD513" s="52">
        <f t="shared" si="242"/>
        <v>0</v>
      </c>
      <c r="AE513" s="52">
        <f t="shared" si="242"/>
        <v>0</v>
      </c>
      <c r="AF513" s="52">
        <f t="shared" si="242"/>
        <v>0</v>
      </c>
      <c r="AG513" s="52">
        <f t="shared" si="242"/>
        <v>0</v>
      </c>
      <c r="AH513" s="52">
        <f t="shared" si="242"/>
        <v>0</v>
      </c>
      <c r="AI513" s="52">
        <f t="shared" si="242"/>
        <v>0</v>
      </c>
      <c r="AJ513" s="52">
        <f t="shared" si="242"/>
        <v>0</v>
      </c>
      <c r="AK513" s="52">
        <f t="shared" si="242"/>
        <v>0</v>
      </c>
      <c r="AL513" s="52">
        <f t="shared" si="242"/>
        <v>0</v>
      </c>
      <c r="AM513" s="52">
        <f t="shared" si="242"/>
        <v>0</v>
      </c>
      <c r="AN513" s="52">
        <f t="shared" si="242"/>
        <v>0</v>
      </c>
      <c r="AO513" s="52">
        <f t="shared" si="239"/>
        <v>0</v>
      </c>
      <c r="AP513" s="52">
        <f t="shared" si="239"/>
        <v>0</v>
      </c>
      <c r="AQ513" s="52">
        <f t="shared" si="239"/>
        <v>0</v>
      </c>
      <c r="AR513" s="52">
        <f t="shared" si="239"/>
        <v>0</v>
      </c>
      <c r="AS513" s="52">
        <f t="shared" si="239"/>
        <v>0</v>
      </c>
      <c r="AT513" s="52">
        <f t="shared" si="239"/>
        <v>0</v>
      </c>
      <c r="AU513" s="52">
        <f t="shared" si="239"/>
        <v>0</v>
      </c>
      <c r="AV513" s="52">
        <f t="shared" si="239"/>
        <v>0</v>
      </c>
      <c r="AW513" s="52">
        <f t="shared" si="239"/>
        <v>0</v>
      </c>
      <c r="AX513" s="52">
        <f t="shared" si="239"/>
        <v>1</v>
      </c>
      <c r="AY513" s="52">
        <f t="shared" si="239"/>
        <v>1</v>
      </c>
      <c r="AZ513" s="52">
        <f t="shared" si="239"/>
        <v>1</v>
      </c>
      <c r="BA513" s="52">
        <f t="shared" si="239"/>
        <v>1</v>
      </c>
      <c r="BB513" s="52">
        <f t="shared" si="239"/>
        <v>1</v>
      </c>
      <c r="BC513" s="52">
        <f t="shared" si="239"/>
        <v>1</v>
      </c>
      <c r="BD513" s="52">
        <f t="shared" si="239"/>
        <v>1</v>
      </c>
      <c r="BE513" s="52">
        <f t="shared" si="239"/>
        <v>1</v>
      </c>
      <c r="BF513" s="52">
        <f t="shared" si="239"/>
        <v>1</v>
      </c>
      <c r="BG513" s="52">
        <f t="shared" si="240"/>
        <v>1</v>
      </c>
      <c r="BH513" s="52">
        <f t="shared" si="240"/>
        <v>1</v>
      </c>
      <c r="BI513" s="52">
        <f t="shared" si="240"/>
        <v>1</v>
      </c>
      <c r="BJ513" s="52">
        <f t="shared" si="240"/>
        <v>1</v>
      </c>
      <c r="BK513" s="52">
        <f t="shared" si="240"/>
        <v>1</v>
      </c>
      <c r="BL513" s="52">
        <f t="shared" si="240"/>
        <v>1</v>
      </c>
      <c r="BM513" s="52">
        <f t="shared" si="240"/>
        <v>1</v>
      </c>
      <c r="BN513" s="52">
        <f t="shared" si="240"/>
        <v>1</v>
      </c>
      <c r="BO513" s="32">
        <f t="shared" si="221"/>
        <v>0.28813559322033899</v>
      </c>
    </row>
    <row r="514" spans="1:67" ht="24" x14ac:dyDescent="0.2">
      <c r="A514" s="50" t="s">
        <v>1036</v>
      </c>
      <c r="B514" s="50" t="s">
        <v>1037</v>
      </c>
      <c r="C514" s="50" t="s">
        <v>117</v>
      </c>
      <c r="D514" s="51">
        <f>VLOOKUP(A514,'[1]Cuadro Control'!C556:J2444,8,FALSE)</f>
        <v>46410609.014634147</v>
      </c>
      <c r="E514" s="52">
        <f t="shared" si="237"/>
        <v>8.742083556535862E-3</v>
      </c>
      <c r="F514" s="53">
        <v>46505</v>
      </c>
      <c r="G514" s="53">
        <v>46507</v>
      </c>
      <c r="H514" s="52">
        <f t="shared" si="241"/>
        <v>0</v>
      </c>
      <c r="I514" s="52">
        <f t="shared" si="241"/>
        <v>0</v>
      </c>
      <c r="J514" s="52">
        <f t="shared" si="241"/>
        <v>0</v>
      </c>
      <c r="K514" s="52">
        <f t="shared" si="241"/>
        <v>0</v>
      </c>
      <c r="L514" s="52">
        <f t="shared" si="241"/>
        <v>0</v>
      </c>
      <c r="M514" s="52">
        <f t="shared" si="241"/>
        <v>0</v>
      </c>
      <c r="N514" s="52">
        <f t="shared" si="241"/>
        <v>0</v>
      </c>
      <c r="O514" s="52">
        <f t="shared" si="241"/>
        <v>0</v>
      </c>
      <c r="P514" s="52">
        <f t="shared" si="241"/>
        <v>0</v>
      </c>
      <c r="Q514" s="52">
        <f t="shared" si="241"/>
        <v>0</v>
      </c>
      <c r="R514" s="52">
        <f t="shared" si="241"/>
        <v>0</v>
      </c>
      <c r="S514" s="52">
        <f t="shared" si="241"/>
        <v>0</v>
      </c>
      <c r="T514" s="52">
        <f t="shared" si="241"/>
        <v>0</v>
      </c>
      <c r="U514" s="52">
        <f t="shared" si="241"/>
        <v>0</v>
      </c>
      <c r="V514" s="52">
        <f t="shared" si="241"/>
        <v>0</v>
      </c>
      <c r="W514" s="52">
        <f t="shared" si="241"/>
        <v>0</v>
      </c>
      <c r="X514" s="52">
        <f t="shared" si="242"/>
        <v>0</v>
      </c>
      <c r="Y514" s="52">
        <f t="shared" si="242"/>
        <v>0</v>
      </c>
      <c r="Z514" s="52">
        <f t="shared" si="242"/>
        <v>0</v>
      </c>
      <c r="AA514" s="52">
        <f t="shared" si="242"/>
        <v>0</v>
      </c>
      <c r="AB514" s="52">
        <f t="shared" si="242"/>
        <v>0</v>
      </c>
      <c r="AC514" s="52">
        <f t="shared" si="242"/>
        <v>0</v>
      </c>
      <c r="AD514" s="52">
        <f t="shared" si="242"/>
        <v>0</v>
      </c>
      <c r="AE514" s="52">
        <f t="shared" si="242"/>
        <v>0</v>
      </c>
      <c r="AF514" s="52">
        <f t="shared" si="242"/>
        <v>0</v>
      </c>
      <c r="AG514" s="52">
        <f t="shared" si="242"/>
        <v>0</v>
      </c>
      <c r="AH514" s="52">
        <f t="shared" si="242"/>
        <v>0</v>
      </c>
      <c r="AI514" s="52">
        <f t="shared" si="242"/>
        <v>0</v>
      </c>
      <c r="AJ514" s="52">
        <f t="shared" si="242"/>
        <v>0</v>
      </c>
      <c r="AK514" s="52">
        <f t="shared" si="242"/>
        <v>0</v>
      </c>
      <c r="AL514" s="52">
        <f t="shared" si="242"/>
        <v>0</v>
      </c>
      <c r="AM514" s="52">
        <f t="shared" si="242"/>
        <v>0</v>
      </c>
      <c r="AN514" s="52">
        <f t="shared" si="242"/>
        <v>0</v>
      </c>
      <c r="AO514" s="52">
        <f t="shared" si="239"/>
        <v>0</v>
      </c>
      <c r="AP514" s="52">
        <f t="shared" si="239"/>
        <v>0</v>
      </c>
      <c r="AQ514" s="52">
        <f t="shared" si="239"/>
        <v>0</v>
      </c>
      <c r="AR514" s="52">
        <f t="shared" si="239"/>
        <v>0</v>
      </c>
      <c r="AS514" s="52">
        <f t="shared" si="239"/>
        <v>0</v>
      </c>
      <c r="AT514" s="52">
        <f t="shared" si="239"/>
        <v>0</v>
      </c>
      <c r="AU514" s="52">
        <f t="shared" si="239"/>
        <v>0</v>
      </c>
      <c r="AV514" s="52">
        <f t="shared" si="239"/>
        <v>0</v>
      </c>
      <c r="AW514" s="52">
        <f t="shared" si="239"/>
        <v>0</v>
      </c>
      <c r="AX514" s="52">
        <f t="shared" si="239"/>
        <v>1</v>
      </c>
      <c r="AY514" s="52">
        <f t="shared" si="239"/>
        <v>1</v>
      </c>
      <c r="AZ514" s="52">
        <f t="shared" si="239"/>
        <v>1</v>
      </c>
      <c r="BA514" s="52">
        <f t="shared" si="239"/>
        <v>1</v>
      </c>
      <c r="BB514" s="52">
        <f t="shared" si="239"/>
        <v>1</v>
      </c>
      <c r="BC514" s="52">
        <f t="shared" si="239"/>
        <v>1</v>
      </c>
      <c r="BD514" s="52">
        <f t="shared" si="239"/>
        <v>1</v>
      </c>
      <c r="BE514" s="52">
        <f t="shared" si="239"/>
        <v>1</v>
      </c>
      <c r="BF514" s="52">
        <f t="shared" si="239"/>
        <v>1</v>
      </c>
      <c r="BG514" s="52">
        <f t="shared" si="240"/>
        <v>1</v>
      </c>
      <c r="BH514" s="52">
        <f t="shared" si="240"/>
        <v>1</v>
      </c>
      <c r="BI514" s="52">
        <f t="shared" si="240"/>
        <v>1</v>
      </c>
      <c r="BJ514" s="52">
        <f t="shared" si="240"/>
        <v>1</v>
      </c>
      <c r="BK514" s="52">
        <f t="shared" si="240"/>
        <v>1</v>
      </c>
      <c r="BL514" s="52">
        <f t="shared" si="240"/>
        <v>1</v>
      </c>
      <c r="BM514" s="52">
        <f t="shared" si="240"/>
        <v>1</v>
      </c>
      <c r="BN514" s="52">
        <f t="shared" si="240"/>
        <v>1</v>
      </c>
      <c r="BO514" s="32">
        <f t="shared" si="221"/>
        <v>0.28813559322033899</v>
      </c>
    </row>
    <row r="515" spans="1:67" ht="24" x14ac:dyDescent="0.2">
      <c r="A515" s="50" t="s">
        <v>1038</v>
      </c>
      <c r="B515" s="50" t="s">
        <v>1039</v>
      </c>
      <c r="C515" s="50" t="s">
        <v>61</v>
      </c>
      <c r="D515" s="51">
        <f>VLOOKUP(A515,'[1]Cuadro Control'!C557:J2445,8,FALSE)</f>
        <v>1587346329.5488234</v>
      </c>
      <c r="E515" s="52">
        <f t="shared" si="237"/>
        <v>0.29899875353285565</v>
      </c>
      <c r="F515" s="53">
        <v>46505</v>
      </c>
      <c r="G515" s="53">
        <v>46515</v>
      </c>
      <c r="H515" s="52">
        <f t="shared" si="241"/>
        <v>0</v>
      </c>
      <c r="I515" s="52">
        <f t="shared" si="241"/>
        <v>0</v>
      </c>
      <c r="J515" s="52">
        <f t="shared" si="241"/>
        <v>0</v>
      </c>
      <c r="K515" s="52">
        <f t="shared" si="241"/>
        <v>0</v>
      </c>
      <c r="L515" s="52">
        <f t="shared" si="241"/>
        <v>0</v>
      </c>
      <c r="M515" s="52">
        <f t="shared" si="241"/>
        <v>0</v>
      </c>
      <c r="N515" s="52">
        <f t="shared" si="241"/>
        <v>0</v>
      </c>
      <c r="O515" s="52">
        <f t="shared" si="241"/>
        <v>0</v>
      </c>
      <c r="P515" s="52">
        <f t="shared" si="241"/>
        <v>0</v>
      </c>
      <c r="Q515" s="52">
        <f t="shared" si="241"/>
        <v>0</v>
      </c>
      <c r="R515" s="52">
        <f t="shared" si="241"/>
        <v>0</v>
      </c>
      <c r="S515" s="52">
        <f t="shared" si="241"/>
        <v>0</v>
      </c>
      <c r="T515" s="52">
        <f t="shared" si="241"/>
        <v>0</v>
      </c>
      <c r="U515" s="52">
        <f t="shared" si="241"/>
        <v>0</v>
      </c>
      <c r="V515" s="52">
        <f t="shared" si="241"/>
        <v>0</v>
      </c>
      <c r="W515" s="52">
        <f t="shared" si="241"/>
        <v>0</v>
      </c>
      <c r="X515" s="52">
        <f t="shared" si="242"/>
        <v>0</v>
      </c>
      <c r="Y515" s="52">
        <f t="shared" si="242"/>
        <v>0</v>
      </c>
      <c r="Z515" s="52">
        <f t="shared" si="242"/>
        <v>0</v>
      </c>
      <c r="AA515" s="52">
        <f t="shared" si="242"/>
        <v>0</v>
      </c>
      <c r="AB515" s="52">
        <f t="shared" si="242"/>
        <v>0</v>
      </c>
      <c r="AC515" s="52">
        <f t="shared" si="242"/>
        <v>0</v>
      </c>
      <c r="AD515" s="52">
        <f t="shared" si="242"/>
        <v>0</v>
      </c>
      <c r="AE515" s="52">
        <f t="shared" si="242"/>
        <v>0</v>
      </c>
      <c r="AF515" s="52">
        <f t="shared" si="242"/>
        <v>0</v>
      </c>
      <c r="AG515" s="52">
        <f t="shared" si="242"/>
        <v>0</v>
      </c>
      <c r="AH515" s="52">
        <f t="shared" si="242"/>
        <v>0</v>
      </c>
      <c r="AI515" s="52">
        <f t="shared" si="242"/>
        <v>0</v>
      </c>
      <c r="AJ515" s="52">
        <f t="shared" si="242"/>
        <v>0</v>
      </c>
      <c r="AK515" s="52">
        <f t="shared" si="242"/>
        <v>0</v>
      </c>
      <c r="AL515" s="52">
        <f t="shared" si="242"/>
        <v>0</v>
      </c>
      <c r="AM515" s="52">
        <f t="shared" si="242"/>
        <v>0</v>
      </c>
      <c r="AN515" s="52">
        <f t="shared" si="242"/>
        <v>0</v>
      </c>
      <c r="AO515" s="52">
        <f t="shared" si="239"/>
        <v>0</v>
      </c>
      <c r="AP515" s="52">
        <f t="shared" si="239"/>
        <v>0</v>
      </c>
      <c r="AQ515" s="52">
        <f t="shared" si="239"/>
        <v>0</v>
      </c>
      <c r="AR515" s="52">
        <f t="shared" si="239"/>
        <v>0</v>
      </c>
      <c r="AS515" s="52">
        <f t="shared" si="239"/>
        <v>0</v>
      </c>
      <c r="AT515" s="52">
        <f t="shared" si="239"/>
        <v>0</v>
      </c>
      <c r="AU515" s="52">
        <f t="shared" si="239"/>
        <v>0</v>
      </c>
      <c r="AV515" s="52">
        <f t="shared" si="239"/>
        <v>0</v>
      </c>
      <c r="AW515" s="52">
        <f t="shared" si="239"/>
        <v>0</v>
      </c>
      <c r="AX515" s="52">
        <f t="shared" si="239"/>
        <v>0.27272727272727271</v>
      </c>
      <c r="AY515" s="52">
        <f t="shared" si="239"/>
        <v>0.90909090909090906</v>
      </c>
      <c r="AZ515" s="52">
        <f t="shared" si="239"/>
        <v>1</v>
      </c>
      <c r="BA515" s="52">
        <f t="shared" si="239"/>
        <v>1</v>
      </c>
      <c r="BB515" s="52">
        <f t="shared" si="239"/>
        <v>1</v>
      </c>
      <c r="BC515" s="52">
        <f t="shared" si="239"/>
        <v>1</v>
      </c>
      <c r="BD515" s="52">
        <f t="shared" si="239"/>
        <v>1</v>
      </c>
      <c r="BE515" s="52">
        <f t="shared" si="239"/>
        <v>1</v>
      </c>
      <c r="BF515" s="52">
        <f t="shared" si="239"/>
        <v>1</v>
      </c>
      <c r="BG515" s="52">
        <f t="shared" si="240"/>
        <v>1</v>
      </c>
      <c r="BH515" s="52">
        <f t="shared" si="240"/>
        <v>1</v>
      </c>
      <c r="BI515" s="52">
        <f t="shared" si="240"/>
        <v>1</v>
      </c>
      <c r="BJ515" s="52">
        <f t="shared" si="240"/>
        <v>1</v>
      </c>
      <c r="BK515" s="52">
        <f t="shared" si="240"/>
        <v>1</v>
      </c>
      <c r="BL515" s="52">
        <f t="shared" si="240"/>
        <v>1</v>
      </c>
      <c r="BM515" s="52">
        <f t="shared" si="240"/>
        <v>1</v>
      </c>
      <c r="BN515" s="52">
        <f t="shared" si="240"/>
        <v>1</v>
      </c>
      <c r="BO515" s="32">
        <f t="shared" si="221"/>
        <v>0.27426810477657931</v>
      </c>
    </row>
    <row r="516" spans="1:67" ht="30" x14ac:dyDescent="0.2">
      <c r="A516" s="46" t="s">
        <v>1040</v>
      </c>
      <c r="B516" s="46" t="s">
        <v>1041</v>
      </c>
      <c r="C516" s="46" t="s">
        <v>61</v>
      </c>
      <c r="D516" s="47">
        <f>VLOOKUP(A516,'[1]Cuadro Control'!C558:J2446,8,FALSE)</f>
        <v>179532477.23999998</v>
      </c>
      <c r="E516" s="48">
        <f t="shared" si="237"/>
        <v>3.3817438522495219E-2</v>
      </c>
      <c r="F516" s="49">
        <v>46507</v>
      </c>
      <c r="G516" s="49">
        <v>46520</v>
      </c>
      <c r="H516" s="48">
        <f t="shared" si="241"/>
        <v>0</v>
      </c>
      <c r="I516" s="48">
        <f t="shared" si="241"/>
        <v>0</v>
      </c>
      <c r="J516" s="48">
        <f t="shared" si="241"/>
        <v>0</v>
      </c>
      <c r="K516" s="48">
        <f t="shared" si="241"/>
        <v>0</v>
      </c>
      <c r="L516" s="48">
        <f t="shared" si="241"/>
        <v>0</v>
      </c>
      <c r="M516" s="48">
        <f t="shared" si="241"/>
        <v>0</v>
      </c>
      <c r="N516" s="48">
        <f t="shared" si="241"/>
        <v>0</v>
      </c>
      <c r="O516" s="48">
        <f t="shared" si="241"/>
        <v>0</v>
      </c>
      <c r="P516" s="48">
        <f t="shared" si="241"/>
        <v>0</v>
      </c>
      <c r="Q516" s="48">
        <f t="shared" si="241"/>
        <v>0</v>
      </c>
      <c r="R516" s="48">
        <f t="shared" si="241"/>
        <v>0</v>
      </c>
      <c r="S516" s="48">
        <f t="shared" si="241"/>
        <v>0</v>
      </c>
      <c r="T516" s="48">
        <f t="shared" si="241"/>
        <v>0</v>
      </c>
      <c r="U516" s="48">
        <f t="shared" si="241"/>
        <v>0</v>
      </c>
      <c r="V516" s="48">
        <f t="shared" si="241"/>
        <v>0</v>
      </c>
      <c r="W516" s="48">
        <f t="shared" si="241"/>
        <v>0</v>
      </c>
      <c r="X516" s="48">
        <f t="shared" si="242"/>
        <v>0</v>
      </c>
      <c r="Y516" s="48">
        <f t="shared" si="242"/>
        <v>0</v>
      </c>
      <c r="Z516" s="48">
        <f t="shared" si="242"/>
        <v>0</v>
      </c>
      <c r="AA516" s="48">
        <f t="shared" si="242"/>
        <v>0</v>
      </c>
      <c r="AB516" s="48">
        <f t="shared" si="242"/>
        <v>0</v>
      </c>
      <c r="AC516" s="48">
        <f t="shared" si="242"/>
        <v>0</v>
      </c>
      <c r="AD516" s="48">
        <f t="shared" si="242"/>
        <v>0</v>
      </c>
      <c r="AE516" s="48">
        <f t="shared" si="242"/>
        <v>0</v>
      </c>
      <c r="AF516" s="48">
        <f t="shared" si="242"/>
        <v>0</v>
      </c>
      <c r="AG516" s="48">
        <f t="shared" si="242"/>
        <v>0</v>
      </c>
      <c r="AH516" s="48">
        <f t="shared" si="242"/>
        <v>0</v>
      </c>
      <c r="AI516" s="48">
        <f t="shared" si="242"/>
        <v>0</v>
      </c>
      <c r="AJ516" s="48">
        <f t="shared" si="242"/>
        <v>0</v>
      </c>
      <c r="AK516" s="48">
        <f t="shared" si="242"/>
        <v>0</v>
      </c>
      <c r="AL516" s="48">
        <f t="shared" si="242"/>
        <v>0</v>
      </c>
      <c r="AM516" s="48">
        <f t="shared" si="242"/>
        <v>0</v>
      </c>
      <c r="AN516" s="48">
        <f t="shared" si="242"/>
        <v>0</v>
      </c>
      <c r="AO516" s="48">
        <f t="shared" si="239"/>
        <v>0</v>
      </c>
      <c r="AP516" s="48">
        <f t="shared" si="239"/>
        <v>0</v>
      </c>
      <c r="AQ516" s="48">
        <f t="shared" si="239"/>
        <v>0</v>
      </c>
      <c r="AR516" s="48">
        <f t="shared" si="239"/>
        <v>0</v>
      </c>
      <c r="AS516" s="48">
        <f t="shared" si="239"/>
        <v>0</v>
      </c>
      <c r="AT516" s="48">
        <f t="shared" si="239"/>
        <v>0</v>
      </c>
      <c r="AU516" s="48">
        <f t="shared" si="239"/>
        <v>0</v>
      </c>
      <c r="AV516" s="48">
        <f t="shared" si="239"/>
        <v>0</v>
      </c>
      <c r="AW516" s="48">
        <f t="shared" si="239"/>
        <v>0</v>
      </c>
      <c r="AX516" s="48">
        <f t="shared" si="239"/>
        <v>7.1428571428571425E-2</v>
      </c>
      <c r="AY516" s="48">
        <f t="shared" si="239"/>
        <v>0.5714285714285714</v>
      </c>
      <c r="AZ516" s="48">
        <f t="shared" si="239"/>
        <v>1</v>
      </c>
      <c r="BA516" s="48">
        <f t="shared" si="239"/>
        <v>1</v>
      </c>
      <c r="BB516" s="48">
        <f t="shared" si="239"/>
        <v>1</v>
      </c>
      <c r="BC516" s="48">
        <f t="shared" si="239"/>
        <v>1</v>
      </c>
      <c r="BD516" s="48">
        <f t="shared" si="239"/>
        <v>1</v>
      </c>
      <c r="BE516" s="48">
        <f t="shared" si="239"/>
        <v>1</v>
      </c>
      <c r="BF516" s="48">
        <f t="shared" si="239"/>
        <v>1</v>
      </c>
      <c r="BG516" s="48">
        <f t="shared" si="240"/>
        <v>1</v>
      </c>
      <c r="BH516" s="48">
        <f t="shared" si="240"/>
        <v>1</v>
      </c>
      <c r="BI516" s="48">
        <f t="shared" si="240"/>
        <v>1</v>
      </c>
      <c r="BJ516" s="48">
        <f t="shared" si="240"/>
        <v>1</v>
      </c>
      <c r="BK516" s="48">
        <f t="shared" si="240"/>
        <v>1</v>
      </c>
      <c r="BL516" s="48">
        <f t="shared" si="240"/>
        <v>1</v>
      </c>
      <c r="BM516" s="48">
        <f t="shared" si="240"/>
        <v>1</v>
      </c>
      <c r="BN516" s="48">
        <f t="shared" si="240"/>
        <v>1</v>
      </c>
      <c r="BO516" s="32">
        <f t="shared" si="221"/>
        <v>0.26513317191283292</v>
      </c>
    </row>
    <row r="517" spans="1:67" ht="24" x14ac:dyDescent="0.2">
      <c r="A517" s="55" t="s">
        <v>1042</v>
      </c>
      <c r="B517" s="55" t="s">
        <v>1043</v>
      </c>
      <c r="C517" s="55" t="s">
        <v>14</v>
      </c>
      <c r="D517" s="56">
        <f>VLOOKUP(A517,'[1]Cuadro Control'!C559:J2447,8,FALSE)</f>
        <v>0</v>
      </c>
      <c r="E517" s="57">
        <f>IFERROR(D517/$D$501,0)</f>
        <v>0</v>
      </c>
      <c r="F517" s="58">
        <v>46520</v>
      </c>
      <c r="G517" s="58">
        <v>46520</v>
      </c>
      <c r="H517" s="57">
        <f t="shared" si="241"/>
        <v>0</v>
      </c>
      <c r="I517" s="57">
        <f t="shared" si="241"/>
        <v>0</v>
      </c>
      <c r="J517" s="57">
        <f t="shared" si="241"/>
        <v>0</v>
      </c>
      <c r="K517" s="57">
        <f t="shared" si="241"/>
        <v>0</v>
      </c>
      <c r="L517" s="57">
        <f t="shared" si="241"/>
        <v>0</v>
      </c>
      <c r="M517" s="57">
        <f t="shared" si="241"/>
        <v>0</v>
      </c>
      <c r="N517" s="57">
        <f t="shared" si="241"/>
        <v>0</v>
      </c>
      <c r="O517" s="57">
        <f t="shared" si="241"/>
        <v>0</v>
      </c>
      <c r="P517" s="57">
        <f t="shared" si="241"/>
        <v>0</v>
      </c>
      <c r="Q517" s="57">
        <f t="shared" si="241"/>
        <v>0</v>
      </c>
      <c r="R517" s="57">
        <f t="shared" si="241"/>
        <v>0</v>
      </c>
      <c r="S517" s="57">
        <f t="shared" si="241"/>
        <v>0</v>
      </c>
      <c r="T517" s="57">
        <f t="shared" si="241"/>
        <v>0</v>
      </c>
      <c r="U517" s="57">
        <f t="shared" si="241"/>
        <v>0</v>
      </c>
      <c r="V517" s="57">
        <f t="shared" si="241"/>
        <v>0</v>
      </c>
      <c r="W517" s="57">
        <f t="shared" si="241"/>
        <v>0</v>
      </c>
      <c r="X517" s="57">
        <f t="shared" si="242"/>
        <v>0</v>
      </c>
      <c r="Y517" s="57">
        <f t="shared" si="242"/>
        <v>0</v>
      </c>
      <c r="Z517" s="57">
        <f t="shared" si="242"/>
        <v>0</v>
      </c>
      <c r="AA517" s="57">
        <f t="shared" si="242"/>
        <v>0</v>
      </c>
      <c r="AB517" s="57">
        <f t="shared" si="242"/>
        <v>0</v>
      </c>
      <c r="AC517" s="57">
        <f t="shared" si="242"/>
        <v>0</v>
      </c>
      <c r="AD517" s="57">
        <f t="shared" si="242"/>
        <v>0</v>
      </c>
      <c r="AE517" s="57">
        <f t="shared" si="242"/>
        <v>0</v>
      </c>
      <c r="AF517" s="57">
        <f t="shared" si="242"/>
        <v>0</v>
      </c>
      <c r="AG517" s="57">
        <f t="shared" si="242"/>
        <v>0</v>
      </c>
      <c r="AH517" s="57">
        <f t="shared" si="242"/>
        <v>0</v>
      </c>
      <c r="AI517" s="57">
        <f t="shared" si="242"/>
        <v>0</v>
      </c>
      <c r="AJ517" s="57">
        <f t="shared" si="242"/>
        <v>0</v>
      </c>
      <c r="AK517" s="57">
        <f t="shared" si="242"/>
        <v>0</v>
      </c>
      <c r="AL517" s="57">
        <f t="shared" si="242"/>
        <v>0</v>
      </c>
      <c r="AM517" s="57">
        <f t="shared" si="242"/>
        <v>0</v>
      </c>
      <c r="AN517" s="57">
        <f t="shared" si="242"/>
        <v>0</v>
      </c>
      <c r="AO517" s="57">
        <f t="shared" si="242"/>
        <v>0</v>
      </c>
      <c r="AP517" s="57">
        <f t="shared" si="242"/>
        <v>0</v>
      </c>
      <c r="AQ517" s="57">
        <f t="shared" si="242"/>
        <v>0</v>
      </c>
      <c r="AR517" s="57">
        <f t="shared" si="242"/>
        <v>0</v>
      </c>
      <c r="AS517" s="57">
        <f t="shared" si="242"/>
        <v>0</v>
      </c>
      <c r="AT517" s="57">
        <f t="shared" si="242"/>
        <v>0</v>
      </c>
      <c r="AU517" s="57">
        <f t="shared" si="242"/>
        <v>0</v>
      </c>
      <c r="AV517" s="57">
        <f t="shared" si="242"/>
        <v>0</v>
      </c>
      <c r="AW517" s="57">
        <f t="shared" si="242"/>
        <v>0</v>
      </c>
      <c r="AX517" s="57">
        <f t="shared" si="242"/>
        <v>0</v>
      </c>
      <c r="AY517" s="57">
        <f t="shared" si="242"/>
        <v>0</v>
      </c>
      <c r="AZ517" s="57">
        <f t="shared" si="242"/>
        <v>1</v>
      </c>
      <c r="BA517" s="57">
        <f t="shared" si="242"/>
        <v>1</v>
      </c>
      <c r="BB517" s="57">
        <f t="shared" si="242"/>
        <v>1</v>
      </c>
      <c r="BC517" s="57">
        <f t="shared" si="242"/>
        <v>1</v>
      </c>
      <c r="BD517" s="57">
        <f t="shared" si="239"/>
        <v>1</v>
      </c>
      <c r="BE517" s="57">
        <f t="shared" si="239"/>
        <v>1</v>
      </c>
      <c r="BF517" s="57">
        <f t="shared" si="239"/>
        <v>1</v>
      </c>
      <c r="BG517" s="57">
        <f t="shared" si="240"/>
        <v>1</v>
      </c>
      <c r="BH517" s="57">
        <f t="shared" si="240"/>
        <v>1</v>
      </c>
      <c r="BI517" s="57">
        <f t="shared" si="240"/>
        <v>1</v>
      </c>
      <c r="BJ517" s="57">
        <f t="shared" si="240"/>
        <v>1</v>
      </c>
      <c r="BK517" s="57">
        <f t="shared" si="240"/>
        <v>1</v>
      </c>
      <c r="BL517" s="57">
        <f t="shared" si="240"/>
        <v>1</v>
      </c>
      <c r="BM517" s="57">
        <f t="shared" si="240"/>
        <v>1</v>
      </c>
      <c r="BN517" s="57">
        <f t="shared" si="240"/>
        <v>1</v>
      </c>
      <c r="BO517" s="32">
        <f t="shared" si="221"/>
        <v>0.25423728813559321</v>
      </c>
    </row>
    <row r="518" spans="1:67" x14ac:dyDescent="0.2">
      <c r="A518" s="42" t="s">
        <v>1044</v>
      </c>
      <c r="B518" s="42" t="s">
        <v>1045</v>
      </c>
      <c r="C518" s="42" t="s">
        <v>467</v>
      </c>
      <c r="D518" s="43">
        <f>SUM(D519:D534)</f>
        <v>5308872732.0543728</v>
      </c>
      <c r="E518" s="44">
        <f>IFERROR(D518/$D$109,0)</f>
        <v>2.9408554574576196E-2</v>
      </c>
      <c r="F518" s="45">
        <v>46449</v>
      </c>
      <c r="G518" s="45">
        <v>46529</v>
      </c>
      <c r="H518" s="44">
        <f>SUMPRODUCT($E519:$E533,H519:H533)</f>
        <v>0</v>
      </c>
      <c r="I518" s="44">
        <f t="shared" ref="I518:BN518" si="243">SUMPRODUCT($E519:$E533,I519:I533)</f>
        <v>0</v>
      </c>
      <c r="J518" s="44">
        <f t="shared" si="243"/>
        <v>0</v>
      </c>
      <c r="K518" s="44">
        <f t="shared" si="243"/>
        <v>0</v>
      </c>
      <c r="L518" s="44">
        <f t="shared" si="243"/>
        <v>0</v>
      </c>
      <c r="M518" s="44">
        <f t="shared" si="243"/>
        <v>0</v>
      </c>
      <c r="N518" s="44">
        <f t="shared" si="243"/>
        <v>0</v>
      </c>
      <c r="O518" s="44">
        <f t="shared" si="243"/>
        <v>0</v>
      </c>
      <c r="P518" s="44">
        <f t="shared" si="243"/>
        <v>0</v>
      </c>
      <c r="Q518" s="44">
        <f t="shared" si="243"/>
        <v>0</v>
      </c>
      <c r="R518" s="44">
        <f t="shared" si="243"/>
        <v>0</v>
      </c>
      <c r="S518" s="44">
        <f t="shared" si="243"/>
        <v>0</v>
      </c>
      <c r="T518" s="44">
        <f t="shared" si="243"/>
        <v>0</v>
      </c>
      <c r="U518" s="44">
        <f t="shared" si="243"/>
        <v>0</v>
      </c>
      <c r="V518" s="44">
        <f t="shared" si="243"/>
        <v>0</v>
      </c>
      <c r="W518" s="44">
        <f t="shared" si="243"/>
        <v>0</v>
      </c>
      <c r="X518" s="44">
        <f t="shared" si="243"/>
        <v>0</v>
      </c>
      <c r="Y518" s="44">
        <f t="shared" si="243"/>
        <v>0</v>
      </c>
      <c r="Z518" s="44">
        <f t="shared" si="243"/>
        <v>0</v>
      </c>
      <c r="AA518" s="44">
        <f t="shared" si="243"/>
        <v>0</v>
      </c>
      <c r="AB518" s="44">
        <f t="shared" si="243"/>
        <v>0</v>
      </c>
      <c r="AC518" s="44">
        <f t="shared" si="243"/>
        <v>0</v>
      </c>
      <c r="AD518" s="44">
        <f t="shared" si="243"/>
        <v>0</v>
      </c>
      <c r="AE518" s="44">
        <f t="shared" si="243"/>
        <v>0</v>
      </c>
      <c r="AF518" s="44">
        <f t="shared" si="243"/>
        <v>0</v>
      </c>
      <c r="AG518" s="44">
        <f t="shared" si="243"/>
        <v>0</v>
      </c>
      <c r="AH518" s="44">
        <f t="shared" si="243"/>
        <v>0</v>
      </c>
      <c r="AI518" s="44">
        <f t="shared" si="243"/>
        <v>0</v>
      </c>
      <c r="AJ518" s="44">
        <f t="shared" si="243"/>
        <v>0</v>
      </c>
      <c r="AK518" s="44">
        <f t="shared" si="243"/>
        <v>0</v>
      </c>
      <c r="AL518" s="44">
        <f t="shared" si="243"/>
        <v>0</v>
      </c>
      <c r="AM518" s="44">
        <f t="shared" si="243"/>
        <v>0</v>
      </c>
      <c r="AN518" s="44">
        <f t="shared" si="243"/>
        <v>0</v>
      </c>
      <c r="AO518" s="44">
        <f t="shared" si="243"/>
        <v>0</v>
      </c>
      <c r="AP518" s="44">
        <f t="shared" si="243"/>
        <v>5.2284659466614609E-3</v>
      </c>
      <c r="AQ518" s="44">
        <f t="shared" si="243"/>
        <v>3.0395418282871511E-2</v>
      </c>
      <c r="AR518" s="44">
        <f t="shared" si="243"/>
        <v>7.5123712429679551E-2</v>
      </c>
      <c r="AS518" s="44">
        <f t="shared" si="243"/>
        <v>0.10650498686563921</v>
      </c>
      <c r="AT518" s="44">
        <f t="shared" si="243"/>
        <v>0.1689385958692205</v>
      </c>
      <c r="AU518" s="44">
        <f t="shared" si="243"/>
        <v>0.24535608361815867</v>
      </c>
      <c r="AV518" s="44">
        <f t="shared" si="243"/>
        <v>0.34528741505259125</v>
      </c>
      <c r="AW518" s="44">
        <f t="shared" si="243"/>
        <v>0.41666693750575734</v>
      </c>
      <c r="AX518" s="44">
        <f t="shared" si="243"/>
        <v>0.64850810003989967</v>
      </c>
      <c r="AY518" s="44">
        <f t="shared" si="243"/>
        <v>0.71026958832829457</v>
      </c>
      <c r="AZ518" s="44">
        <f t="shared" si="243"/>
        <v>0.8899644163163547</v>
      </c>
      <c r="BA518" s="44">
        <f t="shared" si="243"/>
        <v>0.99774550409850038</v>
      </c>
      <c r="BB518" s="44">
        <f t="shared" si="243"/>
        <v>1</v>
      </c>
      <c r="BC518" s="44">
        <f t="shared" si="243"/>
        <v>1</v>
      </c>
      <c r="BD518" s="44">
        <f t="shared" si="243"/>
        <v>1</v>
      </c>
      <c r="BE518" s="44">
        <f t="shared" si="243"/>
        <v>1</v>
      </c>
      <c r="BF518" s="44">
        <f t="shared" si="243"/>
        <v>1</v>
      </c>
      <c r="BG518" s="44">
        <f t="shared" si="243"/>
        <v>1</v>
      </c>
      <c r="BH518" s="44">
        <f t="shared" si="243"/>
        <v>1</v>
      </c>
      <c r="BI518" s="44">
        <f t="shared" si="243"/>
        <v>1</v>
      </c>
      <c r="BJ518" s="44">
        <f t="shared" si="243"/>
        <v>1</v>
      </c>
      <c r="BK518" s="44">
        <f t="shared" si="243"/>
        <v>1</v>
      </c>
      <c r="BL518" s="44">
        <f t="shared" si="243"/>
        <v>1</v>
      </c>
      <c r="BM518" s="44">
        <f t="shared" si="243"/>
        <v>1</v>
      </c>
      <c r="BN518" s="44">
        <f t="shared" si="243"/>
        <v>1</v>
      </c>
      <c r="BO518" s="32">
        <f t="shared" si="221"/>
        <v>0.29898286820938352</v>
      </c>
    </row>
    <row r="519" spans="1:67" ht="24" x14ac:dyDescent="0.2">
      <c r="A519" s="50" t="s">
        <v>1046</v>
      </c>
      <c r="B519" s="50" t="s">
        <v>1047</v>
      </c>
      <c r="C519" s="50" t="s">
        <v>74</v>
      </c>
      <c r="D519" s="51">
        <f>VLOOKUP(A519,'[1]Cuadro Control'!C561:J2449,8,FALSE)</f>
        <v>83271780.884117648</v>
      </c>
      <c r="E519" s="52">
        <f t="shared" ref="E519:E533" si="244">IFERROR(D519/$D$518,0)</f>
        <v>1.5685397839984384E-2</v>
      </c>
      <c r="F519" s="53">
        <v>46449</v>
      </c>
      <c r="G519" s="53">
        <v>46457</v>
      </c>
      <c r="H519" s="52">
        <f t="shared" ref="H519:BN523" si="245">IF($F519=0,0,IF(H$6&lt;$F519,0,IF(H$6&gt;$G519,1,(H$6-$F519+1)/($G519-$F519+1))))</f>
        <v>0</v>
      </c>
      <c r="I519" s="52">
        <f t="shared" si="245"/>
        <v>0</v>
      </c>
      <c r="J519" s="52">
        <f t="shared" si="245"/>
        <v>0</v>
      </c>
      <c r="K519" s="52">
        <f t="shared" si="245"/>
        <v>0</v>
      </c>
      <c r="L519" s="52">
        <f t="shared" si="245"/>
        <v>0</v>
      </c>
      <c r="M519" s="52">
        <f t="shared" si="245"/>
        <v>0</v>
      </c>
      <c r="N519" s="52">
        <f t="shared" si="245"/>
        <v>0</v>
      </c>
      <c r="O519" s="52">
        <f t="shared" si="245"/>
        <v>0</v>
      </c>
      <c r="P519" s="52">
        <f t="shared" si="245"/>
        <v>0</v>
      </c>
      <c r="Q519" s="52">
        <f t="shared" si="245"/>
        <v>0</v>
      </c>
      <c r="R519" s="52">
        <f t="shared" si="245"/>
        <v>0</v>
      </c>
      <c r="S519" s="52">
        <f t="shared" si="245"/>
        <v>0</v>
      </c>
      <c r="T519" s="52">
        <f t="shared" si="245"/>
        <v>0</v>
      </c>
      <c r="U519" s="52">
        <f t="shared" si="245"/>
        <v>0</v>
      </c>
      <c r="V519" s="52">
        <f t="shared" si="245"/>
        <v>0</v>
      </c>
      <c r="W519" s="52">
        <f t="shared" si="245"/>
        <v>0</v>
      </c>
      <c r="X519" s="52">
        <f t="shared" si="245"/>
        <v>0</v>
      </c>
      <c r="Y519" s="52">
        <f t="shared" si="245"/>
        <v>0</v>
      </c>
      <c r="Z519" s="52">
        <f t="shared" si="245"/>
        <v>0</v>
      </c>
      <c r="AA519" s="52">
        <f t="shared" si="245"/>
        <v>0</v>
      </c>
      <c r="AB519" s="52">
        <f t="shared" si="245"/>
        <v>0</v>
      </c>
      <c r="AC519" s="52">
        <f t="shared" si="245"/>
        <v>0</v>
      </c>
      <c r="AD519" s="52">
        <f t="shared" si="245"/>
        <v>0</v>
      </c>
      <c r="AE519" s="52">
        <f t="shared" si="245"/>
        <v>0</v>
      </c>
      <c r="AF519" s="52">
        <f t="shared" si="245"/>
        <v>0</v>
      </c>
      <c r="AG519" s="52">
        <f t="shared" si="245"/>
        <v>0</v>
      </c>
      <c r="AH519" s="52">
        <f t="shared" si="245"/>
        <v>0</v>
      </c>
      <c r="AI519" s="52">
        <f t="shared" si="245"/>
        <v>0</v>
      </c>
      <c r="AJ519" s="52">
        <f t="shared" si="245"/>
        <v>0</v>
      </c>
      <c r="AK519" s="52">
        <f t="shared" si="245"/>
        <v>0</v>
      </c>
      <c r="AL519" s="52">
        <f t="shared" si="245"/>
        <v>0</v>
      </c>
      <c r="AM519" s="52">
        <f t="shared" si="245"/>
        <v>0</v>
      </c>
      <c r="AN519" s="52">
        <f t="shared" si="245"/>
        <v>0</v>
      </c>
      <c r="AO519" s="52">
        <f t="shared" si="245"/>
        <v>0</v>
      </c>
      <c r="AP519" s="52">
        <f t="shared" si="245"/>
        <v>0.33333333333333331</v>
      </c>
      <c r="AQ519" s="52">
        <f t="shared" si="245"/>
        <v>1</v>
      </c>
      <c r="AR519" s="52">
        <f t="shared" si="245"/>
        <v>1</v>
      </c>
      <c r="AS519" s="52">
        <f t="shared" si="245"/>
        <v>1</v>
      </c>
      <c r="AT519" s="52">
        <f t="shared" si="245"/>
        <v>1</v>
      </c>
      <c r="AU519" s="52">
        <f t="shared" si="245"/>
        <v>1</v>
      </c>
      <c r="AV519" s="52">
        <f t="shared" si="245"/>
        <v>1</v>
      </c>
      <c r="AW519" s="52">
        <f t="shared" si="245"/>
        <v>1</v>
      </c>
      <c r="AX519" s="52">
        <f t="shared" si="245"/>
        <v>1</v>
      </c>
      <c r="AY519" s="52">
        <f t="shared" si="245"/>
        <v>1</v>
      </c>
      <c r="AZ519" s="52">
        <f t="shared" si="245"/>
        <v>1</v>
      </c>
      <c r="BA519" s="52">
        <f t="shared" si="245"/>
        <v>1</v>
      </c>
      <c r="BB519" s="52">
        <f t="shared" si="245"/>
        <v>1</v>
      </c>
      <c r="BC519" s="52">
        <f t="shared" si="245"/>
        <v>1</v>
      </c>
      <c r="BD519" s="52">
        <f t="shared" si="245"/>
        <v>1</v>
      </c>
      <c r="BE519" s="52">
        <f t="shared" si="245"/>
        <v>1</v>
      </c>
      <c r="BF519" s="52">
        <f t="shared" si="245"/>
        <v>1</v>
      </c>
      <c r="BG519" s="52">
        <f t="shared" si="245"/>
        <v>1</v>
      </c>
      <c r="BH519" s="52">
        <f t="shared" si="245"/>
        <v>1</v>
      </c>
      <c r="BI519" s="52">
        <f t="shared" si="245"/>
        <v>1</v>
      </c>
      <c r="BJ519" s="52">
        <f t="shared" si="245"/>
        <v>1</v>
      </c>
      <c r="BK519" s="52">
        <f t="shared" si="245"/>
        <v>1</v>
      </c>
      <c r="BL519" s="52">
        <f t="shared" si="245"/>
        <v>1</v>
      </c>
      <c r="BM519" s="52">
        <f t="shared" si="245"/>
        <v>1</v>
      </c>
      <c r="BN519" s="52">
        <f t="shared" si="245"/>
        <v>1</v>
      </c>
      <c r="BO519" s="32">
        <f t="shared" si="221"/>
        <v>0.41242937853107342</v>
      </c>
    </row>
    <row r="520" spans="1:67" x14ac:dyDescent="0.2">
      <c r="A520" s="50" t="s">
        <v>1048</v>
      </c>
      <c r="B520" s="50" t="s">
        <v>1049</v>
      </c>
      <c r="C520" s="50" t="s">
        <v>61</v>
      </c>
      <c r="D520" s="51">
        <f>VLOOKUP(A520,'[1]Cuadro Control'!C562:J2450,8,FALSE)</f>
        <v>312374505.66882348</v>
      </c>
      <c r="E520" s="52">
        <f t="shared" si="244"/>
        <v>5.8840081771548515E-2</v>
      </c>
      <c r="F520" s="53">
        <v>46457</v>
      </c>
      <c r="G520" s="53">
        <v>46464</v>
      </c>
      <c r="H520" s="52">
        <f t="shared" si="245"/>
        <v>0</v>
      </c>
      <c r="I520" s="52">
        <f t="shared" si="245"/>
        <v>0</v>
      </c>
      <c r="J520" s="52">
        <f t="shared" si="245"/>
        <v>0</v>
      </c>
      <c r="K520" s="52">
        <f t="shared" si="245"/>
        <v>0</v>
      </c>
      <c r="L520" s="52">
        <f t="shared" si="245"/>
        <v>0</v>
      </c>
      <c r="M520" s="52">
        <f t="shared" si="245"/>
        <v>0</v>
      </c>
      <c r="N520" s="52">
        <f t="shared" si="245"/>
        <v>0</v>
      </c>
      <c r="O520" s="52">
        <f t="shared" si="245"/>
        <v>0</v>
      </c>
      <c r="P520" s="52">
        <f t="shared" si="245"/>
        <v>0</v>
      </c>
      <c r="Q520" s="52">
        <f t="shared" si="245"/>
        <v>0</v>
      </c>
      <c r="R520" s="52">
        <f t="shared" si="245"/>
        <v>0</v>
      </c>
      <c r="S520" s="52">
        <f t="shared" si="245"/>
        <v>0</v>
      </c>
      <c r="T520" s="52">
        <f t="shared" si="245"/>
        <v>0</v>
      </c>
      <c r="U520" s="52">
        <f t="shared" si="245"/>
        <v>0</v>
      </c>
      <c r="V520" s="52">
        <f t="shared" si="245"/>
        <v>0</v>
      </c>
      <c r="W520" s="52">
        <f t="shared" si="245"/>
        <v>0</v>
      </c>
      <c r="X520" s="52">
        <f t="shared" si="245"/>
        <v>0</v>
      </c>
      <c r="Y520" s="52">
        <f t="shared" si="245"/>
        <v>0</v>
      </c>
      <c r="Z520" s="52">
        <f t="shared" si="245"/>
        <v>0</v>
      </c>
      <c r="AA520" s="52">
        <f t="shared" si="245"/>
        <v>0</v>
      </c>
      <c r="AB520" s="52">
        <f t="shared" si="245"/>
        <v>0</v>
      </c>
      <c r="AC520" s="52">
        <f t="shared" si="245"/>
        <v>0</v>
      </c>
      <c r="AD520" s="52">
        <f t="shared" si="245"/>
        <v>0</v>
      </c>
      <c r="AE520" s="52">
        <f t="shared" si="245"/>
        <v>0</v>
      </c>
      <c r="AF520" s="52">
        <f t="shared" si="245"/>
        <v>0</v>
      </c>
      <c r="AG520" s="52">
        <f t="shared" si="245"/>
        <v>0</v>
      </c>
      <c r="AH520" s="52">
        <f t="shared" si="245"/>
        <v>0</v>
      </c>
      <c r="AI520" s="52">
        <f t="shared" si="245"/>
        <v>0</v>
      </c>
      <c r="AJ520" s="52">
        <f t="shared" si="245"/>
        <v>0</v>
      </c>
      <c r="AK520" s="52">
        <f t="shared" si="245"/>
        <v>0</v>
      </c>
      <c r="AL520" s="52">
        <f t="shared" si="245"/>
        <v>0</v>
      </c>
      <c r="AM520" s="52">
        <f t="shared" si="245"/>
        <v>0</v>
      </c>
      <c r="AN520" s="52">
        <f t="shared" si="245"/>
        <v>0</v>
      </c>
      <c r="AO520" s="52">
        <f t="shared" si="245"/>
        <v>0</v>
      </c>
      <c r="AP520" s="52">
        <f t="shared" si="245"/>
        <v>0</v>
      </c>
      <c r="AQ520" s="52">
        <f t="shared" si="245"/>
        <v>0.25</v>
      </c>
      <c r="AR520" s="52">
        <f t="shared" si="245"/>
        <v>1</v>
      </c>
      <c r="AS520" s="52">
        <f t="shared" si="245"/>
        <v>1</v>
      </c>
      <c r="AT520" s="52">
        <f t="shared" si="245"/>
        <v>1</v>
      </c>
      <c r="AU520" s="52">
        <f t="shared" si="245"/>
        <v>1</v>
      </c>
      <c r="AV520" s="52">
        <f t="shared" si="245"/>
        <v>1</v>
      </c>
      <c r="AW520" s="52">
        <f t="shared" si="245"/>
        <v>1</v>
      </c>
      <c r="AX520" s="52">
        <f t="shared" si="245"/>
        <v>1</v>
      </c>
      <c r="AY520" s="52">
        <f t="shared" si="245"/>
        <v>1</v>
      </c>
      <c r="AZ520" s="52">
        <f t="shared" si="245"/>
        <v>1</v>
      </c>
      <c r="BA520" s="52">
        <f t="shared" si="245"/>
        <v>1</v>
      </c>
      <c r="BB520" s="52">
        <f t="shared" si="245"/>
        <v>1</v>
      </c>
      <c r="BC520" s="52">
        <f t="shared" si="245"/>
        <v>1</v>
      </c>
      <c r="BD520" s="52">
        <f t="shared" si="245"/>
        <v>1</v>
      </c>
      <c r="BE520" s="52">
        <f t="shared" si="245"/>
        <v>1</v>
      </c>
      <c r="BF520" s="52">
        <f t="shared" si="245"/>
        <v>1</v>
      </c>
      <c r="BG520" s="52">
        <f t="shared" si="245"/>
        <v>1</v>
      </c>
      <c r="BH520" s="52">
        <f t="shared" si="245"/>
        <v>1</v>
      </c>
      <c r="BI520" s="52">
        <f t="shared" si="245"/>
        <v>1</v>
      </c>
      <c r="BJ520" s="52">
        <f t="shared" si="245"/>
        <v>1</v>
      </c>
      <c r="BK520" s="52">
        <f t="shared" si="245"/>
        <v>1</v>
      </c>
      <c r="BL520" s="52">
        <f t="shared" si="245"/>
        <v>1</v>
      </c>
      <c r="BM520" s="52">
        <f t="shared" si="245"/>
        <v>1</v>
      </c>
      <c r="BN520" s="52">
        <f t="shared" si="245"/>
        <v>1</v>
      </c>
      <c r="BO520" s="32">
        <f t="shared" si="221"/>
        <v>0.3940677966101695</v>
      </c>
    </row>
    <row r="521" spans="1:67" ht="15" x14ac:dyDescent="0.2">
      <c r="A521" s="46" t="s">
        <v>1050</v>
      </c>
      <c r="B521" s="46" t="s">
        <v>1051</v>
      </c>
      <c r="C521" s="46" t="s">
        <v>126</v>
      </c>
      <c r="D521" s="47">
        <f>VLOOKUP(A521,'[1]Cuadro Control'!C563:J2451,8,FALSE)</f>
        <v>9527825.6870364472</v>
      </c>
      <c r="E521" s="48">
        <f t="shared" si="244"/>
        <v>1.794698454439963E-3</v>
      </c>
      <c r="F521" s="49">
        <v>46464</v>
      </c>
      <c r="G521" s="49">
        <v>46469</v>
      </c>
      <c r="H521" s="48">
        <f t="shared" si="245"/>
        <v>0</v>
      </c>
      <c r="I521" s="48">
        <f t="shared" si="245"/>
        <v>0</v>
      </c>
      <c r="J521" s="48">
        <f t="shared" si="245"/>
        <v>0</v>
      </c>
      <c r="K521" s="48">
        <f t="shared" si="245"/>
        <v>0</v>
      </c>
      <c r="L521" s="48">
        <f t="shared" si="245"/>
        <v>0</v>
      </c>
      <c r="M521" s="48">
        <f t="shared" si="245"/>
        <v>0</v>
      </c>
      <c r="N521" s="48">
        <f t="shared" si="245"/>
        <v>0</v>
      </c>
      <c r="O521" s="48">
        <f t="shared" si="245"/>
        <v>0</v>
      </c>
      <c r="P521" s="48">
        <f t="shared" si="245"/>
        <v>0</v>
      </c>
      <c r="Q521" s="48">
        <f t="shared" si="245"/>
        <v>0</v>
      </c>
      <c r="R521" s="48">
        <f t="shared" si="245"/>
        <v>0</v>
      </c>
      <c r="S521" s="48">
        <f t="shared" si="245"/>
        <v>0</v>
      </c>
      <c r="T521" s="48">
        <f t="shared" si="245"/>
        <v>0</v>
      </c>
      <c r="U521" s="48">
        <f t="shared" si="245"/>
        <v>0</v>
      </c>
      <c r="V521" s="48">
        <f t="shared" si="245"/>
        <v>0</v>
      </c>
      <c r="W521" s="48">
        <f t="shared" si="245"/>
        <v>0</v>
      </c>
      <c r="X521" s="48">
        <f t="shared" si="245"/>
        <v>0</v>
      </c>
      <c r="Y521" s="48">
        <f t="shared" si="245"/>
        <v>0</v>
      </c>
      <c r="Z521" s="48">
        <f t="shared" si="245"/>
        <v>0</v>
      </c>
      <c r="AA521" s="48">
        <f t="shared" si="245"/>
        <v>0</v>
      </c>
      <c r="AB521" s="48">
        <f t="shared" si="245"/>
        <v>0</v>
      </c>
      <c r="AC521" s="48">
        <f t="shared" si="245"/>
        <v>0</v>
      </c>
      <c r="AD521" s="48">
        <f t="shared" si="245"/>
        <v>0</v>
      </c>
      <c r="AE521" s="48">
        <f t="shared" si="245"/>
        <v>0</v>
      </c>
      <c r="AF521" s="48">
        <f t="shared" si="245"/>
        <v>0</v>
      </c>
      <c r="AG521" s="48">
        <f t="shared" si="245"/>
        <v>0</v>
      </c>
      <c r="AH521" s="48">
        <f t="shared" si="245"/>
        <v>0</v>
      </c>
      <c r="AI521" s="48">
        <f t="shared" si="245"/>
        <v>0</v>
      </c>
      <c r="AJ521" s="48">
        <f t="shared" si="245"/>
        <v>0</v>
      </c>
      <c r="AK521" s="48">
        <f t="shared" si="245"/>
        <v>0</v>
      </c>
      <c r="AL521" s="48">
        <f t="shared" si="245"/>
        <v>0</v>
      </c>
      <c r="AM521" s="48">
        <f t="shared" si="245"/>
        <v>0</v>
      </c>
      <c r="AN521" s="48">
        <f t="shared" si="245"/>
        <v>0</v>
      </c>
      <c r="AO521" s="48">
        <f t="shared" si="245"/>
        <v>0</v>
      </c>
      <c r="AP521" s="48">
        <f t="shared" si="245"/>
        <v>0</v>
      </c>
      <c r="AQ521" s="48">
        <f t="shared" si="245"/>
        <v>0</v>
      </c>
      <c r="AR521" s="48">
        <f t="shared" si="245"/>
        <v>0.33333333333333331</v>
      </c>
      <c r="AS521" s="48">
        <f t="shared" si="245"/>
        <v>1</v>
      </c>
      <c r="AT521" s="48">
        <f t="shared" si="245"/>
        <v>1</v>
      </c>
      <c r="AU521" s="48">
        <f t="shared" si="245"/>
        <v>1</v>
      </c>
      <c r="AV521" s="48">
        <f t="shared" si="245"/>
        <v>1</v>
      </c>
      <c r="AW521" s="48">
        <f t="shared" si="245"/>
        <v>1</v>
      </c>
      <c r="AX521" s="48">
        <f t="shared" si="245"/>
        <v>1</v>
      </c>
      <c r="AY521" s="48">
        <f t="shared" si="245"/>
        <v>1</v>
      </c>
      <c r="AZ521" s="48">
        <f t="shared" si="245"/>
        <v>1</v>
      </c>
      <c r="BA521" s="48">
        <f t="shared" si="245"/>
        <v>1</v>
      </c>
      <c r="BB521" s="48">
        <f t="shared" si="245"/>
        <v>1</v>
      </c>
      <c r="BC521" s="48">
        <f t="shared" si="245"/>
        <v>1</v>
      </c>
      <c r="BD521" s="48">
        <f t="shared" si="245"/>
        <v>1</v>
      </c>
      <c r="BE521" s="48">
        <f t="shared" si="245"/>
        <v>1</v>
      </c>
      <c r="BF521" s="48">
        <f t="shared" si="245"/>
        <v>1</v>
      </c>
      <c r="BG521" s="48">
        <f t="shared" si="245"/>
        <v>1</v>
      </c>
      <c r="BH521" s="48">
        <f t="shared" si="245"/>
        <v>1</v>
      </c>
      <c r="BI521" s="48">
        <f t="shared" si="245"/>
        <v>1</v>
      </c>
      <c r="BJ521" s="48">
        <f t="shared" si="245"/>
        <v>1</v>
      </c>
      <c r="BK521" s="48">
        <f t="shared" si="245"/>
        <v>1</v>
      </c>
      <c r="BL521" s="48">
        <f t="shared" si="245"/>
        <v>1</v>
      </c>
      <c r="BM521" s="48">
        <f t="shared" si="245"/>
        <v>1</v>
      </c>
      <c r="BN521" s="48">
        <f t="shared" si="245"/>
        <v>1</v>
      </c>
      <c r="BO521" s="32">
        <f t="shared" si="221"/>
        <v>0.37853107344632764</v>
      </c>
    </row>
    <row r="522" spans="1:67" x14ac:dyDescent="0.2">
      <c r="A522" s="50" t="s">
        <v>1052</v>
      </c>
      <c r="B522" s="50" t="s">
        <v>1053</v>
      </c>
      <c r="C522" s="50" t="s">
        <v>117</v>
      </c>
      <c r="D522" s="51">
        <f>VLOOKUP(A522,'[1]Cuadro Control'!C564:J2452,8,FALSE)</f>
        <v>320494616.71764702</v>
      </c>
      <c r="E522" s="52">
        <f t="shared" si="244"/>
        <v>6.0369617599332674E-2</v>
      </c>
      <c r="F522" s="53">
        <v>46469</v>
      </c>
      <c r="G522" s="53">
        <v>46476</v>
      </c>
      <c r="H522" s="52">
        <f t="shared" si="245"/>
        <v>0</v>
      </c>
      <c r="I522" s="52">
        <f t="shared" si="245"/>
        <v>0</v>
      </c>
      <c r="J522" s="52">
        <f t="shared" si="245"/>
        <v>0</v>
      </c>
      <c r="K522" s="52">
        <f t="shared" si="245"/>
        <v>0</v>
      </c>
      <c r="L522" s="52">
        <f t="shared" si="245"/>
        <v>0</v>
      </c>
      <c r="M522" s="52">
        <f t="shared" si="245"/>
        <v>0</v>
      </c>
      <c r="N522" s="52">
        <f t="shared" si="245"/>
        <v>0</v>
      </c>
      <c r="O522" s="52">
        <f t="shared" si="245"/>
        <v>0</v>
      </c>
      <c r="P522" s="52">
        <f t="shared" si="245"/>
        <v>0</v>
      </c>
      <c r="Q522" s="52">
        <f t="shared" si="245"/>
        <v>0</v>
      </c>
      <c r="R522" s="52">
        <f t="shared" si="245"/>
        <v>0</v>
      </c>
      <c r="S522" s="52">
        <f t="shared" si="245"/>
        <v>0</v>
      </c>
      <c r="T522" s="52">
        <f t="shared" si="245"/>
        <v>0</v>
      </c>
      <c r="U522" s="52">
        <f t="shared" si="245"/>
        <v>0</v>
      </c>
      <c r="V522" s="52">
        <f t="shared" si="245"/>
        <v>0</v>
      </c>
      <c r="W522" s="52">
        <f t="shared" si="245"/>
        <v>0</v>
      </c>
      <c r="X522" s="52">
        <f t="shared" si="245"/>
        <v>0</v>
      </c>
      <c r="Y522" s="52">
        <f t="shared" si="245"/>
        <v>0</v>
      </c>
      <c r="Z522" s="52">
        <f t="shared" si="245"/>
        <v>0</v>
      </c>
      <c r="AA522" s="52">
        <f t="shared" si="245"/>
        <v>0</v>
      </c>
      <c r="AB522" s="52">
        <f t="shared" si="245"/>
        <v>0</v>
      </c>
      <c r="AC522" s="52">
        <f t="shared" si="245"/>
        <v>0</v>
      </c>
      <c r="AD522" s="52">
        <f t="shared" si="245"/>
        <v>0</v>
      </c>
      <c r="AE522" s="52">
        <f t="shared" si="245"/>
        <v>0</v>
      </c>
      <c r="AF522" s="52">
        <f t="shared" si="245"/>
        <v>0</v>
      </c>
      <c r="AG522" s="52">
        <f t="shared" si="245"/>
        <v>0</v>
      </c>
      <c r="AH522" s="52">
        <f t="shared" si="245"/>
        <v>0</v>
      </c>
      <c r="AI522" s="52">
        <f t="shared" si="245"/>
        <v>0</v>
      </c>
      <c r="AJ522" s="52">
        <f t="shared" si="245"/>
        <v>0</v>
      </c>
      <c r="AK522" s="52">
        <f t="shared" si="245"/>
        <v>0</v>
      </c>
      <c r="AL522" s="52">
        <f t="shared" si="245"/>
        <v>0</v>
      </c>
      <c r="AM522" s="52">
        <f t="shared" si="245"/>
        <v>0</v>
      </c>
      <c r="AN522" s="52">
        <f t="shared" si="245"/>
        <v>0</v>
      </c>
      <c r="AO522" s="52">
        <f t="shared" si="245"/>
        <v>0</v>
      </c>
      <c r="AP522" s="52">
        <f t="shared" si="245"/>
        <v>0</v>
      </c>
      <c r="AQ522" s="52">
        <f t="shared" si="245"/>
        <v>0</v>
      </c>
      <c r="AR522" s="52">
        <f t="shared" si="245"/>
        <v>0</v>
      </c>
      <c r="AS522" s="52">
        <f t="shared" si="245"/>
        <v>0.5</v>
      </c>
      <c r="AT522" s="52">
        <f t="shared" si="245"/>
        <v>1</v>
      </c>
      <c r="AU522" s="52">
        <f t="shared" si="245"/>
        <v>1</v>
      </c>
      <c r="AV522" s="52">
        <f t="shared" si="245"/>
        <v>1</v>
      </c>
      <c r="AW522" s="52">
        <f t="shared" si="245"/>
        <v>1</v>
      </c>
      <c r="AX522" s="52">
        <f t="shared" si="245"/>
        <v>1</v>
      </c>
      <c r="AY522" s="52">
        <f t="shared" si="245"/>
        <v>1</v>
      </c>
      <c r="AZ522" s="52">
        <f t="shared" si="245"/>
        <v>1</v>
      </c>
      <c r="BA522" s="52">
        <f t="shared" si="245"/>
        <v>1</v>
      </c>
      <c r="BB522" s="52">
        <f t="shared" si="245"/>
        <v>1</v>
      </c>
      <c r="BC522" s="52">
        <f t="shared" si="245"/>
        <v>1</v>
      </c>
      <c r="BD522" s="52">
        <f t="shared" si="245"/>
        <v>1</v>
      </c>
      <c r="BE522" s="52">
        <f t="shared" si="245"/>
        <v>1</v>
      </c>
      <c r="BF522" s="52">
        <f t="shared" si="245"/>
        <v>1</v>
      </c>
      <c r="BG522" s="52">
        <f t="shared" si="245"/>
        <v>1</v>
      </c>
      <c r="BH522" s="52">
        <f t="shared" si="245"/>
        <v>1</v>
      </c>
      <c r="BI522" s="52">
        <f t="shared" si="245"/>
        <v>1</v>
      </c>
      <c r="BJ522" s="52">
        <f t="shared" si="245"/>
        <v>1</v>
      </c>
      <c r="BK522" s="52">
        <f t="shared" si="245"/>
        <v>1</v>
      </c>
      <c r="BL522" s="52">
        <f t="shared" si="245"/>
        <v>1</v>
      </c>
      <c r="BM522" s="52">
        <f t="shared" si="245"/>
        <v>1</v>
      </c>
      <c r="BN522" s="52">
        <f t="shared" si="245"/>
        <v>1</v>
      </c>
      <c r="BO522" s="32">
        <f t="shared" ref="BO522:BO585" si="246">+AVERAGE(H522:BN522)</f>
        <v>0.36440677966101692</v>
      </c>
    </row>
    <row r="523" spans="1:67" x14ac:dyDescent="0.2">
      <c r="A523" s="50" t="s">
        <v>1054</v>
      </c>
      <c r="B523" s="50" t="s">
        <v>1055</v>
      </c>
      <c r="C523" s="50" t="s">
        <v>111</v>
      </c>
      <c r="D523" s="51">
        <f>VLOOKUP(A523,'[1]Cuadro Control'!C565:J2453,8,FALSE)</f>
        <v>94303618.549411759</v>
      </c>
      <c r="E523" s="52">
        <f t="shared" si="244"/>
        <v>1.7763397864110998E-2</v>
      </c>
      <c r="F523" s="53">
        <v>46476</v>
      </c>
      <c r="G523" s="53">
        <v>46477</v>
      </c>
      <c r="H523" s="52">
        <f t="shared" si="245"/>
        <v>0</v>
      </c>
      <c r="I523" s="52">
        <f t="shared" si="245"/>
        <v>0</v>
      </c>
      <c r="J523" s="52">
        <f t="shared" si="245"/>
        <v>0</v>
      </c>
      <c r="K523" s="52">
        <f t="shared" si="245"/>
        <v>0</v>
      </c>
      <c r="L523" s="52">
        <f t="shared" si="245"/>
        <v>0</v>
      </c>
      <c r="M523" s="52">
        <f t="shared" si="245"/>
        <v>0</v>
      </c>
      <c r="N523" s="52">
        <f t="shared" si="245"/>
        <v>0</v>
      </c>
      <c r="O523" s="52">
        <f t="shared" si="245"/>
        <v>0</v>
      </c>
      <c r="P523" s="52">
        <f t="shared" si="245"/>
        <v>0</v>
      </c>
      <c r="Q523" s="52">
        <f t="shared" si="245"/>
        <v>0</v>
      </c>
      <c r="R523" s="52">
        <f t="shared" si="245"/>
        <v>0</v>
      </c>
      <c r="S523" s="52">
        <f t="shared" si="245"/>
        <v>0</v>
      </c>
      <c r="T523" s="52">
        <f t="shared" si="245"/>
        <v>0</v>
      </c>
      <c r="U523" s="52">
        <f t="shared" si="245"/>
        <v>0</v>
      </c>
      <c r="V523" s="52">
        <f t="shared" si="245"/>
        <v>0</v>
      </c>
      <c r="W523" s="52">
        <f t="shared" si="245"/>
        <v>0</v>
      </c>
      <c r="X523" s="52">
        <f t="shared" si="245"/>
        <v>0</v>
      </c>
      <c r="Y523" s="52">
        <f t="shared" si="245"/>
        <v>0</v>
      </c>
      <c r="Z523" s="52">
        <f t="shared" si="245"/>
        <v>0</v>
      </c>
      <c r="AA523" s="52">
        <f t="shared" ref="AA523:BF534" si="247">IF($F523=0,0,IF(AA$6&lt;$F523,0,IF(AA$6&gt;$G523,1,(AA$6-$F523+1)/($G523-$F523+1))))</f>
        <v>0</v>
      </c>
      <c r="AB523" s="52">
        <f t="shared" si="247"/>
        <v>0</v>
      </c>
      <c r="AC523" s="52">
        <f t="shared" si="247"/>
        <v>0</v>
      </c>
      <c r="AD523" s="52">
        <f t="shared" si="247"/>
        <v>0</v>
      </c>
      <c r="AE523" s="52">
        <f t="shared" si="247"/>
        <v>0</v>
      </c>
      <c r="AF523" s="52">
        <f t="shared" si="247"/>
        <v>0</v>
      </c>
      <c r="AG523" s="52">
        <f t="shared" si="247"/>
        <v>0</v>
      </c>
      <c r="AH523" s="52">
        <f t="shared" si="247"/>
        <v>0</v>
      </c>
      <c r="AI523" s="52">
        <f t="shared" si="247"/>
        <v>0</v>
      </c>
      <c r="AJ523" s="52">
        <f t="shared" si="247"/>
        <v>0</v>
      </c>
      <c r="AK523" s="52">
        <f t="shared" si="247"/>
        <v>0</v>
      </c>
      <c r="AL523" s="52">
        <f t="shared" si="247"/>
        <v>0</v>
      </c>
      <c r="AM523" s="52">
        <f t="shared" si="247"/>
        <v>0</v>
      </c>
      <c r="AN523" s="52">
        <f t="shared" si="247"/>
        <v>0</v>
      </c>
      <c r="AO523" s="52">
        <f t="shared" si="247"/>
        <v>0</v>
      </c>
      <c r="AP523" s="52">
        <f t="shared" si="247"/>
        <v>0</v>
      </c>
      <c r="AQ523" s="52">
        <f t="shared" si="247"/>
        <v>0</v>
      </c>
      <c r="AR523" s="52">
        <f t="shared" si="247"/>
        <v>0</v>
      </c>
      <c r="AS523" s="52">
        <f t="shared" si="247"/>
        <v>0</v>
      </c>
      <c r="AT523" s="52">
        <f t="shared" si="247"/>
        <v>1</v>
      </c>
      <c r="AU523" s="52">
        <f t="shared" si="247"/>
        <v>1</v>
      </c>
      <c r="AV523" s="52">
        <f t="shared" si="247"/>
        <v>1</v>
      </c>
      <c r="AW523" s="52">
        <f t="shared" si="247"/>
        <v>1</v>
      </c>
      <c r="AX523" s="52">
        <f t="shared" si="247"/>
        <v>1</v>
      </c>
      <c r="AY523" s="52">
        <f t="shared" si="247"/>
        <v>1</v>
      </c>
      <c r="AZ523" s="52">
        <f t="shared" si="247"/>
        <v>1</v>
      </c>
      <c r="BA523" s="52">
        <f t="shared" si="247"/>
        <v>1</v>
      </c>
      <c r="BB523" s="52">
        <f t="shared" si="247"/>
        <v>1</v>
      </c>
      <c r="BC523" s="52">
        <f t="shared" si="247"/>
        <v>1</v>
      </c>
      <c r="BD523" s="52">
        <f t="shared" si="247"/>
        <v>1</v>
      </c>
      <c r="BE523" s="52">
        <f t="shared" si="247"/>
        <v>1</v>
      </c>
      <c r="BF523" s="52">
        <f t="shared" si="247"/>
        <v>1</v>
      </c>
      <c r="BG523" s="52">
        <f t="shared" ref="BG523:BN534" si="248">IF($F523=0,0,IF(BG$6&lt;$F523,0,IF(BG$6&gt;$G523,1,(BG$6-$F523+1)/($G523-$F523+1))))</f>
        <v>1</v>
      </c>
      <c r="BH523" s="52">
        <f t="shared" si="248"/>
        <v>1</v>
      </c>
      <c r="BI523" s="52">
        <f t="shared" si="248"/>
        <v>1</v>
      </c>
      <c r="BJ523" s="52">
        <f t="shared" si="248"/>
        <v>1</v>
      </c>
      <c r="BK523" s="52">
        <f t="shared" si="248"/>
        <v>1</v>
      </c>
      <c r="BL523" s="52">
        <f t="shared" si="248"/>
        <v>1</v>
      </c>
      <c r="BM523" s="52">
        <f t="shared" si="248"/>
        <v>1</v>
      </c>
      <c r="BN523" s="52">
        <f t="shared" si="248"/>
        <v>1</v>
      </c>
      <c r="BO523" s="32">
        <f t="shared" si="246"/>
        <v>0.3559322033898305</v>
      </c>
    </row>
    <row r="524" spans="1:67" x14ac:dyDescent="0.2">
      <c r="A524" s="50" t="s">
        <v>1056</v>
      </c>
      <c r="B524" s="50" t="s">
        <v>1057</v>
      </c>
      <c r="C524" s="50" t="s">
        <v>238</v>
      </c>
      <c r="D524" s="51">
        <f>VLOOKUP(A524,'[1]Cuadro Control'!C566:J2454,8,FALSE)</f>
        <v>179436034.15411764</v>
      </c>
      <c r="E524" s="52">
        <f t="shared" si="244"/>
        <v>3.3799272126209236E-2</v>
      </c>
      <c r="F524" s="53">
        <v>46477</v>
      </c>
      <c r="G524" s="53">
        <v>46483</v>
      </c>
      <c r="H524" s="52">
        <f t="shared" ref="H524:W534" si="249">IF($F524=0,0,IF(H$6&lt;$F524,0,IF(H$6&gt;$G524,1,(H$6-$F524+1)/($G524-$F524+1))))</f>
        <v>0</v>
      </c>
      <c r="I524" s="52">
        <f t="shared" si="249"/>
        <v>0</v>
      </c>
      <c r="J524" s="52">
        <f t="shared" si="249"/>
        <v>0</v>
      </c>
      <c r="K524" s="52">
        <f t="shared" si="249"/>
        <v>0</v>
      </c>
      <c r="L524" s="52">
        <f t="shared" si="249"/>
        <v>0</v>
      </c>
      <c r="M524" s="52">
        <f t="shared" si="249"/>
        <v>0</v>
      </c>
      <c r="N524" s="52">
        <f t="shared" si="249"/>
        <v>0</v>
      </c>
      <c r="O524" s="52">
        <f t="shared" si="249"/>
        <v>0</v>
      </c>
      <c r="P524" s="52">
        <f t="shared" si="249"/>
        <v>0</v>
      </c>
      <c r="Q524" s="52">
        <f t="shared" si="249"/>
        <v>0</v>
      </c>
      <c r="R524" s="52">
        <f t="shared" si="249"/>
        <v>0</v>
      </c>
      <c r="S524" s="52">
        <f t="shared" si="249"/>
        <v>0</v>
      </c>
      <c r="T524" s="52">
        <f t="shared" si="249"/>
        <v>0</v>
      </c>
      <c r="U524" s="52">
        <f t="shared" si="249"/>
        <v>0</v>
      </c>
      <c r="V524" s="52">
        <f t="shared" si="249"/>
        <v>0</v>
      </c>
      <c r="W524" s="52">
        <f t="shared" si="249"/>
        <v>0</v>
      </c>
      <c r="X524" s="52">
        <f t="shared" ref="X524:BC534" si="250">IF($F524=0,0,IF(X$6&lt;$F524,0,IF(X$6&gt;$G524,1,(X$6-$F524+1)/($G524-$F524+1))))</f>
        <v>0</v>
      </c>
      <c r="Y524" s="52">
        <f t="shared" si="250"/>
        <v>0</v>
      </c>
      <c r="Z524" s="52">
        <f t="shared" si="250"/>
        <v>0</v>
      </c>
      <c r="AA524" s="52">
        <f t="shared" si="250"/>
        <v>0</v>
      </c>
      <c r="AB524" s="52">
        <f t="shared" si="250"/>
        <v>0</v>
      </c>
      <c r="AC524" s="52">
        <f t="shared" si="250"/>
        <v>0</v>
      </c>
      <c r="AD524" s="52">
        <f t="shared" si="250"/>
        <v>0</v>
      </c>
      <c r="AE524" s="52">
        <f t="shared" si="250"/>
        <v>0</v>
      </c>
      <c r="AF524" s="52">
        <f t="shared" si="250"/>
        <v>0</v>
      </c>
      <c r="AG524" s="52">
        <f t="shared" si="250"/>
        <v>0</v>
      </c>
      <c r="AH524" s="52">
        <f t="shared" si="250"/>
        <v>0</v>
      </c>
      <c r="AI524" s="52">
        <f t="shared" si="250"/>
        <v>0</v>
      </c>
      <c r="AJ524" s="52">
        <f t="shared" si="250"/>
        <v>0</v>
      </c>
      <c r="AK524" s="52">
        <f t="shared" si="250"/>
        <v>0</v>
      </c>
      <c r="AL524" s="52">
        <f t="shared" si="250"/>
        <v>0</v>
      </c>
      <c r="AM524" s="52">
        <f t="shared" si="250"/>
        <v>0</v>
      </c>
      <c r="AN524" s="52">
        <f t="shared" si="250"/>
        <v>0</v>
      </c>
      <c r="AO524" s="52">
        <f t="shared" si="247"/>
        <v>0</v>
      </c>
      <c r="AP524" s="52">
        <f t="shared" si="247"/>
        <v>0</v>
      </c>
      <c r="AQ524" s="52">
        <f t="shared" si="247"/>
        <v>0</v>
      </c>
      <c r="AR524" s="52">
        <f t="shared" si="247"/>
        <v>0</v>
      </c>
      <c r="AS524" s="52">
        <f t="shared" si="247"/>
        <v>0</v>
      </c>
      <c r="AT524" s="52">
        <f t="shared" si="247"/>
        <v>0.42857142857142855</v>
      </c>
      <c r="AU524" s="52">
        <f t="shared" si="247"/>
        <v>1</v>
      </c>
      <c r="AV524" s="52">
        <f t="shared" si="247"/>
        <v>1</v>
      </c>
      <c r="AW524" s="52">
        <f t="shared" si="247"/>
        <v>1</v>
      </c>
      <c r="AX524" s="52">
        <f t="shared" si="247"/>
        <v>1</v>
      </c>
      <c r="AY524" s="52">
        <f t="shared" si="247"/>
        <v>1</v>
      </c>
      <c r="AZ524" s="52">
        <f t="shared" si="247"/>
        <v>1</v>
      </c>
      <c r="BA524" s="52">
        <f t="shared" si="247"/>
        <v>1</v>
      </c>
      <c r="BB524" s="52">
        <f t="shared" si="247"/>
        <v>1</v>
      </c>
      <c r="BC524" s="52">
        <f t="shared" si="247"/>
        <v>1</v>
      </c>
      <c r="BD524" s="52">
        <f t="shared" si="247"/>
        <v>1</v>
      </c>
      <c r="BE524" s="52">
        <f t="shared" si="247"/>
        <v>1</v>
      </c>
      <c r="BF524" s="52">
        <f t="shared" si="247"/>
        <v>1</v>
      </c>
      <c r="BG524" s="52">
        <f t="shared" si="248"/>
        <v>1</v>
      </c>
      <c r="BH524" s="52">
        <f t="shared" si="248"/>
        <v>1</v>
      </c>
      <c r="BI524" s="52">
        <f t="shared" si="248"/>
        <v>1</v>
      </c>
      <c r="BJ524" s="52">
        <f t="shared" si="248"/>
        <v>1</v>
      </c>
      <c r="BK524" s="52">
        <f t="shared" si="248"/>
        <v>1</v>
      </c>
      <c r="BL524" s="52">
        <f t="shared" si="248"/>
        <v>1</v>
      </c>
      <c r="BM524" s="52">
        <f t="shared" si="248"/>
        <v>1</v>
      </c>
      <c r="BN524" s="52">
        <f t="shared" si="248"/>
        <v>1</v>
      </c>
      <c r="BO524" s="32">
        <f t="shared" si="246"/>
        <v>0.34624697336561749</v>
      </c>
    </row>
    <row r="525" spans="1:67" x14ac:dyDescent="0.2">
      <c r="A525" s="50" t="s">
        <v>1058</v>
      </c>
      <c r="B525" s="50" t="s">
        <v>1059</v>
      </c>
      <c r="C525" s="50" t="s">
        <v>58</v>
      </c>
      <c r="D525" s="51">
        <f>VLOOKUP(A525,'[1]Cuadro Control'!C567:J2455,8,FALSE)</f>
        <v>1212623361.2117648</v>
      </c>
      <c r="E525" s="52">
        <f t="shared" si="244"/>
        <v>0.22841447185013161</v>
      </c>
      <c r="F525" s="53">
        <v>46483</v>
      </c>
      <c r="G525" s="53">
        <v>46498</v>
      </c>
      <c r="H525" s="52">
        <f t="shared" si="249"/>
        <v>0</v>
      </c>
      <c r="I525" s="52">
        <f t="shared" si="249"/>
        <v>0</v>
      </c>
      <c r="J525" s="52">
        <f t="shared" si="249"/>
        <v>0</v>
      </c>
      <c r="K525" s="52">
        <f t="shared" si="249"/>
        <v>0</v>
      </c>
      <c r="L525" s="52">
        <f t="shared" si="249"/>
        <v>0</v>
      </c>
      <c r="M525" s="52">
        <f t="shared" si="249"/>
        <v>0</v>
      </c>
      <c r="N525" s="52">
        <f t="shared" si="249"/>
        <v>0</v>
      </c>
      <c r="O525" s="52">
        <f t="shared" si="249"/>
        <v>0</v>
      </c>
      <c r="P525" s="52">
        <f t="shared" si="249"/>
        <v>0</v>
      </c>
      <c r="Q525" s="52">
        <f t="shared" si="249"/>
        <v>0</v>
      </c>
      <c r="R525" s="52">
        <f t="shared" si="249"/>
        <v>0</v>
      </c>
      <c r="S525" s="52">
        <f t="shared" si="249"/>
        <v>0</v>
      </c>
      <c r="T525" s="52">
        <f t="shared" si="249"/>
        <v>0</v>
      </c>
      <c r="U525" s="52">
        <f t="shared" si="249"/>
        <v>0</v>
      </c>
      <c r="V525" s="52">
        <f t="shared" si="249"/>
        <v>0</v>
      </c>
      <c r="W525" s="52">
        <f t="shared" si="249"/>
        <v>0</v>
      </c>
      <c r="X525" s="52">
        <f t="shared" si="250"/>
        <v>0</v>
      </c>
      <c r="Y525" s="52">
        <f t="shared" si="250"/>
        <v>0</v>
      </c>
      <c r="Z525" s="52">
        <f t="shared" si="250"/>
        <v>0</v>
      </c>
      <c r="AA525" s="52">
        <f t="shared" si="250"/>
        <v>0</v>
      </c>
      <c r="AB525" s="52">
        <f t="shared" si="250"/>
        <v>0</v>
      </c>
      <c r="AC525" s="52">
        <f t="shared" si="250"/>
        <v>0</v>
      </c>
      <c r="AD525" s="52">
        <f t="shared" si="250"/>
        <v>0</v>
      </c>
      <c r="AE525" s="52">
        <f t="shared" si="250"/>
        <v>0</v>
      </c>
      <c r="AF525" s="52">
        <f t="shared" si="250"/>
        <v>0</v>
      </c>
      <c r="AG525" s="52">
        <f t="shared" si="250"/>
        <v>0</v>
      </c>
      <c r="AH525" s="52">
        <f t="shared" si="250"/>
        <v>0</v>
      </c>
      <c r="AI525" s="52">
        <f t="shared" si="250"/>
        <v>0</v>
      </c>
      <c r="AJ525" s="52">
        <f t="shared" si="250"/>
        <v>0</v>
      </c>
      <c r="AK525" s="52">
        <f t="shared" si="250"/>
        <v>0</v>
      </c>
      <c r="AL525" s="52">
        <f t="shared" si="250"/>
        <v>0</v>
      </c>
      <c r="AM525" s="52">
        <f t="shared" si="250"/>
        <v>0</v>
      </c>
      <c r="AN525" s="52">
        <f t="shared" si="250"/>
        <v>0</v>
      </c>
      <c r="AO525" s="52">
        <f t="shared" si="247"/>
        <v>0</v>
      </c>
      <c r="AP525" s="52">
        <f t="shared" si="247"/>
        <v>0</v>
      </c>
      <c r="AQ525" s="52">
        <f t="shared" si="247"/>
        <v>0</v>
      </c>
      <c r="AR525" s="52">
        <f t="shared" si="247"/>
        <v>0</v>
      </c>
      <c r="AS525" s="52">
        <f t="shared" si="247"/>
        <v>0</v>
      </c>
      <c r="AT525" s="52">
        <f t="shared" si="247"/>
        <v>0</v>
      </c>
      <c r="AU525" s="52">
        <f t="shared" si="247"/>
        <v>0.25</v>
      </c>
      <c r="AV525" s="52">
        <f t="shared" si="247"/>
        <v>0.6875</v>
      </c>
      <c r="AW525" s="52">
        <f t="shared" si="247"/>
        <v>1</v>
      </c>
      <c r="AX525" s="52">
        <f t="shared" si="247"/>
        <v>1</v>
      </c>
      <c r="AY525" s="52">
        <f t="shared" si="247"/>
        <v>1</v>
      </c>
      <c r="AZ525" s="52">
        <f t="shared" si="247"/>
        <v>1</v>
      </c>
      <c r="BA525" s="52">
        <f t="shared" si="247"/>
        <v>1</v>
      </c>
      <c r="BB525" s="52">
        <f t="shared" si="247"/>
        <v>1</v>
      </c>
      <c r="BC525" s="52">
        <f t="shared" si="247"/>
        <v>1</v>
      </c>
      <c r="BD525" s="52">
        <f t="shared" si="247"/>
        <v>1</v>
      </c>
      <c r="BE525" s="52">
        <f t="shared" si="247"/>
        <v>1</v>
      </c>
      <c r="BF525" s="52">
        <f t="shared" si="247"/>
        <v>1</v>
      </c>
      <c r="BG525" s="52">
        <f t="shared" si="248"/>
        <v>1</v>
      </c>
      <c r="BH525" s="52">
        <f t="shared" si="248"/>
        <v>1</v>
      </c>
      <c r="BI525" s="52">
        <f t="shared" si="248"/>
        <v>1</v>
      </c>
      <c r="BJ525" s="52">
        <f t="shared" si="248"/>
        <v>1</v>
      </c>
      <c r="BK525" s="52">
        <f t="shared" si="248"/>
        <v>1</v>
      </c>
      <c r="BL525" s="52">
        <f t="shared" si="248"/>
        <v>1</v>
      </c>
      <c r="BM525" s="52">
        <f t="shared" si="248"/>
        <v>1</v>
      </c>
      <c r="BN525" s="52">
        <f t="shared" si="248"/>
        <v>1</v>
      </c>
      <c r="BO525" s="32">
        <f t="shared" si="246"/>
        <v>0.32097457627118642</v>
      </c>
    </row>
    <row r="526" spans="1:67" x14ac:dyDescent="0.2">
      <c r="A526" s="50" t="s">
        <v>1060</v>
      </c>
      <c r="B526" s="50" t="s">
        <v>1061</v>
      </c>
      <c r="C526" s="50" t="s">
        <v>126</v>
      </c>
      <c r="D526" s="51">
        <f>VLOOKUP(A526,'[1]Cuadro Control'!C568:J2456,8,FALSE)</f>
        <v>0</v>
      </c>
      <c r="E526" s="52">
        <f t="shared" si="244"/>
        <v>0</v>
      </c>
      <c r="F526" s="53">
        <v>46499</v>
      </c>
      <c r="G526" s="53">
        <v>46501</v>
      </c>
      <c r="H526" s="52">
        <f t="shared" si="249"/>
        <v>0</v>
      </c>
      <c r="I526" s="52">
        <f t="shared" si="249"/>
        <v>0</v>
      </c>
      <c r="J526" s="52">
        <f t="shared" si="249"/>
        <v>0</v>
      </c>
      <c r="K526" s="52">
        <f t="shared" si="249"/>
        <v>0</v>
      </c>
      <c r="L526" s="52">
        <f t="shared" si="249"/>
        <v>0</v>
      </c>
      <c r="M526" s="52">
        <f t="shared" si="249"/>
        <v>0</v>
      </c>
      <c r="N526" s="52">
        <f t="shared" si="249"/>
        <v>0</v>
      </c>
      <c r="O526" s="52">
        <f t="shared" si="249"/>
        <v>0</v>
      </c>
      <c r="P526" s="52">
        <f t="shared" si="249"/>
        <v>0</v>
      </c>
      <c r="Q526" s="52">
        <f t="shared" si="249"/>
        <v>0</v>
      </c>
      <c r="R526" s="52">
        <f t="shared" si="249"/>
        <v>0</v>
      </c>
      <c r="S526" s="52">
        <f t="shared" si="249"/>
        <v>0</v>
      </c>
      <c r="T526" s="52">
        <f t="shared" si="249"/>
        <v>0</v>
      </c>
      <c r="U526" s="52">
        <f t="shared" si="249"/>
        <v>0</v>
      </c>
      <c r="V526" s="52">
        <f t="shared" si="249"/>
        <v>0</v>
      </c>
      <c r="W526" s="52">
        <f t="shared" si="249"/>
        <v>0</v>
      </c>
      <c r="X526" s="52">
        <f t="shared" si="250"/>
        <v>0</v>
      </c>
      <c r="Y526" s="52">
        <f t="shared" si="250"/>
        <v>0</v>
      </c>
      <c r="Z526" s="52">
        <f t="shared" si="250"/>
        <v>0</v>
      </c>
      <c r="AA526" s="52">
        <f t="shared" si="250"/>
        <v>0</v>
      </c>
      <c r="AB526" s="52">
        <f t="shared" si="250"/>
        <v>0</v>
      </c>
      <c r="AC526" s="52">
        <f t="shared" si="250"/>
        <v>0</v>
      </c>
      <c r="AD526" s="52">
        <f t="shared" si="250"/>
        <v>0</v>
      </c>
      <c r="AE526" s="52">
        <f t="shared" si="250"/>
        <v>0</v>
      </c>
      <c r="AF526" s="52">
        <f t="shared" si="250"/>
        <v>0</v>
      </c>
      <c r="AG526" s="52">
        <f t="shared" si="250"/>
        <v>0</v>
      </c>
      <c r="AH526" s="52">
        <f t="shared" si="250"/>
        <v>0</v>
      </c>
      <c r="AI526" s="52">
        <f t="shared" si="250"/>
        <v>0</v>
      </c>
      <c r="AJ526" s="52">
        <f t="shared" si="250"/>
        <v>0</v>
      </c>
      <c r="AK526" s="52">
        <f t="shared" si="250"/>
        <v>0</v>
      </c>
      <c r="AL526" s="52">
        <f t="shared" si="250"/>
        <v>0</v>
      </c>
      <c r="AM526" s="52">
        <f t="shared" si="250"/>
        <v>0</v>
      </c>
      <c r="AN526" s="52">
        <f t="shared" si="250"/>
        <v>0</v>
      </c>
      <c r="AO526" s="52">
        <f t="shared" si="247"/>
        <v>0</v>
      </c>
      <c r="AP526" s="52">
        <f t="shared" si="247"/>
        <v>0</v>
      </c>
      <c r="AQ526" s="52">
        <f t="shared" si="247"/>
        <v>0</v>
      </c>
      <c r="AR526" s="52">
        <f t="shared" si="247"/>
        <v>0</v>
      </c>
      <c r="AS526" s="52">
        <f t="shared" si="247"/>
        <v>0</v>
      </c>
      <c r="AT526" s="52">
        <f t="shared" si="247"/>
        <v>0</v>
      </c>
      <c r="AU526" s="52">
        <f t="shared" si="247"/>
        <v>0</v>
      </c>
      <c r="AV526" s="52">
        <f t="shared" si="247"/>
        <v>0</v>
      </c>
      <c r="AW526" s="52">
        <f t="shared" si="247"/>
        <v>0.66666666666666663</v>
      </c>
      <c r="AX526" s="52">
        <f t="shared" si="247"/>
        <v>1</v>
      </c>
      <c r="AY526" s="52">
        <f t="shared" si="247"/>
        <v>1</v>
      </c>
      <c r="AZ526" s="52">
        <f t="shared" si="247"/>
        <v>1</v>
      </c>
      <c r="BA526" s="52">
        <f t="shared" si="247"/>
        <v>1</v>
      </c>
      <c r="BB526" s="52">
        <f t="shared" si="247"/>
        <v>1</v>
      </c>
      <c r="BC526" s="52">
        <f t="shared" si="247"/>
        <v>1</v>
      </c>
      <c r="BD526" s="52">
        <f t="shared" si="247"/>
        <v>1</v>
      </c>
      <c r="BE526" s="52">
        <f t="shared" si="247"/>
        <v>1</v>
      </c>
      <c r="BF526" s="52">
        <f t="shared" si="247"/>
        <v>1</v>
      </c>
      <c r="BG526" s="52">
        <f t="shared" si="248"/>
        <v>1</v>
      </c>
      <c r="BH526" s="52">
        <f t="shared" si="248"/>
        <v>1</v>
      </c>
      <c r="BI526" s="52">
        <f t="shared" si="248"/>
        <v>1</v>
      </c>
      <c r="BJ526" s="52">
        <f t="shared" si="248"/>
        <v>1</v>
      </c>
      <c r="BK526" s="52">
        <f t="shared" si="248"/>
        <v>1</v>
      </c>
      <c r="BL526" s="52">
        <f t="shared" si="248"/>
        <v>1</v>
      </c>
      <c r="BM526" s="52">
        <f t="shared" si="248"/>
        <v>1</v>
      </c>
      <c r="BN526" s="52">
        <f t="shared" si="248"/>
        <v>1</v>
      </c>
      <c r="BO526" s="32">
        <f t="shared" si="246"/>
        <v>0.29943502824858753</v>
      </c>
    </row>
    <row r="527" spans="1:67" ht="24" x14ac:dyDescent="0.2">
      <c r="A527" s="55" t="s">
        <v>1062</v>
      </c>
      <c r="B527" s="55" t="s">
        <v>1063</v>
      </c>
      <c r="C527" s="55" t="s">
        <v>14</v>
      </c>
      <c r="D527" s="56">
        <f>VLOOKUP(A527,'[1]Cuadro Control'!C569:J2457,8,FALSE)</f>
        <v>0</v>
      </c>
      <c r="E527" s="57">
        <f t="shared" si="244"/>
        <v>0</v>
      </c>
      <c r="F527" s="58">
        <v>46498</v>
      </c>
      <c r="G527" s="58">
        <v>46498</v>
      </c>
      <c r="H527" s="57">
        <f t="shared" si="249"/>
        <v>0</v>
      </c>
      <c r="I527" s="57">
        <f t="shared" si="249"/>
        <v>0</v>
      </c>
      <c r="J527" s="57">
        <f t="shared" si="249"/>
        <v>0</v>
      </c>
      <c r="K527" s="57">
        <f t="shared" si="249"/>
        <v>0</v>
      </c>
      <c r="L527" s="57">
        <f t="shared" si="249"/>
        <v>0</v>
      </c>
      <c r="M527" s="57">
        <f t="shared" si="249"/>
        <v>0</v>
      </c>
      <c r="N527" s="57">
        <f t="shared" si="249"/>
        <v>0</v>
      </c>
      <c r="O527" s="57">
        <f t="shared" si="249"/>
        <v>0</v>
      </c>
      <c r="P527" s="57">
        <f t="shared" si="249"/>
        <v>0</v>
      </c>
      <c r="Q527" s="57">
        <f t="shared" si="249"/>
        <v>0</v>
      </c>
      <c r="R527" s="57">
        <f t="shared" si="249"/>
        <v>0</v>
      </c>
      <c r="S527" s="57">
        <f t="shared" si="249"/>
        <v>0</v>
      </c>
      <c r="T527" s="57">
        <f t="shared" si="249"/>
        <v>0</v>
      </c>
      <c r="U527" s="57">
        <f t="shared" si="249"/>
        <v>0</v>
      </c>
      <c r="V527" s="57">
        <f t="shared" si="249"/>
        <v>0</v>
      </c>
      <c r="W527" s="57">
        <f t="shared" si="249"/>
        <v>0</v>
      </c>
      <c r="X527" s="57">
        <f t="shared" si="250"/>
        <v>0</v>
      </c>
      <c r="Y527" s="57">
        <f t="shared" si="250"/>
        <v>0</v>
      </c>
      <c r="Z527" s="57">
        <f t="shared" si="250"/>
        <v>0</v>
      </c>
      <c r="AA527" s="57">
        <f t="shared" si="250"/>
        <v>0</v>
      </c>
      <c r="AB527" s="57">
        <f t="shared" si="250"/>
        <v>0</v>
      </c>
      <c r="AC527" s="57">
        <f t="shared" si="250"/>
        <v>0</v>
      </c>
      <c r="AD527" s="57">
        <f t="shared" si="250"/>
        <v>0</v>
      </c>
      <c r="AE527" s="57">
        <f t="shared" si="250"/>
        <v>0</v>
      </c>
      <c r="AF527" s="57">
        <f t="shared" si="250"/>
        <v>0</v>
      </c>
      <c r="AG527" s="57">
        <f t="shared" si="250"/>
        <v>0</v>
      </c>
      <c r="AH527" s="57">
        <f t="shared" si="250"/>
        <v>0</v>
      </c>
      <c r="AI527" s="57">
        <f t="shared" si="250"/>
        <v>0</v>
      </c>
      <c r="AJ527" s="57">
        <f t="shared" si="250"/>
        <v>0</v>
      </c>
      <c r="AK527" s="57">
        <f t="shared" si="250"/>
        <v>0</v>
      </c>
      <c r="AL527" s="57">
        <f t="shared" si="250"/>
        <v>0</v>
      </c>
      <c r="AM527" s="57">
        <f t="shared" si="250"/>
        <v>0</v>
      </c>
      <c r="AN527" s="57">
        <f t="shared" si="250"/>
        <v>0</v>
      </c>
      <c r="AO527" s="57">
        <f t="shared" si="247"/>
        <v>0</v>
      </c>
      <c r="AP527" s="57">
        <f t="shared" si="247"/>
        <v>0</v>
      </c>
      <c r="AQ527" s="57">
        <f t="shared" si="247"/>
        <v>0</v>
      </c>
      <c r="AR527" s="57">
        <f t="shared" si="247"/>
        <v>0</v>
      </c>
      <c r="AS527" s="57">
        <f t="shared" si="247"/>
        <v>0</v>
      </c>
      <c r="AT527" s="57">
        <f t="shared" si="247"/>
        <v>0</v>
      </c>
      <c r="AU527" s="57">
        <f t="shared" si="247"/>
        <v>0</v>
      </c>
      <c r="AV527" s="57">
        <f t="shared" si="247"/>
        <v>0</v>
      </c>
      <c r="AW527" s="57">
        <f t="shared" si="247"/>
        <v>1</v>
      </c>
      <c r="AX527" s="57">
        <f t="shared" si="247"/>
        <v>1</v>
      </c>
      <c r="AY527" s="57">
        <f t="shared" si="247"/>
        <v>1</v>
      </c>
      <c r="AZ527" s="57">
        <f t="shared" si="247"/>
        <v>1</v>
      </c>
      <c r="BA527" s="57">
        <f t="shared" si="247"/>
        <v>1</v>
      </c>
      <c r="BB527" s="57">
        <f t="shared" si="247"/>
        <v>1</v>
      </c>
      <c r="BC527" s="57">
        <f t="shared" si="247"/>
        <v>1</v>
      </c>
      <c r="BD527" s="57">
        <f t="shared" si="247"/>
        <v>1</v>
      </c>
      <c r="BE527" s="57">
        <f t="shared" si="247"/>
        <v>1</v>
      </c>
      <c r="BF527" s="57">
        <f t="shared" si="247"/>
        <v>1</v>
      </c>
      <c r="BG527" s="57">
        <f t="shared" si="248"/>
        <v>1</v>
      </c>
      <c r="BH527" s="57">
        <f t="shared" si="248"/>
        <v>1</v>
      </c>
      <c r="BI527" s="57">
        <f t="shared" si="248"/>
        <v>1</v>
      </c>
      <c r="BJ527" s="57">
        <f t="shared" si="248"/>
        <v>1</v>
      </c>
      <c r="BK527" s="57">
        <f t="shared" si="248"/>
        <v>1</v>
      </c>
      <c r="BL527" s="57">
        <f t="shared" si="248"/>
        <v>1</v>
      </c>
      <c r="BM527" s="57">
        <f t="shared" si="248"/>
        <v>1</v>
      </c>
      <c r="BN527" s="57">
        <f t="shared" si="248"/>
        <v>1</v>
      </c>
      <c r="BO527" s="32">
        <f t="shared" si="246"/>
        <v>0.30508474576271188</v>
      </c>
    </row>
    <row r="528" spans="1:67" x14ac:dyDescent="0.2">
      <c r="A528" s="50" t="s">
        <v>1064</v>
      </c>
      <c r="B528" s="50" t="s">
        <v>1065</v>
      </c>
      <c r="C528" s="50" t="s">
        <v>111</v>
      </c>
      <c r="D528" s="51">
        <f>VLOOKUP(A528,'[1]Cuadro Control'!C570:J2458,8,FALSE)</f>
        <v>1230815225.9452939</v>
      </c>
      <c r="E528" s="52">
        <f t="shared" si="244"/>
        <v>0.2318411625341423</v>
      </c>
      <c r="F528" s="53">
        <v>46501</v>
      </c>
      <c r="G528" s="53">
        <v>46503</v>
      </c>
      <c r="H528" s="52">
        <f t="shared" si="249"/>
        <v>0</v>
      </c>
      <c r="I528" s="52">
        <f t="shared" si="249"/>
        <v>0</v>
      </c>
      <c r="J528" s="52">
        <f t="shared" si="249"/>
        <v>0</v>
      </c>
      <c r="K528" s="52">
        <f t="shared" si="249"/>
        <v>0</v>
      </c>
      <c r="L528" s="52">
        <f t="shared" si="249"/>
        <v>0</v>
      </c>
      <c r="M528" s="52">
        <f t="shared" si="249"/>
        <v>0</v>
      </c>
      <c r="N528" s="52">
        <f t="shared" si="249"/>
        <v>0</v>
      </c>
      <c r="O528" s="52">
        <f t="shared" si="249"/>
        <v>0</v>
      </c>
      <c r="P528" s="52">
        <f t="shared" si="249"/>
        <v>0</v>
      </c>
      <c r="Q528" s="52">
        <f t="shared" si="249"/>
        <v>0</v>
      </c>
      <c r="R528" s="52">
        <f t="shared" si="249"/>
        <v>0</v>
      </c>
      <c r="S528" s="52">
        <f t="shared" si="249"/>
        <v>0</v>
      </c>
      <c r="T528" s="52">
        <f t="shared" si="249"/>
        <v>0</v>
      </c>
      <c r="U528" s="52">
        <f t="shared" si="249"/>
        <v>0</v>
      </c>
      <c r="V528" s="52">
        <f t="shared" si="249"/>
        <v>0</v>
      </c>
      <c r="W528" s="52">
        <f t="shared" si="249"/>
        <v>0</v>
      </c>
      <c r="X528" s="52">
        <f t="shared" si="250"/>
        <v>0</v>
      </c>
      <c r="Y528" s="52">
        <f t="shared" si="250"/>
        <v>0</v>
      </c>
      <c r="Z528" s="52">
        <f t="shared" si="250"/>
        <v>0</v>
      </c>
      <c r="AA528" s="52">
        <f t="shared" si="250"/>
        <v>0</v>
      </c>
      <c r="AB528" s="52">
        <f t="shared" si="250"/>
        <v>0</v>
      </c>
      <c r="AC528" s="52">
        <f t="shared" si="250"/>
        <v>0</v>
      </c>
      <c r="AD528" s="52">
        <f t="shared" si="250"/>
        <v>0</v>
      </c>
      <c r="AE528" s="52">
        <f t="shared" si="250"/>
        <v>0</v>
      </c>
      <c r="AF528" s="52">
        <f t="shared" si="250"/>
        <v>0</v>
      </c>
      <c r="AG528" s="52">
        <f t="shared" si="250"/>
        <v>0</v>
      </c>
      <c r="AH528" s="52">
        <f t="shared" si="250"/>
        <v>0</v>
      </c>
      <c r="AI528" s="52">
        <f t="shared" si="250"/>
        <v>0</v>
      </c>
      <c r="AJ528" s="52">
        <f t="shared" si="250"/>
        <v>0</v>
      </c>
      <c r="AK528" s="52">
        <f t="shared" si="250"/>
        <v>0</v>
      </c>
      <c r="AL528" s="52">
        <f t="shared" si="250"/>
        <v>0</v>
      </c>
      <c r="AM528" s="52">
        <f t="shared" si="250"/>
        <v>0</v>
      </c>
      <c r="AN528" s="52">
        <f t="shared" si="250"/>
        <v>0</v>
      </c>
      <c r="AO528" s="52">
        <f t="shared" si="247"/>
        <v>0</v>
      </c>
      <c r="AP528" s="52">
        <f t="shared" si="247"/>
        <v>0</v>
      </c>
      <c r="AQ528" s="52">
        <f t="shared" si="247"/>
        <v>0</v>
      </c>
      <c r="AR528" s="52">
        <f t="shared" si="247"/>
        <v>0</v>
      </c>
      <c r="AS528" s="52">
        <f t="shared" si="247"/>
        <v>0</v>
      </c>
      <c r="AT528" s="52">
        <f t="shared" si="247"/>
        <v>0</v>
      </c>
      <c r="AU528" s="52">
        <f t="shared" si="247"/>
        <v>0</v>
      </c>
      <c r="AV528" s="52">
        <f t="shared" si="247"/>
        <v>0</v>
      </c>
      <c r="AW528" s="52">
        <f t="shared" si="247"/>
        <v>0</v>
      </c>
      <c r="AX528" s="52">
        <f t="shared" si="247"/>
        <v>1</v>
      </c>
      <c r="AY528" s="52">
        <f t="shared" si="247"/>
        <v>1</v>
      </c>
      <c r="AZ528" s="52">
        <f t="shared" si="247"/>
        <v>1</v>
      </c>
      <c r="BA528" s="52">
        <f t="shared" si="247"/>
        <v>1</v>
      </c>
      <c r="BB528" s="52">
        <f t="shared" si="247"/>
        <v>1</v>
      </c>
      <c r="BC528" s="52">
        <f t="shared" si="247"/>
        <v>1</v>
      </c>
      <c r="BD528" s="52">
        <f t="shared" si="247"/>
        <v>1</v>
      </c>
      <c r="BE528" s="52">
        <f t="shared" si="247"/>
        <v>1</v>
      </c>
      <c r="BF528" s="52">
        <f t="shared" si="247"/>
        <v>1</v>
      </c>
      <c r="BG528" s="52">
        <f t="shared" si="248"/>
        <v>1</v>
      </c>
      <c r="BH528" s="52">
        <f t="shared" si="248"/>
        <v>1</v>
      </c>
      <c r="BI528" s="52">
        <f t="shared" si="248"/>
        <v>1</v>
      </c>
      <c r="BJ528" s="52">
        <f t="shared" si="248"/>
        <v>1</v>
      </c>
      <c r="BK528" s="52">
        <f t="shared" si="248"/>
        <v>1</v>
      </c>
      <c r="BL528" s="52">
        <f t="shared" si="248"/>
        <v>1</v>
      </c>
      <c r="BM528" s="52">
        <f t="shared" si="248"/>
        <v>1</v>
      </c>
      <c r="BN528" s="52">
        <f t="shared" si="248"/>
        <v>1</v>
      </c>
      <c r="BO528" s="32">
        <f t="shared" si="246"/>
        <v>0.28813559322033899</v>
      </c>
    </row>
    <row r="529" spans="1:67" x14ac:dyDescent="0.2">
      <c r="A529" s="50" t="s">
        <v>1066</v>
      </c>
      <c r="B529" s="50" t="s">
        <v>1067</v>
      </c>
      <c r="C529" s="50" t="s">
        <v>238</v>
      </c>
      <c r="D529" s="51">
        <f>VLOOKUP(A529,'[1]Cuadro Control'!C571:J2459,8,FALSE)</f>
        <v>0</v>
      </c>
      <c r="E529" s="52">
        <f t="shared" si="244"/>
        <v>0</v>
      </c>
      <c r="F529" s="53">
        <v>46503</v>
      </c>
      <c r="G529" s="53">
        <v>46510</v>
      </c>
      <c r="H529" s="52">
        <f t="shared" si="249"/>
        <v>0</v>
      </c>
      <c r="I529" s="52">
        <f t="shared" si="249"/>
        <v>0</v>
      </c>
      <c r="J529" s="52">
        <f t="shared" si="249"/>
        <v>0</v>
      </c>
      <c r="K529" s="52">
        <f t="shared" si="249"/>
        <v>0</v>
      </c>
      <c r="L529" s="52">
        <f t="shared" si="249"/>
        <v>0</v>
      </c>
      <c r="M529" s="52">
        <f t="shared" si="249"/>
        <v>0</v>
      </c>
      <c r="N529" s="52">
        <f t="shared" si="249"/>
        <v>0</v>
      </c>
      <c r="O529" s="52">
        <f t="shared" si="249"/>
        <v>0</v>
      </c>
      <c r="P529" s="52">
        <f t="shared" si="249"/>
        <v>0</v>
      </c>
      <c r="Q529" s="52">
        <f t="shared" si="249"/>
        <v>0</v>
      </c>
      <c r="R529" s="52">
        <f t="shared" si="249"/>
        <v>0</v>
      </c>
      <c r="S529" s="52">
        <f t="shared" si="249"/>
        <v>0</v>
      </c>
      <c r="T529" s="52">
        <f t="shared" si="249"/>
        <v>0</v>
      </c>
      <c r="U529" s="52">
        <f t="shared" si="249"/>
        <v>0</v>
      </c>
      <c r="V529" s="52">
        <f t="shared" si="249"/>
        <v>0</v>
      </c>
      <c r="W529" s="52">
        <f t="shared" si="249"/>
        <v>0</v>
      </c>
      <c r="X529" s="52">
        <f t="shared" si="250"/>
        <v>0</v>
      </c>
      <c r="Y529" s="52">
        <f t="shared" si="250"/>
        <v>0</v>
      </c>
      <c r="Z529" s="52">
        <f t="shared" si="250"/>
        <v>0</v>
      </c>
      <c r="AA529" s="52">
        <f t="shared" si="250"/>
        <v>0</v>
      </c>
      <c r="AB529" s="52">
        <f t="shared" si="250"/>
        <v>0</v>
      </c>
      <c r="AC529" s="52">
        <f t="shared" si="250"/>
        <v>0</v>
      </c>
      <c r="AD529" s="52">
        <f t="shared" si="250"/>
        <v>0</v>
      </c>
      <c r="AE529" s="52">
        <f t="shared" si="250"/>
        <v>0</v>
      </c>
      <c r="AF529" s="52">
        <f t="shared" si="250"/>
        <v>0</v>
      </c>
      <c r="AG529" s="52">
        <f t="shared" si="250"/>
        <v>0</v>
      </c>
      <c r="AH529" s="52">
        <f t="shared" si="250"/>
        <v>0</v>
      </c>
      <c r="AI529" s="52">
        <f t="shared" si="250"/>
        <v>0</v>
      </c>
      <c r="AJ529" s="52">
        <f t="shared" si="250"/>
        <v>0</v>
      </c>
      <c r="AK529" s="52">
        <f t="shared" si="250"/>
        <v>0</v>
      </c>
      <c r="AL529" s="52">
        <f t="shared" si="250"/>
        <v>0</v>
      </c>
      <c r="AM529" s="52">
        <f t="shared" si="250"/>
        <v>0</v>
      </c>
      <c r="AN529" s="52">
        <f t="shared" si="250"/>
        <v>0</v>
      </c>
      <c r="AO529" s="52">
        <f t="shared" si="247"/>
        <v>0</v>
      </c>
      <c r="AP529" s="52">
        <f t="shared" si="247"/>
        <v>0</v>
      </c>
      <c r="AQ529" s="52">
        <f t="shared" si="247"/>
        <v>0</v>
      </c>
      <c r="AR529" s="52">
        <f t="shared" si="247"/>
        <v>0</v>
      </c>
      <c r="AS529" s="52">
        <f t="shared" si="247"/>
        <v>0</v>
      </c>
      <c r="AT529" s="52">
        <f t="shared" si="247"/>
        <v>0</v>
      </c>
      <c r="AU529" s="52">
        <f t="shared" si="247"/>
        <v>0</v>
      </c>
      <c r="AV529" s="52">
        <f t="shared" si="247"/>
        <v>0</v>
      </c>
      <c r="AW529" s="52">
        <f t="shared" si="247"/>
        <v>0</v>
      </c>
      <c r="AX529" s="52">
        <f t="shared" si="247"/>
        <v>0.625</v>
      </c>
      <c r="AY529" s="52">
        <f t="shared" si="247"/>
        <v>1</v>
      </c>
      <c r="AZ529" s="52">
        <f t="shared" si="247"/>
        <v>1</v>
      </c>
      <c r="BA529" s="52">
        <f t="shared" si="247"/>
        <v>1</v>
      </c>
      <c r="BB529" s="52">
        <f t="shared" si="247"/>
        <v>1</v>
      </c>
      <c r="BC529" s="52">
        <f t="shared" si="247"/>
        <v>1</v>
      </c>
      <c r="BD529" s="52">
        <f t="shared" si="247"/>
        <v>1</v>
      </c>
      <c r="BE529" s="52">
        <f t="shared" si="247"/>
        <v>1</v>
      </c>
      <c r="BF529" s="52">
        <f t="shared" si="247"/>
        <v>1</v>
      </c>
      <c r="BG529" s="52">
        <f t="shared" si="248"/>
        <v>1</v>
      </c>
      <c r="BH529" s="52">
        <f t="shared" si="248"/>
        <v>1</v>
      </c>
      <c r="BI529" s="52">
        <f t="shared" si="248"/>
        <v>1</v>
      </c>
      <c r="BJ529" s="52">
        <f t="shared" si="248"/>
        <v>1</v>
      </c>
      <c r="BK529" s="52">
        <f t="shared" si="248"/>
        <v>1</v>
      </c>
      <c r="BL529" s="52">
        <f t="shared" si="248"/>
        <v>1</v>
      </c>
      <c r="BM529" s="52">
        <f t="shared" si="248"/>
        <v>1</v>
      </c>
      <c r="BN529" s="52">
        <f t="shared" si="248"/>
        <v>1</v>
      </c>
      <c r="BO529" s="32">
        <f t="shared" si="246"/>
        <v>0.28177966101694918</v>
      </c>
    </row>
    <row r="530" spans="1:67" ht="24" x14ac:dyDescent="0.2">
      <c r="A530" s="50" t="s">
        <v>1068</v>
      </c>
      <c r="B530" s="50" t="s">
        <v>1069</v>
      </c>
      <c r="C530" s="50" t="s">
        <v>126</v>
      </c>
      <c r="D530" s="51">
        <f>VLOOKUP(A530,'[1]Cuadro Control'!C572:J2460,8,FALSE)</f>
        <v>52736347.43270281</v>
      </c>
      <c r="E530" s="52">
        <f t="shared" si="244"/>
        <v>9.933624348213644E-3</v>
      </c>
      <c r="F530" s="53">
        <v>46511</v>
      </c>
      <c r="G530" s="53">
        <v>46513</v>
      </c>
      <c r="H530" s="52">
        <f t="shared" si="249"/>
        <v>0</v>
      </c>
      <c r="I530" s="52">
        <f t="shared" si="249"/>
        <v>0</v>
      </c>
      <c r="J530" s="52">
        <f t="shared" si="249"/>
        <v>0</v>
      </c>
      <c r="K530" s="52">
        <f t="shared" si="249"/>
        <v>0</v>
      </c>
      <c r="L530" s="52">
        <f t="shared" si="249"/>
        <v>0</v>
      </c>
      <c r="M530" s="52">
        <f t="shared" si="249"/>
        <v>0</v>
      </c>
      <c r="N530" s="52">
        <f t="shared" si="249"/>
        <v>0</v>
      </c>
      <c r="O530" s="52">
        <f t="shared" si="249"/>
        <v>0</v>
      </c>
      <c r="P530" s="52">
        <f t="shared" si="249"/>
        <v>0</v>
      </c>
      <c r="Q530" s="52">
        <f t="shared" si="249"/>
        <v>0</v>
      </c>
      <c r="R530" s="52">
        <f t="shared" si="249"/>
        <v>0</v>
      </c>
      <c r="S530" s="52">
        <f t="shared" si="249"/>
        <v>0</v>
      </c>
      <c r="T530" s="52">
        <f t="shared" si="249"/>
        <v>0</v>
      </c>
      <c r="U530" s="52">
        <f t="shared" si="249"/>
        <v>0</v>
      </c>
      <c r="V530" s="52">
        <f t="shared" si="249"/>
        <v>0</v>
      </c>
      <c r="W530" s="52">
        <f t="shared" si="249"/>
        <v>0</v>
      </c>
      <c r="X530" s="52">
        <f t="shared" si="250"/>
        <v>0</v>
      </c>
      <c r="Y530" s="52">
        <f t="shared" si="250"/>
        <v>0</v>
      </c>
      <c r="Z530" s="52">
        <f t="shared" si="250"/>
        <v>0</v>
      </c>
      <c r="AA530" s="52">
        <f t="shared" si="250"/>
        <v>0</v>
      </c>
      <c r="AB530" s="52">
        <f t="shared" si="250"/>
        <v>0</v>
      </c>
      <c r="AC530" s="52">
        <f t="shared" si="250"/>
        <v>0</v>
      </c>
      <c r="AD530" s="52">
        <f t="shared" si="250"/>
        <v>0</v>
      </c>
      <c r="AE530" s="52">
        <f t="shared" si="250"/>
        <v>0</v>
      </c>
      <c r="AF530" s="52">
        <f t="shared" si="250"/>
        <v>0</v>
      </c>
      <c r="AG530" s="52">
        <f t="shared" si="250"/>
        <v>0</v>
      </c>
      <c r="AH530" s="52">
        <f t="shared" si="250"/>
        <v>0</v>
      </c>
      <c r="AI530" s="52">
        <f t="shared" si="250"/>
        <v>0</v>
      </c>
      <c r="AJ530" s="52">
        <f t="shared" si="250"/>
        <v>0</v>
      </c>
      <c r="AK530" s="52">
        <f t="shared" si="250"/>
        <v>0</v>
      </c>
      <c r="AL530" s="52">
        <f t="shared" si="250"/>
        <v>0</v>
      </c>
      <c r="AM530" s="52">
        <f t="shared" si="250"/>
        <v>0</v>
      </c>
      <c r="AN530" s="52">
        <f t="shared" si="250"/>
        <v>0</v>
      </c>
      <c r="AO530" s="52">
        <f t="shared" si="247"/>
        <v>0</v>
      </c>
      <c r="AP530" s="52">
        <f t="shared" si="247"/>
        <v>0</v>
      </c>
      <c r="AQ530" s="52">
        <f t="shared" si="247"/>
        <v>0</v>
      </c>
      <c r="AR530" s="52">
        <f t="shared" si="247"/>
        <v>0</v>
      </c>
      <c r="AS530" s="52">
        <f t="shared" si="247"/>
        <v>0</v>
      </c>
      <c r="AT530" s="52">
        <f t="shared" si="247"/>
        <v>0</v>
      </c>
      <c r="AU530" s="52">
        <f t="shared" si="247"/>
        <v>0</v>
      </c>
      <c r="AV530" s="52">
        <f t="shared" si="247"/>
        <v>0</v>
      </c>
      <c r="AW530" s="52">
        <f t="shared" si="247"/>
        <v>0</v>
      </c>
      <c r="AX530" s="52">
        <f t="shared" si="247"/>
        <v>0</v>
      </c>
      <c r="AY530" s="52">
        <f t="shared" si="247"/>
        <v>1</v>
      </c>
      <c r="AZ530" s="52">
        <f t="shared" si="247"/>
        <v>1</v>
      </c>
      <c r="BA530" s="52">
        <f t="shared" si="247"/>
        <v>1</v>
      </c>
      <c r="BB530" s="52">
        <f t="shared" si="247"/>
        <v>1</v>
      </c>
      <c r="BC530" s="52">
        <f t="shared" si="247"/>
        <v>1</v>
      </c>
      <c r="BD530" s="52">
        <f t="shared" si="247"/>
        <v>1</v>
      </c>
      <c r="BE530" s="52">
        <f t="shared" si="247"/>
        <v>1</v>
      </c>
      <c r="BF530" s="52">
        <f t="shared" si="247"/>
        <v>1</v>
      </c>
      <c r="BG530" s="52">
        <f t="shared" si="248"/>
        <v>1</v>
      </c>
      <c r="BH530" s="52">
        <f t="shared" si="248"/>
        <v>1</v>
      </c>
      <c r="BI530" s="52">
        <f t="shared" si="248"/>
        <v>1</v>
      </c>
      <c r="BJ530" s="52">
        <f t="shared" si="248"/>
        <v>1</v>
      </c>
      <c r="BK530" s="52">
        <f t="shared" si="248"/>
        <v>1</v>
      </c>
      <c r="BL530" s="52">
        <f t="shared" si="248"/>
        <v>1</v>
      </c>
      <c r="BM530" s="52">
        <f t="shared" si="248"/>
        <v>1</v>
      </c>
      <c r="BN530" s="52">
        <f t="shared" si="248"/>
        <v>1</v>
      </c>
      <c r="BO530" s="32">
        <f t="shared" si="246"/>
        <v>0.2711864406779661</v>
      </c>
    </row>
    <row r="531" spans="1:67" ht="24" x14ac:dyDescent="0.2">
      <c r="A531" s="50" t="s">
        <v>1070</v>
      </c>
      <c r="B531" s="50" t="s">
        <v>1071</v>
      </c>
      <c r="C531" s="50" t="s">
        <v>117</v>
      </c>
      <c r="D531" s="51">
        <f>VLOOKUP(A531,'[1]Cuadro Control'!C573:J2461,8,FALSE)</f>
        <v>46410609.014634147</v>
      </c>
      <c r="E531" s="52">
        <f t="shared" si="244"/>
        <v>8.742083556535862E-3</v>
      </c>
      <c r="F531" s="53">
        <v>46513</v>
      </c>
      <c r="G531" s="53">
        <v>46515</v>
      </c>
      <c r="H531" s="52">
        <f t="shared" si="249"/>
        <v>0</v>
      </c>
      <c r="I531" s="52">
        <f t="shared" si="249"/>
        <v>0</v>
      </c>
      <c r="J531" s="52">
        <f t="shared" si="249"/>
        <v>0</v>
      </c>
      <c r="K531" s="52">
        <f t="shared" si="249"/>
        <v>0</v>
      </c>
      <c r="L531" s="52">
        <f t="shared" si="249"/>
        <v>0</v>
      </c>
      <c r="M531" s="52">
        <f t="shared" si="249"/>
        <v>0</v>
      </c>
      <c r="N531" s="52">
        <f t="shared" si="249"/>
        <v>0</v>
      </c>
      <c r="O531" s="52">
        <f t="shared" si="249"/>
        <v>0</v>
      </c>
      <c r="P531" s="52">
        <f t="shared" si="249"/>
        <v>0</v>
      </c>
      <c r="Q531" s="52">
        <f t="shared" si="249"/>
        <v>0</v>
      </c>
      <c r="R531" s="52">
        <f t="shared" si="249"/>
        <v>0</v>
      </c>
      <c r="S531" s="52">
        <f t="shared" si="249"/>
        <v>0</v>
      </c>
      <c r="T531" s="52">
        <f t="shared" si="249"/>
        <v>0</v>
      </c>
      <c r="U531" s="52">
        <f t="shared" si="249"/>
        <v>0</v>
      </c>
      <c r="V531" s="52">
        <f t="shared" si="249"/>
        <v>0</v>
      </c>
      <c r="W531" s="52">
        <f t="shared" si="249"/>
        <v>0</v>
      </c>
      <c r="X531" s="52">
        <f t="shared" si="250"/>
        <v>0</v>
      </c>
      <c r="Y531" s="52">
        <f t="shared" si="250"/>
        <v>0</v>
      </c>
      <c r="Z531" s="52">
        <f t="shared" si="250"/>
        <v>0</v>
      </c>
      <c r="AA531" s="52">
        <f t="shared" si="250"/>
        <v>0</v>
      </c>
      <c r="AB531" s="52">
        <f t="shared" si="250"/>
        <v>0</v>
      </c>
      <c r="AC531" s="52">
        <f t="shared" si="250"/>
        <v>0</v>
      </c>
      <c r="AD531" s="52">
        <f t="shared" si="250"/>
        <v>0</v>
      </c>
      <c r="AE531" s="52">
        <f t="shared" si="250"/>
        <v>0</v>
      </c>
      <c r="AF531" s="52">
        <f t="shared" si="250"/>
        <v>0</v>
      </c>
      <c r="AG531" s="52">
        <f t="shared" si="250"/>
        <v>0</v>
      </c>
      <c r="AH531" s="52">
        <f t="shared" si="250"/>
        <v>0</v>
      </c>
      <c r="AI531" s="52">
        <f t="shared" si="250"/>
        <v>0</v>
      </c>
      <c r="AJ531" s="52">
        <f t="shared" si="250"/>
        <v>0</v>
      </c>
      <c r="AK531" s="52">
        <f t="shared" si="250"/>
        <v>0</v>
      </c>
      <c r="AL531" s="52">
        <f t="shared" si="250"/>
        <v>0</v>
      </c>
      <c r="AM531" s="52">
        <f t="shared" si="250"/>
        <v>0</v>
      </c>
      <c r="AN531" s="52">
        <f t="shared" si="250"/>
        <v>0</v>
      </c>
      <c r="AO531" s="52">
        <f t="shared" si="247"/>
        <v>0</v>
      </c>
      <c r="AP531" s="52">
        <f t="shared" si="247"/>
        <v>0</v>
      </c>
      <c r="AQ531" s="52">
        <f t="shared" si="247"/>
        <v>0</v>
      </c>
      <c r="AR531" s="52">
        <f t="shared" si="247"/>
        <v>0</v>
      </c>
      <c r="AS531" s="52">
        <f t="shared" si="247"/>
        <v>0</v>
      </c>
      <c r="AT531" s="52">
        <f t="shared" si="247"/>
        <v>0</v>
      </c>
      <c r="AU531" s="52">
        <f t="shared" si="247"/>
        <v>0</v>
      </c>
      <c r="AV531" s="52">
        <f t="shared" si="247"/>
        <v>0</v>
      </c>
      <c r="AW531" s="52">
        <f t="shared" si="247"/>
        <v>0</v>
      </c>
      <c r="AX531" s="52">
        <f t="shared" si="247"/>
        <v>0</v>
      </c>
      <c r="AY531" s="52">
        <f t="shared" si="247"/>
        <v>0.66666666666666663</v>
      </c>
      <c r="AZ531" s="52">
        <f t="shared" si="247"/>
        <v>1</v>
      </c>
      <c r="BA531" s="52">
        <f t="shared" si="247"/>
        <v>1</v>
      </c>
      <c r="BB531" s="52">
        <f t="shared" si="247"/>
        <v>1</v>
      </c>
      <c r="BC531" s="52">
        <f t="shared" si="247"/>
        <v>1</v>
      </c>
      <c r="BD531" s="52">
        <f t="shared" si="247"/>
        <v>1</v>
      </c>
      <c r="BE531" s="52">
        <f t="shared" si="247"/>
        <v>1</v>
      </c>
      <c r="BF531" s="52">
        <f t="shared" si="247"/>
        <v>1</v>
      </c>
      <c r="BG531" s="52">
        <f t="shared" si="248"/>
        <v>1</v>
      </c>
      <c r="BH531" s="52">
        <f t="shared" si="248"/>
        <v>1</v>
      </c>
      <c r="BI531" s="52">
        <f t="shared" si="248"/>
        <v>1</v>
      </c>
      <c r="BJ531" s="52">
        <f t="shared" si="248"/>
        <v>1</v>
      </c>
      <c r="BK531" s="52">
        <f t="shared" si="248"/>
        <v>1</v>
      </c>
      <c r="BL531" s="52">
        <f t="shared" si="248"/>
        <v>1</v>
      </c>
      <c r="BM531" s="52">
        <f t="shared" si="248"/>
        <v>1</v>
      </c>
      <c r="BN531" s="52">
        <f t="shared" si="248"/>
        <v>1</v>
      </c>
      <c r="BO531" s="32">
        <f t="shared" si="246"/>
        <v>0.2655367231638418</v>
      </c>
    </row>
    <row r="532" spans="1:67" ht="24" x14ac:dyDescent="0.2">
      <c r="A532" s="50" t="s">
        <v>1072</v>
      </c>
      <c r="B532" s="50" t="s">
        <v>1073</v>
      </c>
      <c r="C532" s="50" t="s">
        <v>61</v>
      </c>
      <c r="D532" s="51">
        <f>VLOOKUP(A532,'[1]Cuadro Control'!C574:J2462,8,FALSE)</f>
        <v>1587346329.5488234</v>
      </c>
      <c r="E532" s="52">
        <f t="shared" si="244"/>
        <v>0.29899875353285565</v>
      </c>
      <c r="F532" s="53">
        <v>46513</v>
      </c>
      <c r="G532" s="53">
        <v>46525</v>
      </c>
      <c r="H532" s="52">
        <f t="shared" si="249"/>
        <v>0</v>
      </c>
      <c r="I532" s="52">
        <f t="shared" si="249"/>
        <v>0</v>
      </c>
      <c r="J532" s="52">
        <f t="shared" si="249"/>
        <v>0</v>
      </c>
      <c r="K532" s="52">
        <f t="shared" si="249"/>
        <v>0</v>
      </c>
      <c r="L532" s="52">
        <f t="shared" si="249"/>
        <v>0</v>
      </c>
      <c r="M532" s="52">
        <f t="shared" si="249"/>
        <v>0</v>
      </c>
      <c r="N532" s="52">
        <f t="shared" si="249"/>
        <v>0</v>
      </c>
      <c r="O532" s="52">
        <f t="shared" si="249"/>
        <v>0</v>
      </c>
      <c r="P532" s="52">
        <f t="shared" si="249"/>
        <v>0</v>
      </c>
      <c r="Q532" s="52">
        <f t="shared" si="249"/>
        <v>0</v>
      </c>
      <c r="R532" s="52">
        <f t="shared" si="249"/>
        <v>0</v>
      </c>
      <c r="S532" s="52">
        <f t="shared" si="249"/>
        <v>0</v>
      </c>
      <c r="T532" s="52">
        <f t="shared" si="249"/>
        <v>0</v>
      </c>
      <c r="U532" s="52">
        <f t="shared" si="249"/>
        <v>0</v>
      </c>
      <c r="V532" s="52">
        <f t="shared" si="249"/>
        <v>0</v>
      </c>
      <c r="W532" s="52">
        <f t="shared" si="249"/>
        <v>0</v>
      </c>
      <c r="X532" s="52">
        <f t="shared" si="250"/>
        <v>0</v>
      </c>
      <c r="Y532" s="52">
        <f t="shared" si="250"/>
        <v>0</v>
      </c>
      <c r="Z532" s="52">
        <f t="shared" si="250"/>
        <v>0</v>
      </c>
      <c r="AA532" s="52">
        <f t="shared" si="250"/>
        <v>0</v>
      </c>
      <c r="AB532" s="52">
        <f t="shared" si="250"/>
        <v>0</v>
      </c>
      <c r="AC532" s="52">
        <f t="shared" si="250"/>
        <v>0</v>
      </c>
      <c r="AD532" s="52">
        <f t="shared" si="250"/>
        <v>0</v>
      </c>
      <c r="AE532" s="52">
        <f t="shared" si="250"/>
        <v>0</v>
      </c>
      <c r="AF532" s="52">
        <f t="shared" si="250"/>
        <v>0</v>
      </c>
      <c r="AG532" s="52">
        <f t="shared" si="250"/>
        <v>0</v>
      </c>
      <c r="AH532" s="52">
        <f t="shared" si="250"/>
        <v>0</v>
      </c>
      <c r="AI532" s="52">
        <f t="shared" si="250"/>
        <v>0</v>
      </c>
      <c r="AJ532" s="52">
        <f t="shared" si="250"/>
        <v>0</v>
      </c>
      <c r="AK532" s="52">
        <f t="shared" si="250"/>
        <v>0</v>
      </c>
      <c r="AL532" s="52">
        <f t="shared" si="250"/>
        <v>0</v>
      </c>
      <c r="AM532" s="52">
        <f t="shared" si="250"/>
        <v>0</v>
      </c>
      <c r="AN532" s="52">
        <f t="shared" si="250"/>
        <v>0</v>
      </c>
      <c r="AO532" s="52">
        <f t="shared" si="247"/>
        <v>0</v>
      </c>
      <c r="AP532" s="52">
        <f t="shared" si="247"/>
        <v>0</v>
      </c>
      <c r="AQ532" s="52">
        <f t="shared" si="247"/>
        <v>0</v>
      </c>
      <c r="AR532" s="52">
        <f t="shared" si="247"/>
        <v>0</v>
      </c>
      <c r="AS532" s="52">
        <f t="shared" si="247"/>
        <v>0</v>
      </c>
      <c r="AT532" s="52">
        <f t="shared" si="247"/>
        <v>0</v>
      </c>
      <c r="AU532" s="52">
        <f t="shared" si="247"/>
        <v>0</v>
      </c>
      <c r="AV532" s="52">
        <f t="shared" si="247"/>
        <v>0</v>
      </c>
      <c r="AW532" s="52">
        <f t="shared" si="247"/>
        <v>0</v>
      </c>
      <c r="AX532" s="52">
        <f t="shared" si="247"/>
        <v>0</v>
      </c>
      <c r="AY532" s="52">
        <f t="shared" si="247"/>
        <v>0.15384615384615385</v>
      </c>
      <c r="AZ532" s="52">
        <f t="shared" si="247"/>
        <v>0.69230769230769229</v>
      </c>
      <c r="BA532" s="52">
        <f t="shared" si="247"/>
        <v>1</v>
      </c>
      <c r="BB532" s="52">
        <f t="shared" si="247"/>
        <v>1</v>
      </c>
      <c r="BC532" s="52">
        <f t="shared" si="247"/>
        <v>1</v>
      </c>
      <c r="BD532" s="52">
        <f t="shared" si="247"/>
        <v>1</v>
      </c>
      <c r="BE532" s="52">
        <f t="shared" si="247"/>
        <v>1</v>
      </c>
      <c r="BF532" s="52">
        <f t="shared" si="247"/>
        <v>1</v>
      </c>
      <c r="BG532" s="52">
        <f t="shared" si="248"/>
        <v>1</v>
      </c>
      <c r="BH532" s="52">
        <f t="shared" si="248"/>
        <v>1</v>
      </c>
      <c r="BI532" s="52">
        <f t="shared" si="248"/>
        <v>1</v>
      </c>
      <c r="BJ532" s="52">
        <f t="shared" si="248"/>
        <v>1</v>
      </c>
      <c r="BK532" s="52">
        <f t="shared" si="248"/>
        <v>1</v>
      </c>
      <c r="BL532" s="52">
        <f t="shared" si="248"/>
        <v>1</v>
      </c>
      <c r="BM532" s="52">
        <f t="shared" si="248"/>
        <v>1</v>
      </c>
      <c r="BN532" s="52">
        <f t="shared" si="248"/>
        <v>1</v>
      </c>
      <c r="BO532" s="32">
        <f t="shared" si="246"/>
        <v>0.25162972620599738</v>
      </c>
    </row>
    <row r="533" spans="1:67" ht="30" x14ac:dyDescent="0.2">
      <c r="A533" s="46" t="s">
        <v>1074</v>
      </c>
      <c r="B533" s="46" t="s">
        <v>1075</v>
      </c>
      <c r="C533" s="46" t="s">
        <v>61</v>
      </c>
      <c r="D533" s="47">
        <f>VLOOKUP(A533,'[1]Cuadro Control'!C576:J2463,8,FALSE)</f>
        <v>179532477.23999998</v>
      </c>
      <c r="E533" s="48">
        <f t="shared" si="244"/>
        <v>3.3817438522495219E-2</v>
      </c>
      <c r="F533" s="49">
        <v>46515</v>
      </c>
      <c r="G533" s="49">
        <v>46529</v>
      </c>
      <c r="H533" s="48">
        <f t="shared" si="249"/>
        <v>0</v>
      </c>
      <c r="I533" s="48">
        <f t="shared" si="249"/>
        <v>0</v>
      </c>
      <c r="J533" s="48">
        <f t="shared" si="249"/>
        <v>0</v>
      </c>
      <c r="K533" s="48">
        <f t="shared" si="249"/>
        <v>0</v>
      </c>
      <c r="L533" s="48">
        <f t="shared" si="249"/>
        <v>0</v>
      </c>
      <c r="M533" s="48">
        <f t="shared" si="249"/>
        <v>0</v>
      </c>
      <c r="N533" s="48">
        <f t="shared" si="249"/>
        <v>0</v>
      </c>
      <c r="O533" s="48">
        <f t="shared" si="249"/>
        <v>0</v>
      </c>
      <c r="P533" s="48">
        <f t="shared" si="249"/>
        <v>0</v>
      </c>
      <c r="Q533" s="48">
        <f t="shared" si="249"/>
        <v>0</v>
      </c>
      <c r="R533" s="48">
        <f t="shared" si="249"/>
        <v>0</v>
      </c>
      <c r="S533" s="48">
        <f t="shared" si="249"/>
        <v>0</v>
      </c>
      <c r="T533" s="48">
        <f t="shared" si="249"/>
        <v>0</v>
      </c>
      <c r="U533" s="48">
        <f t="shared" si="249"/>
        <v>0</v>
      </c>
      <c r="V533" s="48">
        <f t="shared" si="249"/>
        <v>0</v>
      </c>
      <c r="W533" s="48">
        <f t="shared" si="249"/>
        <v>0</v>
      </c>
      <c r="X533" s="48">
        <f t="shared" si="250"/>
        <v>0</v>
      </c>
      <c r="Y533" s="48">
        <f t="shared" si="250"/>
        <v>0</v>
      </c>
      <c r="Z533" s="48">
        <f t="shared" si="250"/>
        <v>0</v>
      </c>
      <c r="AA533" s="48">
        <f t="shared" si="250"/>
        <v>0</v>
      </c>
      <c r="AB533" s="48">
        <f t="shared" si="250"/>
        <v>0</v>
      </c>
      <c r="AC533" s="48">
        <f t="shared" si="250"/>
        <v>0</v>
      </c>
      <c r="AD533" s="48">
        <f t="shared" si="250"/>
        <v>0</v>
      </c>
      <c r="AE533" s="48">
        <f t="shared" si="250"/>
        <v>0</v>
      </c>
      <c r="AF533" s="48">
        <f t="shared" si="250"/>
        <v>0</v>
      </c>
      <c r="AG533" s="48">
        <f t="shared" si="250"/>
        <v>0</v>
      </c>
      <c r="AH533" s="48">
        <f t="shared" si="250"/>
        <v>0</v>
      </c>
      <c r="AI533" s="48">
        <f t="shared" si="250"/>
        <v>0</v>
      </c>
      <c r="AJ533" s="48">
        <f t="shared" si="250"/>
        <v>0</v>
      </c>
      <c r="AK533" s="48">
        <f t="shared" si="250"/>
        <v>0</v>
      </c>
      <c r="AL533" s="48">
        <f t="shared" si="250"/>
        <v>0</v>
      </c>
      <c r="AM533" s="48">
        <f t="shared" si="250"/>
        <v>0</v>
      </c>
      <c r="AN533" s="48">
        <f t="shared" si="250"/>
        <v>0</v>
      </c>
      <c r="AO533" s="48">
        <f t="shared" si="247"/>
        <v>0</v>
      </c>
      <c r="AP533" s="48">
        <f t="shared" si="247"/>
        <v>0</v>
      </c>
      <c r="AQ533" s="48">
        <f t="shared" si="247"/>
        <v>0</v>
      </c>
      <c r="AR533" s="48">
        <f t="shared" si="247"/>
        <v>0</v>
      </c>
      <c r="AS533" s="48">
        <f t="shared" si="247"/>
        <v>0</v>
      </c>
      <c r="AT533" s="48">
        <f t="shared" si="247"/>
        <v>0</v>
      </c>
      <c r="AU533" s="48">
        <f t="shared" si="247"/>
        <v>0</v>
      </c>
      <c r="AV533" s="48">
        <f t="shared" si="247"/>
        <v>0</v>
      </c>
      <c r="AW533" s="48">
        <f t="shared" si="247"/>
        <v>0</v>
      </c>
      <c r="AX533" s="48">
        <f t="shared" si="247"/>
        <v>0</v>
      </c>
      <c r="AY533" s="48">
        <f t="shared" si="247"/>
        <v>0</v>
      </c>
      <c r="AZ533" s="48">
        <f t="shared" si="247"/>
        <v>0.46666666666666667</v>
      </c>
      <c r="BA533" s="48">
        <f t="shared" si="247"/>
        <v>0.93333333333333335</v>
      </c>
      <c r="BB533" s="48">
        <f t="shared" si="247"/>
        <v>1</v>
      </c>
      <c r="BC533" s="48">
        <f t="shared" si="247"/>
        <v>1</v>
      </c>
      <c r="BD533" s="48">
        <f t="shared" si="247"/>
        <v>1</v>
      </c>
      <c r="BE533" s="48">
        <f t="shared" si="247"/>
        <v>1</v>
      </c>
      <c r="BF533" s="48">
        <f t="shared" si="247"/>
        <v>1</v>
      </c>
      <c r="BG533" s="48">
        <f t="shared" si="248"/>
        <v>1</v>
      </c>
      <c r="BH533" s="48">
        <f t="shared" si="248"/>
        <v>1</v>
      </c>
      <c r="BI533" s="48">
        <f t="shared" si="248"/>
        <v>1</v>
      </c>
      <c r="BJ533" s="48">
        <f t="shared" si="248"/>
        <v>1</v>
      </c>
      <c r="BK533" s="48">
        <f t="shared" si="248"/>
        <v>1</v>
      </c>
      <c r="BL533" s="48">
        <f t="shared" si="248"/>
        <v>1</v>
      </c>
      <c r="BM533" s="48">
        <f t="shared" si="248"/>
        <v>1</v>
      </c>
      <c r="BN533" s="48">
        <f t="shared" si="248"/>
        <v>1</v>
      </c>
      <c r="BO533" s="32">
        <f t="shared" si="246"/>
        <v>0.2440677966101695</v>
      </c>
    </row>
    <row r="534" spans="1:67" ht="24" x14ac:dyDescent="0.2">
      <c r="A534" s="55" t="s">
        <v>1076</v>
      </c>
      <c r="B534" s="55" t="s">
        <v>1077</v>
      </c>
      <c r="C534" s="55" t="s">
        <v>14</v>
      </c>
      <c r="D534" s="56">
        <f>VLOOKUP(A534,'[1]Cuadro Control'!C577:J2464,8,FALSE)</f>
        <v>0</v>
      </c>
      <c r="E534" s="57">
        <f>IFERROR(D534/$D$518,0)</f>
        <v>0</v>
      </c>
      <c r="F534" s="58">
        <v>46529</v>
      </c>
      <c r="G534" s="58">
        <v>46529</v>
      </c>
      <c r="H534" s="57">
        <f t="shared" si="249"/>
        <v>0</v>
      </c>
      <c r="I534" s="57">
        <f t="shared" si="249"/>
        <v>0</v>
      </c>
      <c r="J534" s="57">
        <f t="shared" si="249"/>
        <v>0</v>
      </c>
      <c r="K534" s="57">
        <f t="shared" si="249"/>
        <v>0</v>
      </c>
      <c r="L534" s="57">
        <f t="shared" si="249"/>
        <v>0</v>
      </c>
      <c r="M534" s="57">
        <f t="shared" si="249"/>
        <v>0</v>
      </c>
      <c r="N534" s="57">
        <f t="shared" si="249"/>
        <v>0</v>
      </c>
      <c r="O534" s="57">
        <f t="shared" si="249"/>
        <v>0</v>
      </c>
      <c r="P534" s="57">
        <f t="shared" si="249"/>
        <v>0</v>
      </c>
      <c r="Q534" s="57">
        <f t="shared" si="249"/>
        <v>0</v>
      </c>
      <c r="R534" s="57">
        <f t="shared" si="249"/>
        <v>0</v>
      </c>
      <c r="S534" s="57">
        <f t="shared" si="249"/>
        <v>0</v>
      </c>
      <c r="T534" s="57">
        <f t="shared" si="249"/>
        <v>0</v>
      </c>
      <c r="U534" s="57">
        <f t="shared" si="249"/>
        <v>0</v>
      </c>
      <c r="V534" s="57">
        <f t="shared" si="249"/>
        <v>0</v>
      </c>
      <c r="W534" s="57">
        <f t="shared" si="249"/>
        <v>0</v>
      </c>
      <c r="X534" s="57">
        <f t="shared" si="250"/>
        <v>0</v>
      </c>
      <c r="Y534" s="57">
        <f t="shared" si="250"/>
        <v>0</v>
      </c>
      <c r="Z534" s="57">
        <f t="shared" si="250"/>
        <v>0</v>
      </c>
      <c r="AA534" s="57">
        <f t="shared" si="250"/>
        <v>0</v>
      </c>
      <c r="AB534" s="57">
        <f t="shared" si="250"/>
        <v>0</v>
      </c>
      <c r="AC534" s="57">
        <f t="shared" si="250"/>
        <v>0</v>
      </c>
      <c r="AD534" s="57">
        <f t="shared" si="250"/>
        <v>0</v>
      </c>
      <c r="AE534" s="57">
        <f t="shared" si="250"/>
        <v>0</v>
      </c>
      <c r="AF534" s="57">
        <f t="shared" si="250"/>
        <v>0</v>
      </c>
      <c r="AG534" s="57">
        <f t="shared" si="250"/>
        <v>0</v>
      </c>
      <c r="AH534" s="57">
        <f t="shared" si="250"/>
        <v>0</v>
      </c>
      <c r="AI534" s="57">
        <f t="shared" si="250"/>
        <v>0</v>
      </c>
      <c r="AJ534" s="57">
        <f t="shared" si="250"/>
        <v>0</v>
      </c>
      <c r="AK534" s="57">
        <f t="shared" si="250"/>
        <v>0</v>
      </c>
      <c r="AL534" s="57">
        <f t="shared" si="250"/>
        <v>0</v>
      </c>
      <c r="AM534" s="57">
        <f t="shared" si="250"/>
        <v>0</v>
      </c>
      <c r="AN534" s="57">
        <f t="shared" si="250"/>
        <v>0</v>
      </c>
      <c r="AO534" s="57">
        <f t="shared" si="250"/>
        <v>0</v>
      </c>
      <c r="AP534" s="57">
        <f t="shared" si="250"/>
        <v>0</v>
      </c>
      <c r="AQ534" s="57">
        <f t="shared" si="250"/>
        <v>0</v>
      </c>
      <c r="AR534" s="57">
        <f t="shared" si="250"/>
        <v>0</v>
      </c>
      <c r="AS534" s="57">
        <f t="shared" si="250"/>
        <v>0</v>
      </c>
      <c r="AT534" s="57">
        <f t="shared" si="250"/>
        <v>0</v>
      </c>
      <c r="AU534" s="57">
        <f t="shared" si="250"/>
        <v>0</v>
      </c>
      <c r="AV534" s="57">
        <f t="shared" si="250"/>
        <v>0</v>
      </c>
      <c r="AW534" s="57">
        <f t="shared" si="250"/>
        <v>0</v>
      </c>
      <c r="AX534" s="57">
        <f t="shared" si="250"/>
        <v>0</v>
      </c>
      <c r="AY534" s="57">
        <f t="shared" si="250"/>
        <v>0</v>
      </c>
      <c r="AZ534" s="57">
        <f t="shared" si="250"/>
        <v>0</v>
      </c>
      <c r="BA534" s="57">
        <f t="shared" si="250"/>
        <v>0</v>
      </c>
      <c r="BB534" s="57">
        <f t="shared" si="250"/>
        <v>1</v>
      </c>
      <c r="BC534" s="57">
        <f t="shared" si="250"/>
        <v>1</v>
      </c>
      <c r="BD534" s="57">
        <f t="shared" si="247"/>
        <v>1</v>
      </c>
      <c r="BE534" s="57">
        <f t="shared" si="247"/>
        <v>1</v>
      </c>
      <c r="BF534" s="57">
        <f t="shared" si="247"/>
        <v>1</v>
      </c>
      <c r="BG534" s="57">
        <f t="shared" si="248"/>
        <v>1</v>
      </c>
      <c r="BH534" s="57">
        <f t="shared" si="248"/>
        <v>1</v>
      </c>
      <c r="BI534" s="57">
        <f t="shared" si="248"/>
        <v>1</v>
      </c>
      <c r="BJ534" s="57">
        <f t="shared" si="248"/>
        <v>1</v>
      </c>
      <c r="BK534" s="57">
        <f t="shared" si="248"/>
        <v>1</v>
      </c>
      <c r="BL534" s="57">
        <f t="shared" si="248"/>
        <v>1</v>
      </c>
      <c r="BM534" s="57">
        <f t="shared" si="248"/>
        <v>1</v>
      </c>
      <c r="BN534" s="57">
        <f t="shared" si="248"/>
        <v>1</v>
      </c>
      <c r="BO534" s="32">
        <f t="shared" si="246"/>
        <v>0.22033898305084745</v>
      </c>
    </row>
    <row r="535" spans="1:67" x14ac:dyDescent="0.2">
      <c r="A535" s="42" t="s">
        <v>1078</v>
      </c>
      <c r="B535" s="42" t="s">
        <v>1079</v>
      </c>
      <c r="C535" s="42" t="s">
        <v>467</v>
      </c>
      <c r="D535" s="43">
        <f>SUM(D536:D551)</f>
        <v>5308872732.0543728</v>
      </c>
      <c r="E535" s="44">
        <f>IFERROR(D535/$D$109,0)</f>
        <v>2.9408554574576196E-2</v>
      </c>
      <c r="F535" s="45">
        <v>46457</v>
      </c>
      <c r="G535" s="45">
        <v>46539</v>
      </c>
      <c r="H535" s="44">
        <f>SUMPRODUCT($E536:$E550,H536:H550)</f>
        <v>0</v>
      </c>
      <c r="I535" s="44">
        <f t="shared" ref="I535:BN535" si="251">SUMPRODUCT($E536:$E550,I536:I550)</f>
        <v>0</v>
      </c>
      <c r="J535" s="44">
        <f t="shared" si="251"/>
        <v>0</v>
      </c>
      <c r="K535" s="44">
        <f t="shared" si="251"/>
        <v>0</v>
      </c>
      <c r="L535" s="44">
        <f t="shared" si="251"/>
        <v>0</v>
      </c>
      <c r="M535" s="44">
        <f t="shared" si="251"/>
        <v>0</v>
      </c>
      <c r="N535" s="44">
        <f t="shared" si="251"/>
        <v>0</v>
      </c>
      <c r="O535" s="44">
        <f t="shared" si="251"/>
        <v>0</v>
      </c>
      <c r="P535" s="44">
        <f t="shared" si="251"/>
        <v>0</v>
      </c>
      <c r="Q535" s="44">
        <f t="shared" si="251"/>
        <v>0</v>
      </c>
      <c r="R535" s="44">
        <f t="shared" si="251"/>
        <v>0</v>
      </c>
      <c r="S535" s="44">
        <f t="shared" si="251"/>
        <v>0</v>
      </c>
      <c r="T535" s="44">
        <f t="shared" si="251"/>
        <v>0</v>
      </c>
      <c r="U535" s="44">
        <f t="shared" si="251"/>
        <v>0</v>
      </c>
      <c r="V535" s="44">
        <f t="shared" si="251"/>
        <v>0</v>
      </c>
      <c r="W535" s="44">
        <f t="shared" si="251"/>
        <v>0</v>
      </c>
      <c r="X535" s="44">
        <f t="shared" si="251"/>
        <v>0</v>
      </c>
      <c r="Y535" s="44">
        <f t="shared" si="251"/>
        <v>0</v>
      </c>
      <c r="Z535" s="44">
        <f t="shared" si="251"/>
        <v>0</v>
      </c>
      <c r="AA535" s="44">
        <f t="shared" si="251"/>
        <v>0</v>
      </c>
      <c r="AB535" s="44">
        <f t="shared" si="251"/>
        <v>0</v>
      </c>
      <c r="AC535" s="44">
        <f t="shared" si="251"/>
        <v>0</v>
      </c>
      <c r="AD535" s="44">
        <f t="shared" si="251"/>
        <v>0</v>
      </c>
      <c r="AE535" s="44">
        <f t="shared" si="251"/>
        <v>0</v>
      </c>
      <c r="AF535" s="44">
        <f t="shared" si="251"/>
        <v>0</v>
      </c>
      <c r="AG535" s="44">
        <f t="shared" si="251"/>
        <v>0</v>
      </c>
      <c r="AH535" s="44">
        <f t="shared" si="251"/>
        <v>0</v>
      </c>
      <c r="AI535" s="44">
        <f t="shared" si="251"/>
        <v>0</v>
      </c>
      <c r="AJ535" s="44">
        <f t="shared" si="251"/>
        <v>0</v>
      </c>
      <c r="AK535" s="44">
        <f t="shared" si="251"/>
        <v>0</v>
      </c>
      <c r="AL535" s="44">
        <f t="shared" si="251"/>
        <v>0</v>
      </c>
      <c r="AM535" s="44">
        <f t="shared" si="251"/>
        <v>0</v>
      </c>
      <c r="AN535" s="44">
        <f t="shared" si="251"/>
        <v>0</v>
      </c>
      <c r="AO535" s="44">
        <f t="shared" si="251"/>
        <v>0</v>
      </c>
      <c r="AP535" s="44">
        <f t="shared" si="251"/>
        <v>0</v>
      </c>
      <c r="AQ535" s="44">
        <f t="shared" si="251"/>
        <v>3.4856439644409742E-3</v>
      </c>
      <c r="AR535" s="44">
        <f t="shared" si="251"/>
        <v>2.0588737987613428E-2</v>
      </c>
      <c r="AS535" s="44">
        <f t="shared" si="251"/>
        <v>5.4912119021016725E-2</v>
      </c>
      <c r="AT535" s="44">
        <f t="shared" si="251"/>
        <v>8.6381780999194982E-2</v>
      </c>
      <c r="AU535" s="44">
        <f t="shared" si="251"/>
        <v>0.16008640555045139</v>
      </c>
      <c r="AV535" s="44">
        <f t="shared" si="251"/>
        <v>0.2285609018644725</v>
      </c>
      <c r="AW535" s="44">
        <f t="shared" si="251"/>
        <v>0.32261391968511494</v>
      </c>
      <c r="AX535" s="44">
        <f t="shared" si="251"/>
        <v>0.41666693750575734</v>
      </c>
      <c r="AY535" s="44">
        <f t="shared" si="251"/>
        <v>0.64850810003989967</v>
      </c>
      <c r="AZ535" s="44">
        <f t="shared" si="251"/>
        <v>0.65513051627204211</v>
      </c>
      <c r="BA535" s="44">
        <f t="shared" si="251"/>
        <v>0.85061773111148031</v>
      </c>
      <c r="BB535" s="44">
        <f t="shared" si="251"/>
        <v>0.9909820163940013</v>
      </c>
      <c r="BC535" s="44">
        <f t="shared" si="251"/>
        <v>1</v>
      </c>
      <c r="BD535" s="44">
        <f t="shared" si="251"/>
        <v>1</v>
      </c>
      <c r="BE535" s="44">
        <f t="shared" si="251"/>
        <v>1</v>
      </c>
      <c r="BF535" s="44">
        <f t="shared" si="251"/>
        <v>1</v>
      </c>
      <c r="BG535" s="44">
        <f t="shared" si="251"/>
        <v>1</v>
      </c>
      <c r="BH535" s="44">
        <f t="shared" si="251"/>
        <v>1</v>
      </c>
      <c r="BI535" s="44">
        <f t="shared" si="251"/>
        <v>1</v>
      </c>
      <c r="BJ535" s="44">
        <f t="shared" si="251"/>
        <v>1</v>
      </c>
      <c r="BK535" s="44">
        <f t="shared" si="251"/>
        <v>1</v>
      </c>
      <c r="BL535" s="44">
        <f t="shared" si="251"/>
        <v>1</v>
      </c>
      <c r="BM535" s="44">
        <f t="shared" si="251"/>
        <v>1</v>
      </c>
      <c r="BN535" s="44">
        <f t="shared" si="251"/>
        <v>1</v>
      </c>
      <c r="BO535" s="32">
        <f t="shared" si="246"/>
        <v>0.27861923407449973</v>
      </c>
    </row>
    <row r="536" spans="1:67" ht="24" x14ac:dyDescent="0.2">
      <c r="A536" s="50" t="s">
        <v>1080</v>
      </c>
      <c r="B536" s="50" t="s">
        <v>1081</v>
      </c>
      <c r="C536" s="50" t="s">
        <v>74</v>
      </c>
      <c r="D536" s="51">
        <f>VLOOKUP(A536,'[1]Cuadro Control'!C579:J2466,8,FALSE)</f>
        <v>83271780.884117648</v>
      </c>
      <c r="E536" s="52">
        <f t="shared" ref="E536:E550" si="252">IFERROR(D536/$D$535,0)</f>
        <v>1.5685397839984384E-2</v>
      </c>
      <c r="F536" s="53">
        <v>46457</v>
      </c>
      <c r="G536" s="53">
        <v>46465</v>
      </c>
      <c r="H536" s="52">
        <f t="shared" ref="H536:BN540" si="253">IF($F536=0,0,IF(H$6&lt;$F536,0,IF(H$6&gt;$G536,1,(H$6-$F536+1)/($G536-$F536+1))))</f>
        <v>0</v>
      </c>
      <c r="I536" s="52">
        <f t="shared" si="253"/>
        <v>0</v>
      </c>
      <c r="J536" s="52">
        <f t="shared" si="253"/>
        <v>0</v>
      </c>
      <c r="K536" s="52">
        <f t="shared" si="253"/>
        <v>0</v>
      </c>
      <c r="L536" s="52">
        <f t="shared" si="253"/>
        <v>0</v>
      </c>
      <c r="M536" s="52">
        <f t="shared" si="253"/>
        <v>0</v>
      </c>
      <c r="N536" s="52">
        <f t="shared" si="253"/>
        <v>0</v>
      </c>
      <c r="O536" s="52">
        <f t="shared" si="253"/>
        <v>0</v>
      </c>
      <c r="P536" s="52">
        <f t="shared" si="253"/>
        <v>0</v>
      </c>
      <c r="Q536" s="52">
        <f t="shared" si="253"/>
        <v>0</v>
      </c>
      <c r="R536" s="52">
        <f t="shared" si="253"/>
        <v>0</v>
      </c>
      <c r="S536" s="52">
        <f t="shared" si="253"/>
        <v>0</v>
      </c>
      <c r="T536" s="52">
        <f t="shared" si="253"/>
        <v>0</v>
      </c>
      <c r="U536" s="52">
        <f t="shared" si="253"/>
        <v>0</v>
      </c>
      <c r="V536" s="52">
        <f t="shared" si="253"/>
        <v>0</v>
      </c>
      <c r="W536" s="52">
        <f t="shared" si="253"/>
        <v>0</v>
      </c>
      <c r="X536" s="52">
        <f t="shared" si="253"/>
        <v>0</v>
      </c>
      <c r="Y536" s="52">
        <f t="shared" si="253"/>
        <v>0</v>
      </c>
      <c r="Z536" s="52">
        <f t="shared" si="253"/>
        <v>0</v>
      </c>
      <c r="AA536" s="52">
        <f t="shared" si="253"/>
        <v>0</v>
      </c>
      <c r="AB536" s="52">
        <f t="shared" si="253"/>
        <v>0</v>
      </c>
      <c r="AC536" s="52">
        <f t="shared" si="253"/>
        <v>0</v>
      </c>
      <c r="AD536" s="52">
        <f t="shared" si="253"/>
        <v>0</v>
      </c>
      <c r="AE536" s="52">
        <f t="shared" si="253"/>
        <v>0</v>
      </c>
      <c r="AF536" s="52">
        <f t="shared" si="253"/>
        <v>0</v>
      </c>
      <c r="AG536" s="52">
        <f t="shared" si="253"/>
        <v>0</v>
      </c>
      <c r="AH536" s="52">
        <f t="shared" si="253"/>
        <v>0</v>
      </c>
      <c r="AI536" s="52">
        <f t="shared" si="253"/>
        <v>0</v>
      </c>
      <c r="AJ536" s="52">
        <f t="shared" si="253"/>
        <v>0</v>
      </c>
      <c r="AK536" s="52">
        <f t="shared" si="253"/>
        <v>0</v>
      </c>
      <c r="AL536" s="52">
        <f t="shared" si="253"/>
        <v>0</v>
      </c>
      <c r="AM536" s="52">
        <f t="shared" si="253"/>
        <v>0</v>
      </c>
      <c r="AN536" s="52">
        <f t="shared" si="253"/>
        <v>0</v>
      </c>
      <c r="AO536" s="52">
        <f t="shared" si="253"/>
        <v>0</v>
      </c>
      <c r="AP536" s="52">
        <f t="shared" si="253"/>
        <v>0</v>
      </c>
      <c r="AQ536" s="52">
        <f t="shared" si="253"/>
        <v>0.22222222222222221</v>
      </c>
      <c r="AR536" s="52">
        <f t="shared" si="253"/>
        <v>1</v>
      </c>
      <c r="AS536" s="52">
        <f t="shared" si="253"/>
        <v>1</v>
      </c>
      <c r="AT536" s="52">
        <f t="shared" si="253"/>
        <v>1</v>
      </c>
      <c r="AU536" s="52">
        <f t="shared" si="253"/>
        <v>1</v>
      </c>
      <c r="AV536" s="52">
        <f t="shared" si="253"/>
        <v>1</v>
      </c>
      <c r="AW536" s="52">
        <f t="shared" si="253"/>
        <v>1</v>
      </c>
      <c r="AX536" s="52">
        <f t="shared" si="253"/>
        <v>1</v>
      </c>
      <c r="AY536" s="52">
        <f t="shared" si="253"/>
        <v>1</v>
      </c>
      <c r="AZ536" s="52">
        <f t="shared" si="253"/>
        <v>1</v>
      </c>
      <c r="BA536" s="52">
        <f t="shared" si="253"/>
        <v>1</v>
      </c>
      <c r="BB536" s="52">
        <f t="shared" si="253"/>
        <v>1</v>
      </c>
      <c r="BC536" s="52">
        <f t="shared" si="253"/>
        <v>1</v>
      </c>
      <c r="BD536" s="52">
        <f t="shared" si="253"/>
        <v>1</v>
      </c>
      <c r="BE536" s="52">
        <f t="shared" si="253"/>
        <v>1</v>
      </c>
      <c r="BF536" s="52">
        <f t="shared" si="253"/>
        <v>1</v>
      </c>
      <c r="BG536" s="52">
        <f t="shared" si="253"/>
        <v>1</v>
      </c>
      <c r="BH536" s="52">
        <f t="shared" si="253"/>
        <v>1</v>
      </c>
      <c r="BI536" s="52">
        <f t="shared" si="253"/>
        <v>1</v>
      </c>
      <c r="BJ536" s="52">
        <f t="shared" si="253"/>
        <v>1</v>
      </c>
      <c r="BK536" s="52">
        <f t="shared" si="253"/>
        <v>1</v>
      </c>
      <c r="BL536" s="52">
        <f t="shared" si="253"/>
        <v>1</v>
      </c>
      <c r="BM536" s="52">
        <f t="shared" si="253"/>
        <v>1</v>
      </c>
      <c r="BN536" s="52">
        <f t="shared" si="253"/>
        <v>1</v>
      </c>
      <c r="BO536" s="32">
        <f t="shared" si="246"/>
        <v>0.3935969868173258</v>
      </c>
    </row>
    <row r="537" spans="1:67" x14ac:dyDescent="0.2">
      <c r="A537" s="50" t="s">
        <v>1082</v>
      </c>
      <c r="B537" s="50" t="s">
        <v>1083</v>
      </c>
      <c r="C537" s="50" t="s">
        <v>61</v>
      </c>
      <c r="D537" s="51">
        <f>VLOOKUP(A537,'[1]Cuadro Control'!C580:J2467,8,FALSE)</f>
        <v>312374505.66882348</v>
      </c>
      <c r="E537" s="52">
        <f t="shared" si="252"/>
        <v>5.8840081771548515E-2</v>
      </c>
      <c r="F537" s="53">
        <v>46465</v>
      </c>
      <c r="G537" s="53">
        <v>46476</v>
      </c>
      <c r="H537" s="52">
        <f t="shared" si="253"/>
        <v>0</v>
      </c>
      <c r="I537" s="52">
        <f t="shared" si="253"/>
        <v>0</v>
      </c>
      <c r="J537" s="52">
        <f t="shared" si="253"/>
        <v>0</v>
      </c>
      <c r="K537" s="52">
        <f t="shared" si="253"/>
        <v>0</v>
      </c>
      <c r="L537" s="52">
        <f t="shared" si="253"/>
        <v>0</v>
      </c>
      <c r="M537" s="52">
        <f t="shared" si="253"/>
        <v>0</v>
      </c>
      <c r="N537" s="52">
        <f t="shared" si="253"/>
        <v>0</v>
      </c>
      <c r="O537" s="52">
        <f t="shared" si="253"/>
        <v>0</v>
      </c>
      <c r="P537" s="52">
        <f t="shared" si="253"/>
        <v>0</v>
      </c>
      <c r="Q537" s="52">
        <f t="shared" si="253"/>
        <v>0</v>
      </c>
      <c r="R537" s="52">
        <f t="shared" si="253"/>
        <v>0</v>
      </c>
      <c r="S537" s="52">
        <f t="shared" si="253"/>
        <v>0</v>
      </c>
      <c r="T537" s="52">
        <f t="shared" si="253"/>
        <v>0</v>
      </c>
      <c r="U537" s="52">
        <f t="shared" si="253"/>
        <v>0</v>
      </c>
      <c r="V537" s="52">
        <f t="shared" si="253"/>
        <v>0</v>
      </c>
      <c r="W537" s="52">
        <f t="shared" si="253"/>
        <v>0</v>
      </c>
      <c r="X537" s="52">
        <f t="shared" si="253"/>
        <v>0</v>
      </c>
      <c r="Y537" s="52">
        <f t="shared" si="253"/>
        <v>0</v>
      </c>
      <c r="Z537" s="52">
        <f t="shared" si="253"/>
        <v>0</v>
      </c>
      <c r="AA537" s="52">
        <f t="shared" si="253"/>
        <v>0</v>
      </c>
      <c r="AB537" s="52">
        <f t="shared" si="253"/>
        <v>0</v>
      </c>
      <c r="AC537" s="52">
        <f t="shared" si="253"/>
        <v>0</v>
      </c>
      <c r="AD537" s="52">
        <f t="shared" si="253"/>
        <v>0</v>
      </c>
      <c r="AE537" s="52">
        <f t="shared" si="253"/>
        <v>0</v>
      </c>
      <c r="AF537" s="52">
        <f t="shared" si="253"/>
        <v>0</v>
      </c>
      <c r="AG537" s="52">
        <f t="shared" si="253"/>
        <v>0</v>
      </c>
      <c r="AH537" s="52">
        <f t="shared" si="253"/>
        <v>0</v>
      </c>
      <c r="AI537" s="52">
        <f t="shared" si="253"/>
        <v>0</v>
      </c>
      <c r="AJ537" s="52">
        <f t="shared" si="253"/>
        <v>0</v>
      </c>
      <c r="AK537" s="52">
        <f t="shared" si="253"/>
        <v>0</v>
      </c>
      <c r="AL537" s="52">
        <f t="shared" si="253"/>
        <v>0</v>
      </c>
      <c r="AM537" s="52">
        <f t="shared" si="253"/>
        <v>0</v>
      </c>
      <c r="AN537" s="52">
        <f t="shared" si="253"/>
        <v>0</v>
      </c>
      <c r="AO537" s="52">
        <f t="shared" si="253"/>
        <v>0</v>
      </c>
      <c r="AP537" s="52">
        <f t="shared" si="253"/>
        <v>0</v>
      </c>
      <c r="AQ537" s="52">
        <f t="shared" si="253"/>
        <v>0</v>
      </c>
      <c r="AR537" s="52">
        <f t="shared" si="253"/>
        <v>8.3333333333333329E-2</v>
      </c>
      <c r="AS537" s="52">
        <f t="shared" si="253"/>
        <v>0.66666666666666663</v>
      </c>
      <c r="AT537" s="52">
        <f t="shared" si="253"/>
        <v>1</v>
      </c>
      <c r="AU537" s="52">
        <f t="shared" si="253"/>
        <v>1</v>
      </c>
      <c r="AV537" s="52">
        <f t="shared" si="253"/>
        <v>1</v>
      </c>
      <c r="AW537" s="52">
        <f t="shared" si="253"/>
        <v>1</v>
      </c>
      <c r="AX537" s="52">
        <f t="shared" si="253"/>
        <v>1</v>
      </c>
      <c r="AY537" s="52">
        <f t="shared" si="253"/>
        <v>1</v>
      </c>
      <c r="AZ537" s="52">
        <f t="shared" si="253"/>
        <v>1</v>
      </c>
      <c r="BA537" s="52">
        <f t="shared" si="253"/>
        <v>1</v>
      </c>
      <c r="BB537" s="52">
        <f t="shared" si="253"/>
        <v>1</v>
      </c>
      <c r="BC537" s="52">
        <f t="shared" si="253"/>
        <v>1</v>
      </c>
      <c r="BD537" s="52">
        <f t="shared" si="253"/>
        <v>1</v>
      </c>
      <c r="BE537" s="52">
        <f t="shared" si="253"/>
        <v>1</v>
      </c>
      <c r="BF537" s="52">
        <f t="shared" si="253"/>
        <v>1</v>
      </c>
      <c r="BG537" s="52">
        <f t="shared" si="253"/>
        <v>1</v>
      </c>
      <c r="BH537" s="52">
        <f t="shared" si="253"/>
        <v>1</v>
      </c>
      <c r="BI537" s="52">
        <f t="shared" si="253"/>
        <v>1</v>
      </c>
      <c r="BJ537" s="52">
        <f t="shared" si="253"/>
        <v>1</v>
      </c>
      <c r="BK537" s="52">
        <f t="shared" si="253"/>
        <v>1</v>
      </c>
      <c r="BL537" s="52">
        <f t="shared" si="253"/>
        <v>1</v>
      </c>
      <c r="BM537" s="52">
        <f t="shared" si="253"/>
        <v>1</v>
      </c>
      <c r="BN537" s="52">
        <f t="shared" si="253"/>
        <v>1</v>
      </c>
      <c r="BO537" s="32">
        <f t="shared" si="246"/>
        <v>0.36864406779661019</v>
      </c>
    </row>
    <row r="538" spans="1:67" ht="15" x14ac:dyDescent="0.2">
      <c r="A538" s="46" t="s">
        <v>1084</v>
      </c>
      <c r="B538" s="46" t="s">
        <v>1085</v>
      </c>
      <c r="C538" s="46" t="s">
        <v>126</v>
      </c>
      <c r="D538" s="47">
        <f>VLOOKUP(A538,'[1]Cuadro Control'!C581:J2468,8,FALSE)</f>
        <v>9527825.6870364472</v>
      </c>
      <c r="E538" s="48">
        <f t="shared" si="252"/>
        <v>1.794698454439963E-3</v>
      </c>
      <c r="F538" s="49">
        <v>46477</v>
      </c>
      <c r="G538" s="49">
        <v>46479</v>
      </c>
      <c r="H538" s="48">
        <f t="shared" si="253"/>
        <v>0</v>
      </c>
      <c r="I538" s="48">
        <f t="shared" si="253"/>
        <v>0</v>
      </c>
      <c r="J538" s="48">
        <f t="shared" si="253"/>
        <v>0</v>
      </c>
      <c r="K538" s="48">
        <f t="shared" si="253"/>
        <v>0</v>
      </c>
      <c r="L538" s="48">
        <f t="shared" si="253"/>
        <v>0</v>
      </c>
      <c r="M538" s="48">
        <f t="shared" si="253"/>
        <v>0</v>
      </c>
      <c r="N538" s="48">
        <f t="shared" si="253"/>
        <v>0</v>
      </c>
      <c r="O538" s="48">
        <f t="shared" si="253"/>
        <v>0</v>
      </c>
      <c r="P538" s="48">
        <f t="shared" si="253"/>
        <v>0</v>
      </c>
      <c r="Q538" s="48">
        <f t="shared" si="253"/>
        <v>0</v>
      </c>
      <c r="R538" s="48">
        <f t="shared" si="253"/>
        <v>0</v>
      </c>
      <c r="S538" s="48">
        <f t="shared" si="253"/>
        <v>0</v>
      </c>
      <c r="T538" s="48">
        <f t="shared" si="253"/>
        <v>0</v>
      </c>
      <c r="U538" s="48">
        <f t="shared" si="253"/>
        <v>0</v>
      </c>
      <c r="V538" s="48">
        <f t="shared" si="253"/>
        <v>0</v>
      </c>
      <c r="W538" s="48">
        <f t="shared" si="253"/>
        <v>0</v>
      </c>
      <c r="X538" s="48">
        <f t="shared" si="253"/>
        <v>0</v>
      </c>
      <c r="Y538" s="48">
        <f t="shared" si="253"/>
        <v>0</v>
      </c>
      <c r="Z538" s="48">
        <f t="shared" si="253"/>
        <v>0</v>
      </c>
      <c r="AA538" s="48">
        <f t="shared" si="253"/>
        <v>0</v>
      </c>
      <c r="AB538" s="48">
        <f t="shared" si="253"/>
        <v>0</v>
      </c>
      <c r="AC538" s="48">
        <f t="shared" si="253"/>
        <v>0</v>
      </c>
      <c r="AD538" s="48">
        <f t="shared" si="253"/>
        <v>0</v>
      </c>
      <c r="AE538" s="48">
        <f t="shared" si="253"/>
        <v>0</v>
      </c>
      <c r="AF538" s="48">
        <f t="shared" si="253"/>
        <v>0</v>
      </c>
      <c r="AG538" s="48">
        <f t="shared" si="253"/>
        <v>0</v>
      </c>
      <c r="AH538" s="48">
        <f t="shared" si="253"/>
        <v>0</v>
      </c>
      <c r="AI538" s="48">
        <f t="shared" si="253"/>
        <v>0</v>
      </c>
      <c r="AJ538" s="48">
        <f t="shared" si="253"/>
        <v>0</v>
      </c>
      <c r="AK538" s="48">
        <f t="shared" si="253"/>
        <v>0</v>
      </c>
      <c r="AL538" s="48">
        <f t="shared" si="253"/>
        <v>0</v>
      </c>
      <c r="AM538" s="48">
        <f t="shared" si="253"/>
        <v>0</v>
      </c>
      <c r="AN538" s="48">
        <f t="shared" si="253"/>
        <v>0</v>
      </c>
      <c r="AO538" s="48">
        <f t="shared" si="253"/>
        <v>0</v>
      </c>
      <c r="AP538" s="48">
        <f t="shared" si="253"/>
        <v>0</v>
      </c>
      <c r="AQ538" s="48">
        <f t="shared" si="253"/>
        <v>0</v>
      </c>
      <c r="AR538" s="48">
        <f t="shared" si="253"/>
        <v>0</v>
      </c>
      <c r="AS538" s="48">
        <f t="shared" si="253"/>
        <v>0</v>
      </c>
      <c r="AT538" s="48">
        <f t="shared" si="253"/>
        <v>1</v>
      </c>
      <c r="AU538" s="48">
        <f t="shared" si="253"/>
        <v>1</v>
      </c>
      <c r="AV538" s="48">
        <f t="shared" si="253"/>
        <v>1</v>
      </c>
      <c r="AW538" s="48">
        <f t="shared" si="253"/>
        <v>1</v>
      </c>
      <c r="AX538" s="48">
        <f t="shared" si="253"/>
        <v>1</v>
      </c>
      <c r="AY538" s="48">
        <f t="shared" si="253"/>
        <v>1</v>
      </c>
      <c r="AZ538" s="48">
        <f t="shared" si="253"/>
        <v>1</v>
      </c>
      <c r="BA538" s="48">
        <f t="shared" si="253"/>
        <v>1</v>
      </c>
      <c r="BB538" s="48">
        <f t="shared" si="253"/>
        <v>1</v>
      </c>
      <c r="BC538" s="48">
        <f t="shared" si="253"/>
        <v>1</v>
      </c>
      <c r="BD538" s="48">
        <f t="shared" si="253"/>
        <v>1</v>
      </c>
      <c r="BE538" s="48">
        <f t="shared" si="253"/>
        <v>1</v>
      </c>
      <c r="BF538" s="48">
        <f t="shared" si="253"/>
        <v>1</v>
      </c>
      <c r="BG538" s="48">
        <f t="shared" si="253"/>
        <v>1</v>
      </c>
      <c r="BH538" s="48">
        <f t="shared" si="253"/>
        <v>1</v>
      </c>
      <c r="BI538" s="48">
        <f t="shared" si="253"/>
        <v>1</v>
      </c>
      <c r="BJ538" s="48">
        <f t="shared" si="253"/>
        <v>1</v>
      </c>
      <c r="BK538" s="48">
        <f t="shared" si="253"/>
        <v>1</v>
      </c>
      <c r="BL538" s="48">
        <f t="shared" si="253"/>
        <v>1</v>
      </c>
      <c r="BM538" s="48">
        <f t="shared" si="253"/>
        <v>1</v>
      </c>
      <c r="BN538" s="48">
        <f t="shared" si="253"/>
        <v>1</v>
      </c>
      <c r="BO538" s="32">
        <f t="shared" si="246"/>
        <v>0.3559322033898305</v>
      </c>
    </row>
    <row r="539" spans="1:67" x14ac:dyDescent="0.2">
      <c r="A539" s="50" t="s">
        <v>1086</v>
      </c>
      <c r="B539" s="50" t="s">
        <v>1087</v>
      </c>
      <c r="C539" s="50" t="s">
        <v>117</v>
      </c>
      <c r="D539" s="51">
        <f>VLOOKUP(A539,'[1]Cuadro Control'!C582:J2469,8,FALSE)</f>
        <v>320494616.71764702</v>
      </c>
      <c r="E539" s="52">
        <f t="shared" si="252"/>
        <v>6.0369617599332674E-2</v>
      </c>
      <c r="F539" s="53">
        <v>46479</v>
      </c>
      <c r="G539" s="53">
        <v>46484</v>
      </c>
      <c r="H539" s="52">
        <f t="shared" si="253"/>
        <v>0</v>
      </c>
      <c r="I539" s="52">
        <f t="shared" si="253"/>
        <v>0</v>
      </c>
      <c r="J539" s="52">
        <f t="shared" si="253"/>
        <v>0</v>
      </c>
      <c r="K539" s="52">
        <f t="shared" si="253"/>
        <v>0</v>
      </c>
      <c r="L539" s="52">
        <f t="shared" si="253"/>
        <v>0</v>
      </c>
      <c r="M539" s="52">
        <f t="shared" si="253"/>
        <v>0</v>
      </c>
      <c r="N539" s="52">
        <f t="shared" si="253"/>
        <v>0</v>
      </c>
      <c r="O539" s="52">
        <f t="shared" si="253"/>
        <v>0</v>
      </c>
      <c r="P539" s="52">
        <f t="shared" si="253"/>
        <v>0</v>
      </c>
      <c r="Q539" s="52">
        <f t="shared" si="253"/>
        <v>0</v>
      </c>
      <c r="R539" s="52">
        <f t="shared" si="253"/>
        <v>0</v>
      </c>
      <c r="S539" s="52">
        <f t="shared" si="253"/>
        <v>0</v>
      </c>
      <c r="T539" s="52">
        <f t="shared" si="253"/>
        <v>0</v>
      </c>
      <c r="U539" s="52">
        <f t="shared" si="253"/>
        <v>0</v>
      </c>
      <c r="V539" s="52">
        <f t="shared" si="253"/>
        <v>0</v>
      </c>
      <c r="W539" s="52">
        <f t="shared" si="253"/>
        <v>0</v>
      </c>
      <c r="X539" s="52">
        <f t="shared" si="253"/>
        <v>0</v>
      </c>
      <c r="Y539" s="52">
        <f t="shared" si="253"/>
        <v>0</v>
      </c>
      <c r="Z539" s="52">
        <f t="shared" si="253"/>
        <v>0</v>
      </c>
      <c r="AA539" s="52">
        <f t="shared" si="253"/>
        <v>0</v>
      </c>
      <c r="AB539" s="52">
        <f t="shared" si="253"/>
        <v>0</v>
      </c>
      <c r="AC539" s="52">
        <f t="shared" si="253"/>
        <v>0</v>
      </c>
      <c r="AD539" s="52">
        <f t="shared" si="253"/>
        <v>0</v>
      </c>
      <c r="AE539" s="52">
        <f t="shared" si="253"/>
        <v>0</v>
      </c>
      <c r="AF539" s="52">
        <f t="shared" si="253"/>
        <v>0</v>
      </c>
      <c r="AG539" s="52">
        <f t="shared" si="253"/>
        <v>0</v>
      </c>
      <c r="AH539" s="52">
        <f t="shared" si="253"/>
        <v>0</v>
      </c>
      <c r="AI539" s="52">
        <f t="shared" si="253"/>
        <v>0</v>
      </c>
      <c r="AJ539" s="52">
        <f t="shared" si="253"/>
        <v>0</v>
      </c>
      <c r="AK539" s="52">
        <f t="shared" si="253"/>
        <v>0</v>
      </c>
      <c r="AL539" s="52">
        <f t="shared" si="253"/>
        <v>0</v>
      </c>
      <c r="AM539" s="52">
        <f t="shared" si="253"/>
        <v>0</v>
      </c>
      <c r="AN539" s="52">
        <f t="shared" si="253"/>
        <v>0</v>
      </c>
      <c r="AO539" s="52">
        <f t="shared" si="253"/>
        <v>0</v>
      </c>
      <c r="AP539" s="52">
        <f t="shared" si="253"/>
        <v>0</v>
      </c>
      <c r="AQ539" s="52">
        <f t="shared" si="253"/>
        <v>0</v>
      </c>
      <c r="AR539" s="52">
        <f t="shared" si="253"/>
        <v>0</v>
      </c>
      <c r="AS539" s="52">
        <f t="shared" si="253"/>
        <v>0</v>
      </c>
      <c r="AT539" s="52">
        <f t="shared" si="253"/>
        <v>0.16666666666666666</v>
      </c>
      <c r="AU539" s="52">
        <f t="shared" si="253"/>
        <v>1</v>
      </c>
      <c r="AV539" s="52">
        <f t="shared" si="253"/>
        <v>1</v>
      </c>
      <c r="AW539" s="52">
        <f t="shared" si="253"/>
        <v>1</v>
      </c>
      <c r="AX539" s="52">
        <f t="shared" si="253"/>
        <v>1</v>
      </c>
      <c r="AY539" s="52">
        <f t="shared" si="253"/>
        <v>1</v>
      </c>
      <c r="AZ539" s="52">
        <f t="shared" si="253"/>
        <v>1</v>
      </c>
      <c r="BA539" s="52">
        <f t="shared" si="253"/>
        <v>1</v>
      </c>
      <c r="BB539" s="52">
        <f t="shared" si="253"/>
        <v>1</v>
      </c>
      <c r="BC539" s="52">
        <f t="shared" si="253"/>
        <v>1</v>
      </c>
      <c r="BD539" s="52">
        <f t="shared" si="253"/>
        <v>1</v>
      </c>
      <c r="BE539" s="52">
        <f t="shared" si="253"/>
        <v>1</v>
      </c>
      <c r="BF539" s="52">
        <f t="shared" si="253"/>
        <v>1</v>
      </c>
      <c r="BG539" s="52">
        <f t="shared" si="253"/>
        <v>1</v>
      </c>
      <c r="BH539" s="52">
        <f t="shared" si="253"/>
        <v>1</v>
      </c>
      <c r="BI539" s="52">
        <f t="shared" si="253"/>
        <v>1</v>
      </c>
      <c r="BJ539" s="52">
        <f t="shared" si="253"/>
        <v>1</v>
      </c>
      <c r="BK539" s="52">
        <f t="shared" si="253"/>
        <v>1</v>
      </c>
      <c r="BL539" s="52">
        <f t="shared" si="253"/>
        <v>1</v>
      </c>
      <c r="BM539" s="52">
        <f t="shared" si="253"/>
        <v>1</v>
      </c>
      <c r="BN539" s="52">
        <f t="shared" si="253"/>
        <v>1</v>
      </c>
      <c r="BO539" s="32">
        <f t="shared" si="246"/>
        <v>0.34180790960451979</v>
      </c>
    </row>
    <row r="540" spans="1:67" x14ac:dyDescent="0.2">
      <c r="A540" s="50" t="s">
        <v>1088</v>
      </c>
      <c r="B540" s="50" t="s">
        <v>1089</v>
      </c>
      <c r="C540" s="50" t="s">
        <v>111</v>
      </c>
      <c r="D540" s="51">
        <f>VLOOKUP(A540,'[1]Cuadro Control'!C583:J2470,8,FALSE)</f>
        <v>94303618.549411759</v>
      </c>
      <c r="E540" s="52">
        <f t="shared" si="252"/>
        <v>1.7763397864110998E-2</v>
      </c>
      <c r="F540" s="53">
        <v>46484</v>
      </c>
      <c r="G540" s="53">
        <v>46486</v>
      </c>
      <c r="H540" s="52">
        <f t="shared" si="253"/>
        <v>0</v>
      </c>
      <c r="I540" s="52">
        <f t="shared" si="253"/>
        <v>0</v>
      </c>
      <c r="J540" s="52">
        <f t="shared" si="253"/>
        <v>0</v>
      </c>
      <c r="K540" s="52">
        <f t="shared" si="253"/>
        <v>0</v>
      </c>
      <c r="L540" s="52">
        <f t="shared" si="253"/>
        <v>0</v>
      </c>
      <c r="M540" s="52">
        <f t="shared" si="253"/>
        <v>0</v>
      </c>
      <c r="N540" s="52">
        <f t="shared" si="253"/>
        <v>0</v>
      </c>
      <c r="O540" s="52">
        <f t="shared" si="253"/>
        <v>0</v>
      </c>
      <c r="P540" s="52">
        <f t="shared" si="253"/>
        <v>0</v>
      </c>
      <c r="Q540" s="52">
        <f t="shared" si="253"/>
        <v>0</v>
      </c>
      <c r="R540" s="52">
        <f t="shared" si="253"/>
        <v>0</v>
      </c>
      <c r="S540" s="52">
        <f t="shared" si="253"/>
        <v>0</v>
      </c>
      <c r="T540" s="52">
        <f t="shared" si="253"/>
        <v>0</v>
      </c>
      <c r="U540" s="52">
        <f t="shared" si="253"/>
        <v>0</v>
      </c>
      <c r="V540" s="52">
        <f t="shared" si="253"/>
        <v>0</v>
      </c>
      <c r="W540" s="52">
        <f t="shared" si="253"/>
        <v>0</v>
      </c>
      <c r="X540" s="52">
        <f t="shared" si="253"/>
        <v>0</v>
      </c>
      <c r="Y540" s="52">
        <f t="shared" si="253"/>
        <v>0</v>
      </c>
      <c r="Z540" s="52">
        <f t="shared" si="253"/>
        <v>0</v>
      </c>
      <c r="AA540" s="52">
        <f t="shared" ref="AA540:BF551" si="254">IF($F540=0,0,IF(AA$6&lt;$F540,0,IF(AA$6&gt;$G540,1,(AA$6-$F540+1)/($G540-$F540+1))))</f>
        <v>0</v>
      </c>
      <c r="AB540" s="52">
        <f t="shared" si="254"/>
        <v>0</v>
      </c>
      <c r="AC540" s="52">
        <f t="shared" si="254"/>
        <v>0</v>
      </c>
      <c r="AD540" s="52">
        <f t="shared" si="254"/>
        <v>0</v>
      </c>
      <c r="AE540" s="52">
        <f t="shared" si="254"/>
        <v>0</v>
      </c>
      <c r="AF540" s="52">
        <f t="shared" si="254"/>
        <v>0</v>
      </c>
      <c r="AG540" s="52">
        <f t="shared" si="254"/>
        <v>0</v>
      </c>
      <c r="AH540" s="52">
        <f t="shared" si="254"/>
        <v>0</v>
      </c>
      <c r="AI540" s="52">
        <f t="shared" si="254"/>
        <v>0</v>
      </c>
      <c r="AJ540" s="52">
        <f t="shared" si="254"/>
        <v>0</v>
      </c>
      <c r="AK540" s="52">
        <f t="shared" si="254"/>
        <v>0</v>
      </c>
      <c r="AL540" s="52">
        <f t="shared" si="254"/>
        <v>0</v>
      </c>
      <c r="AM540" s="52">
        <f t="shared" si="254"/>
        <v>0</v>
      </c>
      <c r="AN540" s="52">
        <f t="shared" si="254"/>
        <v>0</v>
      </c>
      <c r="AO540" s="52">
        <f t="shared" si="254"/>
        <v>0</v>
      </c>
      <c r="AP540" s="52">
        <f t="shared" si="254"/>
        <v>0</v>
      </c>
      <c r="AQ540" s="52">
        <f t="shared" si="254"/>
        <v>0</v>
      </c>
      <c r="AR540" s="52">
        <f t="shared" si="254"/>
        <v>0</v>
      </c>
      <c r="AS540" s="52">
        <f t="shared" si="254"/>
        <v>0</v>
      </c>
      <c r="AT540" s="52">
        <f t="shared" si="254"/>
        <v>0</v>
      </c>
      <c r="AU540" s="52">
        <f t="shared" si="254"/>
        <v>1</v>
      </c>
      <c r="AV540" s="52">
        <f t="shared" si="254"/>
        <v>1</v>
      </c>
      <c r="AW540" s="52">
        <f t="shared" si="254"/>
        <v>1</v>
      </c>
      <c r="AX540" s="52">
        <f t="shared" si="254"/>
        <v>1</v>
      </c>
      <c r="AY540" s="52">
        <f t="shared" si="254"/>
        <v>1</v>
      </c>
      <c r="AZ540" s="52">
        <f t="shared" si="254"/>
        <v>1</v>
      </c>
      <c r="BA540" s="52">
        <f t="shared" si="254"/>
        <v>1</v>
      </c>
      <c r="BB540" s="52">
        <f t="shared" si="254"/>
        <v>1</v>
      </c>
      <c r="BC540" s="52">
        <f t="shared" si="254"/>
        <v>1</v>
      </c>
      <c r="BD540" s="52">
        <f t="shared" si="254"/>
        <v>1</v>
      </c>
      <c r="BE540" s="52">
        <f t="shared" si="254"/>
        <v>1</v>
      </c>
      <c r="BF540" s="52">
        <f t="shared" si="254"/>
        <v>1</v>
      </c>
      <c r="BG540" s="52">
        <f t="shared" ref="BG540:BN551" si="255">IF($F540=0,0,IF(BG$6&lt;$F540,0,IF(BG$6&gt;$G540,1,(BG$6-$F540+1)/($G540-$F540+1))))</f>
        <v>1</v>
      </c>
      <c r="BH540" s="52">
        <f t="shared" si="255"/>
        <v>1</v>
      </c>
      <c r="BI540" s="52">
        <f t="shared" si="255"/>
        <v>1</v>
      </c>
      <c r="BJ540" s="52">
        <f t="shared" si="255"/>
        <v>1</v>
      </c>
      <c r="BK540" s="52">
        <f t="shared" si="255"/>
        <v>1</v>
      </c>
      <c r="BL540" s="52">
        <f t="shared" si="255"/>
        <v>1</v>
      </c>
      <c r="BM540" s="52">
        <f t="shared" si="255"/>
        <v>1</v>
      </c>
      <c r="BN540" s="52">
        <f t="shared" si="255"/>
        <v>1</v>
      </c>
      <c r="BO540" s="32">
        <f t="shared" si="246"/>
        <v>0.33898305084745761</v>
      </c>
    </row>
    <row r="541" spans="1:67" x14ac:dyDescent="0.2">
      <c r="A541" s="50" t="s">
        <v>1090</v>
      </c>
      <c r="B541" s="50" t="s">
        <v>1091</v>
      </c>
      <c r="C541" s="50" t="s">
        <v>238</v>
      </c>
      <c r="D541" s="51">
        <f>VLOOKUP(A541,'[1]Cuadro Control'!C584:J2471,8,FALSE)</f>
        <v>179436034.15411764</v>
      </c>
      <c r="E541" s="52">
        <f t="shared" si="252"/>
        <v>3.3799272126209236E-2</v>
      </c>
      <c r="F541" s="53">
        <v>46486</v>
      </c>
      <c r="G541" s="53">
        <v>46491</v>
      </c>
      <c r="H541" s="52">
        <f t="shared" ref="H541:W551" si="256">IF($F541=0,0,IF(H$6&lt;$F541,0,IF(H$6&gt;$G541,1,(H$6-$F541+1)/($G541-$F541+1))))</f>
        <v>0</v>
      </c>
      <c r="I541" s="52">
        <f t="shared" si="256"/>
        <v>0</v>
      </c>
      <c r="J541" s="52">
        <f t="shared" si="256"/>
        <v>0</v>
      </c>
      <c r="K541" s="52">
        <f t="shared" si="256"/>
        <v>0</v>
      </c>
      <c r="L541" s="52">
        <f t="shared" si="256"/>
        <v>0</v>
      </c>
      <c r="M541" s="52">
        <f t="shared" si="256"/>
        <v>0</v>
      </c>
      <c r="N541" s="52">
        <f t="shared" si="256"/>
        <v>0</v>
      </c>
      <c r="O541" s="52">
        <f t="shared" si="256"/>
        <v>0</v>
      </c>
      <c r="P541" s="52">
        <f t="shared" si="256"/>
        <v>0</v>
      </c>
      <c r="Q541" s="52">
        <f t="shared" si="256"/>
        <v>0</v>
      </c>
      <c r="R541" s="52">
        <f t="shared" si="256"/>
        <v>0</v>
      </c>
      <c r="S541" s="52">
        <f t="shared" si="256"/>
        <v>0</v>
      </c>
      <c r="T541" s="52">
        <f t="shared" si="256"/>
        <v>0</v>
      </c>
      <c r="U541" s="52">
        <f t="shared" si="256"/>
        <v>0</v>
      </c>
      <c r="V541" s="52">
        <f t="shared" si="256"/>
        <v>0</v>
      </c>
      <c r="W541" s="52">
        <f t="shared" si="256"/>
        <v>0</v>
      </c>
      <c r="X541" s="52">
        <f t="shared" ref="X541:BC551" si="257">IF($F541=0,0,IF(X$6&lt;$F541,0,IF(X$6&gt;$G541,1,(X$6-$F541+1)/($G541-$F541+1))))</f>
        <v>0</v>
      </c>
      <c r="Y541" s="52">
        <f t="shared" si="257"/>
        <v>0</v>
      </c>
      <c r="Z541" s="52">
        <f t="shared" si="257"/>
        <v>0</v>
      </c>
      <c r="AA541" s="52">
        <f t="shared" si="257"/>
        <v>0</v>
      </c>
      <c r="AB541" s="52">
        <f t="shared" si="257"/>
        <v>0</v>
      </c>
      <c r="AC541" s="52">
        <f t="shared" si="257"/>
        <v>0</v>
      </c>
      <c r="AD541" s="52">
        <f t="shared" si="257"/>
        <v>0</v>
      </c>
      <c r="AE541" s="52">
        <f t="shared" si="257"/>
        <v>0</v>
      </c>
      <c r="AF541" s="52">
        <f t="shared" si="257"/>
        <v>0</v>
      </c>
      <c r="AG541" s="52">
        <f t="shared" si="257"/>
        <v>0</v>
      </c>
      <c r="AH541" s="52">
        <f t="shared" si="257"/>
        <v>0</v>
      </c>
      <c r="AI541" s="52">
        <f t="shared" si="257"/>
        <v>0</v>
      </c>
      <c r="AJ541" s="52">
        <f t="shared" si="257"/>
        <v>0</v>
      </c>
      <c r="AK541" s="52">
        <f t="shared" si="257"/>
        <v>0</v>
      </c>
      <c r="AL541" s="52">
        <f t="shared" si="257"/>
        <v>0</v>
      </c>
      <c r="AM541" s="52">
        <f t="shared" si="257"/>
        <v>0</v>
      </c>
      <c r="AN541" s="52">
        <f t="shared" si="257"/>
        <v>0</v>
      </c>
      <c r="AO541" s="52">
        <f t="shared" si="254"/>
        <v>0</v>
      </c>
      <c r="AP541" s="52">
        <f t="shared" si="254"/>
        <v>0</v>
      </c>
      <c r="AQ541" s="52">
        <f t="shared" si="254"/>
        <v>0</v>
      </c>
      <c r="AR541" s="52">
        <f t="shared" si="254"/>
        <v>0</v>
      </c>
      <c r="AS541" s="52">
        <f t="shared" si="254"/>
        <v>0</v>
      </c>
      <c r="AT541" s="52">
        <f t="shared" si="254"/>
        <v>0</v>
      </c>
      <c r="AU541" s="52">
        <f t="shared" si="254"/>
        <v>0.16666666666666666</v>
      </c>
      <c r="AV541" s="52">
        <f t="shared" si="254"/>
        <v>1</v>
      </c>
      <c r="AW541" s="52">
        <f t="shared" si="254"/>
        <v>1</v>
      </c>
      <c r="AX541" s="52">
        <f t="shared" si="254"/>
        <v>1</v>
      </c>
      <c r="AY541" s="52">
        <f t="shared" si="254"/>
        <v>1</v>
      </c>
      <c r="AZ541" s="52">
        <f t="shared" si="254"/>
        <v>1</v>
      </c>
      <c r="BA541" s="52">
        <f t="shared" si="254"/>
        <v>1</v>
      </c>
      <c r="BB541" s="52">
        <f t="shared" si="254"/>
        <v>1</v>
      </c>
      <c r="BC541" s="52">
        <f t="shared" si="254"/>
        <v>1</v>
      </c>
      <c r="BD541" s="52">
        <f t="shared" si="254"/>
        <v>1</v>
      </c>
      <c r="BE541" s="52">
        <f t="shared" si="254"/>
        <v>1</v>
      </c>
      <c r="BF541" s="52">
        <f t="shared" si="254"/>
        <v>1</v>
      </c>
      <c r="BG541" s="52">
        <f t="shared" si="255"/>
        <v>1</v>
      </c>
      <c r="BH541" s="52">
        <f t="shared" si="255"/>
        <v>1</v>
      </c>
      <c r="BI541" s="52">
        <f t="shared" si="255"/>
        <v>1</v>
      </c>
      <c r="BJ541" s="52">
        <f t="shared" si="255"/>
        <v>1</v>
      </c>
      <c r="BK541" s="52">
        <f t="shared" si="255"/>
        <v>1</v>
      </c>
      <c r="BL541" s="52">
        <f t="shared" si="255"/>
        <v>1</v>
      </c>
      <c r="BM541" s="52">
        <f t="shared" si="255"/>
        <v>1</v>
      </c>
      <c r="BN541" s="52">
        <f t="shared" si="255"/>
        <v>1</v>
      </c>
      <c r="BO541" s="32">
        <f t="shared" si="246"/>
        <v>0.3248587570621469</v>
      </c>
    </row>
    <row r="542" spans="1:67" x14ac:dyDescent="0.2">
      <c r="A542" s="50" t="s">
        <v>1092</v>
      </c>
      <c r="B542" s="50" t="s">
        <v>1093</v>
      </c>
      <c r="C542" s="50" t="s">
        <v>58</v>
      </c>
      <c r="D542" s="51">
        <f>VLOOKUP(A542,'[1]Cuadro Control'!C585:J2472,8,FALSE)</f>
        <v>1212623361.2117648</v>
      </c>
      <c r="E542" s="52">
        <f t="shared" si="252"/>
        <v>0.22841447185013161</v>
      </c>
      <c r="F542" s="53">
        <v>46491</v>
      </c>
      <c r="G542" s="53">
        <v>46507</v>
      </c>
      <c r="H542" s="52">
        <f t="shared" si="256"/>
        <v>0</v>
      </c>
      <c r="I542" s="52">
        <f t="shared" si="256"/>
        <v>0</v>
      </c>
      <c r="J542" s="52">
        <f t="shared" si="256"/>
        <v>0</v>
      </c>
      <c r="K542" s="52">
        <f t="shared" si="256"/>
        <v>0</v>
      </c>
      <c r="L542" s="52">
        <f t="shared" si="256"/>
        <v>0</v>
      </c>
      <c r="M542" s="52">
        <f t="shared" si="256"/>
        <v>0</v>
      </c>
      <c r="N542" s="52">
        <f t="shared" si="256"/>
        <v>0</v>
      </c>
      <c r="O542" s="52">
        <f t="shared" si="256"/>
        <v>0</v>
      </c>
      <c r="P542" s="52">
        <f t="shared" si="256"/>
        <v>0</v>
      </c>
      <c r="Q542" s="52">
        <f t="shared" si="256"/>
        <v>0</v>
      </c>
      <c r="R542" s="52">
        <f t="shared" si="256"/>
        <v>0</v>
      </c>
      <c r="S542" s="52">
        <f t="shared" si="256"/>
        <v>0</v>
      </c>
      <c r="T542" s="52">
        <f t="shared" si="256"/>
        <v>0</v>
      </c>
      <c r="U542" s="52">
        <f t="shared" si="256"/>
        <v>0</v>
      </c>
      <c r="V542" s="52">
        <f t="shared" si="256"/>
        <v>0</v>
      </c>
      <c r="W542" s="52">
        <f t="shared" si="256"/>
        <v>0</v>
      </c>
      <c r="X542" s="52">
        <f t="shared" si="257"/>
        <v>0</v>
      </c>
      <c r="Y542" s="52">
        <f t="shared" si="257"/>
        <v>0</v>
      </c>
      <c r="Z542" s="52">
        <f t="shared" si="257"/>
        <v>0</v>
      </c>
      <c r="AA542" s="52">
        <f t="shared" si="257"/>
        <v>0</v>
      </c>
      <c r="AB542" s="52">
        <f t="shared" si="257"/>
        <v>0</v>
      </c>
      <c r="AC542" s="52">
        <f t="shared" si="257"/>
        <v>0</v>
      </c>
      <c r="AD542" s="52">
        <f t="shared" si="257"/>
        <v>0</v>
      </c>
      <c r="AE542" s="52">
        <f t="shared" si="257"/>
        <v>0</v>
      </c>
      <c r="AF542" s="52">
        <f t="shared" si="257"/>
        <v>0</v>
      </c>
      <c r="AG542" s="52">
        <f t="shared" si="257"/>
        <v>0</v>
      </c>
      <c r="AH542" s="52">
        <f t="shared" si="257"/>
        <v>0</v>
      </c>
      <c r="AI542" s="52">
        <f t="shared" si="257"/>
        <v>0</v>
      </c>
      <c r="AJ542" s="52">
        <f t="shared" si="257"/>
        <v>0</v>
      </c>
      <c r="AK542" s="52">
        <f t="shared" si="257"/>
        <v>0</v>
      </c>
      <c r="AL542" s="52">
        <f t="shared" si="257"/>
        <v>0</v>
      </c>
      <c r="AM542" s="52">
        <f t="shared" si="257"/>
        <v>0</v>
      </c>
      <c r="AN542" s="52">
        <f t="shared" si="257"/>
        <v>0</v>
      </c>
      <c r="AO542" s="52">
        <f t="shared" si="254"/>
        <v>0</v>
      </c>
      <c r="AP542" s="52">
        <f t="shared" si="254"/>
        <v>0</v>
      </c>
      <c r="AQ542" s="52">
        <f t="shared" si="254"/>
        <v>0</v>
      </c>
      <c r="AR542" s="52">
        <f t="shared" si="254"/>
        <v>0</v>
      </c>
      <c r="AS542" s="52">
        <f t="shared" si="254"/>
        <v>0</v>
      </c>
      <c r="AT542" s="52">
        <f t="shared" si="254"/>
        <v>0</v>
      </c>
      <c r="AU542" s="52">
        <f t="shared" si="254"/>
        <v>0</v>
      </c>
      <c r="AV542" s="52">
        <f t="shared" si="254"/>
        <v>0.17647058823529413</v>
      </c>
      <c r="AW542" s="52">
        <f t="shared" si="254"/>
        <v>0.58823529411764708</v>
      </c>
      <c r="AX542" s="52">
        <f t="shared" si="254"/>
        <v>1</v>
      </c>
      <c r="AY542" s="52">
        <f t="shared" si="254"/>
        <v>1</v>
      </c>
      <c r="AZ542" s="52">
        <f t="shared" si="254"/>
        <v>1</v>
      </c>
      <c r="BA542" s="52">
        <f t="shared" si="254"/>
        <v>1</v>
      </c>
      <c r="BB542" s="52">
        <f t="shared" si="254"/>
        <v>1</v>
      </c>
      <c r="BC542" s="52">
        <f t="shared" si="254"/>
        <v>1</v>
      </c>
      <c r="BD542" s="52">
        <f t="shared" si="254"/>
        <v>1</v>
      </c>
      <c r="BE542" s="52">
        <f t="shared" si="254"/>
        <v>1</v>
      </c>
      <c r="BF542" s="52">
        <f t="shared" si="254"/>
        <v>1</v>
      </c>
      <c r="BG542" s="52">
        <f t="shared" si="255"/>
        <v>1</v>
      </c>
      <c r="BH542" s="52">
        <f t="shared" si="255"/>
        <v>1</v>
      </c>
      <c r="BI542" s="52">
        <f t="shared" si="255"/>
        <v>1</v>
      </c>
      <c r="BJ542" s="52">
        <f t="shared" si="255"/>
        <v>1</v>
      </c>
      <c r="BK542" s="52">
        <f t="shared" si="255"/>
        <v>1</v>
      </c>
      <c r="BL542" s="52">
        <f t="shared" si="255"/>
        <v>1</v>
      </c>
      <c r="BM542" s="52">
        <f t="shared" si="255"/>
        <v>1</v>
      </c>
      <c r="BN542" s="52">
        <f t="shared" si="255"/>
        <v>1</v>
      </c>
      <c r="BO542" s="32">
        <f t="shared" si="246"/>
        <v>0.30109670987038883</v>
      </c>
    </row>
    <row r="543" spans="1:67" x14ac:dyDescent="0.2">
      <c r="A543" s="50" t="s">
        <v>1094</v>
      </c>
      <c r="B543" s="50" t="s">
        <v>1095</v>
      </c>
      <c r="C543" s="50" t="s">
        <v>126</v>
      </c>
      <c r="D543" s="51">
        <f>VLOOKUP(A543,'[1]Cuadro Control'!C586:J2473,8,FALSE)</f>
        <v>0</v>
      </c>
      <c r="E543" s="52">
        <f t="shared" si="252"/>
        <v>0</v>
      </c>
      <c r="F543" s="53">
        <v>46507</v>
      </c>
      <c r="G543" s="53">
        <v>46510</v>
      </c>
      <c r="H543" s="52">
        <f t="shared" si="256"/>
        <v>0</v>
      </c>
      <c r="I543" s="52">
        <f t="shared" si="256"/>
        <v>0</v>
      </c>
      <c r="J543" s="52">
        <f t="shared" si="256"/>
        <v>0</v>
      </c>
      <c r="K543" s="52">
        <f t="shared" si="256"/>
        <v>0</v>
      </c>
      <c r="L543" s="52">
        <f t="shared" si="256"/>
        <v>0</v>
      </c>
      <c r="M543" s="52">
        <f t="shared" si="256"/>
        <v>0</v>
      </c>
      <c r="N543" s="52">
        <f t="shared" si="256"/>
        <v>0</v>
      </c>
      <c r="O543" s="52">
        <f t="shared" si="256"/>
        <v>0</v>
      </c>
      <c r="P543" s="52">
        <f t="shared" si="256"/>
        <v>0</v>
      </c>
      <c r="Q543" s="52">
        <f t="shared" si="256"/>
        <v>0</v>
      </c>
      <c r="R543" s="52">
        <f t="shared" si="256"/>
        <v>0</v>
      </c>
      <c r="S543" s="52">
        <f t="shared" si="256"/>
        <v>0</v>
      </c>
      <c r="T543" s="52">
        <f t="shared" si="256"/>
        <v>0</v>
      </c>
      <c r="U543" s="52">
        <f t="shared" si="256"/>
        <v>0</v>
      </c>
      <c r="V543" s="52">
        <f t="shared" si="256"/>
        <v>0</v>
      </c>
      <c r="W543" s="52">
        <f t="shared" si="256"/>
        <v>0</v>
      </c>
      <c r="X543" s="52">
        <f t="shared" si="257"/>
        <v>0</v>
      </c>
      <c r="Y543" s="52">
        <f t="shared" si="257"/>
        <v>0</v>
      </c>
      <c r="Z543" s="52">
        <f t="shared" si="257"/>
        <v>0</v>
      </c>
      <c r="AA543" s="52">
        <f t="shared" si="257"/>
        <v>0</v>
      </c>
      <c r="AB543" s="52">
        <f t="shared" si="257"/>
        <v>0</v>
      </c>
      <c r="AC543" s="52">
        <f t="shared" si="257"/>
        <v>0</v>
      </c>
      <c r="AD543" s="52">
        <f t="shared" si="257"/>
        <v>0</v>
      </c>
      <c r="AE543" s="52">
        <f t="shared" si="257"/>
        <v>0</v>
      </c>
      <c r="AF543" s="52">
        <f t="shared" si="257"/>
        <v>0</v>
      </c>
      <c r="AG543" s="52">
        <f t="shared" si="257"/>
        <v>0</v>
      </c>
      <c r="AH543" s="52">
        <f t="shared" si="257"/>
        <v>0</v>
      </c>
      <c r="AI543" s="52">
        <f t="shared" si="257"/>
        <v>0</v>
      </c>
      <c r="AJ543" s="52">
        <f t="shared" si="257"/>
        <v>0</v>
      </c>
      <c r="AK543" s="52">
        <f t="shared" si="257"/>
        <v>0</v>
      </c>
      <c r="AL543" s="52">
        <f t="shared" si="257"/>
        <v>0</v>
      </c>
      <c r="AM543" s="52">
        <f t="shared" si="257"/>
        <v>0</v>
      </c>
      <c r="AN543" s="52">
        <f t="shared" si="257"/>
        <v>0</v>
      </c>
      <c r="AO543" s="52">
        <f t="shared" si="254"/>
        <v>0</v>
      </c>
      <c r="AP543" s="52">
        <f t="shared" si="254"/>
        <v>0</v>
      </c>
      <c r="AQ543" s="52">
        <f t="shared" si="254"/>
        <v>0</v>
      </c>
      <c r="AR543" s="52">
        <f t="shared" si="254"/>
        <v>0</v>
      </c>
      <c r="AS543" s="52">
        <f t="shared" si="254"/>
        <v>0</v>
      </c>
      <c r="AT543" s="52">
        <f t="shared" si="254"/>
        <v>0</v>
      </c>
      <c r="AU543" s="52">
        <f t="shared" si="254"/>
        <v>0</v>
      </c>
      <c r="AV543" s="52">
        <f t="shared" si="254"/>
        <v>0</v>
      </c>
      <c r="AW543" s="52">
        <f t="shared" si="254"/>
        <v>0</v>
      </c>
      <c r="AX543" s="52">
        <f t="shared" si="254"/>
        <v>0.25</v>
      </c>
      <c r="AY543" s="52">
        <f t="shared" si="254"/>
        <v>1</v>
      </c>
      <c r="AZ543" s="52">
        <f t="shared" si="254"/>
        <v>1</v>
      </c>
      <c r="BA543" s="52">
        <f t="shared" si="254"/>
        <v>1</v>
      </c>
      <c r="BB543" s="52">
        <f t="shared" si="254"/>
        <v>1</v>
      </c>
      <c r="BC543" s="52">
        <f t="shared" si="254"/>
        <v>1</v>
      </c>
      <c r="BD543" s="52">
        <f t="shared" si="254"/>
        <v>1</v>
      </c>
      <c r="BE543" s="52">
        <f t="shared" si="254"/>
        <v>1</v>
      </c>
      <c r="BF543" s="52">
        <f t="shared" si="254"/>
        <v>1</v>
      </c>
      <c r="BG543" s="52">
        <f t="shared" si="255"/>
        <v>1</v>
      </c>
      <c r="BH543" s="52">
        <f t="shared" si="255"/>
        <v>1</v>
      </c>
      <c r="BI543" s="52">
        <f t="shared" si="255"/>
        <v>1</v>
      </c>
      <c r="BJ543" s="52">
        <f t="shared" si="255"/>
        <v>1</v>
      </c>
      <c r="BK543" s="52">
        <f t="shared" si="255"/>
        <v>1</v>
      </c>
      <c r="BL543" s="52">
        <f t="shared" si="255"/>
        <v>1</v>
      </c>
      <c r="BM543" s="52">
        <f t="shared" si="255"/>
        <v>1</v>
      </c>
      <c r="BN543" s="52">
        <f t="shared" si="255"/>
        <v>1</v>
      </c>
      <c r="BO543" s="32">
        <f t="shared" si="246"/>
        <v>0.27542372881355931</v>
      </c>
    </row>
    <row r="544" spans="1:67" ht="24" x14ac:dyDescent="0.2">
      <c r="A544" s="55" t="s">
        <v>1096</v>
      </c>
      <c r="B544" s="55" t="s">
        <v>1097</v>
      </c>
      <c r="C544" s="55" t="s">
        <v>14</v>
      </c>
      <c r="D544" s="56">
        <f>VLOOKUP(A544,'[1]Cuadro Control'!C587:J2474,8,FALSE)</f>
        <v>0</v>
      </c>
      <c r="E544" s="57">
        <f t="shared" si="252"/>
        <v>0</v>
      </c>
      <c r="F544" s="58">
        <v>46507</v>
      </c>
      <c r="G544" s="58">
        <v>46507</v>
      </c>
      <c r="H544" s="57">
        <f t="shared" si="256"/>
        <v>0</v>
      </c>
      <c r="I544" s="57">
        <f t="shared" si="256"/>
        <v>0</v>
      </c>
      <c r="J544" s="57">
        <f t="shared" si="256"/>
        <v>0</v>
      </c>
      <c r="K544" s="57">
        <f t="shared" si="256"/>
        <v>0</v>
      </c>
      <c r="L544" s="57">
        <f t="shared" si="256"/>
        <v>0</v>
      </c>
      <c r="M544" s="57">
        <f t="shared" si="256"/>
        <v>0</v>
      </c>
      <c r="N544" s="57">
        <f t="shared" si="256"/>
        <v>0</v>
      </c>
      <c r="O544" s="57">
        <f t="shared" si="256"/>
        <v>0</v>
      </c>
      <c r="P544" s="57">
        <f t="shared" si="256"/>
        <v>0</v>
      </c>
      <c r="Q544" s="57">
        <f t="shared" si="256"/>
        <v>0</v>
      </c>
      <c r="R544" s="57">
        <f t="shared" si="256"/>
        <v>0</v>
      </c>
      <c r="S544" s="57">
        <f t="shared" si="256"/>
        <v>0</v>
      </c>
      <c r="T544" s="57">
        <f t="shared" si="256"/>
        <v>0</v>
      </c>
      <c r="U544" s="57">
        <f t="shared" si="256"/>
        <v>0</v>
      </c>
      <c r="V544" s="57">
        <f t="shared" si="256"/>
        <v>0</v>
      </c>
      <c r="W544" s="57">
        <f t="shared" si="256"/>
        <v>0</v>
      </c>
      <c r="X544" s="57">
        <f t="shared" si="257"/>
        <v>0</v>
      </c>
      <c r="Y544" s="57">
        <f t="shared" si="257"/>
        <v>0</v>
      </c>
      <c r="Z544" s="57">
        <f t="shared" si="257"/>
        <v>0</v>
      </c>
      <c r="AA544" s="57">
        <f t="shared" si="257"/>
        <v>0</v>
      </c>
      <c r="AB544" s="57">
        <f t="shared" si="257"/>
        <v>0</v>
      </c>
      <c r="AC544" s="57">
        <f t="shared" si="257"/>
        <v>0</v>
      </c>
      <c r="AD544" s="57">
        <f t="shared" si="257"/>
        <v>0</v>
      </c>
      <c r="AE544" s="57">
        <f t="shared" si="257"/>
        <v>0</v>
      </c>
      <c r="AF544" s="57">
        <f t="shared" si="257"/>
        <v>0</v>
      </c>
      <c r="AG544" s="57">
        <f t="shared" si="257"/>
        <v>0</v>
      </c>
      <c r="AH544" s="57">
        <f t="shared" si="257"/>
        <v>0</v>
      </c>
      <c r="AI544" s="57">
        <f t="shared" si="257"/>
        <v>0</v>
      </c>
      <c r="AJ544" s="57">
        <f t="shared" si="257"/>
        <v>0</v>
      </c>
      <c r="AK544" s="57">
        <f t="shared" si="257"/>
        <v>0</v>
      </c>
      <c r="AL544" s="57">
        <f t="shared" si="257"/>
        <v>0</v>
      </c>
      <c r="AM544" s="57">
        <f t="shared" si="257"/>
        <v>0</v>
      </c>
      <c r="AN544" s="57">
        <f t="shared" si="257"/>
        <v>0</v>
      </c>
      <c r="AO544" s="57">
        <f t="shared" si="254"/>
        <v>0</v>
      </c>
      <c r="AP544" s="57">
        <f t="shared" si="254"/>
        <v>0</v>
      </c>
      <c r="AQ544" s="57">
        <f t="shared" si="254"/>
        <v>0</v>
      </c>
      <c r="AR544" s="57">
        <f t="shared" si="254"/>
        <v>0</v>
      </c>
      <c r="AS544" s="57">
        <f t="shared" si="254"/>
        <v>0</v>
      </c>
      <c r="AT544" s="57">
        <f t="shared" si="254"/>
        <v>0</v>
      </c>
      <c r="AU544" s="57">
        <f t="shared" si="254"/>
        <v>0</v>
      </c>
      <c r="AV544" s="57">
        <f t="shared" si="254"/>
        <v>0</v>
      </c>
      <c r="AW544" s="57">
        <f t="shared" si="254"/>
        <v>0</v>
      </c>
      <c r="AX544" s="57">
        <f t="shared" si="254"/>
        <v>1</v>
      </c>
      <c r="AY544" s="57">
        <f t="shared" si="254"/>
        <v>1</v>
      </c>
      <c r="AZ544" s="57">
        <f t="shared" si="254"/>
        <v>1</v>
      </c>
      <c r="BA544" s="57">
        <f t="shared" si="254"/>
        <v>1</v>
      </c>
      <c r="BB544" s="57">
        <f t="shared" si="254"/>
        <v>1</v>
      </c>
      <c r="BC544" s="57">
        <f t="shared" si="254"/>
        <v>1</v>
      </c>
      <c r="BD544" s="57">
        <f t="shared" si="254"/>
        <v>1</v>
      </c>
      <c r="BE544" s="57">
        <f t="shared" si="254"/>
        <v>1</v>
      </c>
      <c r="BF544" s="57">
        <f t="shared" si="254"/>
        <v>1</v>
      </c>
      <c r="BG544" s="57">
        <f t="shared" si="255"/>
        <v>1</v>
      </c>
      <c r="BH544" s="57">
        <f t="shared" si="255"/>
        <v>1</v>
      </c>
      <c r="BI544" s="57">
        <f t="shared" si="255"/>
        <v>1</v>
      </c>
      <c r="BJ544" s="57">
        <f t="shared" si="255"/>
        <v>1</v>
      </c>
      <c r="BK544" s="57">
        <f t="shared" si="255"/>
        <v>1</v>
      </c>
      <c r="BL544" s="57">
        <f t="shared" si="255"/>
        <v>1</v>
      </c>
      <c r="BM544" s="57">
        <f t="shared" si="255"/>
        <v>1</v>
      </c>
      <c r="BN544" s="57">
        <f t="shared" si="255"/>
        <v>1</v>
      </c>
      <c r="BO544" s="32">
        <f t="shared" si="246"/>
        <v>0.28813559322033899</v>
      </c>
    </row>
    <row r="545" spans="1:67" x14ac:dyDescent="0.2">
      <c r="A545" s="50" t="s">
        <v>1098</v>
      </c>
      <c r="B545" s="50" t="s">
        <v>1099</v>
      </c>
      <c r="C545" s="50" t="s">
        <v>111</v>
      </c>
      <c r="D545" s="51">
        <f>VLOOKUP(A545,'[1]Cuadro Control'!C588:J2475,8,FALSE)</f>
        <v>1230815225.9452939</v>
      </c>
      <c r="E545" s="52">
        <f t="shared" si="252"/>
        <v>0.2318411625341423</v>
      </c>
      <c r="F545" s="53">
        <v>46511</v>
      </c>
      <c r="G545" s="53">
        <v>46511</v>
      </c>
      <c r="H545" s="52">
        <f t="shared" si="256"/>
        <v>0</v>
      </c>
      <c r="I545" s="52">
        <f t="shared" si="256"/>
        <v>0</v>
      </c>
      <c r="J545" s="52">
        <f t="shared" si="256"/>
        <v>0</v>
      </c>
      <c r="K545" s="52">
        <f t="shared" si="256"/>
        <v>0</v>
      </c>
      <c r="L545" s="52">
        <f t="shared" si="256"/>
        <v>0</v>
      </c>
      <c r="M545" s="52">
        <f t="shared" si="256"/>
        <v>0</v>
      </c>
      <c r="N545" s="52">
        <f t="shared" si="256"/>
        <v>0</v>
      </c>
      <c r="O545" s="52">
        <f t="shared" si="256"/>
        <v>0</v>
      </c>
      <c r="P545" s="52">
        <f t="shared" si="256"/>
        <v>0</v>
      </c>
      <c r="Q545" s="52">
        <f t="shared" si="256"/>
        <v>0</v>
      </c>
      <c r="R545" s="52">
        <f t="shared" si="256"/>
        <v>0</v>
      </c>
      <c r="S545" s="52">
        <f t="shared" si="256"/>
        <v>0</v>
      </c>
      <c r="T545" s="52">
        <f t="shared" si="256"/>
        <v>0</v>
      </c>
      <c r="U545" s="52">
        <f t="shared" si="256"/>
        <v>0</v>
      </c>
      <c r="V545" s="52">
        <f t="shared" si="256"/>
        <v>0</v>
      </c>
      <c r="W545" s="52">
        <f t="shared" si="256"/>
        <v>0</v>
      </c>
      <c r="X545" s="52">
        <f t="shared" si="257"/>
        <v>0</v>
      </c>
      <c r="Y545" s="52">
        <f t="shared" si="257"/>
        <v>0</v>
      </c>
      <c r="Z545" s="52">
        <f t="shared" si="257"/>
        <v>0</v>
      </c>
      <c r="AA545" s="52">
        <f t="shared" si="257"/>
        <v>0</v>
      </c>
      <c r="AB545" s="52">
        <f t="shared" si="257"/>
        <v>0</v>
      </c>
      <c r="AC545" s="52">
        <f t="shared" si="257"/>
        <v>0</v>
      </c>
      <c r="AD545" s="52">
        <f t="shared" si="257"/>
        <v>0</v>
      </c>
      <c r="AE545" s="52">
        <f t="shared" si="257"/>
        <v>0</v>
      </c>
      <c r="AF545" s="52">
        <f t="shared" si="257"/>
        <v>0</v>
      </c>
      <c r="AG545" s="52">
        <f t="shared" si="257"/>
        <v>0</v>
      </c>
      <c r="AH545" s="52">
        <f t="shared" si="257"/>
        <v>0</v>
      </c>
      <c r="AI545" s="52">
        <f t="shared" si="257"/>
        <v>0</v>
      </c>
      <c r="AJ545" s="52">
        <f t="shared" si="257"/>
        <v>0</v>
      </c>
      <c r="AK545" s="52">
        <f t="shared" si="257"/>
        <v>0</v>
      </c>
      <c r="AL545" s="52">
        <f t="shared" si="257"/>
        <v>0</v>
      </c>
      <c r="AM545" s="52">
        <f t="shared" si="257"/>
        <v>0</v>
      </c>
      <c r="AN545" s="52">
        <f t="shared" si="257"/>
        <v>0</v>
      </c>
      <c r="AO545" s="52">
        <f t="shared" si="254"/>
        <v>0</v>
      </c>
      <c r="AP545" s="52">
        <f t="shared" si="254"/>
        <v>0</v>
      </c>
      <c r="AQ545" s="52">
        <f t="shared" si="254"/>
        <v>0</v>
      </c>
      <c r="AR545" s="52">
        <f t="shared" si="254"/>
        <v>0</v>
      </c>
      <c r="AS545" s="52">
        <f t="shared" si="254"/>
        <v>0</v>
      </c>
      <c r="AT545" s="52">
        <f t="shared" si="254"/>
        <v>0</v>
      </c>
      <c r="AU545" s="52">
        <f t="shared" si="254"/>
        <v>0</v>
      </c>
      <c r="AV545" s="52">
        <f t="shared" si="254"/>
        <v>0</v>
      </c>
      <c r="AW545" s="52">
        <f t="shared" si="254"/>
        <v>0</v>
      </c>
      <c r="AX545" s="52">
        <f t="shared" si="254"/>
        <v>0</v>
      </c>
      <c r="AY545" s="52">
        <f t="shared" si="254"/>
        <v>1</v>
      </c>
      <c r="AZ545" s="52">
        <f t="shared" si="254"/>
        <v>1</v>
      </c>
      <c r="BA545" s="52">
        <f t="shared" si="254"/>
        <v>1</v>
      </c>
      <c r="BB545" s="52">
        <f t="shared" si="254"/>
        <v>1</v>
      </c>
      <c r="BC545" s="52">
        <f t="shared" si="254"/>
        <v>1</v>
      </c>
      <c r="BD545" s="52">
        <f t="shared" si="254"/>
        <v>1</v>
      </c>
      <c r="BE545" s="52">
        <f t="shared" si="254"/>
        <v>1</v>
      </c>
      <c r="BF545" s="52">
        <f t="shared" si="254"/>
        <v>1</v>
      </c>
      <c r="BG545" s="52">
        <f t="shared" si="255"/>
        <v>1</v>
      </c>
      <c r="BH545" s="52">
        <f t="shared" si="255"/>
        <v>1</v>
      </c>
      <c r="BI545" s="52">
        <f t="shared" si="255"/>
        <v>1</v>
      </c>
      <c r="BJ545" s="52">
        <f t="shared" si="255"/>
        <v>1</v>
      </c>
      <c r="BK545" s="52">
        <f t="shared" si="255"/>
        <v>1</v>
      </c>
      <c r="BL545" s="52">
        <f t="shared" si="255"/>
        <v>1</v>
      </c>
      <c r="BM545" s="52">
        <f t="shared" si="255"/>
        <v>1</v>
      </c>
      <c r="BN545" s="52">
        <f t="shared" si="255"/>
        <v>1</v>
      </c>
      <c r="BO545" s="32">
        <f t="shared" si="246"/>
        <v>0.2711864406779661</v>
      </c>
    </row>
    <row r="546" spans="1:67" x14ac:dyDescent="0.2">
      <c r="A546" s="50" t="s">
        <v>1100</v>
      </c>
      <c r="B546" s="50" t="s">
        <v>1101</v>
      </c>
      <c r="C546" s="50" t="s">
        <v>238</v>
      </c>
      <c r="D546" s="51">
        <f>VLOOKUP(A546,'[1]Cuadro Control'!C589:J2476,8,FALSE)</f>
        <v>0</v>
      </c>
      <c r="E546" s="52">
        <f t="shared" si="252"/>
        <v>0</v>
      </c>
      <c r="F546" s="53">
        <v>46511</v>
      </c>
      <c r="G546" s="53">
        <v>46520</v>
      </c>
      <c r="H546" s="52">
        <f t="shared" si="256"/>
        <v>0</v>
      </c>
      <c r="I546" s="52">
        <f t="shared" si="256"/>
        <v>0</v>
      </c>
      <c r="J546" s="52">
        <f t="shared" si="256"/>
        <v>0</v>
      </c>
      <c r="K546" s="52">
        <f t="shared" si="256"/>
        <v>0</v>
      </c>
      <c r="L546" s="52">
        <f t="shared" si="256"/>
        <v>0</v>
      </c>
      <c r="M546" s="52">
        <f t="shared" si="256"/>
        <v>0</v>
      </c>
      <c r="N546" s="52">
        <f t="shared" si="256"/>
        <v>0</v>
      </c>
      <c r="O546" s="52">
        <f t="shared" si="256"/>
        <v>0</v>
      </c>
      <c r="P546" s="52">
        <f t="shared" si="256"/>
        <v>0</v>
      </c>
      <c r="Q546" s="52">
        <f t="shared" si="256"/>
        <v>0</v>
      </c>
      <c r="R546" s="52">
        <f t="shared" si="256"/>
        <v>0</v>
      </c>
      <c r="S546" s="52">
        <f t="shared" si="256"/>
        <v>0</v>
      </c>
      <c r="T546" s="52">
        <f t="shared" si="256"/>
        <v>0</v>
      </c>
      <c r="U546" s="52">
        <f t="shared" si="256"/>
        <v>0</v>
      </c>
      <c r="V546" s="52">
        <f t="shared" si="256"/>
        <v>0</v>
      </c>
      <c r="W546" s="52">
        <f t="shared" si="256"/>
        <v>0</v>
      </c>
      <c r="X546" s="52">
        <f t="shared" si="257"/>
        <v>0</v>
      </c>
      <c r="Y546" s="52">
        <f t="shared" si="257"/>
        <v>0</v>
      </c>
      <c r="Z546" s="52">
        <f t="shared" si="257"/>
        <v>0</v>
      </c>
      <c r="AA546" s="52">
        <f t="shared" si="257"/>
        <v>0</v>
      </c>
      <c r="AB546" s="52">
        <f t="shared" si="257"/>
        <v>0</v>
      </c>
      <c r="AC546" s="52">
        <f t="shared" si="257"/>
        <v>0</v>
      </c>
      <c r="AD546" s="52">
        <f t="shared" si="257"/>
        <v>0</v>
      </c>
      <c r="AE546" s="52">
        <f t="shared" si="257"/>
        <v>0</v>
      </c>
      <c r="AF546" s="52">
        <f t="shared" si="257"/>
        <v>0</v>
      </c>
      <c r="AG546" s="52">
        <f t="shared" si="257"/>
        <v>0</v>
      </c>
      <c r="AH546" s="52">
        <f t="shared" si="257"/>
        <v>0</v>
      </c>
      <c r="AI546" s="52">
        <f t="shared" si="257"/>
        <v>0</v>
      </c>
      <c r="AJ546" s="52">
        <f t="shared" si="257"/>
        <v>0</v>
      </c>
      <c r="AK546" s="52">
        <f t="shared" si="257"/>
        <v>0</v>
      </c>
      <c r="AL546" s="52">
        <f t="shared" si="257"/>
        <v>0</v>
      </c>
      <c r="AM546" s="52">
        <f t="shared" si="257"/>
        <v>0</v>
      </c>
      <c r="AN546" s="52">
        <f t="shared" si="257"/>
        <v>0</v>
      </c>
      <c r="AO546" s="52">
        <f t="shared" si="254"/>
        <v>0</v>
      </c>
      <c r="AP546" s="52">
        <f t="shared" si="254"/>
        <v>0</v>
      </c>
      <c r="AQ546" s="52">
        <f t="shared" si="254"/>
        <v>0</v>
      </c>
      <c r="AR546" s="52">
        <f t="shared" si="254"/>
        <v>0</v>
      </c>
      <c r="AS546" s="52">
        <f t="shared" si="254"/>
        <v>0</v>
      </c>
      <c r="AT546" s="52">
        <f t="shared" si="254"/>
        <v>0</v>
      </c>
      <c r="AU546" s="52">
        <f t="shared" si="254"/>
        <v>0</v>
      </c>
      <c r="AV546" s="52">
        <f t="shared" si="254"/>
        <v>0</v>
      </c>
      <c r="AW546" s="52">
        <f t="shared" si="254"/>
        <v>0</v>
      </c>
      <c r="AX546" s="52">
        <f t="shared" si="254"/>
        <v>0</v>
      </c>
      <c r="AY546" s="52">
        <f t="shared" si="254"/>
        <v>0.4</v>
      </c>
      <c r="AZ546" s="52">
        <f t="shared" si="254"/>
        <v>1</v>
      </c>
      <c r="BA546" s="52">
        <f t="shared" si="254"/>
        <v>1</v>
      </c>
      <c r="BB546" s="52">
        <f t="shared" si="254"/>
        <v>1</v>
      </c>
      <c r="BC546" s="52">
        <f t="shared" si="254"/>
        <v>1</v>
      </c>
      <c r="BD546" s="52">
        <f t="shared" si="254"/>
        <v>1</v>
      </c>
      <c r="BE546" s="52">
        <f t="shared" si="254"/>
        <v>1</v>
      </c>
      <c r="BF546" s="52">
        <f t="shared" si="254"/>
        <v>1</v>
      </c>
      <c r="BG546" s="52">
        <f t="shared" si="255"/>
        <v>1</v>
      </c>
      <c r="BH546" s="52">
        <f t="shared" si="255"/>
        <v>1</v>
      </c>
      <c r="BI546" s="52">
        <f t="shared" si="255"/>
        <v>1</v>
      </c>
      <c r="BJ546" s="52">
        <f t="shared" si="255"/>
        <v>1</v>
      </c>
      <c r="BK546" s="52">
        <f t="shared" si="255"/>
        <v>1</v>
      </c>
      <c r="BL546" s="52">
        <f t="shared" si="255"/>
        <v>1</v>
      </c>
      <c r="BM546" s="52">
        <f t="shared" si="255"/>
        <v>1</v>
      </c>
      <c r="BN546" s="52">
        <f t="shared" si="255"/>
        <v>1</v>
      </c>
      <c r="BO546" s="32">
        <f t="shared" si="246"/>
        <v>0.26101694915254237</v>
      </c>
    </row>
    <row r="547" spans="1:67" ht="24" x14ac:dyDescent="0.2">
      <c r="A547" s="50" t="s">
        <v>1102</v>
      </c>
      <c r="B547" s="50" t="s">
        <v>1103</v>
      </c>
      <c r="C547" s="50" t="s">
        <v>126</v>
      </c>
      <c r="D547" s="51">
        <f>VLOOKUP(A547,'[1]Cuadro Control'!C590:J2477,8,FALSE)</f>
        <v>52736347.43270281</v>
      </c>
      <c r="E547" s="52">
        <f t="shared" si="252"/>
        <v>9.933624348213644E-3</v>
      </c>
      <c r="F547" s="53">
        <v>46520</v>
      </c>
      <c r="G547" s="53">
        <v>46522</v>
      </c>
      <c r="H547" s="52">
        <f t="shared" si="256"/>
        <v>0</v>
      </c>
      <c r="I547" s="52">
        <f t="shared" si="256"/>
        <v>0</v>
      </c>
      <c r="J547" s="52">
        <f t="shared" si="256"/>
        <v>0</v>
      </c>
      <c r="K547" s="52">
        <f t="shared" si="256"/>
        <v>0</v>
      </c>
      <c r="L547" s="52">
        <f t="shared" si="256"/>
        <v>0</v>
      </c>
      <c r="M547" s="52">
        <f t="shared" si="256"/>
        <v>0</v>
      </c>
      <c r="N547" s="52">
        <f t="shared" si="256"/>
        <v>0</v>
      </c>
      <c r="O547" s="52">
        <f t="shared" si="256"/>
        <v>0</v>
      </c>
      <c r="P547" s="52">
        <f t="shared" si="256"/>
        <v>0</v>
      </c>
      <c r="Q547" s="52">
        <f t="shared" si="256"/>
        <v>0</v>
      </c>
      <c r="R547" s="52">
        <f t="shared" si="256"/>
        <v>0</v>
      </c>
      <c r="S547" s="52">
        <f t="shared" si="256"/>
        <v>0</v>
      </c>
      <c r="T547" s="52">
        <f t="shared" si="256"/>
        <v>0</v>
      </c>
      <c r="U547" s="52">
        <f t="shared" si="256"/>
        <v>0</v>
      </c>
      <c r="V547" s="52">
        <f t="shared" si="256"/>
        <v>0</v>
      </c>
      <c r="W547" s="52">
        <f t="shared" si="256"/>
        <v>0</v>
      </c>
      <c r="X547" s="52">
        <f t="shared" si="257"/>
        <v>0</v>
      </c>
      <c r="Y547" s="52">
        <f t="shared" si="257"/>
        <v>0</v>
      </c>
      <c r="Z547" s="52">
        <f t="shared" si="257"/>
        <v>0</v>
      </c>
      <c r="AA547" s="52">
        <f t="shared" si="257"/>
        <v>0</v>
      </c>
      <c r="AB547" s="52">
        <f t="shared" si="257"/>
        <v>0</v>
      </c>
      <c r="AC547" s="52">
        <f t="shared" si="257"/>
        <v>0</v>
      </c>
      <c r="AD547" s="52">
        <f t="shared" si="257"/>
        <v>0</v>
      </c>
      <c r="AE547" s="52">
        <f t="shared" si="257"/>
        <v>0</v>
      </c>
      <c r="AF547" s="52">
        <f t="shared" si="257"/>
        <v>0</v>
      </c>
      <c r="AG547" s="52">
        <f t="shared" si="257"/>
        <v>0</v>
      </c>
      <c r="AH547" s="52">
        <f t="shared" si="257"/>
        <v>0</v>
      </c>
      <c r="AI547" s="52">
        <f t="shared" si="257"/>
        <v>0</v>
      </c>
      <c r="AJ547" s="52">
        <f t="shared" si="257"/>
        <v>0</v>
      </c>
      <c r="AK547" s="52">
        <f t="shared" si="257"/>
        <v>0</v>
      </c>
      <c r="AL547" s="52">
        <f t="shared" si="257"/>
        <v>0</v>
      </c>
      <c r="AM547" s="52">
        <f t="shared" si="257"/>
        <v>0</v>
      </c>
      <c r="AN547" s="52">
        <f t="shared" si="257"/>
        <v>0</v>
      </c>
      <c r="AO547" s="52">
        <f t="shared" si="254"/>
        <v>0</v>
      </c>
      <c r="AP547" s="52">
        <f t="shared" si="254"/>
        <v>0</v>
      </c>
      <c r="AQ547" s="52">
        <f t="shared" si="254"/>
        <v>0</v>
      </c>
      <c r="AR547" s="52">
        <f t="shared" si="254"/>
        <v>0</v>
      </c>
      <c r="AS547" s="52">
        <f t="shared" si="254"/>
        <v>0</v>
      </c>
      <c r="AT547" s="52">
        <f t="shared" si="254"/>
        <v>0</v>
      </c>
      <c r="AU547" s="52">
        <f t="shared" si="254"/>
        <v>0</v>
      </c>
      <c r="AV547" s="52">
        <f t="shared" si="254"/>
        <v>0</v>
      </c>
      <c r="AW547" s="52">
        <f t="shared" si="254"/>
        <v>0</v>
      </c>
      <c r="AX547" s="52">
        <f t="shared" si="254"/>
        <v>0</v>
      </c>
      <c r="AY547" s="52">
        <f t="shared" si="254"/>
        <v>0</v>
      </c>
      <c r="AZ547" s="52">
        <f t="shared" si="254"/>
        <v>0.66666666666666663</v>
      </c>
      <c r="BA547" s="52">
        <f t="shared" si="254"/>
        <v>1</v>
      </c>
      <c r="BB547" s="52">
        <f t="shared" si="254"/>
        <v>1</v>
      </c>
      <c r="BC547" s="52">
        <f t="shared" si="254"/>
        <v>1</v>
      </c>
      <c r="BD547" s="52">
        <f t="shared" si="254"/>
        <v>1</v>
      </c>
      <c r="BE547" s="52">
        <f t="shared" si="254"/>
        <v>1</v>
      </c>
      <c r="BF547" s="52">
        <f t="shared" si="254"/>
        <v>1</v>
      </c>
      <c r="BG547" s="52">
        <f t="shared" si="255"/>
        <v>1</v>
      </c>
      <c r="BH547" s="52">
        <f t="shared" si="255"/>
        <v>1</v>
      </c>
      <c r="BI547" s="52">
        <f t="shared" si="255"/>
        <v>1</v>
      </c>
      <c r="BJ547" s="52">
        <f t="shared" si="255"/>
        <v>1</v>
      </c>
      <c r="BK547" s="52">
        <f t="shared" si="255"/>
        <v>1</v>
      </c>
      <c r="BL547" s="52">
        <f t="shared" si="255"/>
        <v>1</v>
      </c>
      <c r="BM547" s="52">
        <f t="shared" si="255"/>
        <v>1</v>
      </c>
      <c r="BN547" s="52">
        <f t="shared" si="255"/>
        <v>1</v>
      </c>
      <c r="BO547" s="32">
        <f t="shared" si="246"/>
        <v>0.24858757062146891</v>
      </c>
    </row>
    <row r="548" spans="1:67" ht="24" x14ac:dyDescent="0.2">
      <c r="A548" s="50" t="s">
        <v>1104</v>
      </c>
      <c r="B548" s="50" t="s">
        <v>1105</v>
      </c>
      <c r="C548" s="50" t="s">
        <v>117</v>
      </c>
      <c r="D548" s="51">
        <f>VLOOKUP(A548,'[1]Cuadro Control'!C591:J2478,8,FALSE)</f>
        <v>46410609.014634147</v>
      </c>
      <c r="E548" s="52">
        <f t="shared" si="252"/>
        <v>8.742083556535862E-3</v>
      </c>
      <c r="F548" s="53">
        <v>46522</v>
      </c>
      <c r="G548" s="53">
        <v>46525</v>
      </c>
      <c r="H548" s="52">
        <f t="shared" si="256"/>
        <v>0</v>
      </c>
      <c r="I548" s="52">
        <f t="shared" si="256"/>
        <v>0</v>
      </c>
      <c r="J548" s="52">
        <f t="shared" si="256"/>
        <v>0</v>
      </c>
      <c r="K548" s="52">
        <f t="shared" si="256"/>
        <v>0</v>
      </c>
      <c r="L548" s="52">
        <f t="shared" si="256"/>
        <v>0</v>
      </c>
      <c r="M548" s="52">
        <f t="shared" si="256"/>
        <v>0</v>
      </c>
      <c r="N548" s="52">
        <f t="shared" si="256"/>
        <v>0</v>
      </c>
      <c r="O548" s="52">
        <f t="shared" si="256"/>
        <v>0</v>
      </c>
      <c r="P548" s="52">
        <f t="shared" si="256"/>
        <v>0</v>
      </c>
      <c r="Q548" s="52">
        <f t="shared" si="256"/>
        <v>0</v>
      </c>
      <c r="R548" s="52">
        <f t="shared" si="256"/>
        <v>0</v>
      </c>
      <c r="S548" s="52">
        <f t="shared" si="256"/>
        <v>0</v>
      </c>
      <c r="T548" s="52">
        <f t="shared" si="256"/>
        <v>0</v>
      </c>
      <c r="U548" s="52">
        <f t="shared" si="256"/>
        <v>0</v>
      </c>
      <c r="V548" s="52">
        <f t="shared" si="256"/>
        <v>0</v>
      </c>
      <c r="W548" s="52">
        <f t="shared" si="256"/>
        <v>0</v>
      </c>
      <c r="X548" s="52">
        <f t="shared" si="257"/>
        <v>0</v>
      </c>
      <c r="Y548" s="52">
        <f t="shared" si="257"/>
        <v>0</v>
      </c>
      <c r="Z548" s="52">
        <f t="shared" si="257"/>
        <v>0</v>
      </c>
      <c r="AA548" s="52">
        <f t="shared" si="257"/>
        <v>0</v>
      </c>
      <c r="AB548" s="52">
        <f t="shared" si="257"/>
        <v>0</v>
      </c>
      <c r="AC548" s="52">
        <f t="shared" si="257"/>
        <v>0</v>
      </c>
      <c r="AD548" s="52">
        <f t="shared" si="257"/>
        <v>0</v>
      </c>
      <c r="AE548" s="52">
        <f t="shared" si="257"/>
        <v>0</v>
      </c>
      <c r="AF548" s="52">
        <f t="shared" si="257"/>
        <v>0</v>
      </c>
      <c r="AG548" s="52">
        <f t="shared" si="257"/>
        <v>0</v>
      </c>
      <c r="AH548" s="52">
        <f t="shared" si="257"/>
        <v>0</v>
      </c>
      <c r="AI548" s="52">
        <f t="shared" si="257"/>
        <v>0</v>
      </c>
      <c r="AJ548" s="52">
        <f t="shared" si="257"/>
        <v>0</v>
      </c>
      <c r="AK548" s="52">
        <f t="shared" si="257"/>
        <v>0</v>
      </c>
      <c r="AL548" s="52">
        <f t="shared" si="257"/>
        <v>0</v>
      </c>
      <c r="AM548" s="52">
        <f t="shared" si="257"/>
        <v>0</v>
      </c>
      <c r="AN548" s="52">
        <f t="shared" si="257"/>
        <v>0</v>
      </c>
      <c r="AO548" s="52">
        <f t="shared" si="254"/>
        <v>0</v>
      </c>
      <c r="AP548" s="52">
        <f t="shared" si="254"/>
        <v>0</v>
      </c>
      <c r="AQ548" s="52">
        <f t="shared" si="254"/>
        <v>0</v>
      </c>
      <c r="AR548" s="52">
        <f t="shared" si="254"/>
        <v>0</v>
      </c>
      <c r="AS548" s="52">
        <f t="shared" si="254"/>
        <v>0</v>
      </c>
      <c r="AT548" s="52">
        <f t="shared" si="254"/>
        <v>0</v>
      </c>
      <c r="AU548" s="52">
        <f t="shared" si="254"/>
        <v>0</v>
      </c>
      <c r="AV548" s="52">
        <f t="shared" si="254"/>
        <v>0</v>
      </c>
      <c r="AW548" s="52">
        <f t="shared" si="254"/>
        <v>0</v>
      </c>
      <c r="AX548" s="52">
        <f t="shared" si="254"/>
        <v>0</v>
      </c>
      <c r="AY548" s="52">
        <f t="shared" si="254"/>
        <v>0</v>
      </c>
      <c r="AZ548" s="52">
        <f t="shared" si="254"/>
        <v>0</v>
      </c>
      <c r="BA548" s="52">
        <f t="shared" si="254"/>
        <v>1</v>
      </c>
      <c r="BB548" s="52">
        <f t="shared" si="254"/>
        <v>1</v>
      </c>
      <c r="BC548" s="52">
        <f t="shared" si="254"/>
        <v>1</v>
      </c>
      <c r="BD548" s="52">
        <f t="shared" si="254"/>
        <v>1</v>
      </c>
      <c r="BE548" s="52">
        <f t="shared" si="254"/>
        <v>1</v>
      </c>
      <c r="BF548" s="52">
        <f t="shared" si="254"/>
        <v>1</v>
      </c>
      <c r="BG548" s="52">
        <f t="shared" si="255"/>
        <v>1</v>
      </c>
      <c r="BH548" s="52">
        <f t="shared" si="255"/>
        <v>1</v>
      </c>
      <c r="BI548" s="52">
        <f t="shared" si="255"/>
        <v>1</v>
      </c>
      <c r="BJ548" s="52">
        <f t="shared" si="255"/>
        <v>1</v>
      </c>
      <c r="BK548" s="52">
        <f t="shared" si="255"/>
        <v>1</v>
      </c>
      <c r="BL548" s="52">
        <f t="shared" si="255"/>
        <v>1</v>
      </c>
      <c r="BM548" s="52">
        <f t="shared" si="255"/>
        <v>1</v>
      </c>
      <c r="BN548" s="52">
        <f t="shared" si="255"/>
        <v>1</v>
      </c>
      <c r="BO548" s="32">
        <f t="shared" si="246"/>
        <v>0.23728813559322035</v>
      </c>
    </row>
    <row r="549" spans="1:67" ht="24" x14ac:dyDescent="0.2">
      <c r="A549" s="50" t="s">
        <v>1106</v>
      </c>
      <c r="B549" s="50" t="s">
        <v>1107</v>
      </c>
      <c r="C549" s="50" t="s">
        <v>61</v>
      </c>
      <c r="D549" s="51">
        <f>VLOOKUP(A549,'[1]Cuadro Control'!C592:J2479,8,FALSE)</f>
        <v>1587346329.5488234</v>
      </c>
      <c r="E549" s="52">
        <f t="shared" si="252"/>
        <v>0.29899875353285565</v>
      </c>
      <c r="F549" s="53">
        <v>46522</v>
      </c>
      <c r="G549" s="53">
        <v>46533</v>
      </c>
      <c r="H549" s="52">
        <f t="shared" si="256"/>
        <v>0</v>
      </c>
      <c r="I549" s="52">
        <f t="shared" si="256"/>
        <v>0</v>
      </c>
      <c r="J549" s="52">
        <f t="shared" si="256"/>
        <v>0</v>
      </c>
      <c r="K549" s="52">
        <f t="shared" si="256"/>
        <v>0</v>
      </c>
      <c r="L549" s="52">
        <f t="shared" si="256"/>
        <v>0</v>
      </c>
      <c r="M549" s="52">
        <f t="shared" si="256"/>
        <v>0</v>
      </c>
      <c r="N549" s="52">
        <f t="shared" si="256"/>
        <v>0</v>
      </c>
      <c r="O549" s="52">
        <f t="shared" si="256"/>
        <v>0</v>
      </c>
      <c r="P549" s="52">
        <f t="shared" si="256"/>
        <v>0</v>
      </c>
      <c r="Q549" s="52">
        <f t="shared" si="256"/>
        <v>0</v>
      </c>
      <c r="R549" s="52">
        <f t="shared" si="256"/>
        <v>0</v>
      </c>
      <c r="S549" s="52">
        <f t="shared" si="256"/>
        <v>0</v>
      </c>
      <c r="T549" s="52">
        <f t="shared" si="256"/>
        <v>0</v>
      </c>
      <c r="U549" s="52">
        <f t="shared" si="256"/>
        <v>0</v>
      </c>
      <c r="V549" s="52">
        <f t="shared" si="256"/>
        <v>0</v>
      </c>
      <c r="W549" s="52">
        <f t="shared" si="256"/>
        <v>0</v>
      </c>
      <c r="X549" s="52">
        <f t="shared" si="257"/>
        <v>0</v>
      </c>
      <c r="Y549" s="52">
        <f t="shared" si="257"/>
        <v>0</v>
      </c>
      <c r="Z549" s="52">
        <f t="shared" si="257"/>
        <v>0</v>
      </c>
      <c r="AA549" s="52">
        <f t="shared" si="257"/>
        <v>0</v>
      </c>
      <c r="AB549" s="52">
        <f t="shared" si="257"/>
        <v>0</v>
      </c>
      <c r="AC549" s="52">
        <f t="shared" si="257"/>
        <v>0</v>
      </c>
      <c r="AD549" s="52">
        <f t="shared" si="257"/>
        <v>0</v>
      </c>
      <c r="AE549" s="52">
        <f t="shared" si="257"/>
        <v>0</v>
      </c>
      <c r="AF549" s="52">
        <f t="shared" si="257"/>
        <v>0</v>
      </c>
      <c r="AG549" s="52">
        <f t="shared" si="257"/>
        <v>0</v>
      </c>
      <c r="AH549" s="52">
        <f t="shared" si="257"/>
        <v>0</v>
      </c>
      <c r="AI549" s="52">
        <f t="shared" si="257"/>
        <v>0</v>
      </c>
      <c r="AJ549" s="52">
        <f t="shared" si="257"/>
        <v>0</v>
      </c>
      <c r="AK549" s="52">
        <f t="shared" si="257"/>
        <v>0</v>
      </c>
      <c r="AL549" s="52">
        <f t="shared" si="257"/>
        <v>0</v>
      </c>
      <c r="AM549" s="52">
        <f t="shared" si="257"/>
        <v>0</v>
      </c>
      <c r="AN549" s="52">
        <f t="shared" si="257"/>
        <v>0</v>
      </c>
      <c r="AO549" s="52">
        <f t="shared" si="254"/>
        <v>0</v>
      </c>
      <c r="AP549" s="52">
        <f t="shared" si="254"/>
        <v>0</v>
      </c>
      <c r="AQ549" s="52">
        <f t="shared" si="254"/>
        <v>0</v>
      </c>
      <c r="AR549" s="52">
        <f t="shared" si="254"/>
        <v>0</v>
      </c>
      <c r="AS549" s="52">
        <f t="shared" si="254"/>
        <v>0</v>
      </c>
      <c r="AT549" s="52">
        <f t="shared" si="254"/>
        <v>0</v>
      </c>
      <c r="AU549" s="52">
        <f t="shared" si="254"/>
        <v>0</v>
      </c>
      <c r="AV549" s="52">
        <f t="shared" si="254"/>
        <v>0</v>
      </c>
      <c r="AW549" s="52">
        <f t="shared" si="254"/>
        <v>0</v>
      </c>
      <c r="AX549" s="52">
        <f t="shared" si="254"/>
        <v>0</v>
      </c>
      <c r="AY549" s="52">
        <f t="shared" si="254"/>
        <v>0</v>
      </c>
      <c r="AZ549" s="52">
        <f t="shared" si="254"/>
        <v>0</v>
      </c>
      <c r="BA549" s="52">
        <f t="shared" si="254"/>
        <v>0.58333333333333337</v>
      </c>
      <c r="BB549" s="52">
        <f t="shared" si="254"/>
        <v>1</v>
      </c>
      <c r="BC549" s="52">
        <f t="shared" si="254"/>
        <v>1</v>
      </c>
      <c r="BD549" s="52">
        <f t="shared" si="254"/>
        <v>1</v>
      </c>
      <c r="BE549" s="52">
        <f t="shared" si="254"/>
        <v>1</v>
      </c>
      <c r="BF549" s="52">
        <f t="shared" si="254"/>
        <v>1</v>
      </c>
      <c r="BG549" s="52">
        <f t="shared" si="255"/>
        <v>1</v>
      </c>
      <c r="BH549" s="52">
        <f t="shared" si="255"/>
        <v>1</v>
      </c>
      <c r="BI549" s="52">
        <f t="shared" si="255"/>
        <v>1</v>
      </c>
      <c r="BJ549" s="52">
        <f t="shared" si="255"/>
        <v>1</v>
      </c>
      <c r="BK549" s="52">
        <f t="shared" si="255"/>
        <v>1</v>
      </c>
      <c r="BL549" s="52">
        <f t="shared" si="255"/>
        <v>1</v>
      </c>
      <c r="BM549" s="52">
        <f t="shared" si="255"/>
        <v>1</v>
      </c>
      <c r="BN549" s="52">
        <f t="shared" si="255"/>
        <v>1</v>
      </c>
      <c r="BO549" s="32">
        <f t="shared" si="246"/>
        <v>0.23022598870056499</v>
      </c>
    </row>
    <row r="550" spans="1:67" ht="30" x14ac:dyDescent="0.2">
      <c r="A550" s="46" t="s">
        <v>1108</v>
      </c>
      <c r="B550" s="46" t="s">
        <v>1109</v>
      </c>
      <c r="C550" s="46" t="s">
        <v>61</v>
      </c>
      <c r="D550" s="47">
        <f>VLOOKUP(A550,'[1]Cuadro Control'!C593:J2480,8,FALSE)</f>
        <v>179532477.23999998</v>
      </c>
      <c r="E550" s="48">
        <f t="shared" si="252"/>
        <v>3.3817438522495219E-2</v>
      </c>
      <c r="F550" s="49">
        <v>46525</v>
      </c>
      <c r="G550" s="49">
        <v>46539</v>
      </c>
      <c r="H550" s="48">
        <f t="shared" si="256"/>
        <v>0</v>
      </c>
      <c r="I550" s="48">
        <f t="shared" si="256"/>
        <v>0</v>
      </c>
      <c r="J550" s="48">
        <f t="shared" si="256"/>
        <v>0</v>
      </c>
      <c r="K550" s="48">
        <f t="shared" si="256"/>
        <v>0</v>
      </c>
      <c r="L550" s="48">
        <f t="shared" si="256"/>
        <v>0</v>
      </c>
      <c r="M550" s="48">
        <f t="shared" si="256"/>
        <v>0</v>
      </c>
      <c r="N550" s="48">
        <f t="shared" si="256"/>
        <v>0</v>
      </c>
      <c r="O550" s="48">
        <f t="shared" si="256"/>
        <v>0</v>
      </c>
      <c r="P550" s="48">
        <f t="shared" si="256"/>
        <v>0</v>
      </c>
      <c r="Q550" s="48">
        <f t="shared" si="256"/>
        <v>0</v>
      </c>
      <c r="R550" s="48">
        <f t="shared" si="256"/>
        <v>0</v>
      </c>
      <c r="S550" s="48">
        <f t="shared" si="256"/>
        <v>0</v>
      </c>
      <c r="T550" s="48">
        <f t="shared" si="256"/>
        <v>0</v>
      </c>
      <c r="U550" s="48">
        <f t="shared" si="256"/>
        <v>0</v>
      </c>
      <c r="V550" s="48">
        <f t="shared" si="256"/>
        <v>0</v>
      </c>
      <c r="W550" s="48">
        <f t="shared" si="256"/>
        <v>0</v>
      </c>
      <c r="X550" s="48">
        <f t="shared" si="257"/>
        <v>0</v>
      </c>
      <c r="Y550" s="48">
        <f t="shared" si="257"/>
        <v>0</v>
      </c>
      <c r="Z550" s="48">
        <f t="shared" si="257"/>
        <v>0</v>
      </c>
      <c r="AA550" s="48">
        <f t="shared" si="257"/>
        <v>0</v>
      </c>
      <c r="AB550" s="48">
        <f t="shared" si="257"/>
        <v>0</v>
      </c>
      <c r="AC550" s="48">
        <f t="shared" si="257"/>
        <v>0</v>
      </c>
      <c r="AD550" s="48">
        <f t="shared" si="257"/>
        <v>0</v>
      </c>
      <c r="AE550" s="48">
        <f t="shared" si="257"/>
        <v>0</v>
      </c>
      <c r="AF550" s="48">
        <f t="shared" si="257"/>
        <v>0</v>
      </c>
      <c r="AG550" s="48">
        <f t="shared" si="257"/>
        <v>0</v>
      </c>
      <c r="AH550" s="48">
        <f t="shared" si="257"/>
        <v>0</v>
      </c>
      <c r="AI550" s="48">
        <f t="shared" si="257"/>
        <v>0</v>
      </c>
      <c r="AJ550" s="48">
        <f t="shared" si="257"/>
        <v>0</v>
      </c>
      <c r="AK550" s="48">
        <f t="shared" si="257"/>
        <v>0</v>
      </c>
      <c r="AL550" s="48">
        <f t="shared" si="257"/>
        <v>0</v>
      </c>
      <c r="AM550" s="48">
        <f t="shared" si="257"/>
        <v>0</v>
      </c>
      <c r="AN550" s="48">
        <f t="shared" si="257"/>
        <v>0</v>
      </c>
      <c r="AO550" s="48">
        <f t="shared" si="254"/>
        <v>0</v>
      </c>
      <c r="AP550" s="48">
        <f t="shared" si="254"/>
        <v>0</v>
      </c>
      <c r="AQ550" s="48">
        <f t="shared" si="254"/>
        <v>0</v>
      </c>
      <c r="AR550" s="48">
        <f t="shared" si="254"/>
        <v>0</v>
      </c>
      <c r="AS550" s="48">
        <f t="shared" si="254"/>
        <v>0</v>
      </c>
      <c r="AT550" s="48">
        <f t="shared" si="254"/>
        <v>0</v>
      </c>
      <c r="AU550" s="48">
        <f t="shared" si="254"/>
        <v>0</v>
      </c>
      <c r="AV550" s="48">
        <f t="shared" si="254"/>
        <v>0</v>
      </c>
      <c r="AW550" s="48">
        <f t="shared" si="254"/>
        <v>0</v>
      </c>
      <c r="AX550" s="48">
        <f t="shared" si="254"/>
        <v>0</v>
      </c>
      <c r="AY550" s="48">
        <f t="shared" si="254"/>
        <v>0</v>
      </c>
      <c r="AZ550" s="48">
        <f t="shared" si="254"/>
        <v>0</v>
      </c>
      <c r="BA550" s="48">
        <f t="shared" si="254"/>
        <v>0.26666666666666666</v>
      </c>
      <c r="BB550" s="48">
        <f t="shared" si="254"/>
        <v>0.73333333333333328</v>
      </c>
      <c r="BC550" s="48">
        <f t="shared" si="254"/>
        <v>1</v>
      </c>
      <c r="BD550" s="48">
        <f t="shared" si="254"/>
        <v>1</v>
      </c>
      <c r="BE550" s="48">
        <f t="shared" si="254"/>
        <v>1</v>
      </c>
      <c r="BF550" s="48">
        <f t="shared" si="254"/>
        <v>1</v>
      </c>
      <c r="BG550" s="48">
        <f t="shared" si="255"/>
        <v>1</v>
      </c>
      <c r="BH550" s="48">
        <f t="shared" si="255"/>
        <v>1</v>
      </c>
      <c r="BI550" s="48">
        <f t="shared" si="255"/>
        <v>1</v>
      </c>
      <c r="BJ550" s="48">
        <f t="shared" si="255"/>
        <v>1</v>
      </c>
      <c r="BK550" s="48">
        <f t="shared" si="255"/>
        <v>1</v>
      </c>
      <c r="BL550" s="48">
        <f t="shared" si="255"/>
        <v>1</v>
      </c>
      <c r="BM550" s="48">
        <f t="shared" si="255"/>
        <v>1</v>
      </c>
      <c r="BN550" s="48">
        <f t="shared" si="255"/>
        <v>1</v>
      </c>
      <c r="BO550" s="32">
        <f t="shared" si="246"/>
        <v>0.22033898305084745</v>
      </c>
    </row>
    <row r="551" spans="1:67" ht="24" x14ac:dyDescent="0.2">
      <c r="A551" s="55" t="s">
        <v>1110</v>
      </c>
      <c r="B551" s="55" t="s">
        <v>1111</v>
      </c>
      <c r="C551" s="55" t="s">
        <v>14</v>
      </c>
      <c r="D551" s="56">
        <f>VLOOKUP(A551,'[1]Cuadro Control'!C594:J2481,8,FALSE)</f>
        <v>0</v>
      </c>
      <c r="E551" s="57">
        <f>IFERROR(D551/$D$535,0)</f>
        <v>0</v>
      </c>
      <c r="F551" s="58">
        <v>46539</v>
      </c>
      <c r="G551" s="58">
        <v>46539</v>
      </c>
      <c r="H551" s="57">
        <f t="shared" si="256"/>
        <v>0</v>
      </c>
      <c r="I551" s="57">
        <f t="shared" si="256"/>
        <v>0</v>
      </c>
      <c r="J551" s="57">
        <f t="shared" si="256"/>
        <v>0</v>
      </c>
      <c r="K551" s="57">
        <f t="shared" si="256"/>
        <v>0</v>
      </c>
      <c r="L551" s="57">
        <f t="shared" si="256"/>
        <v>0</v>
      </c>
      <c r="M551" s="57">
        <f t="shared" si="256"/>
        <v>0</v>
      </c>
      <c r="N551" s="57">
        <f t="shared" si="256"/>
        <v>0</v>
      </c>
      <c r="O551" s="57">
        <f t="shared" si="256"/>
        <v>0</v>
      </c>
      <c r="P551" s="57">
        <f t="shared" si="256"/>
        <v>0</v>
      </c>
      <c r="Q551" s="57">
        <f t="shared" si="256"/>
        <v>0</v>
      </c>
      <c r="R551" s="57">
        <f t="shared" si="256"/>
        <v>0</v>
      </c>
      <c r="S551" s="57">
        <f t="shared" si="256"/>
        <v>0</v>
      </c>
      <c r="T551" s="57">
        <f t="shared" si="256"/>
        <v>0</v>
      </c>
      <c r="U551" s="57">
        <f t="shared" si="256"/>
        <v>0</v>
      </c>
      <c r="V551" s="57">
        <f t="shared" si="256"/>
        <v>0</v>
      </c>
      <c r="W551" s="57">
        <f t="shared" si="256"/>
        <v>0</v>
      </c>
      <c r="X551" s="57">
        <f t="shared" si="257"/>
        <v>0</v>
      </c>
      <c r="Y551" s="57">
        <f t="shared" si="257"/>
        <v>0</v>
      </c>
      <c r="Z551" s="57">
        <f t="shared" si="257"/>
        <v>0</v>
      </c>
      <c r="AA551" s="57">
        <f t="shared" si="257"/>
        <v>0</v>
      </c>
      <c r="AB551" s="57">
        <f t="shared" si="257"/>
        <v>0</v>
      </c>
      <c r="AC551" s="57">
        <f t="shared" si="257"/>
        <v>0</v>
      </c>
      <c r="AD551" s="57">
        <f t="shared" si="257"/>
        <v>0</v>
      </c>
      <c r="AE551" s="57">
        <f t="shared" si="257"/>
        <v>0</v>
      </c>
      <c r="AF551" s="57">
        <f t="shared" si="257"/>
        <v>0</v>
      </c>
      <c r="AG551" s="57">
        <f t="shared" si="257"/>
        <v>0</v>
      </c>
      <c r="AH551" s="57">
        <f t="shared" si="257"/>
        <v>0</v>
      </c>
      <c r="AI551" s="57">
        <f t="shared" si="257"/>
        <v>0</v>
      </c>
      <c r="AJ551" s="57">
        <f t="shared" si="257"/>
        <v>0</v>
      </c>
      <c r="AK551" s="57">
        <f t="shared" si="257"/>
        <v>0</v>
      </c>
      <c r="AL551" s="57">
        <f t="shared" si="257"/>
        <v>0</v>
      </c>
      <c r="AM551" s="57">
        <f t="shared" si="257"/>
        <v>0</v>
      </c>
      <c r="AN551" s="57">
        <f t="shared" si="257"/>
        <v>0</v>
      </c>
      <c r="AO551" s="57">
        <f t="shared" si="257"/>
        <v>0</v>
      </c>
      <c r="AP551" s="57">
        <f t="shared" si="257"/>
        <v>0</v>
      </c>
      <c r="AQ551" s="57">
        <f t="shared" si="257"/>
        <v>0</v>
      </c>
      <c r="AR551" s="57">
        <f t="shared" si="257"/>
        <v>0</v>
      </c>
      <c r="AS551" s="57">
        <f t="shared" si="257"/>
        <v>0</v>
      </c>
      <c r="AT551" s="57">
        <f t="shared" si="257"/>
        <v>0</v>
      </c>
      <c r="AU551" s="57">
        <f t="shared" si="257"/>
        <v>0</v>
      </c>
      <c r="AV551" s="57">
        <f t="shared" si="257"/>
        <v>0</v>
      </c>
      <c r="AW551" s="57">
        <f t="shared" si="257"/>
        <v>0</v>
      </c>
      <c r="AX551" s="57">
        <f t="shared" si="257"/>
        <v>0</v>
      </c>
      <c r="AY551" s="57">
        <f t="shared" si="257"/>
        <v>0</v>
      </c>
      <c r="AZ551" s="57">
        <f t="shared" si="257"/>
        <v>0</v>
      </c>
      <c r="BA551" s="57">
        <f t="shared" si="257"/>
        <v>0</v>
      </c>
      <c r="BB551" s="57">
        <f t="shared" si="257"/>
        <v>0</v>
      </c>
      <c r="BC551" s="57">
        <f t="shared" si="257"/>
        <v>1</v>
      </c>
      <c r="BD551" s="57">
        <f t="shared" si="254"/>
        <v>1</v>
      </c>
      <c r="BE551" s="57">
        <f t="shared" si="254"/>
        <v>1</v>
      </c>
      <c r="BF551" s="57">
        <f t="shared" si="254"/>
        <v>1</v>
      </c>
      <c r="BG551" s="57">
        <f t="shared" si="255"/>
        <v>1</v>
      </c>
      <c r="BH551" s="57">
        <f t="shared" si="255"/>
        <v>1</v>
      </c>
      <c r="BI551" s="57">
        <f t="shared" si="255"/>
        <v>1</v>
      </c>
      <c r="BJ551" s="57">
        <f t="shared" si="255"/>
        <v>1</v>
      </c>
      <c r="BK551" s="57">
        <f t="shared" si="255"/>
        <v>1</v>
      </c>
      <c r="BL551" s="57">
        <f t="shared" si="255"/>
        <v>1</v>
      </c>
      <c r="BM551" s="57">
        <f t="shared" si="255"/>
        <v>1</v>
      </c>
      <c r="BN551" s="57">
        <f t="shared" si="255"/>
        <v>1</v>
      </c>
      <c r="BO551" s="32">
        <f t="shared" si="246"/>
        <v>0.20338983050847459</v>
      </c>
    </row>
    <row r="552" spans="1:67" x14ac:dyDescent="0.2">
      <c r="A552" s="42" t="s">
        <v>1112</v>
      </c>
      <c r="B552" s="42" t="s">
        <v>1113</v>
      </c>
      <c r="C552" s="42" t="s">
        <v>467</v>
      </c>
      <c r="D552" s="43">
        <f>SUM(D553:D568)</f>
        <v>5308872732.0543728</v>
      </c>
      <c r="E552" s="44">
        <f>IFERROR(D552/$D$109,0)</f>
        <v>2.9408554574576196E-2</v>
      </c>
      <c r="F552" s="45">
        <v>46465</v>
      </c>
      <c r="G552" s="45">
        <v>46547</v>
      </c>
      <c r="H552" s="44">
        <f>SUMPRODUCT($E553:$E567,H553:H567)</f>
        <v>0</v>
      </c>
      <c r="I552" s="44">
        <f t="shared" ref="I552:BN552" si="258">SUMPRODUCT($E553:$E567,I553:I567)</f>
        <v>0</v>
      </c>
      <c r="J552" s="44">
        <f t="shared" si="258"/>
        <v>0</v>
      </c>
      <c r="K552" s="44">
        <f t="shared" si="258"/>
        <v>0</v>
      </c>
      <c r="L552" s="44">
        <f t="shared" si="258"/>
        <v>0</v>
      </c>
      <c r="M552" s="44">
        <f t="shared" si="258"/>
        <v>0</v>
      </c>
      <c r="N552" s="44">
        <f t="shared" si="258"/>
        <v>0</v>
      </c>
      <c r="O552" s="44">
        <f t="shared" si="258"/>
        <v>0</v>
      </c>
      <c r="P552" s="44">
        <f t="shared" si="258"/>
        <v>0</v>
      </c>
      <c r="Q552" s="44">
        <f t="shared" si="258"/>
        <v>0</v>
      </c>
      <c r="R552" s="44">
        <f t="shared" si="258"/>
        <v>0</v>
      </c>
      <c r="S552" s="44">
        <f t="shared" si="258"/>
        <v>0</v>
      </c>
      <c r="T552" s="44">
        <f t="shared" si="258"/>
        <v>0</v>
      </c>
      <c r="U552" s="44">
        <f t="shared" si="258"/>
        <v>0</v>
      </c>
      <c r="V552" s="44">
        <f t="shared" si="258"/>
        <v>0</v>
      </c>
      <c r="W552" s="44">
        <f t="shared" si="258"/>
        <v>0</v>
      </c>
      <c r="X552" s="44">
        <f t="shared" si="258"/>
        <v>0</v>
      </c>
      <c r="Y552" s="44">
        <f t="shared" si="258"/>
        <v>0</v>
      </c>
      <c r="Z552" s="44">
        <f t="shared" si="258"/>
        <v>0</v>
      </c>
      <c r="AA552" s="44">
        <f t="shared" si="258"/>
        <v>0</v>
      </c>
      <c r="AB552" s="44">
        <f t="shared" si="258"/>
        <v>0</v>
      </c>
      <c r="AC552" s="44">
        <f t="shared" si="258"/>
        <v>0</v>
      </c>
      <c r="AD552" s="44">
        <f t="shared" si="258"/>
        <v>0</v>
      </c>
      <c r="AE552" s="44">
        <f t="shared" si="258"/>
        <v>0</v>
      </c>
      <c r="AF552" s="44">
        <f t="shared" si="258"/>
        <v>0</v>
      </c>
      <c r="AG552" s="44">
        <f t="shared" si="258"/>
        <v>0</v>
      </c>
      <c r="AH552" s="44">
        <f t="shared" si="258"/>
        <v>0</v>
      </c>
      <c r="AI552" s="44">
        <f t="shared" si="258"/>
        <v>0</v>
      </c>
      <c r="AJ552" s="44">
        <f t="shared" si="258"/>
        <v>0</v>
      </c>
      <c r="AK552" s="44">
        <f t="shared" si="258"/>
        <v>0</v>
      </c>
      <c r="AL552" s="44">
        <f t="shared" si="258"/>
        <v>0</v>
      </c>
      <c r="AM552" s="44">
        <f t="shared" si="258"/>
        <v>0</v>
      </c>
      <c r="AN552" s="44">
        <f t="shared" si="258"/>
        <v>0</v>
      </c>
      <c r="AO552" s="44">
        <f t="shared" si="258"/>
        <v>0</v>
      </c>
      <c r="AP552" s="44">
        <f t="shared" si="258"/>
        <v>0</v>
      </c>
      <c r="AQ552" s="44">
        <f t="shared" si="258"/>
        <v>0</v>
      </c>
      <c r="AR552" s="44">
        <f t="shared" si="258"/>
        <v>1.3071164866653652E-3</v>
      </c>
      <c r="AS552" s="44">
        <f t="shared" si="258"/>
        <v>1.0456931893322922E-2</v>
      </c>
      <c r="AT552" s="44">
        <f t="shared" si="258"/>
        <v>3.7750428504315078E-2</v>
      </c>
      <c r="AU552" s="44">
        <f t="shared" si="258"/>
        <v>7.6320178065972868E-2</v>
      </c>
      <c r="AV552" s="44">
        <f t="shared" si="258"/>
        <v>0.16008640555045139</v>
      </c>
      <c r="AW552" s="44">
        <f t="shared" si="258"/>
        <v>0.2168042746368922</v>
      </c>
      <c r="AX552" s="44">
        <f t="shared" si="258"/>
        <v>0.31673560607132478</v>
      </c>
      <c r="AY552" s="44">
        <f t="shared" si="258"/>
        <v>0.41666693750575734</v>
      </c>
      <c r="AZ552" s="44">
        <f t="shared" si="258"/>
        <v>0.64850810003989967</v>
      </c>
      <c r="BA552" s="44">
        <f t="shared" si="258"/>
        <v>0.65248154977918515</v>
      </c>
      <c r="BB552" s="44">
        <f t="shared" si="258"/>
        <v>0.79853010962117144</v>
      </c>
      <c r="BC552" s="44">
        <f t="shared" si="258"/>
        <v>0.98872752049250168</v>
      </c>
      <c r="BD552" s="44">
        <f t="shared" si="258"/>
        <v>1</v>
      </c>
      <c r="BE552" s="44">
        <f t="shared" si="258"/>
        <v>1</v>
      </c>
      <c r="BF552" s="44">
        <f t="shared" si="258"/>
        <v>1</v>
      </c>
      <c r="BG552" s="44">
        <f t="shared" si="258"/>
        <v>1</v>
      </c>
      <c r="BH552" s="44">
        <f t="shared" si="258"/>
        <v>1</v>
      </c>
      <c r="BI552" s="44">
        <f t="shared" si="258"/>
        <v>1</v>
      </c>
      <c r="BJ552" s="44">
        <f t="shared" si="258"/>
        <v>1</v>
      </c>
      <c r="BK552" s="44">
        <f t="shared" si="258"/>
        <v>1</v>
      </c>
      <c r="BL552" s="44">
        <f t="shared" si="258"/>
        <v>1</v>
      </c>
      <c r="BM552" s="44">
        <f t="shared" si="258"/>
        <v>1</v>
      </c>
      <c r="BN552" s="44">
        <f t="shared" si="258"/>
        <v>1</v>
      </c>
      <c r="BO552" s="32">
        <f t="shared" si="246"/>
        <v>0.25973517218046543</v>
      </c>
    </row>
    <row r="553" spans="1:67" ht="24" x14ac:dyDescent="0.2">
      <c r="A553" s="50" t="s">
        <v>1114</v>
      </c>
      <c r="B553" s="50" t="s">
        <v>1115</v>
      </c>
      <c r="C553" s="50" t="s">
        <v>74</v>
      </c>
      <c r="D553" s="51">
        <f>VLOOKUP(A553,'[1]Cuadro Control'!C596:J2483,8,FALSE)</f>
        <v>83271780.884117648</v>
      </c>
      <c r="E553" s="52">
        <f t="shared" ref="E553:E567" si="259">IFERROR(D553/$D$552,0)</f>
        <v>1.5685397839984384E-2</v>
      </c>
      <c r="F553" s="53">
        <v>46465</v>
      </c>
      <c r="G553" s="53">
        <v>46476</v>
      </c>
      <c r="H553" s="52">
        <f t="shared" ref="H553:BN557" si="260">IF($F553=0,0,IF(H$6&lt;$F553,0,IF(H$6&gt;$G553,1,(H$6-$F553+1)/($G553-$F553+1))))</f>
        <v>0</v>
      </c>
      <c r="I553" s="52">
        <f t="shared" si="260"/>
        <v>0</v>
      </c>
      <c r="J553" s="52">
        <f t="shared" si="260"/>
        <v>0</v>
      </c>
      <c r="K553" s="52">
        <f t="shared" si="260"/>
        <v>0</v>
      </c>
      <c r="L553" s="52">
        <f t="shared" si="260"/>
        <v>0</v>
      </c>
      <c r="M553" s="52">
        <f t="shared" si="260"/>
        <v>0</v>
      </c>
      <c r="N553" s="52">
        <f t="shared" si="260"/>
        <v>0</v>
      </c>
      <c r="O553" s="52">
        <f t="shared" si="260"/>
        <v>0</v>
      </c>
      <c r="P553" s="52">
        <f t="shared" si="260"/>
        <v>0</v>
      </c>
      <c r="Q553" s="52">
        <f t="shared" si="260"/>
        <v>0</v>
      </c>
      <c r="R553" s="52">
        <f t="shared" si="260"/>
        <v>0</v>
      </c>
      <c r="S553" s="52">
        <f t="shared" si="260"/>
        <v>0</v>
      </c>
      <c r="T553" s="52">
        <f t="shared" si="260"/>
        <v>0</v>
      </c>
      <c r="U553" s="52">
        <f t="shared" si="260"/>
        <v>0</v>
      </c>
      <c r="V553" s="52">
        <f t="shared" si="260"/>
        <v>0</v>
      </c>
      <c r="W553" s="52">
        <f t="shared" si="260"/>
        <v>0</v>
      </c>
      <c r="X553" s="52">
        <f t="shared" si="260"/>
        <v>0</v>
      </c>
      <c r="Y553" s="52">
        <f t="shared" si="260"/>
        <v>0</v>
      </c>
      <c r="Z553" s="52">
        <f t="shared" si="260"/>
        <v>0</v>
      </c>
      <c r="AA553" s="52">
        <f t="shared" si="260"/>
        <v>0</v>
      </c>
      <c r="AB553" s="52">
        <f t="shared" si="260"/>
        <v>0</v>
      </c>
      <c r="AC553" s="52">
        <f t="shared" si="260"/>
        <v>0</v>
      </c>
      <c r="AD553" s="52">
        <f t="shared" si="260"/>
        <v>0</v>
      </c>
      <c r="AE553" s="52">
        <f t="shared" si="260"/>
        <v>0</v>
      </c>
      <c r="AF553" s="52">
        <f t="shared" si="260"/>
        <v>0</v>
      </c>
      <c r="AG553" s="52">
        <f t="shared" si="260"/>
        <v>0</v>
      </c>
      <c r="AH553" s="52">
        <f t="shared" si="260"/>
        <v>0</v>
      </c>
      <c r="AI553" s="52">
        <f t="shared" si="260"/>
        <v>0</v>
      </c>
      <c r="AJ553" s="52">
        <f t="shared" si="260"/>
        <v>0</v>
      </c>
      <c r="AK553" s="52">
        <f t="shared" si="260"/>
        <v>0</v>
      </c>
      <c r="AL553" s="52">
        <f t="shared" si="260"/>
        <v>0</v>
      </c>
      <c r="AM553" s="52">
        <f t="shared" si="260"/>
        <v>0</v>
      </c>
      <c r="AN553" s="52">
        <f t="shared" si="260"/>
        <v>0</v>
      </c>
      <c r="AO553" s="52">
        <f t="shared" si="260"/>
        <v>0</v>
      </c>
      <c r="AP553" s="52">
        <f t="shared" si="260"/>
        <v>0</v>
      </c>
      <c r="AQ553" s="52">
        <f t="shared" si="260"/>
        <v>0</v>
      </c>
      <c r="AR553" s="52">
        <f t="shared" si="260"/>
        <v>8.3333333333333329E-2</v>
      </c>
      <c r="AS553" s="52">
        <f t="shared" si="260"/>
        <v>0.66666666666666663</v>
      </c>
      <c r="AT553" s="52">
        <f t="shared" si="260"/>
        <v>1</v>
      </c>
      <c r="AU553" s="52">
        <f t="shared" si="260"/>
        <v>1</v>
      </c>
      <c r="AV553" s="52">
        <f t="shared" si="260"/>
        <v>1</v>
      </c>
      <c r="AW553" s="52">
        <f t="shared" si="260"/>
        <v>1</v>
      </c>
      <c r="AX553" s="52">
        <f t="shared" si="260"/>
        <v>1</v>
      </c>
      <c r="AY553" s="52">
        <f t="shared" si="260"/>
        <v>1</v>
      </c>
      <c r="AZ553" s="52">
        <f t="shared" si="260"/>
        <v>1</v>
      </c>
      <c r="BA553" s="52">
        <f t="shared" si="260"/>
        <v>1</v>
      </c>
      <c r="BB553" s="52">
        <f t="shared" si="260"/>
        <v>1</v>
      </c>
      <c r="BC553" s="52">
        <f t="shared" si="260"/>
        <v>1</v>
      </c>
      <c r="BD553" s="52">
        <f t="shared" si="260"/>
        <v>1</v>
      </c>
      <c r="BE553" s="52">
        <f t="shared" si="260"/>
        <v>1</v>
      </c>
      <c r="BF553" s="52">
        <f t="shared" si="260"/>
        <v>1</v>
      </c>
      <c r="BG553" s="52">
        <f t="shared" si="260"/>
        <v>1</v>
      </c>
      <c r="BH553" s="52">
        <f t="shared" si="260"/>
        <v>1</v>
      </c>
      <c r="BI553" s="52">
        <f t="shared" si="260"/>
        <v>1</v>
      </c>
      <c r="BJ553" s="52">
        <f t="shared" si="260"/>
        <v>1</v>
      </c>
      <c r="BK553" s="52">
        <f t="shared" si="260"/>
        <v>1</v>
      </c>
      <c r="BL553" s="52">
        <f t="shared" si="260"/>
        <v>1</v>
      </c>
      <c r="BM553" s="52">
        <f t="shared" si="260"/>
        <v>1</v>
      </c>
      <c r="BN553" s="52">
        <f t="shared" si="260"/>
        <v>1</v>
      </c>
      <c r="BO553" s="32">
        <f t="shared" si="246"/>
        <v>0.36864406779661019</v>
      </c>
    </row>
    <row r="554" spans="1:67" x14ac:dyDescent="0.2">
      <c r="A554" s="50" t="s">
        <v>1116</v>
      </c>
      <c r="B554" s="50" t="s">
        <v>1117</v>
      </c>
      <c r="C554" s="50" t="s">
        <v>61</v>
      </c>
      <c r="D554" s="51">
        <f>VLOOKUP(A554,'[1]Cuadro Control'!C597:J2484,8,FALSE)</f>
        <v>312374505.66882348</v>
      </c>
      <c r="E554" s="52">
        <f t="shared" si="259"/>
        <v>5.8840081771548515E-2</v>
      </c>
      <c r="F554" s="53">
        <v>46477</v>
      </c>
      <c r="G554" s="53">
        <v>46484</v>
      </c>
      <c r="H554" s="52">
        <f t="shared" si="260"/>
        <v>0</v>
      </c>
      <c r="I554" s="52">
        <f t="shared" si="260"/>
        <v>0</v>
      </c>
      <c r="J554" s="52">
        <f t="shared" si="260"/>
        <v>0</v>
      </c>
      <c r="K554" s="52">
        <f t="shared" si="260"/>
        <v>0</v>
      </c>
      <c r="L554" s="52">
        <f t="shared" si="260"/>
        <v>0</v>
      </c>
      <c r="M554" s="52">
        <f t="shared" si="260"/>
        <v>0</v>
      </c>
      <c r="N554" s="52">
        <f t="shared" si="260"/>
        <v>0</v>
      </c>
      <c r="O554" s="52">
        <f t="shared" si="260"/>
        <v>0</v>
      </c>
      <c r="P554" s="52">
        <f t="shared" si="260"/>
        <v>0</v>
      </c>
      <c r="Q554" s="52">
        <f t="shared" si="260"/>
        <v>0</v>
      </c>
      <c r="R554" s="52">
        <f t="shared" si="260"/>
        <v>0</v>
      </c>
      <c r="S554" s="52">
        <f t="shared" si="260"/>
        <v>0</v>
      </c>
      <c r="T554" s="52">
        <f t="shared" si="260"/>
        <v>0</v>
      </c>
      <c r="U554" s="52">
        <f t="shared" si="260"/>
        <v>0</v>
      </c>
      <c r="V554" s="52">
        <f t="shared" si="260"/>
        <v>0</v>
      </c>
      <c r="W554" s="52">
        <f t="shared" si="260"/>
        <v>0</v>
      </c>
      <c r="X554" s="52">
        <f t="shared" si="260"/>
        <v>0</v>
      </c>
      <c r="Y554" s="52">
        <f t="shared" si="260"/>
        <v>0</v>
      </c>
      <c r="Z554" s="52">
        <f t="shared" si="260"/>
        <v>0</v>
      </c>
      <c r="AA554" s="52">
        <f t="shared" si="260"/>
        <v>0</v>
      </c>
      <c r="AB554" s="52">
        <f t="shared" si="260"/>
        <v>0</v>
      </c>
      <c r="AC554" s="52">
        <f t="shared" si="260"/>
        <v>0</v>
      </c>
      <c r="AD554" s="52">
        <f t="shared" si="260"/>
        <v>0</v>
      </c>
      <c r="AE554" s="52">
        <f t="shared" si="260"/>
        <v>0</v>
      </c>
      <c r="AF554" s="52">
        <f t="shared" si="260"/>
        <v>0</v>
      </c>
      <c r="AG554" s="52">
        <f t="shared" si="260"/>
        <v>0</v>
      </c>
      <c r="AH554" s="52">
        <f t="shared" si="260"/>
        <v>0</v>
      </c>
      <c r="AI554" s="52">
        <f t="shared" si="260"/>
        <v>0</v>
      </c>
      <c r="AJ554" s="52">
        <f t="shared" si="260"/>
        <v>0</v>
      </c>
      <c r="AK554" s="52">
        <f t="shared" si="260"/>
        <v>0</v>
      </c>
      <c r="AL554" s="52">
        <f t="shared" si="260"/>
        <v>0</v>
      </c>
      <c r="AM554" s="52">
        <f t="shared" si="260"/>
        <v>0</v>
      </c>
      <c r="AN554" s="52">
        <f t="shared" si="260"/>
        <v>0</v>
      </c>
      <c r="AO554" s="52">
        <f t="shared" si="260"/>
        <v>0</v>
      </c>
      <c r="AP554" s="52">
        <f t="shared" si="260"/>
        <v>0</v>
      </c>
      <c r="AQ554" s="52">
        <f t="shared" si="260"/>
        <v>0</v>
      </c>
      <c r="AR554" s="52">
        <f t="shared" si="260"/>
        <v>0</v>
      </c>
      <c r="AS554" s="52">
        <f t="shared" si="260"/>
        <v>0</v>
      </c>
      <c r="AT554" s="52">
        <f t="shared" si="260"/>
        <v>0.375</v>
      </c>
      <c r="AU554" s="52">
        <f t="shared" si="260"/>
        <v>1</v>
      </c>
      <c r="AV554" s="52">
        <f t="shared" si="260"/>
        <v>1</v>
      </c>
      <c r="AW554" s="52">
        <f t="shared" si="260"/>
        <v>1</v>
      </c>
      <c r="AX554" s="52">
        <f t="shared" si="260"/>
        <v>1</v>
      </c>
      <c r="AY554" s="52">
        <f t="shared" si="260"/>
        <v>1</v>
      </c>
      <c r="AZ554" s="52">
        <f t="shared" si="260"/>
        <v>1</v>
      </c>
      <c r="BA554" s="52">
        <f t="shared" si="260"/>
        <v>1</v>
      </c>
      <c r="BB554" s="52">
        <f t="shared" si="260"/>
        <v>1</v>
      </c>
      <c r="BC554" s="52">
        <f t="shared" si="260"/>
        <v>1</v>
      </c>
      <c r="BD554" s="52">
        <f t="shared" si="260"/>
        <v>1</v>
      </c>
      <c r="BE554" s="52">
        <f t="shared" si="260"/>
        <v>1</v>
      </c>
      <c r="BF554" s="52">
        <f t="shared" si="260"/>
        <v>1</v>
      </c>
      <c r="BG554" s="52">
        <f t="shared" si="260"/>
        <v>1</v>
      </c>
      <c r="BH554" s="52">
        <f t="shared" si="260"/>
        <v>1</v>
      </c>
      <c r="BI554" s="52">
        <f t="shared" si="260"/>
        <v>1</v>
      </c>
      <c r="BJ554" s="52">
        <f t="shared" si="260"/>
        <v>1</v>
      </c>
      <c r="BK554" s="52">
        <f t="shared" si="260"/>
        <v>1</v>
      </c>
      <c r="BL554" s="52">
        <f t="shared" si="260"/>
        <v>1</v>
      </c>
      <c r="BM554" s="52">
        <f t="shared" si="260"/>
        <v>1</v>
      </c>
      <c r="BN554" s="52">
        <f t="shared" si="260"/>
        <v>1</v>
      </c>
      <c r="BO554" s="32">
        <f t="shared" si="246"/>
        <v>0.34533898305084748</v>
      </c>
    </row>
    <row r="555" spans="1:67" ht="15" x14ac:dyDescent="0.2">
      <c r="A555" s="46" t="s">
        <v>1118</v>
      </c>
      <c r="B555" s="46" t="s">
        <v>1119</v>
      </c>
      <c r="C555" s="46" t="s">
        <v>126</v>
      </c>
      <c r="D555" s="47">
        <f>VLOOKUP(A555,'[1]Cuadro Control'!C598:J2485,8,FALSE)</f>
        <v>9527825.6870364472</v>
      </c>
      <c r="E555" s="48">
        <f t="shared" si="259"/>
        <v>1.794698454439963E-3</v>
      </c>
      <c r="F555" s="49">
        <v>46484</v>
      </c>
      <c r="G555" s="49">
        <v>46486</v>
      </c>
      <c r="H555" s="48">
        <f t="shared" si="260"/>
        <v>0</v>
      </c>
      <c r="I555" s="48">
        <f t="shared" si="260"/>
        <v>0</v>
      </c>
      <c r="J555" s="48">
        <f t="shared" si="260"/>
        <v>0</v>
      </c>
      <c r="K555" s="48">
        <f t="shared" si="260"/>
        <v>0</v>
      </c>
      <c r="L555" s="48">
        <f t="shared" si="260"/>
        <v>0</v>
      </c>
      <c r="M555" s="48">
        <f t="shared" si="260"/>
        <v>0</v>
      </c>
      <c r="N555" s="48">
        <f t="shared" si="260"/>
        <v>0</v>
      </c>
      <c r="O555" s="48">
        <f t="shared" si="260"/>
        <v>0</v>
      </c>
      <c r="P555" s="48">
        <f t="shared" si="260"/>
        <v>0</v>
      </c>
      <c r="Q555" s="48">
        <f t="shared" si="260"/>
        <v>0</v>
      </c>
      <c r="R555" s="48">
        <f t="shared" si="260"/>
        <v>0</v>
      </c>
      <c r="S555" s="48">
        <f t="shared" si="260"/>
        <v>0</v>
      </c>
      <c r="T555" s="48">
        <f t="shared" si="260"/>
        <v>0</v>
      </c>
      <c r="U555" s="48">
        <f t="shared" si="260"/>
        <v>0</v>
      </c>
      <c r="V555" s="48">
        <f t="shared" si="260"/>
        <v>0</v>
      </c>
      <c r="W555" s="48">
        <f t="shared" si="260"/>
        <v>0</v>
      </c>
      <c r="X555" s="48">
        <f t="shared" si="260"/>
        <v>0</v>
      </c>
      <c r="Y555" s="48">
        <f t="shared" si="260"/>
        <v>0</v>
      </c>
      <c r="Z555" s="48">
        <f t="shared" si="260"/>
        <v>0</v>
      </c>
      <c r="AA555" s="48">
        <f t="shared" si="260"/>
        <v>0</v>
      </c>
      <c r="AB555" s="48">
        <f t="shared" si="260"/>
        <v>0</v>
      </c>
      <c r="AC555" s="48">
        <f t="shared" si="260"/>
        <v>0</v>
      </c>
      <c r="AD555" s="48">
        <f t="shared" si="260"/>
        <v>0</v>
      </c>
      <c r="AE555" s="48">
        <f t="shared" si="260"/>
        <v>0</v>
      </c>
      <c r="AF555" s="48">
        <f t="shared" si="260"/>
        <v>0</v>
      </c>
      <c r="AG555" s="48">
        <f t="shared" si="260"/>
        <v>0</v>
      </c>
      <c r="AH555" s="48">
        <f t="shared" si="260"/>
        <v>0</v>
      </c>
      <c r="AI555" s="48">
        <f t="shared" si="260"/>
        <v>0</v>
      </c>
      <c r="AJ555" s="48">
        <f t="shared" si="260"/>
        <v>0</v>
      </c>
      <c r="AK555" s="48">
        <f t="shared" si="260"/>
        <v>0</v>
      </c>
      <c r="AL555" s="48">
        <f t="shared" si="260"/>
        <v>0</v>
      </c>
      <c r="AM555" s="48">
        <f t="shared" si="260"/>
        <v>0</v>
      </c>
      <c r="AN555" s="48">
        <f t="shared" si="260"/>
        <v>0</v>
      </c>
      <c r="AO555" s="48">
        <f t="shared" si="260"/>
        <v>0</v>
      </c>
      <c r="AP555" s="48">
        <f t="shared" si="260"/>
        <v>0</v>
      </c>
      <c r="AQ555" s="48">
        <f t="shared" si="260"/>
        <v>0</v>
      </c>
      <c r="AR555" s="48">
        <f t="shared" si="260"/>
        <v>0</v>
      </c>
      <c r="AS555" s="48">
        <f t="shared" si="260"/>
        <v>0</v>
      </c>
      <c r="AT555" s="48">
        <f t="shared" si="260"/>
        <v>0</v>
      </c>
      <c r="AU555" s="48">
        <f t="shared" si="260"/>
        <v>1</v>
      </c>
      <c r="AV555" s="48">
        <f t="shared" si="260"/>
        <v>1</v>
      </c>
      <c r="AW555" s="48">
        <f t="shared" si="260"/>
        <v>1</v>
      </c>
      <c r="AX555" s="48">
        <f t="shared" si="260"/>
        <v>1</v>
      </c>
      <c r="AY555" s="48">
        <f t="shared" si="260"/>
        <v>1</v>
      </c>
      <c r="AZ555" s="48">
        <f t="shared" si="260"/>
        <v>1</v>
      </c>
      <c r="BA555" s="48">
        <f t="shared" si="260"/>
        <v>1</v>
      </c>
      <c r="BB555" s="48">
        <f t="shared" si="260"/>
        <v>1</v>
      </c>
      <c r="BC555" s="48">
        <f t="shared" si="260"/>
        <v>1</v>
      </c>
      <c r="BD555" s="48">
        <f t="shared" si="260"/>
        <v>1</v>
      </c>
      <c r="BE555" s="48">
        <f t="shared" si="260"/>
        <v>1</v>
      </c>
      <c r="BF555" s="48">
        <f t="shared" si="260"/>
        <v>1</v>
      </c>
      <c r="BG555" s="48">
        <f t="shared" si="260"/>
        <v>1</v>
      </c>
      <c r="BH555" s="48">
        <f t="shared" si="260"/>
        <v>1</v>
      </c>
      <c r="BI555" s="48">
        <f t="shared" si="260"/>
        <v>1</v>
      </c>
      <c r="BJ555" s="48">
        <f t="shared" si="260"/>
        <v>1</v>
      </c>
      <c r="BK555" s="48">
        <f t="shared" si="260"/>
        <v>1</v>
      </c>
      <c r="BL555" s="48">
        <f t="shared" si="260"/>
        <v>1</v>
      </c>
      <c r="BM555" s="48">
        <f t="shared" si="260"/>
        <v>1</v>
      </c>
      <c r="BN555" s="48">
        <f t="shared" si="260"/>
        <v>1</v>
      </c>
      <c r="BO555" s="32">
        <f t="shared" si="246"/>
        <v>0.33898305084745761</v>
      </c>
    </row>
    <row r="556" spans="1:67" x14ac:dyDescent="0.2">
      <c r="A556" s="50" t="s">
        <v>1120</v>
      </c>
      <c r="B556" s="50" t="s">
        <v>1121</v>
      </c>
      <c r="C556" s="50" t="s">
        <v>117</v>
      </c>
      <c r="D556" s="51">
        <f>VLOOKUP(A556,'[1]Cuadro Control'!C599:J2486,8,FALSE)</f>
        <v>320494616.71764702</v>
      </c>
      <c r="E556" s="52">
        <f t="shared" si="259"/>
        <v>6.0369617599332674E-2</v>
      </c>
      <c r="F556" s="53">
        <v>46487</v>
      </c>
      <c r="G556" s="53">
        <v>46491</v>
      </c>
      <c r="H556" s="52">
        <f t="shared" si="260"/>
        <v>0</v>
      </c>
      <c r="I556" s="52">
        <f t="shared" si="260"/>
        <v>0</v>
      </c>
      <c r="J556" s="52">
        <f t="shared" si="260"/>
        <v>0</v>
      </c>
      <c r="K556" s="52">
        <f t="shared" si="260"/>
        <v>0</v>
      </c>
      <c r="L556" s="52">
        <f t="shared" si="260"/>
        <v>0</v>
      </c>
      <c r="M556" s="52">
        <f t="shared" si="260"/>
        <v>0</v>
      </c>
      <c r="N556" s="52">
        <f t="shared" si="260"/>
        <v>0</v>
      </c>
      <c r="O556" s="52">
        <f t="shared" si="260"/>
        <v>0</v>
      </c>
      <c r="P556" s="52">
        <f t="shared" si="260"/>
        <v>0</v>
      </c>
      <c r="Q556" s="52">
        <f t="shared" si="260"/>
        <v>0</v>
      </c>
      <c r="R556" s="52">
        <f t="shared" si="260"/>
        <v>0</v>
      </c>
      <c r="S556" s="52">
        <f t="shared" si="260"/>
        <v>0</v>
      </c>
      <c r="T556" s="52">
        <f t="shared" si="260"/>
        <v>0</v>
      </c>
      <c r="U556" s="52">
        <f t="shared" si="260"/>
        <v>0</v>
      </c>
      <c r="V556" s="52">
        <f t="shared" si="260"/>
        <v>0</v>
      </c>
      <c r="W556" s="52">
        <f t="shared" si="260"/>
        <v>0</v>
      </c>
      <c r="X556" s="52">
        <f t="shared" si="260"/>
        <v>0</v>
      </c>
      <c r="Y556" s="52">
        <f t="shared" si="260"/>
        <v>0</v>
      </c>
      <c r="Z556" s="52">
        <f t="shared" si="260"/>
        <v>0</v>
      </c>
      <c r="AA556" s="52">
        <f t="shared" si="260"/>
        <v>0</v>
      </c>
      <c r="AB556" s="52">
        <f t="shared" si="260"/>
        <v>0</v>
      </c>
      <c r="AC556" s="52">
        <f t="shared" si="260"/>
        <v>0</v>
      </c>
      <c r="AD556" s="52">
        <f t="shared" si="260"/>
        <v>0</v>
      </c>
      <c r="AE556" s="52">
        <f t="shared" si="260"/>
        <v>0</v>
      </c>
      <c r="AF556" s="52">
        <f t="shared" si="260"/>
        <v>0</v>
      </c>
      <c r="AG556" s="52">
        <f t="shared" si="260"/>
        <v>0</v>
      </c>
      <c r="AH556" s="52">
        <f t="shared" si="260"/>
        <v>0</v>
      </c>
      <c r="AI556" s="52">
        <f t="shared" si="260"/>
        <v>0</v>
      </c>
      <c r="AJ556" s="52">
        <f t="shared" si="260"/>
        <v>0</v>
      </c>
      <c r="AK556" s="52">
        <f t="shared" si="260"/>
        <v>0</v>
      </c>
      <c r="AL556" s="52">
        <f t="shared" si="260"/>
        <v>0</v>
      </c>
      <c r="AM556" s="52">
        <f t="shared" si="260"/>
        <v>0</v>
      </c>
      <c r="AN556" s="52">
        <f t="shared" si="260"/>
        <v>0</v>
      </c>
      <c r="AO556" s="52">
        <f t="shared" si="260"/>
        <v>0</v>
      </c>
      <c r="AP556" s="52">
        <f t="shared" si="260"/>
        <v>0</v>
      </c>
      <c r="AQ556" s="52">
        <f t="shared" si="260"/>
        <v>0</v>
      </c>
      <c r="AR556" s="52">
        <f t="shared" si="260"/>
        <v>0</v>
      </c>
      <c r="AS556" s="52">
        <f t="shared" si="260"/>
        <v>0</v>
      </c>
      <c r="AT556" s="52">
        <f t="shared" si="260"/>
        <v>0</v>
      </c>
      <c r="AU556" s="52">
        <f t="shared" si="260"/>
        <v>0</v>
      </c>
      <c r="AV556" s="52">
        <f t="shared" si="260"/>
        <v>1</v>
      </c>
      <c r="AW556" s="52">
        <f t="shared" si="260"/>
        <v>1</v>
      </c>
      <c r="AX556" s="52">
        <f t="shared" si="260"/>
        <v>1</v>
      </c>
      <c r="AY556" s="52">
        <f t="shared" si="260"/>
        <v>1</v>
      </c>
      <c r="AZ556" s="52">
        <f t="shared" si="260"/>
        <v>1</v>
      </c>
      <c r="BA556" s="52">
        <f t="shared" si="260"/>
        <v>1</v>
      </c>
      <c r="BB556" s="52">
        <f t="shared" si="260"/>
        <v>1</v>
      </c>
      <c r="BC556" s="52">
        <f t="shared" si="260"/>
        <v>1</v>
      </c>
      <c r="BD556" s="52">
        <f t="shared" si="260"/>
        <v>1</v>
      </c>
      <c r="BE556" s="52">
        <f t="shared" si="260"/>
        <v>1</v>
      </c>
      <c r="BF556" s="52">
        <f t="shared" si="260"/>
        <v>1</v>
      </c>
      <c r="BG556" s="52">
        <f t="shared" si="260"/>
        <v>1</v>
      </c>
      <c r="BH556" s="52">
        <f t="shared" si="260"/>
        <v>1</v>
      </c>
      <c r="BI556" s="52">
        <f t="shared" si="260"/>
        <v>1</v>
      </c>
      <c r="BJ556" s="52">
        <f t="shared" si="260"/>
        <v>1</v>
      </c>
      <c r="BK556" s="52">
        <f t="shared" si="260"/>
        <v>1</v>
      </c>
      <c r="BL556" s="52">
        <f t="shared" si="260"/>
        <v>1</v>
      </c>
      <c r="BM556" s="52">
        <f t="shared" si="260"/>
        <v>1</v>
      </c>
      <c r="BN556" s="52">
        <f t="shared" si="260"/>
        <v>1</v>
      </c>
      <c r="BO556" s="32">
        <f t="shared" si="246"/>
        <v>0.32203389830508472</v>
      </c>
    </row>
    <row r="557" spans="1:67" x14ac:dyDescent="0.2">
      <c r="A557" s="50" t="s">
        <v>1122</v>
      </c>
      <c r="B557" s="50" t="s">
        <v>1123</v>
      </c>
      <c r="C557" s="50" t="s">
        <v>111</v>
      </c>
      <c r="D557" s="51">
        <f>VLOOKUP(A557,'[1]Cuadro Control'!C600:J2487,8,FALSE)</f>
        <v>94303618.549411759</v>
      </c>
      <c r="E557" s="52">
        <f t="shared" si="259"/>
        <v>1.7763397864110998E-2</v>
      </c>
      <c r="F557" s="53">
        <v>46491</v>
      </c>
      <c r="G557" s="53">
        <v>46493</v>
      </c>
      <c r="H557" s="52">
        <f t="shared" si="260"/>
        <v>0</v>
      </c>
      <c r="I557" s="52">
        <f t="shared" si="260"/>
        <v>0</v>
      </c>
      <c r="J557" s="52">
        <f t="shared" si="260"/>
        <v>0</v>
      </c>
      <c r="K557" s="52">
        <f t="shared" si="260"/>
        <v>0</v>
      </c>
      <c r="L557" s="52">
        <f t="shared" si="260"/>
        <v>0</v>
      </c>
      <c r="M557" s="52">
        <f t="shared" si="260"/>
        <v>0</v>
      </c>
      <c r="N557" s="52">
        <f t="shared" si="260"/>
        <v>0</v>
      </c>
      <c r="O557" s="52">
        <f t="shared" si="260"/>
        <v>0</v>
      </c>
      <c r="P557" s="52">
        <f t="shared" si="260"/>
        <v>0</v>
      </c>
      <c r="Q557" s="52">
        <f t="shared" si="260"/>
        <v>0</v>
      </c>
      <c r="R557" s="52">
        <f t="shared" si="260"/>
        <v>0</v>
      </c>
      <c r="S557" s="52">
        <f t="shared" si="260"/>
        <v>0</v>
      </c>
      <c r="T557" s="52">
        <f t="shared" si="260"/>
        <v>0</v>
      </c>
      <c r="U557" s="52">
        <f t="shared" si="260"/>
        <v>0</v>
      </c>
      <c r="V557" s="52">
        <f t="shared" si="260"/>
        <v>0</v>
      </c>
      <c r="W557" s="52">
        <f t="shared" si="260"/>
        <v>0</v>
      </c>
      <c r="X557" s="52">
        <f t="shared" si="260"/>
        <v>0</v>
      </c>
      <c r="Y557" s="52">
        <f t="shared" si="260"/>
        <v>0</v>
      </c>
      <c r="Z557" s="52">
        <f t="shared" si="260"/>
        <v>0</v>
      </c>
      <c r="AA557" s="52">
        <f t="shared" ref="AA557:BF568" si="261">IF($F557=0,0,IF(AA$6&lt;$F557,0,IF(AA$6&gt;$G557,1,(AA$6-$F557+1)/($G557-$F557+1))))</f>
        <v>0</v>
      </c>
      <c r="AB557" s="52">
        <f t="shared" si="261"/>
        <v>0</v>
      </c>
      <c r="AC557" s="52">
        <f t="shared" si="261"/>
        <v>0</v>
      </c>
      <c r="AD557" s="52">
        <f t="shared" si="261"/>
        <v>0</v>
      </c>
      <c r="AE557" s="52">
        <f t="shared" si="261"/>
        <v>0</v>
      </c>
      <c r="AF557" s="52">
        <f t="shared" si="261"/>
        <v>0</v>
      </c>
      <c r="AG557" s="52">
        <f t="shared" si="261"/>
        <v>0</v>
      </c>
      <c r="AH557" s="52">
        <f t="shared" si="261"/>
        <v>0</v>
      </c>
      <c r="AI557" s="52">
        <f t="shared" si="261"/>
        <v>0</v>
      </c>
      <c r="AJ557" s="52">
        <f t="shared" si="261"/>
        <v>0</v>
      </c>
      <c r="AK557" s="52">
        <f t="shared" si="261"/>
        <v>0</v>
      </c>
      <c r="AL557" s="52">
        <f t="shared" si="261"/>
        <v>0</v>
      </c>
      <c r="AM557" s="52">
        <f t="shared" si="261"/>
        <v>0</v>
      </c>
      <c r="AN557" s="52">
        <f t="shared" si="261"/>
        <v>0</v>
      </c>
      <c r="AO557" s="52">
        <f t="shared" si="261"/>
        <v>0</v>
      </c>
      <c r="AP557" s="52">
        <f t="shared" si="261"/>
        <v>0</v>
      </c>
      <c r="AQ557" s="52">
        <f t="shared" si="261"/>
        <v>0</v>
      </c>
      <c r="AR557" s="52">
        <f t="shared" si="261"/>
        <v>0</v>
      </c>
      <c r="AS557" s="52">
        <f t="shared" si="261"/>
        <v>0</v>
      </c>
      <c r="AT557" s="52">
        <f t="shared" si="261"/>
        <v>0</v>
      </c>
      <c r="AU557" s="52">
        <f t="shared" si="261"/>
        <v>0</v>
      </c>
      <c r="AV557" s="52">
        <f t="shared" si="261"/>
        <v>1</v>
      </c>
      <c r="AW557" s="52">
        <f t="shared" si="261"/>
        <v>1</v>
      </c>
      <c r="AX557" s="52">
        <f t="shared" si="261"/>
        <v>1</v>
      </c>
      <c r="AY557" s="52">
        <f t="shared" si="261"/>
        <v>1</v>
      </c>
      <c r="AZ557" s="52">
        <f t="shared" si="261"/>
        <v>1</v>
      </c>
      <c r="BA557" s="52">
        <f t="shared" si="261"/>
        <v>1</v>
      </c>
      <c r="BB557" s="52">
        <f t="shared" si="261"/>
        <v>1</v>
      </c>
      <c r="BC557" s="52">
        <f t="shared" si="261"/>
        <v>1</v>
      </c>
      <c r="BD557" s="52">
        <f t="shared" si="261"/>
        <v>1</v>
      </c>
      <c r="BE557" s="52">
        <f t="shared" si="261"/>
        <v>1</v>
      </c>
      <c r="BF557" s="52">
        <f t="shared" si="261"/>
        <v>1</v>
      </c>
      <c r="BG557" s="52">
        <f t="shared" ref="BG557:BN568" si="262">IF($F557=0,0,IF(BG$6&lt;$F557,0,IF(BG$6&gt;$G557,1,(BG$6-$F557+1)/($G557-$F557+1))))</f>
        <v>1</v>
      </c>
      <c r="BH557" s="52">
        <f t="shared" si="262"/>
        <v>1</v>
      </c>
      <c r="BI557" s="52">
        <f t="shared" si="262"/>
        <v>1</v>
      </c>
      <c r="BJ557" s="52">
        <f t="shared" si="262"/>
        <v>1</v>
      </c>
      <c r="BK557" s="52">
        <f t="shared" si="262"/>
        <v>1</v>
      </c>
      <c r="BL557" s="52">
        <f t="shared" si="262"/>
        <v>1</v>
      </c>
      <c r="BM557" s="52">
        <f t="shared" si="262"/>
        <v>1</v>
      </c>
      <c r="BN557" s="52">
        <f t="shared" si="262"/>
        <v>1</v>
      </c>
      <c r="BO557" s="32">
        <f t="shared" si="246"/>
        <v>0.32203389830508472</v>
      </c>
    </row>
    <row r="558" spans="1:67" x14ac:dyDescent="0.2">
      <c r="A558" s="50" t="s">
        <v>1124</v>
      </c>
      <c r="B558" s="50" t="s">
        <v>1125</v>
      </c>
      <c r="C558" s="50" t="s">
        <v>238</v>
      </c>
      <c r="D558" s="51">
        <f>VLOOKUP(A558,'[1]Cuadro Control'!C601:J2488,8,FALSE)</f>
        <v>179436034.15411764</v>
      </c>
      <c r="E558" s="52">
        <f t="shared" si="259"/>
        <v>3.3799272126209236E-2</v>
      </c>
      <c r="F558" s="53">
        <v>46493</v>
      </c>
      <c r="G558" s="53">
        <v>46498</v>
      </c>
      <c r="H558" s="52">
        <f t="shared" ref="H558:W568" si="263">IF($F558=0,0,IF(H$6&lt;$F558,0,IF(H$6&gt;$G558,1,(H$6-$F558+1)/($G558-$F558+1))))</f>
        <v>0</v>
      </c>
      <c r="I558" s="52">
        <f t="shared" si="263"/>
        <v>0</v>
      </c>
      <c r="J558" s="52">
        <f t="shared" si="263"/>
        <v>0</v>
      </c>
      <c r="K558" s="52">
        <f t="shared" si="263"/>
        <v>0</v>
      </c>
      <c r="L558" s="52">
        <f t="shared" si="263"/>
        <v>0</v>
      </c>
      <c r="M558" s="52">
        <f t="shared" si="263"/>
        <v>0</v>
      </c>
      <c r="N558" s="52">
        <f t="shared" si="263"/>
        <v>0</v>
      </c>
      <c r="O558" s="52">
        <f t="shared" si="263"/>
        <v>0</v>
      </c>
      <c r="P558" s="52">
        <f t="shared" si="263"/>
        <v>0</v>
      </c>
      <c r="Q558" s="52">
        <f t="shared" si="263"/>
        <v>0</v>
      </c>
      <c r="R558" s="52">
        <f t="shared" si="263"/>
        <v>0</v>
      </c>
      <c r="S558" s="52">
        <f t="shared" si="263"/>
        <v>0</v>
      </c>
      <c r="T558" s="52">
        <f t="shared" si="263"/>
        <v>0</v>
      </c>
      <c r="U558" s="52">
        <f t="shared" si="263"/>
        <v>0</v>
      </c>
      <c r="V558" s="52">
        <f t="shared" si="263"/>
        <v>0</v>
      </c>
      <c r="W558" s="52">
        <f t="shared" si="263"/>
        <v>0</v>
      </c>
      <c r="X558" s="52">
        <f t="shared" ref="X558:BC568" si="264">IF($F558=0,0,IF(X$6&lt;$F558,0,IF(X$6&gt;$G558,1,(X$6-$F558+1)/($G558-$F558+1))))</f>
        <v>0</v>
      </c>
      <c r="Y558" s="52">
        <f t="shared" si="264"/>
        <v>0</v>
      </c>
      <c r="Z558" s="52">
        <f t="shared" si="264"/>
        <v>0</v>
      </c>
      <c r="AA558" s="52">
        <f t="shared" si="264"/>
        <v>0</v>
      </c>
      <c r="AB558" s="52">
        <f t="shared" si="264"/>
        <v>0</v>
      </c>
      <c r="AC558" s="52">
        <f t="shared" si="264"/>
        <v>0</v>
      </c>
      <c r="AD558" s="52">
        <f t="shared" si="264"/>
        <v>0</v>
      </c>
      <c r="AE558" s="52">
        <f t="shared" si="264"/>
        <v>0</v>
      </c>
      <c r="AF558" s="52">
        <f t="shared" si="264"/>
        <v>0</v>
      </c>
      <c r="AG558" s="52">
        <f t="shared" si="264"/>
        <v>0</v>
      </c>
      <c r="AH558" s="52">
        <f t="shared" si="264"/>
        <v>0</v>
      </c>
      <c r="AI558" s="52">
        <f t="shared" si="264"/>
        <v>0</v>
      </c>
      <c r="AJ558" s="52">
        <f t="shared" si="264"/>
        <v>0</v>
      </c>
      <c r="AK558" s="52">
        <f t="shared" si="264"/>
        <v>0</v>
      </c>
      <c r="AL558" s="52">
        <f t="shared" si="264"/>
        <v>0</v>
      </c>
      <c r="AM558" s="52">
        <f t="shared" si="264"/>
        <v>0</v>
      </c>
      <c r="AN558" s="52">
        <f t="shared" si="264"/>
        <v>0</v>
      </c>
      <c r="AO558" s="52">
        <f t="shared" si="261"/>
        <v>0</v>
      </c>
      <c r="AP558" s="52">
        <f t="shared" si="261"/>
        <v>0</v>
      </c>
      <c r="AQ558" s="52">
        <f t="shared" si="261"/>
        <v>0</v>
      </c>
      <c r="AR558" s="52">
        <f t="shared" si="261"/>
        <v>0</v>
      </c>
      <c r="AS558" s="52">
        <f t="shared" si="261"/>
        <v>0</v>
      </c>
      <c r="AT558" s="52">
        <f t="shared" si="261"/>
        <v>0</v>
      </c>
      <c r="AU558" s="52">
        <f t="shared" si="261"/>
        <v>0</v>
      </c>
      <c r="AV558" s="52">
        <f t="shared" si="261"/>
        <v>0.16666666666666666</v>
      </c>
      <c r="AW558" s="52">
        <f t="shared" si="261"/>
        <v>1</v>
      </c>
      <c r="AX558" s="52">
        <f t="shared" si="261"/>
        <v>1</v>
      </c>
      <c r="AY558" s="52">
        <f t="shared" si="261"/>
        <v>1</v>
      </c>
      <c r="AZ558" s="52">
        <f t="shared" si="261"/>
        <v>1</v>
      </c>
      <c r="BA558" s="52">
        <f t="shared" si="261"/>
        <v>1</v>
      </c>
      <c r="BB558" s="52">
        <f t="shared" si="261"/>
        <v>1</v>
      </c>
      <c r="BC558" s="52">
        <f t="shared" si="261"/>
        <v>1</v>
      </c>
      <c r="BD558" s="52">
        <f t="shared" si="261"/>
        <v>1</v>
      </c>
      <c r="BE558" s="52">
        <f t="shared" si="261"/>
        <v>1</v>
      </c>
      <c r="BF558" s="52">
        <f t="shared" si="261"/>
        <v>1</v>
      </c>
      <c r="BG558" s="52">
        <f t="shared" si="262"/>
        <v>1</v>
      </c>
      <c r="BH558" s="52">
        <f t="shared" si="262"/>
        <v>1</v>
      </c>
      <c r="BI558" s="52">
        <f t="shared" si="262"/>
        <v>1</v>
      </c>
      <c r="BJ558" s="52">
        <f t="shared" si="262"/>
        <v>1</v>
      </c>
      <c r="BK558" s="52">
        <f t="shared" si="262"/>
        <v>1</v>
      </c>
      <c r="BL558" s="52">
        <f t="shared" si="262"/>
        <v>1</v>
      </c>
      <c r="BM558" s="52">
        <f t="shared" si="262"/>
        <v>1</v>
      </c>
      <c r="BN558" s="52">
        <f t="shared" si="262"/>
        <v>1</v>
      </c>
      <c r="BO558" s="32">
        <f t="shared" si="246"/>
        <v>0.30790960451977401</v>
      </c>
    </row>
    <row r="559" spans="1:67" x14ac:dyDescent="0.2">
      <c r="A559" s="50" t="s">
        <v>1126</v>
      </c>
      <c r="B559" s="50" t="s">
        <v>1127</v>
      </c>
      <c r="C559" s="50" t="s">
        <v>58</v>
      </c>
      <c r="D559" s="51">
        <f>VLOOKUP(A559,'[1]Cuadro Control'!C602:J2489,8,FALSE)</f>
        <v>1212623361.2117648</v>
      </c>
      <c r="E559" s="52">
        <f t="shared" si="259"/>
        <v>0.22841447185013161</v>
      </c>
      <c r="F559" s="53">
        <v>46499</v>
      </c>
      <c r="G559" s="53">
        <v>46514</v>
      </c>
      <c r="H559" s="52">
        <f t="shared" si="263"/>
        <v>0</v>
      </c>
      <c r="I559" s="52">
        <f t="shared" si="263"/>
        <v>0</v>
      </c>
      <c r="J559" s="52">
        <f t="shared" si="263"/>
        <v>0</v>
      </c>
      <c r="K559" s="52">
        <f t="shared" si="263"/>
        <v>0</v>
      </c>
      <c r="L559" s="52">
        <f t="shared" si="263"/>
        <v>0</v>
      </c>
      <c r="M559" s="52">
        <f t="shared" si="263"/>
        <v>0</v>
      </c>
      <c r="N559" s="52">
        <f t="shared" si="263"/>
        <v>0</v>
      </c>
      <c r="O559" s="52">
        <f t="shared" si="263"/>
        <v>0</v>
      </c>
      <c r="P559" s="52">
        <f t="shared" si="263"/>
        <v>0</v>
      </c>
      <c r="Q559" s="52">
        <f t="shared" si="263"/>
        <v>0</v>
      </c>
      <c r="R559" s="52">
        <f t="shared" si="263"/>
        <v>0</v>
      </c>
      <c r="S559" s="52">
        <f t="shared" si="263"/>
        <v>0</v>
      </c>
      <c r="T559" s="52">
        <f t="shared" si="263"/>
        <v>0</v>
      </c>
      <c r="U559" s="52">
        <f t="shared" si="263"/>
        <v>0</v>
      </c>
      <c r="V559" s="52">
        <f t="shared" si="263"/>
        <v>0</v>
      </c>
      <c r="W559" s="52">
        <f t="shared" si="263"/>
        <v>0</v>
      </c>
      <c r="X559" s="52">
        <f t="shared" si="264"/>
        <v>0</v>
      </c>
      <c r="Y559" s="52">
        <f t="shared" si="264"/>
        <v>0</v>
      </c>
      <c r="Z559" s="52">
        <f t="shared" si="264"/>
        <v>0</v>
      </c>
      <c r="AA559" s="52">
        <f t="shared" si="264"/>
        <v>0</v>
      </c>
      <c r="AB559" s="52">
        <f t="shared" si="264"/>
        <v>0</v>
      </c>
      <c r="AC559" s="52">
        <f t="shared" si="264"/>
        <v>0</v>
      </c>
      <c r="AD559" s="52">
        <f t="shared" si="264"/>
        <v>0</v>
      </c>
      <c r="AE559" s="52">
        <f t="shared" si="264"/>
        <v>0</v>
      </c>
      <c r="AF559" s="52">
        <f t="shared" si="264"/>
        <v>0</v>
      </c>
      <c r="AG559" s="52">
        <f t="shared" si="264"/>
        <v>0</v>
      </c>
      <c r="AH559" s="52">
        <f t="shared" si="264"/>
        <v>0</v>
      </c>
      <c r="AI559" s="52">
        <f t="shared" si="264"/>
        <v>0</v>
      </c>
      <c r="AJ559" s="52">
        <f t="shared" si="264"/>
        <v>0</v>
      </c>
      <c r="AK559" s="52">
        <f t="shared" si="264"/>
        <v>0</v>
      </c>
      <c r="AL559" s="52">
        <f t="shared" si="264"/>
        <v>0</v>
      </c>
      <c r="AM559" s="52">
        <f t="shared" si="264"/>
        <v>0</v>
      </c>
      <c r="AN559" s="52">
        <f t="shared" si="264"/>
        <v>0</v>
      </c>
      <c r="AO559" s="52">
        <f t="shared" si="261"/>
        <v>0</v>
      </c>
      <c r="AP559" s="52">
        <f t="shared" si="261"/>
        <v>0</v>
      </c>
      <c r="AQ559" s="52">
        <f t="shared" si="261"/>
        <v>0</v>
      </c>
      <c r="AR559" s="52">
        <f t="shared" si="261"/>
        <v>0</v>
      </c>
      <c r="AS559" s="52">
        <f t="shared" si="261"/>
        <v>0</v>
      </c>
      <c r="AT559" s="52">
        <f t="shared" si="261"/>
        <v>0</v>
      </c>
      <c r="AU559" s="52">
        <f t="shared" si="261"/>
        <v>0</v>
      </c>
      <c r="AV559" s="52">
        <f t="shared" si="261"/>
        <v>0</v>
      </c>
      <c r="AW559" s="52">
        <f t="shared" si="261"/>
        <v>0.125</v>
      </c>
      <c r="AX559" s="52">
        <f t="shared" si="261"/>
        <v>0.5625</v>
      </c>
      <c r="AY559" s="52">
        <f t="shared" si="261"/>
        <v>1</v>
      </c>
      <c r="AZ559" s="52">
        <f t="shared" si="261"/>
        <v>1</v>
      </c>
      <c r="BA559" s="52">
        <f t="shared" si="261"/>
        <v>1</v>
      </c>
      <c r="BB559" s="52">
        <f t="shared" si="261"/>
        <v>1</v>
      </c>
      <c r="BC559" s="52">
        <f t="shared" si="261"/>
        <v>1</v>
      </c>
      <c r="BD559" s="52">
        <f t="shared" si="261"/>
        <v>1</v>
      </c>
      <c r="BE559" s="52">
        <f t="shared" si="261"/>
        <v>1</v>
      </c>
      <c r="BF559" s="52">
        <f t="shared" si="261"/>
        <v>1</v>
      </c>
      <c r="BG559" s="52">
        <f t="shared" si="262"/>
        <v>1</v>
      </c>
      <c r="BH559" s="52">
        <f t="shared" si="262"/>
        <v>1</v>
      </c>
      <c r="BI559" s="52">
        <f t="shared" si="262"/>
        <v>1</v>
      </c>
      <c r="BJ559" s="52">
        <f t="shared" si="262"/>
        <v>1</v>
      </c>
      <c r="BK559" s="52">
        <f t="shared" si="262"/>
        <v>1</v>
      </c>
      <c r="BL559" s="52">
        <f t="shared" si="262"/>
        <v>1</v>
      </c>
      <c r="BM559" s="52">
        <f t="shared" si="262"/>
        <v>1</v>
      </c>
      <c r="BN559" s="52">
        <f t="shared" si="262"/>
        <v>1</v>
      </c>
      <c r="BO559" s="32">
        <f t="shared" si="246"/>
        <v>0.28283898305084748</v>
      </c>
    </row>
    <row r="560" spans="1:67" x14ac:dyDescent="0.2">
      <c r="A560" s="50" t="s">
        <v>1128</v>
      </c>
      <c r="B560" s="50" t="s">
        <v>1129</v>
      </c>
      <c r="C560" s="50" t="s">
        <v>126</v>
      </c>
      <c r="D560" s="51">
        <f>VLOOKUP(A560,'[1]Cuadro Control'!C603:J2490,8,FALSE)</f>
        <v>0</v>
      </c>
      <c r="E560" s="52">
        <f t="shared" si="259"/>
        <v>0</v>
      </c>
      <c r="F560" s="53">
        <v>46514</v>
      </c>
      <c r="G560" s="53">
        <v>46519</v>
      </c>
      <c r="H560" s="52">
        <f t="shared" si="263"/>
        <v>0</v>
      </c>
      <c r="I560" s="52">
        <f t="shared" si="263"/>
        <v>0</v>
      </c>
      <c r="J560" s="52">
        <f t="shared" si="263"/>
        <v>0</v>
      </c>
      <c r="K560" s="52">
        <f t="shared" si="263"/>
        <v>0</v>
      </c>
      <c r="L560" s="52">
        <f t="shared" si="263"/>
        <v>0</v>
      </c>
      <c r="M560" s="52">
        <f t="shared" si="263"/>
        <v>0</v>
      </c>
      <c r="N560" s="52">
        <f t="shared" si="263"/>
        <v>0</v>
      </c>
      <c r="O560" s="52">
        <f t="shared" si="263"/>
        <v>0</v>
      </c>
      <c r="P560" s="52">
        <f t="shared" si="263"/>
        <v>0</v>
      </c>
      <c r="Q560" s="52">
        <f t="shared" si="263"/>
        <v>0</v>
      </c>
      <c r="R560" s="52">
        <f t="shared" si="263"/>
        <v>0</v>
      </c>
      <c r="S560" s="52">
        <f t="shared" si="263"/>
        <v>0</v>
      </c>
      <c r="T560" s="52">
        <f t="shared" si="263"/>
        <v>0</v>
      </c>
      <c r="U560" s="52">
        <f t="shared" si="263"/>
        <v>0</v>
      </c>
      <c r="V560" s="52">
        <f t="shared" si="263"/>
        <v>0</v>
      </c>
      <c r="W560" s="52">
        <f t="shared" si="263"/>
        <v>0</v>
      </c>
      <c r="X560" s="52">
        <f t="shared" si="264"/>
        <v>0</v>
      </c>
      <c r="Y560" s="52">
        <f t="shared" si="264"/>
        <v>0</v>
      </c>
      <c r="Z560" s="52">
        <f t="shared" si="264"/>
        <v>0</v>
      </c>
      <c r="AA560" s="52">
        <f t="shared" si="264"/>
        <v>0</v>
      </c>
      <c r="AB560" s="52">
        <f t="shared" si="264"/>
        <v>0</v>
      </c>
      <c r="AC560" s="52">
        <f t="shared" si="264"/>
        <v>0</v>
      </c>
      <c r="AD560" s="52">
        <f t="shared" si="264"/>
        <v>0</v>
      </c>
      <c r="AE560" s="52">
        <f t="shared" si="264"/>
        <v>0</v>
      </c>
      <c r="AF560" s="52">
        <f t="shared" si="264"/>
        <v>0</v>
      </c>
      <c r="AG560" s="52">
        <f t="shared" si="264"/>
        <v>0</v>
      </c>
      <c r="AH560" s="52">
        <f t="shared" si="264"/>
        <v>0</v>
      </c>
      <c r="AI560" s="52">
        <f t="shared" si="264"/>
        <v>0</v>
      </c>
      <c r="AJ560" s="52">
        <f t="shared" si="264"/>
        <v>0</v>
      </c>
      <c r="AK560" s="52">
        <f t="shared" si="264"/>
        <v>0</v>
      </c>
      <c r="AL560" s="52">
        <f t="shared" si="264"/>
        <v>0</v>
      </c>
      <c r="AM560" s="52">
        <f t="shared" si="264"/>
        <v>0</v>
      </c>
      <c r="AN560" s="52">
        <f t="shared" si="264"/>
        <v>0</v>
      </c>
      <c r="AO560" s="52">
        <f t="shared" si="261"/>
        <v>0</v>
      </c>
      <c r="AP560" s="52">
        <f t="shared" si="261"/>
        <v>0</v>
      </c>
      <c r="AQ560" s="52">
        <f t="shared" si="261"/>
        <v>0</v>
      </c>
      <c r="AR560" s="52">
        <f t="shared" si="261"/>
        <v>0</v>
      </c>
      <c r="AS560" s="52">
        <f t="shared" si="261"/>
        <v>0</v>
      </c>
      <c r="AT560" s="52">
        <f t="shared" si="261"/>
        <v>0</v>
      </c>
      <c r="AU560" s="52">
        <f t="shared" si="261"/>
        <v>0</v>
      </c>
      <c r="AV560" s="52">
        <f t="shared" si="261"/>
        <v>0</v>
      </c>
      <c r="AW560" s="52">
        <f t="shared" si="261"/>
        <v>0</v>
      </c>
      <c r="AX560" s="52">
        <f t="shared" si="261"/>
        <v>0</v>
      </c>
      <c r="AY560" s="52">
        <f t="shared" si="261"/>
        <v>0.16666666666666666</v>
      </c>
      <c r="AZ560" s="52">
        <f t="shared" si="261"/>
        <v>1</v>
      </c>
      <c r="BA560" s="52">
        <f t="shared" si="261"/>
        <v>1</v>
      </c>
      <c r="BB560" s="52">
        <f t="shared" si="261"/>
        <v>1</v>
      </c>
      <c r="BC560" s="52">
        <f t="shared" si="261"/>
        <v>1</v>
      </c>
      <c r="BD560" s="52">
        <f t="shared" si="261"/>
        <v>1</v>
      </c>
      <c r="BE560" s="52">
        <f t="shared" si="261"/>
        <v>1</v>
      </c>
      <c r="BF560" s="52">
        <f t="shared" si="261"/>
        <v>1</v>
      </c>
      <c r="BG560" s="52">
        <f t="shared" si="262"/>
        <v>1</v>
      </c>
      <c r="BH560" s="52">
        <f t="shared" si="262"/>
        <v>1</v>
      </c>
      <c r="BI560" s="52">
        <f t="shared" si="262"/>
        <v>1</v>
      </c>
      <c r="BJ560" s="52">
        <f t="shared" si="262"/>
        <v>1</v>
      </c>
      <c r="BK560" s="52">
        <f t="shared" si="262"/>
        <v>1</v>
      </c>
      <c r="BL560" s="52">
        <f t="shared" si="262"/>
        <v>1</v>
      </c>
      <c r="BM560" s="52">
        <f t="shared" si="262"/>
        <v>1</v>
      </c>
      <c r="BN560" s="52">
        <f t="shared" si="262"/>
        <v>1</v>
      </c>
      <c r="BO560" s="32">
        <f t="shared" si="246"/>
        <v>0.25706214689265539</v>
      </c>
    </row>
    <row r="561" spans="1:67" ht="24" x14ac:dyDescent="0.2">
      <c r="A561" s="55" t="s">
        <v>1130</v>
      </c>
      <c r="B561" s="55" t="s">
        <v>1131</v>
      </c>
      <c r="C561" s="55" t="s">
        <v>14</v>
      </c>
      <c r="D561" s="56">
        <f>VLOOKUP(A561,'[1]Cuadro Control'!C604:J2491,8,FALSE)</f>
        <v>0</v>
      </c>
      <c r="E561" s="57">
        <f t="shared" si="259"/>
        <v>0</v>
      </c>
      <c r="F561" s="58">
        <v>46514</v>
      </c>
      <c r="G561" s="58">
        <v>46514</v>
      </c>
      <c r="H561" s="57">
        <f t="shared" si="263"/>
        <v>0</v>
      </c>
      <c r="I561" s="57">
        <f t="shared" si="263"/>
        <v>0</v>
      </c>
      <c r="J561" s="57">
        <f t="shared" si="263"/>
        <v>0</v>
      </c>
      <c r="K561" s="57">
        <f t="shared" si="263"/>
        <v>0</v>
      </c>
      <c r="L561" s="57">
        <f t="shared" si="263"/>
        <v>0</v>
      </c>
      <c r="M561" s="57">
        <f t="shared" si="263"/>
        <v>0</v>
      </c>
      <c r="N561" s="57">
        <f t="shared" si="263"/>
        <v>0</v>
      </c>
      <c r="O561" s="57">
        <f t="shared" si="263"/>
        <v>0</v>
      </c>
      <c r="P561" s="57">
        <f t="shared" si="263"/>
        <v>0</v>
      </c>
      <c r="Q561" s="57">
        <f t="shared" si="263"/>
        <v>0</v>
      </c>
      <c r="R561" s="57">
        <f t="shared" si="263"/>
        <v>0</v>
      </c>
      <c r="S561" s="57">
        <f t="shared" si="263"/>
        <v>0</v>
      </c>
      <c r="T561" s="57">
        <f t="shared" si="263"/>
        <v>0</v>
      </c>
      <c r="U561" s="57">
        <f t="shared" si="263"/>
        <v>0</v>
      </c>
      <c r="V561" s="57">
        <f t="shared" si="263"/>
        <v>0</v>
      </c>
      <c r="W561" s="57">
        <f t="shared" si="263"/>
        <v>0</v>
      </c>
      <c r="X561" s="57">
        <f t="shared" si="264"/>
        <v>0</v>
      </c>
      <c r="Y561" s="57">
        <f t="shared" si="264"/>
        <v>0</v>
      </c>
      <c r="Z561" s="57">
        <f t="shared" si="264"/>
        <v>0</v>
      </c>
      <c r="AA561" s="57">
        <f t="shared" si="264"/>
        <v>0</v>
      </c>
      <c r="AB561" s="57">
        <f t="shared" si="264"/>
        <v>0</v>
      </c>
      <c r="AC561" s="57">
        <f t="shared" si="264"/>
        <v>0</v>
      </c>
      <c r="AD561" s="57">
        <f t="shared" si="264"/>
        <v>0</v>
      </c>
      <c r="AE561" s="57">
        <f t="shared" si="264"/>
        <v>0</v>
      </c>
      <c r="AF561" s="57">
        <f t="shared" si="264"/>
        <v>0</v>
      </c>
      <c r="AG561" s="57">
        <f t="shared" si="264"/>
        <v>0</v>
      </c>
      <c r="AH561" s="57">
        <f t="shared" si="264"/>
        <v>0</v>
      </c>
      <c r="AI561" s="57">
        <f t="shared" si="264"/>
        <v>0</v>
      </c>
      <c r="AJ561" s="57">
        <f t="shared" si="264"/>
        <v>0</v>
      </c>
      <c r="AK561" s="57">
        <f t="shared" si="264"/>
        <v>0</v>
      </c>
      <c r="AL561" s="57">
        <f t="shared" si="264"/>
        <v>0</v>
      </c>
      <c r="AM561" s="57">
        <f t="shared" si="264"/>
        <v>0</v>
      </c>
      <c r="AN561" s="57">
        <f t="shared" si="264"/>
        <v>0</v>
      </c>
      <c r="AO561" s="57">
        <f t="shared" si="261"/>
        <v>0</v>
      </c>
      <c r="AP561" s="57">
        <f t="shared" si="261"/>
        <v>0</v>
      </c>
      <c r="AQ561" s="57">
        <f t="shared" si="261"/>
        <v>0</v>
      </c>
      <c r="AR561" s="57">
        <f t="shared" si="261"/>
        <v>0</v>
      </c>
      <c r="AS561" s="57">
        <f t="shared" si="261"/>
        <v>0</v>
      </c>
      <c r="AT561" s="57">
        <f t="shared" si="261"/>
        <v>0</v>
      </c>
      <c r="AU561" s="57">
        <f t="shared" si="261"/>
        <v>0</v>
      </c>
      <c r="AV561" s="57">
        <f t="shared" si="261"/>
        <v>0</v>
      </c>
      <c r="AW561" s="57">
        <f t="shared" si="261"/>
        <v>0</v>
      </c>
      <c r="AX561" s="57">
        <f t="shared" si="261"/>
        <v>0</v>
      </c>
      <c r="AY561" s="57">
        <f t="shared" si="261"/>
        <v>1</v>
      </c>
      <c r="AZ561" s="57">
        <f t="shared" si="261"/>
        <v>1</v>
      </c>
      <c r="BA561" s="57">
        <f t="shared" si="261"/>
        <v>1</v>
      </c>
      <c r="BB561" s="57">
        <f t="shared" si="261"/>
        <v>1</v>
      </c>
      <c r="BC561" s="57">
        <f t="shared" si="261"/>
        <v>1</v>
      </c>
      <c r="BD561" s="57">
        <f t="shared" si="261"/>
        <v>1</v>
      </c>
      <c r="BE561" s="57">
        <f t="shared" si="261"/>
        <v>1</v>
      </c>
      <c r="BF561" s="57">
        <f t="shared" si="261"/>
        <v>1</v>
      </c>
      <c r="BG561" s="57">
        <f t="shared" si="262"/>
        <v>1</v>
      </c>
      <c r="BH561" s="57">
        <f t="shared" si="262"/>
        <v>1</v>
      </c>
      <c r="BI561" s="57">
        <f t="shared" si="262"/>
        <v>1</v>
      </c>
      <c r="BJ561" s="57">
        <f t="shared" si="262"/>
        <v>1</v>
      </c>
      <c r="BK561" s="57">
        <f t="shared" si="262"/>
        <v>1</v>
      </c>
      <c r="BL561" s="57">
        <f t="shared" si="262"/>
        <v>1</v>
      </c>
      <c r="BM561" s="57">
        <f t="shared" si="262"/>
        <v>1</v>
      </c>
      <c r="BN561" s="57">
        <f t="shared" si="262"/>
        <v>1</v>
      </c>
      <c r="BO561" s="32">
        <f t="shared" si="246"/>
        <v>0.2711864406779661</v>
      </c>
    </row>
    <row r="562" spans="1:67" x14ac:dyDescent="0.2">
      <c r="A562" s="50" t="s">
        <v>1132</v>
      </c>
      <c r="B562" s="50" t="s">
        <v>1133</v>
      </c>
      <c r="C562" s="50" t="s">
        <v>111</v>
      </c>
      <c r="D562" s="51">
        <f>VLOOKUP(A562,'[1]Cuadro Control'!C605:J2492,8,FALSE)</f>
        <v>1230815225.9452939</v>
      </c>
      <c r="E562" s="52">
        <f t="shared" si="259"/>
        <v>0.2318411625341423</v>
      </c>
      <c r="F562" s="53">
        <v>46519</v>
      </c>
      <c r="G562" s="53">
        <v>46520</v>
      </c>
      <c r="H562" s="52">
        <f t="shared" si="263"/>
        <v>0</v>
      </c>
      <c r="I562" s="52">
        <f t="shared" si="263"/>
        <v>0</v>
      </c>
      <c r="J562" s="52">
        <f t="shared" si="263"/>
        <v>0</v>
      </c>
      <c r="K562" s="52">
        <f t="shared" si="263"/>
        <v>0</v>
      </c>
      <c r="L562" s="52">
        <f t="shared" si="263"/>
        <v>0</v>
      </c>
      <c r="M562" s="52">
        <f t="shared" si="263"/>
        <v>0</v>
      </c>
      <c r="N562" s="52">
        <f t="shared" si="263"/>
        <v>0</v>
      </c>
      <c r="O562" s="52">
        <f t="shared" si="263"/>
        <v>0</v>
      </c>
      <c r="P562" s="52">
        <f t="shared" si="263"/>
        <v>0</v>
      </c>
      <c r="Q562" s="52">
        <f t="shared" si="263"/>
        <v>0</v>
      </c>
      <c r="R562" s="52">
        <f t="shared" si="263"/>
        <v>0</v>
      </c>
      <c r="S562" s="52">
        <f t="shared" si="263"/>
        <v>0</v>
      </c>
      <c r="T562" s="52">
        <f t="shared" si="263"/>
        <v>0</v>
      </c>
      <c r="U562" s="52">
        <f t="shared" si="263"/>
        <v>0</v>
      </c>
      <c r="V562" s="52">
        <f t="shared" si="263"/>
        <v>0</v>
      </c>
      <c r="W562" s="52">
        <f t="shared" si="263"/>
        <v>0</v>
      </c>
      <c r="X562" s="52">
        <f t="shared" si="264"/>
        <v>0</v>
      </c>
      <c r="Y562" s="52">
        <f t="shared" si="264"/>
        <v>0</v>
      </c>
      <c r="Z562" s="52">
        <f t="shared" si="264"/>
        <v>0</v>
      </c>
      <c r="AA562" s="52">
        <f t="shared" si="264"/>
        <v>0</v>
      </c>
      <c r="AB562" s="52">
        <f t="shared" si="264"/>
        <v>0</v>
      </c>
      <c r="AC562" s="52">
        <f t="shared" si="264"/>
        <v>0</v>
      </c>
      <c r="AD562" s="52">
        <f t="shared" si="264"/>
        <v>0</v>
      </c>
      <c r="AE562" s="52">
        <f t="shared" si="264"/>
        <v>0</v>
      </c>
      <c r="AF562" s="52">
        <f t="shared" si="264"/>
        <v>0</v>
      </c>
      <c r="AG562" s="52">
        <f t="shared" si="264"/>
        <v>0</v>
      </c>
      <c r="AH562" s="52">
        <f t="shared" si="264"/>
        <v>0</v>
      </c>
      <c r="AI562" s="52">
        <f t="shared" si="264"/>
        <v>0</v>
      </c>
      <c r="AJ562" s="52">
        <f t="shared" si="264"/>
        <v>0</v>
      </c>
      <c r="AK562" s="52">
        <f t="shared" si="264"/>
        <v>0</v>
      </c>
      <c r="AL562" s="52">
        <f t="shared" si="264"/>
        <v>0</v>
      </c>
      <c r="AM562" s="52">
        <f t="shared" si="264"/>
        <v>0</v>
      </c>
      <c r="AN562" s="52">
        <f t="shared" si="264"/>
        <v>0</v>
      </c>
      <c r="AO562" s="52">
        <f t="shared" si="261"/>
        <v>0</v>
      </c>
      <c r="AP562" s="52">
        <f t="shared" si="261"/>
        <v>0</v>
      </c>
      <c r="AQ562" s="52">
        <f t="shared" si="261"/>
        <v>0</v>
      </c>
      <c r="AR562" s="52">
        <f t="shared" si="261"/>
        <v>0</v>
      </c>
      <c r="AS562" s="52">
        <f t="shared" si="261"/>
        <v>0</v>
      </c>
      <c r="AT562" s="52">
        <f t="shared" si="261"/>
        <v>0</v>
      </c>
      <c r="AU562" s="52">
        <f t="shared" si="261"/>
        <v>0</v>
      </c>
      <c r="AV562" s="52">
        <f t="shared" si="261"/>
        <v>0</v>
      </c>
      <c r="AW562" s="52">
        <f t="shared" si="261"/>
        <v>0</v>
      </c>
      <c r="AX562" s="52">
        <f t="shared" si="261"/>
        <v>0</v>
      </c>
      <c r="AY562" s="52">
        <f t="shared" si="261"/>
        <v>0</v>
      </c>
      <c r="AZ562" s="52">
        <f t="shared" si="261"/>
        <v>1</v>
      </c>
      <c r="BA562" s="52">
        <f t="shared" si="261"/>
        <v>1</v>
      </c>
      <c r="BB562" s="52">
        <f t="shared" si="261"/>
        <v>1</v>
      </c>
      <c r="BC562" s="52">
        <f t="shared" si="261"/>
        <v>1</v>
      </c>
      <c r="BD562" s="52">
        <f t="shared" si="261"/>
        <v>1</v>
      </c>
      <c r="BE562" s="52">
        <f t="shared" si="261"/>
        <v>1</v>
      </c>
      <c r="BF562" s="52">
        <f t="shared" si="261"/>
        <v>1</v>
      </c>
      <c r="BG562" s="52">
        <f t="shared" si="262"/>
        <v>1</v>
      </c>
      <c r="BH562" s="52">
        <f t="shared" si="262"/>
        <v>1</v>
      </c>
      <c r="BI562" s="52">
        <f t="shared" si="262"/>
        <v>1</v>
      </c>
      <c r="BJ562" s="52">
        <f t="shared" si="262"/>
        <v>1</v>
      </c>
      <c r="BK562" s="52">
        <f t="shared" si="262"/>
        <v>1</v>
      </c>
      <c r="BL562" s="52">
        <f t="shared" si="262"/>
        <v>1</v>
      </c>
      <c r="BM562" s="52">
        <f t="shared" si="262"/>
        <v>1</v>
      </c>
      <c r="BN562" s="52">
        <f t="shared" si="262"/>
        <v>1</v>
      </c>
      <c r="BO562" s="32">
        <f t="shared" si="246"/>
        <v>0.25423728813559321</v>
      </c>
    </row>
    <row r="563" spans="1:67" x14ac:dyDescent="0.2">
      <c r="A563" s="50" t="s">
        <v>1134</v>
      </c>
      <c r="B563" s="50" t="s">
        <v>1135</v>
      </c>
      <c r="C563" s="50" t="s">
        <v>238</v>
      </c>
      <c r="D563" s="51">
        <f>VLOOKUP(A563,'[1]Cuadro Control'!C606:J2493,8,FALSE)</f>
        <v>0</v>
      </c>
      <c r="E563" s="52">
        <f t="shared" si="259"/>
        <v>0</v>
      </c>
      <c r="F563" s="53">
        <v>46520</v>
      </c>
      <c r="G563" s="53">
        <v>46527</v>
      </c>
      <c r="H563" s="52">
        <f t="shared" si="263"/>
        <v>0</v>
      </c>
      <c r="I563" s="52">
        <f t="shared" si="263"/>
        <v>0</v>
      </c>
      <c r="J563" s="52">
        <f t="shared" si="263"/>
        <v>0</v>
      </c>
      <c r="K563" s="52">
        <f t="shared" si="263"/>
        <v>0</v>
      </c>
      <c r="L563" s="52">
        <f t="shared" si="263"/>
        <v>0</v>
      </c>
      <c r="M563" s="52">
        <f t="shared" si="263"/>
        <v>0</v>
      </c>
      <c r="N563" s="52">
        <f t="shared" si="263"/>
        <v>0</v>
      </c>
      <c r="O563" s="52">
        <f t="shared" si="263"/>
        <v>0</v>
      </c>
      <c r="P563" s="52">
        <f t="shared" si="263"/>
        <v>0</v>
      </c>
      <c r="Q563" s="52">
        <f t="shared" si="263"/>
        <v>0</v>
      </c>
      <c r="R563" s="52">
        <f t="shared" si="263"/>
        <v>0</v>
      </c>
      <c r="S563" s="52">
        <f t="shared" si="263"/>
        <v>0</v>
      </c>
      <c r="T563" s="52">
        <f t="shared" si="263"/>
        <v>0</v>
      </c>
      <c r="U563" s="52">
        <f t="shared" si="263"/>
        <v>0</v>
      </c>
      <c r="V563" s="52">
        <f t="shared" si="263"/>
        <v>0</v>
      </c>
      <c r="W563" s="52">
        <f t="shared" si="263"/>
        <v>0</v>
      </c>
      <c r="X563" s="52">
        <f t="shared" si="264"/>
        <v>0</v>
      </c>
      <c r="Y563" s="52">
        <f t="shared" si="264"/>
        <v>0</v>
      </c>
      <c r="Z563" s="52">
        <f t="shared" si="264"/>
        <v>0</v>
      </c>
      <c r="AA563" s="52">
        <f t="shared" si="264"/>
        <v>0</v>
      </c>
      <c r="AB563" s="52">
        <f t="shared" si="264"/>
        <v>0</v>
      </c>
      <c r="AC563" s="52">
        <f t="shared" si="264"/>
        <v>0</v>
      </c>
      <c r="AD563" s="52">
        <f t="shared" si="264"/>
        <v>0</v>
      </c>
      <c r="AE563" s="52">
        <f t="shared" si="264"/>
        <v>0</v>
      </c>
      <c r="AF563" s="52">
        <f t="shared" si="264"/>
        <v>0</v>
      </c>
      <c r="AG563" s="52">
        <f t="shared" si="264"/>
        <v>0</v>
      </c>
      <c r="AH563" s="52">
        <f t="shared" si="264"/>
        <v>0</v>
      </c>
      <c r="AI563" s="52">
        <f t="shared" si="264"/>
        <v>0</v>
      </c>
      <c r="AJ563" s="52">
        <f t="shared" si="264"/>
        <v>0</v>
      </c>
      <c r="AK563" s="52">
        <f t="shared" si="264"/>
        <v>0</v>
      </c>
      <c r="AL563" s="52">
        <f t="shared" si="264"/>
        <v>0</v>
      </c>
      <c r="AM563" s="52">
        <f t="shared" si="264"/>
        <v>0</v>
      </c>
      <c r="AN563" s="52">
        <f t="shared" si="264"/>
        <v>0</v>
      </c>
      <c r="AO563" s="52">
        <f t="shared" si="261"/>
        <v>0</v>
      </c>
      <c r="AP563" s="52">
        <f t="shared" si="261"/>
        <v>0</v>
      </c>
      <c r="AQ563" s="52">
        <f t="shared" si="261"/>
        <v>0</v>
      </c>
      <c r="AR563" s="52">
        <f t="shared" si="261"/>
        <v>0</v>
      </c>
      <c r="AS563" s="52">
        <f t="shared" si="261"/>
        <v>0</v>
      </c>
      <c r="AT563" s="52">
        <f t="shared" si="261"/>
        <v>0</v>
      </c>
      <c r="AU563" s="52">
        <f t="shared" si="261"/>
        <v>0</v>
      </c>
      <c r="AV563" s="52">
        <f t="shared" si="261"/>
        <v>0</v>
      </c>
      <c r="AW563" s="52">
        <f t="shared" si="261"/>
        <v>0</v>
      </c>
      <c r="AX563" s="52">
        <f t="shared" si="261"/>
        <v>0</v>
      </c>
      <c r="AY563" s="52">
        <f t="shared" si="261"/>
        <v>0</v>
      </c>
      <c r="AZ563" s="52">
        <f t="shared" si="261"/>
        <v>0.25</v>
      </c>
      <c r="BA563" s="52">
        <f t="shared" si="261"/>
        <v>1</v>
      </c>
      <c r="BB563" s="52">
        <f t="shared" si="261"/>
        <v>1</v>
      </c>
      <c r="BC563" s="52">
        <f t="shared" si="261"/>
        <v>1</v>
      </c>
      <c r="BD563" s="52">
        <f t="shared" si="261"/>
        <v>1</v>
      </c>
      <c r="BE563" s="52">
        <f t="shared" si="261"/>
        <v>1</v>
      </c>
      <c r="BF563" s="52">
        <f t="shared" si="261"/>
        <v>1</v>
      </c>
      <c r="BG563" s="52">
        <f t="shared" si="262"/>
        <v>1</v>
      </c>
      <c r="BH563" s="52">
        <f t="shared" si="262"/>
        <v>1</v>
      </c>
      <c r="BI563" s="52">
        <f t="shared" si="262"/>
        <v>1</v>
      </c>
      <c r="BJ563" s="52">
        <f t="shared" si="262"/>
        <v>1</v>
      </c>
      <c r="BK563" s="52">
        <f t="shared" si="262"/>
        <v>1</v>
      </c>
      <c r="BL563" s="52">
        <f t="shared" si="262"/>
        <v>1</v>
      </c>
      <c r="BM563" s="52">
        <f t="shared" si="262"/>
        <v>1</v>
      </c>
      <c r="BN563" s="52">
        <f t="shared" si="262"/>
        <v>1</v>
      </c>
      <c r="BO563" s="32">
        <f t="shared" si="246"/>
        <v>0.24152542372881355</v>
      </c>
    </row>
    <row r="564" spans="1:67" ht="24" x14ac:dyDescent="0.2">
      <c r="A564" s="50" t="s">
        <v>1136</v>
      </c>
      <c r="B564" s="50" t="s">
        <v>1137</v>
      </c>
      <c r="C564" s="50" t="s">
        <v>126</v>
      </c>
      <c r="D564" s="51">
        <f>VLOOKUP(A564,'[1]Cuadro Control'!C607:J2494,8,FALSE)</f>
        <v>52736347.43270281</v>
      </c>
      <c r="E564" s="52">
        <f t="shared" si="259"/>
        <v>9.933624348213644E-3</v>
      </c>
      <c r="F564" s="53">
        <v>46527</v>
      </c>
      <c r="G564" s="53">
        <v>46531</v>
      </c>
      <c r="H564" s="52">
        <f t="shared" si="263"/>
        <v>0</v>
      </c>
      <c r="I564" s="52">
        <f t="shared" si="263"/>
        <v>0</v>
      </c>
      <c r="J564" s="52">
        <f t="shared" si="263"/>
        <v>0</v>
      </c>
      <c r="K564" s="52">
        <f t="shared" si="263"/>
        <v>0</v>
      </c>
      <c r="L564" s="52">
        <f t="shared" si="263"/>
        <v>0</v>
      </c>
      <c r="M564" s="52">
        <f t="shared" si="263"/>
        <v>0</v>
      </c>
      <c r="N564" s="52">
        <f t="shared" si="263"/>
        <v>0</v>
      </c>
      <c r="O564" s="52">
        <f t="shared" si="263"/>
        <v>0</v>
      </c>
      <c r="P564" s="52">
        <f t="shared" si="263"/>
        <v>0</v>
      </c>
      <c r="Q564" s="52">
        <f t="shared" si="263"/>
        <v>0</v>
      </c>
      <c r="R564" s="52">
        <f t="shared" si="263"/>
        <v>0</v>
      </c>
      <c r="S564" s="52">
        <f t="shared" si="263"/>
        <v>0</v>
      </c>
      <c r="T564" s="52">
        <f t="shared" si="263"/>
        <v>0</v>
      </c>
      <c r="U564" s="52">
        <f t="shared" si="263"/>
        <v>0</v>
      </c>
      <c r="V564" s="52">
        <f t="shared" si="263"/>
        <v>0</v>
      </c>
      <c r="W564" s="52">
        <f t="shared" si="263"/>
        <v>0</v>
      </c>
      <c r="X564" s="52">
        <f t="shared" si="264"/>
        <v>0</v>
      </c>
      <c r="Y564" s="52">
        <f t="shared" si="264"/>
        <v>0</v>
      </c>
      <c r="Z564" s="52">
        <f t="shared" si="264"/>
        <v>0</v>
      </c>
      <c r="AA564" s="52">
        <f t="shared" si="264"/>
        <v>0</v>
      </c>
      <c r="AB564" s="52">
        <f t="shared" si="264"/>
        <v>0</v>
      </c>
      <c r="AC564" s="52">
        <f t="shared" si="264"/>
        <v>0</v>
      </c>
      <c r="AD564" s="52">
        <f t="shared" si="264"/>
        <v>0</v>
      </c>
      <c r="AE564" s="52">
        <f t="shared" si="264"/>
        <v>0</v>
      </c>
      <c r="AF564" s="52">
        <f t="shared" si="264"/>
        <v>0</v>
      </c>
      <c r="AG564" s="52">
        <f t="shared" si="264"/>
        <v>0</v>
      </c>
      <c r="AH564" s="52">
        <f t="shared" si="264"/>
        <v>0</v>
      </c>
      <c r="AI564" s="52">
        <f t="shared" si="264"/>
        <v>0</v>
      </c>
      <c r="AJ564" s="52">
        <f t="shared" si="264"/>
        <v>0</v>
      </c>
      <c r="AK564" s="52">
        <f t="shared" si="264"/>
        <v>0</v>
      </c>
      <c r="AL564" s="52">
        <f t="shared" si="264"/>
        <v>0</v>
      </c>
      <c r="AM564" s="52">
        <f t="shared" si="264"/>
        <v>0</v>
      </c>
      <c r="AN564" s="52">
        <f t="shared" si="264"/>
        <v>0</v>
      </c>
      <c r="AO564" s="52">
        <f t="shared" si="261"/>
        <v>0</v>
      </c>
      <c r="AP564" s="52">
        <f t="shared" si="261"/>
        <v>0</v>
      </c>
      <c r="AQ564" s="52">
        <f t="shared" si="261"/>
        <v>0</v>
      </c>
      <c r="AR564" s="52">
        <f t="shared" si="261"/>
        <v>0</v>
      </c>
      <c r="AS564" s="52">
        <f t="shared" si="261"/>
        <v>0</v>
      </c>
      <c r="AT564" s="52">
        <f t="shared" si="261"/>
        <v>0</v>
      </c>
      <c r="AU564" s="52">
        <f t="shared" si="261"/>
        <v>0</v>
      </c>
      <c r="AV564" s="52">
        <f t="shared" si="261"/>
        <v>0</v>
      </c>
      <c r="AW564" s="52">
        <f t="shared" si="261"/>
        <v>0</v>
      </c>
      <c r="AX564" s="52">
        <f t="shared" si="261"/>
        <v>0</v>
      </c>
      <c r="AY564" s="52">
        <f t="shared" si="261"/>
        <v>0</v>
      </c>
      <c r="AZ564" s="52">
        <f t="shared" si="261"/>
        <v>0</v>
      </c>
      <c r="BA564" s="52">
        <f t="shared" si="261"/>
        <v>0.4</v>
      </c>
      <c r="BB564" s="52">
        <f t="shared" si="261"/>
        <v>1</v>
      </c>
      <c r="BC564" s="52">
        <f t="shared" si="261"/>
        <v>1</v>
      </c>
      <c r="BD564" s="52">
        <f t="shared" si="261"/>
        <v>1</v>
      </c>
      <c r="BE564" s="52">
        <f t="shared" si="261"/>
        <v>1</v>
      </c>
      <c r="BF564" s="52">
        <f t="shared" si="261"/>
        <v>1</v>
      </c>
      <c r="BG564" s="52">
        <f t="shared" si="262"/>
        <v>1</v>
      </c>
      <c r="BH564" s="52">
        <f t="shared" si="262"/>
        <v>1</v>
      </c>
      <c r="BI564" s="52">
        <f t="shared" si="262"/>
        <v>1</v>
      </c>
      <c r="BJ564" s="52">
        <f t="shared" si="262"/>
        <v>1</v>
      </c>
      <c r="BK564" s="52">
        <f t="shared" si="262"/>
        <v>1</v>
      </c>
      <c r="BL564" s="52">
        <f t="shared" si="262"/>
        <v>1</v>
      </c>
      <c r="BM564" s="52">
        <f t="shared" si="262"/>
        <v>1</v>
      </c>
      <c r="BN564" s="52">
        <f t="shared" si="262"/>
        <v>1</v>
      </c>
      <c r="BO564" s="32">
        <f t="shared" si="246"/>
        <v>0.22711864406779661</v>
      </c>
    </row>
    <row r="565" spans="1:67" ht="24" x14ac:dyDescent="0.2">
      <c r="A565" s="50" t="s">
        <v>1138</v>
      </c>
      <c r="B565" s="50" t="s">
        <v>1139</v>
      </c>
      <c r="C565" s="50" t="s">
        <v>117</v>
      </c>
      <c r="D565" s="51">
        <f>VLOOKUP(A565,'[1]Cuadro Control'!C608:J2495,8,FALSE)</f>
        <v>46410609.014634147</v>
      </c>
      <c r="E565" s="52">
        <f t="shared" si="259"/>
        <v>8.742083556535862E-3</v>
      </c>
      <c r="F565" s="53">
        <v>46531</v>
      </c>
      <c r="G565" s="53">
        <v>46532</v>
      </c>
      <c r="H565" s="52">
        <f t="shared" si="263"/>
        <v>0</v>
      </c>
      <c r="I565" s="52">
        <f t="shared" si="263"/>
        <v>0</v>
      </c>
      <c r="J565" s="52">
        <f t="shared" si="263"/>
        <v>0</v>
      </c>
      <c r="K565" s="52">
        <f t="shared" si="263"/>
        <v>0</v>
      </c>
      <c r="L565" s="52">
        <f t="shared" si="263"/>
        <v>0</v>
      </c>
      <c r="M565" s="52">
        <f t="shared" si="263"/>
        <v>0</v>
      </c>
      <c r="N565" s="52">
        <f t="shared" si="263"/>
        <v>0</v>
      </c>
      <c r="O565" s="52">
        <f t="shared" si="263"/>
        <v>0</v>
      </c>
      <c r="P565" s="52">
        <f t="shared" si="263"/>
        <v>0</v>
      </c>
      <c r="Q565" s="52">
        <f t="shared" si="263"/>
        <v>0</v>
      </c>
      <c r="R565" s="52">
        <f t="shared" si="263"/>
        <v>0</v>
      </c>
      <c r="S565" s="52">
        <f t="shared" si="263"/>
        <v>0</v>
      </c>
      <c r="T565" s="52">
        <f t="shared" si="263"/>
        <v>0</v>
      </c>
      <c r="U565" s="52">
        <f t="shared" si="263"/>
        <v>0</v>
      </c>
      <c r="V565" s="52">
        <f t="shared" si="263"/>
        <v>0</v>
      </c>
      <c r="W565" s="52">
        <f t="shared" si="263"/>
        <v>0</v>
      </c>
      <c r="X565" s="52">
        <f t="shared" si="264"/>
        <v>0</v>
      </c>
      <c r="Y565" s="52">
        <f t="shared" si="264"/>
        <v>0</v>
      </c>
      <c r="Z565" s="52">
        <f t="shared" si="264"/>
        <v>0</v>
      </c>
      <c r="AA565" s="52">
        <f t="shared" si="264"/>
        <v>0</v>
      </c>
      <c r="AB565" s="52">
        <f t="shared" si="264"/>
        <v>0</v>
      </c>
      <c r="AC565" s="52">
        <f t="shared" si="264"/>
        <v>0</v>
      </c>
      <c r="AD565" s="52">
        <f t="shared" si="264"/>
        <v>0</v>
      </c>
      <c r="AE565" s="52">
        <f t="shared" si="264"/>
        <v>0</v>
      </c>
      <c r="AF565" s="52">
        <f t="shared" si="264"/>
        <v>0</v>
      </c>
      <c r="AG565" s="52">
        <f t="shared" si="264"/>
        <v>0</v>
      </c>
      <c r="AH565" s="52">
        <f t="shared" si="264"/>
        <v>0</v>
      </c>
      <c r="AI565" s="52">
        <f t="shared" si="264"/>
        <v>0</v>
      </c>
      <c r="AJ565" s="52">
        <f t="shared" si="264"/>
        <v>0</v>
      </c>
      <c r="AK565" s="52">
        <f t="shared" si="264"/>
        <v>0</v>
      </c>
      <c r="AL565" s="52">
        <f t="shared" si="264"/>
        <v>0</v>
      </c>
      <c r="AM565" s="52">
        <f t="shared" si="264"/>
        <v>0</v>
      </c>
      <c r="AN565" s="52">
        <f t="shared" si="264"/>
        <v>0</v>
      </c>
      <c r="AO565" s="52">
        <f t="shared" si="261"/>
        <v>0</v>
      </c>
      <c r="AP565" s="52">
        <f t="shared" si="261"/>
        <v>0</v>
      </c>
      <c r="AQ565" s="52">
        <f t="shared" si="261"/>
        <v>0</v>
      </c>
      <c r="AR565" s="52">
        <f t="shared" si="261"/>
        <v>0</v>
      </c>
      <c r="AS565" s="52">
        <f t="shared" si="261"/>
        <v>0</v>
      </c>
      <c r="AT565" s="52">
        <f t="shared" si="261"/>
        <v>0</v>
      </c>
      <c r="AU565" s="52">
        <f t="shared" si="261"/>
        <v>0</v>
      </c>
      <c r="AV565" s="52">
        <f t="shared" si="261"/>
        <v>0</v>
      </c>
      <c r="AW565" s="52">
        <f t="shared" si="261"/>
        <v>0</v>
      </c>
      <c r="AX565" s="52">
        <f t="shared" si="261"/>
        <v>0</v>
      </c>
      <c r="AY565" s="52">
        <f t="shared" si="261"/>
        <v>0</v>
      </c>
      <c r="AZ565" s="52">
        <f t="shared" si="261"/>
        <v>0</v>
      </c>
      <c r="BA565" s="52">
        <f t="shared" si="261"/>
        <v>0</v>
      </c>
      <c r="BB565" s="52">
        <f t="shared" si="261"/>
        <v>1</v>
      </c>
      <c r="BC565" s="52">
        <f t="shared" si="261"/>
        <v>1</v>
      </c>
      <c r="BD565" s="52">
        <f t="shared" si="261"/>
        <v>1</v>
      </c>
      <c r="BE565" s="52">
        <f t="shared" si="261"/>
        <v>1</v>
      </c>
      <c r="BF565" s="52">
        <f t="shared" si="261"/>
        <v>1</v>
      </c>
      <c r="BG565" s="52">
        <f t="shared" si="262"/>
        <v>1</v>
      </c>
      <c r="BH565" s="52">
        <f t="shared" si="262"/>
        <v>1</v>
      </c>
      <c r="BI565" s="52">
        <f t="shared" si="262"/>
        <v>1</v>
      </c>
      <c r="BJ565" s="52">
        <f t="shared" si="262"/>
        <v>1</v>
      </c>
      <c r="BK565" s="52">
        <f t="shared" si="262"/>
        <v>1</v>
      </c>
      <c r="BL565" s="52">
        <f t="shared" si="262"/>
        <v>1</v>
      </c>
      <c r="BM565" s="52">
        <f t="shared" si="262"/>
        <v>1</v>
      </c>
      <c r="BN565" s="52">
        <f t="shared" si="262"/>
        <v>1</v>
      </c>
      <c r="BO565" s="32">
        <f t="shared" si="246"/>
        <v>0.22033898305084745</v>
      </c>
    </row>
    <row r="566" spans="1:67" ht="24" x14ac:dyDescent="0.2">
      <c r="A566" s="50" t="s">
        <v>1140</v>
      </c>
      <c r="B566" s="50" t="s">
        <v>1141</v>
      </c>
      <c r="C566" s="50" t="s">
        <v>61</v>
      </c>
      <c r="D566" s="51">
        <f>VLOOKUP(A566,'[1]Cuadro Control'!C609:J2496,8,FALSE)</f>
        <v>1587346329.5488234</v>
      </c>
      <c r="E566" s="52">
        <f t="shared" si="259"/>
        <v>0.29899875353285565</v>
      </c>
      <c r="F566" s="53">
        <v>46531</v>
      </c>
      <c r="G566" s="53">
        <v>46542</v>
      </c>
      <c r="H566" s="52">
        <f t="shared" si="263"/>
        <v>0</v>
      </c>
      <c r="I566" s="52">
        <f t="shared" si="263"/>
        <v>0</v>
      </c>
      <c r="J566" s="52">
        <f t="shared" si="263"/>
        <v>0</v>
      </c>
      <c r="K566" s="52">
        <f t="shared" si="263"/>
        <v>0</v>
      </c>
      <c r="L566" s="52">
        <f t="shared" si="263"/>
        <v>0</v>
      </c>
      <c r="M566" s="52">
        <f t="shared" si="263"/>
        <v>0</v>
      </c>
      <c r="N566" s="52">
        <f t="shared" si="263"/>
        <v>0</v>
      </c>
      <c r="O566" s="52">
        <f t="shared" si="263"/>
        <v>0</v>
      </c>
      <c r="P566" s="52">
        <f t="shared" si="263"/>
        <v>0</v>
      </c>
      <c r="Q566" s="52">
        <f t="shared" si="263"/>
        <v>0</v>
      </c>
      <c r="R566" s="52">
        <f t="shared" si="263"/>
        <v>0</v>
      </c>
      <c r="S566" s="52">
        <f t="shared" si="263"/>
        <v>0</v>
      </c>
      <c r="T566" s="52">
        <f t="shared" si="263"/>
        <v>0</v>
      </c>
      <c r="U566" s="52">
        <f t="shared" si="263"/>
        <v>0</v>
      </c>
      <c r="V566" s="52">
        <f t="shared" si="263"/>
        <v>0</v>
      </c>
      <c r="W566" s="52">
        <f t="shared" si="263"/>
        <v>0</v>
      </c>
      <c r="X566" s="52">
        <f t="shared" si="264"/>
        <v>0</v>
      </c>
      <c r="Y566" s="52">
        <f t="shared" si="264"/>
        <v>0</v>
      </c>
      <c r="Z566" s="52">
        <f t="shared" si="264"/>
        <v>0</v>
      </c>
      <c r="AA566" s="52">
        <f t="shared" si="264"/>
        <v>0</v>
      </c>
      <c r="AB566" s="52">
        <f t="shared" si="264"/>
        <v>0</v>
      </c>
      <c r="AC566" s="52">
        <f t="shared" si="264"/>
        <v>0</v>
      </c>
      <c r="AD566" s="52">
        <f t="shared" si="264"/>
        <v>0</v>
      </c>
      <c r="AE566" s="52">
        <f t="shared" si="264"/>
        <v>0</v>
      </c>
      <c r="AF566" s="52">
        <f t="shared" si="264"/>
        <v>0</v>
      </c>
      <c r="AG566" s="52">
        <f t="shared" si="264"/>
        <v>0</v>
      </c>
      <c r="AH566" s="52">
        <f t="shared" si="264"/>
        <v>0</v>
      </c>
      <c r="AI566" s="52">
        <f t="shared" si="264"/>
        <v>0</v>
      </c>
      <c r="AJ566" s="52">
        <f t="shared" si="264"/>
        <v>0</v>
      </c>
      <c r="AK566" s="52">
        <f t="shared" si="264"/>
        <v>0</v>
      </c>
      <c r="AL566" s="52">
        <f t="shared" si="264"/>
        <v>0</v>
      </c>
      <c r="AM566" s="52">
        <f t="shared" si="264"/>
        <v>0</v>
      </c>
      <c r="AN566" s="52">
        <f t="shared" si="264"/>
        <v>0</v>
      </c>
      <c r="AO566" s="52">
        <f t="shared" si="261"/>
        <v>0</v>
      </c>
      <c r="AP566" s="52">
        <f t="shared" si="261"/>
        <v>0</v>
      </c>
      <c r="AQ566" s="52">
        <f t="shared" si="261"/>
        <v>0</v>
      </c>
      <c r="AR566" s="52">
        <f t="shared" si="261"/>
        <v>0</v>
      </c>
      <c r="AS566" s="52">
        <f t="shared" si="261"/>
        <v>0</v>
      </c>
      <c r="AT566" s="52">
        <f t="shared" si="261"/>
        <v>0</v>
      </c>
      <c r="AU566" s="52">
        <f t="shared" si="261"/>
        <v>0</v>
      </c>
      <c r="AV566" s="52">
        <f t="shared" si="261"/>
        <v>0</v>
      </c>
      <c r="AW566" s="52">
        <f t="shared" si="261"/>
        <v>0</v>
      </c>
      <c r="AX566" s="52">
        <f t="shared" si="261"/>
        <v>0</v>
      </c>
      <c r="AY566" s="52">
        <f t="shared" si="261"/>
        <v>0</v>
      </c>
      <c r="AZ566" s="52">
        <f t="shared" si="261"/>
        <v>0</v>
      </c>
      <c r="BA566" s="52">
        <f t="shared" si="261"/>
        <v>0</v>
      </c>
      <c r="BB566" s="52">
        <f t="shared" si="261"/>
        <v>0.41666666666666669</v>
      </c>
      <c r="BC566" s="52">
        <f t="shared" si="261"/>
        <v>1</v>
      </c>
      <c r="BD566" s="52">
        <f t="shared" si="261"/>
        <v>1</v>
      </c>
      <c r="BE566" s="52">
        <f t="shared" si="261"/>
        <v>1</v>
      </c>
      <c r="BF566" s="52">
        <f t="shared" si="261"/>
        <v>1</v>
      </c>
      <c r="BG566" s="52">
        <f t="shared" si="262"/>
        <v>1</v>
      </c>
      <c r="BH566" s="52">
        <f t="shared" si="262"/>
        <v>1</v>
      </c>
      <c r="BI566" s="52">
        <f t="shared" si="262"/>
        <v>1</v>
      </c>
      <c r="BJ566" s="52">
        <f t="shared" si="262"/>
        <v>1</v>
      </c>
      <c r="BK566" s="52">
        <f t="shared" si="262"/>
        <v>1</v>
      </c>
      <c r="BL566" s="52">
        <f t="shared" si="262"/>
        <v>1</v>
      </c>
      <c r="BM566" s="52">
        <f t="shared" si="262"/>
        <v>1</v>
      </c>
      <c r="BN566" s="52">
        <f t="shared" si="262"/>
        <v>1</v>
      </c>
      <c r="BO566" s="32">
        <f t="shared" si="246"/>
        <v>0.21045197740112997</v>
      </c>
    </row>
    <row r="567" spans="1:67" ht="30" x14ac:dyDescent="0.2">
      <c r="A567" s="46" t="s">
        <v>1142</v>
      </c>
      <c r="B567" s="46" t="s">
        <v>1143</v>
      </c>
      <c r="C567" s="46" t="s">
        <v>61</v>
      </c>
      <c r="D567" s="47">
        <f>VLOOKUP(A567,'[1]Cuadro Control'!C610:J2497,8,FALSE)</f>
        <v>179532477.23999998</v>
      </c>
      <c r="E567" s="48">
        <f t="shared" si="259"/>
        <v>3.3817438522495219E-2</v>
      </c>
      <c r="F567" s="49">
        <v>46533</v>
      </c>
      <c r="G567" s="49">
        <v>46547</v>
      </c>
      <c r="H567" s="48">
        <f t="shared" si="263"/>
        <v>0</v>
      </c>
      <c r="I567" s="48">
        <f t="shared" si="263"/>
        <v>0</v>
      </c>
      <c r="J567" s="48">
        <f t="shared" si="263"/>
        <v>0</v>
      </c>
      <c r="K567" s="48">
        <f t="shared" si="263"/>
        <v>0</v>
      </c>
      <c r="L567" s="48">
        <f t="shared" si="263"/>
        <v>0</v>
      </c>
      <c r="M567" s="48">
        <f t="shared" si="263"/>
        <v>0</v>
      </c>
      <c r="N567" s="48">
        <f t="shared" si="263"/>
        <v>0</v>
      </c>
      <c r="O567" s="48">
        <f t="shared" si="263"/>
        <v>0</v>
      </c>
      <c r="P567" s="48">
        <f t="shared" si="263"/>
        <v>0</v>
      </c>
      <c r="Q567" s="48">
        <f t="shared" si="263"/>
        <v>0</v>
      </c>
      <c r="R567" s="48">
        <f t="shared" si="263"/>
        <v>0</v>
      </c>
      <c r="S567" s="48">
        <f t="shared" si="263"/>
        <v>0</v>
      </c>
      <c r="T567" s="48">
        <f t="shared" si="263"/>
        <v>0</v>
      </c>
      <c r="U567" s="48">
        <f t="shared" si="263"/>
        <v>0</v>
      </c>
      <c r="V567" s="48">
        <f t="shared" si="263"/>
        <v>0</v>
      </c>
      <c r="W567" s="48">
        <f t="shared" si="263"/>
        <v>0</v>
      </c>
      <c r="X567" s="48">
        <f t="shared" si="264"/>
        <v>0</v>
      </c>
      <c r="Y567" s="48">
        <f t="shared" si="264"/>
        <v>0</v>
      </c>
      <c r="Z567" s="48">
        <f t="shared" si="264"/>
        <v>0</v>
      </c>
      <c r="AA567" s="48">
        <f t="shared" si="264"/>
        <v>0</v>
      </c>
      <c r="AB567" s="48">
        <f t="shared" si="264"/>
        <v>0</v>
      </c>
      <c r="AC567" s="48">
        <f t="shared" si="264"/>
        <v>0</v>
      </c>
      <c r="AD567" s="48">
        <f t="shared" si="264"/>
        <v>0</v>
      </c>
      <c r="AE567" s="48">
        <f t="shared" si="264"/>
        <v>0</v>
      </c>
      <c r="AF567" s="48">
        <f t="shared" si="264"/>
        <v>0</v>
      </c>
      <c r="AG567" s="48">
        <f t="shared" si="264"/>
        <v>0</v>
      </c>
      <c r="AH567" s="48">
        <f t="shared" si="264"/>
        <v>0</v>
      </c>
      <c r="AI567" s="48">
        <f t="shared" si="264"/>
        <v>0</v>
      </c>
      <c r="AJ567" s="48">
        <f t="shared" si="264"/>
        <v>0</v>
      </c>
      <c r="AK567" s="48">
        <f t="shared" si="264"/>
        <v>0</v>
      </c>
      <c r="AL567" s="48">
        <f t="shared" si="264"/>
        <v>0</v>
      </c>
      <c r="AM567" s="48">
        <f t="shared" si="264"/>
        <v>0</v>
      </c>
      <c r="AN567" s="48">
        <f t="shared" si="264"/>
        <v>0</v>
      </c>
      <c r="AO567" s="48">
        <f t="shared" si="261"/>
        <v>0</v>
      </c>
      <c r="AP567" s="48">
        <f t="shared" si="261"/>
        <v>0</v>
      </c>
      <c r="AQ567" s="48">
        <f t="shared" si="261"/>
        <v>0</v>
      </c>
      <c r="AR567" s="48">
        <f t="shared" si="261"/>
        <v>0</v>
      </c>
      <c r="AS567" s="48">
        <f t="shared" si="261"/>
        <v>0</v>
      </c>
      <c r="AT567" s="48">
        <f t="shared" si="261"/>
        <v>0</v>
      </c>
      <c r="AU567" s="48">
        <f t="shared" si="261"/>
        <v>0</v>
      </c>
      <c r="AV567" s="48">
        <f t="shared" si="261"/>
        <v>0</v>
      </c>
      <c r="AW567" s="48">
        <f t="shared" si="261"/>
        <v>0</v>
      </c>
      <c r="AX567" s="48">
        <f t="shared" si="261"/>
        <v>0</v>
      </c>
      <c r="AY567" s="48">
        <f t="shared" si="261"/>
        <v>0</v>
      </c>
      <c r="AZ567" s="48">
        <f t="shared" si="261"/>
        <v>0</v>
      </c>
      <c r="BA567" s="48">
        <f t="shared" si="261"/>
        <v>0</v>
      </c>
      <c r="BB567" s="48">
        <f t="shared" si="261"/>
        <v>0.2</v>
      </c>
      <c r="BC567" s="48">
        <f t="shared" si="261"/>
        <v>0.66666666666666663</v>
      </c>
      <c r="BD567" s="48">
        <f t="shared" si="261"/>
        <v>1</v>
      </c>
      <c r="BE567" s="48">
        <f t="shared" si="261"/>
        <v>1</v>
      </c>
      <c r="BF567" s="48">
        <f t="shared" si="261"/>
        <v>1</v>
      </c>
      <c r="BG567" s="48">
        <f t="shared" si="262"/>
        <v>1</v>
      </c>
      <c r="BH567" s="48">
        <f t="shared" si="262"/>
        <v>1</v>
      </c>
      <c r="BI567" s="48">
        <f t="shared" si="262"/>
        <v>1</v>
      </c>
      <c r="BJ567" s="48">
        <f t="shared" si="262"/>
        <v>1</v>
      </c>
      <c r="BK567" s="48">
        <f t="shared" si="262"/>
        <v>1</v>
      </c>
      <c r="BL567" s="48">
        <f t="shared" si="262"/>
        <v>1</v>
      </c>
      <c r="BM567" s="48">
        <f t="shared" si="262"/>
        <v>1</v>
      </c>
      <c r="BN567" s="48">
        <f t="shared" si="262"/>
        <v>1</v>
      </c>
      <c r="BO567" s="32">
        <f t="shared" si="246"/>
        <v>0.20112994350282487</v>
      </c>
    </row>
    <row r="568" spans="1:67" ht="24" x14ac:dyDescent="0.2">
      <c r="A568" s="55" t="s">
        <v>1144</v>
      </c>
      <c r="B568" s="55" t="s">
        <v>1145</v>
      </c>
      <c r="C568" s="55" t="s">
        <v>14</v>
      </c>
      <c r="D568" s="56">
        <f>VLOOKUP(A568,'[1]Cuadro Control'!C611:J2498,8,FALSE)</f>
        <v>0</v>
      </c>
      <c r="E568" s="57">
        <f>IFERROR(D568/$D$552,0)</f>
        <v>0</v>
      </c>
      <c r="F568" s="58">
        <v>46547</v>
      </c>
      <c r="G568" s="58">
        <v>46547</v>
      </c>
      <c r="H568" s="57">
        <f t="shared" si="263"/>
        <v>0</v>
      </c>
      <c r="I568" s="57">
        <f t="shared" si="263"/>
        <v>0</v>
      </c>
      <c r="J568" s="57">
        <f t="shared" si="263"/>
        <v>0</v>
      </c>
      <c r="K568" s="57">
        <f t="shared" si="263"/>
        <v>0</v>
      </c>
      <c r="L568" s="57">
        <f t="shared" si="263"/>
        <v>0</v>
      </c>
      <c r="M568" s="57">
        <f t="shared" si="263"/>
        <v>0</v>
      </c>
      <c r="N568" s="57">
        <f t="shared" si="263"/>
        <v>0</v>
      </c>
      <c r="O568" s="57">
        <f t="shared" si="263"/>
        <v>0</v>
      </c>
      <c r="P568" s="57">
        <f t="shared" si="263"/>
        <v>0</v>
      </c>
      <c r="Q568" s="57">
        <f t="shared" si="263"/>
        <v>0</v>
      </c>
      <c r="R568" s="57">
        <f t="shared" si="263"/>
        <v>0</v>
      </c>
      <c r="S568" s="57">
        <f t="shared" si="263"/>
        <v>0</v>
      </c>
      <c r="T568" s="57">
        <f t="shared" si="263"/>
        <v>0</v>
      </c>
      <c r="U568" s="57">
        <f t="shared" si="263"/>
        <v>0</v>
      </c>
      <c r="V568" s="57">
        <f t="shared" si="263"/>
        <v>0</v>
      </c>
      <c r="W568" s="57">
        <f t="shared" si="263"/>
        <v>0</v>
      </c>
      <c r="X568" s="57">
        <f t="shared" si="264"/>
        <v>0</v>
      </c>
      <c r="Y568" s="57">
        <f t="shared" si="264"/>
        <v>0</v>
      </c>
      <c r="Z568" s="57">
        <f t="shared" si="264"/>
        <v>0</v>
      </c>
      <c r="AA568" s="57">
        <f t="shared" si="264"/>
        <v>0</v>
      </c>
      <c r="AB568" s="57">
        <f t="shared" si="264"/>
        <v>0</v>
      </c>
      <c r="AC568" s="57">
        <f t="shared" si="264"/>
        <v>0</v>
      </c>
      <c r="AD568" s="57">
        <f t="shared" si="264"/>
        <v>0</v>
      </c>
      <c r="AE568" s="57">
        <f t="shared" si="264"/>
        <v>0</v>
      </c>
      <c r="AF568" s="57">
        <f t="shared" si="264"/>
        <v>0</v>
      </c>
      <c r="AG568" s="57">
        <f t="shared" si="264"/>
        <v>0</v>
      </c>
      <c r="AH568" s="57">
        <f t="shared" si="264"/>
        <v>0</v>
      </c>
      <c r="AI568" s="57">
        <f t="shared" si="264"/>
        <v>0</v>
      </c>
      <c r="AJ568" s="57">
        <f t="shared" si="264"/>
        <v>0</v>
      </c>
      <c r="AK568" s="57">
        <f t="shared" si="264"/>
        <v>0</v>
      </c>
      <c r="AL568" s="57">
        <f t="shared" si="264"/>
        <v>0</v>
      </c>
      <c r="AM568" s="57">
        <f t="shared" si="264"/>
        <v>0</v>
      </c>
      <c r="AN568" s="57">
        <f t="shared" si="264"/>
        <v>0</v>
      </c>
      <c r="AO568" s="57">
        <f t="shared" si="264"/>
        <v>0</v>
      </c>
      <c r="AP568" s="57">
        <f t="shared" si="264"/>
        <v>0</v>
      </c>
      <c r="AQ568" s="57">
        <f t="shared" si="264"/>
        <v>0</v>
      </c>
      <c r="AR568" s="57">
        <f t="shared" si="264"/>
        <v>0</v>
      </c>
      <c r="AS568" s="57">
        <f t="shared" si="264"/>
        <v>0</v>
      </c>
      <c r="AT568" s="57">
        <f t="shared" si="264"/>
        <v>0</v>
      </c>
      <c r="AU568" s="57">
        <f t="shared" si="264"/>
        <v>0</v>
      </c>
      <c r="AV568" s="57">
        <f t="shared" si="264"/>
        <v>0</v>
      </c>
      <c r="AW568" s="57">
        <f t="shared" si="264"/>
        <v>0</v>
      </c>
      <c r="AX568" s="57">
        <f t="shared" si="264"/>
        <v>0</v>
      </c>
      <c r="AY568" s="57">
        <f t="shared" si="264"/>
        <v>0</v>
      </c>
      <c r="AZ568" s="57">
        <f t="shared" si="264"/>
        <v>0</v>
      </c>
      <c r="BA568" s="57">
        <f t="shared" si="264"/>
        <v>0</v>
      </c>
      <c r="BB568" s="57">
        <f t="shared" si="264"/>
        <v>0</v>
      </c>
      <c r="BC568" s="57">
        <f t="shared" si="264"/>
        <v>0</v>
      </c>
      <c r="BD568" s="57">
        <f t="shared" si="261"/>
        <v>1</v>
      </c>
      <c r="BE568" s="57">
        <f t="shared" si="261"/>
        <v>1</v>
      </c>
      <c r="BF568" s="57">
        <f t="shared" si="261"/>
        <v>1</v>
      </c>
      <c r="BG568" s="57">
        <f t="shared" si="262"/>
        <v>1</v>
      </c>
      <c r="BH568" s="57">
        <f t="shared" si="262"/>
        <v>1</v>
      </c>
      <c r="BI568" s="57">
        <f t="shared" si="262"/>
        <v>1</v>
      </c>
      <c r="BJ568" s="57">
        <f t="shared" si="262"/>
        <v>1</v>
      </c>
      <c r="BK568" s="57">
        <f t="shared" si="262"/>
        <v>1</v>
      </c>
      <c r="BL568" s="57">
        <f t="shared" si="262"/>
        <v>1</v>
      </c>
      <c r="BM568" s="57">
        <f t="shared" si="262"/>
        <v>1</v>
      </c>
      <c r="BN568" s="57">
        <f t="shared" si="262"/>
        <v>1</v>
      </c>
      <c r="BO568" s="32">
        <f t="shared" si="246"/>
        <v>0.1864406779661017</v>
      </c>
    </row>
    <row r="569" spans="1:67" x14ac:dyDescent="0.2">
      <c r="A569" s="59" t="s">
        <v>1146</v>
      </c>
      <c r="B569" s="59" t="s">
        <v>1147</v>
      </c>
      <c r="C569" s="59" t="s">
        <v>467</v>
      </c>
      <c r="D569" s="60">
        <f>SUM(D570:D585)</f>
        <v>5308872732.0543728</v>
      </c>
      <c r="E569" s="61">
        <f>IFERROR(D569/$D$109,0)</f>
        <v>2.9408554574576196E-2</v>
      </c>
      <c r="F569" s="62">
        <v>46477</v>
      </c>
      <c r="G569" s="62">
        <v>46554</v>
      </c>
      <c r="H569" s="61">
        <f>SUMPRODUCT($E570:$E584,H570:H584)</f>
        <v>0</v>
      </c>
      <c r="I569" s="61">
        <f t="shared" ref="I569:BN569" si="265">SUMPRODUCT($E570:$E584,I570:I584)</f>
        <v>0</v>
      </c>
      <c r="J569" s="61">
        <f t="shared" si="265"/>
        <v>0</v>
      </c>
      <c r="K569" s="61">
        <f t="shared" si="265"/>
        <v>0</v>
      </c>
      <c r="L569" s="61">
        <f t="shared" si="265"/>
        <v>0</v>
      </c>
      <c r="M569" s="61">
        <f t="shared" si="265"/>
        <v>0</v>
      </c>
      <c r="N569" s="61">
        <f t="shared" si="265"/>
        <v>0</v>
      </c>
      <c r="O569" s="61">
        <f t="shared" si="265"/>
        <v>0</v>
      </c>
      <c r="P569" s="61">
        <f t="shared" si="265"/>
        <v>0</v>
      </c>
      <c r="Q569" s="61">
        <f t="shared" si="265"/>
        <v>0</v>
      </c>
      <c r="R569" s="61">
        <f t="shared" si="265"/>
        <v>0</v>
      </c>
      <c r="S569" s="61">
        <f t="shared" si="265"/>
        <v>0</v>
      </c>
      <c r="T569" s="61">
        <f t="shared" si="265"/>
        <v>0</v>
      </c>
      <c r="U569" s="61">
        <f t="shared" si="265"/>
        <v>0</v>
      </c>
      <c r="V569" s="61">
        <f t="shared" si="265"/>
        <v>0</v>
      </c>
      <c r="W569" s="61">
        <f t="shared" si="265"/>
        <v>0</v>
      </c>
      <c r="X569" s="61">
        <f t="shared" si="265"/>
        <v>0</v>
      </c>
      <c r="Y569" s="61">
        <f t="shared" si="265"/>
        <v>0</v>
      </c>
      <c r="Z569" s="61">
        <f t="shared" si="265"/>
        <v>0</v>
      </c>
      <c r="AA569" s="61">
        <f t="shared" si="265"/>
        <v>0</v>
      </c>
      <c r="AB569" s="61">
        <f t="shared" si="265"/>
        <v>0</v>
      </c>
      <c r="AC569" s="61">
        <f t="shared" si="265"/>
        <v>0</v>
      </c>
      <c r="AD569" s="61">
        <f t="shared" si="265"/>
        <v>0</v>
      </c>
      <c r="AE569" s="61">
        <f t="shared" si="265"/>
        <v>0</v>
      </c>
      <c r="AF569" s="61">
        <f t="shared" si="265"/>
        <v>0</v>
      </c>
      <c r="AG569" s="61">
        <f t="shared" si="265"/>
        <v>0</v>
      </c>
      <c r="AH569" s="61">
        <f t="shared" si="265"/>
        <v>0</v>
      </c>
      <c r="AI569" s="61">
        <f t="shared" si="265"/>
        <v>0</v>
      </c>
      <c r="AJ569" s="61">
        <f t="shared" si="265"/>
        <v>0</v>
      </c>
      <c r="AK569" s="61">
        <f t="shared" si="265"/>
        <v>0</v>
      </c>
      <c r="AL569" s="61">
        <f t="shared" si="265"/>
        <v>0</v>
      </c>
      <c r="AM569" s="61">
        <f t="shared" si="265"/>
        <v>0</v>
      </c>
      <c r="AN569" s="61">
        <f t="shared" si="265"/>
        <v>0</v>
      </c>
      <c r="AO569" s="61">
        <f t="shared" si="265"/>
        <v>0</v>
      </c>
      <c r="AP569" s="61">
        <f t="shared" si="265"/>
        <v>0</v>
      </c>
      <c r="AQ569" s="61">
        <f t="shared" si="265"/>
        <v>0</v>
      </c>
      <c r="AR569" s="61">
        <f t="shared" si="265"/>
        <v>0</v>
      </c>
      <c r="AS569" s="61">
        <f t="shared" si="265"/>
        <v>0</v>
      </c>
      <c r="AT569" s="61">
        <f t="shared" si="265"/>
        <v>5.8820241899941441E-3</v>
      </c>
      <c r="AU569" s="61">
        <f t="shared" si="265"/>
        <v>3.7750428504315078E-2</v>
      </c>
      <c r="AV569" s="61">
        <f t="shared" si="265"/>
        <v>7.5871503452362876E-2</v>
      </c>
      <c r="AW569" s="61">
        <f t="shared" si="265"/>
        <v>0.15928166097601784</v>
      </c>
      <c r="AX569" s="61">
        <f t="shared" si="265"/>
        <v>0.2151247564615236</v>
      </c>
      <c r="AY569" s="61">
        <f t="shared" si="265"/>
        <v>0.30917777428216603</v>
      </c>
      <c r="AZ569" s="61">
        <f t="shared" si="265"/>
        <v>0.40323079210280843</v>
      </c>
      <c r="BA569" s="61">
        <f t="shared" si="265"/>
        <v>0.64850810003989967</v>
      </c>
      <c r="BB569" s="61">
        <f t="shared" si="265"/>
        <v>0.65181930815597089</v>
      </c>
      <c r="BC569" s="61">
        <f t="shared" si="265"/>
        <v>0.77168112176833836</v>
      </c>
      <c r="BD569" s="61">
        <f t="shared" si="265"/>
        <v>0.96300578059041864</v>
      </c>
      <c r="BE569" s="61">
        <f t="shared" si="265"/>
        <v>1</v>
      </c>
      <c r="BF569" s="61">
        <f t="shared" si="265"/>
        <v>1</v>
      </c>
      <c r="BG569" s="61">
        <f t="shared" si="265"/>
        <v>1</v>
      </c>
      <c r="BH569" s="61">
        <f t="shared" si="265"/>
        <v>1</v>
      </c>
      <c r="BI569" s="61">
        <f t="shared" si="265"/>
        <v>1</v>
      </c>
      <c r="BJ569" s="61">
        <f t="shared" si="265"/>
        <v>1</v>
      </c>
      <c r="BK569" s="61">
        <f t="shared" si="265"/>
        <v>1</v>
      </c>
      <c r="BL569" s="61">
        <f t="shared" si="265"/>
        <v>1</v>
      </c>
      <c r="BM569" s="61">
        <f t="shared" si="265"/>
        <v>1</v>
      </c>
      <c r="BN569" s="61">
        <f t="shared" si="265"/>
        <v>1</v>
      </c>
      <c r="BO569" s="32">
        <f t="shared" si="246"/>
        <v>0.24137852966989518</v>
      </c>
    </row>
    <row r="570" spans="1:67" ht="24" x14ac:dyDescent="0.2">
      <c r="A570" s="50" t="s">
        <v>1148</v>
      </c>
      <c r="B570" s="50" t="s">
        <v>1149</v>
      </c>
      <c r="C570" s="50" t="s">
        <v>74</v>
      </c>
      <c r="D570" s="51">
        <f>VLOOKUP(A570,'[1]Cuadro Control'!C613:J2500,8,FALSE)</f>
        <v>83271780.884117648</v>
      </c>
      <c r="E570" s="52">
        <f t="shared" ref="E570:E584" si="266">IFERROR(D570/$D$569,0)</f>
        <v>1.5685397839984384E-2</v>
      </c>
      <c r="F570" s="53">
        <v>46477</v>
      </c>
      <c r="G570" s="53">
        <v>46484</v>
      </c>
      <c r="H570" s="52">
        <f t="shared" ref="H570:BN574" si="267">IF($F570=0,0,IF(H$6&lt;$F570,0,IF(H$6&gt;$G570,1,(H$6-$F570+1)/($G570-$F570+1))))</f>
        <v>0</v>
      </c>
      <c r="I570" s="52">
        <f t="shared" si="267"/>
        <v>0</v>
      </c>
      <c r="J570" s="52">
        <f t="shared" si="267"/>
        <v>0</v>
      </c>
      <c r="K570" s="52">
        <f t="shared" si="267"/>
        <v>0</v>
      </c>
      <c r="L570" s="52">
        <f t="shared" si="267"/>
        <v>0</v>
      </c>
      <c r="M570" s="52">
        <f t="shared" si="267"/>
        <v>0</v>
      </c>
      <c r="N570" s="52">
        <f t="shared" si="267"/>
        <v>0</v>
      </c>
      <c r="O570" s="52">
        <f t="shared" si="267"/>
        <v>0</v>
      </c>
      <c r="P570" s="52">
        <f t="shared" si="267"/>
        <v>0</v>
      </c>
      <c r="Q570" s="52">
        <f t="shared" si="267"/>
        <v>0</v>
      </c>
      <c r="R570" s="52">
        <f t="shared" si="267"/>
        <v>0</v>
      </c>
      <c r="S570" s="52">
        <f t="shared" si="267"/>
        <v>0</v>
      </c>
      <c r="T570" s="52">
        <f t="shared" si="267"/>
        <v>0</v>
      </c>
      <c r="U570" s="52">
        <f t="shared" si="267"/>
        <v>0</v>
      </c>
      <c r="V570" s="52">
        <f t="shared" si="267"/>
        <v>0</v>
      </c>
      <c r="W570" s="52">
        <f t="shared" si="267"/>
        <v>0</v>
      </c>
      <c r="X570" s="52">
        <f t="shared" si="267"/>
        <v>0</v>
      </c>
      <c r="Y570" s="52">
        <f t="shared" si="267"/>
        <v>0</v>
      </c>
      <c r="Z570" s="52">
        <f t="shared" si="267"/>
        <v>0</v>
      </c>
      <c r="AA570" s="52">
        <f t="shared" si="267"/>
        <v>0</v>
      </c>
      <c r="AB570" s="52">
        <f t="shared" si="267"/>
        <v>0</v>
      </c>
      <c r="AC570" s="52">
        <f t="shared" si="267"/>
        <v>0</v>
      </c>
      <c r="AD570" s="52">
        <f t="shared" si="267"/>
        <v>0</v>
      </c>
      <c r="AE570" s="52">
        <f t="shared" si="267"/>
        <v>0</v>
      </c>
      <c r="AF570" s="52">
        <f t="shared" si="267"/>
        <v>0</v>
      </c>
      <c r="AG570" s="52">
        <f t="shared" si="267"/>
        <v>0</v>
      </c>
      <c r="AH570" s="52">
        <f t="shared" si="267"/>
        <v>0</v>
      </c>
      <c r="AI570" s="52">
        <f t="shared" si="267"/>
        <v>0</v>
      </c>
      <c r="AJ570" s="52">
        <f t="shared" si="267"/>
        <v>0</v>
      </c>
      <c r="AK570" s="52">
        <f t="shared" si="267"/>
        <v>0</v>
      </c>
      <c r="AL570" s="52">
        <f t="shared" si="267"/>
        <v>0</v>
      </c>
      <c r="AM570" s="52">
        <f t="shared" si="267"/>
        <v>0</v>
      </c>
      <c r="AN570" s="52">
        <f t="shared" si="267"/>
        <v>0</v>
      </c>
      <c r="AO570" s="52">
        <f t="shared" si="267"/>
        <v>0</v>
      </c>
      <c r="AP570" s="52">
        <f t="shared" si="267"/>
        <v>0</v>
      </c>
      <c r="AQ570" s="52">
        <f t="shared" si="267"/>
        <v>0</v>
      </c>
      <c r="AR570" s="52">
        <f t="shared" si="267"/>
        <v>0</v>
      </c>
      <c r="AS570" s="52">
        <f t="shared" si="267"/>
        <v>0</v>
      </c>
      <c r="AT570" s="52">
        <f t="shared" si="267"/>
        <v>0.375</v>
      </c>
      <c r="AU570" s="52">
        <f t="shared" si="267"/>
        <v>1</v>
      </c>
      <c r="AV570" s="52">
        <f t="shared" si="267"/>
        <v>1</v>
      </c>
      <c r="AW570" s="52">
        <f t="shared" si="267"/>
        <v>1</v>
      </c>
      <c r="AX570" s="52">
        <f t="shared" si="267"/>
        <v>1</v>
      </c>
      <c r="AY570" s="52">
        <f t="shared" si="267"/>
        <v>1</v>
      </c>
      <c r="AZ570" s="52">
        <f t="shared" si="267"/>
        <v>1</v>
      </c>
      <c r="BA570" s="52">
        <f t="shared" si="267"/>
        <v>1</v>
      </c>
      <c r="BB570" s="52">
        <f t="shared" si="267"/>
        <v>1</v>
      </c>
      <c r="BC570" s="52">
        <f t="shared" si="267"/>
        <v>1</v>
      </c>
      <c r="BD570" s="52">
        <f t="shared" si="267"/>
        <v>1</v>
      </c>
      <c r="BE570" s="52">
        <f t="shared" si="267"/>
        <v>1</v>
      </c>
      <c r="BF570" s="52">
        <f t="shared" si="267"/>
        <v>1</v>
      </c>
      <c r="BG570" s="52">
        <f t="shared" si="267"/>
        <v>1</v>
      </c>
      <c r="BH570" s="52">
        <f t="shared" si="267"/>
        <v>1</v>
      </c>
      <c r="BI570" s="52">
        <f t="shared" si="267"/>
        <v>1</v>
      </c>
      <c r="BJ570" s="52">
        <f t="shared" si="267"/>
        <v>1</v>
      </c>
      <c r="BK570" s="52">
        <f t="shared" si="267"/>
        <v>1</v>
      </c>
      <c r="BL570" s="52">
        <f t="shared" si="267"/>
        <v>1</v>
      </c>
      <c r="BM570" s="52">
        <f t="shared" si="267"/>
        <v>1</v>
      </c>
      <c r="BN570" s="52">
        <f t="shared" si="267"/>
        <v>1</v>
      </c>
      <c r="BO570" s="32">
        <f t="shared" si="246"/>
        <v>0.34533898305084748</v>
      </c>
    </row>
    <row r="571" spans="1:67" x14ac:dyDescent="0.2">
      <c r="A571" s="50" t="s">
        <v>1150</v>
      </c>
      <c r="B571" s="50" t="s">
        <v>1151</v>
      </c>
      <c r="C571" s="50" t="s">
        <v>61</v>
      </c>
      <c r="D571" s="51">
        <f>VLOOKUP(A571,'[1]Cuadro Control'!C614:J2501,8,FALSE)</f>
        <v>312374505.66882348</v>
      </c>
      <c r="E571" s="52">
        <f t="shared" si="266"/>
        <v>5.8840081771548515E-2</v>
      </c>
      <c r="F571" s="53">
        <v>46484</v>
      </c>
      <c r="G571" s="53">
        <v>46491</v>
      </c>
      <c r="H571" s="52">
        <f t="shared" si="267"/>
        <v>0</v>
      </c>
      <c r="I571" s="52">
        <f t="shared" si="267"/>
        <v>0</v>
      </c>
      <c r="J571" s="52">
        <f t="shared" si="267"/>
        <v>0</v>
      </c>
      <c r="K571" s="52">
        <f t="shared" si="267"/>
        <v>0</v>
      </c>
      <c r="L571" s="52">
        <f t="shared" si="267"/>
        <v>0</v>
      </c>
      <c r="M571" s="52">
        <f t="shared" si="267"/>
        <v>0</v>
      </c>
      <c r="N571" s="52">
        <f t="shared" si="267"/>
        <v>0</v>
      </c>
      <c r="O571" s="52">
        <f t="shared" si="267"/>
        <v>0</v>
      </c>
      <c r="P571" s="52">
        <f t="shared" si="267"/>
        <v>0</v>
      </c>
      <c r="Q571" s="52">
        <f t="shared" si="267"/>
        <v>0</v>
      </c>
      <c r="R571" s="52">
        <f t="shared" si="267"/>
        <v>0</v>
      </c>
      <c r="S571" s="52">
        <f t="shared" si="267"/>
        <v>0</v>
      </c>
      <c r="T571" s="52">
        <f t="shared" si="267"/>
        <v>0</v>
      </c>
      <c r="U571" s="52">
        <f t="shared" si="267"/>
        <v>0</v>
      </c>
      <c r="V571" s="52">
        <f t="shared" si="267"/>
        <v>0</v>
      </c>
      <c r="W571" s="52">
        <f t="shared" si="267"/>
        <v>0</v>
      </c>
      <c r="X571" s="52">
        <f t="shared" si="267"/>
        <v>0</v>
      </c>
      <c r="Y571" s="52">
        <f t="shared" si="267"/>
        <v>0</v>
      </c>
      <c r="Z571" s="52">
        <f t="shared" si="267"/>
        <v>0</v>
      </c>
      <c r="AA571" s="52">
        <f t="shared" si="267"/>
        <v>0</v>
      </c>
      <c r="AB571" s="52">
        <f t="shared" si="267"/>
        <v>0</v>
      </c>
      <c r="AC571" s="52">
        <f t="shared" si="267"/>
        <v>0</v>
      </c>
      <c r="AD571" s="52">
        <f t="shared" si="267"/>
        <v>0</v>
      </c>
      <c r="AE571" s="52">
        <f t="shared" si="267"/>
        <v>0</v>
      </c>
      <c r="AF571" s="52">
        <f t="shared" si="267"/>
        <v>0</v>
      </c>
      <c r="AG571" s="52">
        <f t="shared" si="267"/>
        <v>0</v>
      </c>
      <c r="AH571" s="52">
        <f t="shared" si="267"/>
        <v>0</v>
      </c>
      <c r="AI571" s="52">
        <f t="shared" si="267"/>
        <v>0</v>
      </c>
      <c r="AJ571" s="52">
        <f t="shared" si="267"/>
        <v>0</v>
      </c>
      <c r="AK571" s="52">
        <f t="shared" si="267"/>
        <v>0</v>
      </c>
      <c r="AL571" s="52">
        <f t="shared" si="267"/>
        <v>0</v>
      </c>
      <c r="AM571" s="52">
        <f t="shared" si="267"/>
        <v>0</v>
      </c>
      <c r="AN571" s="52">
        <f t="shared" si="267"/>
        <v>0</v>
      </c>
      <c r="AO571" s="52">
        <f t="shared" si="267"/>
        <v>0</v>
      </c>
      <c r="AP571" s="52">
        <f t="shared" si="267"/>
        <v>0</v>
      </c>
      <c r="AQ571" s="52">
        <f t="shared" si="267"/>
        <v>0</v>
      </c>
      <c r="AR571" s="52">
        <f t="shared" si="267"/>
        <v>0</v>
      </c>
      <c r="AS571" s="52">
        <f t="shared" si="267"/>
        <v>0</v>
      </c>
      <c r="AT571" s="52">
        <f t="shared" si="267"/>
        <v>0</v>
      </c>
      <c r="AU571" s="52">
        <f t="shared" si="267"/>
        <v>0.375</v>
      </c>
      <c r="AV571" s="52">
        <f t="shared" si="267"/>
        <v>1</v>
      </c>
      <c r="AW571" s="52">
        <f t="shared" si="267"/>
        <v>1</v>
      </c>
      <c r="AX571" s="52">
        <f t="shared" si="267"/>
        <v>1</v>
      </c>
      <c r="AY571" s="52">
        <f t="shared" si="267"/>
        <v>1</v>
      </c>
      <c r="AZ571" s="52">
        <f t="shared" si="267"/>
        <v>1</v>
      </c>
      <c r="BA571" s="52">
        <f t="shared" si="267"/>
        <v>1</v>
      </c>
      <c r="BB571" s="52">
        <f t="shared" si="267"/>
        <v>1</v>
      </c>
      <c r="BC571" s="52">
        <f t="shared" si="267"/>
        <v>1</v>
      </c>
      <c r="BD571" s="52">
        <f t="shared" si="267"/>
        <v>1</v>
      </c>
      <c r="BE571" s="52">
        <f t="shared" si="267"/>
        <v>1</v>
      </c>
      <c r="BF571" s="52">
        <f t="shared" si="267"/>
        <v>1</v>
      </c>
      <c r="BG571" s="52">
        <f t="shared" si="267"/>
        <v>1</v>
      </c>
      <c r="BH571" s="52">
        <f t="shared" si="267"/>
        <v>1</v>
      </c>
      <c r="BI571" s="52">
        <f t="shared" si="267"/>
        <v>1</v>
      </c>
      <c r="BJ571" s="52">
        <f t="shared" si="267"/>
        <v>1</v>
      </c>
      <c r="BK571" s="52">
        <f t="shared" si="267"/>
        <v>1</v>
      </c>
      <c r="BL571" s="52">
        <f t="shared" si="267"/>
        <v>1</v>
      </c>
      <c r="BM571" s="52">
        <f t="shared" si="267"/>
        <v>1</v>
      </c>
      <c r="BN571" s="52">
        <f t="shared" si="267"/>
        <v>1</v>
      </c>
      <c r="BO571" s="32">
        <f t="shared" si="246"/>
        <v>0.32838983050847459</v>
      </c>
    </row>
    <row r="572" spans="1:67" ht="15" x14ac:dyDescent="0.2">
      <c r="A572" s="46" t="s">
        <v>1152</v>
      </c>
      <c r="B572" s="46" t="s">
        <v>1153</v>
      </c>
      <c r="C572" s="46" t="s">
        <v>126</v>
      </c>
      <c r="D572" s="47">
        <f>VLOOKUP(A572,'[1]Cuadro Control'!C615:J2502,8,FALSE)</f>
        <v>9527825.6870364472</v>
      </c>
      <c r="E572" s="48">
        <f t="shared" si="266"/>
        <v>1.794698454439963E-3</v>
      </c>
      <c r="F572" s="49">
        <v>46491</v>
      </c>
      <c r="G572" s="49">
        <v>46494</v>
      </c>
      <c r="H572" s="48">
        <f t="shared" si="267"/>
        <v>0</v>
      </c>
      <c r="I572" s="48">
        <f t="shared" si="267"/>
        <v>0</v>
      </c>
      <c r="J572" s="48">
        <f t="shared" si="267"/>
        <v>0</v>
      </c>
      <c r="K572" s="48">
        <f t="shared" si="267"/>
        <v>0</v>
      </c>
      <c r="L572" s="48">
        <f t="shared" si="267"/>
        <v>0</v>
      </c>
      <c r="M572" s="48">
        <f t="shared" si="267"/>
        <v>0</v>
      </c>
      <c r="N572" s="48">
        <f t="shared" si="267"/>
        <v>0</v>
      </c>
      <c r="O572" s="48">
        <f t="shared" si="267"/>
        <v>0</v>
      </c>
      <c r="P572" s="48">
        <f t="shared" si="267"/>
        <v>0</v>
      </c>
      <c r="Q572" s="48">
        <f t="shared" si="267"/>
        <v>0</v>
      </c>
      <c r="R572" s="48">
        <f t="shared" si="267"/>
        <v>0</v>
      </c>
      <c r="S572" s="48">
        <f t="shared" si="267"/>
        <v>0</v>
      </c>
      <c r="T572" s="48">
        <f t="shared" si="267"/>
        <v>0</v>
      </c>
      <c r="U572" s="48">
        <f t="shared" si="267"/>
        <v>0</v>
      </c>
      <c r="V572" s="48">
        <f t="shared" si="267"/>
        <v>0</v>
      </c>
      <c r="W572" s="48">
        <f t="shared" si="267"/>
        <v>0</v>
      </c>
      <c r="X572" s="48">
        <f t="shared" si="267"/>
        <v>0</v>
      </c>
      <c r="Y572" s="48">
        <f t="shared" si="267"/>
        <v>0</v>
      </c>
      <c r="Z572" s="48">
        <f t="shared" si="267"/>
        <v>0</v>
      </c>
      <c r="AA572" s="48">
        <f t="shared" si="267"/>
        <v>0</v>
      </c>
      <c r="AB572" s="48">
        <f t="shared" si="267"/>
        <v>0</v>
      </c>
      <c r="AC572" s="48">
        <f t="shared" si="267"/>
        <v>0</v>
      </c>
      <c r="AD572" s="48">
        <f t="shared" si="267"/>
        <v>0</v>
      </c>
      <c r="AE572" s="48">
        <f t="shared" si="267"/>
        <v>0</v>
      </c>
      <c r="AF572" s="48">
        <f t="shared" si="267"/>
        <v>0</v>
      </c>
      <c r="AG572" s="48">
        <f t="shared" si="267"/>
        <v>0</v>
      </c>
      <c r="AH572" s="48">
        <f t="shared" si="267"/>
        <v>0</v>
      </c>
      <c r="AI572" s="48">
        <f t="shared" si="267"/>
        <v>0</v>
      </c>
      <c r="AJ572" s="48">
        <f t="shared" si="267"/>
        <v>0</v>
      </c>
      <c r="AK572" s="48">
        <f t="shared" si="267"/>
        <v>0</v>
      </c>
      <c r="AL572" s="48">
        <f t="shared" si="267"/>
        <v>0</v>
      </c>
      <c r="AM572" s="48">
        <f t="shared" si="267"/>
        <v>0</v>
      </c>
      <c r="AN572" s="48">
        <f t="shared" si="267"/>
        <v>0</v>
      </c>
      <c r="AO572" s="48">
        <f t="shared" si="267"/>
        <v>0</v>
      </c>
      <c r="AP572" s="48">
        <f t="shared" si="267"/>
        <v>0</v>
      </c>
      <c r="AQ572" s="48">
        <f t="shared" si="267"/>
        <v>0</v>
      </c>
      <c r="AR572" s="48">
        <f t="shared" si="267"/>
        <v>0</v>
      </c>
      <c r="AS572" s="48">
        <f t="shared" si="267"/>
        <v>0</v>
      </c>
      <c r="AT572" s="48">
        <f t="shared" si="267"/>
        <v>0</v>
      </c>
      <c r="AU572" s="48">
        <f t="shared" si="267"/>
        <v>0</v>
      </c>
      <c r="AV572" s="48">
        <f t="shared" si="267"/>
        <v>0.75</v>
      </c>
      <c r="AW572" s="48">
        <f t="shared" si="267"/>
        <v>1</v>
      </c>
      <c r="AX572" s="48">
        <f t="shared" si="267"/>
        <v>1</v>
      </c>
      <c r="AY572" s="48">
        <f t="shared" si="267"/>
        <v>1</v>
      </c>
      <c r="AZ572" s="48">
        <f t="shared" si="267"/>
        <v>1</v>
      </c>
      <c r="BA572" s="48">
        <f t="shared" si="267"/>
        <v>1</v>
      </c>
      <c r="BB572" s="48">
        <f t="shared" si="267"/>
        <v>1</v>
      </c>
      <c r="BC572" s="48">
        <f t="shared" si="267"/>
        <v>1</v>
      </c>
      <c r="BD572" s="48">
        <f t="shared" si="267"/>
        <v>1</v>
      </c>
      <c r="BE572" s="48">
        <f t="shared" si="267"/>
        <v>1</v>
      </c>
      <c r="BF572" s="48">
        <f t="shared" si="267"/>
        <v>1</v>
      </c>
      <c r="BG572" s="48">
        <f t="shared" si="267"/>
        <v>1</v>
      </c>
      <c r="BH572" s="48">
        <f t="shared" si="267"/>
        <v>1</v>
      </c>
      <c r="BI572" s="48">
        <f t="shared" si="267"/>
        <v>1</v>
      </c>
      <c r="BJ572" s="48">
        <f t="shared" si="267"/>
        <v>1</v>
      </c>
      <c r="BK572" s="48">
        <f t="shared" si="267"/>
        <v>1</v>
      </c>
      <c r="BL572" s="48">
        <f t="shared" si="267"/>
        <v>1</v>
      </c>
      <c r="BM572" s="48">
        <f t="shared" si="267"/>
        <v>1</v>
      </c>
      <c r="BN572" s="48">
        <f t="shared" si="267"/>
        <v>1</v>
      </c>
      <c r="BO572" s="32">
        <f t="shared" si="246"/>
        <v>0.31779661016949151</v>
      </c>
    </row>
    <row r="573" spans="1:67" x14ac:dyDescent="0.2">
      <c r="A573" s="50" t="s">
        <v>1154</v>
      </c>
      <c r="B573" s="50" t="s">
        <v>1155</v>
      </c>
      <c r="C573" s="50" t="s">
        <v>117</v>
      </c>
      <c r="D573" s="51">
        <f>VLOOKUP(A573,'[1]Cuadro Control'!C616:J2503,8,FALSE)</f>
        <v>320494616.71764702</v>
      </c>
      <c r="E573" s="52">
        <f t="shared" si="266"/>
        <v>6.0369617599332674E-2</v>
      </c>
      <c r="F573" s="53">
        <v>46494</v>
      </c>
      <c r="G573" s="53">
        <v>46498</v>
      </c>
      <c r="H573" s="52">
        <f t="shared" si="267"/>
        <v>0</v>
      </c>
      <c r="I573" s="52">
        <f t="shared" si="267"/>
        <v>0</v>
      </c>
      <c r="J573" s="52">
        <f t="shared" si="267"/>
        <v>0</v>
      </c>
      <c r="K573" s="52">
        <f t="shared" si="267"/>
        <v>0</v>
      </c>
      <c r="L573" s="52">
        <f t="shared" si="267"/>
        <v>0</v>
      </c>
      <c r="M573" s="52">
        <f t="shared" si="267"/>
        <v>0</v>
      </c>
      <c r="N573" s="52">
        <f t="shared" si="267"/>
        <v>0</v>
      </c>
      <c r="O573" s="52">
        <f t="shared" si="267"/>
        <v>0</v>
      </c>
      <c r="P573" s="52">
        <f t="shared" si="267"/>
        <v>0</v>
      </c>
      <c r="Q573" s="52">
        <f t="shared" si="267"/>
        <v>0</v>
      </c>
      <c r="R573" s="52">
        <f t="shared" si="267"/>
        <v>0</v>
      </c>
      <c r="S573" s="52">
        <f t="shared" si="267"/>
        <v>0</v>
      </c>
      <c r="T573" s="52">
        <f t="shared" si="267"/>
        <v>0</v>
      </c>
      <c r="U573" s="52">
        <f t="shared" si="267"/>
        <v>0</v>
      </c>
      <c r="V573" s="52">
        <f t="shared" si="267"/>
        <v>0</v>
      </c>
      <c r="W573" s="52">
        <f t="shared" si="267"/>
        <v>0</v>
      </c>
      <c r="X573" s="52">
        <f t="shared" si="267"/>
        <v>0</v>
      </c>
      <c r="Y573" s="52">
        <f t="shared" si="267"/>
        <v>0</v>
      </c>
      <c r="Z573" s="52">
        <f t="shared" si="267"/>
        <v>0</v>
      </c>
      <c r="AA573" s="52">
        <f t="shared" si="267"/>
        <v>0</v>
      </c>
      <c r="AB573" s="52">
        <f t="shared" si="267"/>
        <v>0</v>
      </c>
      <c r="AC573" s="52">
        <f t="shared" si="267"/>
        <v>0</v>
      </c>
      <c r="AD573" s="52">
        <f t="shared" si="267"/>
        <v>0</v>
      </c>
      <c r="AE573" s="52">
        <f t="shared" si="267"/>
        <v>0</v>
      </c>
      <c r="AF573" s="52">
        <f t="shared" si="267"/>
        <v>0</v>
      </c>
      <c r="AG573" s="52">
        <f t="shared" si="267"/>
        <v>0</v>
      </c>
      <c r="AH573" s="52">
        <f t="shared" si="267"/>
        <v>0</v>
      </c>
      <c r="AI573" s="52">
        <f t="shared" si="267"/>
        <v>0</v>
      </c>
      <c r="AJ573" s="52">
        <f t="shared" si="267"/>
        <v>0</v>
      </c>
      <c r="AK573" s="52">
        <f t="shared" si="267"/>
        <v>0</v>
      </c>
      <c r="AL573" s="52">
        <f t="shared" si="267"/>
        <v>0</v>
      </c>
      <c r="AM573" s="52">
        <f t="shared" si="267"/>
        <v>0</v>
      </c>
      <c r="AN573" s="52">
        <f t="shared" si="267"/>
        <v>0</v>
      </c>
      <c r="AO573" s="52">
        <f t="shared" si="267"/>
        <v>0</v>
      </c>
      <c r="AP573" s="52">
        <f t="shared" si="267"/>
        <v>0</v>
      </c>
      <c r="AQ573" s="52">
        <f t="shared" si="267"/>
        <v>0</v>
      </c>
      <c r="AR573" s="52">
        <f t="shared" si="267"/>
        <v>0</v>
      </c>
      <c r="AS573" s="52">
        <f t="shared" si="267"/>
        <v>0</v>
      </c>
      <c r="AT573" s="52">
        <f t="shared" si="267"/>
        <v>0</v>
      </c>
      <c r="AU573" s="52">
        <f t="shared" si="267"/>
        <v>0</v>
      </c>
      <c r="AV573" s="52">
        <f t="shared" si="267"/>
        <v>0</v>
      </c>
      <c r="AW573" s="52">
        <f t="shared" si="267"/>
        <v>1</v>
      </c>
      <c r="AX573" s="52">
        <f t="shared" si="267"/>
        <v>1</v>
      </c>
      <c r="AY573" s="52">
        <f t="shared" si="267"/>
        <v>1</v>
      </c>
      <c r="AZ573" s="52">
        <f t="shared" si="267"/>
        <v>1</v>
      </c>
      <c r="BA573" s="52">
        <f t="shared" si="267"/>
        <v>1</v>
      </c>
      <c r="BB573" s="52">
        <f t="shared" si="267"/>
        <v>1</v>
      </c>
      <c r="BC573" s="52">
        <f t="shared" si="267"/>
        <v>1</v>
      </c>
      <c r="BD573" s="52">
        <f t="shared" si="267"/>
        <v>1</v>
      </c>
      <c r="BE573" s="52">
        <f t="shared" si="267"/>
        <v>1</v>
      </c>
      <c r="BF573" s="52">
        <f t="shared" si="267"/>
        <v>1</v>
      </c>
      <c r="BG573" s="52">
        <f t="shared" si="267"/>
        <v>1</v>
      </c>
      <c r="BH573" s="52">
        <f t="shared" si="267"/>
        <v>1</v>
      </c>
      <c r="BI573" s="52">
        <f t="shared" si="267"/>
        <v>1</v>
      </c>
      <c r="BJ573" s="52">
        <f t="shared" si="267"/>
        <v>1</v>
      </c>
      <c r="BK573" s="52">
        <f t="shared" si="267"/>
        <v>1</v>
      </c>
      <c r="BL573" s="52">
        <f t="shared" si="267"/>
        <v>1</v>
      </c>
      <c r="BM573" s="52">
        <f t="shared" si="267"/>
        <v>1</v>
      </c>
      <c r="BN573" s="52">
        <f t="shared" si="267"/>
        <v>1</v>
      </c>
      <c r="BO573" s="32">
        <f t="shared" si="246"/>
        <v>0.30508474576271188</v>
      </c>
    </row>
    <row r="574" spans="1:67" x14ac:dyDescent="0.2">
      <c r="A574" s="50" t="s">
        <v>1156</v>
      </c>
      <c r="B574" s="50" t="s">
        <v>1157</v>
      </c>
      <c r="C574" s="50" t="s">
        <v>111</v>
      </c>
      <c r="D574" s="51">
        <f>VLOOKUP(A574,'[1]Cuadro Control'!C617:J2504,8,FALSE)</f>
        <v>94303618.549411759</v>
      </c>
      <c r="E574" s="52">
        <f t="shared" si="266"/>
        <v>1.7763397864110998E-2</v>
      </c>
      <c r="F574" s="53">
        <v>46499</v>
      </c>
      <c r="G574" s="53">
        <v>46500</v>
      </c>
      <c r="H574" s="52">
        <f t="shared" si="267"/>
        <v>0</v>
      </c>
      <c r="I574" s="52">
        <f t="shared" si="267"/>
        <v>0</v>
      </c>
      <c r="J574" s="52">
        <f t="shared" si="267"/>
        <v>0</v>
      </c>
      <c r="K574" s="52">
        <f t="shared" si="267"/>
        <v>0</v>
      </c>
      <c r="L574" s="52">
        <f t="shared" si="267"/>
        <v>0</v>
      </c>
      <c r="M574" s="52">
        <f t="shared" si="267"/>
        <v>0</v>
      </c>
      <c r="N574" s="52">
        <f t="shared" si="267"/>
        <v>0</v>
      </c>
      <c r="O574" s="52">
        <f t="shared" si="267"/>
        <v>0</v>
      </c>
      <c r="P574" s="52">
        <f t="shared" si="267"/>
        <v>0</v>
      </c>
      <c r="Q574" s="52">
        <f t="shared" si="267"/>
        <v>0</v>
      </c>
      <c r="R574" s="52">
        <f t="shared" si="267"/>
        <v>0</v>
      </c>
      <c r="S574" s="52">
        <f t="shared" si="267"/>
        <v>0</v>
      </c>
      <c r="T574" s="52">
        <f t="shared" si="267"/>
        <v>0</v>
      </c>
      <c r="U574" s="52">
        <f t="shared" si="267"/>
        <v>0</v>
      </c>
      <c r="V574" s="52">
        <f t="shared" si="267"/>
        <v>0</v>
      </c>
      <c r="W574" s="52">
        <f t="shared" si="267"/>
        <v>0</v>
      </c>
      <c r="X574" s="52">
        <f t="shared" si="267"/>
        <v>0</v>
      </c>
      <c r="Y574" s="52">
        <f t="shared" si="267"/>
        <v>0</v>
      </c>
      <c r="Z574" s="52">
        <f t="shared" si="267"/>
        <v>0</v>
      </c>
      <c r="AA574" s="52">
        <f t="shared" ref="AA574:BF585" si="268">IF($F574=0,0,IF(AA$6&lt;$F574,0,IF(AA$6&gt;$G574,1,(AA$6-$F574+1)/($G574-$F574+1))))</f>
        <v>0</v>
      </c>
      <c r="AB574" s="52">
        <f t="shared" si="268"/>
        <v>0</v>
      </c>
      <c r="AC574" s="52">
        <f t="shared" si="268"/>
        <v>0</v>
      </c>
      <c r="AD574" s="52">
        <f t="shared" si="268"/>
        <v>0</v>
      </c>
      <c r="AE574" s="52">
        <f t="shared" si="268"/>
        <v>0</v>
      </c>
      <c r="AF574" s="52">
        <f t="shared" si="268"/>
        <v>0</v>
      </c>
      <c r="AG574" s="52">
        <f t="shared" si="268"/>
        <v>0</v>
      </c>
      <c r="AH574" s="52">
        <f t="shared" si="268"/>
        <v>0</v>
      </c>
      <c r="AI574" s="52">
        <f t="shared" si="268"/>
        <v>0</v>
      </c>
      <c r="AJ574" s="52">
        <f t="shared" si="268"/>
        <v>0</v>
      </c>
      <c r="AK574" s="52">
        <f t="shared" si="268"/>
        <v>0</v>
      </c>
      <c r="AL574" s="52">
        <f t="shared" si="268"/>
        <v>0</v>
      </c>
      <c r="AM574" s="52">
        <f t="shared" si="268"/>
        <v>0</v>
      </c>
      <c r="AN574" s="52">
        <f t="shared" si="268"/>
        <v>0</v>
      </c>
      <c r="AO574" s="52">
        <f t="shared" si="268"/>
        <v>0</v>
      </c>
      <c r="AP574" s="52">
        <f t="shared" si="268"/>
        <v>0</v>
      </c>
      <c r="AQ574" s="52">
        <f t="shared" si="268"/>
        <v>0</v>
      </c>
      <c r="AR574" s="52">
        <f t="shared" si="268"/>
        <v>0</v>
      </c>
      <c r="AS574" s="52">
        <f t="shared" si="268"/>
        <v>0</v>
      </c>
      <c r="AT574" s="52">
        <f t="shared" si="268"/>
        <v>0</v>
      </c>
      <c r="AU574" s="52">
        <f t="shared" si="268"/>
        <v>0</v>
      </c>
      <c r="AV574" s="52">
        <f t="shared" si="268"/>
        <v>0</v>
      </c>
      <c r="AW574" s="52">
        <f t="shared" si="268"/>
        <v>1</v>
      </c>
      <c r="AX574" s="52">
        <f t="shared" si="268"/>
        <v>1</v>
      </c>
      <c r="AY574" s="52">
        <f t="shared" si="268"/>
        <v>1</v>
      </c>
      <c r="AZ574" s="52">
        <f t="shared" si="268"/>
        <v>1</v>
      </c>
      <c r="BA574" s="52">
        <f t="shared" si="268"/>
        <v>1</v>
      </c>
      <c r="BB574" s="52">
        <f t="shared" si="268"/>
        <v>1</v>
      </c>
      <c r="BC574" s="52">
        <f t="shared" si="268"/>
        <v>1</v>
      </c>
      <c r="BD574" s="52">
        <f t="shared" si="268"/>
        <v>1</v>
      </c>
      <c r="BE574" s="52">
        <f t="shared" si="268"/>
        <v>1</v>
      </c>
      <c r="BF574" s="52">
        <f t="shared" si="268"/>
        <v>1</v>
      </c>
      <c r="BG574" s="52">
        <f t="shared" ref="BG574:BN585" si="269">IF($F574=0,0,IF(BG$6&lt;$F574,0,IF(BG$6&gt;$G574,1,(BG$6-$F574+1)/($G574-$F574+1))))</f>
        <v>1</v>
      </c>
      <c r="BH574" s="52">
        <f t="shared" si="269"/>
        <v>1</v>
      </c>
      <c r="BI574" s="52">
        <f t="shared" si="269"/>
        <v>1</v>
      </c>
      <c r="BJ574" s="52">
        <f t="shared" si="269"/>
        <v>1</v>
      </c>
      <c r="BK574" s="52">
        <f t="shared" si="269"/>
        <v>1</v>
      </c>
      <c r="BL574" s="52">
        <f t="shared" si="269"/>
        <v>1</v>
      </c>
      <c r="BM574" s="52">
        <f t="shared" si="269"/>
        <v>1</v>
      </c>
      <c r="BN574" s="52">
        <f t="shared" si="269"/>
        <v>1</v>
      </c>
      <c r="BO574" s="32">
        <f t="shared" si="246"/>
        <v>0.30508474576271188</v>
      </c>
    </row>
    <row r="575" spans="1:67" x14ac:dyDescent="0.2">
      <c r="A575" s="50" t="s">
        <v>1158</v>
      </c>
      <c r="B575" s="50" t="s">
        <v>1159</v>
      </c>
      <c r="C575" s="50" t="s">
        <v>238</v>
      </c>
      <c r="D575" s="51">
        <f>VLOOKUP(A575,'[1]Cuadro Control'!C618:J2505,8,FALSE)</f>
        <v>179436034.15411764</v>
      </c>
      <c r="E575" s="52">
        <f t="shared" si="266"/>
        <v>3.3799272126209236E-2</v>
      </c>
      <c r="F575" s="53">
        <v>46500</v>
      </c>
      <c r="G575" s="53">
        <v>46506</v>
      </c>
      <c r="H575" s="52">
        <f t="shared" ref="H575:W585" si="270">IF($F575=0,0,IF(H$6&lt;$F575,0,IF(H$6&gt;$G575,1,(H$6-$F575+1)/($G575-$F575+1))))</f>
        <v>0</v>
      </c>
      <c r="I575" s="52">
        <f t="shared" si="270"/>
        <v>0</v>
      </c>
      <c r="J575" s="52">
        <f t="shared" si="270"/>
        <v>0</v>
      </c>
      <c r="K575" s="52">
        <f t="shared" si="270"/>
        <v>0</v>
      </c>
      <c r="L575" s="52">
        <f t="shared" si="270"/>
        <v>0</v>
      </c>
      <c r="M575" s="52">
        <f t="shared" si="270"/>
        <v>0</v>
      </c>
      <c r="N575" s="52">
        <f t="shared" si="270"/>
        <v>0</v>
      </c>
      <c r="O575" s="52">
        <f t="shared" si="270"/>
        <v>0</v>
      </c>
      <c r="P575" s="52">
        <f t="shared" si="270"/>
        <v>0</v>
      </c>
      <c r="Q575" s="52">
        <f t="shared" si="270"/>
        <v>0</v>
      </c>
      <c r="R575" s="52">
        <f t="shared" si="270"/>
        <v>0</v>
      </c>
      <c r="S575" s="52">
        <f t="shared" si="270"/>
        <v>0</v>
      </c>
      <c r="T575" s="52">
        <f t="shared" si="270"/>
        <v>0</v>
      </c>
      <c r="U575" s="52">
        <f t="shared" si="270"/>
        <v>0</v>
      </c>
      <c r="V575" s="52">
        <f t="shared" si="270"/>
        <v>0</v>
      </c>
      <c r="W575" s="52">
        <f t="shared" si="270"/>
        <v>0</v>
      </c>
      <c r="X575" s="52">
        <f t="shared" ref="X575:BC585" si="271">IF($F575=0,0,IF(X$6&lt;$F575,0,IF(X$6&gt;$G575,1,(X$6-$F575+1)/($G575-$F575+1))))</f>
        <v>0</v>
      </c>
      <c r="Y575" s="52">
        <f t="shared" si="271"/>
        <v>0</v>
      </c>
      <c r="Z575" s="52">
        <f t="shared" si="271"/>
        <v>0</v>
      </c>
      <c r="AA575" s="52">
        <f t="shared" si="271"/>
        <v>0</v>
      </c>
      <c r="AB575" s="52">
        <f t="shared" si="271"/>
        <v>0</v>
      </c>
      <c r="AC575" s="52">
        <f t="shared" si="271"/>
        <v>0</v>
      </c>
      <c r="AD575" s="52">
        <f t="shared" si="271"/>
        <v>0</v>
      </c>
      <c r="AE575" s="52">
        <f t="shared" si="271"/>
        <v>0</v>
      </c>
      <c r="AF575" s="52">
        <f t="shared" si="271"/>
        <v>0</v>
      </c>
      <c r="AG575" s="52">
        <f t="shared" si="271"/>
        <v>0</v>
      </c>
      <c r="AH575" s="52">
        <f t="shared" si="271"/>
        <v>0</v>
      </c>
      <c r="AI575" s="52">
        <f t="shared" si="271"/>
        <v>0</v>
      </c>
      <c r="AJ575" s="52">
        <f t="shared" si="271"/>
        <v>0</v>
      </c>
      <c r="AK575" s="52">
        <f t="shared" si="271"/>
        <v>0</v>
      </c>
      <c r="AL575" s="52">
        <f t="shared" si="271"/>
        <v>0</v>
      </c>
      <c r="AM575" s="52">
        <f t="shared" si="271"/>
        <v>0</v>
      </c>
      <c r="AN575" s="52">
        <f t="shared" si="271"/>
        <v>0</v>
      </c>
      <c r="AO575" s="52">
        <f t="shared" si="268"/>
        <v>0</v>
      </c>
      <c r="AP575" s="52">
        <f t="shared" si="268"/>
        <v>0</v>
      </c>
      <c r="AQ575" s="52">
        <f t="shared" si="268"/>
        <v>0</v>
      </c>
      <c r="AR575" s="52">
        <f t="shared" si="268"/>
        <v>0</v>
      </c>
      <c r="AS575" s="52">
        <f t="shared" si="268"/>
        <v>0</v>
      </c>
      <c r="AT575" s="52">
        <f t="shared" si="268"/>
        <v>0</v>
      </c>
      <c r="AU575" s="52">
        <f t="shared" si="268"/>
        <v>0</v>
      </c>
      <c r="AV575" s="52">
        <f t="shared" si="268"/>
        <v>0</v>
      </c>
      <c r="AW575" s="52">
        <f t="shared" si="268"/>
        <v>0.14285714285714285</v>
      </c>
      <c r="AX575" s="52">
        <f t="shared" si="268"/>
        <v>1</v>
      </c>
      <c r="AY575" s="52">
        <f t="shared" si="268"/>
        <v>1</v>
      </c>
      <c r="AZ575" s="52">
        <f t="shared" si="268"/>
        <v>1</v>
      </c>
      <c r="BA575" s="52">
        <f t="shared" si="268"/>
        <v>1</v>
      </c>
      <c r="BB575" s="52">
        <f t="shared" si="268"/>
        <v>1</v>
      </c>
      <c r="BC575" s="52">
        <f t="shared" si="268"/>
        <v>1</v>
      </c>
      <c r="BD575" s="52">
        <f t="shared" si="268"/>
        <v>1</v>
      </c>
      <c r="BE575" s="52">
        <f t="shared" si="268"/>
        <v>1</v>
      </c>
      <c r="BF575" s="52">
        <f t="shared" si="268"/>
        <v>1</v>
      </c>
      <c r="BG575" s="52">
        <f t="shared" si="269"/>
        <v>1</v>
      </c>
      <c r="BH575" s="52">
        <f t="shared" si="269"/>
        <v>1</v>
      </c>
      <c r="BI575" s="52">
        <f t="shared" si="269"/>
        <v>1</v>
      </c>
      <c r="BJ575" s="52">
        <f t="shared" si="269"/>
        <v>1</v>
      </c>
      <c r="BK575" s="52">
        <f t="shared" si="269"/>
        <v>1</v>
      </c>
      <c r="BL575" s="52">
        <f t="shared" si="269"/>
        <v>1</v>
      </c>
      <c r="BM575" s="52">
        <f t="shared" si="269"/>
        <v>1</v>
      </c>
      <c r="BN575" s="52">
        <f t="shared" si="269"/>
        <v>1</v>
      </c>
      <c r="BO575" s="32">
        <f t="shared" si="246"/>
        <v>0.29055690072639223</v>
      </c>
    </row>
    <row r="576" spans="1:67" x14ac:dyDescent="0.2">
      <c r="A576" s="50" t="s">
        <v>1160</v>
      </c>
      <c r="B576" s="50" t="s">
        <v>1161</v>
      </c>
      <c r="C576" s="50" t="s">
        <v>58</v>
      </c>
      <c r="D576" s="51">
        <f>VLOOKUP(A576,'[1]Cuadro Control'!C619:J2506,8,FALSE)</f>
        <v>1212623361.2117648</v>
      </c>
      <c r="E576" s="52">
        <f t="shared" si="266"/>
        <v>0.22841447185013161</v>
      </c>
      <c r="F576" s="53">
        <v>46506</v>
      </c>
      <c r="G576" s="53">
        <v>46522</v>
      </c>
      <c r="H576" s="52">
        <f t="shared" si="270"/>
        <v>0</v>
      </c>
      <c r="I576" s="52">
        <f t="shared" si="270"/>
        <v>0</v>
      </c>
      <c r="J576" s="52">
        <f t="shared" si="270"/>
        <v>0</v>
      </c>
      <c r="K576" s="52">
        <f t="shared" si="270"/>
        <v>0</v>
      </c>
      <c r="L576" s="52">
        <f t="shared" si="270"/>
        <v>0</v>
      </c>
      <c r="M576" s="52">
        <f t="shared" si="270"/>
        <v>0</v>
      </c>
      <c r="N576" s="52">
        <f t="shared" si="270"/>
        <v>0</v>
      </c>
      <c r="O576" s="52">
        <f t="shared" si="270"/>
        <v>0</v>
      </c>
      <c r="P576" s="52">
        <f t="shared" si="270"/>
        <v>0</v>
      </c>
      <c r="Q576" s="52">
        <f t="shared" si="270"/>
        <v>0</v>
      </c>
      <c r="R576" s="52">
        <f t="shared" si="270"/>
        <v>0</v>
      </c>
      <c r="S576" s="52">
        <f t="shared" si="270"/>
        <v>0</v>
      </c>
      <c r="T576" s="52">
        <f t="shared" si="270"/>
        <v>0</v>
      </c>
      <c r="U576" s="52">
        <f t="shared" si="270"/>
        <v>0</v>
      </c>
      <c r="V576" s="52">
        <f t="shared" si="270"/>
        <v>0</v>
      </c>
      <c r="W576" s="52">
        <f t="shared" si="270"/>
        <v>0</v>
      </c>
      <c r="X576" s="52">
        <f t="shared" si="271"/>
        <v>0</v>
      </c>
      <c r="Y576" s="52">
        <f t="shared" si="271"/>
        <v>0</v>
      </c>
      <c r="Z576" s="52">
        <f t="shared" si="271"/>
        <v>0</v>
      </c>
      <c r="AA576" s="52">
        <f t="shared" si="271"/>
        <v>0</v>
      </c>
      <c r="AB576" s="52">
        <f t="shared" si="271"/>
        <v>0</v>
      </c>
      <c r="AC576" s="52">
        <f t="shared" si="271"/>
        <v>0</v>
      </c>
      <c r="AD576" s="52">
        <f t="shared" si="271"/>
        <v>0</v>
      </c>
      <c r="AE576" s="52">
        <f t="shared" si="271"/>
        <v>0</v>
      </c>
      <c r="AF576" s="52">
        <f t="shared" si="271"/>
        <v>0</v>
      </c>
      <c r="AG576" s="52">
        <f t="shared" si="271"/>
        <v>0</v>
      </c>
      <c r="AH576" s="52">
        <f t="shared" si="271"/>
        <v>0</v>
      </c>
      <c r="AI576" s="52">
        <f t="shared" si="271"/>
        <v>0</v>
      </c>
      <c r="AJ576" s="52">
        <f t="shared" si="271"/>
        <v>0</v>
      </c>
      <c r="AK576" s="52">
        <f t="shared" si="271"/>
        <v>0</v>
      </c>
      <c r="AL576" s="52">
        <f t="shared" si="271"/>
        <v>0</v>
      </c>
      <c r="AM576" s="52">
        <f t="shared" si="271"/>
        <v>0</v>
      </c>
      <c r="AN576" s="52">
        <f t="shared" si="271"/>
        <v>0</v>
      </c>
      <c r="AO576" s="52">
        <f t="shared" si="268"/>
        <v>0</v>
      </c>
      <c r="AP576" s="52">
        <f t="shared" si="268"/>
        <v>0</v>
      </c>
      <c r="AQ576" s="52">
        <f t="shared" si="268"/>
        <v>0</v>
      </c>
      <c r="AR576" s="52">
        <f t="shared" si="268"/>
        <v>0</v>
      </c>
      <c r="AS576" s="52">
        <f t="shared" si="268"/>
        <v>0</v>
      </c>
      <c r="AT576" s="52">
        <f t="shared" si="268"/>
        <v>0</v>
      </c>
      <c r="AU576" s="52">
        <f t="shared" si="268"/>
        <v>0</v>
      </c>
      <c r="AV576" s="52">
        <f t="shared" si="268"/>
        <v>0</v>
      </c>
      <c r="AW576" s="52">
        <f t="shared" si="268"/>
        <v>0</v>
      </c>
      <c r="AX576" s="52">
        <f t="shared" si="268"/>
        <v>0.11764705882352941</v>
      </c>
      <c r="AY576" s="52">
        <f t="shared" si="268"/>
        <v>0.52941176470588236</v>
      </c>
      <c r="AZ576" s="52">
        <f t="shared" si="268"/>
        <v>0.94117647058823528</v>
      </c>
      <c r="BA576" s="52">
        <f t="shared" si="268"/>
        <v>1</v>
      </c>
      <c r="BB576" s="52">
        <f t="shared" si="268"/>
        <v>1</v>
      </c>
      <c r="BC576" s="52">
        <f t="shared" si="268"/>
        <v>1</v>
      </c>
      <c r="BD576" s="52">
        <f t="shared" si="268"/>
        <v>1</v>
      </c>
      <c r="BE576" s="52">
        <f t="shared" si="268"/>
        <v>1</v>
      </c>
      <c r="BF576" s="52">
        <f t="shared" si="268"/>
        <v>1</v>
      </c>
      <c r="BG576" s="52">
        <f t="shared" si="269"/>
        <v>1</v>
      </c>
      <c r="BH576" s="52">
        <f t="shared" si="269"/>
        <v>1</v>
      </c>
      <c r="BI576" s="52">
        <f t="shared" si="269"/>
        <v>1</v>
      </c>
      <c r="BJ576" s="52">
        <f t="shared" si="269"/>
        <v>1</v>
      </c>
      <c r="BK576" s="52">
        <f t="shared" si="269"/>
        <v>1</v>
      </c>
      <c r="BL576" s="52">
        <f t="shared" si="269"/>
        <v>1</v>
      </c>
      <c r="BM576" s="52">
        <f t="shared" si="269"/>
        <v>1</v>
      </c>
      <c r="BN576" s="52">
        <f t="shared" si="269"/>
        <v>1</v>
      </c>
      <c r="BO576" s="32">
        <f t="shared" si="246"/>
        <v>0.26420737786640081</v>
      </c>
    </row>
    <row r="577" spans="1:67" x14ac:dyDescent="0.2">
      <c r="A577" s="50" t="s">
        <v>1162</v>
      </c>
      <c r="B577" s="50" t="s">
        <v>1163</v>
      </c>
      <c r="C577" s="50" t="s">
        <v>126</v>
      </c>
      <c r="D577" s="51">
        <f>VLOOKUP(A577,'[1]Cuadro Control'!C620:J2507,8,FALSE)</f>
        <v>0</v>
      </c>
      <c r="E577" s="52">
        <f t="shared" si="266"/>
        <v>0</v>
      </c>
      <c r="F577" s="53">
        <v>46522</v>
      </c>
      <c r="G577" s="53">
        <v>46526</v>
      </c>
      <c r="H577" s="52">
        <f t="shared" si="270"/>
        <v>0</v>
      </c>
      <c r="I577" s="52">
        <f t="shared" si="270"/>
        <v>0</v>
      </c>
      <c r="J577" s="52">
        <f t="shared" si="270"/>
        <v>0</v>
      </c>
      <c r="K577" s="52">
        <f t="shared" si="270"/>
        <v>0</v>
      </c>
      <c r="L577" s="52">
        <f t="shared" si="270"/>
        <v>0</v>
      </c>
      <c r="M577" s="52">
        <f t="shared" si="270"/>
        <v>0</v>
      </c>
      <c r="N577" s="52">
        <f t="shared" si="270"/>
        <v>0</v>
      </c>
      <c r="O577" s="52">
        <f t="shared" si="270"/>
        <v>0</v>
      </c>
      <c r="P577" s="52">
        <f t="shared" si="270"/>
        <v>0</v>
      </c>
      <c r="Q577" s="52">
        <f t="shared" si="270"/>
        <v>0</v>
      </c>
      <c r="R577" s="52">
        <f t="shared" si="270"/>
        <v>0</v>
      </c>
      <c r="S577" s="52">
        <f t="shared" si="270"/>
        <v>0</v>
      </c>
      <c r="T577" s="52">
        <f t="shared" si="270"/>
        <v>0</v>
      </c>
      <c r="U577" s="52">
        <f t="shared" si="270"/>
        <v>0</v>
      </c>
      <c r="V577" s="52">
        <f t="shared" si="270"/>
        <v>0</v>
      </c>
      <c r="W577" s="52">
        <f t="shared" si="270"/>
        <v>0</v>
      </c>
      <c r="X577" s="52">
        <f t="shared" si="271"/>
        <v>0</v>
      </c>
      <c r="Y577" s="52">
        <f t="shared" si="271"/>
        <v>0</v>
      </c>
      <c r="Z577" s="52">
        <f t="shared" si="271"/>
        <v>0</v>
      </c>
      <c r="AA577" s="52">
        <f t="shared" si="271"/>
        <v>0</v>
      </c>
      <c r="AB577" s="52">
        <f t="shared" si="271"/>
        <v>0</v>
      </c>
      <c r="AC577" s="52">
        <f t="shared" si="271"/>
        <v>0</v>
      </c>
      <c r="AD577" s="52">
        <f t="shared" si="271"/>
        <v>0</v>
      </c>
      <c r="AE577" s="52">
        <f t="shared" si="271"/>
        <v>0</v>
      </c>
      <c r="AF577" s="52">
        <f t="shared" si="271"/>
        <v>0</v>
      </c>
      <c r="AG577" s="52">
        <f t="shared" si="271"/>
        <v>0</v>
      </c>
      <c r="AH577" s="52">
        <f t="shared" si="271"/>
        <v>0</v>
      </c>
      <c r="AI577" s="52">
        <f t="shared" si="271"/>
        <v>0</v>
      </c>
      <c r="AJ577" s="52">
        <f t="shared" si="271"/>
        <v>0</v>
      </c>
      <c r="AK577" s="52">
        <f t="shared" si="271"/>
        <v>0</v>
      </c>
      <c r="AL577" s="52">
        <f t="shared" si="271"/>
        <v>0</v>
      </c>
      <c r="AM577" s="52">
        <f t="shared" si="271"/>
        <v>0</v>
      </c>
      <c r="AN577" s="52">
        <f t="shared" si="271"/>
        <v>0</v>
      </c>
      <c r="AO577" s="52">
        <f t="shared" si="268"/>
        <v>0</v>
      </c>
      <c r="AP577" s="52">
        <f t="shared" si="268"/>
        <v>0</v>
      </c>
      <c r="AQ577" s="52">
        <f t="shared" si="268"/>
        <v>0</v>
      </c>
      <c r="AR577" s="52">
        <f t="shared" si="268"/>
        <v>0</v>
      </c>
      <c r="AS577" s="52">
        <f t="shared" si="268"/>
        <v>0</v>
      </c>
      <c r="AT577" s="52">
        <f t="shared" si="268"/>
        <v>0</v>
      </c>
      <c r="AU577" s="52">
        <f t="shared" si="268"/>
        <v>0</v>
      </c>
      <c r="AV577" s="52">
        <f t="shared" si="268"/>
        <v>0</v>
      </c>
      <c r="AW577" s="52">
        <f t="shared" si="268"/>
        <v>0</v>
      </c>
      <c r="AX577" s="52">
        <f t="shared" si="268"/>
        <v>0</v>
      </c>
      <c r="AY577" s="52">
        <f t="shared" si="268"/>
        <v>0</v>
      </c>
      <c r="AZ577" s="52">
        <f t="shared" si="268"/>
        <v>0</v>
      </c>
      <c r="BA577" s="52">
        <f t="shared" si="268"/>
        <v>1</v>
      </c>
      <c r="BB577" s="52">
        <f t="shared" si="268"/>
        <v>1</v>
      </c>
      <c r="BC577" s="52">
        <f t="shared" si="268"/>
        <v>1</v>
      </c>
      <c r="BD577" s="52">
        <f t="shared" si="268"/>
        <v>1</v>
      </c>
      <c r="BE577" s="52">
        <f t="shared" si="268"/>
        <v>1</v>
      </c>
      <c r="BF577" s="52">
        <f t="shared" si="268"/>
        <v>1</v>
      </c>
      <c r="BG577" s="52">
        <f t="shared" si="269"/>
        <v>1</v>
      </c>
      <c r="BH577" s="52">
        <f t="shared" si="269"/>
        <v>1</v>
      </c>
      <c r="BI577" s="52">
        <f t="shared" si="269"/>
        <v>1</v>
      </c>
      <c r="BJ577" s="52">
        <f t="shared" si="269"/>
        <v>1</v>
      </c>
      <c r="BK577" s="52">
        <f t="shared" si="269"/>
        <v>1</v>
      </c>
      <c r="BL577" s="52">
        <f t="shared" si="269"/>
        <v>1</v>
      </c>
      <c r="BM577" s="52">
        <f t="shared" si="269"/>
        <v>1</v>
      </c>
      <c r="BN577" s="52">
        <f t="shared" si="269"/>
        <v>1</v>
      </c>
      <c r="BO577" s="32">
        <f t="shared" si="246"/>
        <v>0.23728813559322035</v>
      </c>
    </row>
    <row r="578" spans="1:67" ht="24" x14ac:dyDescent="0.2">
      <c r="A578" s="55" t="s">
        <v>1164</v>
      </c>
      <c r="B578" s="55" t="s">
        <v>1165</v>
      </c>
      <c r="C578" s="55" t="s">
        <v>14</v>
      </c>
      <c r="D578" s="56">
        <f>VLOOKUP(A578,'[1]Cuadro Control'!C621:J2508,8,FALSE)</f>
        <v>0</v>
      </c>
      <c r="E578" s="57">
        <f t="shared" si="266"/>
        <v>0</v>
      </c>
      <c r="F578" s="58">
        <v>46522</v>
      </c>
      <c r="G578" s="58">
        <v>46522</v>
      </c>
      <c r="H578" s="57">
        <f t="shared" si="270"/>
        <v>0</v>
      </c>
      <c r="I578" s="57">
        <f t="shared" si="270"/>
        <v>0</v>
      </c>
      <c r="J578" s="57">
        <f t="shared" si="270"/>
        <v>0</v>
      </c>
      <c r="K578" s="57">
        <f t="shared" si="270"/>
        <v>0</v>
      </c>
      <c r="L578" s="57">
        <f t="shared" si="270"/>
        <v>0</v>
      </c>
      <c r="M578" s="57">
        <f t="shared" si="270"/>
        <v>0</v>
      </c>
      <c r="N578" s="57">
        <f t="shared" si="270"/>
        <v>0</v>
      </c>
      <c r="O578" s="57">
        <f t="shared" si="270"/>
        <v>0</v>
      </c>
      <c r="P578" s="57">
        <f t="shared" si="270"/>
        <v>0</v>
      </c>
      <c r="Q578" s="57">
        <f t="shared" si="270"/>
        <v>0</v>
      </c>
      <c r="R578" s="57">
        <f t="shared" si="270"/>
        <v>0</v>
      </c>
      <c r="S578" s="57">
        <f t="shared" si="270"/>
        <v>0</v>
      </c>
      <c r="T578" s="57">
        <f t="shared" si="270"/>
        <v>0</v>
      </c>
      <c r="U578" s="57">
        <f t="shared" si="270"/>
        <v>0</v>
      </c>
      <c r="V578" s="57">
        <f t="shared" si="270"/>
        <v>0</v>
      </c>
      <c r="W578" s="57">
        <f t="shared" si="270"/>
        <v>0</v>
      </c>
      <c r="X578" s="57">
        <f t="shared" si="271"/>
        <v>0</v>
      </c>
      <c r="Y578" s="57">
        <f t="shared" si="271"/>
        <v>0</v>
      </c>
      <c r="Z578" s="57">
        <f t="shared" si="271"/>
        <v>0</v>
      </c>
      <c r="AA578" s="57">
        <f t="shared" si="271"/>
        <v>0</v>
      </c>
      <c r="AB578" s="57">
        <f t="shared" si="271"/>
        <v>0</v>
      </c>
      <c r="AC578" s="57">
        <f t="shared" si="271"/>
        <v>0</v>
      </c>
      <c r="AD578" s="57">
        <f t="shared" si="271"/>
        <v>0</v>
      </c>
      <c r="AE578" s="57">
        <f t="shared" si="271"/>
        <v>0</v>
      </c>
      <c r="AF578" s="57">
        <f t="shared" si="271"/>
        <v>0</v>
      </c>
      <c r="AG578" s="57">
        <f t="shared" si="271"/>
        <v>0</v>
      </c>
      <c r="AH578" s="57">
        <f t="shared" si="271"/>
        <v>0</v>
      </c>
      <c r="AI578" s="57">
        <f t="shared" si="271"/>
        <v>0</v>
      </c>
      <c r="AJ578" s="57">
        <f t="shared" si="271"/>
        <v>0</v>
      </c>
      <c r="AK578" s="57">
        <f t="shared" si="271"/>
        <v>0</v>
      </c>
      <c r="AL578" s="57">
        <f t="shared" si="271"/>
        <v>0</v>
      </c>
      <c r="AM578" s="57">
        <f t="shared" si="271"/>
        <v>0</v>
      </c>
      <c r="AN578" s="57">
        <f t="shared" si="271"/>
        <v>0</v>
      </c>
      <c r="AO578" s="57">
        <f t="shared" si="268"/>
        <v>0</v>
      </c>
      <c r="AP578" s="57">
        <f t="shared" si="268"/>
        <v>0</v>
      </c>
      <c r="AQ578" s="57">
        <f t="shared" si="268"/>
        <v>0</v>
      </c>
      <c r="AR578" s="57">
        <f t="shared" si="268"/>
        <v>0</v>
      </c>
      <c r="AS578" s="57">
        <f t="shared" si="268"/>
        <v>0</v>
      </c>
      <c r="AT578" s="57">
        <f t="shared" si="268"/>
        <v>0</v>
      </c>
      <c r="AU578" s="57">
        <f t="shared" si="268"/>
        <v>0</v>
      </c>
      <c r="AV578" s="57">
        <f t="shared" si="268"/>
        <v>0</v>
      </c>
      <c r="AW578" s="57">
        <f t="shared" si="268"/>
        <v>0</v>
      </c>
      <c r="AX578" s="57">
        <f t="shared" si="268"/>
        <v>0</v>
      </c>
      <c r="AY578" s="57">
        <f t="shared" si="268"/>
        <v>0</v>
      </c>
      <c r="AZ578" s="57">
        <f t="shared" si="268"/>
        <v>0</v>
      </c>
      <c r="BA578" s="57">
        <f t="shared" si="268"/>
        <v>1</v>
      </c>
      <c r="BB578" s="57">
        <f t="shared" si="268"/>
        <v>1</v>
      </c>
      <c r="BC578" s="57">
        <f t="shared" si="268"/>
        <v>1</v>
      </c>
      <c r="BD578" s="57">
        <f t="shared" si="268"/>
        <v>1</v>
      </c>
      <c r="BE578" s="57">
        <f t="shared" si="268"/>
        <v>1</v>
      </c>
      <c r="BF578" s="57">
        <f t="shared" si="268"/>
        <v>1</v>
      </c>
      <c r="BG578" s="57">
        <f t="shared" si="269"/>
        <v>1</v>
      </c>
      <c r="BH578" s="57">
        <f t="shared" si="269"/>
        <v>1</v>
      </c>
      <c r="BI578" s="57">
        <f t="shared" si="269"/>
        <v>1</v>
      </c>
      <c r="BJ578" s="57">
        <f t="shared" si="269"/>
        <v>1</v>
      </c>
      <c r="BK578" s="57">
        <f t="shared" si="269"/>
        <v>1</v>
      </c>
      <c r="BL578" s="57">
        <f t="shared" si="269"/>
        <v>1</v>
      </c>
      <c r="BM578" s="57">
        <f t="shared" si="269"/>
        <v>1</v>
      </c>
      <c r="BN578" s="57">
        <f t="shared" si="269"/>
        <v>1</v>
      </c>
      <c r="BO578" s="32">
        <f t="shared" si="246"/>
        <v>0.23728813559322035</v>
      </c>
    </row>
    <row r="579" spans="1:67" x14ac:dyDescent="0.2">
      <c r="A579" s="50" t="s">
        <v>1166</v>
      </c>
      <c r="B579" s="50" t="s">
        <v>1167</v>
      </c>
      <c r="C579" s="50" t="s">
        <v>111</v>
      </c>
      <c r="D579" s="51">
        <f>VLOOKUP(A579,'[1]Cuadro Control'!C622:J2509,8,FALSE)</f>
        <v>1230815225.9452939</v>
      </c>
      <c r="E579" s="52">
        <f t="shared" si="266"/>
        <v>0.2318411625341423</v>
      </c>
      <c r="F579" s="53">
        <v>46526</v>
      </c>
      <c r="G579" s="53">
        <v>46527</v>
      </c>
      <c r="H579" s="52">
        <f t="shared" si="270"/>
        <v>0</v>
      </c>
      <c r="I579" s="52">
        <f t="shared" si="270"/>
        <v>0</v>
      </c>
      <c r="J579" s="52">
        <f t="shared" si="270"/>
        <v>0</v>
      </c>
      <c r="K579" s="52">
        <f t="shared" si="270"/>
        <v>0</v>
      </c>
      <c r="L579" s="52">
        <f t="shared" si="270"/>
        <v>0</v>
      </c>
      <c r="M579" s="52">
        <f t="shared" si="270"/>
        <v>0</v>
      </c>
      <c r="N579" s="52">
        <f t="shared" si="270"/>
        <v>0</v>
      </c>
      <c r="O579" s="52">
        <f t="shared" si="270"/>
        <v>0</v>
      </c>
      <c r="P579" s="52">
        <f t="shared" si="270"/>
        <v>0</v>
      </c>
      <c r="Q579" s="52">
        <f t="shared" si="270"/>
        <v>0</v>
      </c>
      <c r="R579" s="52">
        <f t="shared" si="270"/>
        <v>0</v>
      </c>
      <c r="S579" s="52">
        <f t="shared" si="270"/>
        <v>0</v>
      </c>
      <c r="T579" s="52">
        <f t="shared" si="270"/>
        <v>0</v>
      </c>
      <c r="U579" s="52">
        <f t="shared" si="270"/>
        <v>0</v>
      </c>
      <c r="V579" s="52">
        <f t="shared" si="270"/>
        <v>0</v>
      </c>
      <c r="W579" s="52">
        <f t="shared" si="270"/>
        <v>0</v>
      </c>
      <c r="X579" s="52">
        <f t="shared" si="271"/>
        <v>0</v>
      </c>
      <c r="Y579" s="52">
        <f t="shared" si="271"/>
        <v>0</v>
      </c>
      <c r="Z579" s="52">
        <f t="shared" si="271"/>
        <v>0</v>
      </c>
      <c r="AA579" s="52">
        <f t="shared" si="271"/>
        <v>0</v>
      </c>
      <c r="AB579" s="52">
        <f t="shared" si="271"/>
        <v>0</v>
      </c>
      <c r="AC579" s="52">
        <f t="shared" si="271"/>
        <v>0</v>
      </c>
      <c r="AD579" s="52">
        <f t="shared" si="271"/>
        <v>0</v>
      </c>
      <c r="AE579" s="52">
        <f t="shared" si="271"/>
        <v>0</v>
      </c>
      <c r="AF579" s="52">
        <f t="shared" si="271"/>
        <v>0</v>
      </c>
      <c r="AG579" s="52">
        <f t="shared" si="271"/>
        <v>0</v>
      </c>
      <c r="AH579" s="52">
        <f t="shared" si="271"/>
        <v>0</v>
      </c>
      <c r="AI579" s="52">
        <f t="shared" si="271"/>
        <v>0</v>
      </c>
      <c r="AJ579" s="52">
        <f t="shared" si="271"/>
        <v>0</v>
      </c>
      <c r="AK579" s="52">
        <f t="shared" si="271"/>
        <v>0</v>
      </c>
      <c r="AL579" s="52">
        <f t="shared" si="271"/>
        <v>0</v>
      </c>
      <c r="AM579" s="52">
        <f t="shared" si="271"/>
        <v>0</v>
      </c>
      <c r="AN579" s="52">
        <f t="shared" si="271"/>
        <v>0</v>
      </c>
      <c r="AO579" s="52">
        <f t="shared" si="268"/>
        <v>0</v>
      </c>
      <c r="AP579" s="52">
        <f t="shared" si="268"/>
        <v>0</v>
      </c>
      <c r="AQ579" s="52">
        <f t="shared" si="268"/>
        <v>0</v>
      </c>
      <c r="AR579" s="52">
        <f t="shared" si="268"/>
        <v>0</v>
      </c>
      <c r="AS579" s="52">
        <f t="shared" si="268"/>
        <v>0</v>
      </c>
      <c r="AT579" s="52">
        <f t="shared" si="268"/>
        <v>0</v>
      </c>
      <c r="AU579" s="52">
        <f t="shared" si="268"/>
        <v>0</v>
      </c>
      <c r="AV579" s="52">
        <f t="shared" si="268"/>
        <v>0</v>
      </c>
      <c r="AW579" s="52">
        <f t="shared" si="268"/>
        <v>0</v>
      </c>
      <c r="AX579" s="52">
        <f t="shared" si="268"/>
        <v>0</v>
      </c>
      <c r="AY579" s="52">
        <f t="shared" si="268"/>
        <v>0</v>
      </c>
      <c r="AZ579" s="52">
        <f t="shared" si="268"/>
        <v>0</v>
      </c>
      <c r="BA579" s="52">
        <f t="shared" si="268"/>
        <v>1</v>
      </c>
      <c r="BB579" s="52">
        <f t="shared" si="268"/>
        <v>1</v>
      </c>
      <c r="BC579" s="52">
        <f t="shared" si="268"/>
        <v>1</v>
      </c>
      <c r="BD579" s="52">
        <f t="shared" si="268"/>
        <v>1</v>
      </c>
      <c r="BE579" s="52">
        <f t="shared" si="268"/>
        <v>1</v>
      </c>
      <c r="BF579" s="52">
        <f t="shared" si="268"/>
        <v>1</v>
      </c>
      <c r="BG579" s="52">
        <f t="shared" si="269"/>
        <v>1</v>
      </c>
      <c r="BH579" s="52">
        <f t="shared" si="269"/>
        <v>1</v>
      </c>
      <c r="BI579" s="52">
        <f t="shared" si="269"/>
        <v>1</v>
      </c>
      <c r="BJ579" s="52">
        <f t="shared" si="269"/>
        <v>1</v>
      </c>
      <c r="BK579" s="52">
        <f t="shared" si="269"/>
        <v>1</v>
      </c>
      <c r="BL579" s="52">
        <f t="shared" si="269"/>
        <v>1</v>
      </c>
      <c r="BM579" s="52">
        <f t="shared" si="269"/>
        <v>1</v>
      </c>
      <c r="BN579" s="52">
        <f t="shared" si="269"/>
        <v>1</v>
      </c>
      <c r="BO579" s="32">
        <f t="shared" si="246"/>
        <v>0.23728813559322035</v>
      </c>
    </row>
    <row r="580" spans="1:67" x14ac:dyDescent="0.2">
      <c r="A580" s="50" t="s">
        <v>1168</v>
      </c>
      <c r="B580" s="50" t="s">
        <v>1169</v>
      </c>
      <c r="C580" s="50" t="s">
        <v>238</v>
      </c>
      <c r="D580" s="51">
        <f>VLOOKUP(A580,'[1]Cuadro Control'!C623:J2510,8,FALSE)</f>
        <v>0</v>
      </c>
      <c r="E580" s="52">
        <f t="shared" si="266"/>
        <v>0</v>
      </c>
      <c r="F580" s="53">
        <v>46527</v>
      </c>
      <c r="G580" s="53">
        <v>46534</v>
      </c>
      <c r="H580" s="52">
        <f t="shared" si="270"/>
        <v>0</v>
      </c>
      <c r="I580" s="52">
        <f t="shared" si="270"/>
        <v>0</v>
      </c>
      <c r="J580" s="52">
        <f t="shared" si="270"/>
        <v>0</v>
      </c>
      <c r="K580" s="52">
        <f t="shared" si="270"/>
        <v>0</v>
      </c>
      <c r="L580" s="52">
        <f t="shared" si="270"/>
        <v>0</v>
      </c>
      <c r="M580" s="52">
        <f t="shared" si="270"/>
        <v>0</v>
      </c>
      <c r="N580" s="52">
        <f t="shared" si="270"/>
        <v>0</v>
      </c>
      <c r="O580" s="52">
        <f t="shared" si="270"/>
        <v>0</v>
      </c>
      <c r="P580" s="52">
        <f t="shared" si="270"/>
        <v>0</v>
      </c>
      <c r="Q580" s="52">
        <f t="shared" si="270"/>
        <v>0</v>
      </c>
      <c r="R580" s="52">
        <f t="shared" si="270"/>
        <v>0</v>
      </c>
      <c r="S580" s="52">
        <f t="shared" si="270"/>
        <v>0</v>
      </c>
      <c r="T580" s="52">
        <f t="shared" si="270"/>
        <v>0</v>
      </c>
      <c r="U580" s="52">
        <f t="shared" si="270"/>
        <v>0</v>
      </c>
      <c r="V580" s="52">
        <f t="shared" si="270"/>
        <v>0</v>
      </c>
      <c r="W580" s="52">
        <f t="shared" si="270"/>
        <v>0</v>
      </c>
      <c r="X580" s="52">
        <f t="shared" si="271"/>
        <v>0</v>
      </c>
      <c r="Y580" s="52">
        <f t="shared" si="271"/>
        <v>0</v>
      </c>
      <c r="Z580" s="52">
        <f t="shared" si="271"/>
        <v>0</v>
      </c>
      <c r="AA580" s="52">
        <f t="shared" si="271"/>
        <v>0</v>
      </c>
      <c r="AB580" s="52">
        <f t="shared" si="271"/>
        <v>0</v>
      </c>
      <c r="AC580" s="52">
        <f t="shared" si="271"/>
        <v>0</v>
      </c>
      <c r="AD580" s="52">
        <f t="shared" si="271"/>
        <v>0</v>
      </c>
      <c r="AE580" s="52">
        <f t="shared" si="271"/>
        <v>0</v>
      </c>
      <c r="AF580" s="52">
        <f t="shared" si="271"/>
        <v>0</v>
      </c>
      <c r="AG580" s="52">
        <f t="shared" si="271"/>
        <v>0</v>
      </c>
      <c r="AH580" s="52">
        <f t="shared" si="271"/>
        <v>0</v>
      </c>
      <c r="AI580" s="52">
        <f t="shared" si="271"/>
        <v>0</v>
      </c>
      <c r="AJ580" s="52">
        <f t="shared" si="271"/>
        <v>0</v>
      </c>
      <c r="AK580" s="52">
        <f t="shared" si="271"/>
        <v>0</v>
      </c>
      <c r="AL580" s="52">
        <f t="shared" si="271"/>
        <v>0</v>
      </c>
      <c r="AM580" s="52">
        <f t="shared" si="271"/>
        <v>0</v>
      </c>
      <c r="AN580" s="52">
        <f t="shared" si="271"/>
        <v>0</v>
      </c>
      <c r="AO580" s="52">
        <f t="shared" si="268"/>
        <v>0</v>
      </c>
      <c r="AP580" s="52">
        <f t="shared" si="268"/>
        <v>0</v>
      </c>
      <c r="AQ580" s="52">
        <f t="shared" si="268"/>
        <v>0</v>
      </c>
      <c r="AR580" s="52">
        <f t="shared" si="268"/>
        <v>0</v>
      </c>
      <c r="AS580" s="52">
        <f t="shared" si="268"/>
        <v>0</v>
      </c>
      <c r="AT580" s="52">
        <f t="shared" si="268"/>
        <v>0</v>
      </c>
      <c r="AU580" s="52">
        <f t="shared" si="268"/>
        <v>0</v>
      </c>
      <c r="AV580" s="52">
        <f t="shared" si="268"/>
        <v>0</v>
      </c>
      <c r="AW580" s="52">
        <f t="shared" si="268"/>
        <v>0</v>
      </c>
      <c r="AX580" s="52">
        <f t="shared" si="268"/>
        <v>0</v>
      </c>
      <c r="AY580" s="52">
        <f t="shared" si="268"/>
        <v>0</v>
      </c>
      <c r="AZ580" s="52">
        <f t="shared" si="268"/>
        <v>0</v>
      </c>
      <c r="BA580" s="52">
        <f t="shared" si="268"/>
        <v>0.25</v>
      </c>
      <c r="BB580" s="52">
        <f t="shared" si="268"/>
        <v>1</v>
      </c>
      <c r="BC580" s="52">
        <f t="shared" si="268"/>
        <v>1</v>
      </c>
      <c r="BD580" s="52">
        <f t="shared" si="268"/>
        <v>1</v>
      </c>
      <c r="BE580" s="52">
        <f t="shared" si="268"/>
        <v>1</v>
      </c>
      <c r="BF580" s="52">
        <f t="shared" si="268"/>
        <v>1</v>
      </c>
      <c r="BG580" s="52">
        <f t="shared" si="269"/>
        <v>1</v>
      </c>
      <c r="BH580" s="52">
        <f t="shared" si="269"/>
        <v>1</v>
      </c>
      <c r="BI580" s="52">
        <f t="shared" si="269"/>
        <v>1</v>
      </c>
      <c r="BJ580" s="52">
        <f t="shared" si="269"/>
        <v>1</v>
      </c>
      <c r="BK580" s="52">
        <f t="shared" si="269"/>
        <v>1</v>
      </c>
      <c r="BL580" s="52">
        <f t="shared" si="269"/>
        <v>1</v>
      </c>
      <c r="BM580" s="52">
        <f t="shared" si="269"/>
        <v>1</v>
      </c>
      <c r="BN580" s="52">
        <f t="shared" si="269"/>
        <v>1</v>
      </c>
      <c r="BO580" s="32">
        <f t="shared" si="246"/>
        <v>0.22457627118644069</v>
      </c>
    </row>
    <row r="581" spans="1:67" ht="24" x14ac:dyDescent="0.2">
      <c r="A581" s="50" t="s">
        <v>1170</v>
      </c>
      <c r="B581" s="50" t="s">
        <v>1171</v>
      </c>
      <c r="C581" s="50" t="s">
        <v>126</v>
      </c>
      <c r="D581" s="51">
        <f>VLOOKUP(A581,'[1]Cuadro Control'!C625:J2511,8,FALSE)</f>
        <v>52736347.43270281</v>
      </c>
      <c r="E581" s="52">
        <f t="shared" si="266"/>
        <v>9.933624348213644E-3</v>
      </c>
      <c r="F581" s="53">
        <v>46534</v>
      </c>
      <c r="G581" s="53">
        <v>46539</v>
      </c>
      <c r="H581" s="52">
        <f t="shared" si="270"/>
        <v>0</v>
      </c>
      <c r="I581" s="52">
        <f t="shared" si="270"/>
        <v>0</v>
      </c>
      <c r="J581" s="52">
        <f t="shared" si="270"/>
        <v>0</v>
      </c>
      <c r="K581" s="52">
        <f t="shared" si="270"/>
        <v>0</v>
      </c>
      <c r="L581" s="52">
        <f t="shared" si="270"/>
        <v>0</v>
      </c>
      <c r="M581" s="52">
        <f t="shared" si="270"/>
        <v>0</v>
      </c>
      <c r="N581" s="52">
        <f t="shared" si="270"/>
        <v>0</v>
      </c>
      <c r="O581" s="52">
        <f t="shared" si="270"/>
        <v>0</v>
      </c>
      <c r="P581" s="52">
        <f t="shared" si="270"/>
        <v>0</v>
      </c>
      <c r="Q581" s="52">
        <f t="shared" si="270"/>
        <v>0</v>
      </c>
      <c r="R581" s="52">
        <f t="shared" si="270"/>
        <v>0</v>
      </c>
      <c r="S581" s="52">
        <f t="shared" si="270"/>
        <v>0</v>
      </c>
      <c r="T581" s="52">
        <f t="shared" si="270"/>
        <v>0</v>
      </c>
      <c r="U581" s="52">
        <f t="shared" si="270"/>
        <v>0</v>
      </c>
      <c r="V581" s="52">
        <f t="shared" si="270"/>
        <v>0</v>
      </c>
      <c r="W581" s="52">
        <f t="shared" si="270"/>
        <v>0</v>
      </c>
      <c r="X581" s="52">
        <f t="shared" si="271"/>
        <v>0</v>
      </c>
      <c r="Y581" s="52">
        <f t="shared" si="271"/>
        <v>0</v>
      </c>
      <c r="Z581" s="52">
        <f t="shared" si="271"/>
        <v>0</v>
      </c>
      <c r="AA581" s="52">
        <f t="shared" si="271"/>
        <v>0</v>
      </c>
      <c r="AB581" s="52">
        <f t="shared" si="271"/>
        <v>0</v>
      </c>
      <c r="AC581" s="52">
        <f t="shared" si="271"/>
        <v>0</v>
      </c>
      <c r="AD581" s="52">
        <f t="shared" si="271"/>
        <v>0</v>
      </c>
      <c r="AE581" s="52">
        <f t="shared" si="271"/>
        <v>0</v>
      </c>
      <c r="AF581" s="52">
        <f t="shared" si="271"/>
        <v>0</v>
      </c>
      <c r="AG581" s="52">
        <f t="shared" si="271"/>
        <v>0</v>
      </c>
      <c r="AH581" s="52">
        <f t="shared" si="271"/>
        <v>0</v>
      </c>
      <c r="AI581" s="52">
        <f t="shared" si="271"/>
        <v>0</v>
      </c>
      <c r="AJ581" s="52">
        <f t="shared" si="271"/>
        <v>0</v>
      </c>
      <c r="AK581" s="52">
        <f t="shared" si="271"/>
        <v>0</v>
      </c>
      <c r="AL581" s="52">
        <f t="shared" si="271"/>
        <v>0</v>
      </c>
      <c r="AM581" s="52">
        <f t="shared" si="271"/>
        <v>0</v>
      </c>
      <c r="AN581" s="52">
        <f t="shared" si="271"/>
        <v>0</v>
      </c>
      <c r="AO581" s="52">
        <f t="shared" si="268"/>
        <v>0</v>
      </c>
      <c r="AP581" s="52">
        <f t="shared" si="268"/>
        <v>0</v>
      </c>
      <c r="AQ581" s="52">
        <f t="shared" si="268"/>
        <v>0</v>
      </c>
      <c r="AR581" s="52">
        <f t="shared" si="268"/>
        <v>0</v>
      </c>
      <c r="AS581" s="52">
        <f t="shared" si="268"/>
        <v>0</v>
      </c>
      <c r="AT581" s="52">
        <f t="shared" si="268"/>
        <v>0</v>
      </c>
      <c r="AU581" s="52">
        <f t="shared" si="268"/>
        <v>0</v>
      </c>
      <c r="AV581" s="52">
        <f t="shared" si="268"/>
        <v>0</v>
      </c>
      <c r="AW581" s="52">
        <f t="shared" si="268"/>
        <v>0</v>
      </c>
      <c r="AX581" s="52">
        <f t="shared" si="268"/>
        <v>0</v>
      </c>
      <c r="AY581" s="52">
        <f t="shared" si="268"/>
        <v>0</v>
      </c>
      <c r="AZ581" s="52">
        <f t="shared" si="268"/>
        <v>0</v>
      </c>
      <c r="BA581" s="52">
        <f t="shared" si="268"/>
        <v>0</v>
      </c>
      <c r="BB581" s="52">
        <f t="shared" si="268"/>
        <v>0.33333333333333331</v>
      </c>
      <c r="BC581" s="52">
        <f t="shared" si="268"/>
        <v>1</v>
      </c>
      <c r="BD581" s="52">
        <f t="shared" si="268"/>
        <v>1</v>
      </c>
      <c r="BE581" s="52">
        <f t="shared" si="268"/>
        <v>1</v>
      </c>
      <c r="BF581" s="52">
        <f t="shared" si="268"/>
        <v>1</v>
      </c>
      <c r="BG581" s="52">
        <f t="shared" si="269"/>
        <v>1</v>
      </c>
      <c r="BH581" s="52">
        <f t="shared" si="269"/>
        <v>1</v>
      </c>
      <c r="BI581" s="52">
        <f t="shared" si="269"/>
        <v>1</v>
      </c>
      <c r="BJ581" s="52">
        <f t="shared" si="269"/>
        <v>1</v>
      </c>
      <c r="BK581" s="52">
        <f t="shared" si="269"/>
        <v>1</v>
      </c>
      <c r="BL581" s="52">
        <f t="shared" si="269"/>
        <v>1</v>
      </c>
      <c r="BM581" s="52">
        <f t="shared" si="269"/>
        <v>1</v>
      </c>
      <c r="BN581" s="52">
        <f t="shared" si="269"/>
        <v>1</v>
      </c>
      <c r="BO581" s="32">
        <f t="shared" si="246"/>
        <v>0.20903954802259886</v>
      </c>
    </row>
    <row r="582" spans="1:67" ht="24" x14ac:dyDescent="0.2">
      <c r="A582" s="50" t="s">
        <v>1172</v>
      </c>
      <c r="B582" s="50" t="s">
        <v>1173</v>
      </c>
      <c r="C582" s="50" t="s">
        <v>117</v>
      </c>
      <c r="D582" s="51">
        <f>VLOOKUP(A582,'[1]Cuadro Control'!C626:J2512,8,FALSE)</f>
        <v>46410609.014634147</v>
      </c>
      <c r="E582" s="52">
        <f t="shared" si="266"/>
        <v>8.742083556535862E-3</v>
      </c>
      <c r="F582" s="53">
        <v>46539</v>
      </c>
      <c r="G582" s="53">
        <v>46541</v>
      </c>
      <c r="H582" s="52">
        <f t="shared" si="270"/>
        <v>0</v>
      </c>
      <c r="I582" s="52">
        <f t="shared" si="270"/>
        <v>0</v>
      </c>
      <c r="J582" s="52">
        <f t="shared" si="270"/>
        <v>0</v>
      </c>
      <c r="K582" s="52">
        <f t="shared" si="270"/>
        <v>0</v>
      </c>
      <c r="L582" s="52">
        <f t="shared" si="270"/>
        <v>0</v>
      </c>
      <c r="M582" s="52">
        <f t="shared" si="270"/>
        <v>0</v>
      </c>
      <c r="N582" s="52">
        <f t="shared" si="270"/>
        <v>0</v>
      </c>
      <c r="O582" s="52">
        <f t="shared" si="270"/>
        <v>0</v>
      </c>
      <c r="P582" s="52">
        <f t="shared" si="270"/>
        <v>0</v>
      </c>
      <c r="Q582" s="52">
        <f t="shared" si="270"/>
        <v>0</v>
      </c>
      <c r="R582" s="52">
        <f t="shared" si="270"/>
        <v>0</v>
      </c>
      <c r="S582" s="52">
        <f t="shared" si="270"/>
        <v>0</v>
      </c>
      <c r="T582" s="52">
        <f t="shared" si="270"/>
        <v>0</v>
      </c>
      <c r="U582" s="52">
        <f t="shared" si="270"/>
        <v>0</v>
      </c>
      <c r="V582" s="52">
        <f t="shared" si="270"/>
        <v>0</v>
      </c>
      <c r="W582" s="52">
        <f t="shared" si="270"/>
        <v>0</v>
      </c>
      <c r="X582" s="52">
        <f t="shared" si="271"/>
        <v>0</v>
      </c>
      <c r="Y582" s="52">
        <f t="shared" si="271"/>
        <v>0</v>
      </c>
      <c r="Z582" s="52">
        <f t="shared" si="271"/>
        <v>0</v>
      </c>
      <c r="AA582" s="52">
        <f t="shared" si="271"/>
        <v>0</v>
      </c>
      <c r="AB582" s="52">
        <f t="shared" si="271"/>
        <v>0</v>
      </c>
      <c r="AC582" s="52">
        <f t="shared" si="271"/>
        <v>0</v>
      </c>
      <c r="AD582" s="52">
        <f t="shared" si="271"/>
        <v>0</v>
      </c>
      <c r="AE582" s="52">
        <f t="shared" si="271"/>
        <v>0</v>
      </c>
      <c r="AF582" s="52">
        <f t="shared" si="271"/>
        <v>0</v>
      </c>
      <c r="AG582" s="52">
        <f t="shared" si="271"/>
        <v>0</v>
      </c>
      <c r="AH582" s="52">
        <f t="shared" si="271"/>
        <v>0</v>
      </c>
      <c r="AI582" s="52">
        <f t="shared" si="271"/>
        <v>0</v>
      </c>
      <c r="AJ582" s="52">
        <f t="shared" si="271"/>
        <v>0</v>
      </c>
      <c r="AK582" s="52">
        <f t="shared" si="271"/>
        <v>0</v>
      </c>
      <c r="AL582" s="52">
        <f t="shared" si="271"/>
        <v>0</v>
      </c>
      <c r="AM582" s="52">
        <f t="shared" si="271"/>
        <v>0</v>
      </c>
      <c r="AN582" s="52">
        <f t="shared" si="271"/>
        <v>0</v>
      </c>
      <c r="AO582" s="52">
        <f t="shared" si="268"/>
        <v>0</v>
      </c>
      <c r="AP582" s="52">
        <f t="shared" si="268"/>
        <v>0</v>
      </c>
      <c r="AQ582" s="52">
        <f t="shared" si="268"/>
        <v>0</v>
      </c>
      <c r="AR582" s="52">
        <f t="shared" si="268"/>
        <v>0</v>
      </c>
      <c r="AS582" s="52">
        <f t="shared" si="268"/>
        <v>0</v>
      </c>
      <c r="AT582" s="52">
        <f t="shared" si="268"/>
        <v>0</v>
      </c>
      <c r="AU582" s="52">
        <f t="shared" si="268"/>
        <v>0</v>
      </c>
      <c r="AV582" s="52">
        <f t="shared" si="268"/>
        <v>0</v>
      </c>
      <c r="AW582" s="52">
        <f t="shared" si="268"/>
        <v>0</v>
      </c>
      <c r="AX582" s="52">
        <f t="shared" si="268"/>
        <v>0</v>
      </c>
      <c r="AY582" s="52">
        <f t="shared" si="268"/>
        <v>0</v>
      </c>
      <c r="AZ582" s="52">
        <f t="shared" si="268"/>
        <v>0</v>
      </c>
      <c r="BA582" s="52">
        <f t="shared" si="268"/>
        <v>0</v>
      </c>
      <c r="BB582" s="52">
        <f t="shared" si="268"/>
        <v>0</v>
      </c>
      <c r="BC582" s="52">
        <f t="shared" si="268"/>
        <v>1</v>
      </c>
      <c r="BD582" s="52">
        <f t="shared" si="268"/>
        <v>1</v>
      </c>
      <c r="BE582" s="52">
        <f t="shared" si="268"/>
        <v>1</v>
      </c>
      <c r="BF582" s="52">
        <f t="shared" si="268"/>
        <v>1</v>
      </c>
      <c r="BG582" s="52">
        <f t="shared" si="269"/>
        <v>1</v>
      </c>
      <c r="BH582" s="52">
        <f t="shared" si="269"/>
        <v>1</v>
      </c>
      <c r="BI582" s="52">
        <f t="shared" si="269"/>
        <v>1</v>
      </c>
      <c r="BJ582" s="52">
        <f t="shared" si="269"/>
        <v>1</v>
      </c>
      <c r="BK582" s="52">
        <f t="shared" si="269"/>
        <v>1</v>
      </c>
      <c r="BL582" s="52">
        <f t="shared" si="269"/>
        <v>1</v>
      </c>
      <c r="BM582" s="52">
        <f t="shared" si="269"/>
        <v>1</v>
      </c>
      <c r="BN582" s="52">
        <f t="shared" si="269"/>
        <v>1</v>
      </c>
      <c r="BO582" s="32">
        <f t="shared" si="246"/>
        <v>0.20338983050847459</v>
      </c>
    </row>
    <row r="583" spans="1:67" ht="24" x14ac:dyDescent="0.2">
      <c r="A583" s="50" t="s">
        <v>1174</v>
      </c>
      <c r="B583" s="50" t="s">
        <v>1175</v>
      </c>
      <c r="C583" s="50" t="s">
        <v>61</v>
      </c>
      <c r="D583" s="51">
        <f>VLOOKUP(A583,'[1]Cuadro Control'!C627:J2513,8,FALSE)</f>
        <v>1587346329.5488234</v>
      </c>
      <c r="E583" s="52">
        <f t="shared" si="266"/>
        <v>0.29899875353285565</v>
      </c>
      <c r="F583" s="53">
        <v>46539</v>
      </c>
      <c r="G583" s="53">
        <v>46550</v>
      </c>
      <c r="H583" s="52">
        <f t="shared" si="270"/>
        <v>0</v>
      </c>
      <c r="I583" s="52">
        <f t="shared" si="270"/>
        <v>0</v>
      </c>
      <c r="J583" s="52">
        <f t="shared" si="270"/>
        <v>0</v>
      </c>
      <c r="K583" s="52">
        <f t="shared" si="270"/>
        <v>0</v>
      </c>
      <c r="L583" s="52">
        <f t="shared" si="270"/>
        <v>0</v>
      </c>
      <c r="M583" s="52">
        <f t="shared" si="270"/>
        <v>0</v>
      </c>
      <c r="N583" s="52">
        <f t="shared" si="270"/>
        <v>0</v>
      </c>
      <c r="O583" s="52">
        <f t="shared" si="270"/>
        <v>0</v>
      </c>
      <c r="P583" s="52">
        <f t="shared" si="270"/>
        <v>0</v>
      </c>
      <c r="Q583" s="52">
        <f t="shared" si="270"/>
        <v>0</v>
      </c>
      <c r="R583" s="52">
        <f t="shared" si="270"/>
        <v>0</v>
      </c>
      <c r="S583" s="52">
        <f t="shared" si="270"/>
        <v>0</v>
      </c>
      <c r="T583" s="52">
        <f t="shared" si="270"/>
        <v>0</v>
      </c>
      <c r="U583" s="52">
        <f t="shared" si="270"/>
        <v>0</v>
      </c>
      <c r="V583" s="52">
        <f t="shared" si="270"/>
        <v>0</v>
      </c>
      <c r="W583" s="52">
        <f t="shared" si="270"/>
        <v>0</v>
      </c>
      <c r="X583" s="52">
        <f t="shared" si="271"/>
        <v>0</v>
      </c>
      <c r="Y583" s="52">
        <f t="shared" si="271"/>
        <v>0</v>
      </c>
      <c r="Z583" s="52">
        <f t="shared" si="271"/>
        <v>0</v>
      </c>
      <c r="AA583" s="52">
        <f t="shared" si="271"/>
        <v>0</v>
      </c>
      <c r="AB583" s="52">
        <f t="shared" si="271"/>
        <v>0</v>
      </c>
      <c r="AC583" s="52">
        <f t="shared" si="271"/>
        <v>0</v>
      </c>
      <c r="AD583" s="52">
        <f t="shared" si="271"/>
        <v>0</v>
      </c>
      <c r="AE583" s="52">
        <f t="shared" si="271"/>
        <v>0</v>
      </c>
      <c r="AF583" s="52">
        <f t="shared" si="271"/>
        <v>0</v>
      </c>
      <c r="AG583" s="52">
        <f t="shared" si="271"/>
        <v>0</v>
      </c>
      <c r="AH583" s="52">
        <f t="shared" si="271"/>
        <v>0</v>
      </c>
      <c r="AI583" s="52">
        <f t="shared" si="271"/>
        <v>0</v>
      </c>
      <c r="AJ583" s="52">
        <f t="shared" si="271"/>
        <v>0</v>
      </c>
      <c r="AK583" s="52">
        <f t="shared" si="271"/>
        <v>0</v>
      </c>
      <c r="AL583" s="52">
        <f t="shared" si="271"/>
        <v>0</v>
      </c>
      <c r="AM583" s="52">
        <f t="shared" si="271"/>
        <v>0</v>
      </c>
      <c r="AN583" s="52">
        <f t="shared" si="271"/>
        <v>0</v>
      </c>
      <c r="AO583" s="52">
        <f t="shared" si="268"/>
        <v>0</v>
      </c>
      <c r="AP583" s="52">
        <f t="shared" si="268"/>
        <v>0</v>
      </c>
      <c r="AQ583" s="52">
        <f t="shared" si="268"/>
        <v>0</v>
      </c>
      <c r="AR583" s="52">
        <f t="shared" si="268"/>
        <v>0</v>
      </c>
      <c r="AS583" s="52">
        <f t="shared" si="268"/>
        <v>0</v>
      </c>
      <c r="AT583" s="52">
        <f t="shared" si="268"/>
        <v>0</v>
      </c>
      <c r="AU583" s="52">
        <f t="shared" si="268"/>
        <v>0</v>
      </c>
      <c r="AV583" s="52">
        <f t="shared" si="268"/>
        <v>0</v>
      </c>
      <c r="AW583" s="52">
        <f t="shared" si="268"/>
        <v>0</v>
      </c>
      <c r="AX583" s="52">
        <f t="shared" si="268"/>
        <v>0</v>
      </c>
      <c r="AY583" s="52">
        <f t="shared" si="268"/>
        <v>0</v>
      </c>
      <c r="AZ583" s="52">
        <f t="shared" si="268"/>
        <v>0</v>
      </c>
      <c r="BA583" s="52">
        <f t="shared" si="268"/>
        <v>0</v>
      </c>
      <c r="BB583" s="52">
        <f t="shared" si="268"/>
        <v>0</v>
      </c>
      <c r="BC583" s="52">
        <f t="shared" si="268"/>
        <v>0.33333333333333331</v>
      </c>
      <c r="BD583" s="52">
        <f t="shared" si="268"/>
        <v>0.91666666666666663</v>
      </c>
      <c r="BE583" s="52">
        <f t="shared" si="268"/>
        <v>1</v>
      </c>
      <c r="BF583" s="52">
        <f t="shared" si="268"/>
        <v>1</v>
      </c>
      <c r="BG583" s="52">
        <f t="shared" si="269"/>
        <v>1</v>
      </c>
      <c r="BH583" s="52">
        <f t="shared" si="269"/>
        <v>1</v>
      </c>
      <c r="BI583" s="52">
        <f t="shared" si="269"/>
        <v>1</v>
      </c>
      <c r="BJ583" s="52">
        <f t="shared" si="269"/>
        <v>1</v>
      </c>
      <c r="BK583" s="52">
        <f t="shared" si="269"/>
        <v>1</v>
      </c>
      <c r="BL583" s="52">
        <f t="shared" si="269"/>
        <v>1</v>
      </c>
      <c r="BM583" s="52">
        <f t="shared" si="269"/>
        <v>1</v>
      </c>
      <c r="BN583" s="52">
        <f t="shared" si="269"/>
        <v>1</v>
      </c>
      <c r="BO583" s="32">
        <f t="shared" si="246"/>
        <v>0.19067796610169491</v>
      </c>
    </row>
    <row r="584" spans="1:67" ht="30" x14ac:dyDescent="0.2">
      <c r="A584" s="46" t="s">
        <v>1176</v>
      </c>
      <c r="B584" s="46" t="s">
        <v>1177</v>
      </c>
      <c r="C584" s="46" t="s">
        <v>61</v>
      </c>
      <c r="D584" s="47">
        <f>VLOOKUP(A584,'[1]Cuadro Control'!C628:J2514,8,FALSE)</f>
        <v>179532477.23999998</v>
      </c>
      <c r="E584" s="48">
        <f t="shared" si="266"/>
        <v>3.3817438522495219E-2</v>
      </c>
      <c r="F584" s="49">
        <v>46541</v>
      </c>
      <c r="G584" s="49">
        <v>46554</v>
      </c>
      <c r="H584" s="48">
        <f t="shared" si="270"/>
        <v>0</v>
      </c>
      <c r="I584" s="48">
        <f t="shared" si="270"/>
        <v>0</v>
      </c>
      <c r="J584" s="48">
        <f t="shared" si="270"/>
        <v>0</v>
      </c>
      <c r="K584" s="48">
        <f t="shared" si="270"/>
        <v>0</v>
      </c>
      <c r="L584" s="48">
        <f t="shared" si="270"/>
        <v>0</v>
      </c>
      <c r="M584" s="48">
        <f t="shared" si="270"/>
        <v>0</v>
      </c>
      <c r="N584" s="48">
        <f t="shared" si="270"/>
        <v>0</v>
      </c>
      <c r="O584" s="48">
        <f t="shared" si="270"/>
        <v>0</v>
      </c>
      <c r="P584" s="48">
        <f t="shared" si="270"/>
        <v>0</v>
      </c>
      <c r="Q584" s="48">
        <f t="shared" si="270"/>
        <v>0</v>
      </c>
      <c r="R584" s="48">
        <f t="shared" si="270"/>
        <v>0</v>
      </c>
      <c r="S584" s="48">
        <f t="shared" si="270"/>
        <v>0</v>
      </c>
      <c r="T584" s="48">
        <f t="shared" si="270"/>
        <v>0</v>
      </c>
      <c r="U584" s="48">
        <f t="shared" si="270"/>
        <v>0</v>
      </c>
      <c r="V584" s="48">
        <f t="shared" si="270"/>
        <v>0</v>
      </c>
      <c r="W584" s="48">
        <f t="shared" si="270"/>
        <v>0</v>
      </c>
      <c r="X584" s="48">
        <f t="shared" si="271"/>
        <v>0</v>
      </c>
      <c r="Y584" s="48">
        <f t="shared" si="271"/>
        <v>0</v>
      </c>
      <c r="Z584" s="48">
        <f t="shared" si="271"/>
        <v>0</v>
      </c>
      <c r="AA584" s="48">
        <f t="shared" si="271"/>
        <v>0</v>
      </c>
      <c r="AB584" s="48">
        <f t="shared" si="271"/>
        <v>0</v>
      </c>
      <c r="AC584" s="48">
        <f t="shared" si="271"/>
        <v>0</v>
      </c>
      <c r="AD584" s="48">
        <f t="shared" si="271"/>
        <v>0</v>
      </c>
      <c r="AE584" s="48">
        <f t="shared" si="271"/>
        <v>0</v>
      </c>
      <c r="AF584" s="48">
        <f t="shared" si="271"/>
        <v>0</v>
      </c>
      <c r="AG584" s="48">
        <f t="shared" si="271"/>
        <v>0</v>
      </c>
      <c r="AH584" s="48">
        <f t="shared" si="271"/>
        <v>0</v>
      </c>
      <c r="AI584" s="48">
        <f t="shared" si="271"/>
        <v>0</v>
      </c>
      <c r="AJ584" s="48">
        <f t="shared" si="271"/>
        <v>0</v>
      </c>
      <c r="AK584" s="48">
        <f t="shared" si="271"/>
        <v>0</v>
      </c>
      <c r="AL584" s="48">
        <f t="shared" si="271"/>
        <v>0</v>
      </c>
      <c r="AM584" s="48">
        <f t="shared" si="271"/>
        <v>0</v>
      </c>
      <c r="AN584" s="48">
        <f t="shared" si="271"/>
        <v>0</v>
      </c>
      <c r="AO584" s="48">
        <f t="shared" si="268"/>
        <v>0</v>
      </c>
      <c r="AP584" s="48">
        <f t="shared" si="268"/>
        <v>0</v>
      </c>
      <c r="AQ584" s="48">
        <f t="shared" si="268"/>
        <v>0</v>
      </c>
      <c r="AR584" s="48">
        <f t="shared" si="268"/>
        <v>0</v>
      </c>
      <c r="AS584" s="48">
        <f t="shared" si="268"/>
        <v>0</v>
      </c>
      <c r="AT584" s="48">
        <f t="shared" si="268"/>
        <v>0</v>
      </c>
      <c r="AU584" s="48">
        <f t="shared" si="268"/>
        <v>0</v>
      </c>
      <c r="AV584" s="48">
        <f t="shared" si="268"/>
        <v>0</v>
      </c>
      <c r="AW584" s="48">
        <f t="shared" si="268"/>
        <v>0</v>
      </c>
      <c r="AX584" s="48">
        <f t="shared" si="268"/>
        <v>0</v>
      </c>
      <c r="AY584" s="48">
        <f t="shared" si="268"/>
        <v>0</v>
      </c>
      <c r="AZ584" s="48">
        <f t="shared" si="268"/>
        <v>0</v>
      </c>
      <c r="BA584" s="48">
        <f t="shared" si="268"/>
        <v>0</v>
      </c>
      <c r="BB584" s="48">
        <f t="shared" si="268"/>
        <v>0</v>
      </c>
      <c r="BC584" s="48">
        <f t="shared" si="268"/>
        <v>0.14285714285714285</v>
      </c>
      <c r="BD584" s="48">
        <f t="shared" si="268"/>
        <v>0.6428571428571429</v>
      </c>
      <c r="BE584" s="48">
        <f t="shared" si="268"/>
        <v>1</v>
      </c>
      <c r="BF584" s="48">
        <f t="shared" si="268"/>
        <v>1</v>
      </c>
      <c r="BG584" s="48">
        <f t="shared" si="269"/>
        <v>1</v>
      </c>
      <c r="BH584" s="48">
        <f t="shared" si="269"/>
        <v>1</v>
      </c>
      <c r="BI584" s="48">
        <f t="shared" si="269"/>
        <v>1</v>
      </c>
      <c r="BJ584" s="48">
        <f t="shared" si="269"/>
        <v>1</v>
      </c>
      <c r="BK584" s="48">
        <f t="shared" si="269"/>
        <v>1</v>
      </c>
      <c r="BL584" s="48">
        <f t="shared" si="269"/>
        <v>1</v>
      </c>
      <c r="BM584" s="48">
        <f t="shared" si="269"/>
        <v>1</v>
      </c>
      <c r="BN584" s="48">
        <f t="shared" si="269"/>
        <v>1</v>
      </c>
      <c r="BO584" s="32">
        <f t="shared" si="246"/>
        <v>0.18280871670702178</v>
      </c>
    </row>
    <row r="585" spans="1:67" ht="24" x14ac:dyDescent="0.2">
      <c r="A585" s="55" t="s">
        <v>1178</v>
      </c>
      <c r="B585" s="55" t="s">
        <v>1179</v>
      </c>
      <c r="C585" s="55" t="s">
        <v>14</v>
      </c>
      <c r="D585" s="56">
        <f>VLOOKUP(A585,'[1]Cuadro Control'!C629:J2515,8,FALSE)</f>
        <v>0</v>
      </c>
      <c r="E585" s="57">
        <f>IFERROR(D585/$D$569,0)</f>
        <v>0</v>
      </c>
      <c r="F585" s="58">
        <v>46554</v>
      </c>
      <c r="G585" s="58">
        <v>46554</v>
      </c>
      <c r="H585" s="57">
        <f t="shared" si="270"/>
        <v>0</v>
      </c>
      <c r="I585" s="57">
        <f t="shared" si="270"/>
        <v>0</v>
      </c>
      <c r="J585" s="57">
        <f t="shared" si="270"/>
        <v>0</v>
      </c>
      <c r="K585" s="57">
        <f t="shared" si="270"/>
        <v>0</v>
      </c>
      <c r="L585" s="57">
        <f t="shared" si="270"/>
        <v>0</v>
      </c>
      <c r="M585" s="57">
        <f t="shared" si="270"/>
        <v>0</v>
      </c>
      <c r="N585" s="57">
        <f t="shared" si="270"/>
        <v>0</v>
      </c>
      <c r="O585" s="57">
        <f t="shared" si="270"/>
        <v>0</v>
      </c>
      <c r="P585" s="57">
        <f t="shared" si="270"/>
        <v>0</v>
      </c>
      <c r="Q585" s="57">
        <f t="shared" si="270"/>
        <v>0</v>
      </c>
      <c r="R585" s="57">
        <f t="shared" si="270"/>
        <v>0</v>
      </c>
      <c r="S585" s="57">
        <f t="shared" si="270"/>
        <v>0</v>
      </c>
      <c r="T585" s="57">
        <f t="shared" si="270"/>
        <v>0</v>
      </c>
      <c r="U585" s="57">
        <f t="shared" si="270"/>
        <v>0</v>
      </c>
      <c r="V585" s="57">
        <f t="shared" si="270"/>
        <v>0</v>
      </c>
      <c r="W585" s="57">
        <f t="shared" si="270"/>
        <v>0</v>
      </c>
      <c r="X585" s="57">
        <f t="shared" si="271"/>
        <v>0</v>
      </c>
      <c r="Y585" s="57">
        <f t="shared" si="271"/>
        <v>0</v>
      </c>
      <c r="Z585" s="57">
        <f t="shared" si="271"/>
        <v>0</v>
      </c>
      <c r="AA585" s="57">
        <f t="shared" si="271"/>
        <v>0</v>
      </c>
      <c r="AB585" s="57">
        <f t="shared" si="271"/>
        <v>0</v>
      </c>
      <c r="AC585" s="57">
        <f t="shared" si="271"/>
        <v>0</v>
      </c>
      <c r="AD585" s="57">
        <f t="shared" si="271"/>
        <v>0</v>
      </c>
      <c r="AE585" s="57">
        <f t="shared" si="271"/>
        <v>0</v>
      </c>
      <c r="AF585" s="57">
        <f t="shared" si="271"/>
        <v>0</v>
      </c>
      <c r="AG585" s="57">
        <f t="shared" si="271"/>
        <v>0</v>
      </c>
      <c r="AH585" s="57">
        <f t="shared" si="271"/>
        <v>0</v>
      </c>
      <c r="AI585" s="57">
        <f t="shared" si="271"/>
        <v>0</v>
      </c>
      <c r="AJ585" s="57">
        <f t="shared" si="271"/>
        <v>0</v>
      </c>
      <c r="AK585" s="57">
        <f t="shared" si="271"/>
        <v>0</v>
      </c>
      <c r="AL585" s="57">
        <f t="shared" si="271"/>
        <v>0</v>
      </c>
      <c r="AM585" s="57">
        <f t="shared" si="271"/>
        <v>0</v>
      </c>
      <c r="AN585" s="57">
        <f t="shared" si="271"/>
        <v>0</v>
      </c>
      <c r="AO585" s="57">
        <f t="shared" si="271"/>
        <v>0</v>
      </c>
      <c r="AP585" s="57">
        <f t="shared" si="271"/>
        <v>0</v>
      </c>
      <c r="AQ585" s="57">
        <f t="shared" si="271"/>
        <v>0</v>
      </c>
      <c r="AR585" s="57">
        <f t="shared" si="271"/>
        <v>0</v>
      </c>
      <c r="AS585" s="57">
        <f t="shared" si="271"/>
        <v>0</v>
      </c>
      <c r="AT585" s="57">
        <f t="shared" si="271"/>
        <v>0</v>
      </c>
      <c r="AU585" s="57">
        <f t="shared" si="271"/>
        <v>0</v>
      </c>
      <c r="AV585" s="57">
        <f t="shared" si="271"/>
        <v>0</v>
      </c>
      <c r="AW585" s="57">
        <f t="shared" si="271"/>
        <v>0</v>
      </c>
      <c r="AX585" s="57">
        <f t="shared" si="271"/>
        <v>0</v>
      </c>
      <c r="AY585" s="57">
        <f t="shared" si="271"/>
        <v>0</v>
      </c>
      <c r="AZ585" s="57">
        <f t="shared" si="271"/>
        <v>0</v>
      </c>
      <c r="BA585" s="57">
        <f t="shared" si="271"/>
        <v>0</v>
      </c>
      <c r="BB585" s="57">
        <f t="shared" si="271"/>
        <v>0</v>
      </c>
      <c r="BC585" s="57">
        <f t="shared" si="271"/>
        <v>0</v>
      </c>
      <c r="BD585" s="57">
        <f t="shared" si="268"/>
        <v>0</v>
      </c>
      <c r="BE585" s="57">
        <f t="shared" si="268"/>
        <v>1</v>
      </c>
      <c r="BF585" s="57">
        <f t="shared" si="268"/>
        <v>1</v>
      </c>
      <c r="BG585" s="57">
        <f t="shared" si="269"/>
        <v>1</v>
      </c>
      <c r="BH585" s="57">
        <f t="shared" si="269"/>
        <v>1</v>
      </c>
      <c r="BI585" s="57">
        <f t="shared" si="269"/>
        <v>1</v>
      </c>
      <c r="BJ585" s="57">
        <f t="shared" si="269"/>
        <v>1</v>
      </c>
      <c r="BK585" s="57">
        <f t="shared" si="269"/>
        <v>1</v>
      </c>
      <c r="BL585" s="57">
        <f t="shared" si="269"/>
        <v>1</v>
      </c>
      <c r="BM585" s="57">
        <f t="shared" si="269"/>
        <v>1</v>
      </c>
      <c r="BN585" s="57">
        <f t="shared" si="269"/>
        <v>1</v>
      </c>
      <c r="BO585" s="32">
        <f t="shared" si="246"/>
        <v>0.16949152542372881</v>
      </c>
    </row>
    <row r="586" spans="1:67" x14ac:dyDescent="0.2">
      <c r="A586" s="59" t="s">
        <v>1180</v>
      </c>
      <c r="B586" s="59" t="s">
        <v>1181</v>
      </c>
      <c r="C586" s="59" t="s">
        <v>467</v>
      </c>
      <c r="D586" s="60">
        <f>SUM(D587:D602)</f>
        <v>5308872732.0543728</v>
      </c>
      <c r="E586" s="61">
        <f>IFERROR(D586/$D$109,0)</f>
        <v>2.9408554574576196E-2</v>
      </c>
      <c r="F586" s="62">
        <v>46484</v>
      </c>
      <c r="G586" s="62">
        <v>46563</v>
      </c>
      <c r="H586" s="61">
        <f>SUMPRODUCT($E587:$E601,H587:H601)</f>
        <v>0</v>
      </c>
      <c r="I586" s="61">
        <f t="shared" ref="I586:BN586" si="272">SUMPRODUCT($E587:$E601,I587:I601)</f>
        <v>0</v>
      </c>
      <c r="J586" s="61">
        <f t="shared" si="272"/>
        <v>0</v>
      </c>
      <c r="K586" s="61">
        <f t="shared" si="272"/>
        <v>0</v>
      </c>
      <c r="L586" s="61">
        <f t="shared" si="272"/>
        <v>0</v>
      </c>
      <c r="M586" s="61">
        <f t="shared" si="272"/>
        <v>0</v>
      </c>
      <c r="N586" s="61">
        <f t="shared" si="272"/>
        <v>0</v>
      </c>
      <c r="O586" s="61">
        <f t="shared" si="272"/>
        <v>0</v>
      </c>
      <c r="P586" s="61">
        <f t="shared" si="272"/>
        <v>0</v>
      </c>
      <c r="Q586" s="61">
        <f t="shared" si="272"/>
        <v>0</v>
      </c>
      <c r="R586" s="61">
        <f t="shared" si="272"/>
        <v>0</v>
      </c>
      <c r="S586" s="61">
        <f t="shared" si="272"/>
        <v>0</v>
      </c>
      <c r="T586" s="61">
        <f t="shared" si="272"/>
        <v>0</v>
      </c>
      <c r="U586" s="61">
        <f t="shared" si="272"/>
        <v>0</v>
      </c>
      <c r="V586" s="61">
        <f t="shared" si="272"/>
        <v>0</v>
      </c>
      <c r="W586" s="61">
        <f t="shared" si="272"/>
        <v>0</v>
      </c>
      <c r="X586" s="61">
        <f t="shared" si="272"/>
        <v>0</v>
      </c>
      <c r="Y586" s="61">
        <f t="shared" si="272"/>
        <v>0</v>
      </c>
      <c r="Z586" s="61">
        <f t="shared" si="272"/>
        <v>0</v>
      </c>
      <c r="AA586" s="61">
        <f t="shared" si="272"/>
        <v>0</v>
      </c>
      <c r="AB586" s="61">
        <f t="shared" si="272"/>
        <v>0</v>
      </c>
      <c r="AC586" s="61">
        <f t="shared" si="272"/>
        <v>0</v>
      </c>
      <c r="AD586" s="61">
        <f t="shared" si="272"/>
        <v>0</v>
      </c>
      <c r="AE586" s="61">
        <f t="shared" si="272"/>
        <v>0</v>
      </c>
      <c r="AF586" s="61">
        <f t="shared" si="272"/>
        <v>0</v>
      </c>
      <c r="AG586" s="61">
        <f t="shared" si="272"/>
        <v>0</v>
      </c>
      <c r="AH586" s="61">
        <f t="shared" si="272"/>
        <v>0</v>
      </c>
      <c r="AI586" s="61">
        <f t="shared" si="272"/>
        <v>0</v>
      </c>
      <c r="AJ586" s="61">
        <f t="shared" si="272"/>
        <v>0</v>
      </c>
      <c r="AK586" s="61">
        <f t="shared" si="272"/>
        <v>0</v>
      </c>
      <c r="AL586" s="61">
        <f t="shared" si="272"/>
        <v>0</v>
      </c>
      <c r="AM586" s="61">
        <f t="shared" si="272"/>
        <v>0</v>
      </c>
      <c r="AN586" s="61">
        <f t="shared" si="272"/>
        <v>0</v>
      </c>
      <c r="AO586" s="61">
        <f t="shared" si="272"/>
        <v>0</v>
      </c>
      <c r="AP586" s="61">
        <f t="shared" si="272"/>
        <v>0</v>
      </c>
      <c r="AQ586" s="61">
        <f t="shared" si="272"/>
        <v>0</v>
      </c>
      <c r="AR586" s="61">
        <f t="shared" si="272"/>
        <v>0</v>
      </c>
      <c r="AS586" s="61">
        <f t="shared" si="272"/>
        <v>0</v>
      </c>
      <c r="AT586" s="61">
        <f t="shared" si="272"/>
        <v>0</v>
      </c>
      <c r="AU586" s="61">
        <f t="shared" si="272"/>
        <v>5.8820241899941441E-3</v>
      </c>
      <c r="AV586" s="61">
        <f t="shared" si="272"/>
        <v>3.7750428504315078E-2</v>
      </c>
      <c r="AW586" s="61">
        <f t="shared" si="272"/>
        <v>7.5721945247826203E-2</v>
      </c>
      <c r="AX586" s="61">
        <f t="shared" si="272"/>
        <v>0.14557149459736105</v>
      </c>
      <c r="AY586" s="61">
        <f t="shared" si="272"/>
        <v>0.20027427996352742</v>
      </c>
      <c r="AZ586" s="61">
        <f t="shared" si="272"/>
        <v>0.28442698011883905</v>
      </c>
      <c r="BA586" s="61">
        <f t="shared" si="272"/>
        <v>0.36857968027415072</v>
      </c>
      <c r="BB586" s="61">
        <f t="shared" si="272"/>
        <v>0.64850810003989967</v>
      </c>
      <c r="BC586" s="61">
        <f t="shared" si="272"/>
        <v>0.64850810003989967</v>
      </c>
      <c r="BD586" s="61">
        <f t="shared" si="272"/>
        <v>0.71410290568127988</v>
      </c>
      <c r="BE586" s="61">
        <f t="shared" si="272"/>
        <v>0.90834159235553846</v>
      </c>
      <c r="BF586" s="61">
        <f t="shared" si="272"/>
        <v>1</v>
      </c>
      <c r="BG586" s="61">
        <f t="shared" si="272"/>
        <v>1</v>
      </c>
      <c r="BH586" s="61">
        <f t="shared" si="272"/>
        <v>1</v>
      </c>
      <c r="BI586" s="61">
        <f t="shared" si="272"/>
        <v>1</v>
      </c>
      <c r="BJ586" s="61">
        <f t="shared" si="272"/>
        <v>1</v>
      </c>
      <c r="BK586" s="61">
        <f t="shared" si="272"/>
        <v>1</v>
      </c>
      <c r="BL586" s="61">
        <f t="shared" si="272"/>
        <v>1</v>
      </c>
      <c r="BM586" s="61">
        <f t="shared" si="272"/>
        <v>1</v>
      </c>
      <c r="BN586" s="61">
        <f t="shared" si="272"/>
        <v>1</v>
      </c>
      <c r="BO586" s="32">
        <f t="shared" ref="BO586:BO649" si="273">+AVERAGE(H586:BN586)</f>
        <v>0.22097741577987509</v>
      </c>
    </row>
    <row r="587" spans="1:67" ht="24" x14ac:dyDescent="0.2">
      <c r="A587" s="50" t="s">
        <v>1182</v>
      </c>
      <c r="B587" s="50" t="s">
        <v>1183</v>
      </c>
      <c r="C587" s="50" t="s">
        <v>74</v>
      </c>
      <c r="D587" s="51">
        <f>VLOOKUP(A587,'[1]Cuadro Control'!C631:J2517,8,FALSE)</f>
        <v>83271780.884117648</v>
      </c>
      <c r="E587" s="52">
        <f t="shared" ref="E587:E601" si="274">IFERROR(D587/$D$586,0)</f>
        <v>1.5685397839984384E-2</v>
      </c>
      <c r="F587" s="53">
        <v>46484</v>
      </c>
      <c r="G587" s="53">
        <v>46491</v>
      </c>
      <c r="H587" s="52">
        <f t="shared" ref="H587:BN591" si="275">IF($F587=0,0,IF(H$6&lt;$F587,0,IF(H$6&gt;$G587,1,(H$6-$F587+1)/($G587-$F587+1))))</f>
        <v>0</v>
      </c>
      <c r="I587" s="52">
        <f t="shared" si="275"/>
        <v>0</v>
      </c>
      <c r="J587" s="52">
        <f t="shared" si="275"/>
        <v>0</v>
      </c>
      <c r="K587" s="52">
        <f t="shared" si="275"/>
        <v>0</v>
      </c>
      <c r="L587" s="52">
        <f t="shared" si="275"/>
        <v>0</v>
      </c>
      <c r="M587" s="52">
        <f t="shared" si="275"/>
        <v>0</v>
      </c>
      <c r="N587" s="52">
        <f t="shared" si="275"/>
        <v>0</v>
      </c>
      <c r="O587" s="52">
        <f t="shared" si="275"/>
        <v>0</v>
      </c>
      <c r="P587" s="52">
        <f t="shared" si="275"/>
        <v>0</v>
      </c>
      <c r="Q587" s="52">
        <f t="shared" si="275"/>
        <v>0</v>
      </c>
      <c r="R587" s="52">
        <f t="shared" si="275"/>
        <v>0</v>
      </c>
      <c r="S587" s="52">
        <f t="shared" si="275"/>
        <v>0</v>
      </c>
      <c r="T587" s="52">
        <f t="shared" si="275"/>
        <v>0</v>
      </c>
      <c r="U587" s="52">
        <f t="shared" si="275"/>
        <v>0</v>
      </c>
      <c r="V587" s="52">
        <f t="shared" si="275"/>
        <v>0</v>
      </c>
      <c r="W587" s="52">
        <f t="shared" si="275"/>
        <v>0</v>
      </c>
      <c r="X587" s="52">
        <f t="shared" si="275"/>
        <v>0</v>
      </c>
      <c r="Y587" s="52">
        <f t="shared" si="275"/>
        <v>0</v>
      </c>
      <c r="Z587" s="52">
        <f t="shared" si="275"/>
        <v>0</v>
      </c>
      <c r="AA587" s="52">
        <f t="shared" si="275"/>
        <v>0</v>
      </c>
      <c r="AB587" s="52">
        <f t="shared" si="275"/>
        <v>0</v>
      </c>
      <c r="AC587" s="52">
        <f t="shared" si="275"/>
        <v>0</v>
      </c>
      <c r="AD587" s="52">
        <f t="shared" si="275"/>
        <v>0</v>
      </c>
      <c r="AE587" s="52">
        <f t="shared" si="275"/>
        <v>0</v>
      </c>
      <c r="AF587" s="52">
        <f t="shared" si="275"/>
        <v>0</v>
      </c>
      <c r="AG587" s="52">
        <f t="shared" si="275"/>
        <v>0</v>
      </c>
      <c r="AH587" s="52">
        <f t="shared" si="275"/>
        <v>0</v>
      </c>
      <c r="AI587" s="52">
        <f t="shared" si="275"/>
        <v>0</v>
      </c>
      <c r="AJ587" s="52">
        <f t="shared" si="275"/>
        <v>0</v>
      </c>
      <c r="AK587" s="52">
        <f t="shared" si="275"/>
        <v>0</v>
      </c>
      <c r="AL587" s="52">
        <f t="shared" si="275"/>
        <v>0</v>
      </c>
      <c r="AM587" s="52">
        <f t="shared" si="275"/>
        <v>0</v>
      </c>
      <c r="AN587" s="52">
        <f t="shared" si="275"/>
        <v>0</v>
      </c>
      <c r="AO587" s="52">
        <f t="shared" si="275"/>
        <v>0</v>
      </c>
      <c r="AP587" s="52">
        <f t="shared" si="275"/>
        <v>0</v>
      </c>
      <c r="AQ587" s="52">
        <f t="shared" si="275"/>
        <v>0</v>
      </c>
      <c r="AR587" s="52">
        <f t="shared" si="275"/>
        <v>0</v>
      </c>
      <c r="AS587" s="52">
        <f t="shared" si="275"/>
        <v>0</v>
      </c>
      <c r="AT587" s="52">
        <f t="shared" si="275"/>
        <v>0</v>
      </c>
      <c r="AU587" s="52">
        <f t="shared" si="275"/>
        <v>0.375</v>
      </c>
      <c r="AV587" s="52">
        <f t="shared" si="275"/>
        <v>1</v>
      </c>
      <c r="AW587" s="52">
        <f t="shared" si="275"/>
        <v>1</v>
      </c>
      <c r="AX587" s="52">
        <f t="shared" si="275"/>
        <v>1</v>
      </c>
      <c r="AY587" s="52">
        <f t="shared" si="275"/>
        <v>1</v>
      </c>
      <c r="AZ587" s="52">
        <f t="shared" si="275"/>
        <v>1</v>
      </c>
      <c r="BA587" s="52">
        <f t="shared" si="275"/>
        <v>1</v>
      </c>
      <c r="BB587" s="52">
        <f t="shared" si="275"/>
        <v>1</v>
      </c>
      <c r="BC587" s="52">
        <f t="shared" si="275"/>
        <v>1</v>
      </c>
      <c r="BD587" s="52">
        <f t="shared" si="275"/>
        <v>1</v>
      </c>
      <c r="BE587" s="52">
        <f t="shared" si="275"/>
        <v>1</v>
      </c>
      <c r="BF587" s="52">
        <f t="shared" si="275"/>
        <v>1</v>
      </c>
      <c r="BG587" s="52">
        <f t="shared" si="275"/>
        <v>1</v>
      </c>
      <c r="BH587" s="52">
        <f t="shared" si="275"/>
        <v>1</v>
      </c>
      <c r="BI587" s="52">
        <f t="shared" si="275"/>
        <v>1</v>
      </c>
      <c r="BJ587" s="52">
        <f t="shared" si="275"/>
        <v>1</v>
      </c>
      <c r="BK587" s="52">
        <f t="shared" si="275"/>
        <v>1</v>
      </c>
      <c r="BL587" s="52">
        <f t="shared" si="275"/>
        <v>1</v>
      </c>
      <c r="BM587" s="52">
        <f t="shared" si="275"/>
        <v>1</v>
      </c>
      <c r="BN587" s="52">
        <f t="shared" si="275"/>
        <v>1</v>
      </c>
      <c r="BO587" s="32">
        <f t="shared" si="273"/>
        <v>0.32838983050847459</v>
      </c>
    </row>
    <row r="588" spans="1:67" x14ac:dyDescent="0.2">
      <c r="A588" s="50" t="s">
        <v>1184</v>
      </c>
      <c r="B588" s="50" t="s">
        <v>1185</v>
      </c>
      <c r="C588" s="50" t="s">
        <v>61</v>
      </c>
      <c r="D588" s="51">
        <f>VLOOKUP(A588,'[1]Cuadro Control'!C632:J2518,8,FALSE)</f>
        <v>312374505.66882348</v>
      </c>
      <c r="E588" s="52">
        <f t="shared" si="274"/>
        <v>5.8840081771548515E-2</v>
      </c>
      <c r="F588" s="53">
        <v>46491</v>
      </c>
      <c r="G588" s="53">
        <v>46498</v>
      </c>
      <c r="H588" s="52">
        <f t="shared" si="275"/>
        <v>0</v>
      </c>
      <c r="I588" s="52">
        <f t="shared" si="275"/>
        <v>0</v>
      </c>
      <c r="J588" s="52">
        <f t="shared" si="275"/>
        <v>0</v>
      </c>
      <c r="K588" s="52">
        <f t="shared" si="275"/>
        <v>0</v>
      </c>
      <c r="L588" s="52">
        <f t="shared" si="275"/>
        <v>0</v>
      </c>
      <c r="M588" s="52">
        <f t="shared" si="275"/>
        <v>0</v>
      </c>
      <c r="N588" s="52">
        <f t="shared" si="275"/>
        <v>0</v>
      </c>
      <c r="O588" s="52">
        <f t="shared" si="275"/>
        <v>0</v>
      </c>
      <c r="P588" s="52">
        <f t="shared" si="275"/>
        <v>0</v>
      </c>
      <c r="Q588" s="52">
        <f t="shared" si="275"/>
        <v>0</v>
      </c>
      <c r="R588" s="52">
        <f t="shared" si="275"/>
        <v>0</v>
      </c>
      <c r="S588" s="52">
        <f t="shared" si="275"/>
        <v>0</v>
      </c>
      <c r="T588" s="52">
        <f t="shared" si="275"/>
        <v>0</v>
      </c>
      <c r="U588" s="52">
        <f t="shared" si="275"/>
        <v>0</v>
      </c>
      <c r="V588" s="52">
        <f t="shared" si="275"/>
        <v>0</v>
      </c>
      <c r="W588" s="52">
        <f t="shared" si="275"/>
        <v>0</v>
      </c>
      <c r="X588" s="52">
        <f t="shared" si="275"/>
        <v>0</v>
      </c>
      <c r="Y588" s="52">
        <f t="shared" si="275"/>
        <v>0</v>
      </c>
      <c r="Z588" s="52">
        <f t="shared" si="275"/>
        <v>0</v>
      </c>
      <c r="AA588" s="52">
        <f t="shared" si="275"/>
        <v>0</v>
      </c>
      <c r="AB588" s="52">
        <f t="shared" si="275"/>
        <v>0</v>
      </c>
      <c r="AC588" s="52">
        <f t="shared" si="275"/>
        <v>0</v>
      </c>
      <c r="AD588" s="52">
        <f t="shared" si="275"/>
        <v>0</v>
      </c>
      <c r="AE588" s="52">
        <f t="shared" si="275"/>
        <v>0</v>
      </c>
      <c r="AF588" s="52">
        <f t="shared" si="275"/>
        <v>0</v>
      </c>
      <c r="AG588" s="52">
        <f t="shared" si="275"/>
        <v>0</v>
      </c>
      <c r="AH588" s="52">
        <f t="shared" si="275"/>
        <v>0</v>
      </c>
      <c r="AI588" s="52">
        <f t="shared" si="275"/>
        <v>0</v>
      </c>
      <c r="AJ588" s="52">
        <f t="shared" si="275"/>
        <v>0</v>
      </c>
      <c r="AK588" s="52">
        <f t="shared" si="275"/>
        <v>0</v>
      </c>
      <c r="AL588" s="52">
        <f t="shared" si="275"/>
        <v>0</v>
      </c>
      <c r="AM588" s="52">
        <f t="shared" si="275"/>
        <v>0</v>
      </c>
      <c r="AN588" s="52">
        <f t="shared" si="275"/>
        <v>0</v>
      </c>
      <c r="AO588" s="52">
        <f t="shared" si="275"/>
        <v>0</v>
      </c>
      <c r="AP588" s="52">
        <f t="shared" si="275"/>
        <v>0</v>
      </c>
      <c r="AQ588" s="52">
        <f t="shared" si="275"/>
        <v>0</v>
      </c>
      <c r="AR588" s="52">
        <f t="shared" si="275"/>
        <v>0</v>
      </c>
      <c r="AS588" s="52">
        <f t="shared" si="275"/>
        <v>0</v>
      </c>
      <c r="AT588" s="52">
        <f t="shared" si="275"/>
        <v>0</v>
      </c>
      <c r="AU588" s="52">
        <f t="shared" si="275"/>
        <v>0</v>
      </c>
      <c r="AV588" s="52">
        <f t="shared" si="275"/>
        <v>0.375</v>
      </c>
      <c r="AW588" s="52">
        <f t="shared" si="275"/>
        <v>1</v>
      </c>
      <c r="AX588" s="52">
        <f t="shared" si="275"/>
        <v>1</v>
      </c>
      <c r="AY588" s="52">
        <f t="shared" si="275"/>
        <v>1</v>
      </c>
      <c r="AZ588" s="52">
        <f t="shared" si="275"/>
        <v>1</v>
      </c>
      <c r="BA588" s="52">
        <f t="shared" si="275"/>
        <v>1</v>
      </c>
      <c r="BB588" s="52">
        <f t="shared" si="275"/>
        <v>1</v>
      </c>
      <c r="BC588" s="52">
        <f t="shared" si="275"/>
        <v>1</v>
      </c>
      <c r="BD588" s="52">
        <f t="shared" si="275"/>
        <v>1</v>
      </c>
      <c r="BE588" s="52">
        <f t="shared" si="275"/>
        <v>1</v>
      </c>
      <c r="BF588" s="52">
        <f t="shared" si="275"/>
        <v>1</v>
      </c>
      <c r="BG588" s="52">
        <f t="shared" si="275"/>
        <v>1</v>
      </c>
      <c r="BH588" s="52">
        <f t="shared" si="275"/>
        <v>1</v>
      </c>
      <c r="BI588" s="52">
        <f t="shared" si="275"/>
        <v>1</v>
      </c>
      <c r="BJ588" s="52">
        <f t="shared" si="275"/>
        <v>1</v>
      </c>
      <c r="BK588" s="52">
        <f t="shared" si="275"/>
        <v>1</v>
      </c>
      <c r="BL588" s="52">
        <f t="shared" si="275"/>
        <v>1</v>
      </c>
      <c r="BM588" s="52">
        <f t="shared" si="275"/>
        <v>1</v>
      </c>
      <c r="BN588" s="52">
        <f t="shared" si="275"/>
        <v>1</v>
      </c>
      <c r="BO588" s="32">
        <f t="shared" si="273"/>
        <v>0.3114406779661017</v>
      </c>
    </row>
    <row r="589" spans="1:67" ht="15" x14ac:dyDescent="0.2">
      <c r="A589" s="46" t="s">
        <v>1186</v>
      </c>
      <c r="B589" s="46" t="s">
        <v>1187</v>
      </c>
      <c r="C589" s="46" t="s">
        <v>126</v>
      </c>
      <c r="D589" s="47">
        <f>VLOOKUP(A589,'[1]Cuadro Control'!C633:J2519,8,FALSE)</f>
        <v>9527825.6870364472</v>
      </c>
      <c r="E589" s="48">
        <f t="shared" si="274"/>
        <v>1.794698454439963E-3</v>
      </c>
      <c r="F589" s="49">
        <v>46499</v>
      </c>
      <c r="G589" s="49">
        <v>46501</v>
      </c>
      <c r="H589" s="48">
        <f t="shared" si="275"/>
        <v>0</v>
      </c>
      <c r="I589" s="48">
        <f t="shared" si="275"/>
        <v>0</v>
      </c>
      <c r="J589" s="48">
        <f t="shared" si="275"/>
        <v>0</v>
      </c>
      <c r="K589" s="48">
        <f t="shared" si="275"/>
        <v>0</v>
      </c>
      <c r="L589" s="48">
        <f t="shared" si="275"/>
        <v>0</v>
      </c>
      <c r="M589" s="48">
        <f t="shared" si="275"/>
        <v>0</v>
      </c>
      <c r="N589" s="48">
        <f t="shared" si="275"/>
        <v>0</v>
      </c>
      <c r="O589" s="48">
        <f t="shared" si="275"/>
        <v>0</v>
      </c>
      <c r="P589" s="48">
        <f t="shared" si="275"/>
        <v>0</v>
      </c>
      <c r="Q589" s="48">
        <f t="shared" si="275"/>
        <v>0</v>
      </c>
      <c r="R589" s="48">
        <f t="shared" si="275"/>
        <v>0</v>
      </c>
      <c r="S589" s="48">
        <f t="shared" si="275"/>
        <v>0</v>
      </c>
      <c r="T589" s="48">
        <f t="shared" si="275"/>
        <v>0</v>
      </c>
      <c r="U589" s="48">
        <f t="shared" si="275"/>
        <v>0</v>
      </c>
      <c r="V589" s="48">
        <f t="shared" si="275"/>
        <v>0</v>
      </c>
      <c r="W589" s="48">
        <f t="shared" si="275"/>
        <v>0</v>
      </c>
      <c r="X589" s="48">
        <f t="shared" si="275"/>
        <v>0</v>
      </c>
      <c r="Y589" s="48">
        <f t="shared" si="275"/>
        <v>0</v>
      </c>
      <c r="Z589" s="48">
        <f t="shared" si="275"/>
        <v>0</v>
      </c>
      <c r="AA589" s="48">
        <f t="shared" si="275"/>
        <v>0</v>
      </c>
      <c r="AB589" s="48">
        <f t="shared" si="275"/>
        <v>0</v>
      </c>
      <c r="AC589" s="48">
        <f t="shared" si="275"/>
        <v>0</v>
      </c>
      <c r="AD589" s="48">
        <f t="shared" si="275"/>
        <v>0</v>
      </c>
      <c r="AE589" s="48">
        <f t="shared" si="275"/>
        <v>0</v>
      </c>
      <c r="AF589" s="48">
        <f t="shared" si="275"/>
        <v>0</v>
      </c>
      <c r="AG589" s="48">
        <f t="shared" si="275"/>
        <v>0</v>
      </c>
      <c r="AH589" s="48">
        <f t="shared" si="275"/>
        <v>0</v>
      </c>
      <c r="AI589" s="48">
        <f t="shared" si="275"/>
        <v>0</v>
      </c>
      <c r="AJ589" s="48">
        <f t="shared" si="275"/>
        <v>0</v>
      </c>
      <c r="AK589" s="48">
        <f t="shared" si="275"/>
        <v>0</v>
      </c>
      <c r="AL589" s="48">
        <f t="shared" si="275"/>
        <v>0</v>
      </c>
      <c r="AM589" s="48">
        <f t="shared" si="275"/>
        <v>0</v>
      </c>
      <c r="AN589" s="48">
        <f t="shared" si="275"/>
        <v>0</v>
      </c>
      <c r="AO589" s="48">
        <f t="shared" si="275"/>
        <v>0</v>
      </c>
      <c r="AP589" s="48">
        <f t="shared" si="275"/>
        <v>0</v>
      </c>
      <c r="AQ589" s="48">
        <f t="shared" si="275"/>
        <v>0</v>
      </c>
      <c r="AR589" s="48">
        <f t="shared" si="275"/>
        <v>0</v>
      </c>
      <c r="AS589" s="48">
        <f t="shared" si="275"/>
        <v>0</v>
      </c>
      <c r="AT589" s="48">
        <f t="shared" si="275"/>
        <v>0</v>
      </c>
      <c r="AU589" s="48">
        <f t="shared" si="275"/>
        <v>0</v>
      </c>
      <c r="AV589" s="48">
        <f t="shared" si="275"/>
        <v>0</v>
      </c>
      <c r="AW589" s="48">
        <f t="shared" si="275"/>
        <v>0.66666666666666663</v>
      </c>
      <c r="AX589" s="48">
        <f t="shared" si="275"/>
        <v>1</v>
      </c>
      <c r="AY589" s="48">
        <f t="shared" si="275"/>
        <v>1</v>
      </c>
      <c r="AZ589" s="48">
        <f t="shared" si="275"/>
        <v>1</v>
      </c>
      <c r="BA589" s="48">
        <f t="shared" si="275"/>
        <v>1</v>
      </c>
      <c r="BB589" s="48">
        <f t="shared" si="275"/>
        <v>1</v>
      </c>
      <c r="BC589" s="48">
        <f t="shared" si="275"/>
        <v>1</v>
      </c>
      <c r="BD589" s="48">
        <f t="shared" si="275"/>
        <v>1</v>
      </c>
      <c r="BE589" s="48">
        <f t="shared" si="275"/>
        <v>1</v>
      </c>
      <c r="BF589" s="48">
        <f t="shared" si="275"/>
        <v>1</v>
      </c>
      <c r="BG589" s="48">
        <f t="shared" si="275"/>
        <v>1</v>
      </c>
      <c r="BH589" s="48">
        <f t="shared" si="275"/>
        <v>1</v>
      </c>
      <c r="BI589" s="48">
        <f t="shared" si="275"/>
        <v>1</v>
      </c>
      <c r="BJ589" s="48">
        <f t="shared" si="275"/>
        <v>1</v>
      </c>
      <c r="BK589" s="48">
        <f t="shared" si="275"/>
        <v>1</v>
      </c>
      <c r="BL589" s="48">
        <f t="shared" si="275"/>
        <v>1</v>
      </c>
      <c r="BM589" s="48">
        <f t="shared" si="275"/>
        <v>1</v>
      </c>
      <c r="BN589" s="48">
        <f t="shared" si="275"/>
        <v>1</v>
      </c>
      <c r="BO589" s="32">
        <f t="shared" si="273"/>
        <v>0.29943502824858753</v>
      </c>
    </row>
    <row r="590" spans="1:67" x14ac:dyDescent="0.2">
      <c r="A590" s="50" t="s">
        <v>1188</v>
      </c>
      <c r="B590" s="50" t="s">
        <v>1189</v>
      </c>
      <c r="C590" s="50" t="s">
        <v>117</v>
      </c>
      <c r="D590" s="51">
        <f>VLOOKUP(A590,'[1]Cuadro Control'!C634:J2520,8,FALSE)</f>
        <v>320494616.71764702</v>
      </c>
      <c r="E590" s="52">
        <f t="shared" si="274"/>
        <v>6.0369617599332674E-2</v>
      </c>
      <c r="F590" s="53">
        <v>46501</v>
      </c>
      <c r="G590" s="53">
        <v>46506</v>
      </c>
      <c r="H590" s="52">
        <f t="shared" si="275"/>
        <v>0</v>
      </c>
      <c r="I590" s="52">
        <f t="shared" si="275"/>
        <v>0</v>
      </c>
      <c r="J590" s="52">
        <f t="shared" si="275"/>
        <v>0</v>
      </c>
      <c r="K590" s="52">
        <f t="shared" si="275"/>
        <v>0</v>
      </c>
      <c r="L590" s="52">
        <f t="shared" si="275"/>
        <v>0</v>
      </c>
      <c r="M590" s="52">
        <f t="shared" si="275"/>
        <v>0</v>
      </c>
      <c r="N590" s="52">
        <f t="shared" si="275"/>
        <v>0</v>
      </c>
      <c r="O590" s="52">
        <f t="shared" si="275"/>
        <v>0</v>
      </c>
      <c r="P590" s="52">
        <f t="shared" si="275"/>
        <v>0</v>
      </c>
      <c r="Q590" s="52">
        <f t="shared" si="275"/>
        <v>0</v>
      </c>
      <c r="R590" s="52">
        <f t="shared" si="275"/>
        <v>0</v>
      </c>
      <c r="S590" s="52">
        <f t="shared" si="275"/>
        <v>0</v>
      </c>
      <c r="T590" s="52">
        <f t="shared" si="275"/>
        <v>0</v>
      </c>
      <c r="U590" s="52">
        <f t="shared" si="275"/>
        <v>0</v>
      </c>
      <c r="V590" s="52">
        <f t="shared" si="275"/>
        <v>0</v>
      </c>
      <c r="W590" s="52">
        <f t="shared" si="275"/>
        <v>0</v>
      </c>
      <c r="X590" s="52">
        <f t="shared" si="275"/>
        <v>0</v>
      </c>
      <c r="Y590" s="52">
        <f t="shared" si="275"/>
        <v>0</v>
      </c>
      <c r="Z590" s="52">
        <f t="shared" si="275"/>
        <v>0</v>
      </c>
      <c r="AA590" s="52">
        <f t="shared" si="275"/>
        <v>0</v>
      </c>
      <c r="AB590" s="52">
        <f t="shared" si="275"/>
        <v>0</v>
      </c>
      <c r="AC590" s="52">
        <f t="shared" si="275"/>
        <v>0</v>
      </c>
      <c r="AD590" s="52">
        <f t="shared" si="275"/>
        <v>0</v>
      </c>
      <c r="AE590" s="52">
        <f t="shared" si="275"/>
        <v>0</v>
      </c>
      <c r="AF590" s="52">
        <f t="shared" si="275"/>
        <v>0</v>
      </c>
      <c r="AG590" s="52">
        <f t="shared" si="275"/>
        <v>0</v>
      </c>
      <c r="AH590" s="52">
        <f t="shared" si="275"/>
        <v>0</v>
      </c>
      <c r="AI590" s="52">
        <f t="shared" si="275"/>
        <v>0</v>
      </c>
      <c r="AJ590" s="52">
        <f t="shared" si="275"/>
        <v>0</v>
      </c>
      <c r="AK590" s="52">
        <f t="shared" si="275"/>
        <v>0</v>
      </c>
      <c r="AL590" s="52">
        <f t="shared" si="275"/>
        <v>0</v>
      </c>
      <c r="AM590" s="52">
        <f t="shared" si="275"/>
        <v>0</v>
      </c>
      <c r="AN590" s="52">
        <f t="shared" si="275"/>
        <v>0</v>
      </c>
      <c r="AO590" s="52">
        <f t="shared" si="275"/>
        <v>0</v>
      </c>
      <c r="AP590" s="52">
        <f t="shared" si="275"/>
        <v>0</v>
      </c>
      <c r="AQ590" s="52">
        <f t="shared" si="275"/>
        <v>0</v>
      </c>
      <c r="AR590" s="52">
        <f t="shared" si="275"/>
        <v>0</v>
      </c>
      <c r="AS590" s="52">
        <f t="shared" si="275"/>
        <v>0</v>
      </c>
      <c r="AT590" s="52">
        <f t="shared" si="275"/>
        <v>0</v>
      </c>
      <c r="AU590" s="52">
        <f t="shared" si="275"/>
        <v>0</v>
      </c>
      <c r="AV590" s="52">
        <f t="shared" si="275"/>
        <v>0</v>
      </c>
      <c r="AW590" s="52">
        <f t="shared" si="275"/>
        <v>0</v>
      </c>
      <c r="AX590" s="52">
        <f t="shared" si="275"/>
        <v>1</v>
      </c>
      <c r="AY590" s="52">
        <f t="shared" si="275"/>
        <v>1</v>
      </c>
      <c r="AZ590" s="52">
        <f t="shared" si="275"/>
        <v>1</v>
      </c>
      <c r="BA590" s="52">
        <f t="shared" si="275"/>
        <v>1</v>
      </c>
      <c r="BB590" s="52">
        <f t="shared" si="275"/>
        <v>1</v>
      </c>
      <c r="BC590" s="52">
        <f t="shared" si="275"/>
        <v>1</v>
      </c>
      <c r="BD590" s="52">
        <f t="shared" si="275"/>
        <v>1</v>
      </c>
      <c r="BE590" s="52">
        <f t="shared" si="275"/>
        <v>1</v>
      </c>
      <c r="BF590" s="52">
        <f t="shared" si="275"/>
        <v>1</v>
      </c>
      <c r="BG590" s="52">
        <f t="shared" si="275"/>
        <v>1</v>
      </c>
      <c r="BH590" s="52">
        <f t="shared" si="275"/>
        <v>1</v>
      </c>
      <c r="BI590" s="52">
        <f t="shared" si="275"/>
        <v>1</v>
      </c>
      <c r="BJ590" s="52">
        <f t="shared" si="275"/>
        <v>1</v>
      </c>
      <c r="BK590" s="52">
        <f t="shared" si="275"/>
        <v>1</v>
      </c>
      <c r="BL590" s="52">
        <f t="shared" si="275"/>
        <v>1</v>
      </c>
      <c r="BM590" s="52">
        <f t="shared" si="275"/>
        <v>1</v>
      </c>
      <c r="BN590" s="52">
        <f t="shared" si="275"/>
        <v>1</v>
      </c>
      <c r="BO590" s="32">
        <f t="shared" si="273"/>
        <v>0.28813559322033899</v>
      </c>
    </row>
    <row r="591" spans="1:67" x14ac:dyDescent="0.2">
      <c r="A591" s="50" t="s">
        <v>1190</v>
      </c>
      <c r="B591" s="50" t="s">
        <v>1191</v>
      </c>
      <c r="C591" s="50" t="s">
        <v>111</v>
      </c>
      <c r="D591" s="51">
        <f>VLOOKUP(A591,'[1]Cuadro Control'!C635:J2521,8,FALSE)</f>
        <v>94303618.549411759</v>
      </c>
      <c r="E591" s="52">
        <f t="shared" si="274"/>
        <v>1.7763397864110998E-2</v>
      </c>
      <c r="F591" s="53">
        <v>46507</v>
      </c>
      <c r="G591" s="53">
        <v>46508</v>
      </c>
      <c r="H591" s="52">
        <f t="shared" si="275"/>
        <v>0</v>
      </c>
      <c r="I591" s="52">
        <f t="shared" si="275"/>
        <v>0</v>
      </c>
      <c r="J591" s="52">
        <f t="shared" si="275"/>
        <v>0</v>
      </c>
      <c r="K591" s="52">
        <f t="shared" si="275"/>
        <v>0</v>
      </c>
      <c r="L591" s="52">
        <f t="shared" si="275"/>
        <v>0</v>
      </c>
      <c r="M591" s="52">
        <f t="shared" si="275"/>
        <v>0</v>
      </c>
      <c r="N591" s="52">
        <f t="shared" si="275"/>
        <v>0</v>
      </c>
      <c r="O591" s="52">
        <f t="shared" si="275"/>
        <v>0</v>
      </c>
      <c r="P591" s="52">
        <f t="shared" si="275"/>
        <v>0</v>
      </c>
      <c r="Q591" s="52">
        <f t="shared" si="275"/>
        <v>0</v>
      </c>
      <c r="R591" s="52">
        <f t="shared" si="275"/>
        <v>0</v>
      </c>
      <c r="S591" s="52">
        <f t="shared" si="275"/>
        <v>0</v>
      </c>
      <c r="T591" s="52">
        <f t="shared" si="275"/>
        <v>0</v>
      </c>
      <c r="U591" s="52">
        <f t="shared" si="275"/>
        <v>0</v>
      </c>
      <c r="V591" s="52">
        <f t="shared" si="275"/>
        <v>0</v>
      </c>
      <c r="W591" s="52">
        <f t="shared" si="275"/>
        <v>0</v>
      </c>
      <c r="X591" s="52">
        <f t="shared" si="275"/>
        <v>0</v>
      </c>
      <c r="Y591" s="52">
        <f t="shared" si="275"/>
        <v>0</v>
      </c>
      <c r="Z591" s="52">
        <f t="shared" si="275"/>
        <v>0</v>
      </c>
      <c r="AA591" s="52">
        <f t="shared" ref="AA591:BF602" si="276">IF($F591=0,0,IF(AA$6&lt;$F591,0,IF(AA$6&gt;$G591,1,(AA$6-$F591+1)/($G591-$F591+1))))</f>
        <v>0</v>
      </c>
      <c r="AB591" s="52">
        <f t="shared" si="276"/>
        <v>0</v>
      </c>
      <c r="AC591" s="52">
        <f t="shared" si="276"/>
        <v>0</v>
      </c>
      <c r="AD591" s="52">
        <f t="shared" si="276"/>
        <v>0</v>
      </c>
      <c r="AE591" s="52">
        <f t="shared" si="276"/>
        <v>0</v>
      </c>
      <c r="AF591" s="52">
        <f t="shared" si="276"/>
        <v>0</v>
      </c>
      <c r="AG591" s="52">
        <f t="shared" si="276"/>
        <v>0</v>
      </c>
      <c r="AH591" s="52">
        <f t="shared" si="276"/>
        <v>0</v>
      </c>
      <c r="AI591" s="52">
        <f t="shared" si="276"/>
        <v>0</v>
      </c>
      <c r="AJ591" s="52">
        <f t="shared" si="276"/>
        <v>0</v>
      </c>
      <c r="AK591" s="52">
        <f t="shared" si="276"/>
        <v>0</v>
      </c>
      <c r="AL591" s="52">
        <f t="shared" si="276"/>
        <v>0</v>
      </c>
      <c r="AM591" s="52">
        <f t="shared" si="276"/>
        <v>0</v>
      </c>
      <c r="AN591" s="52">
        <f t="shared" si="276"/>
        <v>0</v>
      </c>
      <c r="AO591" s="52">
        <f t="shared" si="276"/>
        <v>0</v>
      </c>
      <c r="AP591" s="52">
        <f t="shared" si="276"/>
        <v>0</v>
      </c>
      <c r="AQ591" s="52">
        <f t="shared" si="276"/>
        <v>0</v>
      </c>
      <c r="AR591" s="52">
        <f t="shared" si="276"/>
        <v>0</v>
      </c>
      <c r="AS591" s="52">
        <f t="shared" si="276"/>
        <v>0</v>
      </c>
      <c r="AT591" s="52">
        <f t="shared" si="276"/>
        <v>0</v>
      </c>
      <c r="AU591" s="52">
        <f t="shared" si="276"/>
        <v>0</v>
      </c>
      <c r="AV591" s="52">
        <f t="shared" si="276"/>
        <v>0</v>
      </c>
      <c r="AW591" s="52">
        <f t="shared" si="276"/>
        <v>0</v>
      </c>
      <c r="AX591" s="52">
        <f t="shared" si="276"/>
        <v>0.5</v>
      </c>
      <c r="AY591" s="52">
        <f t="shared" si="276"/>
        <v>1</v>
      </c>
      <c r="AZ591" s="52">
        <f t="shared" si="276"/>
        <v>1</v>
      </c>
      <c r="BA591" s="52">
        <f t="shared" si="276"/>
        <v>1</v>
      </c>
      <c r="BB591" s="52">
        <f t="shared" si="276"/>
        <v>1</v>
      </c>
      <c r="BC591" s="52">
        <f t="shared" si="276"/>
        <v>1</v>
      </c>
      <c r="BD591" s="52">
        <f t="shared" si="276"/>
        <v>1</v>
      </c>
      <c r="BE591" s="52">
        <f t="shared" si="276"/>
        <v>1</v>
      </c>
      <c r="BF591" s="52">
        <f t="shared" si="276"/>
        <v>1</v>
      </c>
      <c r="BG591" s="52">
        <f t="shared" ref="BG591:BN602" si="277">IF($F591=0,0,IF(BG$6&lt;$F591,0,IF(BG$6&gt;$G591,1,(BG$6-$F591+1)/($G591-$F591+1))))</f>
        <v>1</v>
      </c>
      <c r="BH591" s="52">
        <f t="shared" si="277"/>
        <v>1</v>
      </c>
      <c r="BI591" s="52">
        <f t="shared" si="277"/>
        <v>1</v>
      </c>
      <c r="BJ591" s="52">
        <f t="shared" si="277"/>
        <v>1</v>
      </c>
      <c r="BK591" s="52">
        <f t="shared" si="277"/>
        <v>1</v>
      </c>
      <c r="BL591" s="52">
        <f t="shared" si="277"/>
        <v>1</v>
      </c>
      <c r="BM591" s="52">
        <f t="shared" si="277"/>
        <v>1</v>
      </c>
      <c r="BN591" s="52">
        <f t="shared" si="277"/>
        <v>1</v>
      </c>
      <c r="BO591" s="32">
        <f t="shared" si="273"/>
        <v>0.27966101694915252</v>
      </c>
    </row>
    <row r="592" spans="1:67" x14ac:dyDescent="0.2">
      <c r="A592" s="50" t="s">
        <v>1192</v>
      </c>
      <c r="B592" s="50" t="s">
        <v>1193</v>
      </c>
      <c r="C592" s="50" t="s">
        <v>238</v>
      </c>
      <c r="D592" s="51">
        <f>VLOOKUP(A592,'[1]Cuadro Control'!C636:J2522,8,FALSE)</f>
        <v>179436034.15411764</v>
      </c>
      <c r="E592" s="52">
        <f t="shared" si="274"/>
        <v>3.3799272126209236E-2</v>
      </c>
      <c r="F592" s="53">
        <v>46510</v>
      </c>
      <c r="G592" s="53">
        <v>46514</v>
      </c>
      <c r="H592" s="52">
        <f t="shared" ref="H592:W602" si="278">IF($F592=0,0,IF(H$6&lt;$F592,0,IF(H$6&gt;$G592,1,(H$6-$F592+1)/($G592-$F592+1))))</f>
        <v>0</v>
      </c>
      <c r="I592" s="52">
        <f t="shared" si="278"/>
        <v>0</v>
      </c>
      <c r="J592" s="52">
        <f t="shared" si="278"/>
        <v>0</v>
      </c>
      <c r="K592" s="52">
        <f t="shared" si="278"/>
        <v>0</v>
      </c>
      <c r="L592" s="52">
        <f t="shared" si="278"/>
        <v>0</v>
      </c>
      <c r="M592" s="52">
        <f t="shared" si="278"/>
        <v>0</v>
      </c>
      <c r="N592" s="52">
        <f t="shared" si="278"/>
        <v>0</v>
      </c>
      <c r="O592" s="52">
        <f t="shared" si="278"/>
        <v>0</v>
      </c>
      <c r="P592" s="52">
        <f t="shared" si="278"/>
        <v>0</v>
      </c>
      <c r="Q592" s="52">
        <f t="shared" si="278"/>
        <v>0</v>
      </c>
      <c r="R592" s="52">
        <f t="shared" si="278"/>
        <v>0</v>
      </c>
      <c r="S592" s="52">
        <f t="shared" si="278"/>
        <v>0</v>
      </c>
      <c r="T592" s="52">
        <f t="shared" si="278"/>
        <v>0</v>
      </c>
      <c r="U592" s="52">
        <f t="shared" si="278"/>
        <v>0</v>
      </c>
      <c r="V592" s="52">
        <f t="shared" si="278"/>
        <v>0</v>
      </c>
      <c r="W592" s="52">
        <f t="shared" si="278"/>
        <v>0</v>
      </c>
      <c r="X592" s="52">
        <f t="shared" ref="X592:BC602" si="279">IF($F592=0,0,IF(X$6&lt;$F592,0,IF(X$6&gt;$G592,1,(X$6-$F592+1)/($G592-$F592+1))))</f>
        <v>0</v>
      </c>
      <c r="Y592" s="52">
        <f t="shared" si="279"/>
        <v>0</v>
      </c>
      <c r="Z592" s="52">
        <f t="shared" si="279"/>
        <v>0</v>
      </c>
      <c r="AA592" s="52">
        <f t="shared" si="279"/>
        <v>0</v>
      </c>
      <c r="AB592" s="52">
        <f t="shared" si="279"/>
        <v>0</v>
      </c>
      <c r="AC592" s="52">
        <f t="shared" si="279"/>
        <v>0</v>
      </c>
      <c r="AD592" s="52">
        <f t="shared" si="279"/>
        <v>0</v>
      </c>
      <c r="AE592" s="52">
        <f t="shared" si="279"/>
        <v>0</v>
      </c>
      <c r="AF592" s="52">
        <f t="shared" si="279"/>
        <v>0</v>
      </c>
      <c r="AG592" s="52">
        <f t="shared" si="279"/>
        <v>0</v>
      </c>
      <c r="AH592" s="52">
        <f t="shared" si="279"/>
        <v>0</v>
      </c>
      <c r="AI592" s="52">
        <f t="shared" si="279"/>
        <v>0</v>
      </c>
      <c r="AJ592" s="52">
        <f t="shared" si="279"/>
        <v>0</v>
      </c>
      <c r="AK592" s="52">
        <f t="shared" si="279"/>
        <v>0</v>
      </c>
      <c r="AL592" s="52">
        <f t="shared" si="279"/>
        <v>0</v>
      </c>
      <c r="AM592" s="52">
        <f t="shared" si="279"/>
        <v>0</v>
      </c>
      <c r="AN592" s="52">
        <f t="shared" si="279"/>
        <v>0</v>
      </c>
      <c r="AO592" s="52">
        <f t="shared" si="276"/>
        <v>0</v>
      </c>
      <c r="AP592" s="52">
        <f t="shared" si="276"/>
        <v>0</v>
      </c>
      <c r="AQ592" s="52">
        <f t="shared" si="276"/>
        <v>0</v>
      </c>
      <c r="AR592" s="52">
        <f t="shared" si="276"/>
        <v>0</v>
      </c>
      <c r="AS592" s="52">
        <f t="shared" si="276"/>
        <v>0</v>
      </c>
      <c r="AT592" s="52">
        <f t="shared" si="276"/>
        <v>0</v>
      </c>
      <c r="AU592" s="52">
        <f t="shared" si="276"/>
        <v>0</v>
      </c>
      <c r="AV592" s="52">
        <f t="shared" si="276"/>
        <v>0</v>
      </c>
      <c r="AW592" s="52">
        <f t="shared" si="276"/>
        <v>0</v>
      </c>
      <c r="AX592" s="52">
        <f t="shared" si="276"/>
        <v>0</v>
      </c>
      <c r="AY592" s="52">
        <f t="shared" si="276"/>
        <v>1</v>
      </c>
      <c r="AZ592" s="52">
        <f t="shared" si="276"/>
        <v>1</v>
      </c>
      <c r="BA592" s="52">
        <f t="shared" si="276"/>
        <v>1</v>
      </c>
      <c r="BB592" s="52">
        <f t="shared" si="276"/>
        <v>1</v>
      </c>
      <c r="BC592" s="52">
        <f t="shared" si="276"/>
        <v>1</v>
      </c>
      <c r="BD592" s="52">
        <f t="shared" si="276"/>
        <v>1</v>
      </c>
      <c r="BE592" s="52">
        <f t="shared" si="276"/>
        <v>1</v>
      </c>
      <c r="BF592" s="52">
        <f t="shared" si="276"/>
        <v>1</v>
      </c>
      <c r="BG592" s="52">
        <f t="shared" si="277"/>
        <v>1</v>
      </c>
      <c r="BH592" s="52">
        <f t="shared" si="277"/>
        <v>1</v>
      </c>
      <c r="BI592" s="52">
        <f t="shared" si="277"/>
        <v>1</v>
      </c>
      <c r="BJ592" s="52">
        <f t="shared" si="277"/>
        <v>1</v>
      </c>
      <c r="BK592" s="52">
        <f t="shared" si="277"/>
        <v>1</v>
      </c>
      <c r="BL592" s="52">
        <f t="shared" si="277"/>
        <v>1</v>
      </c>
      <c r="BM592" s="52">
        <f t="shared" si="277"/>
        <v>1</v>
      </c>
      <c r="BN592" s="52">
        <f t="shared" si="277"/>
        <v>1</v>
      </c>
      <c r="BO592" s="32">
        <f t="shared" si="273"/>
        <v>0.2711864406779661</v>
      </c>
    </row>
    <row r="593" spans="1:67" x14ac:dyDescent="0.2">
      <c r="A593" s="50" t="s">
        <v>1194</v>
      </c>
      <c r="B593" s="50" t="s">
        <v>1195</v>
      </c>
      <c r="C593" s="50" t="s">
        <v>58</v>
      </c>
      <c r="D593" s="51">
        <f>VLOOKUP(A593,'[1]Cuadro Control'!C637:J2523,8,FALSE)</f>
        <v>1212623361.2117648</v>
      </c>
      <c r="E593" s="52">
        <f t="shared" si="274"/>
        <v>0.22841447185013161</v>
      </c>
      <c r="F593" s="53">
        <v>46514</v>
      </c>
      <c r="G593" s="53">
        <v>46532</v>
      </c>
      <c r="H593" s="52">
        <f t="shared" si="278"/>
        <v>0</v>
      </c>
      <c r="I593" s="52">
        <f t="shared" si="278"/>
        <v>0</v>
      </c>
      <c r="J593" s="52">
        <f t="shared" si="278"/>
        <v>0</v>
      </c>
      <c r="K593" s="52">
        <f t="shared" si="278"/>
        <v>0</v>
      </c>
      <c r="L593" s="52">
        <f t="shared" si="278"/>
        <v>0</v>
      </c>
      <c r="M593" s="52">
        <f t="shared" si="278"/>
        <v>0</v>
      </c>
      <c r="N593" s="52">
        <f t="shared" si="278"/>
        <v>0</v>
      </c>
      <c r="O593" s="52">
        <f t="shared" si="278"/>
        <v>0</v>
      </c>
      <c r="P593" s="52">
        <f t="shared" si="278"/>
        <v>0</v>
      </c>
      <c r="Q593" s="52">
        <f t="shared" si="278"/>
        <v>0</v>
      </c>
      <c r="R593" s="52">
        <f t="shared" si="278"/>
        <v>0</v>
      </c>
      <c r="S593" s="52">
        <f t="shared" si="278"/>
        <v>0</v>
      </c>
      <c r="T593" s="52">
        <f t="shared" si="278"/>
        <v>0</v>
      </c>
      <c r="U593" s="52">
        <f t="shared" si="278"/>
        <v>0</v>
      </c>
      <c r="V593" s="52">
        <f t="shared" si="278"/>
        <v>0</v>
      </c>
      <c r="W593" s="52">
        <f t="shared" si="278"/>
        <v>0</v>
      </c>
      <c r="X593" s="52">
        <f t="shared" si="279"/>
        <v>0</v>
      </c>
      <c r="Y593" s="52">
        <f t="shared" si="279"/>
        <v>0</v>
      </c>
      <c r="Z593" s="52">
        <f t="shared" si="279"/>
        <v>0</v>
      </c>
      <c r="AA593" s="52">
        <f t="shared" si="279"/>
        <v>0</v>
      </c>
      <c r="AB593" s="52">
        <f t="shared" si="279"/>
        <v>0</v>
      </c>
      <c r="AC593" s="52">
        <f t="shared" si="279"/>
        <v>0</v>
      </c>
      <c r="AD593" s="52">
        <f t="shared" si="279"/>
        <v>0</v>
      </c>
      <c r="AE593" s="52">
        <f t="shared" si="279"/>
        <v>0</v>
      </c>
      <c r="AF593" s="52">
        <f t="shared" si="279"/>
        <v>0</v>
      </c>
      <c r="AG593" s="52">
        <f t="shared" si="279"/>
        <v>0</v>
      </c>
      <c r="AH593" s="52">
        <f t="shared" si="279"/>
        <v>0</v>
      </c>
      <c r="AI593" s="52">
        <f t="shared" si="279"/>
        <v>0</v>
      </c>
      <c r="AJ593" s="52">
        <f t="shared" si="279"/>
        <v>0</v>
      </c>
      <c r="AK593" s="52">
        <f t="shared" si="279"/>
        <v>0</v>
      </c>
      <c r="AL593" s="52">
        <f t="shared" si="279"/>
        <v>0</v>
      </c>
      <c r="AM593" s="52">
        <f t="shared" si="279"/>
        <v>0</v>
      </c>
      <c r="AN593" s="52">
        <f t="shared" si="279"/>
        <v>0</v>
      </c>
      <c r="AO593" s="52">
        <f t="shared" si="276"/>
        <v>0</v>
      </c>
      <c r="AP593" s="52">
        <f t="shared" si="276"/>
        <v>0</v>
      </c>
      <c r="AQ593" s="52">
        <f t="shared" si="276"/>
        <v>0</v>
      </c>
      <c r="AR593" s="52">
        <f t="shared" si="276"/>
        <v>0</v>
      </c>
      <c r="AS593" s="52">
        <f t="shared" si="276"/>
        <v>0</v>
      </c>
      <c r="AT593" s="52">
        <f t="shared" si="276"/>
        <v>0</v>
      </c>
      <c r="AU593" s="52">
        <f t="shared" si="276"/>
        <v>0</v>
      </c>
      <c r="AV593" s="52">
        <f t="shared" si="276"/>
        <v>0</v>
      </c>
      <c r="AW593" s="52">
        <f t="shared" si="276"/>
        <v>0</v>
      </c>
      <c r="AX593" s="52">
        <f t="shared" si="276"/>
        <v>0</v>
      </c>
      <c r="AY593" s="52">
        <f t="shared" si="276"/>
        <v>5.2631578947368418E-2</v>
      </c>
      <c r="AZ593" s="52">
        <f t="shared" si="276"/>
        <v>0.42105263157894735</v>
      </c>
      <c r="BA593" s="52">
        <f t="shared" si="276"/>
        <v>0.78947368421052633</v>
      </c>
      <c r="BB593" s="52">
        <f t="shared" si="276"/>
        <v>1</v>
      </c>
      <c r="BC593" s="52">
        <f t="shared" si="276"/>
        <v>1</v>
      </c>
      <c r="BD593" s="52">
        <f t="shared" si="276"/>
        <v>1</v>
      </c>
      <c r="BE593" s="52">
        <f t="shared" si="276"/>
        <v>1</v>
      </c>
      <c r="BF593" s="52">
        <f t="shared" si="276"/>
        <v>1</v>
      </c>
      <c r="BG593" s="52">
        <f t="shared" si="277"/>
        <v>1</v>
      </c>
      <c r="BH593" s="52">
        <f t="shared" si="277"/>
        <v>1</v>
      </c>
      <c r="BI593" s="52">
        <f t="shared" si="277"/>
        <v>1</v>
      </c>
      <c r="BJ593" s="52">
        <f t="shared" si="277"/>
        <v>1</v>
      </c>
      <c r="BK593" s="52">
        <f t="shared" si="277"/>
        <v>1</v>
      </c>
      <c r="BL593" s="52">
        <f t="shared" si="277"/>
        <v>1</v>
      </c>
      <c r="BM593" s="52">
        <f t="shared" si="277"/>
        <v>1</v>
      </c>
      <c r="BN593" s="52">
        <f t="shared" si="277"/>
        <v>1</v>
      </c>
      <c r="BO593" s="32">
        <f t="shared" si="273"/>
        <v>0.24174843889384479</v>
      </c>
    </row>
    <row r="594" spans="1:67" x14ac:dyDescent="0.2">
      <c r="A594" s="50" t="s">
        <v>1196</v>
      </c>
      <c r="B594" s="50" t="s">
        <v>1197</v>
      </c>
      <c r="C594" s="50" t="s">
        <v>126</v>
      </c>
      <c r="D594" s="51">
        <f>VLOOKUP(A594,'[1]Cuadro Control'!C638:J2524,8,FALSE)</f>
        <v>0</v>
      </c>
      <c r="E594" s="52">
        <f t="shared" si="274"/>
        <v>0</v>
      </c>
      <c r="F594" s="53">
        <v>46532</v>
      </c>
      <c r="G594" s="53">
        <v>46534</v>
      </c>
      <c r="H594" s="52">
        <f t="shared" si="278"/>
        <v>0</v>
      </c>
      <c r="I594" s="52">
        <f t="shared" si="278"/>
        <v>0</v>
      </c>
      <c r="J594" s="52">
        <f t="shared" si="278"/>
        <v>0</v>
      </c>
      <c r="K594" s="52">
        <f t="shared" si="278"/>
        <v>0</v>
      </c>
      <c r="L594" s="52">
        <f t="shared" si="278"/>
        <v>0</v>
      </c>
      <c r="M594" s="52">
        <f t="shared" si="278"/>
        <v>0</v>
      </c>
      <c r="N594" s="52">
        <f t="shared" si="278"/>
        <v>0</v>
      </c>
      <c r="O594" s="52">
        <f t="shared" si="278"/>
        <v>0</v>
      </c>
      <c r="P594" s="52">
        <f t="shared" si="278"/>
        <v>0</v>
      </c>
      <c r="Q594" s="52">
        <f t="shared" si="278"/>
        <v>0</v>
      </c>
      <c r="R594" s="52">
        <f t="shared" si="278"/>
        <v>0</v>
      </c>
      <c r="S594" s="52">
        <f t="shared" si="278"/>
        <v>0</v>
      </c>
      <c r="T594" s="52">
        <f t="shared" si="278"/>
        <v>0</v>
      </c>
      <c r="U594" s="52">
        <f t="shared" si="278"/>
        <v>0</v>
      </c>
      <c r="V594" s="52">
        <f t="shared" si="278"/>
        <v>0</v>
      </c>
      <c r="W594" s="52">
        <f t="shared" si="278"/>
        <v>0</v>
      </c>
      <c r="X594" s="52">
        <f t="shared" si="279"/>
        <v>0</v>
      </c>
      <c r="Y594" s="52">
        <f t="shared" si="279"/>
        <v>0</v>
      </c>
      <c r="Z594" s="52">
        <f t="shared" si="279"/>
        <v>0</v>
      </c>
      <c r="AA594" s="52">
        <f t="shared" si="279"/>
        <v>0</v>
      </c>
      <c r="AB594" s="52">
        <f t="shared" si="279"/>
        <v>0</v>
      </c>
      <c r="AC594" s="52">
        <f t="shared" si="279"/>
        <v>0</v>
      </c>
      <c r="AD594" s="52">
        <f t="shared" si="279"/>
        <v>0</v>
      </c>
      <c r="AE594" s="52">
        <f t="shared" si="279"/>
        <v>0</v>
      </c>
      <c r="AF594" s="52">
        <f t="shared" si="279"/>
        <v>0</v>
      </c>
      <c r="AG594" s="52">
        <f t="shared" si="279"/>
        <v>0</v>
      </c>
      <c r="AH594" s="52">
        <f t="shared" si="279"/>
        <v>0</v>
      </c>
      <c r="AI594" s="52">
        <f t="shared" si="279"/>
        <v>0</v>
      </c>
      <c r="AJ594" s="52">
        <f t="shared" si="279"/>
        <v>0</v>
      </c>
      <c r="AK594" s="52">
        <f t="shared" si="279"/>
        <v>0</v>
      </c>
      <c r="AL594" s="52">
        <f t="shared" si="279"/>
        <v>0</v>
      </c>
      <c r="AM594" s="52">
        <f t="shared" si="279"/>
        <v>0</v>
      </c>
      <c r="AN594" s="52">
        <f t="shared" si="279"/>
        <v>0</v>
      </c>
      <c r="AO594" s="52">
        <f t="shared" si="276"/>
        <v>0</v>
      </c>
      <c r="AP594" s="52">
        <f t="shared" si="276"/>
        <v>0</v>
      </c>
      <c r="AQ594" s="52">
        <f t="shared" si="276"/>
        <v>0</v>
      </c>
      <c r="AR594" s="52">
        <f t="shared" si="276"/>
        <v>0</v>
      </c>
      <c r="AS594" s="52">
        <f t="shared" si="276"/>
        <v>0</v>
      </c>
      <c r="AT594" s="52">
        <f t="shared" si="276"/>
        <v>0</v>
      </c>
      <c r="AU594" s="52">
        <f t="shared" si="276"/>
        <v>0</v>
      </c>
      <c r="AV594" s="52">
        <f t="shared" si="276"/>
        <v>0</v>
      </c>
      <c r="AW594" s="52">
        <f t="shared" si="276"/>
        <v>0</v>
      </c>
      <c r="AX594" s="52">
        <f t="shared" si="276"/>
        <v>0</v>
      </c>
      <c r="AY594" s="52">
        <f t="shared" si="276"/>
        <v>0</v>
      </c>
      <c r="AZ594" s="52">
        <f t="shared" si="276"/>
        <v>0</v>
      </c>
      <c r="BA594" s="52">
        <f t="shared" si="276"/>
        <v>0</v>
      </c>
      <c r="BB594" s="52">
        <f t="shared" si="276"/>
        <v>1</v>
      </c>
      <c r="BC594" s="52">
        <f t="shared" si="276"/>
        <v>1</v>
      </c>
      <c r="BD594" s="52">
        <f t="shared" si="276"/>
        <v>1</v>
      </c>
      <c r="BE594" s="52">
        <f t="shared" si="276"/>
        <v>1</v>
      </c>
      <c r="BF594" s="52">
        <f t="shared" si="276"/>
        <v>1</v>
      </c>
      <c r="BG594" s="52">
        <f t="shared" si="277"/>
        <v>1</v>
      </c>
      <c r="BH594" s="52">
        <f t="shared" si="277"/>
        <v>1</v>
      </c>
      <c r="BI594" s="52">
        <f t="shared" si="277"/>
        <v>1</v>
      </c>
      <c r="BJ594" s="52">
        <f t="shared" si="277"/>
        <v>1</v>
      </c>
      <c r="BK594" s="52">
        <f t="shared" si="277"/>
        <v>1</v>
      </c>
      <c r="BL594" s="52">
        <f t="shared" si="277"/>
        <v>1</v>
      </c>
      <c r="BM594" s="52">
        <f t="shared" si="277"/>
        <v>1</v>
      </c>
      <c r="BN594" s="52">
        <f t="shared" si="277"/>
        <v>1</v>
      </c>
      <c r="BO594" s="32">
        <f t="shared" si="273"/>
        <v>0.22033898305084745</v>
      </c>
    </row>
    <row r="595" spans="1:67" ht="24" x14ac:dyDescent="0.2">
      <c r="A595" s="55" t="s">
        <v>1198</v>
      </c>
      <c r="B595" s="55" t="s">
        <v>1199</v>
      </c>
      <c r="C595" s="55" t="s">
        <v>14</v>
      </c>
      <c r="D595" s="56">
        <f>VLOOKUP(A595,'[1]Cuadro Control'!C639:J2525,8,FALSE)</f>
        <v>0</v>
      </c>
      <c r="E595" s="57">
        <f t="shared" si="274"/>
        <v>0</v>
      </c>
      <c r="F595" s="58">
        <v>46532</v>
      </c>
      <c r="G595" s="58">
        <v>46532</v>
      </c>
      <c r="H595" s="57">
        <f t="shared" si="278"/>
        <v>0</v>
      </c>
      <c r="I595" s="57">
        <f t="shared" si="278"/>
        <v>0</v>
      </c>
      <c r="J595" s="57">
        <f t="shared" si="278"/>
        <v>0</v>
      </c>
      <c r="K595" s="57">
        <f t="shared" si="278"/>
        <v>0</v>
      </c>
      <c r="L595" s="57">
        <f t="shared" si="278"/>
        <v>0</v>
      </c>
      <c r="M595" s="57">
        <f t="shared" si="278"/>
        <v>0</v>
      </c>
      <c r="N595" s="57">
        <f t="shared" si="278"/>
        <v>0</v>
      </c>
      <c r="O595" s="57">
        <f t="shared" si="278"/>
        <v>0</v>
      </c>
      <c r="P595" s="57">
        <f t="shared" si="278"/>
        <v>0</v>
      </c>
      <c r="Q595" s="57">
        <f t="shared" si="278"/>
        <v>0</v>
      </c>
      <c r="R595" s="57">
        <f t="shared" si="278"/>
        <v>0</v>
      </c>
      <c r="S595" s="57">
        <f t="shared" si="278"/>
        <v>0</v>
      </c>
      <c r="T595" s="57">
        <f t="shared" si="278"/>
        <v>0</v>
      </c>
      <c r="U595" s="57">
        <f t="shared" si="278"/>
        <v>0</v>
      </c>
      <c r="V595" s="57">
        <f t="shared" si="278"/>
        <v>0</v>
      </c>
      <c r="W595" s="57">
        <f t="shared" si="278"/>
        <v>0</v>
      </c>
      <c r="X595" s="57">
        <f t="shared" si="279"/>
        <v>0</v>
      </c>
      <c r="Y595" s="57">
        <f t="shared" si="279"/>
        <v>0</v>
      </c>
      <c r="Z595" s="57">
        <f t="shared" si="279"/>
        <v>0</v>
      </c>
      <c r="AA595" s="57">
        <f t="shared" si="279"/>
        <v>0</v>
      </c>
      <c r="AB595" s="57">
        <f t="shared" si="279"/>
        <v>0</v>
      </c>
      <c r="AC595" s="57">
        <f t="shared" si="279"/>
        <v>0</v>
      </c>
      <c r="AD595" s="57">
        <f t="shared" si="279"/>
        <v>0</v>
      </c>
      <c r="AE595" s="57">
        <f t="shared" si="279"/>
        <v>0</v>
      </c>
      <c r="AF595" s="57">
        <f t="shared" si="279"/>
        <v>0</v>
      </c>
      <c r="AG595" s="57">
        <f t="shared" si="279"/>
        <v>0</v>
      </c>
      <c r="AH595" s="57">
        <f t="shared" si="279"/>
        <v>0</v>
      </c>
      <c r="AI595" s="57">
        <f t="shared" si="279"/>
        <v>0</v>
      </c>
      <c r="AJ595" s="57">
        <f t="shared" si="279"/>
        <v>0</v>
      </c>
      <c r="AK595" s="57">
        <f t="shared" si="279"/>
        <v>0</v>
      </c>
      <c r="AL595" s="57">
        <f t="shared" si="279"/>
        <v>0</v>
      </c>
      <c r="AM595" s="57">
        <f t="shared" si="279"/>
        <v>0</v>
      </c>
      <c r="AN595" s="57">
        <f t="shared" si="279"/>
        <v>0</v>
      </c>
      <c r="AO595" s="57">
        <f t="shared" si="276"/>
        <v>0</v>
      </c>
      <c r="AP595" s="57">
        <f t="shared" si="276"/>
        <v>0</v>
      </c>
      <c r="AQ595" s="57">
        <f t="shared" si="276"/>
        <v>0</v>
      </c>
      <c r="AR595" s="57">
        <f t="shared" si="276"/>
        <v>0</v>
      </c>
      <c r="AS595" s="57">
        <f t="shared" si="276"/>
        <v>0</v>
      </c>
      <c r="AT595" s="57">
        <f t="shared" si="276"/>
        <v>0</v>
      </c>
      <c r="AU595" s="57">
        <f t="shared" si="276"/>
        <v>0</v>
      </c>
      <c r="AV595" s="57">
        <f t="shared" si="276"/>
        <v>0</v>
      </c>
      <c r="AW595" s="57">
        <f t="shared" si="276"/>
        <v>0</v>
      </c>
      <c r="AX595" s="57">
        <f t="shared" si="276"/>
        <v>0</v>
      </c>
      <c r="AY595" s="57">
        <f t="shared" si="276"/>
        <v>0</v>
      </c>
      <c r="AZ595" s="57">
        <f t="shared" si="276"/>
        <v>0</v>
      </c>
      <c r="BA595" s="57">
        <f t="shared" si="276"/>
        <v>0</v>
      </c>
      <c r="BB595" s="57">
        <f t="shared" si="276"/>
        <v>1</v>
      </c>
      <c r="BC595" s="57">
        <f t="shared" si="276"/>
        <v>1</v>
      </c>
      <c r="BD595" s="57">
        <f t="shared" si="276"/>
        <v>1</v>
      </c>
      <c r="BE595" s="57">
        <f t="shared" si="276"/>
        <v>1</v>
      </c>
      <c r="BF595" s="57">
        <f t="shared" si="276"/>
        <v>1</v>
      </c>
      <c r="BG595" s="57">
        <f t="shared" si="277"/>
        <v>1</v>
      </c>
      <c r="BH595" s="57">
        <f t="shared" si="277"/>
        <v>1</v>
      </c>
      <c r="BI595" s="57">
        <f t="shared" si="277"/>
        <v>1</v>
      </c>
      <c r="BJ595" s="57">
        <f t="shared" si="277"/>
        <v>1</v>
      </c>
      <c r="BK595" s="57">
        <f t="shared" si="277"/>
        <v>1</v>
      </c>
      <c r="BL595" s="57">
        <f t="shared" si="277"/>
        <v>1</v>
      </c>
      <c r="BM595" s="57">
        <f t="shared" si="277"/>
        <v>1</v>
      </c>
      <c r="BN595" s="57">
        <f t="shared" si="277"/>
        <v>1</v>
      </c>
      <c r="BO595" s="32">
        <f t="shared" si="273"/>
        <v>0.22033898305084745</v>
      </c>
    </row>
    <row r="596" spans="1:67" x14ac:dyDescent="0.2">
      <c r="A596" s="50" t="s">
        <v>1200</v>
      </c>
      <c r="B596" s="50" t="s">
        <v>1201</v>
      </c>
      <c r="C596" s="50" t="s">
        <v>111</v>
      </c>
      <c r="D596" s="51">
        <f>VLOOKUP(A596,'[1]Cuadro Control'!C640:J2526,8,FALSE)</f>
        <v>1230815225.9452939</v>
      </c>
      <c r="E596" s="52">
        <f t="shared" si="274"/>
        <v>0.2318411625341423</v>
      </c>
      <c r="F596" s="53">
        <v>46534</v>
      </c>
      <c r="G596" s="53">
        <v>46535</v>
      </c>
      <c r="H596" s="52">
        <f t="shared" si="278"/>
        <v>0</v>
      </c>
      <c r="I596" s="52">
        <f t="shared" si="278"/>
        <v>0</v>
      </c>
      <c r="J596" s="52">
        <f t="shared" si="278"/>
        <v>0</v>
      </c>
      <c r="K596" s="52">
        <f t="shared" si="278"/>
        <v>0</v>
      </c>
      <c r="L596" s="52">
        <f t="shared" si="278"/>
        <v>0</v>
      </c>
      <c r="M596" s="52">
        <f t="shared" si="278"/>
        <v>0</v>
      </c>
      <c r="N596" s="52">
        <f t="shared" si="278"/>
        <v>0</v>
      </c>
      <c r="O596" s="52">
        <f t="shared" si="278"/>
        <v>0</v>
      </c>
      <c r="P596" s="52">
        <f t="shared" si="278"/>
        <v>0</v>
      </c>
      <c r="Q596" s="52">
        <f t="shared" si="278"/>
        <v>0</v>
      </c>
      <c r="R596" s="52">
        <f t="shared" si="278"/>
        <v>0</v>
      </c>
      <c r="S596" s="52">
        <f t="shared" si="278"/>
        <v>0</v>
      </c>
      <c r="T596" s="52">
        <f t="shared" si="278"/>
        <v>0</v>
      </c>
      <c r="U596" s="52">
        <f t="shared" si="278"/>
        <v>0</v>
      </c>
      <c r="V596" s="52">
        <f t="shared" si="278"/>
        <v>0</v>
      </c>
      <c r="W596" s="52">
        <f t="shared" si="278"/>
        <v>0</v>
      </c>
      <c r="X596" s="52">
        <f t="shared" si="279"/>
        <v>0</v>
      </c>
      <c r="Y596" s="52">
        <f t="shared" si="279"/>
        <v>0</v>
      </c>
      <c r="Z596" s="52">
        <f t="shared" si="279"/>
        <v>0</v>
      </c>
      <c r="AA596" s="52">
        <f t="shared" si="279"/>
        <v>0</v>
      </c>
      <c r="AB596" s="52">
        <f t="shared" si="279"/>
        <v>0</v>
      </c>
      <c r="AC596" s="52">
        <f t="shared" si="279"/>
        <v>0</v>
      </c>
      <c r="AD596" s="52">
        <f t="shared" si="279"/>
        <v>0</v>
      </c>
      <c r="AE596" s="52">
        <f t="shared" si="279"/>
        <v>0</v>
      </c>
      <c r="AF596" s="52">
        <f t="shared" si="279"/>
        <v>0</v>
      </c>
      <c r="AG596" s="52">
        <f t="shared" si="279"/>
        <v>0</v>
      </c>
      <c r="AH596" s="52">
        <f t="shared" si="279"/>
        <v>0</v>
      </c>
      <c r="AI596" s="52">
        <f t="shared" si="279"/>
        <v>0</v>
      </c>
      <c r="AJ596" s="52">
        <f t="shared" si="279"/>
        <v>0</v>
      </c>
      <c r="AK596" s="52">
        <f t="shared" si="279"/>
        <v>0</v>
      </c>
      <c r="AL596" s="52">
        <f t="shared" si="279"/>
        <v>0</v>
      </c>
      <c r="AM596" s="52">
        <f t="shared" si="279"/>
        <v>0</v>
      </c>
      <c r="AN596" s="52">
        <f t="shared" si="279"/>
        <v>0</v>
      </c>
      <c r="AO596" s="52">
        <f t="shared" si="276"/>
        <v>0</v>
      </c>
      <c r="AP596" s="52">
        <f t="shared" si="276"/>
        <v>0</v>
      </c>
      <c r="AQ596" s="52">
        <f t="shared" si="276"/>
        <v>0</v>
      </c>
      <c r="AR596" s="52">
        <f t="shared" si="276"/>
        <v>0</v>
      </c>
      <c r="AS596" s="52">
        <f t="shared" si="276"/>
        <v>0</v>
      </c>
      <c r="AT596" s="52">
        <f t="shared" si="276"/>
        <v>0</v>
      </c>
      <c r="AU596" s="52">
        <f t="shared" si="276"/>
        <v>0</v>
      </c>
      <c r="AV596" s="52">
        <f t="shared" si="276"/>
        <v>0</v>
      </c>
      <c r="AW596" s="52">
        <f t="shared" si="276"/>
        <v>0</v>
      </c>
      <c r="AX596" s="52">
        <f t="shared" si="276"/>
        <v>0</v>
      </c>
      <c r="AY596" s="52">
        <f t="shared" si="276"/>
        <v>0</v>
      </c>
      <c r="AZ596" s="52">
        <f t="shared" si="276"/>
        <v>0</v>
      </c>
      <c r="BA596" s="52">
        <f t="shared" si="276"/>
        <v>0</v>
      </c>
      <c r="BB596" s="52">
        <f t="shared" si="276"/>
        <v>1</v>
      </c>
      <c r="BC596" s="52">
        <f t="shared" si="276"/>
        <v>1</v>
      </c>
      <c r="BD596" s="52">
        <f t="shared" si="276"/>
        <v>1</v>
      </c>
      <c r="BE596" s="52">
        <f t="shared" si="276"/>
        <v>1</v>
      </c>
      <c r="BF596" s="52">
        <f t="shared" si="276"/>
        <v>1</v>
      </c>
      <c r="BG596" s="52">
        <f t="shared" si="277"/>
        <v>1</v>
      </c>
      <c r="BH596" s="52">
        <f t="shared" si="277"/>
        <v>1</v>
      </c>
      <c r="BI596" s="52">
        <f t="shared" si="277"/>
        <v>1</v>
      </c>
      <c r="BJ596" s="52">
        <f t="shared" si="277"/>
        <v>1</v>
      </c>
      <c r="BK596" s="52">
        <f t="shared" si="277"/>
        <v>1</v>
      </c>
      <c r="BL596" s="52">
        <f t="shared" si="277"/>
        <v>1</v>
      </c>
      <c r="BM596" s="52">
        <f t="shared" si="277"/>
        <v>1</v>
      </c>
      <c r="BN596" s="52">
        <f t="shared" si="277"/>
        <v>1</v>
      </c>
      <c r="BO596" s="32">
        <f t="shared" si="273"/>
        <v>0.22033898305084745</v>
      </c>
    </row>
    <row r="597" spans="1:67" x14ac:dyDescent="0.2">
      <c r="A597" s="50" t="s">
        <v>1202</v>
      </c>
      <c r="B597" s="50" t="s">
        <v>1203</v>
      </c>
      <c r="C597" s="50" t="s">
        <v>238</v>
      </c>
      <c r="D597" s="51">
        <f>VLOOKUP(A597,'[1]Cuadro Control'!C641:J2527,8,FALSE)</f>
        <v>0</v>
      </c>
      <c r="E597" s="52">
        <f t="shared" si="274"/>
        <v>0</v>
      </c>
      <c r="F597" s="53">
        <v>46535</v>
      </c>
      <c r="G597" s="53">
        <v>46543</v>
      </c>
      <c r="H597" s="52">
        <f t="shared" si="278"/>
        <v>0</v>
      </c>
      <c r="I597" s="52">
        <f t="shared" si="278"/>
        <v>0</v>
      </c>
      <c r="J597" s="52">
        <f t="shared" si="278"/>
        <v>0</v>
      </c>
      <c r="K597" s="52">
        <f t="shared" si="278"/>
        <v>0</v>
      </c>
      <c r="L597" s="52">
        <f t="shared" si="278"/>
        <v>0</v>
      </c>
      <c r="M597" s="52">
        <f t="shared" si="278"/>
        <v>0</v>
      </c>
      <c r="N597" s="52">
        <f t="shared" si="278"/>
        <v>0</v>
      </c>
      <c r="O597" s="52">
        <f t="shared" si="278"/>
        <v>0</v>
      </c>
      <c r="P597" s="52">
        <f t="shared" si="278"/>
        <v>0</v>
      </c>
      <c r="Q597" s="52">
        <f t="shared" si="278"/>
        <v>0</v>
      </c>
      <c r="R597" s="52">
        <f t="shared" si="278"/>
        <v>0</v>
      </c>
      <c r="S597" s="52">
        <f t="shared" si="278"/>
        <v>0</v>
      </c>
      <c r="T597" s="52">
        <f t="shared" si="278"/>
        <v>0</v>
      </c>
      <c r="U597" s="52">
        <f t="shared" si="278"/>
        <v>0</v>
      </c>
      <c r="V597" s="52">
        <f t="shared" si="278"/>
        <v>0</v>
      </c>
      <c r="W597" s="52">
        <f t="shared" si="278"/>
        <v>0</v>
      </c>
      <c r="X597" s="52">
        <f t="shared" si="279"/>
        <v>0</v>
      </c>
      <c r="Y597" s="52">
        <f t="shared" si="279"/>
        <v>0</v>
      </c>
      <c r="Z597" s="52">
        <f t="shared" si="279"/>
        <v>0</v>
      </c>
      <c r="AA597" s="52">
        <f t="shared" si="279"/>
        <v>0</v>
      </c>
      <c r="AB597" s="52">
        <f t="shared" si="279"/>
        <v>0</v>
      </c>
      <c r="AC597" s="52">
        <f t="shared" si="279"/>
        <v>0</v>
      </c>
      <c r="AD597" s="52">
        <f t="shared" si="279"/>
        <v>0</v>
      </c>
      <c r="AE597" s="52">
        <f t="shared" si="279"/>
        <v>0</v>
      </c>
      <c r="AF597" s="52">
        <f t="shared" si="279"/>
        <v>0</v>
      </c>
      <c r="AG597" s="52">
        <f t="shared" si="279"/>
        <v>0</v>
      </c>
      <c r="AH597" s="52">
        <f t="shared" si="279"/>
        <v>0</v>
      </c>
      <c r="AI597" s="52">
        <f t="shared" si="279"/>
        <v>0</v>
      </c>
      <c r="AJ597" s="52">
        <f t="shared" si="279"/>
        <v>0</v>
      </c>
      <c r="AK597" s="52">
        <f t="shared" si="279"/>
        <v>0</v>
      </c>
      <c r="AL597" s="52">
        <f t="shared" si="279"/>
        <v>0</v>
      </c>
      <c r="AM597" s="52">
        <f t="shared" si="279"/>
        <v>0</v>
      </c>
      <c r="AN597" s="52">
        <f t="shared" si="279"/>
        <v>0</v>
      </c>
      <c r="AO597" s="52">
        <f t="shared" si="276"/>
        <v>0</v>
      </c>
      <c r="AP597" s="52">
        <f t="shared" si="276"/>
        <v>0</v>
      </c>
      <c r="AQ597" s="52">
        <f t="shared" si="276"/>
        <v>0</v>
      </c>
      <c r="AR597" s="52">
        <f t="shared" si="276"/>
        <v>0</v>
      </c>
      <c r="AS597" s="52">
        <f t="shared" si="276"/>
        <v>0</v>
      </c>
      <c r="AT597" s="52">
        <f t="shared" si="276"/>
        <v>0</v>
      </c>
      <c r="AU597" s="52">
        <f t="shared" si="276"/>
        <v>0</v>
      </c>
      <c r="AV597" s="52">
        <f t="shared" si="276"/>
        <v>0</v>
      </c>
      <c r="AW597" s="52">
        <f t="shared" si="276"/>
        <v>0</v>
      </c>
      <c r="AX597" s="52">
        <f t="shared" si="276"/>
        <v>0</v>
      </c>
      <c r="AY597" s="52">
        <f t="shared" si="276"/>
        <v>0</v>
      </c>
      <c r="AZ597" s="52">
        <f t="shared" si="276"/>
        <v>0</v>
      </c>
      <c r="BA597" s="52">
        <f t="shared" si="276"/>
        <v>0</v>
      </c>
      <c r="BB597" s="52">
        <f t="shared" si="276"/>
        <v>0.1111111111111111</v>
      </c>
      <c r="BC597" s="52">
        <f t="shared" si="276"/>
        <v>0.88888888888888884</v>
      </c>
      <c r="BD597" s="52">
        <f t="shared" si="276"/>
        <v>1</v>
      </c>
      <c r="BE597" s="52">
        <f t="shared" si="276"/>
        <v>1</v>
      </c>
      <c r="BF597" s="52">
        <f t="shared" si="276"/>
        <v>1</v>
      </c>
      <c r="BG597" s="52">
        <f t="shared" si="277"/>
        <v>1</v>
      </c>
      <c r="BH597" s="52">
        <f t="shared" si="277"/>
        <v>1</v>
      </c>
      <c r="BI597" s="52">
        <f t="shared" si="277"/>
        <v>1</v>
      </c>
      <c r="BJ597" s="52">
        <f t="shared" si="277"/>
        <v>1</v>
      </c>
      <c r="BK597" s="52">
        <f t="shared" si="277"/>
        <v>1</v>
      </c>
      <c r="BL597" s="52">
        <f t="shared" si="277"/>
        <v>1</v>
      </c>
      <c r="BM597" s="52">
        <f t="shared" si="277"/>
        <v>1</v>
      </c>
      <c r="BN597" s="52">
        <f t="shared" si="277"/>
        <v>1</v>
      </c>
      <c r="BO597" s="32">
        <f t="shared" si="273"/>
        <v>0.20338983050847459</v>
      </c>
    </row>
    <row r="598" spans="1:67" ht="24" x14ac:dyDescent="0.2">
      <c r="A598" s="50" t="s">
        <v>1204</v>
      </c>
      <c r="B598" s="50" t="s">
        <v>1205</v>
      </c>
      <c r="C598" s="50" t="s">
        <v>126</v>
      </c>
      <c r="D598" s="51">
        <f>VLOOKUP(A598,'[1]Cuadro Control'!C642:J2528,8,FALSE)</f>
        <v>52736347.43270281</v>
      </c>
      <c r="E598" s="52">
        <f t="shared" si="274"/>
        <v>9.933624348213644E-3</v>
      </c>
      <c r="F598" s="53">
        <v>46543</v>
      </c>
      <c r="G598" s="53">
        <v>46548</v>
      </c>
      <c r="H598" s="52">
        <f t="shared" si="278"/>
        <v>0</v>
      </c>
      <c r="I598" s="52">
        <f t="shared" si="278"/>
        <v>0</v>
      </c>
      <c r="J598" s="52">
        <f t="shared" si="278"/>
        <v>0</v>
      </c>
      <c r="K598" s="52">
        <f t="shared" si="278"/>
        <v>0</v>
      </c>
      <c r="L598" s="52">
        <f t="shared" si="278"/>
        <v>0</v>
      </c>
      <c r="M598" s="52">
        <f t="shared" si="278"/>
        <v>0</v>
      </c>
      <c r="N598" s="52">
        <f t="shared" si="278"/>
        <v>0</v>
      </c>
      <c r="O598" s="52">
        <f t="shared" si="278"/>
        <v>0</v>
      </c>
      <c r="P598" s="52">
        <f t="shared" si="278"/>
        <v>0</v>
      </c>
      <c r="Q598" s="52">
        <f t="shared" si="278"/>
        <v>0</v>
      </c>
      <c r="R598" s="52">
        <f t="shared" si="278"/>
        <v>0</v>
      </c>
      <c r="S598" s="52">
        <f t="shared" si="278"/>
        <v>0</v>
      </c>
      <c r="T598" s="52">
        <f t="shared" si="278"/>
        <v>0</v>
      </c>
      <c r="U598" s="52">
        <f t="shared" si="278"/>
        <v>0</v>
      </c>
      <c r="V598" s="52">
        <f t="shared" si="278"/>
        <v>0</v>
      </c>
      <c r="W598" s="52">
        <f t="shared" si="278"/>
        <v>0</v>
      </c>
      <c r="X598" s="52">
        <f t="shared" si="279"/>
        <v>0</v>
      </c>
      <c r="Y598" s="52">
        <f t="shared" si="279"/>
        <v>0</v>
      </c>
      <c r="Z598" s="52">
        <f t="shared" si="279"/>
        <v>0</v>
      </c>
      <c r="AA598" s="52">
        <f t="shared" si="279"/>
        <v>0</v>
      </c>
      <c r="AB598" s="52">
        <f t="shared" si="279"/>
        <v>0</v>
      </c>
      <c r="AC598" s="52">
        <f t="shared" si="279"/>
        <v>0</v>
      </c>
      <c r="AD598" s="52">
        <f t="shared" si="279"/>
        <v>0</v>
      </c>
      <c r="AE598" s="52">
        <f t="shared" si="279"/>
        <v>0</v>
      </c>
      <c r="AF598" s="52">
        <f t="shared" si="279"/>
        <v>0</v>
      </c>
      <c r="AG598" s="52">
        <f t="shared" si="279"/>
        <v>0</v>
      </c>
      <c r="AH598" s="52">
        <f t="shared" si="279"/>
        <v>0</v>
      </c>
      <c r="AI598" s="52">
        <f t="shared" si="279"/>
        <v>0</v>
      </c>
      <c r="AJ598" s="52">
        <f t="shared" si="279"/>
        <v>0</v>
      </c>
      <c r="AK598" s="52">
        <f t="shared" si="279"/>
        <v>0</v>
      </c>
      <c r="AL598" s="52">
        <f t="shared" si="279"/>
        <v>0</v>
      </c>
      <c r="AM598" s="52">
        <f t="shared" si="279"/>
        <v>0</v>
      </c>
      <c r="AN598" s="52">
        <f t="shared" si="279"/>
        <v>0</v>
      </c>
      <c r="AO598" s="52">
        <f t="shared" si="276"/>
        <v>0</v>
      </c>
      <c r="AP598" s="52">
        <f t="shared" si="276"/>
        <v>0</v>
      </c>
      <c r="AQ598" s="52">
        <f t="shared" si="276"/>
        <v>0</v>
      </c>
      <c r="AR598" s="52">
        <f t="shared" si="276"/>
        <v>0</v>
      </c>
      <c r="AS598" s="52">
        <f t="shared" si="276"/>
        <v>0</v>
      </c>
      <c r="AT598" s="52">
        <f t="shared" si="276"/>
        <v>0</v>
      </c>
      <c r="AU598" s="52">
        <f t="shared" si="276"/>
        <v>0</v>
      </c>
      <c r="AV598" s="52">
        <f t="shared" si="276"/>
        <v>0</v>
      </c>
      <c r="AW598" s="52">
        <f t="shared" si="276"/>
        <v>0</v>
      </c>
      <c r="AX598" s="52">
        <f t="shared" si="276"/>
        <v>0</v>
      </c>
      <c r="AY598" s="52">
        <f t="shared" si="276"/>
        <v>0</v>
      </c>
      <c r="AZ598" s="52">
        <f t="shared" si="276"/>
        <v>0</v>
      </c>
      <c r="BA598" s="52">
        <f t="shared" si="276"/>
        <v>0</v>
      </c>
      <c r="BB598" s="52">
        <f t="shared" si="276"/>
        <v>0</v>
      </c>
      <c r="BC598" s="52">
        <f t="shared" si="276"/>
        <v>0</v>
      </c>
      <c r="BD598" s="52">
        <f t="shared" si="276"/>
        <v>1</v>
      </c>
      <c r="BE598" s="52">
        <f t="shared" si="276"/>
        <v>1</v>
      </c>
      <c r="BF598" s="52">
        <f t="shared" si="276"/>
        <v>1</v>
      </c>
      <c r="BG598" s="52">
        <f t="shared" si="277"/>
        <v>1</v>
      </c>
      <c r="BH598" s="52">
        <f t="shared" si="277"/>
        <v>1</v>
      </c>
      <c r="BI598" s="52">
        <f t="shared" si="277"/>
        <v>1</v>
      </c>
      <c r="BJ598" s="52">
        <f t="shared" si="277"/>
        <v>1</v>
      </c>
      <c r="BK598" s="52">
        <f t="shared" si="277"/>
        <v>1</v>
      </c>
      <c r="BL598" s="52">
        <f t="shared" si="277"/>
        <v>1</v>
      </c>
      <c r="BM598" s="52">
        <f t="shared" si="277"/>
        <v>1</v>
      </c>
      <c r="BN598" s="52">
        <f t="shared" si="277"/>
        <v>1</v>
      </c>
      <c r="BO598" s="32">
        <f t="shared" si="273"/>
        <v>0.1864406779661017</v>
      </c>
    </row>
    <row r="599" spans="1:67" ht="24" x14ac:dyDescent="0.2">
      <c r="A599" s="50" t="s">
        <v>1206</v>
      </c>
      <c r="B599" s="50" t="s">
        <v>1207</v>
      </c>
      <c r="C599" s="50" t="s">
        <v>117</v>
      </c>
      <c r="D599" s="51">
        <f>VLOOKUP(A599,'[1]Cuadro Control'!C643:J2529,8,FALSE)</f>
        <v>46410609.014634147</v>
      </c>
      <c r="E599" s="52">
        <f t="shared" si="274"/>
        <v>8.742083556535862E-3</v>
      </c>
      <c r="F599" s="53">
        <v>46548</v>
      </c>
      <c r="G599" s="53">
        <v>46550</v>
      </c>
      <c r="H599" s="52">
        <f t="shared" si="278"/>
        <v>0</v>
      </c>
      <c r="I599" s="52">
        <f t="shared" si="278"/>
        <v>0</v>
      </c>
      <c r="J599" s="52">
        <f t="shared" si="278"/>
        <v>0</v>
      </c>
      <c r="K599" s="52">
        <f t="shared" si="278"/>
        <v>0</v>
      </c>
      <c r="L599" s="52">
        <f t="shared" si="278"/>
        <v>0</v>
      </c>
      <c r="M599" s="52">
        <f t="shared" si="278"/>
        <v>0</v>
      </c>
      <c r="N599" s="52">
        <f t="shared" si="278"/>
        <v>0</v>
      </c>
      <c r="O599" s="52">
        <f t="shared" si="278"/>
        <v>0</v>
      </c>
      <c r="P599" s="52">
        <f t="shared" si="278"/>
        <v>0</v>
      </c>
      <c r="Q599" s="52">
        <f t="shared" si="278"/>
        <v>0</v>
      </c>
      <c r="R599" s="52">
        <f t="shared" si="278"/>
        <v>0</v>
      </c>
      <c r="S599" s="52">
        <f t="shared" si="278"/>
        <v>0</v>
      </c>
      <c r="T599" s="52">
        <f t="shared" si="278"/>
        <v>0</v>
      </c>
      <c r="U599" s="52">
        <f t="shared" si="278"/>
        <v>0</v>
      </c>
      <c r="V599" s="52">
        <f t="shared" si="278"/>
        <v>0</v>
      </c>
      <c r="W599" s="52">
        <f t="shared" si="278"/>
        <v>0</v>
      </c>
      <c r="X599" s="52">
        <f t="shared" si="279"/>
        <v>0</v>
      </c>
      <c r="Y599" s="52">
        <f t="shared" si="279"/>
        <v>0</v>
      </c>
      <c r="Z599" s="52">
        <f t="shared" si="279"/>
        <v>0</v>
      </c>
      <c r="AA599" s="52">
        <f t="shared" si="279"/>
        <v>0</v>
      </c>
      <c r="AB599" s="52">
        <f t="shared" si="279"/>
        <v>0</v>
      </c>
      <c r="AC599" s="52">
        <f t="shared" si="279"/>
        <v>0</v>
      </c>
      <c r="AD599" s="52">
        <f t="shared" si="279"/>
        <v>0</v>
      </c>
      <c r="AE599" s="52">
        <f t="shared" si="279"/>
        <v>0</v>
      </c>
      <c r="AF599" s="52">
        <f t="shared" si="279"/>
        <v>0</v>
      </c>
      <c r="AG599" s="52">
        <f t="shared" si="279"/>
        <v>0</v>
      </c>
      <c r="AH599" s="52">
        <f t="shared" si="279"/>
        <v>0</v>
      </c>
      <c r="AI599" s="52">
        <f t="shared" si="279"/>
        <v>0</v>
      </c>
      <c r="AJ599" s="52">
        <f t="shared" si="279"/>
        <v>0</v>
      </c>
      <c r="AK599" s="52">
        <f t="shared" si="279"/>
        <v>0</v>
      </c>
      <c r="AL599" s="52">
        <f t="shared" si="279"/>
        <v>0</v>
      </c>
      <c r="AM599" s="52">
        <f t="shared" si="279"/>
        <v>0</v>
      </c>
      <c r="AN599" s="52">
        <f t="shared" si="279"/>
        <v>0</v>
      </c>
      <c r="AO599" s="52">
        <f t="shared" si="276"/>
        <v>0</v>
      </c>
      <c r="AP599" s="52">
        <f t="shared" si="276"/>
        <v>0</v>
      </c>
      <c r="AQ599" s="52">
        <f t="shared" si="276"/>
        <v>0</v>
      </c>
      <c r="AR599" s="52">
        <f t="shared" si="276"/>
        <v>0</v>
      </c>
      <c r="AS599" s="52">
        <f t="shared" si="276"/>
        <v>0</v>
      </c>
      <c r="AT599" s="52">
        <f t="shared" si="276"/>
        <v>0</v>
      </c>
      <c r="AU599" s="52">
        <f t="shared" si="276"/>
        <v>0</v>
      </c>
      <c r="AV599" s="52">
        <f t="shared" si="276"/>
        <v>0</v>
      </c>
      <c r="AW599" s="52">
        <f t="shared" si="276"/>
        <v>0</v>
      </c>
      <c r="AX599" s="52">
        <f t="shared" si="276"/>
        <v>0</v>
      </c>
      <c r="AY599" s="52">
        <f t="shared" si="276"/>
        <v>0</v>
      </c>
      <c r="AZ599" s="52">
        <f t="shared" si="276"/>
        <v>0</v>
      </c>
      <c r="BA599" s="52">
        <f t="shared" si="276"/>
        <v>0</v>
      </c>
      <c r="BB599" s="52">
        <f t="shared" si="276"/>
        <v>0</v>
      </c>
      <c r="BC599" s="52">
        <f t="shared" si="276"/>
        <v>0</v>
      </c>
      <c r="BD599" s="52">
        <f t="shared" si="276"/>
        <v>0.66666666666666663</v>
      </c>
      <c r="BE599" s="52">
        <f t="shared" si="276"/>
        <v>1</v>
      </c>
      <c r="BF599" s="52">
        <f t="shared" si="276"/>
        <v>1</v>
      </c>
      <c r="BG599" s="52">
        <f t="shared" si="277"/>
        <v>1</v>
      </c>
      <c r="BH599" s="52">
        <f t="shared" si="277"/>
        <v>1</v>
      </c>
      <c r="BI599" s="52">
        <f t="shared" si="277"/>
        <v>1</v>
      </c>
      <c r="BJ599" s="52">
        <f t="shared" si="277"/>
        <v>1</v>
      </c>
      <c r="BK599" s="52">
        <f t="shared" si="277"/>
        <v>1</v>
      </c>
      <c r="BL599" s="52">
        <f t="shared" si="277"/>
        <v>1</v>
      </c>
      <c r="BM599" s="52">
        <f t="shared" si="277"/>
        <v>1</v>
      </c>
      <c r="BN599" s="52">
        <f t="shared" si="277"/>
        <v>1</v>
      </c>
      <c r="BO599" s="32">
        <f t="shared" si="273"/>
        <v>0.1807909604519774</v>
      </c>
    </row>
    <row r="600" spans="1:67" ht="24" x14ac:dyDescent="0.2">
      <c r="A600" s="50" t="s">
        <v>1208</v>
      </c>
      <c r="B600" s="50" t="s">
        <v>1209</v>
      </c>
      <c r="C600" s="50" t="s">
        <v>61</v>
      </c>
      <c r="D600" s="51">
        <f>VLOOKUP(A600,'[1]Cuadro Control'!C644:J2530,8,FALSE)</f>
        <v>1587346329.5488234</v>
      </c>
      <c r="E600" s="52">
        <f t="shared" si="274"/>
        <v>0.29899875353285565</v>
      </c>
      <c r="F600" s="53">
        <v>46548</v>
      </c>
      <c r="G600" s="53">
        <v>46559</v>
      </c>
      <c r="H600" s="52">
        <f t="shared" si="278"/>
        <v>0</v>
      </c>
      <c r="I600" s="52">
        <f t="shared" si="278"/>
        <v>0</v>
      </c>
      <c r="J600" s="52">
        <f t="shared" si="278"/>
        <v>0</v>
      </c>
      <c r="K600" s="52">
        <f t="shared" si="278"/>
        <v>0</v>
      </c>
      <c r="L600" s="52">
        <f t="shared" si="278"/>
        <v>0</v>
      </c>
      <c r="M600" s="52">
        <f t="shared" si="278"/>
        <v>0</v>
      </c>
      <c r="N600" s="52">
        <f t="shared" si="278"/>
        <v>0</v>
      </c>
      <c r="O600" s="52">
        <f t="shared" si="278"/>
        <v>0</v>
      </c>
      <c r="P600" s="52">
        <f t="shared" si="278"/>
        <v>0</v>
      </c>
      <c r="Q600" s="52">
        <f t="shared" si="278"/>
        <v>0</v>
      </c>
      <c r="R600" s="52">
        <f t="shared" si="278"/>
        <v>0</v>
      </c>
      <c r="S600" s="52">
        <f t="shared" si="278"/>
        <v>0</v>
      </c>
      <c r="T600" s="52">
        <f t="shared" si="278"/>
        <v>0</v>
      </c>
      <c r="U600" s="52">
        <f t="shared" si="278"/>
        <v>0</v>
      </c>
      <c r="V600" s="52">
        <f t="shared" si="278"/>
        <v>0</v>
      </c>
      <c r="W600" s="52">
        <f t="shared" si="278"/>
        <v>0</v>
      </c>
      <c r="X600" s="52">
        <f t="shared" si="279"/>
        <v>0</v>
      </c>
      <c r="Y600" s="52">
        <f t="shared" si="279"/>
        <v>0</v>
      </c>
      <c r="Z600" s="52">
        <f t="shared" si="279"/>
        <v>0</v>
      </c>
      <c r="AA600" s="52">
        <f t="shared" si="279"/>
        <v>0</v>
      </c>
      <c r="AB600" s="52">
        <f t="shared" si="279"/>
        <v>0</v>
      </c>
      <c r="AC600" s="52">
        <f t="shared" si="279"/>
        <v>0</v>
      </c>
      <c r="AD600" s="52">
        <f t="shared" si="279"/>
        <v>0</v>
      </c>
      <c r="AE600" s="52">
        <f t="shared" si="279"/>
        <v>0</v>
      </c>
      <c r="AF600" s="52">
        <f t="shared" si="279"/>
        <v>0</v>
      </c>
      <c r="AG600" s="52">
        <f t="shared" si="279"/>
        <v>0</v>
      </c>
      <c r="AH600" s="52">
        <f t="shared" si="279"/>
        <v>0</v>
      </c>
      <c r="AI600" s="52">
        <f t="shared" si="279"/>
        <v>0</v>
      </c>
      <c r="AJ600" s="52">
        <f t="shared" si="279"/>
        <v>0</v>
      </c>
      <c r="AK600" s="52">
        <f t="shared" si="279"/>
        <v>0</v>
      </c>
      <c r="AL600" s="52">
        <f t="shared" si="279"/>
        <v>0</v>
      </c>
      <c r="AM600" s="52">
        <f t="shared" si="279"/>
        <v>0</v>
      </c>
      <c r="AN600" s="52">
        <f t="shared" si="279"/>
        <v>0</v>
      </c>
      <c r="AO600" s="52">
        <f t="shared" si="276"/>
        <v>0</v>
      </c>
      <c r="AP600" s="52">
        <f t="shared" si="276"/>
        <v>0</v>
      </c>
      <c r="AQ600" s="52">
        <f t="shared" si="276"/>
        <v>0</v>
      </c>
      <c r="AR600" s="52">
        <f t="shared" si="276"/>
        <v>0</v>
      </c>
      <c r="AS600" s="52">
        <f t="shared" si="276"/>
        <v>0</v>
      </c>
      <c r="AT600" s="52">
        <f t="shared" si="276"/>
        <v>0</v>
      </c>
      <c r="AU600" s="52">
        <f t="shared" si="276"/>
        <v>0</v>
      </c>
      <c r="AV600" s="52">
        <f t="shared" si="276"/>
        <v>0</v>
      </c>
      <c r="AW600" s="52">
        <f t="shared" si="276"/>
        <v>0</v>
      </c>
      <c r="AX600" s="52">
        <f t="shared" si="276"/>
        <v>0</v>
      </c>
      <c r="AY600" s="52">
        <f t="shared" si="276"/>
        <v>0</v>
      </c>
      <c r="AZ600" s="52">
        <f t="shared" si="276"/>
        <v>0</v>
      </c>
      <c r="BA600" s="52">
        <f t="shared" si="276"/>
        <v>0</v>
      </c>
      <c r="BB600" s="52">
        <f t="shared" si="276"/>
        <v>0</v>
      </c>
      <c r="BC600" s="52">
        <f t="shared" si="276"/>
        <v>0</v>
      </c>
      <c r="BD600" s="52">
        <f t="shared" si="276"/>
        <v>0.16666666666666666</v>
      </c>
      <c r="BE600" s="52">
        <f t="shared" si="276"/>
        <v>0.75</v>
      </c>
      <c r="BF600" s="52">
        <f t="shared" si="276"/>
        <v>1</v>
      </c>
      <c r="BG600" s="52">
        <f t="shared" si="277"/>
        <v>1</v>
      </c>
      <c r="BH600" s="52">
        <f t="shared" si="277"/>
        <v>1</v>
      </c>
      <c r="BI600" s="52">
        <f t="shared" si="277"/>
        <v>1</v>
      </c>
      <c r="BJ600" s="52">
        <f t="shared" si="277"/>
        <v>1</v>
      </c>
      <c r="BK600" s="52">
        <f t="shared" si="277"/>
        <v>1</v>
      </c>
      <c r="BL600" s="52">
        <f t="shared" si="277"/>
        <v>1</v>
      </c>
      <c r="BM600" s="52">
        <f t="shared" si="277"/>
        <v>1</v>
      </c>
      <c r="BN600" s="52">
        <f t="shared" si="277"/>
        <v>1</v>
      </c>
      <c r="BO600" s="32">
        <f t="shared" si="273"/>
        <v>0.16807909604519772</v>
      </c>
    </row>
    <row r="601" spans="1:67" ht="30" x14ac:dyDescent="0.2">
      <c r="A601" s="46" t="s">
        <v>1210</v>
      </c>
      <c r="B601" s="46" t="s">
        <v>1211</v>
      </c>
      <c r="C601" s="46" t="s">
        <v>61</v>
      </c>
      <c r="D601" s="47">
        <f>VLOOKUP(A601,'[1]Cuadro Control'!C645:J2531,8,FALSE)</f>
        <v>179532477.23999998</v>
      </c>
      <c r="E601" s="48">
        <f t="shared" si="274"/>
        <v>3.3817438522495219E-2</v>
      </c>
      <c r="F601" s="49">
        <v>46550</v>
      </c>
      <c r="G601" s="49">
        <v>46563</v>
      </c>
      <c r="H601" s="48">
        <f t="shared" si="278"/>
        <v>0</v>
      </c>
      <c r="I601" s="48">
        <f t="shared" si="278"/>
        <v>0</v>
      </c>
      <c r="J601" s="48">
        <f t="shared" si="278"/>
        <v>0</v>
      </c>
      <c r="K601" s="48">
        <f t="shared" si="278"/>
        <v>0</v>
      </c>
      <c r="L601" s="48">
        <f t="shared" si="278"/>
        <v>0</v>
      </c>
      <c r="M601" s="48">
        <f t="shared" si="278"/>
        <v>0</v>
      </c>
      <c r="N601" s="48">
        <f t="shared" si="278"/>
        <v>0</v>
      </c>
      <c r="O601" s="48">
        <f t="shared" si="278"/>
        <v>0</v>
      </c>
      <c r="P601" s="48">
        <f t="shared" si="278"/>
        <v>0</v>
      </c>
      <c r="Q601" s="48">
        <f t="shared" si="278"/>
        <v>0</v>
      </c>
      <c r="R601" s="48">
        <f t="shared" si="278"/>
        <v>0</v>
      </c>
      <c r="S601" s="48">
        <f t="shared" si="278"/>
        <v>0</v>
      </c>
      <c r="T601" s="48">
        <f t="shared" si="278"/>
        <v>0</v>
      </c>
      <c r="U601" s="48">
        <f t="shared" si="278"/>
        <v>0</v>
      </c>
      <c r="V601" s="48">
        <f t="shared" si="278"/>
        <v>0</v>
      </c>
      <c r="W601" s="48">
        <f t="shared" si="278"/>
        <v>0</v>
      </c>
      <c r="X601" s="48">
        <f t="shared" si="279"/>
        <v>0</v>
      </c>
      <c r="Y601" s="48">
        <f t="shared" si="279"/>
        <v>0</v>
      </c>
      <c r="Z601" s="48">
        <f t="shared" si="279"/>
        <v>0</v>
      </c>
      <c r="AA601" s="48">
        <f t="shared" si="279"/>
        <v>0</v>
      </c>
      <c r="AB601" s="48">
        <f t="shared" si="279"/>
        <v>0</v>
      </c>
      <c r="AC601" s="48">
        <f t="shared" si="279"/>
        <v>0</v>
      </c>
      <c r="AD601" s="48">
        <f t="shared" si="279"/>
        <v>0</v>
      </c>
      <c r="AE601" s="48">
        <f t="shared" si="279"/>
        <v>0</v>
      </c>
      <c r="AF601" s="48">
        <f t="shared" si="279"/>
        <v>0</v>
      </c>
      <c r="AG601" s="48">
        <f t="shared" si="279"/>
        <v>0</v>
      </c>
      <c r="AH601" s="48">
        <f t="shared" si="279"/>
        <v>0</v>
      </c>
      <c r="AI601" s="48">
        <f t="shared" si="279"/>
        <v>0</v>
      </c>
      <c r="AJ601" s="48">
        <f t="shared" si="279"/>
        <v>0</v>
      </c>
      <c r="AK601" s="48">
        <f t="shared" si="279"/>
        <v>0</v>
      </c>
      <c r="AL601" s="48">
        <f t="shared" si="279"/>
        <v>0</v>
      </c>
      <c r="AM601" s="48">
        <f t="shared" si="279"/>
        <v>0</v>
      </c>
      <c r="AN601" s="48">
        <f t="shared" si="279"/>
        <v>0</v>
      </c>
      <c r="AO601" s="48">
        <f t="shared" si="276"/>
        <v>0</v>
      </c>
      <c r="AP601" s="48">
        <f t="shared" si="276"/>
        <v>0</v>
      </c>
      <c r="AQ601" s="48">
        <f t="shared" si="276"/>
        <v>0</v>
      </c>
      <c r="AR601" s="48">
        <f t="shared" si="276"/>
        <v>0</v>
      </c>
      <c r="AS601" s="48">
        <f t="shared" si="276"/>
        <v>0</v>
      </c>
      <c r="AT601" s="48">
        <f t="shared" si="276"/>
        <v>0</v>
      </c>
      <c r="AU601" s="48">
        <f t="shared" si="276"/>
        <v>0</v>
      </c>
      <c r="AV601" s="48">
        <f t="shared" si="276"/>
        <v>0</v>
      </c>
      <c r="AW601" s="48">
        <f t="shared" si="276"/>
        <v>0</v>
      </c>
      <c r="AX601" s="48">
        <f t="shared" si="276"/>
        <v>0</v>
      </c>
      <c r="AY601" s="48">
        <f t="shared" si="276"/>
        <v>0</v>
      </c>
      <c r="AZ601" s="48">
        <f t="shared" si="276"/>
        <v>0</v>
      </c>
      <c r="BA601" s="48">
        <f t="shared" si="276"/>
        <v>0</v>
      </c>
      <c r="BB601" s="48">
        <f t="shared" si="276"/>
        <v>0</v>
      </c>
      <c r="BC601" s="48">
        <f t="shared" si="276"/>
        <v>0</v>
      </c>
      <c r="BD601" s="48">
        <f t="shared" si="276"/>
        <v>0</v>
      </c>
      <c r="BE601" s="48">
        <f t="shared" si="276"/>
        <v>0.5</v>
      </c>
      <c r="BF601" s="48">
        <f t="shared" si="276"/>
        <v>1</v>
      </c>
      <c r="BG601" s="48">
        <f t="shared" si="277"/>
        <v>1</v>
      </c>
      <c r="BH601" s="48">
        <f t="shared" si="277"/>
        <v>1</v>
      </c>
      <c r="BI601" s="48">
        <f t="shared" si="277"/>
        <v>1</v>
      </c>
      <c r="BJ601" s="48">
        <f t="shared" si="277"/>
        <v>1</v>
      </c>
      <c r="BK601" s="48">
        <f t="shared" si="277"/>
        <v>1</v>
      </c>
      <c r="BL601" s="48">
        <f t="shared" si="277"/>
        <v>1</v>
      </c>
      <c r="BM601" s="48">
        <f t="shared" si="277"/>
        <v>1</v>
      </c>
      <c r="BN601" s="48">
        <f t="shared" si="277"/>
        <v>1</v>
      </c>
      <c r="BO601" s="32">
        <f t="shared" si="273"/>
        <v>0.16101694915254236</v>
      </c>
    </row>
    <row r="602" spans="1:67" ht="24" x14ac:dyDescent="0.2">
      <c r="A602" s="55" t="s">
        <v>1212</v>
      </c>
      <c r="B602" s="55" t="s">
        <v>1213</v>
      </c>
      <c r="C602" s="55" t="s">
        <v>14</v>
      </c>
      <c r="D602" s="56">
        <f>VLOOKUP(A602,'[1]Cuadro Control'!C646:J2532,8,FALSE)</f>
        <v>0</v>
      </c>
      <c r="E602" s="57">
        <f>IFERROR(D602/$D$586,0)</f>
        <v>0</v>
      </c>
      <c r="F602" s="58">
        <v>46563</v>
      </c>
      <c r="G602" s="58">
        <v>46563</v>
      </c>
      <c r="H602" s="57">
        <f t="shared" si="278"/>
        <v>0</v>
      </c>
      <c r="I602" s="57">
        <f t="shared" si="278"/>
        <v>0</v>
      </c>
      <c r="J602" s="57">
        <f t="shared" si="278"/>
        <v>0</v>
      </c>
      <c r="K602" s="57">
        <f t="shared" si="278"/>
        <v>0</v>
      </c>
      <c r="L602" s="57">
        <f t="shared" si="278"/>
        <v>0</v>
      </c>
      <c r="M602" s="57">
        <f t="shared" si="278"/>
        <v>0</v>
      </c>
      <c r="N602" s="57">
        <f t="shared" si="278"/>
        <v>0</v>
      </c>
      <c r="O602" s="57">
        <f t="shared" si="278"/>
        <v>0</v>
      </c>
      <c r="P602" s="57">
        <f t="shared" si="278"/>
        <v>0</v>
      </c>
      <c r="Q602" s="57">
        <f t="shared" si="278"/>
        <v>0</v>
      </c>
      <c r="R602" s="57">
        <f t="shared" si="278"/>
        <v>0</v>
      </c>
      <c r="S602" s="57">
        <f t="shared" si="278"/>
        <v>0</v>
      </c>
      <c r="T602" s="57">
        <f t="shared" si="278"/>
        <v>0</v>
      </c>
      <c r="U602" s="57">
        <f t="shared" si="278"/>
        <v>0</v>
      </c>
      <c r="V602" s="57">
        <f t="shared" si="278"/>
        <v>0</v>
      </c>
      <c r="W602" s="57">
        <f t="shared" si="278"/>
        <v>0</v>
      </c>
      <c r="X602" s="57">
        <f t="shared" si="279"/>
        <v>0</v>
      </c>
      <c r="Y602" s="57">
        <f t="shared" si="279"/>
        <v>0</v>
      </c>
      <c r="Z602" s="57">
        <f t="shared" si="279"/>
        <v>0</v>
      </c>
      <c r="AA602" s="57">
        <f t="shared" si="279"/>
        <v>0</v>
      </c>
      <c r="AB602" s="57">
        <f t="shared" si="279"/>
        <v>0</v>
      </c>
      <c r="AC602" s="57">
        <f t="shared" si="279"/>
        <v>0</v>
      </c>
      <c r="AD602" s="57">
        <f t="shared" si="279"/>
        <v>0</v>
      </c>
      <c r="AE602" s="57">
        <f t="shared" si="279"/>
        <v>0</v>
      </c>
      <c r="AF602" s="57">
        <f t="shared" si="279"/>
        <v>0</v>
      </c>
      <c r="AG602" s="57">
        <f t="shared" si="279"/>
        <v>0</v>
      </c>
      <c r="AH602" s="57">
        <f t="shared" si="279"/>
        <v>0</v>
      </c>
      <c r="AI602" s="57">
        <f t="shared" si="279"/>
        <v>0</v>
      </c>
      <c r="AJ602" s="57">
        <f t="shared" si="279"/>
        <v>0</v>
      </c>
      <c r="AK602" s="57">
        <f t="shared" si="279"/>
        <v>0</v>
      </c>
      <c r="AL602" s="57">
        <f t="shared" si="279"/>
        <v>0</v>
      </c>
      <c r="AM602" s="57">
        <f t="shared" si="279"/>
        <v>0</v>
      </c>
      <c r="AN602" s="57">
        <f t="shared" si="279"/>
        <v>0</v>
      </c>
      <c r="AO602" s="57">
        <f t="shared" si="279"/>
        <v>0</v>
      </c>
      <c r="AP602" s="57">
        <f t="shared" si="279"/>
        <v>0</v>
      </c>
      <c r="AQ602" s="57">
        <f t="shared" si="279"/>
        <v>0</v>
      </c>
      <c r="AR602" s="57">
        <f t="shared" si="279"/>
        <v>0</v>
      </c>
      <c r="AS602" s="57">
        <f t="shared" si="279"/>
        <v>0</v>
      </c>
      <c r="AT602" s="57">
        <f t="shared" si="279"/>
        <v>0</v>
      </c>
      <c r="AU602" s="57">
        <f t="shared" si="279"/>
        <v>0</v>
      </c>
      <c r="AV602" s="57">
        <f t="shared" si="279"/>
        <v>0</v>
      </c>
      <c r="AW602" s="57">
        <f t="shared" si="279"/>
        <v>0</v>
      </c>
      <c r="AX602" s="57">
        <f t="shared" si="279"/>
        <v>0</v>
      </c>
      <c r="AY602" s="57">
        <f t="shared" si="279"/>
        <v>0</v>
      </c>
      <c r="AZ602" s="57">
        <f t="shared" si="279"/>
        <v>0</v>
      </c>
      <c r="BA602" s="57">
        <f t="shared" si="279"/>
        <v>0</v>
      </c>
      <c r="BB602" s="57">
        <f t="shared" si="279"/>
        <v>0</v>
      </c>
      <c r="BC602" s="57">
        <f t="shared" si="279"/>
        <v>0</v>
      </c>
      <c r="BD602" s="57">
        <f t="shared" si="276"/>
        <v>0</v>
      </c>
      <c r="BE602" s="57">
        <f t="shared" si="276"/>
        <v>0</v>
      </c>
      <c r="BF602" s="57">
        <f t="shared" si="276"/>
        <v>1</v>
      </c>
      <c r="BG602" s="57">
        <f t="shared" si="277"/>
        <v>1</v>
      </c>
      <c r="BH602" s="57">
        <f t="shared" si="277"/>
        <v>1</v>
      </c>
      <c r="BI602" s="57">
        <f t="shared" si="277"/>
        <v>1</v>
      </c>
      <c r="BJ602" s="57">
        <f t="shared" si="277"/>
        <v>1</v>
      </c>
      <c r="BK602" s="57">
        <f t="shared" si="277"/>
        <v>1</v>
      </c>
      <c r="BL602" s="57">
        <f t="shared" si="277"/>
        <v>1</v>
      </c>
      <c r="BM602" s="57">
        <f t="shared" si="277"/>
        <v>1</v>
      </c>
      <c r="BN602" s="57">
        <f t="shared" si="277"/>
        <v>1</v>
      </c>
      <c r="BO602" s="32">
        <f t="shared" si="273"/>
        <v>0.15254237288135594</v>
      </c>
    </row>
    <row r="603" spans="1:67" x14ac:dyDescent="0.2">
      <c r="A603" s="59" t="s">
        <v>1214</v>
      </c>
      <c r="B603" s="59" t="s">
        <v>1215</v>
      </c>
      <c r="C603" s="59" t="s">
        <v>467</v>
      </c>
      <c r="D603" s="60">
        <f>SUM(D604:D619)</f>
        <v>5308872732.0543728</v>
      </c>
      <c r="E603" s="61">
        <f>IFERROR(D603/$D$109,0)</f>
        <v>2.9408554574576196E-2</v>
      </c>
      <c r="F603" s="62">
        <v>46491</v>
      </c>
      <c r="G603" s="62">
        <v>46569</v>
      </c>
      <c r="H603" s="61">
        <f>SUMPRODUCT($E604:$E618,H604:H618)</f>
        <v>0</v>
      </c>
      <c r="I603" s="61">
        <f t="shared" ref="I603:BN603" si="280">SUMPRODUCT($E604:$E618,I604:I618)</f>
        <v>0</v>
      </c>
      <c r="J603" s="61">
        <f t="shared" si="280"/>
        <v>0</v>
      </c>
      <c r="K603" s="61">
        <f t="shared" si="280"/>
        <v>0</v>
      </c>
      <c r="L603" s="61">
        <f t="shared" si="280"/>
        <v>0</v>
      </c>
      <c r="M603" s="61">
        <f t="shared" si="280"/>
        <v>0</v>
      </c>
      <c r="N603" s="61">
        <f t="shared" si="280"/>
        <v>0</v>
      </c>
      <c r="O603" s="61">
        <f t="shared" si="280"/>
        <v>0</v>
      </c>
      <c r="P603" s="61">
        <f t="shared" si="280"/>
        <v>0</v>
      </c>
      <c r="Q603" s="61">
        <f t="shared" si="280"/>
        <v>0</v>
      </c>
      <c r="R603" s="61">
        <f t="shared" si="280"/>
        <v>0</v>
      </c>
      <c r="S603" s="61">
        <f t="shared" si="280"/>
        <v>0</v>
      </c>
      <c r="T603" s="61">
        <f t="shared" si="280"/>
        <v>0</v>
      </c>
      <c r="U603" s="61">
        <f t="shared" si="280"/>
        <v>0</v>
      </c>
      <c r="V603" s="61">
        <f t="shared" si="280"/>
        <v>0</v>
      </c>
      <c r="W603" s="61">
        <f t="shared" si="280"/>
        <v>0</v>
      </c>
      <c r="X603" s="61">
        <f t="shared" si="280"/>
        <v>0</v>
      </c>
      <c r="Y603" s="61">
        <f t="shared" si="280"/>
        <v>0</v>
      </c>
      <c r="Z603" s="61">
        <f t="shared" si="280"/>
        <v>0</v>
      </c>
      <c r="AA603" s="61">
        <f t="shared" si="280"/>
        <v>0</v>
      </c>
      <c r="AB603" s="61">
        <f t="shared" si="280"/>
        <v>0</v>
      </c>
      <c r="AC603" s="61">
        <f t="shared" si="280"/>
        <v>0</v>
      </c>
      <c r="AD603" s="61">
        <f t="shared" si="280"/>
        <v>0</v>
      </c>
      <c r="AE603" s="61">
        <f t="shared" si="280"/>
        <v>0</v>
      </c>
      <c r="AF603" s="61">
        <f t="shared" si="280"/>
        <v>0</v>
      </c>
      <c r="AG603" s="61">
        <f t="shared" si="280"/>
        <v>0</v>
      </c>
      <c r="AH603" s="61">
        <f t="shared" si="280"/>
        <v>0</v>
      </c>
      <c r="AI603" s="61">
        <f t="shared" si="280"/>
        <v>0</v>
      </c>
      <c r="AJ603" s="61">
        <f t="shared" si="280"/>
        <v>0</v>
      </c>
      <c r="AK603" s="61">
        <f t="shared" si="280"/>
        <v>0</v>
      </c>
      <c r="AL603" s="61">
        <f t="shared" si="280"/>
        <v>0</v>
      </c>
      <c r="AM603" s="61">
        <f t="shared" si="280"/>
        <v>0</v>
      </c>
      <c r="AN603" s="61">
        <f t="shared" si="280"/>
        <v>0</v>
      </c>
      <c r="AO603" s="61">
        <f t="shared" si="280"/>
        <v>0</v>
      </c>
      <c r="AP603" s="61">
        <f t="shared" si="280"/>
        <v>0</v>
      </c>
      <c r="AQ603" s="61">
        <f t="shared" si="280"/>
        <v>0</v>
      </c>
      <c r="AR603" s="61">
        <f t="shared" si="280"/>
        <v>0</v>
      </c>
      <c r="AS603" s="61">
        <f t="shared" si="280"/>
        <v>0</v>
      </c>
      <c r="AT603" s="61">
        <f t="shared" si="280"/>
        <v>0</v>
      </c>
      <c r="AU603" s="61">
        <f t="shared" si="280"/>
        <v>0</v>
      </c>
      <c r="AV603" s="61">
        <f t="shared" si="280"/>
        <v>5.8820241899941441E-3</v>
      </c>
      <c r="AW603" s="61">
        <f t="shared" si="280"/>
        <v>3.0395418282871511E-2</v>
      </c>
      <c r="AX603" s="61">
        <f t="shared" si="280"/>
        <v>7.5721945247826203E-2</v>
      </c>
      <c r="AY603" s="61">
        <f t="shared" si="280"/>
        <v>0.14853206090804622</v>
      </c>
      <c r="AZ603" s="61">
        <f t="shared" si="280"/>
        <v>0.20027427996352742</v>
      </c>
      <c r="BA603" s="61">
        <f t="shared" si="280"/>
        <v>0.28442698011883905</v>
      </c>
      <c r="BB603" s="61">
        <f t="shared" si="280"/>
        <v>0.36857968027415072</v>
      </c>
      <c r="BC603" s="61">
        <f t="shared" si="280"/>
        <v>0.64850810003989967</v>
      </c>
      <c r="BD603" s="61">
        <f t="shared" si="280"/>
        <v>0.64850810003989967</v>
      </c>
      <c r="BE603" s="61">
        <f t="shared" si="280"/>
        <v>0.72939908997425573</v>
      </c>
      <c r="BF603" s="61">
        <f t="shared" si="280"/>
        <v>0.95560693670850227</v>
      </c>
      <c r="BG603" s="61">
        <f t="shared" si="280"/>
        <v>1</v>
      </c>
      <c r="BH603" s="61">
        <f t="shared" si="280"/>
        <v>1</v>
      </c>
      <c r="BI603" s="61">
        <f t="shared" si="280"/>
        <v>1</v>
      </c>
      <c r="BJ603" s="61">
        <f t="shared" si="280"/>
        <v>1</v>
      </c>
      <c r="BK603" s="61">
        <f t="shared" si="280"/>
        <v>1</v>
      </c>
      <c r="BL603" s="61">
        <f t="shared" si="280"/>
        <v>1</v>
      </c>
      <c r="BM603" s="61">
        <f t="shared" si="280"/>
        <v>1</v>
      </c>
      <c r="BN603" s="61">
        <f t="shared" si="280"/>
        <v>1</v>
      </c>
      <c r="BO603" s="32">
        <f t="shared" si="273"/>
        <v>0.20501414602962392</v>
      </c>
    </row>
    <row r="604" spans="1:67" ht="24" x14ac:dyDescent="0.2">
      <c r="A604" s="50" t="s">
        <v>1216</v>
      </c>
      <c r="B604" s="50" t="s">
        <v>1217</v>
      </c>
      <c r="C604" s="50" t="s">
        <v>74</v>
      </c>
      <c r="D604" s="51">
        <f>VLOOKUP(A604,'[1]Cuadro Control'!C648:J2534,8,FALSE)</f>
        <v>83271780.884117648</v>
      </c>
      <c r="E604" s="52">
        <f t="shared" ref="E604:E618" si="281">IFERROR(D604/$D$603,0)</f>
        <v>1.5685397839984384E-2</v>
      </c>
      <c r="F604" s="53">
        <v>46491</v>
      </c>
      <c r="G604" s="53">
        <v>46498</v>
      </c>
      <c r="H604" s="52">
        <f t="shared" ref="H604:BN608" si="282">IF($F604=0,0,IF(H$6&lt;$F604,0,IF(H$6&gt;$G604,1,(H$6-$F604+1)/($G604-$F604+1))))</f>
        <v>0</v>
      </c>
      <c r="I604" s="52">
        <f t="shared" si="282"/>
        <v>0</v>
      </c>
      <c r="J604" s="52">
        <f t="shared" si="282"/>
        <v>0</v>
      </c>
      <c r="K604" s="52">
        <f t="shared" si="282"/>
        <v>0</v>
      </c>
      <c r="L604" s="52">
        <f t="shared" si="282"/>
        <v>0</v>
      </c>
      <c r="M604" s="52">
        <f t="shared" si="282"/>
        <v>0</v>
      </c>
      <c r="N604" s="52">
        <f t="shared" si="282"/>
        <v>0</v>
      </c>
      <c r="O604" s="52">
        <f t="shared" si="282"/>
        <v>0</v>
      </c>
      <c r="P604" s="52">
        <f t="shared" si="282"/>
        <v>0</v>
      </c>
      <c r="Q604" s="52">
        <f t="shared" si="282"/>
        <v>0</v>
      </c>
      <c r="R604" s="52">
        <f t="shared" si="282"/>
        <v>0</v>
      </c>
      <c r="S604" s="52">
        <f t="shared" si="282"/>
        <v>0</v>
      </c>
      <c r="T604" s="52">
        <f t="shared" si="282"/>
        <v>0</v>
      </c>
      <c r="U604" s="52">
        <f t="shared" si="282"/>
        <v>0</v>
      </c>
      <c r="V604" s="52">
        <f t="shared" si="282"/>
        <v>0</v>
      </c>
      <c r="W604" s="52">
        <f t="shared" si="282"/>
        <v>0</v>
      </c>
      <c r="X604" s="52">
        <f t="shared" si="282"/>
        <v>0</v>
      </c>
      <c r="Y604" s="52">
        <f t="shared" si="282"/>
        <v>0</v>
      </c>
      <c r="Z604" s="52">
        <f t="shared" si="282"/>
        <v>0</v>
      </c>
      <c r="AA604" s="52">
        <f t="shared" si="282"/>
        <v>0</v>
      </c>
      <c r="AB604" s="52">
        <f t="shared" si="282"/>
        <v>0</v>
      </c>
      <c r="AC604" s="52">
        <f t="shared" si="282"/>
        <v>0</v>
      </c>
      <c r="AD604" s="52">
        <f t="shared" si="282"/>
        <v>0</v>
      </c>
      <c r="AE604" s="52">
        <f t="shared" si="282"/>
        <v>0</v>
      </c>
      <c r="AF604" s="52">
        <f t="shared" si="282"/>
        <v>0</v>
      </c>
      <c r="AG604" s="52">
        <f t="shared" si="282"/>
        <v>0</v>
      </c>
      <c r="AH604" s="52">
        <f t="shared" si="282"/>
        <v>0</v>
      </c>
      <c r="AI604" s="52">
        <f t="shared" si="282"/>
        <v>0</v>
      </c>
      <c r="AJ604" s="52">
        <f t="shared" si="282"/>
        <v>0</v>
      </c>
      <c r="AK604" s="52">
        <f t="shared" si="282"/>
        <v>0</v>
      </c>
      <c r="AL604" s="52">
        <f t="shared" si="282"/>
        <v>0</v>
      </c>
      <c r="AM604" s="52">
        <f t="shared" si="282"/>
        <v>0</v>
      </c>
      <c r="AN604" s="52">
        <f t="shared" si="282"/>
        <v>0</v>
      </c>
      <c r="AO604" s="52">
        <f t="shared" si="282"/>
        <v>0</v>
      </c>
      <c r="AP604" s="52">
        <f t="shared" si="282"/>
        <v>0</v>
      </c>
      <c r="AQ604" s="52">
        <f t="shared" si="282"/>
        <v>0</v>
      </c>
      <c r="AR604" s="52">
        <f t="shared" si="282"/>
        <v>0</v>
      </c>
      <c r="AS604" s="52">
        <f t="shared" si="282"/>
        <v>0</v>
      </c>
      <c r="AT604" s="52">
        <f t="shared" si="282"/>
        <v>0</v>
      </c>
      <c r="AU604" s="52">
        <f t="shared" si="282"/>
        <v>0</v>
      </c>
      <c r="AV604" s="52">
        <f t="shared" si="282"/>
        <v>0.375</v>
      </c>
      <c r="AW604" s="52">
        <f t="shared" si="282"/>
        <v>1</v>
      </c>
      <c r="AX604" s="52">
        <f t="shared" si="282"/>
        <v>1</v>
      </c>
      <c r="AY604" s="52">
        <f t="shared" si="282"/>
        <v>1</v>
      </c>
      <c r="AZ604" s="52">
        <f t="shared" si="282"/>
        <v>1</v>
      </c>
      <c r="BA604" s="52">
        <f t="shared" si="282"/>
        <v>1</v>
      </c>
      <c r="BB604" s="52">
        <f t="shared" si="282"/>
        <v>1</v>
      </c>
      <c r="BC604" s="52">
        <f t="shared" si="282"/>
        <v>1</v>
      </c>
      <c r="BD604" s="52">
        <f t="shared" si="282"/>
        <v>1</v>
      </c>
      <c r="BE604" s="52">
        <f t="shared" si="282"/>
        <v>1</v>
      </c>
      <c r="BF604" s="52">
        <f t="shared" si="282"/>
        <v>1</v>
      </c>
      <c r="BG604" s="52">
        <f t="shared" si="282"/>
        <v>1</v>
      </c>
      <c r="BH604" s="52">
        <f t="shared" si="282"/>
        <v>1</v>
      </c>
      <c r="BI604" s="52">
        <f t="shared" si="282"/>
        <v>1</v>
      </c>
      <c r="BJ604" s="52">
        <f t="shared" si="282"/>
        <v>1</v>
      </c>
      <c r="BK604" s="52">
        <f t="shared" si="282"/>
        <v>1</v>
      </c>
      <c r="BL604" s="52">
        <f t="shared" si="282"/>
        <v>1</v>
      </c>
      <c r="BM604" s="52">
        <f t="shared" si="282"/>
        <v>1</v>
      </c>
      <c r="BN604" s="52">
        <f t="shared" si="282"/>
        <v>1</v>
      </c>
      <c r="BO604" s="32">
        <f t="shared" si="273"/>
        <v>0.3114406779661017</v>
      </c>
    </row>
    <row r="605" spans="1:67" x14ac:dyDescent="0.2">
      <c r="A605" s="50" t="s">
        <v>1218</v>
      </c>
      <c r="B605" s="50" t="s">
        <v>1219</v>
      </c>
      <c r="C605" s="50" t="s">
        <v>61</v>
      </c>
      <c r="D605" s="51">
        <f>VLOOKUP(A605,'[1]Cuadro Control'!C649:J2535,8,FALSE)</f>
        <v>312374505.66882348</v>
      </c>
      <c r="E605" s="52">
        <f t="shared" si="281"/>
        <v>5.8840081771548515E-2</v>
      </c>
      <c r="F605" s="53">
        <v>46499</v>
      </c>
      <c r="G605" s="53">
        <v>46506</v>
      </c>
      <c r="H605" s="52">
        <f t="shared" si="282"/>
        <v>0</v>
      </c>
      <c r="I605" s="52">
        <f t="shared" si="282"/>
        <v>0</v>
      </c>
      <c r="J605" s="52">
        <f t="shared" si="282"/>
        <v>0</v>
      </c>
      <c r="K605" s="52">
        <f t="shared" si="282"/>
        <v>0</v>
      </c>
      <c r="L605" s="52">
        <f t="shared" si="282"/>
        <v>0</v>
      </c>
      <c r="M605" s="52">
        <f t="shared" si="282"/>
        <v>0</v>
      </c>
      <c r="N605" s="52">
        <f t="shared" si="282"/>
        <v>0</v>
      </c>
      <c r="O605" s="52">
        <f t="shared" si="282"/>
        <v>0</v>
      </c>
      <c r="P605" s="52">
        <f t="shared" si="282"/>
        <v>0</v>
      </c>
      <c r="Q605" s="52">
        <f t="shared" si="282"/>
        <v>0</v>
      </c>
      <c r="R605" s="52">
        <f t="shared" si="282"/>
        <v>0</v>
      </c>
      <c r="S605" s="52">
        <f t="shared" si="282"/>
        <v>0</v>
      </c>
      <c r="T605" s="52">
        <f t="shared" si="282"/>
        <v>0</v>
      </c>
      <c r="U605" s="52">
        <f t="shared" si="282"/>
        <v>0</v>
      </c>
      <c r="V605" s="52">
        <f t="shared" si="282"/>
        <v>0</v>
      </c>
      <c r="W605" s="52">
        <f t="shared" si="282"/>
        <v>0</v>
      </c>
      <c r="X605" s="52">
        <f t="shared" si="282"/>
        <v>0</v>
      </c>
      <c r="Y605" s="52">
        <f t="shared" si="282"/>
        <v>0</v>
      </c>
      <c r="Z605" s="52">
        <f t="shared" si="282"/>
        <v>0</v>
      </c>
      <c r="AA605" s="52">
        <f t="shared" si="282"/>
        <v>0</v>
      </c>
      <c r="AB605" s="52">
        <f t="shared" si="282"/>
        <v>0</v>
      </c>
      <c r="AC605" s="52">
        <f t="shared" si="282"/>
        <v>0</v>
      </c>
      <c r="AD605" s="52">
        <f t="shared" si="282"/>
        <v>0</v>
      </c>
      <c r="AE605" s="52">
        <f t="shared" si="282"/>
        <v>0</v>
      </c>
      <c r="AF605" s="52">
        <f t="shared" si="282"/>
        <v>0</v>
      </c>
      <c r="AG605" s="52">
        <f t="shared" si="282"/>
        <v>0</v>
      </c>
      <c r="AH605" s="52">
        <f t="shared" si="282"/>
        <v>0</v>
      </c>
      <c r="AI605" s="52">
        <f t="shared" si="282"/>
        <v>0</v>
      </c>
      <c r="AJ605" s="52">
        <f t="shared" si="282"/>
        <v>0</v>
      </c>
      <c r="AK605" s="52">
        <f t="shared" si="282"/>
        <v>0</v>
      </c>
      <c r="AL605" s="52">
        <f t="shared" si="282"/>
        <v>0</v>
      </c>
      <c r="AM605" s="52">
        <f t="shared" si="282"/>
        <v>0</v>
      </c>
      <c r="AN605" s="52">
        <f t="shared" si="282"/>
        <v>0</v>
      </c>
      <c r="AO605" s="52">
        <f t="shared" si="282"/>
        <v>0</v>
      </c>
      <c r="AP605" s="52">
        <f t="shared" si="282"/>
        <v>0</v>
      </c>
      <c r="AQ605" s="52">
        <f t="shared" si="282"/>
        <v>0</v>
      </c>
      <c r="AR605" s="52">
        <f t="shared" si="282"/>
        <v>0</v>
      </c>
      <c r="AS605" s="52">
        <f t="shared" si="282"/>
        <v>0</v>
      </c>
      <c r="AT605" s="52">
        <f t="shared" si="282"/>
        <v>0</v>
      </c>
      <c r="AU605" s="52">
        <f t="shared" si="282"/>
        <v>0</v>
      </c>
      <c r="AV605" s="52">
        <f t="shared" si="282"/>
        <v>0</v>
      </c>
      <c r="AW605" s="52">
        <f t="shared" si="282"/>
        <v>0.25</v>
      </c>
      <c r="AX605" s="52">
        <f t="shared" si="282"/>
        <v>1</v>
      </c>
      <c r="AY605" s="52">
        <f t="shared" si="282"/>
        <v>1</v>
      </c>
      <c r="AZ605" s="52">
        <f t="shared" si="282"/>
        <v>1</v>
      </c>
      <c r="BA605" s="52">
        <f t="shared" si="282"/>
        <v>1</v>
      </c>
      <c r="BB605" s="52">
        <f t="shared" si="282"/>
        <v>1</v>
      </c>
      <c r="BC605" s="52">
        <f t="shared" si="282"/>
        <v>1</v>
      </c>
      <c r="BD605" s="52">
        <f t="shared" si="282"/>
        <v>1</v>
      </c>
      <c r="BE605" s="52">
        <f t="shared" si="282"/>
        <v>1</v>
      </c>
      <c r="BF605" s="52">
        <f t="shared" si="282"/>
        <v>1</v>
      </c>
      <c r="BG605" s="52">
        <f t="shared" si="282"/>
        <v>1</v>
      </c>
      <c r="BH605" s="52">
        <f t="shared" si="282"/>
        <v>1</v>
      </c>
      <c r="BI605" s="52">
        <f t="shared" si="282"/>
        <v>1</v>
      </c>
      <c r="BJ605" s="52">
        <f t="shared" si="282"/>
        <v>1</v>
      </c>
      <c r="BK605" s="52">
        <f t="shared" si="282"/>
        <v>1</v>
      </c>
      <c r="BL605" s="52">
        <f t="shared" si="282"/>
        <v>1</v>
      </c>
      <c r="BM605" s="52">
        <f t="shared" si="282"/>
        <v>1</v>
      </c>
      <c r="BN605" s="52">
        <f t="shared" si="282"/>
        <v>1</v>
      </c>
      <c r="BO605" s="32">
        <f t="shared" si="273"/>
        <v>0.2923728813559322</v>
      </c>
    </row>
    <row r="606" spans="1:67" ht="15" x14ac:dyDescent="0.2">
      <c r="A606" s="46" t="s">
        <v>1220</v>
      </c>
      <c r="B606" s="46" t="s">
        <v>1221</v>
      </c>
      <c r="C606" s="46" t="s">
        <v>126</v>
      </c>
      <c r="D606" s="47">
        <f>VLOOKUP(A606,'[1]Cuadro Control'!C650:J2536,8,FALSE)</f>
        <v>9527825.6870364472</v>
      </c>
      <c r="E606" s="48">
        <f t="shared" si="281"/>
        <v>1.794698454439963E-3</v>
      </c>
      <c r="F606" s="49">
        <v>46506</v>
      </c>
      <c r="G606" s="49">
        <v>46508</v>
      </c>
      <c r="H606" s="48">
        <f t="shared" si="282"/>
        <v>0</v>
      </c>
      <c r="I606" s="48">
        <f t="shared" si="282"/>
        <v>0</v>
      </c>
      <c r="J606" s="48">
        <f t="shared" si="282"/>
        <v>0</v>
      </c>
      <c r="K606" s="48">
        <f t="shared" si="282"/>
        <v>0</v>
      </c>
      <c r="L606" s="48">
        <f t="shared" si="282"/>
        <v>0</v>
      </c>
      <c r="M606" s="48">
        <f t="shared" si="282"/>
        <v>0</v>
      </c>
      <c r="N606" s="48">
        <f t="shared" si="282"/>
        <v>0</v>
      </c>
      <c r="O606" s="48">
        <f t="shared" si="282"/>
        <v>0</v>
      </c>
      <c r="P606" s="48">
        <f t="shared" si="282"/>
        <v>0</v>
      </c>
      <c r="Q606" s="48">
        <f t="shared" si="282"/>
        <v>0</v>
      </c>
      <c r="R606" s="48">
        <f t="shared" si="282"/>
        <v>0</v>
      </c>
      <c r="S606" s="48">
        <f t="shared" si="282"/>
        <v>0</v>
      </c>
      <c r="T606" s="48">
        <f t="shared" si="282"/>
        <v>0</v>
      </c>
      <c r="U606" s="48">
        <f t="shared" si="282"/>
        <v>0</v>
      </c>
      <c r="V606" s="48">
        <f t="shared" si="282"/>
        <v>0</v>
      </c>
      <c r="W606" s="48">
        <f t="shared" si="282"/>
        <v>0</v>
      </c>
      <c r="X606" s="48">
        <f t="shared" si="282"/>
        <v>0</v>
      </c>
      <c r="Y606" s="48">
        <f t="shared" si="282"/>
        <v>0</v>
      </c>
      <c r="Z606" s="48">
        <f t="shared" si="282"/>
        <v>0</v>
      </c>
      <c r="AA606" s="48">
        <f t="shared" si="282"/>
        <v>0</v>
      </c>
      <c r="AB606" s="48">
        <f t="shared" si="282"/>
        <v>0</v>
      </c>
      <c r="AC606" s="48">
        <f t="shared" si="282"/>
        <v>0</v>
      </c>
      <c r="AD606" s="48">
        <f t="shared" si="282"/>
        <v>0</v>
      </c>
      <c r="AE606" s="48">
        <f t="shared" si="282"/>
        <v>0</v>
      </c>
      <c r="AF606" s="48">
        <f t="shared" si="282"/>
        <v>0</v>
      </c>
      <c r="AG606" s="48">
        <f t="shared" si="282"/>
        <v>0</v>
      </c>
      <c r="AH606" s="48">
        <f t="shared" si="282"/>
        <v>0</v>
      </c>
      <c r="AI606" s="48">
        <f t="shared" si="282"/>
        <v>0</v>
      </c>
      <c r="AJ606" s="48">
        <f t="shared" si="282"/>
        <v>0</v>
      </c>
      <c r="AK606" s="48">
        <f t="shared" si="282"/>
        <v>0</v>
      </c>
      <c r="AL606" s="48">
        <f t="shared" si="282"/>
        <v>0</v>
      </c>
      <c r="AM606" s="48">
        <f t="shared" si="282"/>
        <v>0</v>
      </c>
      <c r="AN606" s="48">
        <f t="shared" si="282"/>
        <v>0</v>
      </c>
      <c r="AO606" s="48">
        <f t="shared" si="282"/>
        <v>0</v>
      </c>
      <c r="AP606" s="48">
        <f t="shared" si="282"/>
        <v>0</v>
      </c>
      <c r="AQ606" s="48">
        <f t="shared" si="282"/>
        <v>0</v>
      </c>
      <c r="AR606" s="48">
        <f t="shared" si="282"/>
        <v>0</v>
      </c>
      <c r="AS606" s="48">
        <f t="shared" si="282"/>
        <v>0</v>
      </c>
      <c r="AT606" s="48">
        <f t="shared" si="282"/>
        <v>0</v>
      </c>
      <c r="AU606" s="48">
        <f t="shared" si="282"/>
        <v>0</v>
      </c>
      <c r="AV606" s="48">
        <f t="shared" si="282"/>
        <v>0</v>
      </c>
      <c r="AW606" s="48">
        <f t="shared" si="282"/>
        <v>0</v>
      </c>
      <c r="AX606" s="48">
        <f t="shared" si="282"/>
        <v>0.66666666666666663</v>
      </c>
      <c r="AY606" s="48">
        <f t="shared" si="282"/>
        <v>1</v>
      </c>
      <c r="AZ606" s="48">
        <f t="shared" si="282"/>
        <v>1</v>
      </c>
      <c r="BA606" s="48">
        <f t="shared" si="282"/>
        <v>1</v>
      </c>
      <c r="BB606" s="48">
        <f t="shared" si="282"/>
        <v>1</v>
      </c>
      <c r="BC606" s="48">
        <f t="shared" si="282"/>
        <v>1</v>
      </c>
      <c r="BD606" s="48">
        <f t="shared" si="282"/>
        <v>1</v>
      </c>
      <c r="BE606" s="48">
        <f t="shared" si="282"/>
        <v>1</v>
      </c>
      <c r="BF606" s="48">
        <f t="shared" si="282"/>
        <v>1</v>
      </c>
      <c r="BG606" s="48">
        <f t="shared" si="282"/>
        <v>1</v>
      </c>
      <c r="BH606" s="48">
        <f t="shared" si="282"/>
        <v>1</v>
      </c>
      <c r="BI606" s="48">
        <f t="shared" si="282"/>
        <v>1</v>
      </c>
      <c r="BJ606" s="48">
        <f t="shared" si="282"/>
        <v>1</v>
      </c>
      <c r="BK606" s="48">
        <f t="shared" si="282"/>
        <v>1</v>
      </c>
      <c r="BL606" s="48">
        <f t="shared" si="282"/>
        <v>1</v>
      </c>
      <c r="BM606" s="48">
        <f t="shared" si="282"/>
        <v>1</v>
      </c>
      <c r="BN606" s="48">
        <f t="shared" si="282"/>
        <v>1</v>
      </c>
      <c r="BO606" s="32">
        <f t="shared" si="273"/>
        <v>0.28248587570621464</v>
      </c>
    </row>
    <row r="607" spans="1:67" x14ac:dyDescent="0.2">
      <c r="A607" s="50" t="s">
        <v>1222</v>
      </c>
      <c r="B607" s="50" t="s">
        <v>1223</v>
      </c>
      <c r="C607" s="50" t="s">
        <v>117</v>
      </c>
      <c r="D607" s="51">
        <f>VLOOKUP(A607,'[1]Cuadro Control'!C651:J2537,8,FALSE)</f>
        <v>320494616.71764702</v>
      </c>
      <c r="E607" s="52">
        <f t="shared" si="281"/>
        <v>6.0369617599332674E-2</v>
      </c>
      <c r="F607" s="53">
        <v>46510</v>
      </c>
      <c r="G607" s="53">
        <v>46513</v>
      </c>
      <c r="H607" s="52">
        <f t="shared" si="282"/>
        <v>0</v>
      </c>
      <c r="I607" s="52">
        <f t="shared" si="282"/>
        <v>0</v>
      </c>
      <c r="J607" s="52">
        <f t="shared" si="282"/>
        <v>0</v>
      </c>
      <c r="K607" s="52">
        <f t="shared" si="282"/>
        <v>0</v>
      </c>
      <c r="L607" s="52">
        <f t="shared" si="282"/>
        <v>0</v>
      </c>
      <c r="M607" s="52">
        <f t="shared" si="282"/>
        <v>0</v>
      </c>
      <c r="N607" s="52">
        <f t="shared" si="282"/>
        <v>0</v>
      </c>
      <c r="O607" s="52">
        <f t="shared" si="282"/>
        <v>0</v>
      </c>
      <c r="P607" s="52">
        <f t="shared" si="282"/>
        <v>0</v>
      </c>
      <c r="Q607" s="52">
        <f t="shared" si="282"/>
        <v>0</v>
      </c>
      <c r="R607" s="52">
        <f t="shared" si="282"/>
        <v>0</v>
      </c>
      <c r="S607" s="52">
        <f t="shared" si="282"/>
        <v>0</v>
      </c>
      <c r="T607" s="52">
        <f t="shared" si="282"/>
        <v>0</v>
      </c>
      <c r="U607" s="52">
        <f t="shared" si="282"/>
        <v>0</v>
      </c>
      <c r="V607" s="52">
        <f t="shared" si="282"/>
        <v>0</v>
      </c>
      <c r="W607" s="52">
        <f t="shared" si="282"/>
        <v>0</v>
      </c>
      <c r="X607" s="52">
        <f t="shared" si="282"/>
        <v>0</v>
      </c>
      <c r="Y607" s="52">
        <f t="shared" si="282"/>
        <v>0</v>
      </c>
      <c r="Z607" s="52">
        <f t="shared" si="282"/>
        <v>0</v>
      </c>
      <c r="AA607" s="52">
        <f t="shared" si="282"/>
        <v>0</v>
      </c>
      <c r="AB607" s="52">
        <f t="shared" si="282"/>
        <v>0</v>
      </c>
      <c r="AC607" s="52">
        <f t="shared" si="282"/>
        <v>0</v>
      </c>
      <c r="AD607" s="52">
        <f t="shared" si="282"/>
        <v>0</v>
      </c>
      <c r="AE607" s="52">
        <f t="shared" si="282"/>
        <v>0</v>
      </c>
      <c r="AF607" s="52">
        <f t="shared" si="282"/>
        <v>0</v>
      </c>
      <c r="AG607" s="52">
        <f t="shared" si="282"/>
        <v>0</v>
      </c>
      <c r="AH607" s="52">
        <f t="shared" si="282"/>
        <v>0</v>
      </c>
      <c r="AI607" s="52">
        <f t="shared" si="282"/>
        <v>0</v>
      </c>
      <c r="AJ607" s="52">
        <f t="shared" si="282"/>
        <v>0</v>
      </c>
      <c r="AK607" s="52">
        <f t="shared" si="282"/>
        <v>0</v>
      </c>
      <c r="AL607" s="52">
        <f t="shared" si="282"/>
        <v>0</v>
      </c>
      <c r="AM607" s="52">
        <f t="shared" si="282"/>
        <v>0</v>
      </c>
      <c r="AN607" s="52">
        <f t="shared" si="282"/>
        <v>0</v>
      </c>
      <c r="AO607" s="52">
        <f t="shared" si="282"/>
        <v>0</v>
      </c>
      <c r="AP607" s="52">
        <f t="shared" si="282"/>
        <v>0</v>
      </c>
      <c r="AQ607" s="52">
        <f t="shared" si="282"/>
        <v>0</v>
      </c>
      <c r="AR607" s="52">
        <f t="shared" si="282"/>
        <v>0</v>
      </c>
      <c r="AS607" s="52">
        <f t="shared" si="282"/>
        <v>0</v>
      </c>
      <c r="AT607" s="52">
        <f t="shared" si="282"/>
        <v>0</v>
      </c>
      <c r="AU607" s="52">
        <f t="shared" si="282"/>
        <v>0</v>
      </c>
      <c r="AV607" s="52">
        <f t="shared" si="282"/>
        <v>0</v>
      </c>
      <c r="AW607" s="52">
        <f t="shared" si="282"/>
        <v>0</v>
      </c>
      <c r="AX607" s="52">
        <f t="shared" si="282"/>
        <v>0</v>
      </c>
      <c r="AY607" s="52">
        <f t="shared" si="282"/>
        <v>1</v>
      </c>
      <c r="AZ607" s="52">
        <f t="shared" si="282"/>
        <v>1</v>
      </c>
      <c r="BA607" s="52">
        <f t="shared" si="282"/>
        <v>1</v>
      </c>
      <c r="BB607" s="52">
        <f t="shared" si="282"/>
        <v>1</v>
      </c>
      <c r="BC607" s="52">
        <f t="shared" si="282"/>
        <v>1</v>
      </c>
      <c r="BD607" s="52">
        <f t="shared" si="282"/>
        <v>1</v>
      </c>
      <c r="BE607" s="52">
        <f t="shared" si="282"/>
        <v>1</v>
      </c>
      <c r="BF607" s="52">
        <f t="shared" si="282"/>
        <v>1</v>
      </c>
      <c r="BG607" s="52">
        <f t="shared" si="282"/>
        <v>1</v>
      </c>
      <c r="BH607" s="52">
        <f t="shared" si="282"/>
        <v>1</v>
      </c>
      <c r="BI607" s="52">
        <f t="shared" si="282"/>
        <v>1</v>
      </c>
      <c r="BJ607" s="52">
        <f t="shared" si="282"/>
        <v>1</v>
      </c>
      <c r="BK607" s="52">
        <f t="shared" si="282"/>
        <v>1</v>
      </c>
      <c r="BL607" s="52">
        <f t="shared" si="282"/>
        <v>1</v>
      </c>
      <c r="BM607" s="52">
        <f t="shared" si="282"/>
        <v>1</v>
      </c>
      <c r="BN607" s="52">
        <f t="shared" si="282"/>
        <v>1</v>
      </c>
      <c r="BO607" s="32">
        <f t="shared" si="273"/>
        <v>0.2711864406779661</v>
      </c>
    </row>
    <row r="608" spans="1:67" x14ac:dyDescent="0.2">
      <c r="A608" s="50" t="s">
        <v>1224</v>
      </c>
      <c r="B608" s="50" t="s">
        <v>1225</v>
      </c>
      <c r="C608" s="50" t="s">
        <v>111</v>
      </c>
      <c r="D608" s="51">
        <f>VLOOKUP(A608,'[1]Cuadro Control'!C652:J2538,8,FALSE)</f>
        <v>94303618.549411759</v>
      </c>
      <c r="E608" s="52">
        <f t="shared" si="281"/>
        <v>1.7763397864110998E-2</v>
      </c>
      <c r="F608" s="53">
        <v>46513</v>
      </c>
      <c r="G608" s="53">
        <v>46515</v>
      </c>
      <c r="H608" s="52">
        <f t="shared" si="282"/>
        <v>0</v>
      </c>
      <c r="I608" s="52">
        <f t="shared" si="282"/>
        <v>0</v>
      </c>
      <c r="J608" s="52">
        <f t="shared" si="282"/>
        <v>0</v>
      </c>
      <c r="K608" s="52">
        <f t="shared" si="282"/>
        <v>0</v>
      </c>
      <c r="L608" s="52">
        <f t="shared" si="282"/>
        <v>0</v>
      </c>
      <c r="M608" s="52">
        <f t="shared" si="282"/>
        <v>0</v>
      </c>
      <c r="N608" s="52">
        <f t="shared" si="282"/>
        <v>0</v>
      </c>
      <c r="O608" s="52">
        <f t="shared" si="282"/>
        <v>0</v>
      </c>
      <c r="P608" s="52">
        <f t="shared" si="282"/>
        <v>0</v>
      </c>
      <c r="Q608" s="52">
        <f t="shared" si="282"/>
        <v>0</v>
      </c>
      <c r="R608" s="52">
        <f t="shared" si="282"/>
        <v>0</v>
      </c>
      <c r="S608" s="52">
        <f t="shared" si="282"/>
        <v>0</v>
      </c>
      <c r="T608" s="52">
        <f t="shared" si="282"/>
        <v>0</v>
      </c>
      <c r="U608" s="52">
        <f t="shared" si="282"/>
        <v>0</v>
      </c>
      <c r="V608" s="52">
        <f t="shared" si="282"/>
        <v>0</v>
      </c>
      <c r="W608" s="52">
        <f t="shared" si="282"/>
        <v>0</v>
      </c>
      <c r="X608" s="52">
        <f t="shared" si="282"/>
        <v>0</v>
      </c>
      <c r="Y608" s="52">
        <f t="shared" si="282"/>
        <v>0</v>
      </c>
      <c r="Z608" s="52">
        <f t="shared" si="282"/>
        <v>0</v>
      </c>
      <c r="AA608" s="52">
        <f t="shared" ref="AA608:BF619" si="283">IF($F608=0,0,IF(AA$6&lt;$F608,0,IF(AA$6&gt;$G608,1,(AA$6-$F608+1)/($G608-$F608+1))))</f>
        <v>0</v>
      </c>
      <c r="AB608" s="52">
        <f t="shared" si="283"/>
        <v>0</v>
      </c>
      <c r="AC608" s="52">
        <f t="shared" si="283"/>
        <v>0</v>
      </c>
      <c r="AD608" s="52">
        <f t="shared" si="283"/>
        <v>0</v>
      </c>
      <c r="AE608" s="52">
        <f t="shared" si="283"/>
        <v>0</v>
      </c>
      <c r="AF608" s="52">
        <f t="shared" si="283"/>
        <v>0</v>
      </c>
      <c r="AG608" s="52">
        <f t="shared" si="283"/>
        <v>0</v>
      </c>
      <c r="AH608" s="52">
        <f t="shared" si="283"/>
        <v>0</v>
      </c>
      <c r="AI608" s="52">
        <f t="shared" si="283"/>
        <v>0</v>
      </c>
      <c r="AJ608" s="52">
        <f t="shared" si="283"/>
        <v>0</v>
      </c>
      <c r="AK608" s="52">
        <f t="shared" si="283"/>
        <v>0</v>
      </c>
      <c r="AL608" s="52">
        <f t="shared" si="283"/>
        <v>0</v>
      </c>
      <c r="AM608" s="52">
        <f t="shared" si="283"/>
        <v>0</v>
      </c>
      <c r="AN608" s="52">
        <f t="shared" si="283"/>
        <v>0</v>
      </c>
      <c r="AO608" s="52">
        <f t="shared" si="283"/>
        <v>0</v>
      </c>
      <c r="AP608" s="52">
        <f t="shared" si="283"/>
        <v>0</v>
      </c>
      <c r="AQ608" s="52">
        <f t="shared" si="283"/>
        <v>0</v>
      </c>
      <c r="AR608" s="52">
        <f t="shared" si="283"/>
        <v>0</v>
      </c>
      <c r="AS608" s="52">
        <f t="shared" si="283"/>
        <v>0</v>
      </c>
      <c r="AT608" s="52">
        <f t="shared" si="283"/>
        <v>0</v>
      </c>
      <c r="AU608" s="52">
        <f t="shared" si="283"/>
        <v>0</v>
      </c>
      <c r="AV608" s="52">
        <f t="shared" si="283"/>
        <v>0</v>
      </c>
      <c r="AW608" s="52">
        <f t="shared" si="283"/>
        <v>0</v>
      </c>
      <c r="AX608" s="52">
        <f t="shared" si="283"/>
        <v>0</v>
      </c>
      <c r="AY608" s="52">
        <f t="shared" si="283"/>
        <v>0.66666666666666663</v>
      </c>
      <c r="AZ608" s="52">
        <f t="shared" si="283"/>
        <v>1</v>
      </c>
      <c r="BA608" s="52">
        <f t="shared" si="283"/>
        <v>1</v>
      </c>
      <c r="BB608" s="52">
        <f t="shared" si="283"/>
        <v>1</v>
      </c>
      <c r="BC608" s="52">
        <f t="shared" si="283"/>
        <v>1</v>
      </c>
      <c r="BD608" s="52">
        <f t="shared" si="283"/>
        <v>1</v>
      </c>
      <c r="BE608" s="52">
        <f t="shared" si="283"/>
        <v>1</v>
      </c>
      <c r="BF608" s="52">
        <f t="shared" si="283"/>
        <v>1</v>
      </c>
      <c r="BG608" s="52">
        <f t="shared" ref="BG608:BN619" si="284">IF($F608=0,0,IF(BG$6&lt;$F608,0,IF(BG$6&gt;$G608,1,(BG$6-$F608+1)/($G608-$F608+1))))</f>
        <v>1</v>
      </c>
      <c r="BH608" s="52">
        <f t="shared" si="284"/>
        <v>1</v>
      </c>
      <c r="BI608" s="52">
        <f t="shared" si="284"/>
        <v>1</v>
      </c>
      <c r="BJ608" s="52">
        <f t="shared" si="284"/>
        <v>1</v>
      </c>
      <c r="BK608" s="52">
        <f t="shared" si="284"/>
        <v>1</v>
      </c>
      <c r="BL608" s="52">
        <f t="shared" si="284"/>
        <v>1</v>
      </c>
      <c r="BM608" s="52">
        <f t="shared" si="284"/>
        <v>1</v>
      </c>
      <c r="BN608" s="52">
        <f t="shared" si="284"/>
        <v>1</v>
      </c>
      <c r="BO608" s="32">
        <f t="shared" si="273"/>
        <v>0.2655367231638418</v>
      </c>
    </row>
    <row r="609" spans="1:67" x14ac:dyDescent="0.2">
      <c r="A609" s="50" t="s">
        <v>1226</v>
      </c>
      <c r="B609" s="50" t="s">
        <v>1227</v>
      </c>
      <c r="C609" s="50" t="s">
        <v>238</v>
      </c>
      <c r="D609" s="51">
        <f>VLOOKUP(A609,'[1]Cuadro Control'!C653:J2539,8,FALSE)</f>
        <v>179436034.15411764</v>
      </c>
      <c r="E609" s="52">
        <f t="shared" si="281"/>
        <v>3.3799272126209236E-2</v>
      </c>
      <c r="F609" s="53">
        <v>46515</v>
      </c>
      <c r="G609" s="53">
        <v>46521</v>
      </c>
      <c r="H609" s="52">
        <f t="shared" ref="H609:W619" si="285">IF($F609=0,0,IF(H$6&lt;$F609,0,IF(H$6&gt;$G609,1,(H$6-$F609+1)/($G609-$F609+1))))</f>
        <v>0</v>
      </c>
      <c r="I609" s="52">
        <f t="shared" si="285"/>
        <v>0</v>
      </c>
      <c r="J609" s="52">
        <f t="shared" si="285"/>
        <v>0</v>
      </c>
      <c r="K609" s="52">
        <f t="shared" si="285"/>
        <v>0</v>
      </c>
      <c r="L609" s="52">
        <f t="shared" si="285"/>
        <v>0</v>
      </c>
      <c r="M609" s="52">
        <f t="shared" si="285"/>
        <v>0</v>
      </c>
      <c r="N609" s="52">
        <f t="shared" si="285"/>
        <v>0</v>
      </c>
      <c r="O609" s="52">
        <f t="shared" si="285"/>
        <v>0</v>
      </c>
      <c r="P609" s="52">
        <f t="shared" si="285"/>
        <v>0</v>
      </c>
      <c r="Q609" s="52">
        <f t="shared" si="285"/>
        <v>0</v>
      </c>
      <c r="R609" s="52">
        <f t="shared" si="285"/>
        <v>0</v>
      </c>
      <c r="S609" s="52">
        <f t="shared" si="285"/>
        <v>0</v>
      </c>
      <c r="T609" s="52">
        <f t="shared" si="285"/>
        <v>0</v>
      </c>
      <c r="U609" s="52">
        <f t="shared" si="285"/>
        <v>0</v>
      </c>
      <c r="V609" s="52">
        <f t="shared" si="285"/>
        <v>0</v>
      </c>
      <c r="W609" s="52">
        <f t="shared" si="285"/>
        <v>0</v>
      </c>
      <c r="X609" s="52">
        <f t="shared" ref="X609:BC619" si="286">IF($F609=0,0,IF(X$6&lt;$F609,0,IF(X$6&gt;$G609,1,(X$6-$F609+1)/($G609-$F609+1))))</f>
        <v>0</v>
      </c>
      <c r="Y609" s="52">
        <f t="shared" si="286"/>
        <v>0</v>
      </c>
      <c r="Z609" s="52">
        <f t="shared" si="286"/>
        <v>0</v>
      </c>
      <c r="AA609" s="52">
        <f t="shared" si="286"/>
        <v>0</v>
      </c>
      <c r="AB609" s="52">
        <f t="shared" si="286"/>
        <v>0</v>
      </c>
      <c r="AC609" s="52">
        <f t="shared" si="286"/>
        <v>0</v>
      </c>
      <c r="AD609" s="52">
        <f t="shared" si="286"/>
        <v>0</v>
      </c>
      <c r="AE609" s="52">
        <f t="shared" si="286"/>
        <v>0</v>
      </c>
      <c r="AF609" s="52">
        <f t="shared" si="286"/>
        <v>0</v>
      </c>
      <c r="AG609" s="52">
        <f t="shared" si="286"/>
        <v>0</v>
      </c>
      <c r="AH609" s="52">
        <f t="shared" si="286"/>
        <v>0</v>
      </c>
      <c r="AI609" s="52">
        <f t="shared" si="286"/>
        <v>0</v>
      </c>
      <c r="AJ609" s="52">
        <f t="shared" si="286"/>
        <v>0</v>
      </c>
      <c r="AK609" s="52">
        <f t="shared" si="286"/>
        <v>0</v>
      </c>
      <c r="AL609" s="52">
        <f t="shared" si="286"/>
        <v>0</v>
      </c>
      <c r="AM609" s="52">
        <f t="shared" si="286"/>
        <v>0</v>
      </c>
      <c r="AN609" s="52">
        <f t="shared" si="286"/>
        <v>0</v>
      </c>
      <c r="AO609" s="52">
        <f t="shared" si="283"/>
        <v>0</v>
      </c>
      <c r="AP609" s="52">
        <f t="shared" si="283"/>
        <v>0</v>
      </c>
      <c r="AQ609" s="52">
        <f t="shared" si="283"/>
        <v>0</v>
      </c>
      <c r="AR609" s="52">
        <f t="shared" si="283"/>
        <v>0</v>
      </c>
      <c r="AS609" s="52">
        <f t="shared" si="283"/>
        <v>0</v>
      </c>
      <c r="AT609" s="52">
        <f t="shared" si="283"/>
        <v>0</v>
      </c>
      <c r="AU609" s="52">
        <f t="shared" si="283"/>
        <v>0</v>
      </c>
      <c r="AV609" s="52">
        <f t="shared" si="283"/>
        <v>0</v>
      </c>
      <c r="AW609" s="52">
        <f t="shared" si="283"/>
        <v>0</v>
      </c>
      <c r="AX609" s="52">
        <f t="shared" si="283"/>
        <v>0</v>
      </c>
      <c r="AY609" s="52">
        <f t="shared" si="283"/>
        <v>0</v>
      </c>
      <c r="AZ609" s="52">
        <f t="shared" si="283"/>
        <v>1</v>
      </c>
      <c r="BA609" s="52">
        <f t="shared" si="283"/>
        <v>1</v>
      </c>
      <c r="BB609" s="52">
        <f t="shared" si="283"/>
        <v>1</v>
      </c>
      <c r="BC609" s="52">
        <f t="shared" si="283"/>
        <v>1</v>
      </c>
      <c r="BD609" s="52">
        <f t="shared" si="283"/>
        <v>1</v>
      </c>
      <c r="BE609" s="52">
        <f t="shared" si="283"/>
        <v>1</v>
      </c>
      <c r="BF609" s="52">
        <f t="shared" si="283"/>
        <v>1</v>
      </c>
      <c r="BG609" s="52">
        <f t="shared" si="284"/>
        <v>1</v>
      </c>
      <c r="BH609" s="52">
        <f t="shared" si="284"/>
        <v>1</v>
      </c>
      <c r="BI609" s="52">
        <f t="shared" si="284"/>
        <v>1</v>
      </c>
      <c r="BJ609" s="52">
        <f t="shared" si="284"/>
        <v>1</v>
      </c>
      <c r="BK609" s="52">
        <f t="shared" si="284"/>
        <v>1</v>
      </c>
      <c r="BL609" s="52">
        <f t="shared" si="284"/>
        <v>1</v>
      </c>
      <c r="BM609" s="52">
        <f t="shared" si="284"/>
        <v>1</v>
      </c>
      <c r="BN609" s="52">
        <f t="shared" si="284"/>
        <v>1</v>
      </c>
      <c r="BO609" s="32">
        <f t="shared" si="273"/>
        <v>0.25423728813559321</v>
      </c>
    </row>
    <row r="610" spans="1:67" x14ac:dyDescent="0.2">
      <c r="A610" s="50" t="s">
        <v>1228</v>
      </c>
      <c r="B610" s="50" t="s">
        <v>1229</v>
      </c>
      <c r="C610" s="50" t="s">
        <v>58</v>
      </c>
      <c r="D610" s="51">
        <f>VLOOKUP(A610,'[1]Cuadro Control'!C654:J2540,8,FALSE)</f>
        <v>1212623361.2117648</v>
      </c>
      <c r="E610" s="52">
        <f t="shared" si="281"/>
        <v>0.22841447185013161</v>
      </c>
      <c r="F610" s="53">
        <v>46521</v>
      </c>
      <c r="G610" s="53">
        <v>46539</v>
      </c>
      <c r="H610" s="52">
        <f t="shared" si="285"/>
        <v>0</v>
      </c>
      <c r="I610" s="52">
        <f t="shared" si="285"/>
        <v>0</v>
      </c>
      <c r="J610" s="52">
        <f t="shared" si="285"/>
        <v>0</v>
      </c>
      <c r="K610" s="52">
        <f t="shared" si="285"/>
        <v>0</v>
      </c>
      <c r="L610" s="52">
        <f t="shared" si="285"/>
        <v>0</v>
      </c>
      <c r="M610" s="52">
        <f t="shared" si="285"/>
        <v>0</v>
      </c>
      <c r="N610" s="52">
        <f t="shared" si="285"/>
        <v>0</v>
      </c>
      <c r="O610" s="52">
        <f t="shared" si="285"/>
        <v>0</v>
      </c>
      <c r="P610" s="52">
        <f t="shared" si="285"/>
        <v>0</v>
      </c>
      <c r="Q610" s="52">
        <f t="shared" si="285"/>
        <v>0</v>
      </c>
      <c r="R610" s="52">
        <f t="shared" si="285"/>
        <v>0</v>
      </c>
      <c r="S610" s="52">
        <f t="shared" si="285"/>
        <v>0</v>
      </c>
      <c r="T610" s="52">
        <f t="shared" si="285"/>
        <v>0</v>
      </c>
      <c r="U610" s="52">
        <f t="shared" si="285"/>
        <v>0</v>
      </c>
      <c r="V610" s="52">
        <f t="shared" si="285"/>
        <v>0</v>
      </c>
      <c r="W610" s="52">
        <f t="shared" si="285"/>
        <v>0</v>
      </c>
      <c r="X610" s="52">
        <f t="shared" si="286"/>
        <v>0</v>
      </c>
      <c r="Y610" s="52">
        <f t="shared" si="286"/>
        <v>0</v>
      </c>
      <c r="Z610" s="52">
        <f t="shared" si="286"/>
        <v>0</v>
      </c>
      <c r="AA610" s="52">
        <f t="shared" si="286"/>
        <v>0</v>
      </c>
      <c r="AB610" s="52">
        <f t="shared" si="286"/>
        <v>0</v>
      </c>
      <c r="AC610" s="52">
        <f t="shared" si="286"/>
        <v>0</v>
      </c>
      <c r="AD610" s="52">
        <f t="shared" si="286"/>
        <v>0</v>
      </c>
      <c r="AE610" s="52">
        <f t="shared" si="286"/>
        <v>0</v>
      </c>
      <c r="AF610" s="52">
        <f t="shared" si="286"/>
        <v>0</v>
      </c>
      <c r="AG610" s="52">
        <f t="shared" si="286"/>
        <v>0</v>
      </c>
      <c r="AH610" s="52">
        <f t="shared" si="286"/>
        <v>0</v>
      </c>
      <c r="AI610" s="52">
        <f t="shared" si="286"/>
        <v>0</v>
      </c>
      <c r="AJ610" s="52">
        <f t="shared" si="286"/>
        <v>0</v>
      </c>
      <c r="AK610" s="52">
        <f t="shared" si="286"/>
        <v>0</v>
      </c>
      <c r="AL610" s="52">
        <f t="shared" si="286"/>
        <v>0</v>
      </c>
      <c r="AM610" s="52">
        <f t="shared" si="286"/>
        <v>0</v>
      </c>
      <c r="AN610" s="52">
        <f t="shared" si="286"/>
        <v>0</v>
      </c>
      <c r="AO610" s="52">
        <f t="shared" si="283"/>
        <v>0</v>
      </c>
      <c r="AP610" s="52">
        <f t="shared" si="283"/>
        <v>0</v>
      </c>
      <c r="AQ610" s="52">
        <f t="shared" si="283"/>
        <v>0</v>
      </c>
      <c r="AR610" s="52">
        <f t="shared" si="283"/>
        <v>0</v>
      </c>
      <c r="AS610" s="52">
        <f t="shared" si="283"/>
        <v>0</v>
      </c>
      <c r="AT610" s="52">
        <f t="shared" si="283"/>
        <v>0</v>
      </c>
      <c r="AU610" s="52">
        <f t="shared" si="283"/>
        <v>0</v>
      </c>
      <c r="AV610" s="52">
        <f t="shared" si="283"/>
        <v>0</v>
      </c>
      <c r="AW610" s="52">
        <f t="shared" si="283"/>
        <v>0</v>
      </c>
      <c r="AX610" s="52">
        <f t="shared" si="283"/>
        <v>0</v>
      </c>
      <c r="AY610" s="52">
        <f t="shared" si="283"/>
        <v>0</v>
      </c>
      <c r="AZ610" s="52">
        <f t="shared" si="283"/>
        <v>5.2631578947368418E-2</v>
      </c>
      <c r="BA610" s="52">
        <f t="shared" si="283"/>
        <v>0.42105263157894735</v>
      </c>
      <c r="BB610" s="52">
        <f t="shared" si="283"/>
        <v>0.78947368421052633</v>
      </c>
      <c r="BC610" s="52">
        <f t="shared" si="283"/>
        <v>1</v>
      </c>
      <c r="BD610" s="52">
        <f t="shared" si="283"/>
        <v>1</v>
      </c>
      <c r="BE610" s="52">
        <f t="shared" si="283"/>
        <v>1</v>
      </c>
      <c r="BF610" s="52">
        <f t="shared" si="283"/>
        <v>1</v>
      </c>
      <c r="BG610" s="52">
        <f t="shared" si="284"/>
        <v>1</v>
      </c>
      <c r="BH610" s="52">
        <f t="shared" si="284"/>
        <v>1</v>
      </c>
      <c r="BI610" s="52">
        <f t="shared" si="284"/>
        <v>1</v>
      </c>
      <c r="BJ610" s="52">
        <f t="shared" si="284"/>
        <v>1</v>
      </c>
      <c r="BK610" s="52">
        <f t="shared" si="284"/>
        <v>1</v>
      </c>
      <c r="BL610" s="52">
        <f t="shared" si="284"/>
        <v>1</v>
      </c>
      <c r="BM610" s="52">
        <f t="shared" si="284"/>
        <v>1</v>
      </c>
      <c r="BN610" s="52">
        <f t="shared" si="284"/>
        <v>1</v>
      </c>
      <c r="BO610" s="32">
        <f t="shared" si="273"/>
        <v>0.22479928635147189</v>
      </c>
    </row>
    <row r="611" spans="1:67" x14ac:dyDescent="0.2">
      <c r="A611" s="50" t="s">
        <v>1230</v>
      </c>
      <c r="B611" s="50" t="s">
        <v>1231</v>
      </c>
      <c r="C611" s="50" t="s">
        <v>126</v>
      </c>
      <c r="D611" s="51">
        <f>VLOOKUP(A611,'[1]Cuadro Control'!C655:J2541,8,FALSE)</f>
        <v>0</v>
      </c>
      <c r="E611" s="52">
        <f t="shared" si="281"/>
        <v>0</v>
      </c>
      <c r="F611" s="53">
        <v>46539</v>
      </c>
      <c r="G611" s="53">
        <v>46542</v>
      </c>
      <c r="H611" s="52">
        <f t="shared" si="285"/>
        <v>0</v>
      </c>
      <c r="I611" s="52">
        <f t="shared" si="285"/>
        <v>0</v>
      </c>
      <c r="J611" s="52">
        <f t="shared" si="285"/>
        <v>0</v>
      </c>
      <c r="K611" s="52">
        <f t="shared" si="285"/>
        <v>0</v>
      </c>
      <c r="L611" s="52">
        <f t="shared" si="285"/>
        <v>0</v>
      </c>
      <c r="M611" s="52">
        <f t="shared" si="285"/>
        <v>0</v>
      </c>
      <c r="N611" s="52">
        <f t="shared" si="285"/>
        <v>0</v>
      </c>
      <c r="O611" s="52">
        <f t="shared" si="285"/>
        <v>0</v>
      </c>
      <c r="P611" s="52">
        <f t="shared" si="285"/>
        <v>0</v>
      </c>
      <c r="Q611" s="52">
        <f t="shared" si="285"/>
        <v>0</v>
      </c>
      <c r="R611" s="52">
        <f t="shared" si="285"/>
        <v>0</v>
      </c>
      <c r="S611" s="52">
        <f t="shared" si="285"/>
        <v>0</v>
      </c>
      <c r="T611" s="52">
        <f t="shared" si="285"/>
        <v>0</v>
      </c>
      <c r="U611" s="52">
        <f t="shared" si="285"/>
        <v>0</v>
      </c>
      <c r="V611" s="52">
        <f t="shared" si="285"/>
        <v>0</v>
      </c>
      <c r="W611" s="52">
        <f t="shared" si="285"/>
        <v>0</v>
      </c>
      <c r="X611" s="52">
        <f t="shared" si="286"/>
        <v>0</v>
      </c>
      <c r="Y611" s="52">
        <f t="shared" si="286"/>
        <v>0</v>
      </c>
      <c r="Z611" s="52">
        <f t="shared" si="286"/>
        <v>0</v>
      </c>
      <c r="AA611" s="52">
        <f t="shared" si="286"/>
        <v>0</v>
      </c>
      <c r="AB611" s="52">
        <f t="shared" si="286"/>
        <v>0</v>
      </c>
      <c r="AC611" s="52">
        <f t="shared" si="286"/>
        <v>0</v>
      </c>
      <c r="AD611" s="52">
        <f t="shared" si="286"/>
        <v>0</v>
      </c>
      <c r="AE611" s="52">
        <f t="shared" si="286"/>
        <v>0</v>
      </c>
      <c r="AF611" s="52">
        <f t="shared" si="286"/>
        <v>0</v>
      </c>
      <c r="AG611" s="52">
        <f t="shared" si="286"/>
        <v>0</v>
      </c>
      <c r="AH611" s="52">
        <f t="shared" si="286"/>
        <v>0</v>
      </c>
      <c r="AI611" s="52">
        <f t="shared" si="286"/>
        <v>0</v>
      </c>
      <c r="AJ611" s="52">
        <f t="shared" si="286"/>
        <v>0</v>
      </c>
      <c r="AK611" s="52">
        <f t="shared" si="286"/>
        <v>0</v>
      </c>
      <c r="AL611" s="52">
        <f t="shared" si="286"/>
        <v>0</v>
      </c>
      <c r="AM611" s="52">
        <f t="shared" si="286"/>
        <v>0</v>
      </c>
      <c r="AN611" s="52">
        <f t="shared" si="286"/>
        <v>0</v>
      </c>
      <c r="AO611" s="52">
        <f t="shared" si="283"/>
        <v>0</v>
      </c>
      <c r="AP611" s="52">
        <f t="shared" si="283"/>
        <v>0</v>
      </c>
      <c r="AQ611" s="52">
        <f t="shared" si="283"/>
        <v>0</v>
      </c>
      <c r="AR611" s="52">
        <f t="shared" si="283"/>
        <v>0</v>
      </c>
      <c r="AS611" s="52">
        <f t="shared" si="283"/>
        <v>0</v>
      </c>
      <c r="AT611" s="52">
        <f t="shared" si="283"/>
        <v>0</v>
      </c>
      <c r="AU611" s="52">
        <f t="shared" si="283"/>
        <v>0</v>
      </c>
      <c r="AV611" s="52">
        <f t="shared" si="283"/>
        <v>0</v>
      </c>
      <c r="AW611" s="52">
        <f t="shared" si="283"/>
        <v>0</v>
      </c>
      <c r="AX611" s="52">
        <f t="shared" si="283"/>
        <v>0</v>
      </c>
      <c r="AY611" s="52">
        <f t="shared" si="283"/>
        <v>0</v>
      </c>
      <c r="AZ611" s="52">
        <f t="shared" si="283"/>
        <v>0</v>
      </c>
      <c r="BA611" s="52">
        <f t="shared" si="283"/>
        <v>0</v>
      </c>
      <c r="BB611" s="52">
        <f t="shared" si="283"/>
        <v>0</v>
      </c>
      <c r="BC611" s="52">
        <f t="shared" si="283"/>
        <v>1</v>
      </c>
      <c r="BD611" s="52">
        <f t="shared" si="283"/>
        <v>1</v>
      </c>
      <c r="BE611" s="52">
        <f t="shared" si="283"/>
        <v>1</v>
      </c>
      <c r="BF611" s="52">
        <f t="shared" si="283"/>
        <v>1</v>
      </c>
      <c r="BG611" s="52">
        <f t="shared" si="284"/>
        <v>1</v>
      </c>
      <c r="BH611" s="52">
        <f t="shared" si="284"/>
        <v>1</v>
      </c>
      <c r="BI611" s="52">
        <f t="shared" si="284"/>
        <v>1</v>
      </c>
      <c r="BJ611" s="52">
        <f t="shared" si="284"/>
        <v>1</v>
      </c>
      <c r="BK611" s="52">
        <f t="shared" si="284"/>
        <v>1</v>
      </c>
      <c r="BL611" s="52">
        <f t="shared" si="284"/>
        <v>1</v>
      </c>
      <c r="BM611" s="52">
        <f t="shared" si="284"/>
        <v>1</v>
      </c>
      <c r="BN611" s="52">
        <f t="shared" si="284"/>
        <v>1</v>
      </c>
      <c r="BO611" s="32">
        <f t="shared" si="273"/>
        <v>0.20338983050847459</v>
      </c>
    </row>
    <row r="612" spans="1:67" ht="24" x14ac:dyDescent="0.2">
      <c r="A612" s="55" t="s">
        <v>1232</v>
      </c>
      <c r="B612" s="55" t="s">
        <v>1233</v>
      </c>
      <c r="C612" s="55" t="s">
        <v>14</v>
      </c>
      <c r="D612" s="56">
        <f>VLOOKUP(A612,'[1]Cuadro Control'!C656:J2542,8,FALSE)</f>
        <v>0</v>
      </c>
      <c r="E612" s="57">
        <f t="shared" si="281"/>
        <v>0</v>
      </c>
      <c r="F612" s="58">
        <v>46539</v>
      </c>
      <c r="G612" s="58">
        <v>46539</v>
      </c>
      <c r="H612" s="57">
        <f t="shared" si="285"/>
        <v>0</v>
      </c>
      <c r="I612" s="57">
        <f t="shared" si="285"/>
        <v>0</v>
      </c>
      <c r="J612" s="57">
        <f t="shared" si="285"/>
        <v>0</v>
      </c>
      <c r="K612" s="57">
        <f t="shared" si="285"/>
        <v>0</v>
      </c>
      <c r="L612" s="57">
        <f t="shared" si="285"/>
        <v>0</v>
      </c>
      <c r="M612" s="57">
        <f t="shared" si="285"/>
        <v>0</v>
      </c>
      <c r="N612" s="57">
        <f t="shared" si="285"/>
        <v>0</v>
      </c>
      <c r="O612" s="57">
        <f t="shared" si="285"/>
        <v>0</v>
      </c>
      <c r="P612" s="57">
        <f t="shared" si="285"/>
        <v>0</v>
      </c>
      <c r="Q612" s="57">
        <f t="shared" si="285"/>
        <v>0</v>
      </c>
      <c r="R612" s="57">
        <f t="shared" si="285"/>
        <v>0</v>
      </c>
      <c r="S612" s="57">
        <f t="shared" si="285"/>
        <v>0</v>
      </c>
      <c r="T612" s="57">
        <f t="shared" si="285"/>
        <v>0</v>
      </c>
      <c r="U612" s="57">
        <f t="shared" si="285"/>
        <v>0</v>
      </c>
      <c r="V612" s="57">
        <f t="shared" si="285"/>
        <v>0</v>
      </c>
      <c r="W612" s="57">
        <f t="shared" si="285"/>
        <v>0</v>
      </c>
      <c r="X612" s="57">
        <f t="shared" si="286"/>
        <v>0</v>
      </c>
      <c r="Y612" s="57">
        <f t="shared" si="286"/>
        <v>0</v>
      </c>
      <c r="Z612" s="57">
        <f t="shared" si="286"/>
        <v>0</v>
      </c>
      <c r="AA612" s="57">
        <f t="shared" si="286"/>
        <v>0</v>
      </c>
      <c r="AB612" s="57">
        <f t="shared" si="286"/>
        <v>0</v>
      </c>
      <c r="AC612" s="57">
        <f t="shared" si="286"/>
        <v>0</v>
      </c>
      <c r="AD612" s="57">
        <f t="shared" si="286"/>
        <v>0</v>
      </c>
      <c r="AE612" s="57">
        <f t="shared" si="286"/>
        <v>0</v>
      </c>
      <c r="AF612" s="57">
        <f t="shared" si="286"/>
        <v>0</v>
      </c>
      <c r="AG612" s="57">
        <f t="shared" si="286"/>
        <v>0</v>
      </c>
      <c r="AH612" s="57">
        <f t="shared" si="286"/>
        <v>0</v>
      </c>
      <c r="AI612" s="57">
        <f t="shared" si="286"/>
        <v>0</v>
      </c>
      <c r="AJ612" s="57">
        <f t="shared" si="286"/>
        <v>0</v>
      </c>
      <c r="AK612" s="57">
        <f t="shared" si="286"/>
        <v>0</v>
      </c>
      <c r="AL612" s="57">
        <f t="shared" si="286"/>
        <v>0</v>
      </c>
      <c r="AM612" s="57">
        <f t="shared" si="286"/>
        <v>0</v>
      </c>
      <c r="AN612" s="57">
        <f t="shared" si="286"/>
        <v>0</v>
      </c>
      <c r="AO612" s="57">
        <f t="shared" si="283"/>
        <v>0</v>
      </c>
      <c r="AP612" s="57">
        <f t="shared" si="283"/>
        <v>0</v>
      </c>
      <c r="AQ612" s="57">
        <f t="shared" si="283"/>
        <v>0</v>
      </c>
      <c r="AR612" s="57">
        <f t="shared" si="283"/>
        <v>0</v>
      </c>
      <c r="AS612" s="57">
        <f t="shared" si="283"/>
        <v>0</v>
      </c>
      <c r="AT612" s="57">
        <f t="shared" si="283"/>
        <v>0</v>
      </c>
      <c r="AU612" s="57">
        <f t="shared" si="283"/>
        <v>0</v>
      </c>
      <c r="AV612" s="57">
        <f t="shared" si="283"/>
        <v>0</v>
      </c>
      <c r="AW612" s="57">
        <f t="shared" si="283"/>
        <v>0</v>
      </c>
      <c r="AX612" s="57">
        <f t="shared" si="283"/>
        <v>0</v>
      </c>
      <c r="AY612" s="57">
        <f t="shared" si="283"/>
        <v>0</v>
      </c>
      <c r="AZ612" s="57">
        <f t="shared" si="283"/>
        <v>0</v>
      </c>
      <c r="BA612" s="57">
        <f t="shared" si="283"/>
        <v>0</v>
      </c>
      <c r="BB612" s="57">
        <f t="shared" si="283"/>
        <v>0</v>
      </c>
      <c r="BC612" s="57">
        <f t="shared" si="283"/>
        <v>1</v>
      </c>
      <c r="BD612" s="57">
        <f t="shared" si="283"/>
        <v>1</v>
      </c>
      <c r="BE612" s="57">
        <f t="shared" si="283"/>
        <v>1</v>
      </c>
      <c r="BF612" s="57">
        <f t="shared" si="283"/>
        <v>1</v>
      </c>
      <c r="BG612" s="57">
        <f t="shared" si="284"/>
        <v>1</v>
      </c>
      <c r="BH612" s="57">
        <f t="shared" si="284"/>
        <v>1</v>
      </c>
      <c r="BI612" s="57">
        <f t="shared" si="284"/>
        <v>1</v>
      </c>
      <c r="BJ612" s="57">
        <f t="shared" si="284"/>
        <v>1</v>
      </c>
      <c r="BK612" s="57">
        <f t="shared" si="284"/>
        <v>1</v>
      </c>
      <c r="BL612" s="57">
        <f t="shared" si="284"/>
        <v>1</v>
      </c>
      <c r="BM612" s="57">
        <f t="shared" si="284"/>
        <v>1</v>
      </c>
      <c r="BN612" s="57">
        <f t="shared" si="284"/>
        <v>1</v>
      </c>
      <c r="BO612" s="32">
        <f t="shared" si="273"/>
        <v>0.20338983050847459</v>
      </c>
    </row>
    <row r="613" spans="1:67" x14ac:dyDescent="0.2">
      <c r="A613" s="50" t="s">
        <v>1234</v>
      </c>
      <c r="B613" s="50" t="s">
        <v>1235</v>
      </c>
      <c r="C613" s="50" t="s">
        <v>111</v>
      </c>
      <c r="D613" s="51">
        <f>VLOOKUP(A613,'[1]Cuadro Control'!C657:J2543,8,FALSE)</f>
        <v>1230815225.9452939</v>
      </c>
      <c r="E613" s="52">
        <f t="shared" si="281"/>
        <v>0.2318411625341423</v>
      </c>
      <c r="F613" s="53">
        <v>46542</v>
      </c>
      <c r="G613" s="53">
        <v>46542</v>
      </c>
      <c r="H613" s="52">
        <f t="shared" si="285"/>
        <v>0</v>
      </c>
      <c r="I613" s="52">
        <f t="shared" si="285"/>
        <v>0</v>
      </c>
      <c r="J613" s="52">
        <f t="shared" si="285"/>
        <v>0</v>
      </c>
      <c r="K613" s="52">
        <f t="shared" si="285"/>
        <v>0</v>
      </c>
      <c r="L613" s="52">
        <f t="shared" si="285"/>
        <v>0</v>
      </c>
      <c r="M613" s="52">
        <f t="shared" si="285"/>
        <v>0</v>
      </c>
      <c r="N613" s="52">
        <f t="shared" si="285"/>
        <v>0</v>
      </c>
      <c r="O613" s="52">
        <f t="shared" si="285"/>
        <v>0</v>
      </c>
      <c r="P613" s="52">
        <f t="shared" si="285"/>
        <v>0</v>
      </c>
      <c r="Q613" s="52">
        <f t="shared" si="285"/>
        <v>0</v>
      </c>
      <c r="R613" s="52">
        <f t="shared" si="285"/>
        <v>0</v>
      </c>
      <c r="S613" s="52">
        <f t="shared" si="285"/>
        <v>0</v>
      </c>
      <c r="T613" s="52">
        <f t="shared" si="285"/>
        <v>0</v>
      </c>
      <c r="U613" s="52">
        <f t="shared" si="285"/>
        <v>0</v>
      </c>
      <c r="V613" s="52">
        <f t="shared" si="285"/>
        <v>0</v>
      </c>
      <c r="W613" s="52">
        <f t="shared" si="285"/>
        <v>0</v>
      </c>
      <c r="X613" s="52">
        <f t="shared" si="286"/>
        <v>0</v>
      </c>
      <c r="Y613" s="52">
        <f t="shared" si="286"/>
        <v>0</v>
      </c>
      <c r="Z613" s="52">
        <f t="shared" si="286"/>
        <v>0</v>
      </c>
      <c r="AA613" s="52">
        <f t="shared" si="286"/>
        <v>0</v>
      </c>
      <c r="AB613" s="52">
        <f t="shared" si="286"/>
        <v>0</v>
      </c>
      <c r="AC613" s="52">
        <f t="shared" si="286"/>
        <v>0</v>
      </c>
      <c r="AD613" s="52">
        <f t="shared" si="286"/>
        <v>0</v>
      </c>
      <c r="AE613" s="52">
        <f t="shared" si="286"/>
        <v>0</v>
      </c>
      <c r="AF613" s="52">
        <f t="shared" si="286"/>
        <v>0</v>
      </c>
      <c r="AG613" s="52">
        <f t="shared" si="286"/>
        <v>0</v>
      </c>
      <c r="AH613" s="52">
        <f t="shared" si="286"/>
        <v>0</v>
      </c>
      <c r="AI613" s="52">
        <f t="shared" si="286"/>
        <v>0</v>
      </c>
      <c r="AJ613" s="52">
        <f t="shared" si="286"/>
        <v>0</v>
      </c>
      <c r="AK613" s="52">
        <f t="shared" si="286"/>
        <v>0</v>
      </c>
      <c r="AL613" s="52">
        <f t="shared" si="286"/>
        <v>0</v>
      </c>
      <c r="AM613" s="52">
        <f t="shared" si="286"/>
        <v>0</v>
      </c>
      <c r="AN613" s="52">
        <f t="shared" si="286"/>
        <v>0</v>
      </c>
      <c r="AO613" s="52">
        <f t="shared" si="283"/>
        <v>0</v>
      </c>
      <c r="AP613" s="52">
        <f t="shared" si="283"/>
        <v>0</v>
      </c>
      <c r="AQ613" s="52">
        <f t="shared" si="283"/>
        <v>0</v>
      </c>
      <c r="AR613" s="52">
        <f t="shared" si="283"/>
        <v>0</v>
      </c>
      <c r="AS613" s="52">
        <f t="shared" si="283"/>
        <v>0</v>
      </c>
      <c r="AT613" s="52">
        <f t="shared" si="283"/>
        <v>0</v>
      </c>
      <c r="AU613" s="52">
        <f t="shared" si="283"/>
        <v>0</v>
      </c>
      <c r="AV613" s="52">
        <f t="shared" si="283"/>
        <v>0</v>
      </c>
      <c r="AW613" s="52">
        <f t="shared" si="283"/>
        <v>0</v>
      </c>
      <c r="AX613" s="52">
        <f t="shared" si="283"/>
        <v>0</v>
      </c>
      <c r="AY613" s="52">
        <f t="shared" si="283"/>
        <v>0</v>
      </c>
      <c r="AZ613" s="52">
        <f t="shared" si="283"/>
        <v>0</v>
      </c>
      <c r="BA613" s="52">
        <f t="shared" si="283"/>
        <v>0</v>
      </c>
      <c r="BB613" s="52">
        <f t="shared" si="283"/>
        <v>0</v>
      </c>
      <c r="BC613" s="52">
        <f t="shared" si="283"/>
        <v>1</v>
      </c>
      <c r="BD613" s="52">
        <f t="shared" si="283"/>
        <v>1</v>
      </c>
      <c r="BE613" s="52">
        <f t="shared" si="283"/>
        <v>1</v>
      </c>
      <c r="BF613" s="52">
        <f t="shared" si="283"/>
        <v>1</v>
      </c>
      <c r="BG613" s="52">
        <f t="shared" si="284"/>
        <v>1</v>
      </c>
      <c r="BH613" s="52">
        <f t="shared" si="284"/>
        <v>1</v>
      </c>
      <c r="BI613" s="52">
        <f t="shared" si="284"/>
        <v>1</v>
      </c>
      <c r="BJ613" s="52">
        <f t="shared" si="284"/>
        <v>1</v>
      </c>
      <c r="BK613" s="52">
        <f t="shared" si="284"/>
        <v>1</v>
      </c>
      <c r="BL613" s="52">
        <f t="shared" si="284"/>
        <v>1</v>
      </c>
      <c r="BM613" s="52">
        <f t="shared" si="284"/>
        <v>1</v>
      </c>
      <c r="BN613" s="52">
        <f t="shared" si="284"/>
        <v>1</v>
      </c>
      <c r="BO613" s="32">
        <f t="shared" si="273"/>
        <v>0.20338983050847459</v>
      </c>
    </row>
    <row r="614" spans="1:67" x14ac:dyDescent="0.2">
      <c r="A614" s="50" t="s">
        <v>1236</v>
      </c>
      <c r="B614" s="50" t="s">
        <v>1237</v>
      </c>
      <c r="C614" s="50" t="s">
        <v>238</v>
      </c>
      <c r="D614" s="51">
        <f>VLOOKUP(A614,'[1]Cuadro Control'!C658:J2544,8,FALSE)</f>
        <v>0</v>
      </c>
      <c r="E614" s="52">
        <f t="shared" si="281"/>
        <v>0</v>
      </c>
      <c r="F614" s="53">
        <v>46543</v>
      </c>
      <c r="G614" s="53">
        <v>46552</v>
      </c>
      <c r="H614" s="52">
        <f t="shared" si="285"/>
        <v>0</v>
      </c>
      <c r="I614" s="52">
        <f t="shared" si="285"/>
        <v>0</v>
      </c>
      <c r="J614" s="52">
        <f t="shared" si="285"/>
        <v>0</v>
      </c>
      <c r="K614" s="52">
        <f t="shared" si="285"/>
        <v>0</v>
      </c>
      <c r="L614" s="52">
        <f t="shared" si="285"/>
        <v>0</v>
      </c>
      <c r="M614" s="52">
        <f t="shared" si="285"/>
        <v>0</v>
      </c>
      <c r="N614" s="52">
        <f t="shared" si="285"/>
        <v>0</v>
      </c>
      <c r="O614" s="52">
        <f t="shared" si="285"/>
        <v>0</v>
      </c>
      <c r="P614" s="52">
        <f t="shared" si="285"/>
        <v>0</v>
      </c>
      <c r="Q614" s="52">
        <f t="shared" si="285"/>
        <v>0</v>
      </c>
      <c r="R614" s="52">
        <f t="shared" si="285"/>
        <v>0</v>
      </c>
      <c r="S614" s="52">
        <f t="shared" si="285"/>
        <v>0</v>
      </c>
      <c r="T614" s="52">
        <f t="shared" si="285"/>
        <v>0</v>
      </c>
      <c r="U614" s="52">
        <f t="shared" si="285"/>
        <v>0</v>
      </c>
      <c r="V614" s="52">
        <f t="shared" si="285"/>
        <v>0</v>
      </c>
      <c r="W614" s="52">
        <f t="shared" si="285"/>
        <v>0</v>
      </c>
      <c r="X614" s="52">
        <f t="shared" si="286"/>
        <v>0</v>
      </c>
      <c r="Y614" s="52">
        <f t="shared" si="286"/>
        <v>0</v>
      </c>
      <c r="Z614" s="52">
        <f t="shared" si="286"/>
        <v>0</v>
      </c>
      <c r="AA614" s="52">
        <f t="shared" si="286"/>
        <v>0</v>
      </c>
      <c r="AB614" s="52">
        <f t="shared" si="286"/>
        <v>0</v>
      </c>
      <c r="AC614" s="52">
        <f t="shared" si="286"/>
        <v>0</v>
      </c>
      <c r="AD614" s="52">
        <f t="shared" si="286"/>
        <v>0</v>
      </c>
      <c r="AE614" s="52">
        <f t="shared" si="286"/>
        <v>0</v>
      </c>
      <c r="AF614" s="52">
        <f t="shared" si="286"/>
        <v>0</v>
      </c>
      <c r="AG614" s="52">
        <f t="shared" si="286"/>
        <v>0</v>
      </c>
      <c r="AH614" s="52">
        <f t="shared" si="286"/>
        <v>0</v>
      </c>
      <c r="AI614" s="52">
        <f t="shared" si="286"/>
        <v>0</v>
      </c>
      <c r="AJ614" s="52">
        <f t="shared" si="286"/>
        <v>0</v>
      </c>
      <c r="AK614" s="52">
        <f t="shared" si="286"/>
        <v>0</v>
      </c>
      <c r="AL614" s="52">
        <f t="shared" si="286"/>
        <v>0</v>
      </c>
      <c r="AM614" s="52">
        <f t="shared" si="286"/>
        <v>0</v>
      </c>
      <c r="AN614" s="52">
        <f t="shared" si="286"/>
        <v>0</v>
      </c>
      <c r="AO614" s="52">
        <f t="shared" si="283"/>
        <v>0</v>
      </c>
      <c r="AP614" s="52">
        <f t="shared" si="283"/>
        <v>0</v>
      </c>
      <c r="AQ614" s="52">
        <f t="shared" si="283"/>
        <v>0</v>
      </c>
      <c r="AR614" s="52">
        <f t="shared" si="283"/>
        <v>0</v>
      </c>
      <c r="AS614" s="52">
        <f t="shared" si="283"/>
        <v>0</v>
      </c>
      <c r="AT614" s="52">
        <f t="shared" si="283"/>
        <v>0</v>
      </c>
      <c r="AU614" s="52">
        <f t="shared" si="283"/>
        <v>0</v>
      </c>
      <c r="AV614" s="52">
        <f t="shared" si="283"/>
        <v>0</v>
      </c>
      <c r="AW614" s="52">
        <f t="shared" si="283"/>
        <v>0</v>
      </c>
      <c r="AX614" s="52">
        <f t="shared" si="283"/>
        <v>0</v>
      </c>
      <c r="AY614" s="52">
        <f t="shared" si="283"/>
        <v>0</v>
      </c>
      <c r="AZ614" s="52">
        <f t="shared" si="283"/>
        <v>0</v>
      </c>
      <c r="BA614" s="52">
        <f t="shared" si="283"/>
        <v>0</v>
      </c>
      <c r="BB614" s="52">
        <f t="shared" si="283"/>
        <v>0</v>
      </c>
      <c r="BC614" s="52">
        <f t="shared" si="283"/>
        <v>0</v>
      </c>
      <c r="BD614" s="52">
        <f t="shared" si="283"/>
        <v>0.7</v>
      </c>
      <c r="BE614" s="52">
        <f t="shared" si="283"/>
        <v>1</v>
      </c>
      <c r="BF614" s="52">
        <f t="shared" si="283"/>
        <v>1</v>
      </c>
      <c r="BG614" s="52">
        <f t="shared" si="284"/>
        <v>1</v>
      </c>
      <c r="BH614" s="52">
        <f t="shared" si="284"/>
        <v>1</v>
      </c>
      <c r="BI614" s="52">
        <f t="shared" si="284"/>
        <v>1</v>
      </c>
      <c r="BJ614" s="52">
        <f t="shared" si="284"/>
        <v>1</v>
      </c>
      <c r="BK614" s="52">
        <f t="shared" si="284"/>
        <v>1</v>
      </c>
      <c r="BL614" s="52">
        <f t="shared" si="284"/>
        <v>1</v>
      </c>
      <c r="BM614" s="52">
        <f t="shared" si="284"/>
        <v>1</v>
      </c>
      <c r="BN614" s="52">
        <f t="shared" si="284"/>
        <v>1</v>
      </c>
      <c r="BO614" s="32">
        <f t="shared" si="273"/>
        <v>0.18135593220338983</v>
      </c>
    </row>
    <row r="615" spans="1:67" ht="24" x14ac:dyDescent="0.2">
      <c r="A615" s="50" t="s">
        <v>1238</v>
      </c>
      <c r="B615" s="50" t="s">
        <v>1239</v>
      </c>
      <c r="C615" s="50" t="s">
        <v>126</v>
      </c>
      <c r="D615" s="51">
        <f>VLOOKUP(A615,'[1]Cuadro Control'!C659:J2545,8,FALSE)</f>
        <v>52736347.43270281</v>
      </c>
      <c r="E615" s="52">
        <f t="shared" si="281"/>
        <v>9.933624348213644E-3</v>
      </c>
      <c r="F615" s="53">
        <v>46552</v>
      </c>
      <c r="G615" s="53">
        <v>46554</v>
      </c>
      <c r="H615" s="52">
        <f t="shared" si="285"/>
        <v>0</v>
      </c>
      <c r="I615" s="52">
        <f t="shared" si="285"/>
        <v>0</v>
      </c>
      <c r="J615" s="52">
        <f t="shared" si="285"/>
        <v>0</v>
      </c>
      <c r="K615" s="52">
        <f t="shared" si="285"/>
        <v>0</v>
      </c>
      <c r="L615" s="52">
        <f t="shared" si="285"/>
        <v>0</v>
      </c>
      <c r="M615" s="52">
        <f t="shared" si="285"/>
        <v>0</v>
      </c>
      <c r="N615" s="52">
        <f t="shared" si="285"/>
        <v>0</v>
      </c>
      <c r="O615" s="52">
        <f t="shared" si="285"/>
        <v>0</v>
      </c>
      <c r="P615" s="52">
        <f t="shared" si="285"/>
        <v>0</v>
      </c>
      <c r="Q615" s="52">
        <f t="shared" si="285"/>
        <v>0</v>
      </c>
      <c r="R615" s="52">
        <f t="shared" si="285"/>
        <v>0</v>
      </c>
      <c r="S615" s="52">
        <f t="shared" si="285"/>
        <v>0</v>
      </c>
      <c r="T615" s="52">
        <f t="shared" si="285"/>
        <v>0</v>
      </c>
      <c r="U615" s="52">
        <f t="shared" si="285"/>
        <v>0</v>
      </c>
      <c r="V615" s="52">
        <f t="shared" si="285"/>
        <v>0</v>
      </c>
      <c r="W615" s="52">
        <f t="shared" si="285"/>
        <v>0</v>
      </c>
      <c r="X615" s="52">
        <f t="shared" si="286"/>
        <v>0</v>
      </c>
      <c r="Y615" s="52">
        <f t="shared" si="286"/>
        <v>0</v>
      </c>
      <c r="Z615" s="52">
        <f t="shared" si="286"/>
        <v>0</v>
      </c>
      <c r="AA615" s="52">
        <f t="shared" si="286"/>
        <v>0</v>
      </c>
      <c r="AB615" s="52">
        <f t="shared" si="286"/>
        <v>0</v>
      </c>
      <c r="AC615" s="52">
        <f t="shared" si="286"/>
        <v>0</v>
      </c>
      <c r="AD615" s="52">
        <f t="shared" si="286"/>
        <v>0</v>
      </c>
      <c r="AE615" s="52">
        <f t="shared" si="286"/>
        <v>0</v>
      </c>
      <c r="AF615" s="52">
        <f t="shared" si="286"/>
        <v>0</v>
      </c>
      <c r="AG615" s="52">
        <f t="shared" si="286"/>
        <v>0</v>
      </c>
      <c r="AH615" s="52">
        <f t="shared" si="286"/>
        <v>0</v>
      </c>
      <c r="AI615" s="52">
        <f t="shared" si="286"/>
        <v>0</v>
      </c>
      <c r="AJ615" s="52">
        <f t="shared" si="286"/>
        <v>0</v>
      </c>
      <c r="AK615" s="52">
        <f t="shared" si="286"/>
        <v>0</v>
      </c>
      <c r="AL615" s="52">
        <f t="shared" si="286"/>
        <v>0</v>
      </c>
      <c r="AM615" s="52">
        <f t="shared" si="286"/>
        <v>0</v>
      </c>
      <c r="AN615" s="52">
        <f t="shared" si="286"/>
        <v>0</v>
      </c>
      <c r="AO615" s="52">
        <f t="shared" si="283"/>
        <v>0</v>
      </c>
      <c r="AP615" s="52">
        <f t="shared" si="283"/>
        <v>0</v>
      </c>
      <c r="AQ615" s="52">
        <f t="shared" si="283"/>
        <v>0</v>
      </c>
      <c r="AR615" s="52">
        <f t="shared" si="283"/>
        <v>0</v>
      </c>
      <c r="AS615" s="52">
        <f t="shared" si="283"/>
        <v>0</v>
      </c>
      <c r="AT615" s="52">
        <f t="shared" si="283"/>
        <v>0</v>
      </c>
      <c r="AU615" s="52">
        <f t="shared" si="283"/>
        <v>0</v>
      </c>
      <c r="AV615" s="52">
        <f t="shared" si="283"/>
        <v>0</v>
      </c>
      <c r="AW615" s="52">
        <f t="shared" si="283"/>
        <v>0</v>
      </c>
      <c r="AX615" s="52">
        <f t="shared" si="283"/>
        <v>0</v>
      </c>
      <c r="AY615" s="52">
        <f t="shared" si="283"/>
        <v>0</v>
      </c>
      <c r="AZ615" s="52">
        <f t="shared" si="283"/>
        <v>0</v>
      </c>
      <c r="BA615" s="52">
        <f t="shared" si="283"/>
        <v>0</v>
      </c>
      <c r="BB615" s="52">
        <f t="shared" si="283"/>
        <v>0</v>
      </c>
      <c r="BC615" s="52">
        <f t="shared" si="283"/>
        <v>0</v>
      </c>
      <c r="BD615" s="52">
        <f t="shared" si="283"/>
        <v>0</v>
      </c>
      <c r="BE615" s="52">
        <f t="shared" si="283"/>
        <v>1</v>
      </c>
      <c r="BF615" s="52">
        <f t="shared" si="283"/>
        <v>1</v>
      </c>
      <c r="BG615" s="52">
        <f t="shared" si="284"/>
        <v>1</v>
      </c>
      <c r="BH615" s="52">
        <f t="shared" si="284"/>
        <v>1</v>
      </c>
      <c r="BI615" s="52">
        <f t="shared" si="284"/>
        <v>1</v>
      </c>
      <c r="BJ615" s="52">
        <f t="shared" si="284"/>
        <v>1</v>
      </c>
      <c r="BK615" s="52">
        <f t="shared" si="284"/>
        <v>1</v>
      </c>
      <c r="BL615" s="52">
        <f t="shared" si="284"/>
        <v>1</v>
      </c>
      <c r="BM615" s="52">
        <f t="shared" si="284"/>
        <v>1</v>
      </c>
      <c r="BN615" s="52">
        <f t="shared" si="284"/>
        <v>1</v>
      </c>
      <c r="BO615" s="32">
        <f t="shared" si="273"/>
        <v>0.16949152542372881</v>
      </c>
    </row>
    <row r="616" spans="1:67" ht="24" x14ac:dyDescent="0.2">
      <c r="A616" s="50" t="s">
        <v>1240</v>
      </c>
      <c r="B616" s="50" t="s">
        <v>1241</v>
      </c>
      <c r="C616" s="50" t="s">
        <v>117</v>
      </c>
      <c r="D616" s="51">
        <f>VLOOKUP(A616,'[1]Cuadro Control'!C660:J2546,8,FALSE)</f>
        <v>46410609.014634147</v>
      </c>
      <c r="E616" s="52">
        <f t="shared" si="281"/>
        <v>8.742083556535862E-3</v>
      </c>
      <c r="F616" s="53">
        <v>46555</v>
      </c>
      <c r="G616" s="53">
        <v>46556</v>
      </c>
      <c r="H616" s="52">
        <f t="shared" si="285"/>
        <v>0</v>
      </c>
      <c r="I616" s="52">
        <f t="shared" si="285"/>
        <v>0</v>
      </c>
      <c r="J616" s="52">
        <f t="shared" si="285"/>
        <v>0</v>
      </c>
      <c r="K616" s="52">
        <f t="shared" si="285"/>
        <v>0</v>
      </c>
      <c r="L616" s="52">
        <f t="shared" si="285"/>
        <v>0</v>
      </c>
      <c r="M616" s="52">
        <f t="shared" si="285"/>
        <v>0</v>
      </c>
      <c r="N616" s="52">
        <f t="shared" si="285"/>
        <v>0</v>
      </c>
      <c r="O616" s="52">
        <f t="shared" si="285"/>
        <v>0</v>
      </c>
      <c r="P616" s="52">
        <f t="shared" si="285"/>
        <v>0</v>
      </c>
      <c r="Q616" s="52">
        <f t="shared" si="285"/>
        <v>0</v>
      </c>
      <c r="R616" s="52">
        <f t="shared" si="285"/>
        <v>0</v>
      </c>
      <c r="S616" s="52">
        <f t="shared" si="285"/>
        <v>0</v>
      </c>
      <c r="T616" s="52">
        <f t="shared" si="285"/>
        <v>0</v>
      </c>
      <c r="U616" s="52">
        <f t="shared" si="285"/>
        <v>0</v>
      </c>
      <c r="V616" s="52">
        <f t="shared" si="285"/>
        <v>0</v>
      </c>
      <c r="W616" s="52">
        <f t="shared" si="285"/>
        <v>0</v>
      </c>
      <c r="X616" s="52">
        <f t="shared" si="286"/>
        <v>0</v>
      </c>
      <c r="Y616" s="52">
        <f t="shared" si="286"/>
        <v>0</v>
      </c>
      <c r="Z616" s="52">
        <f t="shared" si="286"/>
        <v>0</v>
      </c>
      <c r="AA616" s="52">
        <f t="shared" si="286"/>
        <v>0</v>
      </c>
      <c r="AB616" s="52">
        <f t="shared" si="286"/>
        <v>0</v>
      </c>
      <c r="AC616" s="52">
        <f t="shared" si="286"/>
        <v>0</v>
      </c>
      <c r="AD616" s="52">
        <f t="shared" si="286"/>
        <v>0</v>
      </c>
      <c r="AE616" s="52">
        <f t="shared" si="286"/>
        <v>0</v>
      </c>
      <c r="AF616" s="52">
        <f t="shared" si="286"/>
        <v>0</v>
      </c>
      <c r="AG616" s="52">
        <f t="shared" si="286"/>
        <v>0</v>
      </c>
      <c r="AH616" s="52">
        <f t="shared" si="286"/>
        <v>0</v>
      </c>
      <c r="AI616" s="52">
        <f t="shared" si="286"/>
        <v>0</v>
      </c>
      <c r="AJ616" s="52">
        <f t="shared" si="286"/>
        <v>0</v>
      </c>
      <c r="AK616" s="52">
        <f t="shared" si="286"/>
        <v>0</v>
      </c>
      <c r="AL616" s="52">
        <f t="shared" si="286"/>
        <v>0</v>
      </c>
      <c r="AM616" s="52">
        <f t="shared" si="286"/>
        <v>0</v>
      </c>
      <c r="AN616" s="52">
        <f t="shared" si="286"/>
        <v>0</v>
      </c>
      <c r="AO616" s="52">
        <f t="shared" si="283"/>
        <v>0</v>
      </c>
      <c r="AP616" s="52">
        <f t="shared" si="283"/>
        <v>0</v>
      </c>
      <c r="AQ616" s="52">
        <f t="shared" si="283"/>
        <v>0</v>
      </c>
      <c r="AR616" s="52">
        <f t="shared" si="283"/>
        <v>0</v>
      </c>
      <c r="AS616" s="52">
        <f t="shared" si="283"/>
        <v>0</v>
      </c>
      <c r="AT616" s="52">
        <f t="shared" si="283"/>
        <v>0</v>
      </c>
      <c r="AU616" s="52">
        <f t="shared" si="283"/>
        <v>0</v>
      </c>
      <c r="AV616" s="52">
        <f t="shared" si="283"/>
        <v>0</v>
      </c>
      <c r="AW616" s="52">
        <f t="shared" si="283"/>
        <v>0</v>
      </c>
      <c r="AX616" s="52">
        <f t="shared" si="283"/>
        <v>0</v>
      </c>
      <c r="AY616" s="52">
        <f t="shared" si="283"/>
        <v>0</v>
      </c>
      <c r="AZ616" s="52">
        <f t="shared" si="283"/>
        <v>0</v>
      </c>
      <c r="BA616" s="52">
        <f t="shared" si="283"/>
        <v>0</v>
      </c>
      <c r="BB616" s="52">
        <f t="shared" si="283"/>
        <v>0</v>
      </c>
      <c r="BC616" s="52">
        <f t="shared" si="283"/>
        <v>0</v>
      </c>
      <c r="BD616" s="52">
        <f t="shared" si="283"/>
        <v>0</v>
      </c>
      <c r="BE616" s="52">
        <f t="shared" si="283"/>
        <v>1</v>
      </c>
      <c r="BF616" s="52">
        <f t="shared" si="283"/>
        <v>1</v>
      </c>
      <c r="BG616" s="52">
        <f t="shared" si="284"/>
        <v>1</v>
      </c>
      <c r="BH616" s="52">
        <f t="shared" si="284"/>
        <v>1</v>
      </c>
      <c r="BI616" s="52">
        <f t="shared" si="284"/>
        <v>1</v>
      </c>
      <c r="BJ616" s="52">
        <f t="shared" si="284"/>
        <v>1</v>
      </c>
      <c r="BK616" s="52">
        <f t="shared" si="284"/>
        <v>1</v>
      </c>
      <c r="BL616" s="52">
        <f t="shared" si="284"/>
        <v>1</v>
      </c>
      <c r="BM616" s="52">
        <f t="shared" si="284"/>
        <v>1</v>
      </c>
      <c r="BN616" s="52">
        <f t="shared" si="284"/>
        <v>1</v>
      </c>
      <c r="BO616" s="32">
        <f t="shared" si="273"/>
        <v>0.16949152542372881</v>
      </c>
    </row>
    <row r="617" spans="1:67" ht="24" x14ac:dyDescent="0.2">
      <c r="A617" s="50" t="s">
        <v>1242</v>
      </c>
      <c r="B617" s="50" t="s">
        <v>1243</v>
      </c>
      <c r="C617" s="50" t="s">
        <v>61</v>
      </c>
      <c r="D617" s="51">
        <f>VLOOKUP(A617,'[1]Cuadro Control'!C661:J2547,8,FALSE)</f>
        <v>1587346329.5488234</v>
      </c>
      <c r="E617" s="52">
        <f t="shared" si="281"/>
        <v>0.29899875353285565</v>
      </c>
      <c r="F617" s="53">
        <v>46555</v>
      </c>
      <c r="G617" s="53">
        <v>46564</v>
      </c>
      <c r="H617" s="52">
        <f t="shared" si="285"/>
        <v>0</v>
      </c>
      <c r="I617" s="52">
        <f t="shared" si="285"/>
        <v>0</v>
      </c>
      <c r="J617" s="52">
        <f t="shared" si="285"/>
        <v>0</v>
      </c>
      <c r="K617" s="52">
        <f t="shared" si="285"/>
        <v>0</v>
      </c>
      <c r="L617" s="52">
        <f t="shared" si="285"/>
        <v>0</v>
      </c>
      <c r="M617" s="52">
        <f t="shared" si="285"/>
        <v>0</v>
      </c>
      <c r="N617" s="52">
        <f t="shared" si="285"/>
        <v>0</v>
      </c>
      <c r="O617" s="52">
        <f t="shared" si="285"/>
        <v>0</v>
      </c>
      <c r="P617" s="52">
        <f t="shared" si="285"/>
        <v>0</v>
      </c>
      <c r="Q617" s="52">
        <f t="shared" si="285"/>
        <v>0</v>
      </c>
      <c r="R617" s="52">
        <f t="shared" si="285"/>
        <v>0</v>
      </c>
      <c r="S617" s="52">
        <f t="shared" si="285"/>
        <v>0</v>
      </c>
      <c r="T617" s="52">
        <f t="shared" si="285"/>
        <v>0</v>
      </c>
      <c r="U617" s="52">
        <f t="shared" si="285"/>
        <v>0</v>
      </c>
      <c r="V617" s="52">
        <f t="shared" si="285"/>
        <v>0</v>
      </c>
      <c r="W617" s="52">
        <f t="shared" si="285"/>
        <v>0</v>
      </c>
      <c r="X617" s="52">
        <f t="shared" si="286"/>
        <v>0</v>
      </c>
      <c r="Y617" s="52">
        <f t="shared" si="286"/>
        <v>0</v>
      </c>
      <c r="Z617" s="52">
        <f t="shared" si="286"/>
        <v>0</v>
      </c>
      <c r="AA617" s="52">
        <f t="shared" si="286"/>
        <v>0</v>
      </c>
      <c r="AB617" s="52">
        <f t="shared" si="286"/>
        <v>0</v>
      </c>
      <c r="AC617" s="52">
        <f t="shared" si="286"/>
        <v>0</v>
      </c>
      <c r="AD617" s="52">
        <f t="shared" si="286"/>
        <v>0</v>
      </c>
      <c r="AE617" s="52">
        <f t="shared" si="286"/>
        <v>0</v>
      </c>
      <c r="AF617" s="52">
        <f t="shared" si="286"/>
        <v>0</v>
      </c>
      <c r="AG617" s="52">
        <f t="shared" si="286"/>
        <v>0</v>
      </c>
      <c r="AH617" s="52">
        <f t="shared" si="286"/>
        <v>0</v>
      </c>
      <c r="AI617" s="52">
        <f t="shared" si="286"/>
        <v>0</v>
      </c>
      <c r="AJ617" s="52">
        <f t="shared" si="286"/>
        <v>0</v>
      </c>
      <c r="AK617" s="52">
        <f t="shared" si="286"/>
        <v>0</v>
      </c>
      <c r="AL617" s="52">
        <f t="shared" si="286"/>
        <v>0</v>
      </c>
      <c r="AM617" s="52">
        <f t="shared" si="286"/>
        <v>0</v>
      </c>
      <c r="AN617" s="52">
        <f t="shared" si="286"/>
        <v>0</v>
      </c>
      <c r="AO617" s="52">
        <f t="shared" si="283"/>
        <v>0</v>
      </c>
      <c r="AP617" s="52">
        <f t="shared" si="283"/>
        <v>0</v>
      </c>
      <c r="AQ617" s="52">
        <f t="shared" si="283"/>
        <v>0</v>
      </c>
      <c r="AR617" s="52">
        <f t="shared" si="283"/>
        <v>0</v>
      </c>
      <c r="AS617" s="52">
        <f t="shared" si="283"/>
        <v>0</v>
      </c>
      <c r="AT617" s="52">
        <f t="shared" si="283"/>
        <v>0</v>
      </c>
      <c r="AU617" s="52">
        <f t="shared" si="283"/>
        <v>0</v>
      </c>
      <c r="AV617" s="52">
        <f t="shared" si="283"/>
        <v>0</v>
      </c>
      <c r="AW617" s="52">
        <f t="shared" si="283"/>
        <v>0</v>
      </c>
      <c r="AX617" s="52">
        <f t="shared" si="283"/>
        <v>0</v>
      </c>
      <c r="AY617" s="52">
        <f t="shared" si="283"/>
        <v>0</v>
      </c>
      <c r="AZ617" s="52">
        <f t="shared" si="283"/>
        <v>0</v>
      </c>
      <c r="BA617" s="52">
        <f t="shared" si="283"/>
        <v>0</v>
      </c>
      <c r="BB617" s="52">
        <f t="shared" si="283"/>
        <v>0</v>
      </c>
      <c r="BC617" s="52">
        <f t="shared" si="283"/>
        <v>0</v>
      </c>
      <c r="BD617" s="52">
        <f t="shared" si="283"/>
        <v>0</v>
      </c>
      <c r="BE617" s="52">
        <f t="shared" si="283"/>
        <v>0.2</v>
      </c>
      <c r="BF617" s="52">
        <f t="shared" si="283"/>
        <v>0.9</v>
      </c>
      <c r="BG617" s="52">
        <f t="shared" si="284"/>
        <v>1</v>
      </c>
      <c r="BH617" s="52">
        <f t="shared" si="284"/>
        <v>1</v>
      </c>
      <c r="BI617" s="52">
        <f t="shared" si="284"/>
        <v>1</v>
      </c>
      <c r="BJ617" s="52">
        <f t="shared" si="284"/>
        <v>1</v>
      </c>
      <c r="BK617" s="52">
        <f t="shared" si="284"/>
        <v>1</v>
      </c>
      <c r="BL617" s="52">
        <f t="shared" si="284"/>
        <v>1</v>
      </c>
      <c r="BM617" s="52">
        <f t="shared" si="284"/>
        <v>1</v>
      </c>
      <c r="BN617" s="52">
        <f t="shared" si="284"/>
        <v>1</v>
      </c>
      <c r="BO617" s="32">
        <f t="shared" si="273"/>
        <v>0.1542372881355932</v>
      </c>
    </row>
    <row r="618" spans="1:67" ht="30" x14ac:dyDescent="0.2">
      <c r="A618" s="46" t="s">
        <v>1244</v>
      </c>
      <c r="B618" s="46" t="s">
        <v>1245</v>
      </c>
      <c r="C618" s="46" t="s">
        <v>61</v>
      </c>
      <c r="D618" s="47">
        <f>VLOOKUP(A618,'[1]Cuadro Control'!C662:J2548,8,FALSE)</f>
        <v>179532477.23999998</v>
      </c>
      <c r="E618" s="48">
        <f t="shared" si="281"/>
        <v>3.3817438522495219E-2</v>
      </c>
      <c r="F618" s="49">
        <v>46556</v>
      </c>
      <c r="G618" s="49">
        <v>46569</v>
      </c>
      <c r="H618" s="48">
        <f t="shared" si="285"/>
        <v>0</v>
      </c>
      <c r="I618" s="48">
        <f t="shared" si="285"/>
        <v>0</v>
      </c>
      <c r="J618" s="48">
        <f t="shared" si="285"/>
        <v>0</v>
      </c>
      <c r="K618" s="48">
        <f t="shared" si="285"/>
        <v>0</v>
      </c>
      <c r="L618" s="48">
        <f t="shared" si="285"/>
        <v>0</v>
      </c>
      <c r="M618" s="48">
        <f t="shared" si="285"/>
        <v>0</v>
      </c>
      <c r="N618" s="48">
        <f t="shared" si="285"/>
        <v>0</v>
      </c>
      <c r="O618" s="48">
        <f t="shared" si="285"/>
        <v>0</v>
      </c>
      <c r="P618" s="48">
        <f t="shared" si="285"/>
        <v>0</v>
      </c>
      <c r="Q618" s="48">
        <f t="shared" si="285"/>
        <v>0</v>
      </c>
      <c r="R618" s="48">
        <f t="shared" si="285"/>
        <v>0</v>
      </c>
      <c r="S618" s="48">
        <f t="shared" si="285"/>
        <v>0</v>
      </c>
      <c r="T618" s="48">
        <f t="shared" si="285"/>
        <v>0</v>
      </c>
      <c r="U618" s="48">
        <f t="shared" si="285"/>
        <v>0</v>
      </c>
      <c r="V618" s="48">
        <f t="shared" si="285"/>
        <v>0</v>
      </c>
      <c r="W618" s="48">
        <f t="shared" si="285"/>
        <v>0</v>
      </c>
      <c r="X618" s="48">
        <f t="shared" si="286"/>
        <v>0</v>
      </c>
      <c r="Y618" s="48">
        <f t="shared" si="286"/>
        <v>0</v>
      </c>
      <c r="Z618" s="48">
        <f t="shared" si="286"/>
        <v>0</v>
      </c>
      <c r="AA618" s="48">
        <f t="shared" si="286"/>
        <v>0</v>
      </c>
      <c r="AB618" s="48">
        <f t="shared" si="286"/>
        <v>0</v>
      </c>
      <c r="AC618" s="48">
        <f t="shared" si="286"/>
        <v>0</v>
      </c>
      <c r="AD618" s="48">
        <f t="shared" si="286"/>
        <v>0</v>
      </c>
      <c r="AE618" s="48">
        <f t="shared" si="286"/>
        <v>0</v>
      </c>
      <c r="AF618" s="48">
        <f t="shared" si="286"/>
        <v>0</v>
      </c>
      <c r="AG618" s="48">
        <f t="shared" si="286"/>
        <v>0</v>
      </c>
      <c r="AH618" s="48">
        <f t="shared" si="286"/>
        <v>0</v>
      </c>
      <c r="AI618" s="48">
        <f t="shared" si="286"/>
        <v>0</v>
      </c>
      <c r="AJ618" s="48">
        <f t="shared" si="286"/>
        <v>0</v>
      </c>
      <c r="AK618" s="48">
        <f t="shared" si="286"/>
        <v>0</v>
      </c>
      <c r="AL618" s="48">
        <f t="shared" si="286"/>
        <v>0</v>
      </c>
      <c r="AM618" s="48">
        <f t="shared" si="286"/>
        <v>0</v>
      </c>
      <c r="AN618" s="48">
        <f t="shared" si="286"/>
        <v>0</v>
      </c>
      <c r="AO618" s="48">
        <f t="shared" si="283"/>
        <v>0</v>
      </c>
      <c r="AP618" s="48">
        <f t="shared" si="283"/>
        <v>0</v>
      </c>
      <c r="AQ618" s="48">
        <f t="shared" si="283"/>
        <v>0</v>
      </c>
      <c r="AR618" s="48">
        <f t="shared" si="283"/>
        <v>0</v>
      </c>
      <c r="AS618" s="48">
        <f t="shared" si="283"/>
        <v>0</v>
      </c>
      <c r="AT618" s="48">
        <f t="shared" si="283"/>
        <v>0</v>
      </c>
      <c r="AU618" s="48">
        <f t="shared" si="283"/>
        <v>0</v>
      </c>
      <c r="AV618" s="48">
        <f t="shared" si="283"/>
        <v>0</v>
      </c>
      <c r="AW618" s="48">
        <f t="shared" si="283"/>
        <v>0</v>
      </c>
      <c r="AX618" s="48">
        <f t="shared" si="283"/>
        <v>0</v>
      </c>
      <c r="AY618" s="48">
        <f t="shared" si="283"/>
        <v>0</v>
      </c>
      <c r="AZ618" s="48">
        <f t="shared" si="283"/>
        <v>0</v>
      </c>
      <c r="BA618" s="48">
        <f t="shared" si="283"/>
        <v>0</v>
      </c>
      <c r="BB618" s="48">
        <f t="shared" si="283"/>
        <v>0</v>
      </c>
      <c r="BC618" s="48">
        <f t="shared" si="283"/>
        <v>0</v>
      </c>
      <c r="BD618" s="48">
        <f t="shared" si="283"/>
        <v>0</v>
      </c>
      <c r="BE618" s="48">
        <f t="shared" si="283"/>
        <v>7.1428571428571425E-2</v>
      </c>
      <c r="BF618" s="48">
        <f t="shared" si="283"/>
        <v>0.5714285714285714</v>
      </c>
      <c r="BG618" s="48">
        <f t="shared" si="284"/>
        <v>1</v>
      </c>
      <c r="BH618" s="48">
        <f t="shared" si="284"/>
        <v>1</v>
      </c>
      <c r="BI618" s="48">
        <f t="shared" si="284"/>
        <v>1</v>
      </c>
      <c r="BJ618" s="48">
        <f t="shared" si="284"/>
        <v>1</v>
      </c>
      <c r="BK618" s="48">
        <f t="shared" si="284"/>
        <v>1</v>
      </c>
      <c r="BL618" s="48">
        <f t="shared" si="284"/>
        <v>1</v>
      </c>
      <c r="BM618" s="48">
        <f t="shared" si="284"/>
        <v>1</v>
      </c>
      <c r="BN618" s="48">
        <f t="shared" si="284"/>
        <v>1</v>
      </c>
      <c r="BO618" s="32">
        <f t="shared" si="273"/>
        <v>0.14648910411622276</v>
      </c>
    </row>
    <row r="619" spans="1:67" ht="24" x14ac:dyDescent="0.2">
      <c r="A619" s="55" t="s">
        <v>1246</v>
      </c>
      <c r="B619" s="55" t="s">
        <v>1247</v>
      </c>
      <c r="C619" s="55" t="s">
        <v>14</v>
      </c>
      <c r="D619" s="56">
        <f>VLOOKUP(A619,'[1]Cuadro Control'!C663:J2549,8,FALSE)</f>
        <v>0</v>
      </c>
      <c r="E619" s="57">
        <f>IFERROR(D619/$D$603,0)</f>
        <v>0</v>
      </c>
      <c r="F619" s="58">
        <v>46569</v>
      </c>
      <c r="G619" s="58">
        <v>46569</v>
      </c>
      <c r="H619" s="57">
        <f t="shared" si="285"/>
        <v>0</v>
      </c>
      <c r="I619" s="57">
        <f t="shared" si="285"/>
        <v>0</v>
      </c>
      <c r="J619" s="57">
        <f t="shared" si="285"/>
        <v>0</v>
      </c>
      <c r="K619" s="57">
        <f t="shared" si="285"/>
        <v>0</v>
      </c>
      <c r="L619" s="57">
        <f t="shared" si="285"/>
        <v>0</v>
      </c>
      <c r="M619" s="57">
        <f t="shared" si="285"/>
        <v>0</v>
      </c>
      <c r="N619" s="57">
        <f t="shared" si="285"/>
        <v>0</v>
      </c>
      <c r="O619" s="57">
        <f t="shared" si="285"/>
        <v>0</v>
      </c>
      <c r="P619" s="57">
        <f t="shared" si="285"/>
        <v>0</v>
      </c>
      <c r="Q619" s="57">
        <f t="shared" si="285"/>
        <v>0</v>
      </c>
      <c r="R619" s="57">
        <f t="shared" si="285"/>
        <v>0</v>
      </c>
      <c r="S619" s="57">
        <f t="shared" si="285"/>
        <v>0</v>
      </c>
      <c r="T619" s="57">
        <f t="shared" si="285"/>
        <v>0</v>
      </c>
      <c r="U619" s="57">
        <f t="shared" si="285"/>
        <v>0</v>
      </c>
      <c r="V619" s="57">
        <f t="shared" si="285"/>
        <v>0</v>
      </c>
      <c r="W619" s="57">
        <f t="shared" si="285"/>
        <v>0</v>
      </c>
      <c r="X619" s="57">
        <f t="shared" si="286"/>
        <v>0</v>
      </c>
      <c r="Y619" s="57">
        <f t="shared" si="286"/>
        <v>0</v>
      </c>
      <c r="Z619" s="57">
        <f t="shared" si="286"/>
        <v>0</v>
      </c>
      <c r="AA619" s="57">
        <f t="shared" si="286"/>
        <v>0</v>
      </c>
      <c r="AB619" s="57">
        <f t="shared" si="286"/>
        <v>0</v>
      </c>
      <c r="AC619" s="57">
        <f t="shared" si="286"/>
        <v>0</v>
      </c>
      <c r="AD619" s="57">
        <f t="shared" si="286"/>
        <v>0</v>
      </c>
      <c r="AE619" s="57">
        <f t="shared" si="286"/>
        <v>0</v>
      </c>
      <c r="AF619" s="57">
        <f t="shared" si="286"/>
        <v>0</v>
      </c>
      <c r="AG619" s="57">
        <f t="shared" si="286"/>
        <v>0</v>
      </c>
      <c r="AH619" s="57">
        <f t="shared" si="286"/>
        <v>0</v>
      </c>
      <c r="AI619" s="57">
        <f t="shared" si="286"/>
        <v>0</v>
      </c>
      <c r="AJ619" s="57">
        <f t="shared" si="286"/>
        <v>0</v>
      </c>
      <c r="AK619" s="57">
        <f t="shared" si="286"/>
        <v>0</v>
      </c>
      <c r="AL619" s="57">
        <f t="shared" si="286"/>
        <v>0</v>
      </c>
      <c r="AM619" s="57">
        <f t="shared" si="286"/>
        <v>0</v>
      </c>
      <c r="AN619" s="57">
        <f t="shared" si="286"/>
        <v>0</v>
      </c>
      <c r="AO619" s="57">
        <f t="shared" si="286"/>
        <v>0</v>
      </c>
      <c r="AP619" s="57">
        <f t="shared" si="286"/>
        <v>0</v>
      </c>
      <c r="AQ619" s="57">
        <f t="shared" si="286"/>
        <v>0</v>
      </c>
      <c r="AR619" s="57">
        <f t="shared" si="286"/>
        <v>0</v>
      </c>
      <c r="AS619" s="57">
        <f t="shared" si="286"/>
        <v>0</v>
      </c>
      <c r="AT619" s="57">
        <f t="shared" si="286"/>
        <v>0</v>
      </c>
      <c r="AU619" s="57">
        <f t="shared" si="286"/>
        <v>0</v>
      </c>
      <c r="AV619" s="57">
        <f t="shared" si="286"/>
        <v>0</v>
      </c>
      <c r="AW619" s="57">
        <f t="shared" si="286"/>
        <v>0</v>
      </c>
      <c r="AX619" s="57">
        <f t="shared" si="286"/>
        <v>0</v>
      </c>
      <c r="AY619" s="57">
        <f t="shared" si="286"/>
        <v>0</v>
      </c>
      <c r="AZ619" s="57">
        <f t="shared" si="286"/>
        <v>0</v>
      </c>
      <c r="BA619" s="57">
        <f t="shared" si="286"/>
        <v>0</v>
      </c>
      <c r="BB619" s="57">
        <f t="shared" si="286"/>
        <v>0</v>
      </c>
      <c r="BC619" s="57">
        <f t="shared" si="286"/>
        <v>0</v>
      </c>
      <c r="BD619" s="57">
        <f t="shared" si="283"/>
        <v>0</v>
      </c>
      <c r="BE619" s="57">
        <f t="shared" si="283"/>
        <v>0</v>
      </c>
      <c r="BF619" s="57">
        <f t="shared" si="283"/>
        <v>0</v>
      </c>
      <c r="BG619" s="57">
        <f t="shared" si="284"/>
        <v>1</v>
      </c>
      <c r="BH619" s="57">
        <f t="shared" si="284"/>
        <v>1</v>
      </c>
      <c r="BI619" s="57">
        <f t="shared" si="284"/>
        <v>1</v>
      </c>
      <c r="BJ619" s="57">
        <f t="shared" si="284"/>
        <v>1</v>
      </c>
      <c r="BK619" s="57">
        <f t="shared" si="284"/>
        <v>1</v>
      </c>
      <c r="BL619" s="57">
        <f t="shared" si="284"/>
        <v>1</v>
      </c>
      <c r="BM619" s="57">
        <f t="shared" si="284"/>
        <v>1</v>
      </c>
      <c r="BN619" s="57">
        <f t="shared" si="284"/>
        <v>1</v>
      </c>
      <c r="BO619" s="32">
        <f t="shared" si="273"/>
        <v>0.13559322033898305</v>
      </c>
    </row>
    <row r="620" spans="1:67" x14ac:dyDescent="0.2">
      <c r="A620" s="42" t="s">
        <v>1248</v>
      </c>
      <c r="B620" s="42" t="s">
        <v>1249</v>
      </c>
      <c r="C620" s="42" t="s">
        <v>467</v>
      </c>
      <c r="D620" s="43">
        <f>SUM(D621:D636)</f>
        <v>5308872732.0543728</v>
      </c>
      <c r="E620" s="44">
        <f>IFERROR(D620/$D$109,0)</f>
        <v>2.9408554574576196E-2</v>
      </c>
      <c r="F620" s="45">
        <v>46499</v>
      </c>
      <c r="G620" s="45">
        <v>46578</v>
      </c>
      <c r="H620" s="44">
        <f>SUMPRODUCT($E621:$E635,H621:H635)</f>
        <v>0</v>
      </c>
      <c r="I620" s="44">
        <f t="shared" ref="I620:BN620" si="287">SUMPRODUCT($E621:$E635,I621:I635)</f>
        <v>0</v>
      </c>
      <c r="J620" s="44">
        <f t="shared" si="287"/>
        <v>0</v>
      </c>
      <c r="K620" s="44">
        <f t="shared" si="287"/>
        <v>0</v>
      </c>
      <c r="L620" s="44">
        <f t="shared" si="287"/>
        <v>0</v>
      </c>
      <c r="M620" s="44">
        <f t="shared" si="287"/>
        <v>0</v>
      </c>
      <c r="N620" s="44">
        <f t="shared" si="287"/>
        <v>0</v>
      </c>
      <c r="O620" s="44">
        <f t="shared" si="287"/>
        <v>0</v>
      </c>
      <c r="P620" s="44">
        <f t="shared" si="287"/>
        <v>0</v>
      </c>
      <c r="Q620" s="44">
        <f t="shared" si="287"/>
        <v>0</v>
      </c>
      <c r="R620" s="44">
        <f t="shared" si="287"/>
        <v>0</v>
      </c>
      <c r="S620" s="44">
        <f t="shared" si="287"/>
        <v>0</v>
      </c>
      <c r="T620" s="44">
        <f t="shared" si="287"/>
        <v>0</v>
      </c>
      <c r="U620" s="44">
        <f t="shared" si="287"/>
        <v>0</v>
      </c>
      <c r="V620" s="44">
        <f t="shared" si="287"/>
        <v>0</v>
      </c>
      <c r="W620" s="44">
        <f t="shared" si="287"/>
        <v>0</v>
      </c>
      <c r="X620" s="44">
        <f t="shared" si="287"/>
        <v>0</v>
      </c>
      <c r="Y620" s="44">
        <f t="shared" si="287"/>
        <v>0</v>
      </c>
      <c r="Z620" s="44">
        <f t="shared" si="287"/>
        <v>0</v>
      </c>
      <c r="AA620" s="44">
        <f t="shared" si="287"/>
        <v>0</v>
      </c>
      <c r="AB620" s="44">
        <f t="shared" si="287"/>
        <v>0</v>
      </c>
      <c r="AC620" s="44">
        <f t="shared" si="287"/>
        <v>0</v>
      </c>
      <c r="AD620" s="44">
        <f t="shared" si="287"/>
        <v>0</v>
      </c>
      <c r="AE620" s="44">
        <f t="shared" si="287"/>
        <v>0</v>
      </c>
      <c r="AF620" s="44">
        <f t="shared" si="287"/>
        <v>0</v>
      </c>
      <c r="AG620" s="44">
        <f t="shared" si="287"/>
        <v>0</v>
      </c>
      <c r="AH620" s="44">
        <f t="shared" si="287"/>
        <v>0</v>
      </c>
      <c r="AI620" s="44">
        <f t="shared" si="287"/>
        <v>0</v>
      </c>
      <c r="AJ620" s="44">
        <f t="shared" si="287"/>
        <v>0</v>
      </c>
      <c r="AK620" s="44">
        <f t="shared" si="287"/>
        <v>0</v>
      </c>
      <c r="AL620" s="44">
        <f t="shared" si="287"/>
        <v>0</v>
      </c>
      <c r="AM620" s="44">
        <f t="shared" si="287"/>
        <v>0</v>
      </c>
      <c r="AN620" s="44">
        <f t="shared" si="287"/>
        <v>0</v>
      </c>
      <c r="AO620" s="44">
        <f t="shared" si="287"/>
        <v>0</v>
      </c>
      <c r="AP620" s="44">
        <f t="shared" si="287"/>
        <v>0</v>
      </c>
      <c r="AQ620" s="44">
        <f t="shared" si="287"/>
        <v>0</v>
      </c>
      <c r="AR620" s="44">
        <f t="shared" si="287"/>
        <v>0</v>
      </c>
      <c r="AS620" s="44">
        <f t="shared" si="287"/>
        <v>0</v>
      </c>
      <c r="AT620" s="44">
        <f t="shared" si="287"/>
        <v>0</v>
      </c>
      <c r="AU620" s="44">
        <f t="shared" si="287"/>
        <v>0</v>
      </c>
      <c r="AV620" s="44">
        <f t="shared" si="287"/>
        <v>0</v>
      </c>
      <c r="AW620" s="44">
        <f t="shared" si="287"/>
        <v>3.4856439644409742E-3</v>
      </c>
      <c r="AX620" s="44">
        <f t="shared" si="287"/>
        <v>2.3040408061427948E-2</v>
      </c>
      <c r="AY620" s="44">
        <f t="shared" si="287"/>
        <v>7.4824596020606232E-2</v>
      </c>
      <c r="AZ620" s="44">
        <f t="shared" si="287"/>
        <v>0.12159739126547237</v>
      </c>
      <c r="BA620" s="44">
        <f t="shared" si="287"/>
        <v>0.17376706331582181</v>
      </c>
      <c r="BB620" s="44">
        <f t="shared" si="287"/>
        <v>0.25170093005844008</v>
      </c>
      <c r="BC620" s="44">
        <f t="shared" si="287"/>
        <v>0.34052878022238015</v>
      </c>
      <c r="BD620" s="44">
        <f t="shared" si="287"/>
        <v>0.41666693750575734</v>
      </c>
      <c r="BE620" s="44">
        <f t="shared" si="287"/>
        <v>0.64850810003989967</v>
      </c>
      <c r="BF620" s="44">
        <f t="shared" si="287"/>
        <v>0.68581267028429327</v>
      </c>
      <c r="BG620" s="44">
        <f t="shared" si="287"/>
        <v>0.86418974801198156</v>
      </c>
      <c r="BH620" s="44">
        <f t="shared" si="287"/>
        <v>0.99739865857519272</v>
      </c>
      <c r="BI620" s="44">
        <f t="shared" si="287"/>
        <v>1</v>
      </c>
      <c r="BJ620" s="44">
        <f t="shared" si="287"/>
        <v>1</v>
      </c>
      <c r="BK620" s="44">
        <f t="shared" si="287"/>
        <v>1</v>
      </c>
      <c r="BL620" s="44">
        <f t="shared" si="287"/>
        <v>1</v>
      </c>
      <c r="BM620" s="44">
        <f t="shared" si="287"/>
        <v>1</v>
      </c>
      <c r="BN620" s="44">
        <f t="shared" si="287"/>
        <v>1</v>
      </c>
      <c r="BO620" s="32">
        <f t="shared" si="273"/>
        <v>0.17968679537840196</v>
      </c>
    </row>
    <row r="621" spans="1:67" ht="24" x14ac:dyDescent="0.2">
      <c r="A621" s="50" t="s">
        <v>1250</v>
      </c>
      <c r="B621" s="50" t="s">
        <v>1251</v>
      </c>
      <c r="C621" s="50" t="s">
        <v>74</v>
      </c>
      <c r="D621" s="51">
        <f>VLOOKUP(A621,'[1]Cuadro Control'!C665:J2551,8,FALSE)</f>
        <v>83271780.884117648</v>
      </c>
      <c r="E621" s="52">
        <f t="shared" ref="E621:E635" si="288">IFERROR(D621/$D$620,0)</f>
        <v>1.5685397839984384E-2</v>
      </c>
      <c r="F621" s="53">
        <v>46499</v>
      </c>
      <c r="G621" s="53">
        <v>46507</v>
      </c>
      <c r="H621" s="52">
        <f t="shared" ref="H621:BN625" si="289">IF($F621=0,0,IF(H$6&lt;$F621,0,IF(H$6&gt;$G621,1,(H$6-$F621+1)/($G621-$F621+1))))</f>
        <v>0</v>
      </c>
      <c r="I621" s="52">
        <f t="shared" si="289"/>
        <v>0</v>
      </c>
      <c r="J621" s="52">
        <f t="shared" si="289"/>
        <v>0</v>
      </c>
      <c r="K621" s="52">
        <f t="shared" si="289"/>
        <v>0</v>
      </c>
      <c r="L621" s="52">
        <f t="shared" si="289"/>
        <v>0</v>
      </c>
      <c r="M621" s="52">
        <f t="shared" si="289"/>
        <v>0</v>
      </c>
      <c r="N621" s="52">
        <f t="shared" si="289"/>
        <v>0</v>
      </c>
      <c r="O621" s="52">
        <f t="shared" si="289"/>
        <v>0</v>
      </c>
      <c r="P621" s="52">
        <f t="shared" si="289"/>
        <v>0</v>
      </c>
      <c r="Q621" s="52">
        <f t="shared" si="289"/>
        <v>0</v>
      </c>
      <c r="R621" s="52">
        <f t="shared" si="289"/>
        <v>0</v>
      </c>
      <c r="S621" s="52">
        <f t="shared" si="289"/>
        <v>0</v>
      </c>
      <c r="T621" s="52">
        <f t="shared" si="289"/>
        <v>0</v>
      </c>
      <c r="U621" s="52">
        <f t="shared" si="289"/>
        <v>0</v>
      </c>
      <c r="V621" s="52">
        <f t="shared" si="289"/>
        <v>0</v>
      </c>
      <c r="W621" s="52">
        <f t="shared" si="289"/>
        <v>0</v>
      </c>
      <c r="X621" s="52">
        <f t="shared" si="289"/>
        <v>0</v>
      </c>
      <c r="Y621" s="52">
        <f t="shared" si="289"/>
        <v>0</v>
      </c>
      <c r="Z621" s="52">
        <f t="shared" si="289"/>
        <v>0</v>
      </c>
      <c r="AA621" s="52">
        <f t="shared" si="289"/>
        <v>0</v>
      </c>
      <c r="AB621" s="52">
        <f t="shared" si="289"/>
        <v>0</v>
      </c>
      <c r="AC621" s="52">
        <f t="shared" si="289"/>
        <v>0</v>
      </c>
      <c r="AD621" s="52">
        <f t="shared" si="289"/>
        <v>0</v>
      </c>
      <c r="AE621" s="52">
        <f t="shared" si="289"/>
        <v>0</v>
      </c>
      <c r="AF621" s="52">
        <f t="shared" si="289"/>
        <v>0</v>
      </c>
      <c r="AG621" s="52">
        <f t="shared" si="289"/>
        <v>0</v>
      </c>
      <c r="AH621" s="52">
        <f t="shared" si="289"/>
        <v>0</v>
      </c>
      <c r="AI621" s="52">
        <f t="shared" si="289"/>
        <v>0</v>
      </c>
      <c r="AJ621" s="52">
        <f t="shared" si="289"/>
        <v>0</v>
      </c>
      <c r="AK621" s="52">
        <f t="shared" si="289"/>
        <v>0</v>
      </c>
      <c r="AL621" s="52">
        <f t="shared" si="289"/>
        <v>0</v>
      </c>
      <c r="AM621" s="52">
        <f t="shared" si="289"/>
        <v>0</v>
      </c>
      <c r="AN621" s="52">
        <f t="shared" si="289"/>
        <v>0</v>
      </c>
      <c r="AO621" s="52">
        <f t="shared" si="289"/>
        <v>0</v>
      </c>
      <c r="AP621" s="52">
        <f t="shared" si="289"/>
        <v>0</v>
      </c>
      <c r="AQ621" s="52">
        <f t="shared" si="289"/>
        <v>0</v>
      </c>
      <c r="AR621" s="52">
        <f t="shared" si="289"/>
        <v>0</v>
      </c>
      <c r="AS621" s="52">
        <f t="shared" si="289"/>
        <v>0</v>
      </c>
      <c r="AT621" s="52">
        <f t="shared" si="289"/>
        <v>0</v>
      </c>
      <c r="AU621" s="52">
        <f t="shared" si="289"/>
        <v>0</v>
      </c>
      <c r="AV621" s="52">
        <f t="shared" si="289"/>
        <v>0</v>
      </c>
      <c r="AW621" s="52">
        <f t="shared" si="289"/>
        <v>0.22222222222222221</v>
      </c>
      <c r="AX621" s="52">
        <f t="shared" si="289"/>
        <v>1</v>
      </c>
      <c r="AY621" s="52">
        <f t="shared" si="289"/>
        <v>1</v>
      </c>
      <c r="AZ621" s="52">
        <f t="shared" si="289"/>
        <v>1</v>
      </c>
      <c r="BA621" s="52">
        <f t="shared" si="289"/>
        <v>1</v>
      </c>
      <c r="BB621" s="52">
        <f t="shared" si="289"/>
        <v>1</v>
      </c>
      <c r="BC621" s="52">
        <f t="shared" si="289"/>
        <v>1</v>
      </c>
      <c r="BD621" s="52">
        <f t="shared" si="289"/>
        <v>1</v>
      </c>
      <c r="BE621" s="52">
        <f t="shared" si="289"/>
        <v>1</v>
      </c>
      <c r="BF621" s="52">
        <f t="shared" si="289"/>
        <v>1</v>
      </c>
      <c r="BG621" s="52">
        <f t="shared" si="289"/>
        <v>1</v>
      </c>
      <c r="BH621" s="52">
        <f t="shared" si="289"/>
        <v>1</v>
      </c>
      <c r="BI621" s="52">
        <f t="shared" si="289"/>
        <v>1</v>
      </c>
      <c r="BJ621" s="52">
        <f t="shared" si="289"/>
        <v>1</v>
      </c>
      <c r="BK621" s="52">
        <f t="shared" si="289"/>
        <v>1</v>
      </c>
      <c r="BL621" s="52">
        <f t="shared" si="289"/>
        <v>1</v>
      </c>
      <c r="BM621" s="52">
        <f t="shared" si="289"/>
        <v>1</v>
      </c>
      <c r="BN621" s="52">
        <f t="shared" si="289"/>
        <v>1</v>
      </c>
      <c r="BO621" s="32">
        <f t="shared" si="273"/>
        <v>0.29190207156308851</v>
      </c>
    </row>
    <row r="622" spans="1:67" x14ac:dyDescent="0.2">
      <c r="A622" s="50" t="s">
        <v>1252</v>
      </c>
      <c r="B622" s="50" t="s">
        <v>1253</v>
      </c>
      <c r="C622" s="50" t="s">
        <v>61</v>
      </c>
      <c r="D622" s="51">
        <f>VLOOKUP(A622,'[1]Cuadro Control'!C666:J2552,8,FALSE)</f>
        <v>312374505.66882348</v>
      </c>
      <c r="E622" s="52">
        <f t="shared" si="288"/>
        <v>5.8840081771548515E-2</v>
      </c>
      <c r="F622" s="53">
        <v>46507</v>
      </c>
      <c r="G622" s="53">
        <v>46514</v>
      </c>
      <c r="H622" s="52">
        <f t="shared" si="289"/>
        <v>0</v>
      </c>
      <c r="I622" s="52">
        <f t="shared" si="289"/>
        <v>0</v>
      </c>
      <c r="J622" s="52">
        <f t="shared" si="289"/>
        <v>0</v>
      </c>
      <c r="K622" s="52">
        <f t="shared" si="289"/>
        <v>0</v>
      </c>
      <c r="L622" s="52">
        <f t="shared" si="289"/>
        <v>0</v>
      </c>
      <c r="M622" s="52">
        <f t="shared" si="289"/>
        <v>0</v>
      </c>
      <c r="N622" s="52">
        <f t="shared" si="289"/>
        <v>0</v>
      </c>
      <c r="O622" s="52">
        <f t="shared" si="289"/>
        <v>0</v>
      </c>
      <c r="P622" s="52">
        <f t="shared" si="289"/>
        <v>0</v>
      </c>
      <c r="Q622" s="52">
        <f t="shared" si="289"/>
        <v>0</v>
      </c>
      <c r="R622" s="52">
        <f t="shared" si="289"/>
        <v>0</v>
      </c>
      <c r="S622" s="52">
        <f t="shared" si="289"/>
        <v>0</v>
      </c>
      <c r="T622" s="52">
        <f t="shared" si="289"/>
        <v>0</v>
      </c>
      <c r="U622" s="52">
        <f t="shared" si="289"/>
        <v>0</v>
      </c>
      <c r="V622" s="52">
        <f t="shared" si="289"/>
        <v>0</v>
      </c>
      <c r="W622" s="52">
        <f t="shared" si="289"/>
        <v>0</v>
      </c>
      <c r="X622" s="52">
        <f t="shared" si="289"/>
        <v>0</v>
      </c>
      <c r="Y622" s="52">
        <f t="shared" si="289"/>
        <v>0</v>
      </c>
      <c r="Z622" s="52">
        <f t="shared" si="289"/>
        <v>0</v>
      </c>
      <c r="AA622" s="52">
        <f t="shared" si="289"/>
        <v>0</v>
      </c>
      <c r="AB622" s="52">
        <f t="shared" si="289"/>
        <v>0</v>
      </c>
      <c r="AC622" s="52">
        <f t="shared" si="289"/>
        <v>0</v>
      </c>
      <c r="AD622" s="52">
        <f t="shared" si="289"/>
        <v>0</v>
      </c>
      <c r="AE622" s="52">
        <f t="shared" si="289"/>
        <v>0</v>
      </c>
      <c r="AF622" s="52">
        <f t="shared" si="289"/>
        <v>0</v>
      </c>
      <c r="AG622" s="52">
        <f t="shared" si="289"/>
        <v>0</v>
      </c>
      <c r="AH622" s="52">
        <f t="shared" si="289"/>
        <v>0</v>
      </c>
      <c r="AI622" s="52">
        <f t="shared" si="289"/>
        <v>0</v>
      </c>
      <c r="AJ622" s="52">
        <f t="shared" si="289"/>
        <v>0</v>
      </c>
      <c r="AK622" s="52">
        <f t="shared" si="289"/>
        <v>0</v>
      </c>
      <c r="AL622" s="52">
        <f t="shared" si="289"/>
        <v>0</v>
      </c>
      <c r="AM622" s="52">
        <f t="shared" si="289"/>
        <v>0</v>
      </c>
      <c r="AN622" s="52">
        <f t="shared" si="289"/>
        <v>0</v>
      </c>
      <c r="AO622" s="52">
        <f t="shared" si="289"/>
        <v>0</v>
      </c>
      <c r="AP622" s="52">
        <f t="shared" si="289"/>
        <v>0</v>
      </c>
      <c r="AQ622" s="52">
        <f t="shared" si="289"/>
        <v>0</v>
      </c>
      <c r="AR622" s="52">
        <f t="shared" si="289"/>
        <v>0</v>
      </c>
      <c r="AS622" s="52">
        <f t="shared" si="289"/>
        <v>0</v>
      </c>
      <c r="AT622" s="52">
        <f t="shared" si="289"/>
        <v>0</v>
      </c>
      <c r="AU622" s="52">
        <f t="shared" si="289"/>
        <v>0</v>
      </c>
      <c r="AV622" s="52">
        <f t="shared" si="289"/>
        <v>0</v>
      </c>
      <c r="AW622" s="52">
        <f t="shared" si="289"/>
        <v>0</v>
      </c>
      <c r="AX622" s="52">
        <f t="shared" si="289"/>
        <v>0.125</v>
      </c>
      <c r="AY622" s="52">
        <f t="shared" si="289"/>
        <v>1</v>
      </c>
      <c r="AZ622" s="52">
        <f t="shared" si="289"/>
        <v>1</v>
      </c>
      <c r="BA622" s="52">
        <f t="shared" si="289"/>
        <v>1</v>
      </c>
      <c r="BB622" s="52">
        <f t="shared" si="289"/>
        <v>1</v>
      </c>
      <c r="BC622" s="52">
        <f t="shared" si="289"/>
        <v>1</v>
      </c>
      <c r="BD622" s="52">
        <f t="shared" si="289"/>
        <v>1</v>
      </c>
      <c r="BE622" s="52">
        <f t="shared" si="289"/>
        <v>1</v>
      </c>
      <c r="BF622" s="52">
        <f t="shared" si="289"/>
        <v>1</v>
      </c>
      <c r="BG622" s="52">
        <f t="shared" si="289"/>
        <v>1</v>
      </c>
      <c r="BH622" s="52">
        <f t="shared" si="289"/>
        <v>1</v>
      </c>
      <c r="BI622" s="52">
        <f t="shared" si="289"/>
        <v>1</v>
      </c>
      <c r="BJ622" s="52">
        <f t="shared" si="289"/>
        <v>1</v>
      </c>
      <c r="BK622" s="52">
        <f t="shared" si="289"/>
        <v>1</v>
      </c>
      <c r="BL622" s="52">
        <f t="shared" si="289"/>
        <v>1</v>
      </c>
      <c r="BM622" s="52">
        <f t="shared" si="289"/>
        <v>1</v>
      </c>
      <c r="BN622" s="52">
        <f t="shared" si="289"/>
        <v>1</v>
      </c>
      <c r="BO622" s="32">
        <f t="shared" si="273"/>
        <v>0.27330508474576271</v>
      </c>
    </row>
    <row r="623" spans="1:67" ht="15" x14ac:dyDescent="0.2">
      <c r="A623" s="46" t="s">
        <v>1254</v>
      </c>
      <c r="B623" s="46" t="s">
        <v>1255</v>
      </c>
      <c r="C623" s="46" t="s">
        <v>126</v>
      </c>
      <c r="D623" s="47">
        <f>VLOOKUP(A623,'[1]Cuadro Control'!C667:J2553,8,FALSE)</f>
        <v>9527825.6870364472</v>
      </c>
      <c r="E623" s="48">
        <f t="shared" si="288"/>
        <v>1.794698454439963E-3</v>
      </c>
      <c r="F623" s="49">
        <v>46514</v>
      </c>
      <c r="G623" s="49">
        <v>46519</v>
      </c>
      <c r="H623" s="48">
        <f t="shared" si="289"/>
        <v>0</v>
      </c>
      <c r="I623" s="48">
        <f t="shared" si="289"/>
        <v>0</v>
      </c>
      <c r="J623" s="48">
        <f t="shared" si="289"/>
        <v>0</v>
      </c>
      <c r="K623" s="48">
        <f t="shared" si="289"/>
        <v>0</v>
      </c>
      <c r="L623" s="48">
        <f t="shared" si="289"/>
        <v>0</v>
      </c>
      <c r="M623" s="48">
        <f t="shared" si="289"/>
        <v>0</v>
      </c>
      <c r="N623" s="48">
        <f t="shared" si="289"/>
        <v>0</v>
      </c>
      <c r="O623" s="48">
        <f t="shared" si="289"/>
        <v>0</v>
      </c>
      <c r="P623" s="48">
        <f t="shared" si="289"/>
        <v>0</v>
      </c>
      <c r="Q623" s="48">
        <f t="shared" si="289"/>
        <v>0</v>
      </c>
      <c r="R623" s="48">
        <f t="shared" si="289"/>
        <v>0</v>
      </c>
      <c r="S623" s="48">
        <f t="shared" si="289"/>
        <v>0</v>
      </c>
      <c r="T623" s="48">
        <f t="shared" si="289"/>
        <v>0</v>
      </c>
      <c r="U623" s="48">
        <f t="shared" si="289"/>
        <v>0</v>
      </c>
      <c r="V623" s="48">
        <f t="shared" si="289"/>
        <v>0</v>
      </c>
      <c r="W623" s="48">
        <f t="shared" si="289"/>
        <v>0</v>
      </c>
      <c r="X623" s="48">
        <f t="shared" si="289"/>
        <v>0</v>
      </c>
      <c r="Y623" s="48">
        <f t="shared" si="289"/>
        <v>0</v>
      </c>
      <c r="Z623" s="48">
        <f t="shared" si="289"/>
        <v>0</v>
      </c>
      <c r="AA623" s="48">
        <f t="shared" si="289"/>
        <v>0</v>
      </c>
      <c r="AB623" s="48">
        <f t="shared" si="289"/>
        <v>0</v>
      </c>
      <c r="AC623" s="48">
        <f t="shared" si="289"/>
        <v>0</v>
      </c>
      <c r="AD623" s="48">
        <f t="shared" si="289"/>
        <v>0</v>
      </c>
      <c r="AE623" s="48">
        <f t="shared" si="289"/>
        <v>0</v>
      </c>
      <c r="AF623" s="48">
        <f t="shared" si="289"/>
        <v>0</v>
      </c>
      <c r="AG623" s="48">
        <f t="shared" si="289"/>
        <v>0</v>
      </c>
      <c r="AH623" s="48">
        <f t="shared" si="289"/>
        <v>0</v>
      </c>
      <c r="AI623" s="48">
        <f t="shared" si="289"/>
        <v>0</v>
      </c>
      <c r="AJ623" s="48">
        <f t="shared" si="289"/>
        <v>0</v>
      </c>
      <c r="AK623" s="48">
        <f t="shared" si="289"/>
        <v>0</v>
      </c>
      <c r="AL623" s="48">
        <f t="shared" si="289"/>
        <v>0</v>
      </c>
      <c r="AM623" s="48">
        <f t="shared" si="289"/>
        <v>0</v>
      </c>
      <c r="AN623" s="48">
        <f t="shared" si="289"/>
        <v>0</v>
      </c>
      <c r="AO623" s="48">
        <f t="shared" si="289"/>
        <v>0</v>
      </c>
      <c r="AP623" s="48">
        <f t="shared" si="289"/>
        <v>0</v>
      </c>
      <c r="AQ623" s="48">
        <f t="shared" si="289"/>
        <v>0</v>
      </c>
      <c r="AR623" s="48">
        <f t="shared" si="289"/>
        <v>0</v>
      </c>
      <c r="AS623" s="48">
        <f t="shared" si="289"/>
        <v>0</v>
      </c>
      <c r="AT623" s="48">
        <f t="shared" si="289"/>
        <v>0</v>
      </c>
      <c r="AU623" s="48">
        <f t="shared" si="289"/>
        <v>0</v>
      </c>
      <c r="AV623" s="48">
        <f t="shared" si="289"/>
        <v>0</v>
      </c>
      <c r="AW623" s="48">
        <f t="shared" si="289"/>
        <v>0</v>
      </c>
      <c r="AX623" s="48">
        <f t="shared" si="289"/>
        <v>0</v>
      </c>
      <c r="AY623" s="48">
        <f t="shared" si="289"/>
        <v>0.16666666666666666</v>
      </c>
      <c r="AZ623" s="48">
        <f t="shared" si="289"/>
        <v>1</v>
      </c>
      <c r="BA623" s="48">
        <f t="shared" si="289"/>
        <v>1</v>
      </c>
      <c r="BB623" s="48">
        <f t="shared" si="289"/>
        <v>1</v>
      </c>
      <c r="BC623" s="48">
        <f t="shared" si="289"/>
        <v>1</v>
      </c>
      <c r="BD623" s="48">
        <f t="shared" si="289"/>
        <v>1</v>
      </c>
      <c r="BE623" s="48">
        <f t="shared" si="289"/>
        <v>1</v>
      </c>
      <c r="BF623" s="48">
        <f t="shared" si="289"/>
        <v>1</v>
      </c>
      <c r="BG623" s="48">
        <f t="shared" si="289"/>
        <v>1</v>
      </c>
      <c r="BH623" s="48">
        <f t="shared" si="289"/>
        <v>1</v>
      </c>
      <c r="BI623" s="48">
        <f t="shared" si="289"/>
        <v>1</v>
      </c>
      <c r="BJ623" s="48">
        <f t="shared" si="289"/>
        <v>1</v>
      </c>
      <c r="BK623" s="48">
        <f t="shared" si="289"/>
        <v>1</v>
      </c>
      <c r="BL623" s="48">
        <f t="shared" si="289"/>
        <v>1</v>
      </c>
      <c r="BM623" s="48">
        <f t="shared" si="289"/>
        <v>1</v>
      </c>
      <c r="BN623" s="48">
        <f t="shared" si="289"/>
        <v>1</v>
      </c>
      <c r="BO623" s="32">
        <f t="shared" si="273"/>
        <v>0.25706214689265539</v>
      </c>
    </row>
    <row r="624" spans="1:67" x14ac:dyDescent="0.2">
      <c r="A624" s="50" t="s">
        <v>1256</v>
      </c>
      <c r="B624" s="50" t="s">
        <v>1257</v>
      </c>
      <c r="C624" s="50" t="s">
        <v>117</v>
      </c>
      <c r="D624" s="51">
        <f>VLOOKUP(A624,'[1]Cuadro Control'!C668:J2554,8,FALSE)</f>
        <v>320494616.71764702</v>
      </c>
      <c r="E624" s="52">
        <f t="shared" si="288"/>
        <v>6.0369617599332674E-2</v>
      </c>
      <c r="F624" s="53">
        <v>46519</v>
      </c>
      <c r="G624" s="53">
        <v>46522</v>
      </c>
      <c r="H624" s="52">
        <f t="shared" si="289"/>
        <v>0</v>
      </c>
      <c r="I624" s="52">
        <f t="shared" si="289"/>
        <v>0</v>
      </c>
      <c r="J624" s="52">
        <f t="shared" si="289"/>
        <v>0</v>
      </c>
      <c r="K624" s="52">
        <f t="shared" si="289"/>
        <v>0</v>
      </c>
      <c r="L624" s="52">
        <f t="shared" si="289"/>
        <v>0</v>
      </c>
      <c r="M624" s="52">
        <f t="shared" si="289"/>
        <v>0</v>
      </c>
      <c r="N624" s="52">
        <f t="shared" si="289"/>
        <v>0</v>
      </c>
      <c r="O624" s="52">
        <f t="shared" si="289"/>
        <v>0</v>
      </c>
      <c r="P624" s="52">
        <f t="shared" si="289"/>
        <v>0</v>
      </c>
      <c r="Q624" s="52">
        <f t="shared" si="289"/>
        <v>0</v>
      </c>
      <c r="R624" s="52">
        <f t="shared" si="289"/>
        <v>0</v>
      </c>
      <c r="S624" s="52">
        <f t="shared" si="289"/>
        <v>0</v>
      </c>
      <c r="T624" s="52">
        <f t="shared" si="289"/>
        <v>0</v>
      </c>
      <c r="U624" s="52">
        <f t="shared" si="289"/>
        <v>0</v>
      </c>
      <c r="V624" s="52">
        <f t="shared" si="289"/>
        <v>0</v>
      </c>
      <c r="W624" s="52">
        <f t="shared" si="289"/>
        <v>0</v>
      </c>
      <c r="X624" s="52">
        <f t="shared" si="289"/>
        <v>0</v>
      </c>
      <c r="Y624" s="52">
        <f t="shared" si="289"/>
        <v>0</v>
      </c>
      <c r="Z624" s="52">
        <f t="shared" si="289"/>
        <v>0</v>
      </c>
      <c r="AA624" s="52">
        <f t="shared" si="289"/>
        <v>0</v>
      </c>
      <c r="AB624" s="52">
        <f t="shared" si="289"/>
        <v>0</v>
      </c>
      <c r="AC624" s="52">
        <f t="shared" si="289"/>
        <v>0</v>
      </c>
      <c r="AD624" s="52">
        <f t="shared" si="289"/>
        <v>0</v>
      </c>
      <c r="AE624" s="52">
        <f t="shared" si="289"/>
        <v>0</v>
      </c>
      <c r="AF624" s="52">
        <f t="shared" si="289"/>
        <v>0</v>
      </c>
      <c r="AG624" s="52">
        <f t="shared" si="289"/>
        <v>0</v>
      </c>
      <c r="AH624" s="52">
        <f t="shared" si="289"/>
        <v>0</v>
      </c>
      <c r="AI624" s="52">
        <f t="shared" si="289"/>
        <v>0</v>
      </c>
      <c r="AJ624" s="52">
        <f t="shared" si="289"/>
        <v>0</v>
      </c>
      <c r="AK624" s="52">
        <f t="shared" si="289"/>
        <v>0</v>
      </c>
      <c r="AL624" s="52">
        <f t="shared" si="289"/>
        <v>0</v>
      </c>
      <c r="AM624" s="52">
        <f t="shared" si="289"/>
        <v>0</v>
      </c>
      <c r="AN624" s="52">
        <f t="shared" si="289"/>
        <v>0</v>
      </c>
      <c r="AO624" s="52">
        <f t="shared" si="289"/>
        <v>0</v>
      </c>
      <c r="AP624" s="52">
        <f t="shared" si="289"/>
        <v>0</v>
      </c>
      <c r="AQ624" s="52">
        <f t="shared" si="289"/>
        <v>0</v>
      </c>
      <c r="AR624" s="52">
        <f t="shared" si="289"/>
        <v>0</v>
      </c>
      <c r="AS624" s="52">
        <f t="shared" si="289"/>
        <v>0</v>
      </c>
      <c r="AT624" s="52">
        <f t="shared" si="289"/>
        <v>0</v>
      </c>
      <c r="AU624" s="52">
        <f t="shared" si="289"/>
        <v>0</v>
      </c>
      <c r="AV624" s="52">
        <f t="shared" si="289"/>
        <v>0</v>
      </c>
      <c r="AW624" s="52">
        <f t="shared" si="289"/>
        <v>0</v>
      </c>
      <c r="AX624" s="52">
        <f t="shared" si="289"/>
        <v>0</v>
      </c>
      <c r="AY624" s="52">
        <f t="shared" si="289"/>
        <v>0</v>
      </c>
      <c r="AZ624" s="52">
        <f t="shared" si="289"/>
        <v>0.75</v>
      </c>
      <c r="BA624" s="52">
        <f t="shared" si="289"/>
        <v>1</v>
      </c>
      <c r="BB624" s="52">
        <f t="shared" si="289"/>
        <v>1</v>
      </c>
      <c r="BC624" s="52">
        <f t="shared" si="289"/>
        <v>1</v>
      </c>
      <c r="BD624" s="52">
        <f t="shared" si="289"/>
        <v>1</v>
      </c>
      <c r="BE624" s="52">
        <f t="shared" si="289"/>
        <v>1</v>
      </c>
      <c r="BF624" s="52">
        <f t="shared" si="289"/>
        <v>1</v>
      </c>
      <c r="BG624" s="52">
        <f t="shared" si="289"/>
        <v>1</v>
      </c>
      <c r="BH624" s="52">
        <f t="shared" si="289"/>
        <v>1</v>
      </c>
      <c r="BI624" s="52">
        <f t="shared" si="289"/>
        <v>1</v>
      </c>
      <c r="BJ624" s="52">
        <f t="shared" si="289"/>
        <v>1</v>
      </c>
      <c r="BK624" s="52">
        <f t="shared" si="289"/>
        <v>1</v>
      </c>
      <c r="BL624" s="52">
        <f t="shared" si="289"/>
        <v>1</v>
      </c>
      <c r="BM624" s="52">
        <f t="shared" si="289"/>
        <v>1</v>
      </c>
      <c r="BN624" s="52">
        <f t="shared" si="289"/>
        <v>1</v>
      </c>
      <c r="BO624" s="32">
        <f t="shared" si="273"/>
        <v>0.25</v>
      </c>
    </row>
    <row r="625" spans="1:67" x14ac:dyDescent="0.2">
      <c r="A625" s="50" t="s">
        <v>1258</v>
      </c>
      <c r="B625" s="50" t="s">
        <v>1259</v>
      </c>
      <c r="C625" s="50" t="s">
        <v>111</v>
      </c>
      <c r="D625" s="51">
        <f>VLOOKUP(A625,'[1]Cuadro Control'!C669:J2555,8,FALSE)</f>
        <v>94303618.549411759</v>
      </c>
      <c r="E625" s="52">
        <f t="shared" si="288"/>
        <v>1.7763397864110998E-2</v>
      </c>
      <c r="F625" s="53">
        <v>46522</v>
      </c>
      <c r="G625" s="53">
        <v>46525</v>
      </c>
      <c r="H625" s="52">
        <f t="shared" si="289"/>
        <v>0</v>
      </c>
      <c r="I625" s="52">
        <f t="shared" si="289"/>
        <v>0</v>
      </c>
      <c r="J625" s="52">
        <f t="shared" si="289"/>
        <v>0</v>
      </c>
      <c r="K625" s="52">
        <f t="shared" si="289"/>
        <v>0</v>
      </c>
      <c r="L625" s="52">
        <f t="shared" si="289"/>
        <v>0</v>
      </c>
      <c r="M625" s="52">
        <f t="shared" si="289"/>
        <v>0</v>
      </c>
      <c r="N625" s="52">
        <f t="shared" si="289"/>
        <v>0</v>
      </c>
      <c r="O625" s="52">
        <f t="shared" si="289"/>
        <v>0</v>
      </c>
      <c r="P625" s="52">
        <f t="shared" si="289"/>
        <v>0</v>
      </c>
      <c r="Q625" s="52">
        <f t="shared" si="289"/>
        <v>0</v>
      </c>
      <c r="R625" s="52">
        <f t="shared" si="289"/>
        <v>0</v>
      </c>
      <c r="S625" s="52">
        <f t="shared" si="289"/>
        <v>0</v>
      </c>
      <c r="T625" s="52">
        <f t="shared" si="289"/>
        <v>0</v>
      </c>
      <c r="U625" s="52">
        <f t="shared" si="289"/>
        <v>0</v>
      </c>
      <c r="V625" s="52">
        <f t="shared" si="289"/>
        <v>0</v>
      </c>
      <c r="W625" s="52">
        <f t="shared" si="289"/>
        <v>0</v>
      </c>
      <c r="X625" s="52">
        <f t="shared" si="289"/>
        <v>0</v>
      </c>
      <c r="Y625" s="52">
        <f t="shared" si="289"/>
        <v>0</v>
      </c>
      <c r="Z625" s="52">
        <f t="shared" si="289"/>
        <v>0</v>
      </c>
      <c r="AA625" s="52">
        <f t="shared" ref="AA625:BF636" si="290">IF($F625=0,0,IF(AA$6&lt;$F625,0,IF(AA$6&gt;$G625,1,(AA$6-$F625+1)/($G625-$F625+1))))</f>
        <v>0</v>
      </c>
      <c r="AB625" s="52">
        <f t="shared" si="290"/>
        <v>0</v>
      </c>
      <c r="AC625" s="52">
        <f t="shared" si="290"/>
        <v>0</v>
      </c>
      <c r="AD625" s="52">
        <f t="shared" si="290"/>
        <v>0</v>
      </c>
      <c r="AE625" s="52">
        <f t="shared" si="290"/>
        <v>0</v>
      </c>
      <c r="AF625" s="52">
        <f t="shared" si="290"/>
        <v>0</v>
      </c>
      <c r="AG625" s="52">
        <f t="shared" si="290"/>
        <v>0</v>
      </c>
      <c r="AH625" s="52">
        <f t="shared" si="290"/>
        <v>0</v>
      </c>
      <c r="AI625" s="52">
        <f t="shared" si="290"/>
        <v>0</v>
      </c>
      <c r="AJ625" s="52">
        <f t="shared" si="290"/>
        <v>0</v>
      </c>
      <c r="AK625" s="52">
        <f t="shared" si="290"/>
        <v>0</v>
      </c>
      <c r="AL625" s="52">
        <f t="shared" si="290"/>
        <v>0</v>
      </c>
      <c r="AM625" s="52">
        <f t="shared" si="290"/>
        <v>0</v>
      </c>
      <c r="AN625" s="52">
        <f t="shared" si="290"/>
        <v>0</v>
      </c>
      <c r="AO625" s="52">
        <f t="shared" si="290"/>
        <v>0</v>
      </c>
      <c r="AP625" s="52">
        <f t="shared" si="290"/>
        <v>0</v>
      </c>
      <c r="AQ625" s="52">
        <f t="shared" si="290"/>
        <v>0</v>
      </c>
      <c r="AR625" s="52">
        <f t="shared" si="290"/>
        <v>0</v>
      </c>
      <c r="AS625" s="52">
        <f t="shared" si="290"/>
        <v>0</v>
      </c>
      <c r="AT625" s="52">
        <f t="shared" si="290"/>
        <v>0</v>
      </c>
      <c r="AU625" s="52">
        <f t="shared" si="290"/>
        <v>0</v>
      </c>
      <c r="AV625" s="52">
        <f t="shared" si="290"/>
        <v>0</v>
      </c>
      <c r="AW625" s="52">
        <f t="shared" si="290"/>
        <v>0</v>
      </c>
      <c r="AX625" s="52">
        <f t="shared" si="290"/>
        <v>0</v>
      </c>
      <c r="AY625" s="52">
        <f t="shared" si="290"/>
        <v>0</v>
      </c>
      <c r="AZ625" s="52">
        <f t="shared" si="290"/>
        <v>0</v>
      </c>
      <c r="BA625" s="52">
        <f t="shared" si="290"/>
        <v>1</v>
      </c>
      <c r="BB625" s="52">
        <f t="shared" si="290"/>
        <v>1</v>
      </c>
      <c r="BC625" s="52">
        <f t="shared" si="290"/>
        <v>1</v>
      </c>
      <c r="BD625" s="52">
        <f t="shared" si="290"/>
        <v>1</v>
      </c>
      <c r="BE625" s="52">
        <f t="shared" si="290"/>
        <v>1</v>
      </c>
      <c r="BF625" s="52">
        <f t="shared" si="290"/>
        <v>1</v>
      </c>
      <c r="BG625" s="52">
        <f t="shared" ref="BG625:BN636" si="291">IF($F625=0,0,IF(BG$6&lt;$F625,0,IF(BG$6&gt;$G625,1,(BG$6-$F625+1)/($G625-$F625+1))))</f>
        <v>1</v>
      </c>
      <c r="BH625" s="52">
        <f t="shared" si="291"/>
        <v>1</v>
      </c>
      <c r="BI625" s="52">
        <f t="shared" si="291"/>
        <v>1</v>
      </c>
      <c r="BJ625" s="52">
        <f t="shared" si="291"/>
        <v>1</v>
      </c>
      <c r="BK625" s="52">
        <f t="shared" si="291"/>
        <v>1</v>
      </c>
      <c r="BL625" s="52">
        <f t="shared" si="291"/>
        <v>1</v>
      </c>
      <c r="BM625" s="52">
        <f t="shared" si="291"/>
        <v>1</v>
      </c>
      <c r="BN625" s="52">
        <f t="shared" si="291"/>
        <v>1</v>
      </c>
      <c r="BO625" s="32">
        <f t="shared" si="273"/>
        <v>0.23728813559322035</v>
      </c>
    </row>
    <row r="626" spans="1:67" x14ac:dyDescent="0.2">
      <c r="A626" s="50" t="s">
        <v>1260</v>
      </c>
      <c r="B626" s="50" t="s">
        <v>1261</v>
      </c>
      <c r="C626" s="50" t="s">
        <v>238</v>
      </c>
      <c r="D626" s="51">
        <f>VLOOKUP(A626,'[1]Cuadro Control'!C670:J2556,8,FALSE)</f>
        <v>179436034.15411764</v>
      </c>
      <c r="E626" s="52">
        <f t="shared" si="288"/>
        <v>3.3799272126209236E-2</v>
      </c>
      <c r="F626" s="53">
        <v>46525</v>
      </c>
      <c r="G626" s="53">
        <v>46531</v>
      </c>
      <c r="H626" s="52">
        <f t="shared" ref="H626:W636" si="292">IF($F626=0,0,IF(H$6&lt;$F626,0,IF(H$6&gt;$G626,1,(H$6-$F626+1)/($G626-$F626+1))))</f>
        <v>0</v>
      </c>
      <c r="I626" s="52">
        <f t="shared" si="292"/>
        <v>0</v>
      </c>
      <c r="J626" s="52">
        <f t="shared" si="292"/>
        <v>0</v>
      </c>
      <c r="K626" s="52">
        <f t="shared" si="292"/>
        <v>0</v>
      </c>
      <c r="L626" s="52">
        <f t="shared" si="292"/>
        <v>0</v>
      </c>
      <c r="M626" s="52">
        <f t="shared" si="292"/>
        <v>0</v>
      </c>
      <c r="N626" s="52">
        <f t="shared" si="292"/>
        <v>0</v>
      </c>
      <c r="O626" s="52">
        <f t="shared" si="292"/>
        <v>0</v>
      </c>
      <c r="P626" s="52">
        <f t="shared" si="292"/>
        <v>0</v>
      </c>
      <c r="Q626" s="52">
        <f t="shared" si="292"/>
        <v>0</v>
      </c>
      <c r="R626" s="52">
        <f t="shared" si="292"/>
        <v>0</v>
      </c>
      <c r="S626" s="52">
        <f t="shared" si="292"/>
        <v>0</v>
      </c>
      <c r="T626" s="52">
        <f t="shared" si="292"/>
        <v>0</v>
      </c>
      <c r="U626" s="52">
        <f t="shared" si="292"/>
        <v>0</v>
      </c>
      <c r="V626" s="52">
        <f t="shared" si="292"/>
        <v>0</v>
      </c>
      <c r="W626" s="52">
        <f t="shared" si="292"/>
        <v>0</v>
      </c>
      <c r="X626" s="52">
        <f t="shared" ref="X626:BC636" si="293">IF($F626=0,0,IF(X$6&lt;$F626,0,IF(X$6&gt;$G626,1,(X$6-$F626+1)/($G626-$F626+1))))</f>
        <v>0</v>
      </c>
      <c r="Y626" s="52">
        <f t="shared" si="293"/>
        <v>0</v>
      </c>
      <c r="Z626" s="52">
        <f t="shared" si="293"/>
        <v>0</v>
      </c>
      <c r="AA626" s="52">
        <f t="shared" si="293"/>
        <v>0</v>
      </c>
      <c r="AB626" s="52">
        <f t="shared" si="293"/>
        <v>0</v>
      </c>
      <c r="AC626" s="52">
        <f t="shared" si="293"/>
        <v>0</v>
      </c>
      <c r="AD626" s="52">
        <f t="shared" si="293"/>
        <v>0</v>
      </c>
      <c r="AE626" s="52">
        <f t="shared" si="293"/>
        <v>0</v>
      </c>
      <c r="AF626" s="52">
        <f t="shared" si="293"/>
        <v>0</v>
      </c>
      <c r="AG626" s="52">
        <f t="shared" si="293"/>
        <v>0</v>
      </c>
      <c r="AH626" s="52">
        <f t="shared" si="293"/>
        <v>0</v>
      </c>
      <c r="AI626" s="52">
        <f t="shared" si="293"/>
        <v>0</v>
      </c>
      <c r="AJ626" s="52">
        <f t="shared" si="293"/>
        <v>0</v>
      </c>
      <c r="AK626" s="52">
        <f t="shared" si="293"/>
        <v>0</v>
      </c>
      <c r="AL626" s="52">
        <f t="shared" si="293"/>
        <v>0</v>
      </c>
      <c r="AM626" s="52">
        <f t="shared" si="293"/>
        <v>0</v>
      </c>
      <c r="AN626" s="52">
        <f t="shared" si="293"/>
        <v>0</v>
      </c>
      <c r="AO626" s="52">
        <f t="shared" si="290"/>
        <v>0</v>
      </c>
      <c r="AP626" s="52">
        <f t="shared" si="290"/>
        <v>0</v>
      </c>
      <c r="AQ626" s="52">
        <f t="shared" si="290"/>
        <v>0</v>
      </c>
      <c r="AR626" s="52">
        <f t="shared" si="290"/>
        <v>0</v>
      </c>
      <c r="AS626" s="52">
        <f t="shared" si="290"/>
        <v>0</v>
      </c>
      <c r="AT626" s="52">
        <f t="shared" si="290"/>
        <v>0</v>
      </c>
      <c r="AU626" s="52">
        <f t="shared" si="290"/>
        <v>0</v>
      </c>
      <c r="AV626" s="52">
        <f t="shared" si="290"/>
        <v>0</v>
      </c>
      <c r="AW626" s="52">
        <f t="shared" si="290"/>
        <v>0</v>
      </c>
      <c r="AX626" s="52">
        <f t="shared" si="290"/>
        <v>0</v>
      </c>
      <c r="AY626" s="52">
        <f t="shared" si="290"/>
        <v>0</v>
      </c>
      <c r="AZ626" s="52">
        <f t="shared" si="290"/>
        <v>0</v>
      </c>
      <c r="BA626" s="52">
        <f t="shared" si="290"/>
        <v>0.5714285714285714</v>
      </c>
      <c r="BB626" s="52">
        <f t="shared" si="290"/>
        <v>1</v>
      </c>
      <c r="BC626" s="52">
        <f t="shared" si="290"/>
        <v>1</v>
      </c>
      <c r="BD626" s="52">
        <f t="shared" si="290"/>
        <v>1</v>
      </c>
      <c r="BE626" s="52">
        <f t="shared" si="290"/>
        <v>1</v>
      </c>
      <c r="BF626" s="52">
        <f t="shared" si="290"/>
        <v>1</v>
      </c>
      <c r="BG626" s="52">
        <f t="shared" si="291"/>
        <v>1</v>
      </c>
      <c r="BH626" s="52">
        <f t="shared" si="291"/>
        <v>1</v>
      </c>
      <c r="BI626" s="52">
        <f t="shared" si="291"/>
        <v>1</v>
      </c>
      <c r="BJ626" s="52">
        <f t="shared" si="291"/>
        <v>1</v>
      </c>
      <c r="BK626" s="52">
        <f t="shared" si="291"/>
        <v>1</v>
      </c>
      <c r="BL626" s="52">
        <f t="shared" si="291"/>
        <v>1</v>
      </c>
      <c r="BM626" s="52">
        <f t="shared" si="291"/>
        <v>1</v>
      </c>
      <c r="BN626" s="52">
        <f t="shared" si="291"/>
        <v>1</v>
      </c>
      <c r="BO626" s="32">
        <f t="shared" si="273"/>
        <v>0.23002421307506052</v>
      </c>
    </row>
    <row r="627" spans="1:67" x14ac:dyDescent="0.2">
      <c r="A627" s="50" t="s">
        <v>1262</v>
      </c>
      <c r="B627" s="50" t="s">
        <v>1263</v>
      </c>
      <c r="C627" s="50" t="s">
        <v>58</v>
      </c>
      <c r="D627" s="51">
        <f>VLOOKUP(A627,'[1]Cuadro Control'!C671:J2557,8,FALSE)</f>
        <v>1212623361.2117648</v>
      </c>
      <c r="E627" s="52">
        <f t="shared" si="288"/>
        <v>0.22841447185013161</v>
      </c>
      <c r="F627" s="53">
        <v>46531</v>
      </c>
      <c r="G627" s="53">
        <v>46548</v>
      </c>
      <c r="H627" s="52">
        <f t="shared" si="292"/>
        <v>0</v>
      </c>
      <c r="I627" s="52">
        <f t="shared" si="292"/>
        <v>0</v>
      </c>
      <c r="J627" s="52">
        <f t="shared" si="292"/>
        <v>0</v>
      </c>
      <c r="K627" s="52">
        <f t="shared" si="292"/>
        <v>0</v>
      </c>
      <c r="L627" s="52">
        <f t="shared" si="292"/>
        <v>0</v>
      </c>
      <c r="M627" s="52">
        <f t="shared" si="292"/>
        <v>0</v>
      </c>
      <c r="N627" s="52">
        <f t="shared" si="292"/>
        <v>0</v>
      </c>
      <c r="O627" s="52">
        <f t="shared" si="292"/>
        <v>0</v>
      </c>
      <c r="P627" s="52">
        <f t="shared" si="292"/>
        <v>0</v>
      </c>
      <c r="Q627" s="52">
        <f t="shared" si="292"/>
        <v>0</v>
      </c>
      <c r="R627" s="52">
        <f t="shared" si="292"/>
        <v>0</v>
      </c>
      <c r="S627" s="52">
        <f t="shared" si="292"/>
        <v>0</v>
      </c>
      <c r="T627" s="52">
        <f t="shared" si="292"/>
        <v>0</v>
      </c>
      <c r="U627" s="52">
        <f t="shared" si="292"/>
        <v>0</v>
      </c>
      <c r="V627" s="52">
        <f t="shared" si="292"/>
        <v>0</v>
      </c>
      <c r="W627" s="52">
        <f t="shared" si="292"/>
        <v>0</v>
      </c>
      <c r="X627" s="52">
        <f t="shared" si="293"/>
        <v>0</v>
      </c>
      <c r="Y627" s="52">
        <f t="shared" si="293"/>
        <v>0</v>
      </c>
      <c r="Z627" s="52">
        <f t="shared" si="293"/>
        <v>0</v>
      </c>
      <c r="AA627" s="52">
        <f t="shared" si="293"/>
        <v>0</v>
      </c>
      <c r="AB627" s="52">
        <f t="shared" si="293"/>
        <v>0</v>
      </c>
      <c r="AC627" s="52">
        <f t="shared" si="293"/>
        <v>0</v>
      </c>
      <c r="AD627" s="52">
        <f t="shared" si="293"/>
        <v>0</v>
      </c>
      <c r="AE627" s="52">
        <f t="shared" si="293"/>
        <v>0</v>
      </c>
      <c r="AF627" s="52">
        <f t="shared" si="293"/>
        <v>0</v>
      </c>
      <c r="AG627" s="52">
        <f t="shared" si="293"/>
        <v>0</v>
      </c>
      <c r="AH627" s="52">
        <f t="shared" si="293"/>
        <v>0</v>
      </c>
      <c r="AI627" s="52">
        <f t="shared" si="293"/>
        <v>0</v>
      </c>
      <c r="AJ627" s="52">
        <f t="shared" si="293"/>
        <v>0</v>
      </c>
      <c r="AK627" s="52">
        <f t="shared" si="293"/>
        <v>0</v>
      </c>
      <c r="AL627" s="52">
        <f t="shared" si="293"/>
        <v>0</v>
      </c>
      <c r="AM627" s="52">
        <f t="shared" si="293"/>
        <v>0</v>
      </c>
      <c r="AN627" s="52">
        <f t="shared" si="293"/>
        <v>0</v>
      </c>
      <c r="AO627" s="52">
        <f t="shared" si="290"/>
        <v>0</v>
      </c>
      <c r="AP627" s="52">
        <f t="shared" si="290"/>
        <v>0</v>
      </c>
      <c r="AQ627" s="52">
        <f t="shared" si="290"/>
        <v>0</v>
      </c>
      <c r="AR627" s="52">
        <f t="shared" si="290"/>
        <v>0</v>
      </c>
      <c r="AS627" s="52">
        <f t="shared" si="290"/>
        <v>0</v>
      </c>
      <c r="AT627" s="52">
        <f t="shared" si="290"/>
        <v>0</v>
      </c>
      <c r="AU627" s="52">
        <f t="shared" si="290"/>
        <v>0</v>
      </c>
      <c r="AV627" s="52">
        <f t="shared" si="290"/>
        <v>0</v>
      </c>
      <c r="AW627" s="52">
        <f t="shared" si="290"/>
        <v>0</v>
      </c>
      <c r="AX627" s="52">
        <f t="shared" si="290"/>
        <v>0</v>
      </c>
      <c r="AY627" s="52">
        <f t="shared" si="290"/>
        <v>0</v>
      </c>
      <c r="AZ627" s="52">
        <f t="shared" si="290"/>
        <v>0</v>
      </c>
      <c r="BA627" s="52">
        <f t="shared" si="290"/>
        <v>0</v>
      </c>
      <c r="BB627" s="52">
        <f t="shared" si="290"/>
        <v>0.27777777777777779</v>
      </c>
      <c r="BC627" s="52">
        <f t="shared" si="290"/>
        <v>0.66666666666666663</v>
      </c>
      <c r="BD627" s="52">
        <f t="shared" si="290"/>
        <v>1</v>
      </c>
      <c r="BE627" s="52">
        <f t="shared" si="290"/>
        <v>1</v>
      </c>
      <c r="BF627" s="52">
        <f t="shared" si="290"/>
        <v>1</v>
      </c>
      <c r="BG627" s="52">
        <f t="shared" si="291"/>
        <v>1</v>
      </c>
      <c r="BH627" s="52">
        <f t="shared" si="291"/>
        <v>1</v>
      </c>
      <c r="BI627" s="52">
        <f t="shared" si="291"/>
        <v>1</v>
      </c>
      <c r="BJ627" s="52">
        <f t="shared" si="291"/>
        <v>1</v>
      </c>
      <c r="BK627" s="52">
        <f t="shared" si="291"/>
        <v>1</v>
      </c>
      <c r="BL627" s="52">
        <f t="shared" si="291"/>
        <v>1</v>
      </c>
      <c r="BM627" s="52">
        <f t="shared" si="291"/>
        <v>1</v>
      </c>
      <c r="BN627" s="52">
        <f t="shared" si="291"/>
        <v>1</v>
      </c>
      <c r="BO627" s="32">
        <f t="shared" si="273"/>
        <v>0.2024482109227872</v>
      </c>
    </row>
    <row r="628" spans="1:67" x14ac:dyDescent="0.2">
      <c r="A628" s="50" t="s">
        <v>1264</v>
      </c>
      <c r="B628" s="50" t="s">
        <v>1265</v>
      </c>
      <c r="C628" s="50" t="s">
        <v>126</v>
      </c>
      <c r="D628" s="51">
        <f>VLOOKUP(A628,'[1]Cuadro Control'!C672:J2558,8,FALSE)</f>
        <v>0</v>
      </c>
      <c r="E628" s="52">
        <f t="shared" si="288"/>
        <v>0</v>
      </c>
      <c r="F628" s="53">
        <v>46548</v>
      </c>
      <c r="G628" s="53">
        <v>46552</v>
      </c>
      <c r="H628" s="52">
        <f t="shared" si="292"/>
        <v>0</v>
      </c>
      <c r="I628" s="52">
        <f t="shared" si="292"/>
        <v>0</v>
      </c>
      <c r="J628" s="52">
        <f t="shared" si="292"/>
        <v>0</v>
      </c>
      <c r="K628" s="52">
        <f t="shared" si="292"/>
        <v>0</v>
      </c>
      <c r="L628" s="52">
        <f t="shared" si="292"/>
        <v>0</v>
      </c>
      <c r="M628" s="52">
        <f t="shared" si="292"/>
        <v>0</v>
      </c>
      <c r="N628" s="52">
        <f t="shared" si="292"/>
        <v>0</v>
      </c>
      <c r="O628" s="52">
        <f t="shared" si="292"/>
        <v>0</v>
      </c>
      <c r="P628" s="52">
        <f t="shared" si="292"/>
        <v>0</v>
      </c>
      <c r="Q628" s="52">
        <f t="shared" si="292"/>
        <v>0</v>
      </c>
      <c r="R628" s="52">
        <f t="shared" si="292"/>
        <v>0</v>
      </c>
      <c r="S628" s="52">
        <f t="shared" si="292"/>
        <v>0</v>
      </c>
      <c r="T628" s="52">
        <f t="shared" si="292"/>
        <v>0</v>
      </c>
      <c r="U628" s="52">
        <f t="shared" si="292"/>
        <v>0</v>
      </c>
      <c r="V628" s="52">
        <f t="shared" si="292"/>
        <v>0</v>
      </c>
      <c r="W628" s="52">
        <f t="shared" si="292"/>
        <v>0</v>
      </c>
      <c r="X628" s="52">
        <f t="shared" si="293"/>
        <v>0</v>
      </c>
      <c r="Y628" s="52">
        <f t="shared" si="293"/>
        <v>0</v>
      </c>
      <c r="Z628" s="52">
        <f t="shared" si="293"/>
        <v>0</v>
      </c>
      <c r="AA628" s="52">
        <f t="shared" si="293"/>
        <v>0</v>
      </c>
      <c r="AB628" s="52">
        <f t="shared" si="293"/>
        <v>0</v>
      </c>
      <c r="AC628" s="52">
        <f t="shared" si="293"/>
        <v>0</v>
      </c>
      <c r="AD628" s="52">
        <f t="shared" si="293"/>
        <v>0</v>
      </c>
      <c r="AE628" s="52">
        <f t="shared" si="293"/>
        <v>0</v>
      </c>
      <c r="AF628" s="52">
        <f t="shared" si="293"/>
        <v>0</v>
      </c>
      <c r="AG628" s="52">
        <f t="shared" si="293"/>
        <v>0</v>
      </c>
      <c r="AH628" s="52">
        <f t="shared" si="293"/>
        <v>0</v>
      </c>
      <c r="AI628" s="52">
        <f t="shared" si="293"/>
        <v>0</v>
      </c>
      <c r="AJ628" s="52">
        <f t="shared" si="293"/>
        <v>0</v>
      </c>
      <c r="AK628" s="52">
        <f t="shared" si="293"/>
        <v>0</v>
      </c>
      <c r="AL628" s="52">
        <f t="shared" si="293"/>
        <v>0</v>
      </c>
      <c r="AM628" s="52">
        <f t="shared" si="293"/>
        <v>0</v>
      </c>
      <c r="AN628" s="52">
        <f t="shared" si="293"/>
        <v>0</v>
      </c>
      <c r="AO628" s="52">
        <f t="shared" si="290"/>
        <v>0</v>
      </c>
      <c r="AP628" s="52">
        <f t="shared" si="290"/>
        <v>0</v>
      </c>
      <c r="AQ628" s="52">
        <f t="shared" si="290"/>
        <v>0</v>
      </c>
      <c r="AR628" s="52">
        <f t="shared" si="290"/>
        <v>0</v>
      </c>
      <c r="AS628" s="52">
        <f t="shared" si="290"/>
        <v>0</v>
      </c>
      <c r="AT628" s="52">
        <f t="shared" si="290"/>
        <v>0</v>
      </c>
      <c r="AU628" s="52">
        <f t="shared" si="290"/>
        <v>0</v>
      </c>
      <c r="AV628" s="52">
        <f t="shared" si="290"/>
        <v>0</v>
      </c>
      <c r="AW628" s="52">
        <f t="shared" si="290"/>
        <v>0</v>
      </c>
      <c r="AX628" s="52">
        <f t="shared" si="290"/>
        <v>0</v>
      </c>
      <c r="AY628" s="52">
        <f t="shared" si="290"/>
        <v>0</v>
      </c>
      <c r="AZ628" s="52">
        <f t="shared" si="290"/>
        <v>0</v>
      </c>
      <c r="BA628" s="52">
        <f t="shared" si="290"/>
        <v>0</v>
      </c>
      <c r="BB628" s="52">
        <f t="shared" si="290"/>
        <v>0</v>
      </c>
      <c r="BC628" s="52">
        <f t="shared" si="290"/>
        <v>0</v>
      </c>
      <c r="BD628" s="52">
        <f t="shared" si="290"/>
        <v>0.4</v>
      </c>
      <c r="BE628" s="52">
        <f t="shared" si="290"/>
        <v>1</v>
      </c>
      <c r="BF628" s="52">
        <f t="shared" si="290"/>
        <v>1</v>
      </c>
      <c r="BG628" s="52">
        <f t="shared" si="291"/>
        <v>1</v>
      </c>
      <c r="BH628" s="52">
        <f t="shared" si="291"/>
        <v>1</v>
      </c>
      <c r="BI628" s="52">
        <f t="shared" si="291"/>
        <v>1</v>
      </c>
      <c r="BJ628" s="52">
        <f t="shared" si="291"/>
        <v>1</v>
      </c>
      <c r="BK628" s="52">
        <f t="shared" si="291"/>
        <v>1</v>
      </c>
      <c r="BL628" s="52">
        <f t="shared" si="291"/>
        <v>1</v>
      </c>
      <c r="BM628" s="52">
        <f t="shared" si="291"/>
        <v>1</v>
      </c>
      <c r="BN628" s="52">
        <f t="shared" si="291"/>
        <v>1</v>
      </c>
      <c r="BO628" s="32">
        <f t="shared" si="273"/>
        <v>0.17627118644067796</v>
      </c>
    </row>
    <row r="629" spans="1:67" ht="24" x14ac:dyDescent="0.2">
      <c r="A629" s="55" t="s">
        <v>1266</v>
      </c>
      <c r="B629" s="55" t="s">
        <v>1267</v>
      </c>
      <c r="C629" s="55" t="s">
        <v>14</v>
      </c>
      <c r="D629" s="56">
        <f>VLOOKUP(A629,'[1]Cuadro Control'!C674:J2559,8,FALSE)</f>
        <v>0</v>
      </c>
      <c r="E629" s="57">
        <f t="shared" si="288"/>
        <v>0</v>
      </c>
      <c r="F629" s="58">
        <v>46548</v>
      </c>
      <c r="G629" s="58">
        <v>46548</v>
      </c>
      <c r="H629" s="57">
        <f t="shared" si="292"/>
        <v>0</v>
      </c>
      <c r="I629" s="57">
        <f t="shared" si="292"/>
        <v>0</v>
      </c>
      <c r="J629" s="57">
        <f t="shared" si="292"/>
        <v>0</v>
      </c>
      <c r="K629" s="57">
        <f t="shared" si="292"/>
        <v>0</v>
      </c>
      <c r="L629" s="57">
        <f t="shared" si="292"/>
        <v>0</v>
      </c>
      <c r="M629" s="57">
        <f t="shared" si="292"/>
        <v>0</v>
      </c>
      <c r="N629" s="57">
        <f t="shared" si="292"/>
        <v>0</v>
      </c>
      <c r="O629" s="57">
        <f t="shared" si="292"/>
        <v>0</v>
      </c>
      <c r="P629" s="57">
        <f t="shared" si="292"/>
        <v>0</v>
      </c>
      <c r="Q629" s="57">
        <f t="shared" si="292"/>
        <v>0</v>
      </c>
      <c r="R629" s="57">
        <f t="shared" si="292"/>
        <v>0</v>
      </c>
      <c r="S629" s="57">
        <f t="shared" si="292"/>
        <v>0</v>
      </c>
      <c r="T629" s="57">
        <f t="shared" si="292"/>
        <v>0</v>
      </c>
      <c r="U629" s="57">
        <f t="shared" si="292"/>
        <v>0</v>
      </c>
      <c r="V629" s="57">
        <f t="shared" si="292"/>
        <v>0</v>
      </c>
      <c r="W629" s="57">
        <f t="shared" si="292"/>
        <v>0</v>
      </c>
      <c r="X629" s="57">
        <f t="shared" si="293"/>
        <v>0</v>
      </c>
      <c r="Y629" s="57">
        <f t="shared" si="293"/>
        <v>0</v>
      </c>
      <c r="Z629" s="57">
        <f t="shared" si="293"/>
        <v>0</v>
      </c>
      <c r="AA629" s="57">
        <f t="shared" si="293"/>
        <v>0</v>
      </c>
      <c r="AB629" s="57">
        <f t="shared" si="293"/>
        <v>0</v>
      </c>
      <c r="AC629" s="57">
        <f t="shared" si="293"/>
        <v>0</v>
      </c>
      <c r="AD629" s="57">
        <f t="shared" si="293"/>
        <v>0</v>
      </c>
      <c r="AE629" s="57">
        <f t="shared" si="293"/>
        <v>0</v>
      </c>
      <c r="AF629" s="57">
        <f t="shared" si="293"/>
        <v>0</v>
      </c>
      <c r="AG629" s="57">
        <f t="shared" si="293"/>
        <v>0</v>
      </c>
      <c r="AH629" s="57">
        <f t="shared" si="293"/>
        <v>0</v>
      </c>
      <c r="AI629" s="57">
        <f t="shared" si="293"/>
        <v>0</v>
      </c>
      <c r="AJ629" s="57">
        <f t="shared" si="293"/>
        <v>0</v>
      </c>
      <c r="AK629" s="57">
        <f t="shared" si="293"/>
        <v>0</v>
      </c>
      <c r="AL629" s="57">
        <f t="shared" si="293"/>
        <v>0</v>
      </c>
      <c r="AM629" s="57">
        <f t="shared" si="293"/>
        <v>0</v>
      </c>
      <c r="AN629" s="57">
        <f t="shared" si="293"/>
        <v>0</v>
      </c>
      <c r="AO629" s="57">
        <f t="shared" si="290"/>
        <v>0</v>
      </c>
      <c r="AP629" s="57">
        <f t="shared" si="290"/>
        <v>0</v>
      </c>
      <c r="AQ629" s="57">
        <f t="shared" si="290"/>
        <v>0</v>
      </c>
      <c r="AR629" s="57">
        <f t="shared" si="290"/>
        <v>0</v>
      </c>
      <c r="AS629" s="57">
        <f t="shared" si="290"/>
        <v>0</v>
      </c>
      <c r="AT629" s="57">
        <f t="shared" si="290"/>
        <v>0</v>
      </c>
      <c r="AU629" s="57">
        <f t="shared" si="290"/>
        <v>0</v>
      </c>
      <c r="AV629" s="57">
        <f t="shared" si="290"/>
        <v>0</v>
      </c>
      <c r="AW629" s="57">
        <f t="shared" si="290"/>
        <v>0</v>
      </c>
      <c r="AX629" s="57">
        <f t="shared" si="290"/>
        <v>0</v>
      </c>
      <c r="AY629" s="57">
        <f t="shared" si="290"/>
        <v>0</v>
      </c>
      <c r="AZ629" s="57">
        <f t="shared" si="290"/>
        <v>0</v>
      </c>
      <c r="BA629" s="57">
        <f t="shared" si="290"/>
        <v>0</v>
      </c>
      <c r="BB629" s="57">
        <f t="shared" si="290"/>
        <v>0</v>
      </c>
      <c r="BC629" s="57">
        <f t="shared" si="290"/>
        <v>0</v>
      </c>
      <c r="BD629" s="57">
        <f t="shared" si="290"/>
        <v>1</v>
      </c>
      <c r="BE629" s="57">
        <f t="shared" si="290"/>
        <v>1</v>
      </c>
      <c r="BF629" s="57">
        <f t="shared" si="290"/>
        <v>1</v>
      </c>
      <c r="BG629" s="57">
        <f t="shared" si="291"/>
        <v>1</v>
      </c>
      <c r="BH629" s="57">
        <f t="shared" si="291"/>
        <v>1</v>
      </c>
      <c r="BI629" s="57">
        <f t="shared" si="291"/>
        <v>1</v>
      </c>
      <c r="BJ629" s="57">
        <f t="shared" si="291"/>
        <v>1</v>
      </c>
      <c r="BK629" s="57">
        <f t="shared" si="291"/>
        <v>1</v>
      </c>
      <c r="BL629" s="57">
        <f t="shared" si="291"/>
        <v>1</v>
      </c>
      <c r="BM629" s="57">
        <f t="shared" si="291"/>
        <v>1</v>
      </c>
      <c r="BN629" s="57">
        <f t="shared" si="291"/>
        <v>1</v>
      </c>
      <c r="BO629" s="32">
        <f t="shared" si="273"/>
        <v>0.1864406779661017</v>
      </c>
    </row>
    <row r="630" spans="1:67" x14ac:dyDescent="0.2">
      <c r="A630" s="50" t="s">
        <v>1268</v>
      </c>
      <c r="B630" s="50" t="s">
        <v>1269</v>
      </c>
      <c r="C630" s="50" t="s">
        <v>111</v>
      </c>
      <c r="D630" s="51">
        <f>VLOOKUP(A630,'[1]Cuadro Control'!C675:J2560,8,FALSE)</f>
        <v>1230815225.9452939</v>
      </c>
      <c r="E630" s="52">
        <f t="shared" si="288"/>
        <v>0.2318411625341423</v>
      </c>
      <c r="F630" s="53">
        <v>46552</v>
      </c>
      <c r="G630" s="53">
        <v>46553</v>
      </c>
      <c r="H630" s="52">
        <f t="shared" si="292"/>
        <v>0</v>
      </c>
      <c r="I630" s="52">
        <f t="shared" si="292"/>
        <v>0</v>
      </c>
      <c r="J630" s="52">
        <f t="shared" si="292"/>
        <v>0</v>
      </c>
      <c r="K630" s="52">
        <f t="shared" si="292"/>
        <v>0</v>
      </c>
      <c r="L630" s="52">
        <f t="shared" si="292"/>
        <v>0</v>
      </c>
      <c r="M630" s="52">
        <f t="shared" si="292"/>
        <v>0</v>
      </c>
      <c r="N630" s="52">
        <f t="shared" si="292"/>
        <v>0</v>
      </c>
      <c r="O630" s="52">
        <f t="shared" si="292"/>
        <v>0</v>
      </c>
      <c r="P630" s="52">
        <f t="shared" si="292"/>
        <v>0</v>
      </c>
      <c r="Q630" s="52">
        <f t="shared" si="292"/>
        <v>0</v>
      </c>
      <c r="R630" s="52">
        <f t="shared" si="292"/>
        <v>0</v>
      </c>
      <c r="S630" s="52">
        <f t="shared" si="292"/>
        <v>0</v>
      </c>
      <c r="T630" s="52">
        <f t="shared" si="292"/>
        <v>0</v>
      </c>
      <c r="U630" s="52">
        <f t="shared" si="292"/>
        <v>0</v>
      </c>
      <c r="V630" s="52">
        <f t="shared" si="292"/>
        <v>0</v>
      </c>
      <c r="W630" s="52">
        <f t="shared" si="292"/>
        <v>0</v>
      </c>
      <c r="X630" s="52">
        <f t="shared" si="293"/>
        <v>0</v>
      </c>
      <c r="Y630" s="52">
        <f t="shared" si="293"/>
        <v>0</v>
      </c>
      <c r="Z630" s="52">
        <f t="shared" si="293"/>
        <v>0</v>
      </c>
      <c r="AA630" s="52">
        <f t="shared" si="293"/>
        <v>0</v>
      </c>
      <c r="AB630" s="52">
        <f t="shared" si="293"/>
        <v>0</v>
      </c>
      <c r="AC630" s="52">
        <f t="shared" si="293"/>
        <v>0</v>
      </c>
      <c r="AD630" s="52">
        <f t="shared" si="293"/>
        <v>0</v>
      </c>
      <c r="AE630" s="52">
        <f t="shared" si="293"/>
        <v>0</v>
      </c>
      <c r="AF630" s="52">
        <f t="shared" si="293"/>
        <v>0</v>
      </c>
      <c r="AG630" s="52">
        <f t="shared" si="293"/>
        <v>0</v>
      </c>
      <c r="AH630" s="52">
        <f t="shared" si="293"/>
        <v>0</v>
      </c>
      <c r="AI630" s="52">
        <f t="shared" si="293"/>
        <v>0</v>
      </c>
      <c r="AJ630" s="52">
        <f t="shared" si="293"/>
        <v>0</v>
      </c>
      <c r="AK630" s="52">
        <f t="shared" si="293"/>
        <v>0</v>
      </c>
      <c r="AL630" s="52">
        <f t="shared" si="293"/>
        <v>0</v>
      </c>
      <c r="AM630" s="52">
        <f t="shared" si="293"/>
        <v>0</v>
      </c>
      <c r="AN630" s="52">
        <f t="shared" si="293"/>
        <v>0</v>
      </c>
      <c r="AO630" s="52">
        <f t="shared" si="290"/>
        <v>0</v>
      </c>
      <c r="AP630" s="52">
        <f t="shared" si="290"/>
        <v>0</v>
      </c>
      <c r="AQ630" s="52">
        <f t="shared" si="290"/>
        <v>0</v>
      </c>
      <c r="AR630" s="52">
        <f t="shared" si="290"/>
        <v>0</v>
      </c>
      <c r="AS630" s="52">
        <f t="shared" si="290"/>
        <v>0</v>
      </c>
      <c r="AT630" s="52">
        <f t="shared" si="290"/>
        <v>0</v>
      </c>
      <c r="AU630" s="52">
        <f t="shared" si="290"/>
        <v>0</v>
      </c>
      <c r="AV630" s="52">
        <f t="shared" si="290"/>
        <v>0</v>
      </c>
      <c r="AW630" s="52">
        <f t="shared" si="290"/>
        <v>0</v>
      </c>
      <c r="AX630" s="52">
        <f t="shared" si="290"/>
        <v>0</v>
      </c>
      <c r="AY630" s="52">
        <f t="shared" si="290"/>
        <v>0</v>
      </c>
      <c r="AZ630" s="52">
        <f t="shared" si="290"/>
        <v>0</v>
      </c>
      <c r="BA630" s="52">
        <f t="shared" si="290"/>
        <v>0</v>
      </c>
      <c r="BB630" s="52">
        <f t="shared" si="290"/>
        <v>0</v>
      </c>
      <c r="BC630" s="52">
        <f t="shared" si="290"/>
        <v>0</v>
      </c>
      <c r="BD630" s="52">
        <f t="shared" si="290"/>
        <v>0</v>
      </c>
      <c r="BE630" s="52">
        <f t="shared" si="290"/>
        <v>1</v>
      </c>
      <c r="BF630" s="52">
        <f t="shared" si="290"/>
        <v>1</v>
      </c>
      <c r="BG630" s="52">
        <f t="shared" si="291"/>
        <v>1</v>
      </c>
      <c r="BH630" s="52">
        <f t="shared" si="291"/>
        <v>1</v>
      </c>
      <c r="BI630" s="52">
        <f t="shared" si="291"/>
        <v>1</v>
      </c>
      <c r="BJ630" s="52">
        <f t="shared" si="291"/>
        <v>1</v>
      </c>
      <c r="BK630" s="52">
        <f t="shared" si="291"/>
        <v>1</v>
      </c>
      <c r="BL630" s="52">
        <f t="shared" si="291"/>
        <v>1</v>
      </c>
      <c r="BM630" s="52">
        <f t="shared" si="291"/>
        <v>1</v>
      </c>
      <c r="BN630" s="52">
        <f t="shared" si="291"/>
        <v>1</v>
      </c>
      <c r="BO630" s="32">
        <f t="shared" si="273"/>
        <v>0.16949152542372881</v>
      </c>
    </row>
    <row r="631" spans="1:67" x14ac:dyDescent="0.2">
      <c r="A631" s="50" t="s">
        <v>1270</v>
      </c>
      <c r="B631" s="50" t="s">
        <v>1271</v>
      </c>
      <c r="C631" s="50" t="s">
        <v>238</v>
      </c>
      <c r="D631" s="51">
        <f>VLOOKUP(A631,'[1]Cuadro Control'!C676:J2561,8,FALSE)</f>
        <v>0</v>
      </c>
      <c r="E631" s="52">
        <f t="shared" si="288"/>
        <v>0</v>
      </c>
      <c r="F631" s="53">
        <v>46553</v>
      </c>
      <c r="G631" s="53">
        <v>46560</v>
      </c>
      <c r="H631" s="52">
        <f t="shared" si="292"/>
        <v>0</v>
      </c>
      <c r="I631" s="52">
        <f t="shared" si="292"/>
        <v>0</v>
      </c>
      <c r="J631" s="52">
        <f t="shared" si="292"/>
        <v>0</v>
      </c>
      <c r="K631" s="52">
        <f t="shared" si="292"/>
        <v>0</v>
      </c>
      <c r="L631" s="52">
        <f t="shared" si="292"/>
        <v>0</v>
      </c>
      <c r="M631" s="52">
        <f t="shared" si="292"/>
        <v>0</v>
      </c>
      <c r="N631" s="52">
        <f t="shared" si="292"/>
        <v>0</v>
      </c>
      <c r="O631" s="52">
        <f t="shared" si="292"/>
        <v>0</v>
      </c>
      <c r="P631" s="52">
        <f t="shared" si="292"/>
        <v>0</v>
      </c>
      <c r="Q631" s="52">
        <f t="shared" si="292"/>
        <v>0</v>
      </c>
      <c r="R631" s="52">
        <f t="shared" si="292"/>
        <v>0</v>
      </c>
      <c r="S631" s="52">
        <f t="shared" si="292"/>
        <v>0</v>
      </c>
      <c r="T631" s="52">
        <f t="shared" si="292"/>
        <v>0</v>
      </c>
      <c r="U631" s="52">
        <f t="shared" si="292"/>
        <v>0</v>
      </c>
      <c r="V631" s="52">
        <f t="shared" si="292"/>
        <v>0</v>
      </c>
      <c r="W631" s="52">
        <f t="shared" si="292"/>
        <v>0</v>
      </c>
      <c r="X631" s="52">
        <f t="shared" si="293"/>
        <v>0</v>
      </c>
      <c r="Y631" s="52">
        <f t="shared" si="293"/>
        <v>0</v>
      </c>
      <c r="Z631" s="52">
        <f t="shared" si="293"/>
        <v>0</v>
      </c>
      <c r="AA631" s="52">
        <f t="shared" si="293"/>
        <v>0</v>
      </c>
      <c r="AB631" s="52">
        <f t="shared" si="293"/>
        <v>0</v>
      </c>
      <c r="AC631" s="52">
        <f t="shared" si="293"/>
        <v>0</v>
      </c>
      <c r="AD631" s="52">
        <f t="shared" si="293"/>
        <v>0</v>
      </c>
      <c r="AE631" s="52">
        <f t="shared" si="293"/>
        <v>0</v>
      </c>
      <c r="AF631" s="52">
        <f t="shared" si="293"/>
        <v>0</v>
      </c>
      <c r="AG631" s="52">
        <f t="shared" si="293"/>
        <v>0</v>
      </c>
      <c r="AH631" s="52">
        <f t="shared" si="293"/>
        <v>0</v>
      </c>
      <c r="AI631" s="52">
        <f t="shared" si="293"/>
        <v>0</v>
      </c>
      <c r="AJ631" s="52">
        <f t="shared" si="293"/>
        <v>0</v>
      </c>
      <c r="AK631" s="52">
        <f t="shared" si="293"/>
        <v>0</v>
      </c>
      <c r="AL631" s="52">
        <f t="shared" si="293"/>
        <v>0</v>
      </c>
      <c r="AM631" s="52">
        <f t="shared" si="293"/>
        <v>0</v>
      </c>
      <c r="AN631" s="52">
        <f t="shared" si="293"/>
        <v>0</v>
      </c>
      <c r="AO631" s="52">
        <f t="shared" si="290"/>
        <v>0</v>
      </c>
      <c r="AP631" s="52">
        <f t="shared" si="290"/>
        <v>0</v>
      </c>
      <c r="AQ631" s="52">
        <f t="shared" si="290"/>
        <v>0</v>
      </c>
      <c r="AR631" s="52">
        <f t="shared" si="290"/>
        <v>0</v>
      </c>
      <c r="AS631" s="52">
        <f t="shared" si="290"/>
        <v>0</v>
      </c>
      <c r="AT631" s="52">
        <f t="shared" si="290"/>
        <v>0</v>
      </c>
      <c r="AU631" s="52">
        <f t="shared" si="290"/>
        <v>0</v>
      </c>
      <c r="AV631" s="52">
        <f t="shared" si="290"/>
        <v>0</v>
      </c>
      <c r="AW631" s="52">
        <f t="shared" si="290"/>
        <v>0</v>
      </c>
      <c r="AX631" s="52">
        <f t="shared" si="290"/>
        <v>0</v>
      </c>
      <c r="AY631" s="52">
        <f t="shared" si="290"/>
        <v>0</v>
      </c>
      <c r="AZ631" s="52">
        <f t="shared" si="290"/>
        <v>0</v>
      </c>
      <c r="BA631" s="52">
        <f t="shared" si="290"/>
        <v>0</v>
      </c>
      <c r="BB631" s="52">
        <f t="shared" si="290"/>
        <v>0</v>
      </c>
      <c r="BC631" s="52">
        <f t="shared" si="290"/>
        <v>0</v>
      </c>
      <c r="BD631" s="52">
        <f t="shared" si="290"/>
        <v>0</v>
      </c>
      <c r="BE631" s="52">
        <f t="shared" si="290"/>
        <v>0.5</v>
      </c>
      <c r="BF631" s="52">
        <f t="shared" si="290"/>
        <v>1</v>
      </c>
      <c r="BG631" s="52">
        <f t="shared" si="291"/>
        <v>1</v>
      </c>
      <c r="BH631" s="52">
        <f t="shared" si="291"/>
        <v>1</v>
      </c>
      <c r="BI631" s="52">
        <f t="shared" si="291"/>
        <v>1</v>
      </c>
      <c r="BJ631" s="52">
        <f t="shared" si="291"/>
        <v>1</v>
      </c>
      <c r="BK631" s="52">
        <f t="shared" si="291"/>
        <v>1</v>
      </c>
      <c r="BL631" s="52">
        <f t="shared" si="291"/>
        <v>1</v>
      </c>
      <c r="BM631" s="52">
        <f t="shared" si="291"/>
        <v>1</v>
      </c>
      <c r="BN631" s="52">
        <f t="shared" si="291"/>
        <v>1</v>
      </c>
      <c r="BO631" s="32">
        <f t="shared" si="273"/>
        <v>0.16101694915254236</v>
      </c>
    </row>
    <row r="632" spans="1:67" ht="24" x14ac:dyDescent="0.2">
      <c r="A632" s="50" t="s">
        <v>1272</v>
      </c>
      <c r="B632" s="50" t="s">
        <v>1273</v>
      </c>
      <c r="C632" s="50" t="s">
        <v>126</v>
      </c>
      <c r="D632" s="51">
        <f>VLOOKUP(A632,'[1]Cuadro Control'!C677:J2562,8,FALSE)</f>
        <v>52736347.43270281</v>
      </c>
      <c r="E632" s="52">
        <f t="shared" si="288"/>
        <v>9.933624348213644E-3</v>
      </c>
      <c r="F632" s="53">
        <v>46560</v>
      </c>
      <c r="G632" s="53">
        <v>46563</v>
      </c>
      <c r="H632" s="52">
        <f t="shared" si="292"/>
        <v>0</v>
      </c>
      <c r="I632" s="52">
        <f t="shared" si="292"/>
        <v>0</v>
      </c>
      <c r="J632" s="52">
        <f t="shared" si="292"/>
        <v>0</v>
      </c>
      <c r="K632" s="52">
        <f t="shared" si="292"/>
        <v>0</v>
      </c>
      <c r="L632" s="52">
        <f t="shared" si="292"/>
        <v>0</v>
      </c>
      <c r="M632" s="52">
        <f t="shared" si="292"/>
        <v>0</v>
      </c>
      <c r="N632" s="52">
        <f t="shared" si="292"/>
        <v>0</v>
      </c>
      <c r="O632" s="52">
        <f t="shared" si="292"/>
        <v>0</v>
      </c>
      <c r="P632" s="52">
        <f t="shared" si="292"/>
        <v>0</v>
      </c>
      <c r="Q632" s="52">
        <f t="shared" si="292"/>
        <v>0</v>
      </c>
      <c r="R632" s="52">
        <f t="shared" si="292"/>
        <v>0</v>
      </c>
      <c r="S632" s="52">
        <f t="shared" si="292"/>
        <v>0</v>
      </c>
      <c r="T632" s="52">
        <f t="shared" si="292"/>
        <v>0</v>
      </c>
      <c r="U632" s="52">
        <f t="shared" si="292"/>
        <v>0</v>
      </c>
      <c r="V632" s="52">
        <f t="shared" si="292"/>
        <v>0</v>
      </c>
      <c r="W632" s="52">
        <f t="shared" si="292"/>
        <v>0</v>
      </c>
      <c r="X632" s="52">
        <f t="shared" si="293"/>
        <v>0</v>
      </c>
      <c r="Y632" s="52">
        <f t="shared" si="293"/>
        <v>0</v>
      </c>
      <c r="Z632" s="52">
        <f t="shared" si="293"/>
        <v>0</v>
      </c>
      <c r="AA632" s="52">
        <f t="shared" si="293"/>
        <v>0</v>
      </c>
      <c r="AB632" s="52">
        <f t="shared" si="293"/>
        <v>0</v>
      </c>
      <c r="AC632" s="52">
        <f t="shared" si="293"/>
        <v>0</v>
      </c>
      <c r="AD632" s="52">
        <f t="shared" si="293"/>
        <v>0</v>
      </c>
      <c r="AE632" s="52">
        <f t="shared" si="293"/>
        <v>0</v>
      </c>
      <c r="AF632" s="52">
        <f t="shared" si="293"/>
        <v>0</v>
      </c>
      <c r="AG632" s="52">
        <f t="shared" si="293"/>
        <v>0</v>
      </c>
      <c r="AH632" s="52">
        <f t="shared" si="293"/>
        <v>0</v>
      </c>
      <c r="AI632" s="52">
        <f t="shared" si="293"/>
        <v>0</v>
      </c>
      <c r="AJ632" s="52">
        <f t="shared" si="293"/>
        <v>0</v>
      </c>
      <c r="AK632" s="52">
        <f t="shared" si="293"/>
        <v>0</v>
      </c>
      <c r="AL632" s="52">
        <f t="shared" si="293"/>
        <v>0</v>
      </c>
      <c r="AM632" s="52">
        <f t="shared" si="293"/>
        <v>0</v>
      </c>
      <c r="AN632" s="52">
        <f t="shared" si="293"/>
        <v>0</v>
      </c>
      <c r="AO632" s="52">
        <f t="shared" si="290"/>
        <v>0</v>
      </c>
      <c r="AP632" s="52">
        <f t="shared" si="290"/>
        <v>0</v>
      </c>
      <c r="AQ632" s="52">
        <f t="shared" si="290"/>
        <v>0</v>
      </c>
      <c r="AR632" s="52">
        <f t="shared" si="290"/>
        <v>0</v>
      </c>
      <c r="AS632" s="52">
        <f t="shared" si="290"/>
        <v>0</v>
      </c>
      <c r="AT632" s="52">
        <f t="shared" si="290"/>
        <v>0</v>
      </c>
      <c r="AU632" s="52">
        <f t="shared" si="290"/>
        <v>0</v>
      </c>
      <c r="AV632" s="52">
        <f t="shared" si="290"/>
        <v>0</v>
      </c>
      <c r="AW632" s="52">
        <f t="shared" si="290"/>
        <v>0</v>
      </c>
      <c r="AX632" s="52">
        <f t="shared" si="290"/>
        <v>0</v>
      </c>
      <c r="AY632" s="52">
        <f t="shared" si="290"/>
        <v>0</v>
      </c>
      <c r="AZ632" s="52">
        <f t="shared" si="290"/>
        <v>0</v>
      </c>
      <c r="BA632" s="52">
        <f t="shared" si="290"/>
        <v>0</v>
      </c>
      <c r="BB632" s="52">
        <f t="shared" si="290"/>
        <v>0</v>
      </c>
      <c r="BC632" s="52">
        <f t="shared" si="290"/>
        <v>0</v>
      </c>
      <c r="BD632" s="52">
        <f t="shared" si="290"/>
        <v>0</v>
      </c>
      <c r="BE632" s="52">
        <f t="shared" si="290"/>
        <v>0</v>
      </c>
      <c r="BF632" s="52">
        <f t="shared" si="290"/>
        <v>1</v>
      </c>
      <c r="BG632" s="52">
        <f t="shared" si="291"/>
        <v>1</v>
      </c>
      <c r="BH632" s="52">
        <f t="shared" si="291"/>
        <v>1</v>
      </c>
      <c r="BI632" s="52">
        <f t="shared" si="291"/>
        <v>1</v>
      </c>
      <c r="BJ632" s="52">
        <f t="shared" si="291"/>
        <v>1</v>
      </c>
      <c r="BK632" s="52">
        <f t="shared" si="291"/>
        <v>1</v>
      </c>
      <c r="BL632" s="52">
        <f t="shared" si="291"/>
        <v>1</v>
      </c>
      <c r="BM632" s="52">
        <f t="shared" si="291"/>
        <v>1</v>
      </c>
      <c r="BN632" s="52">
        <f t="shared" si="291"/>
        <v>1</v>
      </c>
      <c r="BO632" s="32">
        <f t="shared" si="273"/>
        <v>0.15254237288135594</v>
      </c>
    </row>
    <row r="633" spans="1:67" ht="24" x14ac:dyDescent="0.2">
      <c r="A633" s="50" t="s">
        <v>1274</v>
      </c>
      <c r="B633" s="50" t="s">
        <v>1275</v>
      </c>
      <c r="C633" s="50" t="s">
        <v>117</v>
      </c>
      <c r="D633" s="51">
        <f>VLOOKUP(A633,'[1]Cuadro Control'!C678:J2563,8,FALSE)</f>
        <v>46410609.014634147</v>
      </c>
      <c r="E633" s="52">
        <f t="shared" si="288"/>
        <v>8.742083556535862E-3</v>
      </c>
      <c r="F633" s="53">
        <v>46563</v>
      </c>
      <c r="G633" s="53">
        <v>46564</v>
      </c>
      <c r="H633" s="52">
        <f t="shared" si="292"/>
        <v>0</v>
      </c>
      <c r="I633" s="52">
        <f t="shared" si="292"/>
        <v>0</v>
      </c>
      <c r="J633" s="52">
        <f t="shared" si="292"/>
        <v>0</v>
      </c>
      <c r="K633" s="52">
        <f t="shared" si="292"/>
        <v>0</v>
      </c>
      <c r="L633" s="52">
        <f t="shared" si="292"/>
        <v>0</v>
      </c>
      <c r="M633" s="52">
        <f t="shared" si="292"/>
        <v>0</v>
      </c>
      <c r="N633" s="52">
        <f t="shared" si="292"/>
        <v>0</v>
      </c>
      <c r="O633" s="52">
        <f t="shared" si="292"/>
        <v>0</v>
      </c>
      <c r="P633" s="52">
        <f t="shared" si="292"/>
        <v>0</v>
      </c>
      <c r="Q633" s="52">
        <f t="shared" si="292"/>
        <v>0</v>
      </c>
      <c r="R633" s="52">
        <f t="shared" si="292"/>
        <v>0</v>
      </c>
      <c r="S633" s="52">
        <f t="shared" si="292"/>
        <v>0</v>
      </c>
      <c r="T633" s="52">
        <f t="shared" si="292"/>
        <v>0</v>
      </c>
      <c r="U633" s="52">
        <f t="shared" si="292"/>
        <v>0</v>
      </c>
      <c r="V633" s="52">
        <f t="shared" si="292"/>
        <v>0</v>
      </c>
      <c r="W633" s="52">
        <f t="shared" si="292"/>
        <v>0</v>
      </c>
      <c r="X633" s="52">
        <f t="shared" si="293"/>
        <v>0</v>
      </c>
      <c r="Y633" s="52">
        <f t="shared" si="293"/>
        <v>0</v>
      </c>
      <c r="Z633" s="52">
        <f t="shared" si="293"/>
        <v>0</v>
      </c>
      <c r="AA633" s="52">
        <f t="shared" si="293"/>
        <v>0</v>
      </c>
      <c r="AB633" s="52">
        <f t="shared" si="293"/>
        <v>0</v>
      </c>
      <c r="AC633" s="52">
        <f t="shared" si="293"/>
        <v>0</v>
      </c>
      <c r="AD633" s="52">
        <f t="shared" si="293"/>
        <v>0</v>
      </c>
      <c r="AE633" s="52">
        <f t="shared" si="293"/>
        <v>0</v>
      </c>
      <c r="AF633" s="52">
        <f t="shared" si="293"/>
        <v>0</v>
      </c>
      <c r="AG633" s="52">
        <f t="shared" si="293"/>
        <v>0</v>
      </c>
      <c r="AH633" s="52">
        <f t="shared" si="293"/>
        <v>0</v>
      </c>
      <c r="AI633" s="52">
        <f t="shared" si="293"/>
        <v>0</v>
      </c>
      <c r="AJ633" s="52">
        <f t="shared" si="293"/>
        <v>0</v>
      </c>
      <c r="AK633" s="52">
        <f t="shared" si="293"/>
        <v>0</v>
      </c>
      <c r="AL633" s="52">
        <f t="shared" si="293"/>
        <v>0</v>
      </c>
      <c r="AM633" s="52">
        <f t="shared" si="293"/>
        <v>0</v>
      </c>
      <c r="AN633" s="52">
        <f t="shared" si="293"/>
        <v>0</v>
      </c>
      <c r="AO633" s="52">
        <f t="shared" si="290"/>
        <v>0</v>
      </c>
      <c r="AP633" s="52">
        <f t="shared" si="290"/>
        <v>0</v>
      </c>
      <c r="AQ633" s="52">
        <f t="shared" si="290"/>
        <v>0</v>
      </c>
      <c r="AR633" s="52">
        <f t="shared" si="290"/>
        <v>0</v>
      </c>
      <c r="AS633" s="52">
        <f t="shared" si="290"/>
        <v>0</v>
      </c>
      <c r="AT633" s="52">
        <f t="shared" si="290"/>
        <v>0</v>
      </c>
      <c r="AU633" s="52">
        <f t="shared" si="290"/>
        <v>0</v>
      </c>
      <c r="AV633" s="52">
        <f t="shared" si="290"/>
        <v>0</v>
      </c>
      <c r="AW633" s="52">
        <f t="shared" si="290"/>
        <v>0</v>
      </c>
      <c r="AX633" s="52">
        <f t="shared" si="290"/>
        <v>0</v>
      </c>
      <c r="AY633" s="52">
        <f t="shared" si="290"/>
        <v>0</v>
      </c>
      <c r="AZ633" s="52">
        <f t="shared" si="290"/>
        <v>0</v>
      </c>
      <c r="BA633" s="52">
        <f t="shared" si="290"/>
        <v>0</v>
      </c>
      <c r="BB633" s="52">
        <f t="shared" si="290"/>
        <v>0</v>
      </c>
      <c r="BC633" s="52">
        <f t="shared" si="290"/>
        <v>0</v>
      </c>
      <c r="BD633" s="52">
        <f t="shared" si="290"/>
        <v>0</v>
      </c>
      <c r="BE633" s="52">
        <f t="shared" si="290"/>
        <v>0</v>
      </c>
      <c r="BF633" s="52">
        <f t="shared" si="290"/>
        <v>0.5</v>
      </c>
      <c r="BG633" s="52">
        <f t="shared" si="291"/>
        <v>1</v>
      </c>
      <c r="BH633" s="52">
        <f t="shared" si="291"/>
        <v>1</v>
      </c>
      <c r="BI633" s="52">
        <f t="shared" si="291"/>
        <v>1</v>
      </c>
      <c r="BJ633" s="52">
        <f t="shared" si="291"/>
        <v>1</v>
      </c>
      <c r="BK633" s="52">
        <f t="shared" si="291"/>
        <v>1</v>
      </c>
      <c r="BL633" s="52">
        <f t="shared" si="291"/>
        <v>1</v>
      </c>
      <c r="BM633" s="52">
        <f t="shared" si="291"/>
        <v>1</v>
      </c>
      <c r="BN633" s="52">
        <f t="shared" si="291"/>
        <v>1</v>
      </c>
      <c r="BO633" s="32">
        <f t="shared" si="273"/>
        <v>0.1440677966101695</v>
      </c>
    </row>
    <row r="634" spans="1:67" ht="24" x14ac:dyDescent="0.2">
      <c r="A634" s="50" t="s">
        <v>1276</v>
      </c>
      <c r="B634" s="50" t="s">
        <v>1277</v>
      </c>
      <c r="C634" s="50" t="s">
        <v>61</v>
      </c>
      <c r="D634" s="51">
        <f>VLOOKUP(A634,'[1]Cuadro Control'!C679:J2564,8,FALSE)</f>
        <v>1587346329.5488234</v>
      </c>
      <c r="E634" s="52">
        <f t="shared" si="288"/>
        <v>0.29899875353285565</v>
      </c>
      <c r="F634" s="53">
        <v>46563</v>
      </c>
      <c r="G634" s="53">
        <v>46575</v>
      </c>
      <c r="H634" s="52">
        <f t="shared" si="292"/>
        <v>0</v>
      </c>
      <c r="I634" s="52">
        <f t="shared" si="292"/>
        <v>0</v>
      </c>
      <c r="J634" s="52">
        <f t="shared" si="292"/>
        <v>0</v>
      </c>
      <c r="K634" s="52">
        <f t="shared" si="292"/>
        <v>0</v>
      </c>
      <c r="L634" s="52">
        <f t="shared" si="292"/>
        <v>0</v>
      </c>
      <c r="M634" s="52">
        <f t="shared" si="292"/>
        <v>0</v>
      </c>
      <c r="N634" s="52">
        <f t="shared" si="292"/>
        <v>0</v>
      </c>
      <c r="O634" s="52">
        <f t="shared" si="292"/>
        <v>0</v>
      </c>
      <c r="P634" s="52">
        <f t="shared" si="292"/>
        <v>0</v>
      </c>
      <c r="Q634" s="52">
        <f t="shared" si="292"/>
        <v>0</v>
      </c>
      <c r="R634" s="52">
        <f t="shared" si="292"/>
        <v>0</v>
      </c>
      <c r="S634" s="52">
        <f t="shared" si="292"/>
        <v>0</v>
      </c>
      <c r="T634" s="52">
        <f t="shared" si="292"/>
        <v>0</v>
      </c>
      <c r="U634" s="52">
        <f t="shared" si="292"/>
        <v>0</v>
      </c>
      <c r="V634" s="52">
        <f t="shared" si="292"/>
        <v>0</v>
      </c>
      <c r="W634" s="52">
        <f t="shared" si="292"/>
        <v>0</v>
      </c>
      <c r="X634" s="52">
        <f t="shared" si="293"/>
        <v>0</v>
      </c>
      <c r="Y634" s="52">
        <f t="shared" si="293"/>
        <v>0</v>
      </c>
      <c r="Z634" s="52">
        <f t="shared" si="293"/>
        <v>0</v>
      </c>
      <c r="AA634" s="52">
        <f t="shared" si="293"/>
        <v>0</v>
      </c>
      <c r="AB634" s="52">
        <f t="shared" si="293"/>
        <v>0</v>
      </c>
      <c r="AC634" s="52">
        <f t="shared" si="293"/>
        <v>0</v>
      </c>
      <c r="AD634" s="52">
        <f t="shared" si="293"/>
        <v>0</v>
      </c>
      <c r="AE634" s="52">
        <f t="shared" si="293"/>
        <v>0</v>
      </c>
      <c r="AF634" s="52">
        <f t="shared" si="293"/>
        <v>0</v>
      </c>
      <c r="AG634" s="52">
        <f t="shared" si="293"/>
        <v>0</v>
      </c>
      <c r="AH634" s="52">
        <f t="shared" si="293"/>
        <v>0</v>
      </c>
      <c r="AI634" s="52">
        <f t="shared" si="293"/>
        <v>0</v>
      </c>
      <c r="AJ634" s="52">
        <f t="shared" si="293"/>
        <v>0</v>
      </c>
      <c r="AK634" s="52">
        <f t="shared" si="293"/>
        <v>0</v>
      </c>
      <c r="AL634" s="52">
        <f t="shared" si="293"/>
        <v>0</v>
      </c>
      <c r="AM634" s="52">
        <f t="shared" si="293"/>
        <v>0</v>
      </c>
      <c r="AN634" s="52">
        <f t="shared" si="293"/>
        <v>0</v>
      </c>
      <c r="AO634" s="52">
        <f t="shared" si="290"/>
        <v>0</v>
      </c>
      <c r="AP634" s="52">
        <f t="shared" si="290"/>
        <v>0</v>
      </c>
      <c r="AQ634" s="52">
        <f t="shared" si="290"/>
        <v>0</v>
      </c>
      <c r="AR634" s="52">
        <f t="shared" si="290"/>
        <v>0</v>
      </c>
      <c r="AS634" s="52">
        <f t="shared" si="290"/>
        <v>0</v>
      </c>
      <c r="AT634" s="52">
        <f t="shared" si="290"/>
        <v>0</v>
      </c>
      <c r="AU634" s="52">
        <f t="shared" si="290"/>
        <v>0</v>
      </c>
      <c r="AV634" s="52">
        <f t="shared" si="290"/>
        <v>0</v>
      </c>
      <c r="AW634" s="52">
        <f t="shared" si="290"/>
        <v>0</v>
      </c>
      <c r="AX634" s="52">
        <f t="shared" si="290"/>
        <v>0</v>
      </c>
      <c r="AY634" s="52">
        <f t="shared" si="290"/>
        <v>0</v>
      </c>
      <c r="AZ634" s="52">
        <f t="shared" si="290"/>
        <v>0</v>
      </c>
      <c r="BA634" s="52">
        <f t="shared" si="290"/>
        <v>0</v>
      </c>
      <c r="BB634" s="52">
        <f t="shared" si="290"/>
        <v>0</v>
      </c>
      <c r="BC634" s="52">
        <f t="shared" si="290"/>
        <v>0</v>
      </c>
      <c r="BD634" s="52">
        <f t="shared" si="290"/>
        <v>0</v>
      </c>
      <c r="BE634" s="52">
        <f t="shared" si="290"/>
        <v>0</v>
      </c>
      <c r="BF634" s="52">
        <f t="shared" si="290"/>
        <v>7.6923076923076927E-2</v>
      </c>
      <c r="BG634" s="52">
        <f t="shared" si="291"/>
        <v>0.61538461538461542</v>
      </c>
      <c r="BH634" s="52">
        <f t="shared" si="291"/>
        <v>1</v>
      </c>
      <c r="BI634" s="52">
        <f t="shared" si="291"/>
        <v>1</v>
      </c>
      <c r="BJ634" s="52">
        <f t="shared" si="291"/>
        <v>1</v>
      </c>
      <c r="BK634" s="52">
        <f t="shared" si="291"/>
        <v>1</v>
      </c>
      <c r="BL634" s="52">
        <f t="shared" si="291"/>
        <v>1</v>
      </c>
      <c r="BM634" s="52">
        <f t="shared" si="291"/>
        <v>1</v>
      </c>
      <c r="BN634" s="52">
        <f t="shared" si="291"/>
        <v>1</v>
      </c>
      <c r="BO634" s="32">
        <f t="shared" si="273"/>
        <v>0.1303780964797914</v>
      </c>
    </row>
    <row r="635" spans="1:67" ht="30" x14ac:dyDescent="0.2">
      <c r="A635" s="46" t="s">
        <v>1278</v>
      </c>
      <c r="B635" s="46" t="s">
        <v>1279</v>
      </c>
      <c r="C635" s="46" t="s">
        <v>61</v>
      </c>
      <c r="D635" s="47">
        <f>VLOOKUP(A635,'[1]Cuadro Control'!C680:J2565,8,FALSE)</f>
        <v>179532477.23999998</v>
      </c>
      <c r="E635" s="48">
        <f t="shared" si="288"/>
        <v>3.3817438522495219E-2</v>
      </c>
      <c r="F635" s="49">
        <v>46566</v>
      </c>
      <c r="G635" s="49">
        <v>46578</v>
      </c>
      <c r="H635" s="48">
        <f t="shared" si="292"/>
        <v>0</v>
      </c>
      <c r="I635" s="48">
        <f t="shared" si="292"/>
        <v>0</v>
      </c>
      <c r="J635" s="48">
        <f t="shared" si="292"/>
        <v>0</v>
      </c>
      <c r="K635" s="48">
        <f t="shared" si="292"/>
        <v>0</v>
      </c>
      <c r="L635" s="48">
        <f t="shared" si="292"/>
        <v>0</v>
      </c>
      <c r="M635" s="48">
        <f t="shared" si="292"/>
        <v>0</v>
      </c>
      <c r="N635" s="48">
        <f t="shared" si="292"/>
        <v>0</v>
      </c>
      <c r="O635" s="48">
        <f t="shared" si="292"/>
        <v>0</v>
      </c>
      <c r="P635" s="48">
        <f t="shared" si="292"/>
        <v>0</v>
      </c>
      <c r="Q635" s="48">
        <f t="shared" si="292"/>
        <v>0</v>
      </c>
      <c r="R635" s="48">
        <f t="shared" si="292"/>
        <v>0</v>
      </c>
      <c r="S635" s="48">
        <f t="shared" si="292"/>
        <v>0</v>
      </c>
      <c r="T635" s="48">
        <f t="shared" si="292"/>
        <v>0</v>
      </c>
      <c r="U635" s="48">
        <f t="shared" si="292"/>
        <v>0</v>
      </c>
      <c r="V635" s="48">
        <f t="shared" si="292"/>
        <v>0</v>
      </c>
      <c r="W635" s="48">
        <f t="shared" si="292"/>
        <v>0</v>
      </c>
      <c r="X635" s="48">
        <f t="shared" si="293"/>
        <v>0</v>
      </c>
      <c r="Y635" s="48">
        <f t="shared" si="293"/>
        <v>0</v>
      </c>
      <c r="Z635" s="48">
        <f t="shared" si="293"/>
        <v>0</v>
      </c>
      <c r="AA635" s="48">
        <f t="shared" si="293"/>
        <v>0</v>
      </c>
      <c r="AB635" s="48">
        <f t="shared" si="293"/>
        <v>0</v>
      </c>
      <c r="AC635" s="48">
        <f t="shared" si="293"/>
        <v>0</v>
      </c>
      <c r="AD635" s="48">
        <f t="shared" si="293"/>
        <v>0</v>
      </c>
      <c r="AE635" s="48">
        <f t="shared" si="293"/>
        <v>0</v>
      </c>
      <c r="AF635" s="48">
        <f t="shared" si="293"/>
        <v>0</v>
      </c>
      <c r="AG635" s="48">
        <f t="shared" si="293"/>
        <v>0</v>
      </c>
      <c r="AH635" s="48">
        <f t="shared" si="293"/>
        <v>0</v>
      </c>
      <c r="AI635" s="48">
        <f t="shared" si="293"/>
        <v>0</v>
      </c>
      <c r="AJ635" s="48">
        <f t="shared" si="293"/>
        <v>0</v>
      </c>
      <c r="AK635" s="48">
        <f t="shared" si="293"/>
        <v>0</v>
      </c>
      <c r="AL635" s="48">
        <f t="shared" si="293"/>
        <v>0</v>
      </c>
      <c r="AM635" s="48">
        <f t="shared" si="293"/>
        <v>0</v>
      </c>
      <c r="AN635" s="48">
        <f t="shared" si="293"/>
        <v>0</v>
      </c>
      <c r="AO635" s="48">
        <f t="shared" si="290"/>
        <v>0</v>
      </c>
      <c r="AP635" s="48">
        <f t="shared" si="290"/>
        <v>0</v>
      </c>
      <c r="AQ635" s="48">
        <f t="shared" si="290"/>
        <v>0</v>
      </c>
      <c r="AR635" s="48">
        <f t="shared" si="290"/>
        <v>0</v>
      </c>
      <c r="AS635" s="48">
        <f t="shared" si="290"/>
        <v>0</v>
      </c>
      <c r="AT635" s="48">
        <f t="shared" si="290"/>
        <v>0</v>
      </c>
      <c r="AU635" s="48">
        <f t="shared" si="290"/>
        <v>0</v>
      </c>
      <c r="AV635" s="48">
        <f t="shared" si="290"/>
        <v>0</v>
      </c>
      <c r="AW635" s="48">
        <f t="shared" si="290"/>
        <v>0</v>
      </c>
      <c r="AX635" s="48">
        <f t="shared" si="290"/>
        <v>0</v>
      </c>
      <c r="AY635" s="48">
        <f t="shared" si="290"/>
        <v>0</v>
      </c>
      <c r="AZ635" s="48">
        <f t="shared" si="290"/>
        <v>0</v>
      </c>
      <c r="BA635" s="48">
        <f t="shared" si="290"/>
        <v>0</v>
      </c>
      <c r="BB635" s="48">
        <f t="shared" si="290"/>
        <v>0</v>
      </c>
      <c r="BC635" s="48">
        <f t="shared" si="290"/>
        <v>0</v>
      </c>
      <c r="BD635" s="48">
        <f t="shared" si="290"/>
        <v>0</v>
      </c>
      <c r="BE635" s="48">
        <f t="shared" si="290"/>
        <v>0</v>
      </c>
      <c r="BF635" s="48">
        <f t="shared" si="290"/>
        <v>0</v>
      </c>
      <c r="BG635" s="48">
        <f t="shared" si="291"/>
        <v>0.38461538461538464</v>
      </c>
      <c r="BH635" s="48">
        <f t="shared" si="291"/>
        <v>0.92307692307692313</v>
      </c>
      <c r="BI635" s="48">
        <f t="shared" si="291"/>
        <v>1</v>
      </c>
      <c r="BJ635" s="48">
        <f t="shared" si="291"/>
        <v>1</v>
      </c>
      <c r="BK635" s="48">
        <f t="shared" si="291"/>
        <v>1</v>
      </c>
      <c r="BL635" s="48">
        <f t="shared" si="291"/>
        <v>1</v>
      </c>
      <c r="BM635" s="48">
        <f t="shared" si="291"/>
        <v>1</v>
      </c>
      <c r="BN635" s="48">
        <f t="shared" si="291"/>
        <v>1</v>
      </c>
      <c r="BO635" s="32">
        <f t="shared" si="273"/>
        <v>0.12385919165580182</v>
      </c>
    </row>
    <row r="636" spans="1:67" ht="24" x14ac:dyDescent="0.2">
      <c r="A636" s="55" t="s">
        <v>1280</v>
      </c>
      <c r="B636" s="55" t="s">
        <v>1281</v>
      </c>
      <c r="C636" s="55" t="s">
        <v>14</v>
      </c>
      <c r="D636" s="56">
        <f>VLOOKUP(A636,'[1]Cuadro Control'!C681:J2566,8,FALSE)</f>
        <v>0</v>
      </c>
      <c r="E636" s="57">
        <f>IFERROR(D636/$D$620,0)</f>
        <v>0</v>
      </c>
      <c r="F636" s="58">
        <v>46578</v>
      </c>
      <c r="G636" s="58">
        <v>46578</v>
      </c>
      <c r="H636" s="57">
        <f t="shared" si="292"/>
        <v>0</v>
      </c>
      <c r="I636" s="57">
        <f t="shared" si="292"/>
        <v>0</v>
      </c>
      <c r="J636" s="57">
        <f t="shared" si="292"/>
        <v>0</v>
      </c>
      <c r="K636" s="57">
        <f t="shared" si="292"/>
        <v>0</v>
      </c>
      <c r="L636" s="57">
        <f t="shared" si="292"/>
        <v>0</v>
      </c>
      <c r="M636" s="57">
        <f t="shared" si="292"/>
        <v>0</v>
      </c>
      <c r="N636" s="57">
        <f t="shared" si="292"/>
        <v>0</v>
      </c>
      <c r="O636" s="57">
        <f t="shared" si="292"/>
        <v>0</v>
      </c>
      <c r="P636" s="57">
        <f t="shared" si="292"/>
        <v>0</v>
      </c>
      <c r="Q636" s="57">
        <f t="shared" si="292"/>
        <v>0</v>
      </c>
      <c r="R636" s="57">
        <f t="shared" si="292"/>
        <v>0</v>
      </c>
      <c r="S636" s="57">
        <f t="shared" si="292"/>
        <v>0</v>
      </c>
      <c r="T636" s="57">
        <f t="shared" si="292"/>
        <v>0</v>
      </c>
      <c r="U636" s="57">
        <f t="shared" si="292"/>
        <v>0</v>
      </c>
      <c r="V636" s="57">
        <f t="shared" si="292"/>
        <v>0</v>
      </c>
      <c r="W636" s="57">
        <f t="shared" si="292"/>
        <v>0</v>
      </c>
      <c r="X636" s="57">
        <f t="shared" si="293"/>
        <v>0</v>
      </c>
      <c r="Y636" s="57">
        <f t="shared" si="293"/>
        <v>0</v>
      </c>
      <c r="Z636" s="57">
        <f t="shared" si="293"/>
        <v>0</v>
      </c>
      <c r="AA636" s="57">
        <f t="shared" si="293"/>
        <v>0</v>
      </c>
      <c r="AB636" s="57">
        <f t="shared" si="293"/>
        <v>0</v>
      </c>
      <c r="AC636" s="57">
        <f t="shared" si="293"/>
        <v>0</v>
      </c>
      <c r="AD636" s="57">
        <f t="shared" si="293"/>
        <v>0</v>
      </c>
      <c r="AE636" s="57">
        <f t="shared" si="293"/>
        <v>0</v>
      </c>
      <c r="AF636" s="57">
        <f t="shared" si="293"/>
        <v>0</v>
      </c>
      <c r="AG636" s="57">
        <f t="shared" si="293"/>
        <v>0</v>
      </c>
      <c r="AH636" s="57">
        <f t="shared" si="293"/>
        <v>0</v>
      </c>
      <c r="AI636" s="57">
        <f t="shared" si="293"/>
        <v>0</v>
      </c>
      <c r="AJ636" s="57">
        <f t="shared" si="293"/>
        <v>0</v>
      </c>
      <c r="AK636" s="57">
        <f t="shared" si="293"/>
        <v>0</v>
      </c>
      <c r="AL636" s="57">
        <f t="shared" si="293"/>
        <v>0</v>
      </c>
      <c r="AM636" s="57">
        <f t="shared" si="293"/>
        <v>0</v>
      </c>
      <c r="AN636" s="57">
        <f t="shared" si="293"/>
        <v>0</v>
      </c>
      <c r="AO636" s="57">
        <f t="shared" si="293"/>
        <v>0</v>
      </c>
      <c r="AP636" s="57">
        <f t="shared" si="293"/>
        <v>0</v>
      </c>
      <c r="AQ636" s="57">
        <f t="shared" si="293"/>
        <v>0</v>
      </c>
      <c r="AR636" s="57">
        <f t="shared" si="293"/>
        <v>0</v>
      </c>
      <c r="AS636" s="57">
        <f t="shared" si="293"/>
        <v>0</v>
      </c>
      <c r="AT636" s="57">
        <f t="shared" si="293"/>
        <v>0</v>
      </c>
      <c r="AU636" s="57">
        <f t="shared" si="293"/>
        <v>0</v>
      </c>
      <c r="AV636" s="57">
        <f t="shared" si="293"/>
        <v>0</v>
      </c>
      <c r="AW636" s="57">
        <f t="shared" si="293"/>
        <v>0</v>
      </c>
      <c r="AX636" s="57">
        <f t="shared" si="293"/>
        <v>0</v>
      </c>
      <c r="AY636" s="57">
        <f t="shared" si="293"/>
        <v>0</v>
      </c>
      <c r="AZ636" s="57">
        <f t="shared" si="293"/>
        <v>0</v>
      </c>
      <c r="BA636" s="57">
        <f t="shared" si="293"/>
        <v>0</v>
      </c>
      <c r="BB636" s="57">
        <f t="shared" si="293"/>
        <v>0</v>
      </c>
      <c r="BC636" s="57">
        <f t="shared" si="293"/>
        <v>0</v>
      </c>
      <c r="BD636" s="57">
        <f t="shared" si="290"/>
        <v>0</v>
      </c>
      <c r="BE636" s="57">
        <f t="shared" si="290"/>
        <v>0</v>
      </c>
      <c r="BF636" s="57">
        <f t="shared" si="290"/>
        <v>0</v>
      </c>
      <c r="BG636" s="57">
        <f t="shared" si="291"/>
        <v>0</v>
      </c>
      <c r="BH636" s="57">
        <f t="shared" si="291"/>
        <v>0</v>
      </c>
      <c r="BI636" s="57">
        <f t="shared" si="291"/>
        <v>1</v>
      </c>
      <c r="BJ636" s="57">
        <f t="shared" si="291"/>
        <v>1</v>
      </c>
      <c r="BK636" s="57">
        <f t="shared" si="291"/>
        <v>1</v>
      </c>
      <c r="BL636" s="57">
        <f t="shared" si="291"/>
        <v>1</v>
      </c>
      <c r="BM636" s="57">
        <f t="shared" si="291"/>
        <v>1</v>
      </c>
      <c r="BN636" s="57">
        <f t="shared" si="291"/>
        <v>1</v>
      </c>
      <c r="BO636" s="32">
        <f t="shared" si="273"/>
        <v>0.10169491525423729</v>
      </c>
    </row>
    <row r="637" spans="1:67" x14ac:dyDescent="0.2">
      <c r="A637" s="42" t="s">
        <v>1282</v>
      </c>
      <c r="B637" s="42" t="s">
        <v>1283</v>
      </c>
      <c r="C637" s="42" t="s">
        <v>467</v>
      </c>
      <c r="D637" s="43">
        <f>SUM(D638:D653)</f>
        <v>5308872732.0543728</v>
      </c>
      <c r="E637" s="44">
        <f>IFERROR(D637/$D$109,0)</f>
        <v>2.9408554574576196E-2</v>
      </c>
      <c r="F637" s="45">
        <v>46507</v>
      </c>
      <c r="G637" s="45">
        <v>46589</v>
      </c>
      <c r="H637" s="44">
        <f>SUMPRODUCT($E638:$E652,H638:H652)</f>
        <v>0</v>
      </c>
      <c r="I637" s="44">
        <f t="shared" ref="I637:BN637" si="294">SUMPRODUCT($E638:$E652,I638:I652)</f>
        <v>0</v>
      </c>
      <c r="J637" s="44">
        <f t="shared" si="294"/>
        <v>0</v>
      </c>
      <c r="K637" s="44">
        <f t="shared" si="294"/>
        <v>0</v>
      </c>
      <c r="L637" s="44">
        <f t="shared" si="294"/>
        <v>0</v>
      </c>
      <c r="M637" s="44">
        <f t="shared" si="294"/>
        <v>0</v>
      </c>
      <c r="N637" s="44">
        <f t="shared" si="294"/>
        <v>0</v>
      </c>
      <c r="O637" s="44">
        <f t="shared" si="294"/>
        <v>0</v>
      </c>
      <c r="P637" s="44">
        <f t="shared" si="294"/>
        <v>0</v>
      </c>
      <c r="Q637" s="44">
        <f t="shared" si="294"/>
        <v>0</v>
      </c>
      <c r="R637" s="44">
        <f t="shared" si="294"/>
        <v>0</v>
      </c>
      <c r="S637" s="44">
        <f t="shared" si="294"/>
        <v>0</v>
      </c>
      <c r="T637" s="44">
        <f t="shared" si="294"/>
        <v>0</v>
      </c>
      <c r="U637" s="44">
        <f t="shared" si="294"/>
        <v>0</v>
      </c>
      <c r="V637" s="44">
        <f t="shared" si="294"/>
        <v>0</v>
      </c>
      <c r="W637" s="44">
        <f t="shared" si="294"/>
        <v>0</v>
      </c>
      <c r="X637" s="44">
        <f t="shared" si="294"/>
        <v>0</v>
      </c>
      <c r="Y637" s="44">
        <f t="shared" si="294"/>
        <v>0</v>
      </c>
      <c r="Z637" s="44">
        <f t="shared" si="294"/>
        <v>0</v>
      </c>
      <c r="AA637" s="44">
        <f t="shared" si="294"/>
        <v>0</v>
      </c>
      <c r="AB637" s="44">
        <f t="shared" si="294"/>
        <v>0</v>
      </c>
      <c r="AC637" s="44">
        <f t="shared" si="294"/>
        <v>0</v>
      </c>
      <c r="AD637" s="44">
        <f t="shared" si="294"/>
        <v>0</v>
      </c>
      <c r="AE637" s="44">
        <f t="shared" si="294"/>
        <v>0</v>
      </c>
      <c r="AF637" s="44">
        <f t="shared" si="294"/>
        <v>0</v>
      </c>
      <c r="AG637" s="44">
        <f t="shared" si="294"/>
        <v>0</v>
      </c>
      <c r="AH637" s="44">
        <f t="shared" si="294"/>
        <v>0</v>
      </c>
      <c r="AI637" s="44">
        <f t="shared" si="294"/>
        <v>0</v>
      </c>
      <c r="AJ637" s="44">
        <f t="shared" si="294"/>
        <v>0</v>
      </c>
      <c r="AK637" s="44">
        <f t="shared" si="294"/>
        <v>0</v>
      </c>
      <c r="AL637" s="44">
        <f t="shared" si="294"/>
        <v>0</v>
      </c>
      <c r="AM637" s="44">
        <f t="shared" si="294"/>
        <v>0</v>
      </c>
      <c r="AN637" s="44">
        <f t="shared" si="294"/>
        <v>0</v>
      </c>
      <c r="AO637" s="44">
        <f t="shared" si="294"/>
        <v>0</v>
      </c>
      <c r="AP637" s="44">
        <f t="shared" si="294"/>
        <v>0</v>
      </c>
      <c r="AQ637" s="44">
        <f t="shared" si="294"/>
        <v>0</v>
      </c>
      <c r="AR637" s="44">
        <f t="shared" si="294"/>
        <v>0</v>
      </c>
      <c r="AS637" s="44">
        <f t="shared" si="294"/>
        <v>0</v>
      </c>
      <c r="AT637" s="44">
        <f t="shared" si="294"/>
        <v>0</v>
      </c>
      <c r="AU637" s="44">
        <f t="shared" si="294"/>
        <v>0</v>
      </c>
      <c r="AV637" s="44">
        <f t="shared" si="294"/>
        <v>0</v>
      </c>
      <c r="AW637" s="44">
        <f t="shared" si="294"/>
        <v>0</v>
      </c>
      <c r="AX637" s="44">
        <f t="shared" si="294"/>
        <v>1.7428219822204871E-3</v>
      </c>
      <c r="AY637" s="44">
        <f t="shared" si="294"/>
        <v>1.3942575857763897E-2</v>
      </c>
      <c r="AZ637" s="44">
        <f t="shared" si="294"/>
        <v>5.6873455080068344E-2</v>
      </c>
      <c r="BA637" s="44">
        <f t="shared" si="294"/>
        <v>9.6443383932417096E-2</v>
      </c>
      <c r="BB637" s="44">
        <f t="shared" si="294"/>
        <v>0.167127920576745</v>
      </c>
      <c r="BC637" s="44">
        <f t="shared" si="294"/>
        <v>0.2285609018644725</v>
      </c>
      <c r="BD637" s="44">
        <f t="shared" si="294"/>
        <v>0.32261391968511494</v>
      </c>
      <c r="BE637" s="44">
        <f t="shared" si="294"/>
        <v>0.41666693750575734</v>
      </c>
      <c r="BF637" s="44">
        <f t="shared" si="294"/>
        <v>0.64850810003989967</v>
      </c>
      <c r="BG637" s="44">
        <f t="shared" si="294"/>
        <v>0.65595831830105988</v>
      </c>
      <c r="BH637" s="44">
        <f t="shared" si="294"/>
        <v>0.82344667241557601</v>
      </c>
      <c r="BI637" s="44">
        <f t="shared" si="294"/>
        <v>0.98872752049250168</v>
      </c>
      <c r="BJ637" s="44">
        <f t="shared" si="294"/>
        <v>1</v>
      </c>
      <c r="BK637" s="44">
        <f t="shared" si="294"/>
        <v>1</v>
      </c>
      <c r="BL637" s="44">
        <f t="shared" si="294"/>
        <v>1</v>
      </c>
      <c r="BM637" s="44">
        <f t="shared" si="294"/>
        <v>1</v>
      </c>
      <c r="BN637" s="44">
        <f t="shared" si="294"/>
        <v>1</v>
      </c>
      <c r="BO637" s="32">
        <f t="shared" si="273"/>
        <v>0.15967139877514569</v>
      </c>
    </row>
    <row r="638" spans="1:67" ht="24" x14ac:dyDescent="0.2">
      <c r="A638" s="50" t="s">
        <v>1284</v>
      </c>
      <c r="B638" s="50" t="s">
        <v>1285</v>
      </c>
      <c r="C638" s="50" t="s">
        <v>74</v>
      </c>
      <c r="D638" s="51">
        <f>VLOOKUP(A638,'[1]Cuadro Control'!C683:J2568,8,FALSE)</f>
        <v>83271780.884117648</v>
      </c>
      <c r="E638" s="52">
        <f t="shared" ref="E638:E652" si="295">IFERROR(D638/$D$637,0)</f>
        <v>1.5685397839984384E-2</v>
      </c>
      <c r="F638" s="53">
        <v>46507</v>
      </c>
      <c r="G638" s="53">
        <v>46515</v>
      </c>
      <c r="H638" s="52">
        <f t="shared" ref="H638:BN642" si="296">IF($F638=0,0,IF(H$6&lt;$F638,0,IF(H$6&gt;$G638,1,(H$6-$F638+1)/($G638-$F638+1))))</f>
        <v>0</v>
      </c>
      <c r="I638" s="52">
        <f t="shared" si="296"/>
        <v>0</v>
      </c>
      <c r="J638" s="52">
        <f t="shared" si="296"/>
        <v>0</v>
      </c>
      <c r="K638" s="52">
        <f t="shared" si="296"/>
        <v>0</v>
      </c>
      <c r="L638" s="52">
        <f t="shared" si="296"/>
        <v>0</v>
      </c>
      <c r="M638" s="52">
        <f t="shared" si="296"/>
        <v>0</v>
      </c>
      <c r="N638" s="52">
        <f t="shared" si="296"/>
        <v>0</v>
      </c>
      <c r="O638" s="52">
        <f t="shared" si="296"/>
        <v>0</v>
      </c>
      <c r="P638" s="52">
        <f t="shared" si="296"/>
        <v>0</v>
      </c>
      <c r="Q638" s="52">
        <f t="shared" si="296"/>
        <v>0</v>
      </c>
      <c r="R638" s="52">
        <f t="shared" si="296"/>
        <v>0</v>
      </c>
      <c r="S638" s="52">
        <f t="shared" si="296"/>
        <v>0</v>
      </c>
      <c r="T638" s="52">
        <f t="shared" si="296"/>
        <v>0</v>
      </c>
      <c r="U638" s="52">
        <f t="shared" si="296"/>
        <v>0</v>
      </c>
      <c r="V638" s="52">
        <f t="shared" si="296"/>
        <v>0</v>
      </c>
      <c r="W638" s="52">
        <f t="shared" si="296"/>
        <v>0</v>
      </c>
      <c r="X638" s="52">
        <f t="shared" si="296"/>
        <v>0</v>
      </c>
      <c r="Y638" s="52">
        <f t="shared" si="296"/>
        <v>0</v>
      </c>
      <c r="Z638" s="52">
        <f t="shared" si="296"/>
        <v>0</v>
      </c>
      <c r="AA638" s="52">
        <f t="shared" si="296"/>
        <v>0</v>
      </c>
      <c r="AB638" s="52">
        <f t="shared" si="296"/>
        <v>0</v>
      </c>
      <c r="AC638" s="52">
        <f t="shared" si="296"/>
        <v>0</v>
      </c>
      <c r="AD638" s="52">
        <f t="shared" si="296"/>
        <v>0</v>
      </c>
      <c r="AE638" s="52">
        <f t="shared" si="296"/>
        <v>0</v>
      </c>
      <c r="AF638" s="52">
        <f t="shared" si="296"/>
        <v>0</v>
      </c>
      <c r="AG638" s="52">
        <f t="shared" si="296"/>
        <v>0</v>
      </c>
      <c r="AH638" s="52">
        <f t="shared" si="296"/>
        <v>0</v>
      </c>
      <c r="AI638" s="52">
        <f t="shared" si="296"/>
        <v>0</v>
      </c>
      <c r="AJ638" s="52">
        <f t="shared" si="296"/>
        <v>0</v>
      </c>
      <c r="AK638" s="52">
        <f t="shared" si="296"/>
        <v>0</v>
      </c>
      <c r="AL638" s="52">
        <f t="shared" si="296"/>
        <v>0</v>
      </c>
      <c r="AM638" s="52">
        <f t="shared" si="296"/>
        <v>0</v>
      </c>
      <c r="AN638" s="52">
        <f t="shared" si="296"/>
        <v>0</v>
      </c>
      <c r="AO638" s="52">
        <f t="shared" si="296"/>
        <v>0</v>
      </c>
      <c r="AP638" s="52">
        <f t="shared" si="296"/>
        <v>0</v>
      </c>
      <c r="AQ638" s="52">
        <f t="shared" si="296"/>
        <v>0</v>
      </c>
      <c r="AR638" s="52">
        <f t="shared" si="296"/>
        <v>0</v>
      </c>
      <c r="AS638" s="52">
        <f t="shared" si="296"/>
        <v>0</v>
      </c>
      <c r="AT638" s="52">
        <f t="shared" si="296"/>
        <v>0</v>
      </c>
      <c r="AU638" s="52">
        <f t="shared" si="296"/>
        <v>0</v>
      </c>
      <c r="AV638" s="52">
        <f t="shared" si="296"/>
        <v>0</v>
      </c>
      <c r="AW638" s="52">
        <f t="shared" si="296"/>
        <v>0</v>
      </c>
      <c r="AX638" s="52">
        <f t="shared" si="296"/>
        <v>0.1111111111111111</v>
      </c>
      <c r="AY638" s="52">
        <f t="shared" si="296"/>
        <v>0.88888888888888884</v>
      </c>
      <c r="AZ638" s="52">
        <f t="shared" si="296"/>
        <v>1</v>
      </c>
      <c r="BA638" s="52">
        <f t="shared" si="296"/>
        <v>1</v>
      </c>
      <c r="BB638" s="52">
        <f t="shared" si="296"/>
        <v>1</v>
      </c>
      <c r="BC638" s="52">
        <f t="shared" si="296"/>
        <v>1</v>
      </c>
      <c r="BD638" s="52">
        <f t="shared" si="296"/>
        <v>1</v>
      </c>
      <c r="BE638" s="52">
        <f t="shared" si="296"/>
        <v>1</v>
      </c>
      <c r="BF638" s="52">
        <f t="shared" si="296"/>
        <v>1</v>
      </c>
      <c r="BG638" s="52">
        <f t="shared" si="296"/>
        <v>1</v>
      </c>
      <c r="BH638" s="52">
        <f t="shared" si="296"/>
        <v>1</v>
      </c>
      <c r="BI638" s="52">
        <f t="shared" si="296"/>
        <v>1</v>
      </c>
      <c r="BJ638" s="52">
        <f t="shared" si="296"/>
        <v>1</v>
      </c>
      <c r="BK638" s="52">
        <f t="shared" si="296"/>
        <v>1</v>
      </c>
      <c r="BL638" s="52">
        <f t="shared" si="296"/>
        <v>1</v>
      </c>
      <c r="BM638" s="52">
        <f t="shared" si="296"/>
        <v>1</v>
      </c>
      <c r="BN638" s="52">
        <f t="shared" si="296"/>
        <v>1</v>
      </c>
      <c r="BO638" s="32">
        <f t="shared" si="273"/>
        <v>0.2711864406779661</v>
      </c>
    </row>
    <row r="639" spans="1:67" x14ac:dyDescent="0.2">
      <c r="A639" s="50" t="s">
        <v>1286</v>
      </c>
      <c r="B639" s="50" t="s">
        <v>1287</v>
      </c>
      <c r="C639" s="50" t="s">
        <v>61</v>
      </c>
      <c r="D639" s="51">
        <f>VLOOKUP(A639,'[1]Cuadro Control'!C684:J2569,8,FALSE)</f>
        <v>312374505.66882348</v>
      </c>
      <c r="E639" s="52">
        <f t="shared" si="295"/>
        <v>5.8840081771548515E-2</v>
      </c>
      <c r="F639" s="53">
        <v>46515</v>
      </c>
      <c r="G639" s="53">
        <v>46524</v>
      </c>
      <c r="H639" s="52">
        <f t="shared" si="296"/>
        <v>0</v>
      </c>
      <c r="I639" s="52">
        <f t="shared" si="296"/>
        <v>0</v>
      </c>
      <c r="J639" s="52">
        <f t="shared" si="296"/>
        <v>0</v>
      </c>
      <c r="K639" s="52">
        <f t="shared" si="296"/>
        <v>0</v>
      </c>
      <c r="L639" s="52">
        <f t="shared" si="296"/>
        <v>0</v>
      </c>
      <c r="M639" s="52">
        <f t="shared" si="296"/>
        <v>0</v>
      </c>
      <c r="N639" s="52">
        <f t="shared" si="296"/>
        <v>0</v>
      </c>
      <c r="O639" s="52">
        <f t="shared" si="296"/>
        <v>0</v>
      </c>
      <c r="P639" s="52">
        <f t="shared" si="296"/>
        <v>0</v>
      </c>
      <c r="Q639" s="52">
        <f t="shared" si="296"/>
        <v>0</v>
      </c>
      <c r="R639" s="52">
        <f t="shared" si="296"/>
        <v>0</v>
      </c>
      <c r="S639" s="52">
        <f t="shared" si="296"/>
        <v>0</v>
      </c>
      <c r="T639" s="52">
        <f t="shared" si="296"/>
        <v>0</v>
      </c>
      <c r="U639" s="52">
        <f t="shared" si="296"/>
        <v>0</v>
      </c>
      <c r="V639" s="52">
        <f t="shared" si="296"/>
        <v>0</v>
      </c>
      <c r="W639" s="52">
        <f t="shared" si="296"/>
        <v>0</v>
      </c>
      <c r="X639" s="52">
        <f t="shared" si="296"/>
        <v>0</v>
      </c>
      <c r="Y639" s="52">
        <f t="shared" si="296"/>
        <v>0</v>
      </c>
      <c r="Z639" s="52">
        <f t="shared" si="296"/>
        <v>0</v>
      </c>
      <c r="AA639" s="52">
        <f t="shared" si="296"/>
        <v>0</v>
      </c>
      <c r="AB639" s="52">
        <f t="shared" si="296"/>
        <v>0</v>
      </c>
      <c r="AC639" s="52">
        <f t="shared" si="296"/>
        <v>0</v>
      </c>
      <c r="AD639" s="52">
        <f t="shared" si="296"/>
        <v>0</v>
      </c>
      <c r="AE639" s="52">
        <f t="shared" si="296"/>
        <v>0</v>
      </c>
      <c r="AF639" s="52">
        <f t="shared" si="296"/>
        <v>0</v>
      </c>
      <c r="AG639" s="52">
        <f t="shared" si="296"/>
        <v>0</v>
      </c>
      <c r="AH639" s="52">
        <f t="shared" si="296"/>
        <v>0</v>
      </c>
      <c r="AI639" s="52">
        <f t="shared" si="296"/>
        <v>0</v>
      </c>
      <c r="AJ639" s="52">
        <f t="shared" si="296"/>
        <v>0</v>
      </c>
      <c r="AK639" s="52">
        <f t="shared" si="296"/>
        <v>0</v>
      </c>
      <c r="AL639" s="52">
        <f t="shared" si="296"/>
        <v>0</v>
      </c>
      <c r="AM639" s="52">
        <f t="shared" si="296"/>
        <v>0</v>
      </c>
      <c r="AN639" s="52">
        <f t="shared" si="296"/>
        <v>0</v>
      </c>
      <c r="AO639" s="52">
        <f t="shared" si="296"/>
        <v>0</v>
      </c>
      <c r="AP639" s="52">
        <f t="shared" si="296"/>
        <v>0</v>
      </c>
      <c r="AQ639" s="52">
        <f t="shared" si="296"/>
        <v>0</v>
      </c>
      <c r="AR639" s="52">
        <f t="shared" si="296"/>
        <v>0</v>
      </c>
      <c r="AS639" s="52">
        <f t="shared" si="296"/>
        <v>0</v>
      </c>
      <c r="AT639" s="52">
        <f t="shared" si="296"/>
        <v>0</v>
      </c>
      <c r="AU639" s="52">
        <f t="shared" si="296"/>
        <v>0</v>
      </c>
      <c r="AV639" s="52">
        <f t="shared" si="296"/>
        <v>0</v>
      </c>
      <c r="AW639" s="52">
        <f t="shared" si="296"/>
        <v>0</v>
      </c>
      <c r="AX639" s="52">
        <f t="shared" si="296"/>
        <v>0</v>
      </c>
      <c r="AY639" s="52">
        <f t="shared" si="296"/>
        <v>0</v>
      </c>
      <c r="AZ639" s="52">
        <f t="shared" si="296"/>
        <v>0.7</v>
      </c>
      <c r="BA639" s="52">
        <f t="shared" si="296"/>
        <v>1</v>
      </c>
      <c r="BB639" s="52">
        <f t="shared" si="296"/>
        <v>1</v>
      </c>
      <c r="BC639" s="52">
        <f t="shared" si="296"/>
        <v>1</v>
      </c>
      <c r="BD639" s="52">
        <f t="shared" si="296"/>
        <v>1</v>
      </c>
      <c r="BE639" s="52">
        <f t="shared" si="296"/>
        <v>1</v>
      </c>
      <c r="BF639" s="52">
        <f t="shared" si="296"/>
        <v>1</v>
      </c>
      <c r="BG639" s="52">
        <f t="shared" si="296"/>
        <v>1</v>
      </c>
      <c r="BH639" s="52">
        <f t="shared" si="296"/>
        <v>1</v>
      </c>
      <c r="BI639" s="52">
        <f t="shared" si="296"/>
        <v>1</v>
      </c>
      <c r="BJ639" s="52">
        <f t="shared" si="296"/>
        <v>1</v>
      </c>
      <c r="BK639" s="52">
        <f t="shared" si="296"/>
        <v>1</v>
      </c>
      <c r="BL639" s="52">
        <f t="shared" si="296"/>
        <v>1</v>
      </c>
      <c r="BM639" s="52">
        <f t="shared" si="296"/>
        <v>1</v>
      </c>
      <c r="BN639" s="52">
        <f t="shared" si="296"/>
        <v>1</v>
      </c>
      <c r="BO639" s="32">
        <f t="shared" si="273"/>
        <v>0.24915254237288134</v>
      </c>
    </row>
    <row r="640" spans="1:67" ht="15" x14ac:dyDescent="0.2">
      <c r="A640" s="46" t="s">
        <v>1288</v>
      </c>
      <c r="B640" s="46" t="s">
        <v>1289</v>
      </c>
      <c r="C640" s="46" t="s">
        <v>126</v>
      </c>
      <c r="D640" s="47">
        <f>VLOOKUP(A640,'[1]Cuadro Control'!C685:J2570,8,FALSE)</f>
        <v>9527825.6870364472</v>
      </c>
      <c r="E640" s="48">
        <f t="shared" si="295"/>
        <v>1.794698454439963E-3</v>
      </c>
      <c r="F640" s="49">
        <v>46524</v>
      </c>
      <c r="G640" s="49">
        <v>46527</v>
      </c>
      <c r="H640" s="48">
        <f t="shared" si="296"/>
        <v>0</v>
      </c>
      <c r="I640" s="48">
        <f t="shared" si="296"/>
        <v>0</v>
      </c>
      <c r="J640" s="48">
        <f t="shared" si="296"/>
        <v>0</v>
      </c>
      <c r="K640" s="48">
        <f t="shared" si="296"/>
        <v>0</v>
      </c>
      <c r="L640" s="48">
        <f t="shared" si="296"/>
        <v>0</v>
      </c>
      <c r="M640" s="48">
        <f t="shared" si="296"/>
        <v>0</v>
      </c>
      <c r="N640" s="48">
        <f t="shared" si="296"/>
        <v>0</v>
      </c>
      <c r="O640" s="48">
        <f t="shared" si="296"/>
        <v>0</v>
      </c>
      <c r="P640" s="48">
        <f t="shared" si="296"/>
        <v>0</v>
      </c>
      <c r="Q640" s="48">
        <f t="shared" si="296"/>
        <v>0</v>
      </c>
      <c r="R640" s="48">
        <f t="shared" si="296"/>
        <v>0</v>
      </c>
      <c r="S640" s="48">
        <f t="shared" si="296"/>
        <v>0</v>
      </c>
      <c r="T640" s="48">
        <f t="shared" si="296"/>
        <v>0</v>
      </c>
      <c r="U640" s="48">
        <f t="shared" si="296"/>
        <v>0</v>
      </c>
      <c r="V640" s="48">
        <f t="shared" si="296"/>
        <v>0</v>
      </c>
      <c r="W640" s="48">
        <f t="shared" si="296"/>
        <v>0</v>
      </c>
      <c r="X640" s="48">
        <f t="shared" si="296"/>
        <v>0</v>
      </c>
      <c r="Y640" s="48">
        <f t="shared" si="296"/>
        <v>0</v>
      </c>
      <c r="Z640" s="48">
        <f t="shared" si="296"/>
        <v>0</v>
      </c>
      <c r="AA640" s="48">
        <f t="shared" si="296"/>
        <v>0</v>
      </c>
      <c r="AB640" s="48">
        <f t="shared" si="296"/>
        <v>0</v>
      </c>
      <c r="AC640" s="48">
        <f t="shared" si="296"/>
        <v>0</v>
      </c>
      <c r="AD640" s="48">
        <f t="shared" si="296"/>
        <v>0</v>
      </c>
      <c r="AE640" s="48">
        <f t="shared" si="296"/>
        <v>0</v>
      </c>
      <c r="AF640" s="48">
        <f t="shared" si="296"/>
        <v>0</v>
      </c>
      <c r="AG640" s="48">
        <f t="shared" si="296"/>
        <v>0</v>
      </c>
      <c r="AH640" s="48">
        <f t="shared" si="296"/>
        <v>0</v>
      </c>
      <c r="AI640" s="48">
        <f t="shared" si="296"/>
        <v>0</v>
      </c>
      <c r="AJ640" s="48">
        <f t="shared" si="296"/>
        <v>0</v>
      </c>
      <c r="AK640" s="48">
        <f t="shared" si="296"/>
        <v>0</v>
      </c>
      <c r="AL640" s="48">
        <f t="shared" si="296"/>
        <v>0</v>
      </c>
      <c r="AM640" s="48">
        <f t="shared" si="296"/>
        <v>0</v>
      </c>
      <c r="AN640" s="48">
        <f t="shared" si="296"/>
        <v>0</v>
      </c>
      <c r="AO640" s="48">
        <f t="shared" si="296"/>
        <v>0</v>
      </c>
      <c r="AP640" s="48">
        <f t="shared" si="296"/>
        <v>0</v>
      </c>
      <c r="AQ640" s="48">
        <f t="shared" si="296"/>
        <v>0</v>
      </c>
      <c r="AR640" s="48">
        <f t="shared" si="296"/>
        <v>0</v>
      </c>
      <c r="AS640" s="48">
        <f t="shared" si="296"/>
        <v>0</v>
      </c>
      <c r="AT640" s="48">
        <f t="shared" si="296"/>
        <v>0</v>
      </c>
      <c r="AU640" s="48">
        <f t="shared" si="296"/>
        <v>0</v>
      </c>
      <c r="AV640" s="48">
        <f t="shared" si="296"/>
        <v>0</v>
      </c>
      <c r="AW640" s="48">
        <f t="shared" si="296"/>
        <v>0</v>
      </c>
      <c r="AX640" s="48">
        <f t="shared" si="296"/>
        <v>0</v>
      </c>
      <c r="AY640" s="48">
        <f t="shared" si="296"/>
        <v>0</v>
      </c>
      <c r="AZ640" s="48">
        <f t="shared" si="296"/>
        <v>0</v>
      </c>
      <c r="BA640" s="48">
        <f t="shared" si="296"/>
        <v>1</v>
      </c>
      <c r="BB640" s="48">
        <f t="shared" si="296"/>
        <v>1</v>
      </c>
      <c r="BC640" s="48">
        <f t="shared" si="296"/>
        <v>1</v>
      </c>
      <c r="BD640" s="48">
        <f t="shared" si="296"/>
        <v>1</v>
      </c>
      <c r="BE640" s="48">
        <f t="shared" si="296"/>
        <v>1</v>
      </c>
      <c r="BF640" s="48">
        <f t="shared" si="296"/>
        <v>1</v>
      </c>
      <c r="BG640" s="48">
        <f t="shared" si="296"/>
        <v>1</v>
      </c>
      <c r="BH640" s="48">
        <f t="shared" si="296"/>
        <v>1</v>
      </c>
      <c r="BI640" s="48">
        <f t="shared" si="296"/>
        <v>1</v>
      </c>
      <c r="BJ640" s="48">
        <f t="shared" si="296"/>
        <v>1</v>
      </c>
      <c r="BK640" s="48">
        <f t="shared" si="296"/>
        <v>1</v>
      </c>
      <c r="BL640" s="48">
        <f t="shared" si="296"/>
        <v>1</v>
      </c>
      <c r="BM640" s="48">
        <f t="shared" si="296"/>
        <v>1</v>
      </c>
      <c r="BN640" s="48">
        <f t="shared" si="296"/>
        <v>1</v>
      </c>
      <c r="BO640" s="32">
        <f t="shared" si="273"/>
        <v>0.23728813559322035</v>
      </c>
    </row>
    <row r="641" spans="1:67" x14ac:dyDescent="0.2">
      <c r="A641" s="50" t="s">
        <v>1290</v>
      </c>
      <c r="B641" s="50" t="s">
        <v>1291</v>
      </c>
      <c r="C641" s="50" t="s">
        <v>117</v>
      </c>
      <c r="D641" s="51">
        <f>VLOOKUP(A641,'[1]Cuadro Control'!C686:J2571,8,FALSE)</f>
        <v>320494616.71764702</v>
      </c>
      <c r="E641" s="52">
        <f t="shared" si="295"/>
        <v>6.0369617599332674E-2</v>
      </c>
      <c r="F641" s="53">
        <v>46527</v>
      </c>
      <c r="G641" s="53">
        <v>46532</v>
      </c>
      <c r="H641" s="52">
        <f t="shared" si="296"/>
        <v>0</v>
      </c>
      <c r="I641" s="52">
        <f t="shared" si="296"/>
        <v>0</v>
      </c>
      <c r="J641" s="52">
        <f t="shared" si="296"/>
        <v>0</v>
      </c>
      <c r="K641" s="52">
        <f t="shared" si="296"/>
        <v>0</v>
      </c>
      <c r="L641" s="52">
        <f t="shared" si="296"/>
        <v>0</v>
      </c>
      <c r="M641" s="52">
        <f t="shared" si="296"/>
        <v>0</v>
      </c>
      <c r="N641" s="52">
        <f t="shared" si="296"/>
        <v>0</v>
      </c>
      <c r="O641" s="52">
        <f t="shared" si="296"/>
        <v>0</v>
      </c>
      <c r="P641" s="52">
        <f t="shared" si="296"/>
        <v>0</v>
      </c>
      <c r="Q641" s="52">
        <f t="shared" si="296"/>
        <v>0</v>
      </c>
      <c r="R641" s="52">
        <f t="shared" si="296"/>
        <v>0</v>
      </c>
      <c r="S641" s="52">
        <f t="shared" si="296"/>
        <v>0</v>
      </c>
      <c r="T641" s="52">
        <f t="shared" si="296"/>
        <v>0</v>
      </c>
      <c r="U641" s="52">
        <f t="shared" si="296"/>
        <v>0</v>
      </c>
      <c r="V641" s="52">
        <f t="shared" si="296"/>
        <v>0</v>
      </c>
      <c r="W641" s="52">
        <f t="shared" si="296"/>
        <v>0</v>
      </c>
      <c r="X641" s="52">
        <f t="shared" si="296"/>
        <v>0</v>
      </c>
      <c r="Y641" s="52">
        <f t="shared" si="296"/>
        <v>0</v>
      </c>
      <c r="Z641" s="52">
        <f t="shared" si="296"/>
        <v>0</v>
      </c>
      <c r="AA641" s="52">
        <f t="shared" si="296"/>
        <v>0</v>
      </c>
      <c r="AB641" s="52">
        <f t="shared" si="296"/>
        <v>0</v>
      </c>
      <c r="AC641" s="52">
        <f t="shared" si="296"/>
        <v>0</v>
      </c>
      <c r="AD641" s="52">
        <f t="shared" si="296"/>
        <v>0</v>
      </c>
      <c r="AE641" s="52">
        <f t="shared" si="296"/>
        <v>0</v>
      </c>
      <c r="AF641" s="52">
        <f t="shared" si="296"/>
        <v>0</v>
      </c>
      <c r="AG641" s="52">
        <f t="shared" si="296"/>
        <v>0</v>
      </c>
      <c r="AH641" s="52">
        <f t="shared" si="296"/>
        <v>0</v>
      </c>
      <c r="AI641" s="52">
        <f t="shared" si="296"/>
        <v>0</v>
      </c>
      <c r="AJ641" s="52">
        <f t="shared" si="296"/>
        <v>0</v>
      </c>
      <c r="AK641" s="52">
        <f t="shared" si="296"/>
        <v>0</v>
      </c>
      <c r="AL641" s="52">
        <f t="shared" si="296"/>
        <v>0</v>
      </c>
      <c r="AM641" s="52">
        <f t="shared" si="296"/>
        <v>0</v>
      </c>
      <c r="AN641" s="52">
        <f t="shared" si="296"/>
        <v>0</v>
      </c>
      <c r="AO641" s="52">
        <f t="shared" si="296"/>
        <v>0</v>
      </c>
      <c r="AP641" s="52">
        <f t="shared" si="296"/>
        <v>0</v>
      </c>
      <c r="AQ641" s="52">
        <f t="shared" si="296"/>
        <v>0</v>
      </c>
      <c r="AR641" s="52">
        <f t="shared" si="296"/>
        <v>0</v>
      </c>
      <c r="AS641" s="52">
        <f t="shared" si="296"/>
        <v>0</v>
      </c>
      <c r="AT641" s="52">
        <f t="shared" si="296"/>
        <v>0</v>
      </c>
      <c r="AU641" s="52">
        <f t="shared" si="296"/>
        <v>0</v>
      </c>
      <c r="AV641" s="52">
        <f t="shared" si="296"/>
        <v>0</v>
      </c>
      <c r="AW641" s="52">
        <f t="shared" si="296"/>
        <v>0</v>
      </c>
      <c r="AX641" s="52">
        <f t="shared" si="296"/>
        <v>0</v>
      </c>
      <c r="AY641" s="52">
        <f t="shared" si="296"/>
        <v>0</v>
      </c>
      <c r="AZ641" s="52">
        <f t="shared" si="296"/>
        <v>0</v>
      </c>
      <c r="BA641" s="52">
        <f t="shared" si="296"/>
        <v>0.33333333333333331</v>
      </c>
      <c r="BB641" s="52">
        <f t="shared" si="296"/>
        <v>1</v>
      </c>
      <c r="BC641" s="52">
        <f t="shared" si="296"/>
        <v>1</v>
      </c>
      <c r="BD641" s="52">
        <f t="shared" si="296"/>
        <v>1</v>
      </c>
      <c r="BE641" s="52">
        <f t="shared" si="296"/>
        <v>1</v>
      </c>
      <c r="BF641" s="52">
        <f t="shared" si="296"/>
        <v>1</v>
      </c>
      <c r="BG641" s="52">
        <f t="shared" si="296"/>
        <v>1</v>
      </c>
      <c r="BH641" s="52">
        <f t="shared" si="296"/>
        <v>1</v>
      </c>
      <c r="BI641" s="52">
        <f t="shared" si="296"/>
        <v>1</v>
      </c>
      <c r="BJ641" s="52">
        <f t="shared" si="296"/>
        <v>1</v>
      </c>
      <c r="BK641" s="52">
        <f t="shared" si="296"/>
        <v>1</v>
      </c>
      <c r="BL641" s="52">
        <f t="shared" si="296"/>
        <v>1</v>
      </c>
      <c r="BM641" s="52">
        <f t="shared" si="296"/>
        <v>1</v>
      </c>
      <c r="BN641" s="52">
        <f t="shared" si="296"/>
        <v>1</v>
      </c>
      <c r="BO641" s="32">
        <f t="shared" si="273"/>
        <v>0.22598870056497172</v>
      </c>
    </row>
    <row r="642" spans="1:67" x14ac:dyDescent="0.2">
      <c r="A642" s="50" t="s">
        <v>1292</v>
      </c>
      <c r="B642" s="50" t="s">
        <v>1293</v>
      </c>
      <c r="C642" s="50" t="s">
        <v>111</v>
      </c>
      <c r="D642" s="51">
        <f>VLOOKUP(A642,'[1]Cuadro Control'!C687:J2572,8,FALSE)</f>
        <v>94303618.549411759</v>
      </c>
      <c r="E642" s="52">
        <f t="shared" si="295"/>
        <v>1.7763397864110998E-2</v>
      </c>
      <c r="F642" s="53">
        <v>46532</v>
      </c>
      <c r="G642" s="53">
        <v>46533</v>
      </c>
      <c r="H642" s="52">
        <f t="shared" si="296"/>
        <v>0</v>
      </c>
      <c r="I642" s="52">
        <f t="shared" si="296"/>
        <v>0</v>
      </c>
      <c r="J642" s="52">
        <f t="shared" si="296"/>
        <v>0</v>
      </c>
      <c r="K642" s="52">
        <f t="shared" si="296"/>
        <v>0</v>
      </c>
      <c r="L642" s="52">
        <f t="shared" si="296"/>
        <v>0</v>
      </c>
      <c r="M642" s="52">
        <f t="shared" si="296"/>
        <v>0</v>
      </c>
      <c r="N642" s="52">
        <f t="shared" si="296"/>
        <v>0</v>
      </c>
      <c r="O642" s="52">
        <f t="shared" si="296"/>
        <v>0</v>
      </c>
      <c r="P642" s="52">
        <f t="shared" si="296"/>
        <v>0</v>
      </c>
      <c r="Q642" s="52">
        <f t="shared" si="296"/>
        <v>0</v>
      </c>
      <c r="R642" s="52">
        <f t="shared" si="296"/>
        <v>0</v>
      </c>
      <c r="S642" s="52">
        <f t="shared" si="296"/>
        <v>0</v>
      </c>
      <c r="T642" s="52">
        <f t="shared" si="296"/>
        <v>0</v>
      </c>
      <c r="U642" s="52">
        <f t="shared" si="296"/>
        <v>0</v>
      </c>
      <c r="V642" s="52">
        <f t="shared" si="296"/>
        <v>0</v>
      </c>
      <c r="W642" s="52">
        <f t="shared" si="296"/>
        <v>0</v>
      </c>
      <c r="X642" s="52">
        <f t="shared" si="296"/>
        <v>0</v>
      </c>
      <c r="Y642" s="52">
        <f t="shared" si="296"/>
        <v>0</v>
      </c>
      <c r="Z642" s="52">
        <f t="shared" si="296"/>
        <v>0</v>
      </c>
      <c r="AA642" s="52">
        <f t="shared" ref="AA642:BF653" si="297">IF($F642=0,0,IF(AA$6&lt;$F642,0,IF(AA$6&gt;$G642,1,(AA$6-$F642+1)/($G642-$F642+1))))</f>
        <v>0</v>
      </c>
      <c r="AB642" s="52">
        <f t="shared" si="297"/>
        <v>0</v>
      </c>
      <c r="AC642" s="52">
        <f t="shared" si="297"/>
        <v>0</v>
      </c>
      <c r="AD642" s="52">
        <f t="shared" si="297"/>
        <v>0</v>
      </c>
      <c r="AE642" s="52">
        <f t="shared" si="297"/>
        <v>0</v>
      </c>
      <c r="AF642" s="52">
        <f t="shared" si="297"/>
        <v>0</v>
      </c>
      <c r="AG642" s="52">
        <f t="shared" si="297"/>
        <v>0</v>
      </c>
      <c r="AH642" s="52">
        <f t="shared" si="297"/>
        <v>0</v>
      </c>
      <c r="AI642" s="52">
        <f t="shared" si="297"/>
        <v>0</v>
      </c>
      <c r="AJ642" s="52">
        <f t="shared" si="297"/>
        <v>0</v>
      </c>
      <c r="AK642" s="52">
        <f t="shared" si="297"/>
        <v>0</v>
      </c>
      <c r="AL642" s="52">
        <f t="shared" si="297"/>
        <v>0</v>
      </c>
      <c r="AM642" s="52">
        <f t="shared" si="297"/>
        <v>0</v>
      </c>
      <c r="AN642" s="52">
        <f t="shared" si="297"/>
        <v>0</v>
      </c>
      <c r="AO642" s="52">
        <f t="shared" si="297"/>
        <v>0</v>
      </c>
      <c r="AP642" s="52">
        <f t="shared" si="297"/>
        <v>0</v>
      </c>
      <c r="AQ642" s="52">
        <f t="shared" si="297"/>
        <v>0</v>
      </c>
      <c r="AR642" s="52">
        <f t="shared" si="297"/>
        <v>0</v>
      </c>
      <c r="AS642" s="52">
        <f t="shared" si="297"/>
        <v>0</v>
      </c>
      <c r="AT642" s="52">
        <f t="shared" si="297"/>
        <v>0</v>
      </c>
      <c r="AU642" s="52">
        <f t="shared" si="297"/>
        <v>0</v>
      </c>
      <c r="AV642" s="52">
        <f t="shared" si="297"/>
        <v>0</v>
      </c>
      <c r="AW642" s="52">
        <f t="shared" si="297"/>
        <v>0</v>
      </c>
      <c r="AX642" s="52">
        <f t="shared" si="297"/>
        <v>0</v>
      </c>
      <c r="AY642" s="52">
        <f t="shared" si="297"/>
        <v>0</v>
      </c>
      <c r="AZ642" s="52">
        <f t="shared" si="297"/>
        <v>0</v>
      </c>
      <c r="BA642" s="52">
        <f t="shared" si="297"/>
        <v>0</v>
      </c>
      <c r="BB642" s="52">
        <f t="shared" si="297"/>
        <v>1</v>
      </c>
      <c r="BC642" s="52">
        <f t="shared" si="297"/>
        <v>1</v>
      </c>
      <c r="BD642" s="52">
        <f t="shared" si="297"/>
        <v>1</v>
      </c>
      <c r="BE642" s="52">
        <f t="shared" si="297"/>
        <v>1</v>
      </c>
      <c r="BF642" s="52">
        <f t="shared" si="297"/>
        <v>1</v>
      </c>
      <c r="BG642" s="52">
        <f t="shared" ref="BG642:BN653" si="298">IF($F642=0,0,IF(BG$6&lt;$F642,0,IF(BG$6&gt;$G642,1,(BG$6-$F642+1)/($G642-$F642+1))))</f>
        <v>1</v>
      </c>
      <c r="BH642" s="52">
        <f t="shared" si="298"/>
        <v>1</v>
      </c>
      <c r="BI642" s="52">
        <f t="shared" si="298"/>
        <v>1</v>
      </c>
      <c r="BJ642" s="52">
        <f t="shared" si="298"/>
        <v>1</v>
      </c>
      <c r="BK642" s="52">
        <f t="shared" si="298"/>
        <v>1</v>
      </c>
      <c r="BL642" s="52">
        <f t="shared" si="298"/>
        <v>1</v>
      </c>
      <c r="BM642" s="52">
        <f t="shared" si="298"/>
        <v>1</v>
      </c>
      <c r="BN642" s="52">
        <f t="shared" si="298"/>
        <v>1</v>
      </c>
      <c r="BO642" s="32">
        <f t="shared" si="273"/>
        <v>0.22033898305084745</v>
      </c>
    </row>
    <row r="643" spans="1:67" x14ac:dyDescent="0.2">
      <c r="A643" s="50" t="s">
        <v>1294</v>
      </c>
      <c r="B643" s="50" t="s">
        <v>1295</v>
      </c>
      <c r="C643" s="50" t="s">
        <v>238</v>
      </c>
      <c r="D643" s="51">
        <f>VLOOKUP(A643,'[1]Cuadro Control'!C688:J2573,8,FALSE)</f>
        <v>179436034.15411764</v>
      </c>
      <c r="E643" s="52">
        <f t="shared" si="295"/>
        <v>3.3799272126209236E-2</v>
      </c>
      <c r="F643" s="53">
        <v>46533</v>
      </c>
      <c r="G643" s="53">
        <v>46540</v>
      </c>
      <c r="H643" s="52">
        <f t="shared" ref="H643:W653" si="299">IF($F643=0,0,IF(H$6&lt;$F643,0,IF(H$6&gt;$G643,1,(H$6-$F643+1)/($G643-$F643+1))))</f>
        <v>0</v>
      </c>
      <c r="I643" s="52">
        <f t="shared" si="299"/>
        <v>0</v>
      </c>
      <c r="J643" s="52">
        <f t="shared" si="299"/>
        <v>0</v>
      </c>
      <c r="K643" s="52">
        <f t="shared" si="299"/>
        <v>0</v>
      </c>
      <c r="L643" s="52">
        <f t="shared" si="299"/>
        <v>0</v>
      </c>
      <c r="M643" s="52">
        <f t="shared" si="299"/>
        <v>0</v>
      </c>
      <c r="N643" s="52">
        <f t="shared" si="299"/>
        <v>0</v>
      </c>
      <c r="O643" s="52">
        <f t="shared" si="299"/>
        <v>0</v>
      </c>
      <c r="P643" s="52">
        <f t="shared" si="299"/>
        <v>0</v>
      </c>
      <c r="Q643" s="52">
        <f t="shared" si="299"/>
        <v>0</v>
      </c>
      <c r="R643" s="52">
        <f t="shared" si="299"/>
        <v>0</v>
      </c>
      <c r="S643" s="52">
        <f t="shared" si="299"/>
        <v>0</v>
      </c>
      <c r="T643" s="52">
        <f t="shared" si="299"/>
        <v>0</v>
      </c>
      <c r="U643" s="52">
        <f t="shared" si="299"/>
        <v>0</v>
      </c>
      <c r="V643" s="52">
        <f t="shared" si="299"/>
        <v>0</v>
      </c>
      <c r="W643" s="52">
        <f t="shared" si="299"/>
        <v>0</v>
      </c>
      <c r="X643" s="52">
        <f t="shared" ref="X643:BC653" si="300">IF($F643=0,0,IF(X$6&lt;$F643,0,IF(X$6&gt;$G643,1,(X$6-$F643+1)/($G643-$F643+1))))</f>
        <v>0</v>
      </c>
      <c r="Y643" s="52">
        <f t="shared" si="300"/>
        <v>0</v>
      </c>
      <c r="Z643" s="52">
        <f t="shared" si="300"/>
        <v>0</v>
      </c>
      <c r="AA643" s="52">
        <f t="shared" si="300"/>
        <v>0</v>
      </c>
      <c r="AB643" s="52">
        <f t="shared" si="300"/>
        <v>0</v>
      </c>
      <c r="AC643" s="52">
        <f t="shared" si="300"/>
        <v>0</v>
      </c>
      <c r="AD643" s="52">
        <f t="shared" si="300"/>
        <v>0</v>
      </c>
      <c r="AE643" s="52">
        <f t="shared" si="300"/>
        <v>0</v>
      </c>
      <c r="AF643" s="52">
        <f t="shared" si="300"/>
        <v>0</v>
      </c>
      <c r="AG643" s="52">
        <f t="shared" si="300"/>
        <v>0</v>
      </c>
      <c r="AH643" s="52">
        <f t="shared" si="300"/>
        <v>0</v>
      </c>
      <c r="AI643" s="52">
        <f t="shared" si="300"/>
        <v>0</v>
      </c>
      <c r="AJ643" s="52">
        <f t="shared" si="300"/>
        <v>0</v>
      </c>
      <c r="AK643" s="52">
        <f t="shared" si="300"/>
        <v>0</v>
      </c>
      <c r="AL643" s="52">
        <f t="shared" si="300"/>
        <v>0</v>
      </c>
      <c r="AM643" s="52">
        <f t="shared" si="300"/>
        <v>0</v>
      </c>
      <c r="AN643" s="52">
        <f t="shared" si="300"/>
        <v>0</v>
      </c>
      <c r="AO643" s="52">
        <f t="shared" si="297"/>
        <v>0</v>
      </c>
      <c r="AP643" s="52">
        <f t="shared" si="297"/>
        <v>0</v>
      </c>
      <c r="AQ643" s="52">
        <f t="shared" si="297"/>
        <v>0</v>
      </c>
      <c r="AR643" s="52">
        <f t="shared" si="297"/>
        <v>0</v>
      </c>
      <c r="AS643" s="52">
        <f t="shared" si="297"/>
        <v>0</v>
      </c>
      <c r="AT643" s="52">
        <f t="shared" si="297"/>
        <v>0</v>
      </c>
      <c r="AU643" s="52">
        <f t="shared" si="297"/>
        <v>0</v>
      </c>
      <c r="AV643" s="52">
        <f t="shared" si="297"/>
        <v>0</v>
      </c>
      <c r="AW643" s="52">
        <f t="shared" si="297"/>
        <v>0</v>
      </c>
      <c r="AX643" s="52">
        <f t="shared" si="297"/>
        <v>0</v>
      </c>
      <c r="AY643" s="52">
        <f t="shared" si="297"/>
        <v>0</v>
      </c>
      <c r="AZ643" s="52">
        <f t="shared" si="297"/>
        <v>0</v>
      </c>
      <c r="BA643" s="52">
        <f t="shared" si="297"/>
        <v>0</v>
      </c>
      <c r="BB643" s="52">
        <f t="shared" si="297"/>
        <v>0.375</v>
      </c>
      <c r="BC643" s="52">
        <f t="shared" si="297"/>
        <v>1</v>
      </c>
      <c r="BD643" s="52">
        <f t="shared" si="297"/>
        <v>1</v>
      </c>
      <c r="BE643" s="52">
        <f t="shared" si="297"/>
        <v>1</v>
      </c>
      <c r="BF643" s="52">
        <f t="shared" si="297"/>
        <v>1</v>
      </c>
      <c r="BG643" s="52">
        <f t="shared" si="298"/>
        <v>1</v>
      </c>
      <c r="BH643" s="52">
        <f t="shared" si="298"/>
        <v>1</v>
      </c>
      <c r="BI643" s="52">
        <f t="shared" si="298"/>
        <v>1</v>
      </c>
      <c r="BJ643" s="52">
        <f t="shared" si="298"/>
        <v>1</v>
      </c>
      <c r="BK643" s="52">
        <f t="shared" si="298"/>
        <v>1</v>
      </c>
      <c r="BL643" s="52">
        <f t="shared" si="298"/>
        <v>1</v>
      </c>
      <c r="BM643" s="52">
        <f t="shared" si="298"/>
        <v>1</v>
      </c>
      <c r="BN643" s="52">
        <f t="shared" si="298"/>
        <v>1</v>
      </c>
      <c r="BO643" s="32">
        <f t="shared" si="273"/>
        <v>0.2097457627118644</v>
      </c>
    </row>
    <row r="644" spans="1:67" x14ac:dyDescent="0.2">
      <c r="A644" s="50" t="s">
        <v>1296</v>
      </c>
      <c r="B644" s="50" t="s">
        <v>1297</v>
      </c>
      <c r="C644" s="50" t="s">
        <v>58</v>
      </c>
      <c r="D644" s="51">
        <f>VLOOKUP(A644,'[1]Cuadro Control'!C689:J2574,8,FALSE)</f>
        <v>1212623361.2117648</v>
      </c>
      <c r="E644" s="52">
        <f t="shared" si="295"/>
        <v>0.22841447185013161</v>
      </c>
      <c r="F644" s="53">
        <v>46540</v>
      </c>
      <c r="G644" s="53">
        <v>46556</v>
      </c>
      <c r="H644" s="52">
        <f t="shared" si="299"/>
        <v>0</v>
      </c>
      <c r="I644" s="52">
        <f t="shared" si="299"/>
        <v>0</v>
      </c>
      <c r="J644" s="52">
        <f t="shared" si="299"/>
        <v>0</v>
      </c>
      <c r="K644" s="52">
        <f t="shared" si="299"/>
        <v>0</v>
      </c>
      <c r="L644" s="52">
        <f t="shared" si="299"/>
        <v>0</v>
      </c>
      <c r="M644" s="52">
        <f t="shared" si="299"/>
        <v>0</v>
      </c>
      <c r="N644" s="52">
        <f t="shared" si="299"/>
        <v>0</v>
      </c>
      <c r="O644" s="52">
        <f t="shared" si="299"/>
        <v>0</v>
      </c>
      <c r="P644" s="52">
        <f t="shared" si="299"/>
        <v>0</v>
      </c>
      <c r="Q644" s="52">
        <f t="shared" si="299"/>
        <v>0</v>
      </c>
      <c r="R644" s="52">
        <f t="shared" si="299"/>
        <v>0</v>
      </c>
      <c r="S644" s="52">
        <f t="shared" si="299"/>
        <v>0</v>
      </c>
      <c r="T644" s="52">
        <f t="shared" si="299"/>
        <v>0</v>
      </c>
      <c r="U644" s="52">
        <f t="shared" si="299"/>
        <v>0</v>
      </c>
      <c r="V644" s="52">
        <f t="shared" si="299"/>
        <v>0</v>
      </c>
      <c r="W644" s="52">
        <f t="shared" si="299"/>
        <v>0</v>
      </c>
      <c r="X644" s="52">
        <f t="shared" si="300"/>
        <v>0</v>
      </c>
      <c r="Y644" s="52">
        <f t="shared" si="300"/>
        <v>0</v>
      </c>
      <c r="Z644" s="52">
        <f t="shared" si="300"/>
        <v>0</v>
      </c>
      <c r="AA644" s="52">
        <f t="shared" si="300"/>
        <v>0</v>
      </c>
      <c r="AB644" s="52">
        <f t="shared" si="300"/>
        <v>0</v>
      </c>
      <c r="AC644" s="52">
        <f t="shared" si="300"/>
        <v>0</v>
      </c>
      <c r="AD644" s="52">
        <f t="shared" si="300"/>
        <v>0</v>
      </c>
      <c r="AE644" s="52">
        <f t="shared" si="300"/>
        <v>0</v>
      </c>
      <c r="AF644" s="52">
        <f t="shared" si="300"/>
        <v>0</v>
      </c>
      <c r="AG644" s="52">
        <f t="shared" si="300"/>
        <v>0</v>
      </c>
      <c r="AH644" s="52">
        <f t="shared" si="300"/>
        <v>0</v>
      </c>
      <c r="AI644" s="52">
        <f t="shared" si="300"/>
        <v>0</v>
      </c>
      <c r="AJ644" s="52">
        <f t="shared" si="300"/>
        <v>0</v>
      </c>
      <c r="AK644" s="52">
        <f t="shared" si="300"/>
        <v>0</v>
      </c>
      <c r="AL644" s="52">
        <f t="shared" si="300"/>
        <v>0</v>
      </c>
      <c r="AM644" s="52">
        <f t="shared" si="300"/>
        <v>0</v>
      </c>
      <c r="AN644" s="52">
        <f t="shared" si="300"/>
        <v>0</v>
      </c>
      <c r="AO644" s="52">
        <f t="shared" si="297"/>
        <v>0</v>
      </c>
      <c r="AP644" s="52">
        <f t="shared" si="297"/>
        <v>0</v>
      </c>
      <c r="AQ644" s="52">
        <f t="shared" si="297"/>
        <v>0</v>
      </c>
      <c r="AR644" s="52">
        <f t="shared" si="297"/>
        <v>0</v>
      </c>
      <c r="AS644" s="52">
        <f t="shared" si="297"/>
        <v>0</v>
      </c>
      <c r="AT644" s="52">
        <f t="shared" si="297"/>
        <v>0</v>
      </c>
      <c r="AU644" s="52">
        <f t="shared" si="297"/>
        <v>0</v>
      </c>
      <c r="AV644" s="52">
        <f t="shared" si="297"/>
        <v>0</v>
      </c>
      <c r="AW644" s="52">
        <f t="shared" si="297"/>
        <v>0</v>
      </c>
      <c r="AX644" s="52">
        <f t="shared" si="297"/>
        <v>0</v>
      </c>
      <c r="AY644" s="52">
        <f t="shared" si="297"/>
        <v>0</v>
      </c>
      <c r="AZ644" s="52">
        <f t="shared" si="297"/>
        <v>0</v>
      </c>
      <c r="BA644" s="52">
        <f t="shared" si="297"/>
        <v>0</v>
      </c>
      <c r="BB644" s="52">
        <f t="shared" si="297"/>
        <v>0</v>
      </c>
      <c r="BC644" s="52">
        <f t="shared" si="297"/>
        <v>0.17647058823529413</v>
      </c>
      <c r="BD644" s="52">
        <f t="shared" si="297"/>
        <v>0.58823529411764708</v>
      </c>
      <c r="BE644" s="52">
        <f t="shared" si="297"/>
        <v>1</v>
      </c>
      <c r="BF644" s="52">
        <f t="shared" si="297"/>
        <v>1</v>
      </c>
      <c r="BG644" s="52">
        <f t="shared" si="298"/>
        <v>1</v>
      </c>
      <c r="BH644" s="52">
        <f t="shared" si="298"/>
        <v>1</v>
      </c>
      <c r="BI644" s="52">
        <f t="shared" si="298"/>
        <v>1</v>
      </c>
      <c r="BJ644" s="52">
        <f t="shared" si="298"/>
        <v>1</v>
      </c>
      <c r="BK644" s="52">
        <f t="shared" si="298"/>
        <v>1</v>
      </c>
      <c r="BL644" s="52">
        <f t="shared" si="298"/>
        <v>1</v>
      </c>
      <c r="BM644" s="52">
        <f t="shared" si="298"/>
        <v>1</v>
      </c>
      <c r="BN644" s="52">
        <f t="shared" si="298"/>
        <v>1</v>
      </c>
      <c r="BO644" s="32">
        <f t="shared" si="273"/>
        <v>0.18245264207377868</v>
      </c>
    </row>
    <row r="645" spans="1:67" x14ac:dyDescent="0.2">
      <c r="A645" s="50" t="s">
        <v>1298</v>
      </c>
      <c r="B645" s="50" t="s">
        <v>1299</v>
      </c>
      <c r="C645" s="50" t="s">
        <v>126</v>
      </c>
      <c r="D645" s="51">
        <f>VLOOKUP(A645,'[1]Cuadro Control'!C690:J2575,8,FALSE)</f>
        <v>0</v>
      </c>
      <c r="E645" s="52">
        <f t="shared" si="295"/>
        <v>0</v>
      </c>
      <c r="F645" s="53">
        <v>46556</v>
      </c>
      <c r="G645" s="53">
        <v>46560</v>
      </c>
      <c r="H645" s="52">
        <f t="shared" si="299"/>
        <v>0</v>
      </c>
      <c r="I645" s="52">
        <f t="shared" si="299"/>
        <v>0</v>
      </c>
      <c r="J645" s="52">
        <f t="shared" si="299"/>
        <v>0</v>
      </c>
      <c r="K645" s="52">
        <f t="shared" si="299"/>
        <v>0</v>
      </c>
      <c r="L645" s="52">
        <f t="shared" si="299"/>
        <v>0</v>
      </c>
      <c r="M645" s="52">
        <f t="shared" si="299"/>
        <v>0</v>
      </c>
      <c r="N645" s="52">
        <f t="shared" si="299"/>
        <v>0</v>
      </c>
      <c r="O645" s="52">
        <f t="shared" si="299"/>
        <v>0</v>
      </c>
      <c r="P645" s="52">
        <f t="shared" si="299"/>
        <v>0</v>
      </c>
      <c r="Q645" s="52">
        <f t="shared" si="299"/>
        <v>0</v>
      </c>
      <c r="R645" s="52">
        <f t="shared" si="299"/>
        <v>0</v>
      </c>
      <c r="S645" s="52">
        <f t="shared" si="299"/>
        <v>0</v>
      </c>
      <c r="T645" s="52">
        <f t="shared" si="299"/>
        <v>0</v>
      </c>
      <c r="U645" s="52">
        <f t="shared" si="299"/>
        <v>0</v>
      </c>
      <c r="V645" s="52">
        <f t="shared" si="299"/>
        <v>0</v>
      </c>
      <c r="W645" s="52">
        <f t="shared" si="299"/>
        <v>0</v>
      </c>
      <c r="X645" s="52">
        <f t="shared" si="300"/>
        <v>0</v>
      </c>
      <c r="Y645" s="52">
        <f t="shared" si="300"/>
        <v>0</v>
      </c>
      <c r="Z645" s="52">
        <f t="shared" si="300"/>
        <v>0</v>
      </c>
      <c r="AA645" s="52">
        <f t="shared" si="300"/>
        <v>0</v>
      </c>
      <c r="AB645" s="52">
        <f t="shared" si="300"/>
        <v>0</v>
      </c>
      <c r="AC645" s="52">
        <f t="shared" si="300"/>
        <v>0</v>
      </c>
      <c r="AD645" s="52">
        <f t="shared" si="300"/>
        <v>0</v>
      </c>
      <c r="AE645" s="52">
        <f t="shared" si="300"/>
        <v>0</v>
      </c>
      <c r="AF645" s="52">
        <f t="shared" si="300"/>
        <v>0</v>
      </c>
      <c r="AG645" s="52">
        <f t="shared" si="300"/>
        <v>0</v>
      </c>
      <c r="AH645" s="52">
        <f t="shared" si="300"/>
        <v>0</v>
      </c>
      <c r="AI645" s="52">
        <f t="shared" si="300"/>
        <v>0</v>
      </c>
      <c r="AJ645" s="52">
        <f t="shared" si="300"/>
        <v>0</v>
      </c>
      <c r="AK645" s="52">
        <f t="shared" si="300"/>
        <v>0</v>
      </c>
      <c r="AL645" s="52">
        <f t="shared" si="300"/>
        <v>0</v>
      </c>
      <c r="AM645" s="52">
        <f t="shared" si="300"/>
        <v>0</v>
      </c>
      <c r="AN645" s="52">
        <f t="shared" si="300"/>
        <v>0</v>
      </c>
      <c r="AO645" s="52">
        <f t="shared" si="297"/>
        <v>0</v>
      </c>
      <c r="AP645" s="52">
        <f t="shared" si="297"/>
        <v>0</v>
      </c>
      <c r="AQ645" s="52">
        <f t="shared" si="297"/>
        <v>0</v>
      </c>
      <c r="AR645" s="52">
        <f t="shared" si="297"/>
        <v>0</v>
      </c>
      <c r="AS645" s="52">
        <f t="shared" si="297"/>
        <v>0</v>
      </c>
      <c r="AT645" s="52">
        <f t="shared" si="297"/>
        <v>0</v>
      </c>
      <c r="AU645" s="52">
        <f t="shared" si="297"/>
        <v>0</v>
      </c>
      <c r="AV645" s="52">
        <f t="shared" si="297"/>
        <v>0</v>
      </c>
      <c r="AW645" s="52">
        <f t="shared" si="297"/>
        <v>0</v>
      </c>
      <c r="AX645" s="52">
        <f t="shared" si="297"/>
        <v>0</v>
      </c>
      <c r="AY645" s="52">
        <f t="shared" si="297"/>
        <v>0</v>
      </c>
      <c r="AZ645" s="52">
        <f t="shared" si="297"/>
        <v>0</v>
      </c>
      <c r="BA645" s="52">
        <f t="shared" si="297"/>
        <v>0</v>
      </c>
      <c r="BB645" s="52">
        <f t="shared" si="297"/>
        <v>0</v>
      </c>
      <c r="BC645" s="52">
        <f t="shared" si="297"/>
        <v>0</v>
      </c>
      <c r="BD645" s="52">
        <f t="shared" si="297"/>
        <v>0</v>
      </c>
      <c r="BE645" s="52">
        <f t="shared" si="297"/>
        <v>0.2</v>
      </c>
      <c r="BF645" s="52">
        <f t="shared" si="297"/>
        <v>1</v>
      </c>
      <c r="BG645" s="52">
        <f t="shared" si="298"/>
        <v>1</v>
      </c>
      <c r="BH645" s="52">
        <f t="shared" si="298"/>
        <v>1</v>
      </c>
      <c r="BI645" s="52">
        <f t="shared" si="298"/>
        <v>1</v>
      </c>
      <c r="BJ645" s="52">
        <f t="shared" si="298"/>
        <v>1</v>
      </c>
      <c r="BK645" s="52">
        <f t="shared" si="298"/>
        <v>1</v>
      </c>
      <c r="BL645" s="52">
        <f t="shared" si="298"/>
        <v>1</v>
      </c>
      <c r="BM645" s="52">
        <f t="shared" si="298"/>
        <v>1</v>
      </c>
      <c r="BN645" s="52">
        <f t="shared" si="298"/>
        <v>1</v>
      </c>
      <c r="BO645" s="32">
        <f t="shared" si="273"/>
        <v>0.15593220338983049</v>
      </c>
    </row>
    <row r="646" spans="1:67" ht="24" x14ac:dyDescent="0.2">
      <c r="A646" s="55" t="s">
        <v>1300</v>
      </c>
      <c r="B646" s="55" t="s">
        <v>1301</v>
      </c>
      <c r="C646" s="55" t="s">
        <v>14</v>
      </c>
      <c r="D646" s="56">
        <f>VLOOKUP(A646,'[1]Cuadro Control'!C691:J2576,8,FALSE)</f>
        <v>0</v>
      </c>
      <c r="E646" s="57">
        <f t="shared" si="295"/>
        <v>0</v>
      </c>
      <c r="F646" s="58">
        <v>46556</v>
      </c>
      <c r="G646" s="58">
        <v>46556</v>
      </c>
      <c r="H646" s="57">
        <f t="shared" si="299"/>
        <v>0</v>
      </c>
      <c r="I646" s="57">
        <f t="shared" si="299"/>
        <v>0</v>
      </c>
      <c r="J646" s="57">
        <f t="shared" si="299"/>
        <v>0</v>
      </c>
      <c r="K646" s="57">
        <f t="shared" si="299"/>
        <v>0</v>
      </c>
      <c r="L646" s="57">
        <f t="shared" si="299"/>
        <v>0</v>
      </c>
      <c r="M646" s="57">
        <f t="shared" si="299"/>
        <v>0</v>
      </c>
      <c r="N646" s="57">
        <f t="shared" si="299"/>
        <v>0</v>
      </c>
      <c r="O646" s="57">
        <f t="shared" si="299"/>
        <v>0</v>
      </c>
      <c r="P646" s="57">
        <f t="shared" si="299"/>
        <v>0</v>
      </c>
      <c r="Q646" s="57">
        <f t="shared" si="299"/>
        <v>0</v>
      </c>
      <c r="R646" s="57">
        <f t="shared" si="299"/>
        <v>0</v>
      </c>
      <c r="S646" s="57">
        <f t="shared" si="299"/>
        <v>0</v>
      </c>
      <c r="T646" s="57">
        <f t="shared" si="299"/>
        <v>0</v>
      </c>
      <c r="U646" s="57">
        <f t="shared" si="299"/>
        <v>0</v>
      </c>
      <c r="V646" s="57">
        <f t="shared" si="299"/>
        <v>0</v>
      </c>
      <c r="W646" s="57">
        <f t="shared" si="299"/>
        <v>0</v>
      </c>
      <c r="X646" s="57">
        <f t="shared" si="300"/>
        <v>0</v>
      </c>
      <c r="Y646" s="57">
        <f t="shared" si="300"/>
        <v>0</v>
      </c>
      <c r="Z646" s="57">
        <f t="shared" si="300"/>
        <v>0</v>
      </c>
      <c r="AA646" s="57">
        <f t="shared" si="300"/>
        <v>0</v>
      </c>
      <c r="AB646" s="57">
        <f t="shared" si="300"/>
        <v>0</v>
      </c>
      <c r="AC646" s="57">
        <f t="shared" si="300"/>
        <v>0</v>
      </c>
      <c r="AD646" s="57">
        <f t="shared" si="300"/>
        <v>0</v>
      </c>
      <c r="AE646" s="57">
        <f t="shared" si="300"/>
        <v>0</v>
      </c>
      <c r="AF646" s="57">
        <f t="shared" si="300"/>
        <v>0</v>
      </c>
      <c r="AG646" s="57">
        <f t="shared" si="300"/>
        <v>0</v>
      </c>
      <c r="AH646" s="57">
        <f t="shared" si="300"/>
        <v>0</v>
      </c>
      <c r="AI646" s="57">
        <f t="shared" si="300"/>
        <v>0</v>
      </c>
      <c r="AJ646" s="57">
        <f t="shared" si="300"/>
        <v>0</v>
      </c>
      <c r="AK646" s="57">
        <f t="shared" si="300"/>
        <v>0</v>
      </c>
      <c r="AL646" s="57">
        <f t="shared" si="300"/>
        <v>0</v>
      </c>
      <c r="AM646" s="57">
        <f t="shared" si="300"/>
        <v>0</v>
      </c>
      <c r="AN646" s="57">
        <f t="shared" si="300"/>
        <v>0</v>
      </c>
      <c r="AO646" s="57">
        <f t="shared" si="297"/>
        <v>0</v>
      </c>
      <c r="AP646" s="57">
        <f t="shared" si="297"/>
        <v>0</v>
      </c>
      <c r="AQ646" s="57">
        <f t="shared" si="297"/>
        <v>0</v>
      </c>
      <c r="AR646" s="57">
        <f t="shared" si="297"/>
        <v>0</v>
      </c>
      <c r="AS646" s="57">
        <f t="shared" si="297"/>
        <v>0</v>
      </c>
      <c r="AT646" s="57">
        <f t="shared" si="297"/>
        <v>0</v>
      </c>
      <c r="AU646" s="57">
        <f t="shared" si="297"/>
        <v>0</v>
      </c>
      <c r="AV646" s="57">
        <f t="shared" si="297"/>
        <v>0</v>
      </c>
      <c r="AW646" s="57">
        <f t="shared" si="297"/>
        <v>0</v>
      </c>
      <c r="AX646" s="57">
        <f t="shared" si="297"/>
        <v>0</v>
      </c>
      <c r="AY646" s="57">
        <f t="shared" si="297"/>
        <v>0</v>
      </c>
      <c r="AZ646" s="57">
        <f t="shared" si="297"/>
        <v>0</v>
      </c>
      <c r="BA646" s="57">
        <f t="shared" si="297"/>
        <v>0</v>
      </c>
      <c r="BB646" s="57">
        <f t="shared" si="297"/>
        <v>0</v>
      </c>
      <c r="BC646" s="57">
        <f t="shared" si="297"/>
        <v>0</v>
      </c>
      <c r="BD646" s="57">
        <f t="shared" si="297"/>
        <v>0</v>
      </c>
      <c r="BE646" s="57">
        <f t="shared" si="297"/>
        <v>1</v>
      </c>
      <c r="BF646" s="57">
        <f t="shared" si="297"/>
        <v>1</v>
      </c>
      <c r="BG646" s="57">
        <f t="shared" si="298"/>
        <v>1</v>
      </c>
      <c r="BH646" s="57">
        <f t="shared" si="298"/>
        <v>1</v>
      </c>
      <c r="BI646" s="57">
        <f t="shared" si="298"/>
        <v>1</v>
      </c>
      <c r="BJ646" s="57">
        <f t="shared" si="298"/>
        <v>1</v>
      </c>
      <c r="BK646" s="57">
        <f t="shared" si="298"/>
        <v>1</v>
      </c>
      <c r="BL646" s="57">
        <f t="shared" si="298"/>
        <v>1</v>
      </c>
      <c r="BM646" s="57">
        <f t="shared" si="298"/>
        <v>1</v>
      </c>
      <c r="BN646" s="57">
        <f t="shared" si="298"/>
        <v>1</v>
      </c>
      <c r="BO646" s="32">
        <f t="shared" si="273"/>
        <v>0.16949152542372881</v>
      </c>
    </row>
    <row r="647" spans="1:67" x14ac:dyDescent="0.2">
      <c r="A647" s="50" t="s">
        <v>1302</v>
      </c>
      <c r="B647" s="50" t="s">
        <v>1303</v>
      </c>
      <c r="C647" s="50" t="s">
        <v>111</v>
      </c>
      <c r="D647" s="51">
        <f>VLOOKUP(A647,'[1]Cuadro Control'!C692:J2577,8,FALSE)</f>
        <v>1230815225.9452939</v>
      </c>
      <c r="E647" s="52">
        <f t="shared" si="295"/>
        <v>0.2318411625341423</v>
      </c>
      <c r="F647" s="53">
        <v>46560</v>
      </c>
      <c r="G647" s="53">
        <v>46561</v>
      </c>
      <c r="H647" s="52">
        <f t="shared" si="299"/>
        <v>0</v>
      </c>
      <c r="I647" s="52">
        <f t="shared" si="299"/>
        <v>0</v>
      </c>
      <c r="J647" s="52">
        <f t="shared" si="299"/>
        <v>0</v>
      </c>
      <c r="K647" s="52">
        <f t="shared" si="299"/>
        <v>0</v>
      </c>
      <c r="L647" s="52">
        <f t="shared" si="299"/>
        <v>0</v>
      </c>
      <c r="M647" s="52">
        <f t="shared" si="299"/>
        <v>0</v>
      </c>
      <c r="N647" s="52">
        <f t="shared" si="299"/>
        <v>0</v>
      </c>
      <c r="O647" s="52">
        <f t="shared" si="299"/>
        <v>0</v>
      </c>
      <c r="P647" s="52">
        <f t="shared" si="299"/>
        <v>0</v>
      </c>
      <c r="Q647" s="52">
        <f t="shared" si="299"/>
        <v>0</v>
      </c>
      <c r="R647" s="52">
        <f t="shared" si="299"/>
        <v>0</v>
      </c>
      <c r="S647" s="52">
        <f t="shared" si="299"/>
        <v>0</v>
      </c>
      <c r="T647" s="52">
        <f t="shared" si="299"/>
        <v>0</v>
      </c>
      <c r="U647" s="52">
        <f t="shared" si="299"/>
        <v>0</v>
      </c>
      <c r="V647" s="52">
        <f t="shared" si="299"/>
        <v>0</v>
      </c>
      <c r="W647" s="52">
        <f t="shared" si="299"/>
        <v>0</v>
      </c>
      <c r="X647" s="52">
        <f t="shared" si="300"/>
        <v>0</v>
      </c>
      <c r="Y647" s="52">
        <f t="shared" si="300"/>
        <v>0</v>
      </c>
      <c r="Z647" s="52">
        <f t="shared" si="300"/>
        <v>0</v>
      </c>
      <c r="AA647" s="52">
        <f t="shared" si="300"/>
        <v>0</v>
      </c>
      <c r="AB647" s="52">
        <f t="shared" si="300"/>
        <v>0</v>
      </c>
      <c r="AC647" s="52">
        <f t="shared" si="300"/>
        <v>0</v>
      </c>
      <c r="AD647" s="52">
        <f t="shared" si="300"/>
        <v>0</v>
      </c>
      <c r="AE647" s="52">
        <f t="shared" si="300"/>
        <v>0</v>
      </c>
      <c r="AF647" s="52">
        <f t="shared" si="300"/>
        <v>0</v>
      </c>
      <c r="AG647" s="52">
        <f t="shared" si="300"/>
        <v>0</v>
      </c>
      <c r="AH647" s="52">
        <f t="shared" si="300"/>
        <v>0</v>
      </c>
      <c r="AI647" s="52">
        <f t="shared" si="300"/>
        <v>0</v>
      </c>
      <c r="AJ647" s="52">
        <f t="shared" si="300"/>
        <v>0</v>
      </c>
      <c r="AK647" s="52">
        <f t="shared" si="300"/>
        <v>0</v>
      </c>
      <c r="AL647" s="52">
        <f t="shared" si="300"/>
        <v>0</v>
      </c>
      <c r="AM647" s="52">
        <f t="shared" si="300"/>
        <v>0</v>
      </c>
      <c r="AN647" s="52">
        <f t="shared" si="300"/>
        <v>0</v>
      </c>
      <c r="AO647" s="52">
        <f t="shared" si="297"/>
        <v>0</v>
      </c>
      <c r="AP647" s="52">
        <f t="shared" si="297"/>
        <v>0</v>
      </c>
      <c r="AQ647" s="52">
        <f t="shared" si="297"/>
        <v>0</v>
      </c>
      <c r="AR647" s="52">
        <f t="shared" si="297"/>
        <v>0</v>
      </c>
      <c r="AS647" s="52">
        <f t="shared" si="297"/>
        <v>0</v>
      </c>
      <c r="AT647" s="52">
        <f t="shared" si="297"/>
        <v>0</v>
      </c>
      <c r="AU647" s="52">
        <f t="shared" si="297"/>
        <v>0</v>
      </c>
      <c r="AV647" s="52">
        <f t="shared" si="297"/>
        <v>0</v>
      </c>
      <c r="AW647" s="52">
        <f t="shared" si="297"/>
        <v>0</v>
      </c>
      <c r="AX647" s="52">
        <f t="shared" si="297"/>
        <v>0</v>
      </c>
      <c r="AY647" s="52">
        <f t="shared" si="297"/>
        <v>0</v>
      </c>
      <c r="AZ647" s="52">
        <f t="shared" si="297"/>
        <v>0</v>
      </c>
      <c r="BA647" s="52">
        <f t="shared" si="297"/>
        <v>0</v>
      </c>
      <c r="BB647" s="52">
        <f t="shared" si="297"/>
        <v>0</v>
      </c>
      <c r="BC647" s="52">
        <f t="shared" si="297"/>
        <v>0</v>
      </c>
      <c r="BD647" s="52">
        <f t="shared" si="297"/>
        <v>0</v>
      </c>
      <c r="BE647" s="52">
        <f t="shared" si="297"/>
        <v>0</v>
      </c>
      <c r="BF647" s="52">
        <f t="shared" si="297"/>
        <v>1</v>
      </c>
      <c r="BG647" s="52">
        <f t="shared" si="298"/>
        <v>1</v>
      </c>
      <c r="BH647" s="52">
        <f t="shared" si="298"/>
        <v>1</v>
      </c>
      <c r="BI647" s="52">
        <f t="shared" si="298"/>
        <v>1</v>
      </c>
      <c r="BJ647" s="52">
        <f t="shared" si="298"/>
        <v>1</v>
      </c>
      <c r="BK647" s="52">
        <f t="shared" si="298"/>
        <v>1</v>
      </c>
      <c r="BL647" s="52">
        <f t="shared" si="298"/>
        <v>1</v>
      </c>
      <c r="BM647" s="52">
        <f t="shared" si="298"/>
        <v>1</v>
      </c>
      <c r="BN647" s="52">
        <f t="shared" si="298"/>
        <v>1</v>
      </c>
      <c r="BO647" s="32">
        <f t="shared" si="273"/>
        <v>0.15254237288135594</v>
      </c>
    </row>
    <row r="648" spans="1:67" x14ac:dyDescent="0.2">
      <c r="A648" s="50" t="s">
        <v>1304</v>
      </c>
      <c r="B648" s="50" t="s">
        <v>1305</v>
      </c>
      <c r="C648" s="50" t="s">
        <v>238</v>
      </c>
      <c r="D648" s="51">
        <f>VLOOKUP(A648,'[1]Cuadro Control'!C693:J2578,8,FALSE)</f>
        <v>0</v>
      </c>
      <c r="E648" s="52">
        <f t="shared" si="295"/>
        <v>0</v>
      </c>
      <c r="F648" s="53">
        <v>46561</v>
      </c>
      <c r="G648" s="53">
        <v>46568</v>
      </c>
      <c r="H648" s="52">
        <f t="shared" si="299"/>
        <v>0</v>
      </c>
      <c r="I648" s="52">
        <f t="shared" si="299"/>
        <v>0</v>
      </c>
      <c r="J648" s="52">
        <f t="shared" si="299"/>
        <v>0</v>
      </c>
      <c r="K648" s="52">
        <f t="shared" si="299"/>
        <v>0</v>
      </c>
      <c r="L648" s="52">
        <f t="shared" si="299"/>
        <v>0</v>
      </c>
      <c r="M648" s="52">
        <f t="shared" si="299"/>
        <v>0</v>
      </c>
      <c r="N648" s="52">
        <f t="shared" si="299"/>
        <v>0</v>
      </c>
      <c r="O648" s="52">
        <f t="shared" si="299"/>
        <v>0</v>
      </c>
      <c r="P648" s="52">
        <f t="shared" si="299"/>
        <v>0</v>
      </c>
      <c r="Q648" s="52">
        <f t="shared" si="299"/>
        <v>0</v>
      </c>
      <c r="R648" s="52">
        <f t="shared" si="299"/>
        <v>0</v>
      </c>
      <c r="S648" s="52">
        <f t="shared" si="299"/>
        <v>0</v>
      </c>
      <c r="T648" s="52">
        <f t="shared" si="299"/>
        <v>0</v>
      </c>
      <c r="U648" s="52">
        <f t="shared" si="299"/>
        <v>0</v>
      </c>
      <c r="V648" s="52">
        <f t="shared" si="299"/>
        <v>0</v>
      </c>
      <c r="W648" s="52">
        <f t="shared" si="299"/>
        <v>0</v>
      </c>
      <c r="X648" s="52">
        <f t="shared" si="300"/>
        <v>0</v>
      </c>
      <c r="Y648" s="52">
        <f t="shared" si="300"/>
        <v>0</v>
      </c>
      <c r="Z648" s="52">
        <f t="shared" si="300"/>
        <v>0</v>
      </c>
      <c r="AA648" s="52">
        <f t="shared" si="300"/>
        <v>0</v>
      </c>
      <c r="AB648" s="52">
        <f t="shared" si="300"/>
        <v>0</v>
      </c>
      <c r="AC648" s="52">
        <f t="shared" si="300"/>
        <v>0</v>
      </c>
      <c r="AD648" s="52">
        <f t="shared" si="300"/>
        <v>0</v>
      </c>
      <c r="AE648" s="52">
        <f t="shared" si="300"/>
        <v>0</v>
      </c>
      <c r="AF648" s="52">
        <f t="shared" si="300"/>
        <v>0</v>
      </c>
      <c r="AG648" s="52">
        <f t="shared" si="300"/>
        <v>0</v>
      </c>
      <c r="AH648" s="52">
        <f t="shared" si="300"/>
        <v>0</v>
      </c>
      <c r="AI648" s="52">
        <f t="shared" si="300"/>
        <v>0</v>
      </c>
      <c r="AJ648" s="52">
        <f t="shared" si="300"/>
        <v>0</v>
      </c>
      <c r="AK648" s="52">
        <f t="shared" si="300"/>
        <v>0</v>
      </c>
      <c r="AL648" s="52">
        <f t="shared" si="300"/>
        <v>0</v>
      </c>
      <c r="AM648" s="52">
        <f t="shared" si="300"/>
        <v>0</v>
      </c>
      <c r="AN648" s="52">
        <f t="shared" si="300"/>
        <v>0</v>
      </c>
      <c r="AO648" s="52">
        <f t="shared" si="297"/>
        <v>0</v>
      </c>
      <c r="AP648" s="52">
        <f t="shared" si="297"/>
        <v>0</v>
      </c>
      <c r="AQ648" s="52">
        <f t="shared" si="297"/>
        <v>0</v>
      </c>
      <c r="AR648" s="52">
        <f t="shared" si="297"/>
        <v>0</v>
      </c>
      <c r="AS648" s="52">
        <f t="shared" si="297"/>
        <v>0</v>
      </c>
      <c r="AT648" s="52">
        <f t="shared" si="297"/>
        <v>0</v>
      </c>
      <c r="AU648" s="52">
        <f t="shared" si="297"/>
        <v>0</v>
      </c>
      <c r="AV648" s="52">
        <f t="shared" si="297"/>
        <v>0</v>
      </c>
      <c r="AW648" s="52">
        <f t="shared" si="297"/>
        <v>0</v>
      </c>
      <c r="AX648" s="52">
        <f t="shared" si="297"/>
        <v>0</v>
      </c>
      <c r="AY648" s="52">
        <f t="shared" si="297"/>
        <v>0</v>
      </c>
      <c r="AZ648" s="52">
        <f t="shared" si="297"/>
        <v>0</v>
      </c>
      <c r="BA648" s="52">
        <f t="shared" si="297"/>
        <v>0</v>
      </c>
      <c r="BB648" s="52">
        <f t="shared" si="297"/>
        <v>0</v>
      </c>
      <c r="BC648" s="52">
        <f t="shared" si="297"/>
        <v>0</v>
      </c>
      <c r="BD648" s="52">
        <f t="shared" si="297"/>
        <v>0</v>
      </c>
      <c r="BE648" s="52">
        <f t="shared" si="297"/>
        <v>0</v>
      </c>
      <c r="BF648" s="52">
        <f t="shared" si="297"/>
        <v>0.375</v>
      </c>
      <c r="BG648" s="52">
        <f t="shared" si="298"/>
        <v>1</v>
      </c>
      <c r="BH648" s="52">
        <f t="shared" si="298"/>
        <v>1</v>
      </c>
      <c r="BI648" s="52">
        <f t="shared" si="298"/>
        <v>1</v>
      </c>
      <c r="BJ648" s="52">
        <f t="shared" si="298"/>
        <v>1</v>
      </c>
      <c r="BK648" s="52">
        <f t="shared" si="298"/>
        <v>1</v>
      </c>
      <c r="BL648" s="52">
        <f t="shared" si="298"/>
        <v>1</v>
      </c>
      <c r="BM648" s="52">
        <f t="shared" si="298"/>
        <v>1</v>
      </c>
      <c r="BN648" s="52">
        <f t="shared" si="298"/>
        <v>1</v>
      </c>
      <c r="BO648" s="32">
        <f t="shared" si="273"/>
        <v>0.14194915254237289</v>
      </c>
    </row>
    <row r="649" spans="1:67" ht="24" x14ac:dyDescent="0.2">
      <c r="A649" s="50" t="s">
        <v>1306</v>
      </c>
      <c r="B649" s="50" t="s">
        <v>1307</v>
      </c>
      <c r="C649" s="50" t="s">
        <v>126</v>
      </c>
      <c r="D649" s="51">
        <f>VLOOKUP(A649,'[1]Cuadro Control'!C694:J2579,8,FALSE)</f>
        <v>52736347.43270281</v>
      </c>
      <c r="E649" s="52">
        <f t="shared" si="295"/>
        <v>9.933624348213644E-3</v>
      </c>
      <c r="F649" s="53">
        <v>46568</v>
      </c>
      <c r="G649" s="53">
        <v>46571</v>
      </c>
      <c r="H649" s="52">
        <f t="shared" si="299"/>
        <v>0</v>
      </c>
      <c r="I649" s="52">
        <f t="shared" si="299"/>
        <v>0</v>
      </c>
      <c r="J649" s="52">
        <f t="shared" si="299"/>
        <v>0</v>
      </c>
      <c r="K649" s="52">
        <f t="shared" si="299"/>
        <v>0</v>
      </c>
      <c r="L649" s="52">
        <f t="shared" si="299"/>
        <v>0</v>
      </c>
      <c r="M649" s="52">
        <f t="shared" si="299"/>
        <v>0</v>
      </c>
      <c r="N649" s="52">
        <f t="shared" si="299"/>
        <v>0</v>
      </c>
      <c r="O649" s="52">
        <f t="shared" si="299"/>
        <v>0</v>
      </c>
      <c r="P649" s="52">
        <f t="shared" si="299"/>
        <v>0</v>
      </c>
      <c r="Q649" s="52">
        <f t="shared" si="299"/>
        <v>0</v>
      </c>
      <c r="R649" s="52">
        <f t="shared" si="299"/>
        <v>0</v>
      </c>
      <c r="S649" s="52">
        <f t="shared" si="299"/>
        <v>0</v>
      </c>
      <c r="T649" s="52">
        <f t="shared" si="299"/>
        <v>0</v>
      </c>
      <c r="U649" s="52">
        <f t="shared" si="299"/>
        <v>0</v>
      </c>
      <c r="V649" s="52">
        <f t="shared" si="299"/>
        <v>0</v>
      </c>
      <c r="W649" s="52">
        <f t="shared" si="299"/>
        <v>0</v>
      </c>
      <c r="X649" s="52">
        <f t="shared" si="300"/>
        <v>0</v>
      </c>
      <c r="Y649" s="52">
        <f t="shared" si="300"/>
        <v>0</v>
      </c>
      <c r="Z649" s="52">
        <f t="shared" si="300"/>
        <v>0</v>
      </c>
      <c r="AA649" s="52">
        <f t="shared" si="300"/>
        <v>0</v>
      </c>
      <c r="AB649" s="52">
        <f t="shared" si="300"/>
        <v>0</v>
      </c>
      <c r="AC649" s="52">
        <f t="shared" si="300"/>
        <v>0</v>
      </c>
      <c r="AD649" s="52">
        <f t="shared" si="300"/>
        <v>0</v>
      </c>
      <c r="AE649" s="52">
        <f t="shared" si="300"/>
        <v>0</v>
      </c>
      <c r="AF649" s="52">
        <f t="shared" si="300"/>
        <v>0</v>
      </c>
      <c r="AG649" s="52">
        <f t="shared" si="300"/>
        <v>0</v>
      </c>
      <c r="AH649" s="52">
        <f t="shared" si="300"/>
        <v>0</v>
      </c>
      <c r="AI649" s="52">
        <f t="shared" si="300"/>
        <v>0</v>
      </c>
      <c r="AJ649" s="52">
        <f t="shared" si="300"/>
        <v>0</v>
      </c>
      <c r="AK649" s="52">
        <f t="shared" si="300"/>
        <v>0</v>
      </c>
      <c r="AL649" s="52">
        <f t="shared" si="300"/>
        <v>0</v>
      </c>
      <c r="AM649" s="52">
        <f t="shared" si="300"/>
        <v>0</v>
      </c>
      <c r="AN649" s="52">
        <f t="shared" si="300"/>
        <v>0</v>
      </c>
      <c r="AO649" s="52">
        <f t="shared" si="297"/>
        <v>0</v>
      </c>
      <c r="AP649" s="52">
        <f t="shared" si="297"/>
        <v>0</v>
      </c>
      <c r="AQ649" s="52">
        <f t="shared" si="297"/>
        <v>0</v>
      </c>
      <c r="AR649" s="52">
        <f t="shared" si="297"/>
        <v>0</v>
      </c>
      <c r="AS649" s="52">
        <f t="shared" si="297"/>
        <v>0</v>
      </c>
      <c r="AT649" s="52">
        <f t="shared" si="297"/>
        <v>0</v>
      </c>
      <c r="AU649" s="52">
        <f t="shared" si="297"/>
        <v>0</v>
      </c>
      <c r="AV649" s="52">
        <f t="shared" si="297"/>
        <v>0</v>
      </c>
      <c r="AW649" s="52">
        <f t="shared" si="297"/>
        <v>0</v>
      </c>
      <c r="AX649" s="52">
        <f t="shared" si="297"/>
        <v>0</v>
      </c>
      <c r="AY649" s="52">
        <f t="shared" si="297"/>
        <v>0</v>
      </c>
      <c r="AZ649" s="52">
        <f t="shared" si="297"/>
        <v>0</v>
      </c>
      <c r="BA649" s="52">
        <f t="shared" si="297"/>
        <v>0</v>
      </c>
      <c r="BB649" s="52">
        <f t="shared" si="297"/>
        <v>0</v>
      </c>
      <c r="BC649" s="52">
        <f t="shared" si="297"/>
        <v>0</v>
      </c>
      <c r="BD649" s="52">
        <f t="shared" si="297"/>
        <v>0</v>
      </c>
      <c r="BE649" s="52">
        <f t="shared" si="297"/>
        <v>0</v>
      </c>
      <c r="BF649" s="52">
        <f t="shared" si="297"/>
        <v>0</v>
      </c>
      <c r="BG649" s="52">
        <f t="shared" si="298"/>
        <v>0.75</v>
      </c>
      <c r="BH649" s="52">
        <f t="shared" si="298"/>
        <v>1</v>
      </c>
      <c r="BI649" s="52">
        <f t="shared" si="298"/>
        <v>1</v>
      </c>
      <c r="BJ649" s="52">
        <f t="shared" si="298"/>
        <v>1</v>
      </c>
      <c r="BK649" s="52">
        <f t="shared" si="298"/>
        <v>1</v>
      </c>
      <c r="BL649" s="52">
        <f t="shared" si="298"/>
        <v>1</v>
      </c>
      <c r="BM649" s="52">
        <f t="shared" si="298"/>
        <v>1</v>
      </c>
      <c r="BN649" s="52">
        <f t="shared" si="298"/>
        <v>1</v>
      </c>
      <c r="BO649" s="32">
        <f t="shared" si="273"/>
        <v>0.13135593220338984</v>
      </c>
    </row>
    <row r="650" spans="1:67" ht="24" x14ac:dyDescent="0.2">
      <c r="A650" s="50" t="s">
        <v>1308</v>
      </c>
      <c r="B650" s="50" t="s">
        <v>1309</v>
      </c>
      <c r="C650" s="50" t="s">
        <v>117</v>
      </c>
      <c r="D650" s="51">
        <f>VLOOKUP(A650,'[1]Cuadro Control'!C695:J2580,8,FALSE)</f>
        <v>46410609.014634147</v>
      </c>
      <c r="E650" s="52">
        <f t="shared" si="295"/>
        <v>8.742083556535862E-3</v>
      </c>
      <c r="F650" s="53">
        <v>46571</v>
      </c>
      <c r="G650" s="53">
        <v>46575</v>
      </c>
      <c r="H650" s="52">
        <f t="shared" si="299"/>
        <v>0</v>
      </c>
      <c r="I650" s="52">
        <f t="shared" si="299"/>
        <v>0</v>
      </c>
      <c r="J650" s="52">
        <f t="shared" si="299"/>
        <v>0</v>
      </c>
      <c r="K650" s="52">
        <f t="shared" si="299"/>
        <v>0</v>
      </c>
      <c r="L650" s="52">
        <f t="shared" si="299"/>
        <v>0</v>
      </c>
      <c r="M650" s="52">
        <f t="shared" si="299"/>
        <v>0</v>
      </c>
      <c r="N650" s="52">
        <f t="shared" si="299"/>
        <v>0</v>
      </c>
      <c r="O650" s="52">
        <f t="shared" si="299"/>
        <v>0</v>
      </c>
      <c r="P650" s="52">
        <f t="shared" si="299"/>
        <v>0</v>
      </c>
      <c r="Q650" s="52">
        <f t="shared" si="299"/>
        <v>0</v>
      </c>
      <c r="R650" s="52">
        <f t="shared" si="299"/>
        <v>0</v>
      </c>
      <c r="S650" s="52">
        <f t="shared" si="299"/>
        <v>0</v>
      </c>
      <c r="T650" s="52">
        <f t="shared" si="299"/>
        <v>0</v>
      </c>
      <c r="U650" s="52">
        <f t="shared" si="299"/>
        <v>0</v>
      </c>
      <c r="V650" s="52">
        <f t="shared" si="299"/>
        <v>0</v>
      </c>
      <c r="W650" s="52">
        <f t="shared" si="299"/>
        <v>0</v>
      </c>
      <c r="X650" s="52">
        <f t="shared" si="300"/>
        <v>0</v>
      </c>
      <c r="Y650" s="52">
        <f t="shared" si="300"/>
        <v>0</v>
      </c>
      <c r="Z650" s="52">
        <f t="shared" si="300"/>
        <v>0</v>
      </c>
      <c r="AA650" s="52">
        <f t="shared" si="300"/>
        <v>0</v>
      </c>
      <c r="AB650" s="52">
        <f t="shared" si="300"/>
        <v>0</v>
      </c>
      <c r="AC650" s="52">
        <f t="shared" si="300"/>
        <v>0</v>
      </c>
      <c r="AD650" s="52">
        <f t="shared" si="300"/>
        <v>0</v>
      </c>
      <c r="AE650" s="52">
        <f t="shared" si="300"/>
        <v>0</v>
      </c>
      <c r="AF650" s="52">
        <f t="shared" si="300"/>
        <v>0</v>
      </c>
      <c r="AG650" s="52">
        <f t="shared" si="300"/>
        <v>0</v>
      </c>
      <c r="AH650" s="52">
        <f t="shared" si="300"/>
        <v>0</v>
      </c>
      <c r="AI650" s="52">
        <f t="shared" si="300"/>
        <v>0</v>
      </c>
      <c r="AJ650" s="52">
        <f t="shared" si="300"/>
        <v>0</v>
      </c>
      <c r="AK650" s="52">
        <f t="shared" si="300"/>
        <v>0</v>
      </c>
      <c r="AL650" s="52">
        <f t="shared" si="300"/>
        <v>0</v>
      </c>
      <c r="AM650" s="52">
        <f t="shared" si="300"/>
        <v>0</v>
      </c>
      <c r="AN650" s="52">
        <f t="shared" si="300"/>
        <v>0</v>
      </c>
      <c r="AO650" s="52">
        <f t="shared" si="297"/>
        <v>0</v>
      </c>
      <c r="AP650" s="52">
        <f t="shared" si="297"/>
        <v>0</v>
      </c>
      <c r="AQ650" s="52">
        <f t="shared" si="297"/>
        <v>0</v>
      </c>
      <c r="AR650" s="52">
        <f t="shared" si="297"/>
        <v>0</v>
      </c>
      <c r="AS650" s="52">
        <f t="shared" si="297"/>
        <v>0</v>
      </c>
      <c r="AT650" s="52">
        <f t="shared" si="297"/>
        <v>0</v>
      </c>
      <c r="AU650" s="52">
        <f t="shared" si="297"/>
        <v>0</v>
      </c>
      <c r="AV650" s="52">
        <f t="shared" si="297"/>
        <v>0</v>
      </c>
      <c r="AW650" s="52">
        <f t="shared" si="297"/>
        <v>0</v>
      </c>
      <c r="AX650" s="52">
        <f t="shared" si="297"/>
        <v>0</v>
      </c>
      <c r="AY650" s="52">
        <f t="shared" si="297"/>
        <v>0</v>
      </c>
      <c r="AZ650" s="52">
        <f t="shared" si="297"/>
        <v>0</v>
      </c>
      <c r="BA650" s="52">
        <f t="shared" si="297"/>
        <v>0</v>
      </c>
      <c r="BB650" s="52">
        <f t="shared" si="297"/>
        <v>0</v>
      </c>
      <c r="BC650" s="52">
        <f t="shared" si="297"/>
        <v>0</v>
      </c>
      <c r="BD650" s="52">
        <f t="shared" si="297"/>
        <v>0</v>
      </c>
      <c r="BE650" s="52">
        <f t="shared" si="297"/>
        <v>0</v>
      </c>
      <c r="BF650" s="52">
        <f t="shared" si="297"/>
        <v>0</v>
      </c>
      <c r="BG650" s="52">
        <f t="shared" si="298"/>
        <v>0</v>
      </c>
      <c r="BH650" s="52">
        <f t="shared" si="298"/>
        <v>1</v>
      </c>
      <c r="BI650" s="52">
        <f t="shared" si="298"/>
        <v>1</v>
      </c>
      <c r="BJ650" s="52">
        <f t="shared" si="298"/>
        <v>1</v>
      </c>
      <c r="BK650" s="52">
        <f t="shared" si="298"/>
        <v>1</v>
      </c>
      <c r="BL650" s="52">
        <f t="shared" si="298"/>
        <v>1</v>
      </c>
      <c r="BM650" s="52">
        <f t="shared" si="298"/>
        <v>1</v>
      </c>
      <c r="BN650" s="52">
        <f t="shared" si="298"/>
        <v>1</v>
      </c>
      <c r="BO650" s="32">
        <f t="shared" ref="BO650:BO703" si="301">+AVERAGE(H650:BN650)</f>
        <v>0.11864406779661017</v>
      </c>
    </row>
    <row r="651" spans="1:67" ht="24" x14ac:dyDescent="0.2">
      <c r="A651" s="50" t="s">
        <v>1310</v>
      </c>
      <c r="B651" s="50" t="s">
        <v>1311</v>
      </c>
      <c r="C651" s="50" t="s">
        <v>61</v>
      </c>
      <c r="D651" s="51">
        <f>VLOOKUP(A651,'[1]Cuadro Control'!C696:J2581,8,FALSE)</f>
        <v>1587346329.5488234</v>
      </c>
      <c r="E651" s="52">
        <f t="shared" si="295"/>
        <v>0.29899875353285565</v>
      </c>
      <c r="F651" s="53">
        <v>46571</v>
      </c>
      <c r="G651" s="53">
        <v>46584</v>
      </c>
      <c r="H651" s="52">
        <f t="shared" si="299"/>
        <v>0</v>
      </c>
      <c r="I651" s="52">
        <f t="shared" si="299"/>
        <v>0</v>
      </c>
      <c r="J651" s="52">
        <f t="shared" si="299"/>
        <v>0</v>
      </c>
      <c r="K651" s="52">
        <f t="shared" si="299"/>
        <v>0</v>
      </c>
      <c r="L651" s="52">
        <f t="shared" si="299"/>
        <v>0</v>
      </c>
      <c r="M651" s="52">
        <f t="shared" si="299"/>
        <v>0</v>
      </c>
      <c r="N651" s="52">
        <f t="shared" si="299"/>
        <v>0</v>
      </c>
      <c r="O651" s="52">
        <f t="shared" si="299"/>
        <v>0</v>
      </c>
      <c r="P651" s="52">
        <f t="shared" si="299"/>
        <v>0</v>
      </c>
      <c r="Q651" s="52">
        <f t="shared" si="299"/>
        <v>0</v>
      </c>
      <c r="R651" s="52">
        <f t="shared" si="299"/>
        <v>0</v>
      </c>
      <c r="S651" s="52">
        <f t="shared" si="299"/>
        <v>0</v>
      </c>
      <c r="T651" s="52">
        <f t="shared" si="299"/>
        <v>0</v>
      </c>
      <c r="U651" s="52">
        <f t="shared" si="299"/>
        <v>0</v>
      </c>
      <c r="V651" s="52">
        <f t="shared" si="299"/>
        <v>0</v>
      </c>
      <c r="W651" s="52">
        <f t="shared" si="299"/>
        <v>0</v>
      </c>
      <c r="X651" s="52">
        <f t="shared" si="300"/>
        <v>0</v>
      </c>
      <c r="Y651" s="52">
        <f t="shared" si="300"/>
        <v>0</v>
      </c>
      <c r="Z651" s="52">
        <f t="shared" si="300"/>
        <v>0</v>
      </c>
      <c r="AA651" s="52">
        <f t="shared" si="300"/>
        <v>0</v>
      </c>
      <c r="AB651" s="52">
        <f t="shared" si="300"/>
        <v>0</v>
      </c>
      <c r="AC651" s="52">
        <f t="shared" si="300"/>
        <v>0</v>
      </c>
      <c r="AD651" s="52">
        <f t="shared" si="300"/>
        <v>0</v>
      </c>
      <c r="AE651" s="52">
        <f t="shared" si="300"/>
        <v>0</v>
      </c>
      <c r="AF651" s="52">
        <f t="shared" si="300"/>
        <v>0</v>
      </c>
      <c r="AG651" s="52">
        <f t="shared" si="300"/>
        <v>0</v>
      </c>
      <c r="AH651" s="52">
        <f t="shared" si="300"/>
        <v>0</v>
      </c>
      <c r="AI651" s="52">
        <f t="shared" si="300"/>
        <v>0</v>
      </c>
      <c r="AJ651" s="52">
        <f t="shared" si="300"/>
        <v>0</v>
      </c>
      <c r="AK651" s="52">
        <f t="shared" si="300"/>
        <v>0</v>
      </c>
      <c r="AL651" s="52">
        <f t="shared" si="300"/>
        <v>0</v>
      </c>
      <c r="AM651" s="52">
        <f t="shared" si="300"/>
        <v>0</v>
      </c>
      <c r="AN651" s="52">
        <f t="shared" si="300"/>
        <v>0</v>
      </c>
      <c r="AO651" s="52">
        <f t="shared" si="297"/>
        <v>0</v>
      </c>
      <c r="AP651" s="52">
        <f t="shared" si="297"/>
        <v>0</v>
      </c>
      <c r="AQ651" s="52">
        <f t="shared" si="297"/>
        <v>0</v>
      </c>
      <c r="AR651" s="52">
        <f t="shared" si="297"/>
        <v>0</v>
      </c>
      <c r="AS651" s="52">
        <f t="shared" si="297"/>
        <v>0</v>
      </c>
      <c r="AT651" s="52">
        <f t="shared" si="297"/>
        <v>0</v>
      </c>
      <c r="AU651" s="52">
        <f t="shared" si="297"/>
        <v>0</v>
      </c>
      <c r="AV651" s="52">
        <f t="shared" si="297"/>
        <v>0</v>
      </c>
      <c r="AW651" s="52">
        <f t="shared" si="297"/>
        <v>0</v>
      </c>
      <c r="AX651" s="52">
        <f t="shared" si="297"/>
        <v>0</v>
      </c>
      <c r="AY651" s="52">
        <f t="shared" si="297"/>
        <v>0</v>
      </c>
      <c r="AZ651" s="52">
        <f t="shared" si="297"/>
        <v>0</v>
      </c>
      <c r="BA651" s="52">
        <f t="shared" si="297"/>
        <v>0</v>
      </c>
      <c r="BB651" s="52">
        <f t="shared" si="297"/>
        <v>0</v>
      </c>
      <c r="BC651" s="52">
        <f t="shared" si="297"/>
        <v>0</v>
      </c>
      <c r="BD651" s="52">
        <f t="shared" si="297"/>
        <v>0</v>
      </c>
      <c r="BE651" s="52">
        <f t="shared" si="297"/>
        <v>0</v>
      </c>
      <c r="BF651" s="52">
        <f t="shared" si="297"/>
        <v>0</v>
      </c>
      <c r="BG651" s="52">
        <f t="shared" si="298"/>
        <v>0</v>
      </c>
      <c r="BH651" s="52">
        <f t="shared" si="298"/>
        <v>0.5</v>
      </c>
      <c r="BI651" s="52">
        <f t="shared" si="298"/>
        <v>1</v>
      </c>
      <c r="BJ651" s="52">
        <f t="shared" si="298"/>
        <v>1</v>
      </c>
      <c r="BK651" s="52">
        <f t="shared" si="298"/>
        <v>1</v>
      </c>
      <c r="BL651" s="52">
        <f t="shared" si="298"/>
        <v>1</v>
      </c>
      <c r="BM651" s="52">
        <f t="shared" si="298"/>
        <v>1</v>
      </c>
      <c r="BN651" s="52">
        <f t="shared" si="298"/>
        <v>1</v>
      </c>
      <c r="BO651" s="32">
        <f t="shared" si="301"/>
        <v>0.11016949152542373</v>
      </c>
    </row>
    <row r="652" spans="1:67" ht="30" x14ac:dyDescent="0.2">
      <c r="A652" s="46" t="s">
        <v>1312</v>
      </c>
      <c r="B652" s="46" t="s">
        <v>1313</v>
      </c>
      <c r="C652" s="46" t="s">
        <v>61</v>
      </c>
      <c r="D652" s="47">
        <f>VLOOKUP(A652,'[1]Cuadro Control'!C697:J2582,8,FALSE)</f>
        <v>179532477.23999998</v>
      </c>
      <c r="E652" s="48">
        <f t="shared" si="295"/>
        <v>3.3817438522495219E-2</v>
      </c>
      <c r="F652" s="49">
        <v>46575</v>
      </c>
      <c r="G652" s="49">
        <v>46589</v>
      </c>
      <c r="H652" s="48">
        <f t="shared" si="299"/>
        <v>0</v>
      </c>
      <c r="I652" s="48">
        <f t="shared" si="299"/>
        <v>0</v>
      </c>
      <c r="J652" s="48">
        <f t="shared" si="299"/>
        <v>0</v>
      </c>
      <c r="K652" s="48">
        <f t="shared" si="299"/>
        <v>0</v>
      </c>
      <c r="L652" s="48">
        <f t="shared" si="299"/>
        <v>0</v>
      </c>
      <c r="M652" s="48">
        <f t="shared" si="299"/>
        <v>0</v>
      </c>
      <c r="N652" s="48">
        <f t="shared" si="299"/>
        <v>0</v>
      </c>
      <c r="O652" s="48">
        <f t="shared" si="299"/>
        <v>0</v>
      </c>
      <c r="P652" s="48">
        <f t="shared" si="299"/>
        <v>0</v>
      </c>
      <c r="Q652" s="48">
        <f t="shared" si="299"/>
        <v>0</v>
      </c>
      <c r="R652" s="48">
        <f t="shared" si="299"/>
        <v>0</v>
      </c>
      <c r="S652" s="48">
        <f t="shared" si="299"/>
        <v>0</v>
      </c>
      <c r="T652" s="48">
        <f t="shared" si="299"/>
        <v>0</v>
      </c>
      <c r="U652" s="48">
        <f t="shared" si="299"/>
        <v>0</v>
      </c>
      <c r="V652" s="48">
        <f t="shared" si="299"/>
        <v>0</v>
      </c>
      <c r="W652" s="48">
        <f t="shared" si="299"/>
        <v>0</v>
      </c>
      <c r="X652" s="48">
        <f t="shared" si="300"/>
        <v>0</v>
      </c>
      <c r="Y652" s="48">
        <f t="shared" si="300"/>
        <v>0</v>
      </c>
      <c r="Z652" s="48">
        <f t="shared" si="300"/>
        <v>0</v>
      </c>
      <c r="AA652" s="48">
        <f t="shared" si="300"/>
        <v>0</v>
      </c>
      <c r="AB652" s="48">
        <f t="shared" si="300"/>
        <v>0</v>
      </c>
      <c r="AC652" s="48">
        <f t="shared" si="300"/>
        <v>0</v>
      </c>
      <c r="AD652" s="48">
        <f t="shared" si="300"/>
        <v>0</v>
      </c>
      <c r="AE652" s="48">
        <f t="shared" si="300"/>
        <v>0</v>
      </c>
      <c r="AF652" s="48">
        <f t="shared" si="300"/>
        <v>0</v>
      </c>
      <c r="AG652" s="48">
        <f t="shared" si="300"/>
        <v>0</v>
      </c>
      <c r="AH652" s="48">
        <f t="shared" si="300"/>
        <v>0</v>
      </c>
      <c r="AI652" s="48">
        <f t="shared" si="300"/>
        <v>0</v>
      </c>
      <c r="AJ652" s="48">
        <f t="shared" si="300"/>
        <v>0</v>
      </c>
      <c r="AK652" s="48">
        <f t="shared" si="300"/>
        <v>0</v>
      </c>
      <c r="AL652" s="48">
        <f t="shared" si="300"/>
        <v>0</v>
      </c>
      <c r="AM652" s="48">
        <f t="shared" si="300"/>
        <v>0</v>
      </c>
      <c r="AN652" s="48">
        <f t="shared" si="300"/>
        <v>0</v>
      </c>
      <c r="AO652" s="48">
        <f t="shared" si="297"/>
        <v>0</v>
      </c>
      <c r="AP652" s="48">
        <f t="shared" si="297"/>
        <v>0</v>
      </c>
      <c r="AQ652" s="48">
        <f t="shared" si="297"/>
        <v>0</v>
      </c>
      <c r="AR652" s="48">
        <f t="shared" si="297"/>
        <v>0</v>
      </c>
      <c r="AS652" s="48">
        <f t="shared" si="297"/>
        <v>0</v>
      </c>
      <c r="AT652" s="48">
        <f t="shared" si="297"/>
        <v>0</v>
      </c>
      <c r="AU652" s="48">
        <f t="shared" si="297"/>
        <v>0</v>
      </c>
      <c r="AV652" s="48">
        <f t="shared" si="297"/>
        <v>0</v>
      </c>
      <c r="AW652" s="48">
        <f t="shared" si="297"/>
        <v>0</v>
      </c>
      <c r="AX652" s="48">
        <f t="shared" si="297"/>
        <v>0</v>
      </c>
      <c r="AY652" s="48">
        <f t="shared" si="297"/>
        <v>0</v>
      </c>
      <c r="AZ652" s="48">
        <f t="shared" si="297"/>
        <v>0</v>
      </c>
      <c r="BA652" s="48">
        <f t="shared" si="297"/>
        <v>0</v>
      </c>
      <c r="BB652" s="48">
        <f t="shared" si="297"/>
        <v>0</v>
      </c>
      <c r="BC652" s="48">
        <f t="shared" si="297"/>
        <v>0</v>
      </c>
      <c r="BD652" s="48">
        <f t="shared" si="297"/>
        <v>0</v>
      </c>
      <c r="BE652" s="48">
        <f t="shared" si="297"/>
        <v>0</v>
      </c>
      <c r="BF652" s="48">
        <f t="shared" si="297"/>
        <v>0</v>
      </c>
      <c r="BG652" s="48">
        <f t="shared" si="298"/>
        <v>0</v>
      </c>
      <c r="BH652" s="48">
        <f t="shared" si="298"/>
        <v>0.2</v>
      </c>
      <c r="BI652" s="48">
        <f t="shared" si="298"/>
        <v>0.66666666666666663</v>
      </c>
      <c r="BJ652" s="48">
        <f t="shared" si="298"/>
        <v>1</v>
      </c>
      <c r="BK652" s="48">
        <f t="shared" si="298"/>
        <v>1</v>
      </c>
      <c r="BL652" s="48">
        <f t="shared" si="298"/>
        <v>1</v>
      </c>
      <c r="BM652" s="48">
        <f t="shared" si="298"/>
        <v>1</v>
      </c>
      <c r="BN652" s="48">
        <f t="shared" si="298"/>
        <v>1</v>
      </c>
      <c r="BO652" s="32">
        <f t="shared" si="301"/>
        <v>9.9435028248587576E-2</v>
      </c>
    </row>
    <row r="653" spans="1:67" ht="24" x14ac:dyDescent="0.2">
      <c r="A653" s="55" t="s">
        <v>1314</v>
      </c>
      <c r="B653" s="55" t="s">
        <v>1315</v>
      </c>
      <c r="C653" s="55" t="s">
        <v>14</v>
      </c>
      <c r="D653" s="56">
        <f>VLOOKUP(A653,'[1]Cuadro Control'!C698:J2583,8,FALSE)</f>
        <v>0</v>
      </c>
      <c r="E653" s="57">
        <f>IFERROR(D653/$D$637,0)</f>
        <v>0</v>
      </c>
      <c r="F653" s="58">
        <v>46589</v>
      </c>
      <c r="G653" s="58">
        <v>46589</v>
      </c>
      <c r="H653" s="57">
        <f t="shared" si="299"/>
        <v>0</v>
      </c>
      <c r="I653" s="57">
        <f t="shared" si="299"/>
        <v>0</v>
      </c>
      <c r="J653" s="57">
        <f t="shared" si="299"/>
        <v>0</v>
      </c>
      <c r="K653" s="57">
        <f t="shared" si="299"/>
        <v>0</v>
      </c>
      <c r="L653" s="57">
        <f t="shared" si="299"/>
        <v>0</v>
      </c>
      <c r="M653" s="57">
        <f t="shared" si="299"/>
        <v>0</v>
      </c>
      <c r="N653" s="57">
        <f t="shared" si="299"/>
        <v>0</v>
      </c>
      <c r="O653" s="57">
        <f t="shared" si="299"/>
        <v>0</v>
      </c>
      <c r="P653" s="57">
        <f t="shared" si="299"/>
        <v>0</v>
      </c>
      <c r="Q653" s="57">
        <f t="shared" si="299"/>
        <v>0</v>
      </c>
      <c r="R653" s="57">
        <f t="shared" si="299"/>
        <v>0</v>
      </c>
      <c r="S653" s="57">
        <f t="shared" si="299"/>
        <v>0</v>
      </c>
      <c r="T653" s="57">
        <f t="shared" si="299"/>
        <v>0</v>
      </c>
      <c r="U653" s="57">
        <f t="shared" si="299"/>
        <v>0</v>
      </c>
      <c r="V653" s="57">
        <f t="shared" si="299"/>
        <v>0</v>
      </c>
      <c r="W653" s="57">
        <f t="shared" si="299"/>
        <v>0</v>
      </c>
      <c r="X653" s="57">
        <f t="shared" si="300"/>
        <v>0</v>
      </c>
      <c r="Y653" s="57">
        <f t="shared" si="300"/>
        <v>0</v>
      </c>
      <c r="Z653" s="57">
        <f t="shared" si="300"/>
        <v>0</v>
      </c>
      <c r="AA653" s="57">
        <f t="shared" si="300"/>
        <v>0</v>
      </c>
      <c r="AB653" s="57">
        <f t="shared" si="300"/>
        <v>0</v>
      </c>
      <c r="AC653" s="57">
        <f t="shared" si="300"/>
        <v>0</v>
      </c>
      <c r="AD653" s="57">
        <f t="shared" si="300"/>
        <v>0</v>
      </c>
      <c r="AE653" s="57">
        <f t="shared" si="300"/>
        <v>0</v>
      </c>
      <c r="AF653" s="57">
        <f t="shared" si="300"/>
        <v>0</v>
      </c>
      <c r="AG653" s="57">
        <f t="shared" si="300"/>
        <v>0</v>
      </c>
      <c r="AH653" s="57">
        <f t="shared" si="300"/>
        <v>0</v>
      </c>
      <c r="AI653" s="57">
        <f t="shared" si="300"/>
        <v>0</v>
      </c>
      <c r="AJ653" s="57">
        <f t="shared" si="300"/>
        <v>0</v>
      </c>
      <c r="AK653" s="57">
        <f t="shared" si="300"/>
        <v>0</v>
      </c>
      <c r="AL653" s="57">
        <f t="shared" si="300"/>
        <v>0</v>
      </c>
      <c r="AM653" s="57">
        <f t="shared" si="300"/>
        <v>0</v>
      </c>
      <c r="AN653" s="57">
        <f t="shared" si="300"/>
        <v>0</v>
      </c>
      <c r="AO653" s="57">
        <f t="shared" si="300"/>
        <v>0</v>
      </c>
      <c r="AP653" s="57">
        <f t="shared" si="300"/>
        <v>0</v>
      </c>
      <c r="AQ653" s="57">
        <f t="shared" si="300"/>
        <v>0</v>
      </c>
      <c r="AR653" s="57">
        <f t="shared" si="300"/>
        <v>0</v>
      </c>
      <c r="AS653" s="57">
        <f t="shared" si="300"/>
        <v>0</v>
      </c>
      <c r="AT653" s="57">
        <f t="shared" si="300"/>
        <v>0</v>
      </c>
      <c r="AU653" s="57">
        <f t="shared" si="300"/>
        <v>0</v>
      </c>
      <c r="AV653" s="57">
        <f t="shared" si="300"/>
        <v>0</v>
      </c>
      <c r="AW653" s="57">
        <f t="shared" si="300"/>
        <v>0</v>
      </c>
      <c r="AX653" s="57">
        <f t="shared" si="300"/>
        <v>0</v>
      </c>
      <c r="AY653" s="57">
        <f t="shared" si="300"/>
        <v>0</v>
      </c>
      <c r="AZ653" s="57">
        <f t="shared" si="300"/>
        <v>0</v>
      </c>
      <c r="BA653" s="57">
        <f t="shared" si="300"/>
        <v>0</v>
      </c>
      <c r="BB653" s="57">
        <f t="shared" si="300"/>
        <v>0</v>
      </c>
      <c r="BC653" s="57">
        <f t="shared" si="300"/>
        <v>0</v>
      </c>
      <c r="BD653" s="57">
        <f t="shared" si="297"/>
        <v>0</v>
      </c>
      <c r="BE653" s="57">
        <f t="shared" si="297"/>
        <v>0</v>
      </c>
      <c r="BF653" s="57">
        <f t="shared" si="297"/>
        <v>0</v>
      </c>
      <c r="BG653" s="57">
        <f t="shared" si="298"/>
        <v>0</v>
      </c>
      <c r="BH653" s="57">
        <f t="shared" si="298"/>
        <v>0</v>
      </c>
      <c r="BI653" s="57">
        <f t="shared" si="298"/>
        <v>0</v>
      </c>
      <c r="BJ653" s="57">
        <f t="shared" si="298"/>
        <v>1</v>
      </c>
      <c r="BK653" s="57">
        <f t="shared" si="298"/>
        <v>1</v>
      </c>
      <c r="BL653" s="57">
        <f t="shared" si="298"/>
        <v>1</v>
      </c>
      <c r="BM653" s="57">
        <f t="shared" si="298"/>
        <v>1</v>
      </c>
      <c r="BN653" s="57">
        <f t="shared" si="298"/>
        <v>1</v>
      </c>
      <c r="BO653" s="32">
        <f t="shared" si="301"/>
        <v>8.4745762711864403E-2</v>
      </c>
    </row>
    <row r="654" spans="1:67" x14ac:dyDescent="0.2">
      <c r="A654" s="42" t="s">
        <v>1316</v>
      </c>
      <c r="B654" s="42" t="s">
        <v>1317</v>
      </c>
      <c r="C654" s="42" t="s">
        <v>467</v>
      </c>
      <c r="D654" s="43">
        <f>SUM(D655:D670)</f>
        <v>5308872732.0543728</v>
      </c>
      <c r="E654" s="44">
        <f>IFERROR(D654/$D$109,0)</f>
        <v>2.9408554574576196E-2</v>
      </c>
      <c r="F654" s="45">
        <v>46515</v>
      </c>
      <c r="G654" s="45">
        <v>46598</v>
      </c>
      <c r="H654" s="44">
        <f>SUMPRODUCT($E655:$E669,H655:H669)</f>
        <v>0</v>
      </c>
      <c r="I654" s="44">
        <f t="shared" ref="I654:BN654" si="302">SUMPRODUCT($E655:$E669,I655:I669)</f>
        <v>0</v>
      </c>
      <c r="J654" s="44">
        <f t="shared" si="302"/>
        <v>0</v>
      </c>
      <c r="K654" s="44">
        <f t="shared" si="302"/>
        <v>0</v>
      </c>
      <c r="L654" s="44">
        <f t="shared" si="302"/>
        <v>0</v>
      </c>
      <c r="M654" s="44">
        <f t="shared" si="302"/>
        <v>0</v>
      </c>
      <c r="N654" s="44">
        <f t="shared" si="302"/>
        <v>0</v>
      </c>
      <c r="O654" s="44">
        <f t="shared" si="302"/>
        <v>0</v>
      </c>
      <c r="P654" s="44">
        <f t="shared" si="302"/>
        <v>0</v>
      </c>
      <c r="Q654" s="44">
        <f t="shared" si="302"/>
        <v>0</v>
      </c>
      <c r="R654" s="44">
        <f t="shared" si="302"/>
        <v>0</v>
      </c>
      <c r="S654" s="44">
        <f t="shared" si="302"/>
        <v>0</v>
      </c>
      <c r="T654" s="44">
        <f t="shared" si="302"/>
        <v>0</v>
      </c>
      <c r="U654" s="44">
        <f t="shared" si="302"/>
        <v>0</v>
      </c>
      <c r="V654" s="44">
        <f t="shared" si="302"/>
        <v>0</v>
      </c>
      <c r="W654" s="44">
        <f t="shared" si="302"/>
        <v>0</v>
      </c>
      <c r="X654" s="44">
        <f t="shared" si="302"/>
        <v>0</v>
      </c>
      <c r="Y654" s="44">
        <f t="shared" si="302"/>
        <v>0</v>
      </c>
      <c r="Z654" s="44">
        <f t="shared" si="302"/>
        <v>0</v>
      </c>
      <c r="AA654" s="44">
        <f t="shared" si="302"/>
        <v>0</v>
      </c>
      <c r="AB654" s="44">
        <f t="shared" si="302"/>
        <v>0</v>
      </c>
      <c r="AC654" s="44">
        <f t="shared" si="302"/>
        <v>0</v>
      </c>
      <c r="AD654" s="44">
        <f t="shared" si="302"/>
        <v>0</v>
      </c>
      <c r="AE654" s="44">
        <f t="shared" si="302"/>
        <v>0</v>
      </c>
      <c r="AF654" s="44">
        <f t="shared" si="302"/>
        <v>0</v>
      </c>
      <c r="AG654" s="44">
        <f t="shared" si="302"/>
        <v>0</v>
      </c>
      <c r="AH654" s="44">
        <f t="shared" si="302"/>
        <v>0</v>
      </c>
      <c r="AI654" s="44">
        <f t="shared" si="302"/>
        <v>0</v>
      </c>
      <c r="AJ654" s="44">
        <f t="shared" si="302"/>
        <v>0</v>
      </c>
      <c r="AK654" s="44">
        <f t="shared" si="302"/>
        <v>0</v>
      </c>
      <c r="AL654" s="44">
        <f t="shared" si="302"/>
        <v>0</v>
      </c>
      <c r="AM654" s="44">
        <f t="shared" si="302"/>
        <v>0</v>
      </c>
      <c r="AN654" s="44">
        <f t="shared" si="302"/>
        <v>0</v>
      </c>
      <c r="AO654" s="44">
        <f t="shared" si="302"/>
        <v>0</v>
      </c>
      <c r="AP654" s="44">
        <f t="shared" si="302"/>
        <v>0</v>
      </c>
      <c r="AQ654" s="44">
        <f t="shared" si="302"/>
        <v>0</v>
      </c>
      <c r="AR654" s="44">
        <f t="shared" si="302"/>
        <v>0</v>
      </c>
      <c r="AS654" s="44">
        <f t="shared" si="302"/>
        <v>0</v>
      </c>
      <c r="AT654" s="44">
        <f t="shared" si="302"/>
        <v>0</v>
      </c>
      <c r="AU654" s="44">
        <f t="shared" si="302"/>
        <v>0</v>
      </c>
      <c r="AV654" s="44">
        <f t="shared" si="302"/>
        <v>0</v>
      </c>
      <c r="AW654" s="44">
        <f t="shared" si="302"/>
        <v>0</v>
      </c>
      <c r="AX654" s="44">
        <f t="shared" si="302"/>
        <v>0</v>
      </c>
      <c r="AY654" s="44">
        <f t="shared" si="302"/>
        <v>0</v>
      </c>
      <c r="AZ654" s="44">
        <f t="shared" si="302"/>
        <v>9.98161680726279E-3</v>
      </c>
      <c r="BA654" s="44">
        <f t="shared" si="302"/>
        <v>4.5105438725758645E-2</v>
      </c>
      <c r="BB654" s="44">
        <f t="shared" si="302"/>
        <v>8.4944409151591821E-2</v>
      </c>
      <c r="BC654" s="44">
        <f t="shared" si="302"/>
        <v>0.15445319352941653</v>
      </c>
      <c r="BD654" s="44">
        <f t="shared" si="302"/>
        <v>0.20252837014625899</v>
      </c>
      <c r="BE654" s="44">
        <f t="shared" si="302"/>
        <v>0.30245970158069158</v>
      </c>
      <c r="BF654" s="44">
        <f t="shared" si="302"/>
        <v>0.40239103301512413</v>
      </c>
      <c r="BG654" s="44">
        <f t="shared" si="302"/>
        <v>0.64850810003989967</v>
      </c>
      <c r="BH654" s="44">
        <f t="shared" si="302"/>
        <v>0.65016370409793522</v>
      </c>
      <c r="BI654" s="44">
        <f t="shared" si="302"/>
        <v>0.73843801619988481</v>
      </c>
      <c r="BJ654" s="44">
        <f t="shared" si="302"/>
        <v>0.91521881633576629</v>
      </c>
      <c r="BK654" s="44">
        <f t="shared" si="302"/>
        <v>1</v>
      </c>
      <c r="BL654" s="44">
        <f t="shared" si="302"/>
        <v>1</v>
      </c>
      <c r="BM654" s="44">
        <f t="shared" si="302"/>
        <v>1</v>
      </c>
      <c r="BN654" s="44">
        <f t="shared" si="302"/>
        <v>1</v>
      </c>
      <c r="BO654" s="32">
        <f t="shared" si="301"/>
        <v>0.1382066508411795</v>
      </c>
    </row>
    <row r="655" spans="1:67" ht="24" x14ac:dyDescent="0.2">
      <c r="A655" s="50" t="s">
        <v>1318</v>
      </c>
      <c r="B655" s="50" t="s">
        <v>1319</v>
      </c>
      <c r="C655" s="50" t="s">
        <v>74</v>
      </c>
      <c r="D655" s="51">
        <f>VLOOKUP(A655,'[1]Cuadro Control'!C700:J2585,8,FALSE)</f>
        <v>83271780.884117648</v>
      </c>
      <c r="E655" s="52">
        <f t="shared" ref="E655:E669" si="303">IFERROR(D655/$D$654,0)</f>
        <v>1.5685397839984384E-2</v>
      </c>
      <c r="F655" s="53">
        <v>46515</v>
      </c>
      <c r="G655" s="53">
        <v>46525</v>
      </c>
      <c r="H655" s="52">
        <f t="shared" ref="H655:BN659" si="304">IF($F655=0,0,IF(H$6&lt;$F655,0,IF(H$6&gt;$G655,1,(H$6-$F655+1)/($G655-$F655+1))))</f>
        <v>0</v>
      </c>
      <c r="I655" s="52">
        <f t="shared" si="304"/>
        <v>0</v>
      </c>
      <c r="J655" s="52">
        <f t="shared" si="304"/>
        <v>0</v>
      </c>
      <c r="K655" s="52">
        <f t="shared" si="304"/>
        <v>0</v>
      </c>
      <c r="L655" s="52">
        <f t="shared" si="304"/>
        <v>0</v>
      </c>
      <c r="M655" s="52">
        <f t="shared" si="304"/>
        <v>0</v>
      </c>
      <c r="N655" s="52">
        <f t="shared" si="304"/>
        <v>0</v>
      </c>
      <c r="O655" s="52">
        <f t="shared" si="304"/>
        <v>0</v>
      </c>
      <c r="P655" s="52">
        <f t="shared" si="304"/>
        <v>0</v>
      </c>
      <c r="Q655" s="52">
        <f t="shared" si="304"/>
        <v>0</v>
      </c>
      <c r="R655" s="52">
        <f t="shared" si="304"/>
        <v>0</v>
      </c>
      <c r="S655" s="52">
        <f t="shared" si="304"/>
        <v>0</v>
      </c>
      <c r="T655" s="52">
        <f t="shared" si="304"/>
        <v>0</v>
      </c>
      <c r="U655" s="52">
        <f t="shared" si="304"/>
        <v>0</v>
      </c>
      <c r="V655" s="52">
        <f t="shared" si="304"/>
        <v>0</v>
      </c>
      <c r="W655" s="52">
        <f t="shared" si="304"/>
        <v>0</v>
      </c>
      <c r="X655" s="52">
        <f t="shared" si="304"/>
        <v>0</v>
      </c>
      <c r="Y655" s="52">
        <f t="shared" si="304"/>
        <v>0</v>
      </c>
      <c r="Z655" s="52">
        <f t="shared" si="304"/>
        <v>0</v>
      </c>
      <c r="AA655" s="52">
        <f t="shared" si="304"/>
        <v>0</v>
      </c>
      <c r="AB655" s="52">
        <f t="shared" si="304"/>
        <v>0</v>
      </c>
      <c r="AC655" s="52">
        <f t="shared" si="304"/>
        <v>0</v>
      </c>
      <c r="AD655" s="52">
        <f t="shared" si="304"/>
        <v>0</v>
      </c>
      <c r="AE655" s="52">
        <f t="shared" si="304"/>
        <v>0</v>
      </c>
      <c r="AF655" s="52">
        <f t="shared" si="304"/>
        <v>0</v>
      </c>
      <c r="AG655" s="52">
        <f t="shared" si="304"/>
        <v>0</v>
      </c>
      <c r="AH655" s="52">
        <f t="shared" si="304"/>
        <v>0</v>
      </c>
      <c r="AI655" s="52">
        <f t="shared" si="304"/>
        <v>0</v>
      </c>
      <c r="AJ655" s="52">
        <f t="shared" si="304"/>
        <v>0</v>
      </c>
      <c r="AK655" s="52">
        <f t="shared" si="304"/>
        <v>0</v>
      </c>
      <c r="AL655" s="52">
        <f t="shared" si="304"/>
        <v>0</v>
      </c>
      <c r="AM655" s="52">
        <f t="shared" si="304"/>
        <v>0</v>
      </c>
      <c r="AN655" s="52">
        <f t="shared" si="304"/>
        <v>0</v>
      </c>
      <c r="AO655" s="52">
        <f t="shared" si="304"/>
        <v>0</v>
      </c>
      <c r="AP655" s="52">
        <f t="shared" si="304"/>
        <v>0</v>
      </c>
      <c r="AQ655" s="52">
        <f t="shared" si="304"/>
        <v>0</v>
      </c>
      <c r="AR655" s="52">
        <f t="shared" si="304"/>
        <v>0</v>
      </c>
      <c r="AS655" s="52">
        <f t="shared" si="304"/>
        <v>0</v>
      </c>
      <c r="AT655" s="52">
        <f t="shared" si="304"/>
        <v>0</v>
      </c>
      <c r="AU655" s="52">
        <f t="shared" si="304"/>
        <v>0</v>
      </c>
      <c r="AV655" s="52">
        <f t="shared" si="304"/>
        <v>0</v>
      </c>
      <c r="AW655" s="52">
        <f t="shared" si="304"/>
        <v>0</v>
      </c>
      <c r="AX655" s="52">
        <f t="shared" si="304"/>
        <v>0</v>
      </c>
      <c r="AY655" s="52">
        <f t="shared" si="304"/>
        <v>0</v>
      </c>
      <c r="AZ655" s="52">
        <f t="shared" si="304"/>
        <v>0.63636363636363635</v>
      </c>
      <c r="BA655" s="52">
        <f t="shared" si="304"/>
        <v>1</v>
      </c>
      <c r="BB655" s="52">
        <f t="shared" si="304"/>
        <v>1</v>
      </c>
      <c r="BC655" s="52">
        <f t="shared" si="304"/>
        <v>1</v>
      </c>
      <c r="BD655" s="52">
        <f t="shared" si="304"/>
        <v>1</v>
      </c>
      <c r="BE655" s="52">
        <f t="shared" si="304"/>
        <v>1</v>
      </c>
      <c r="BF655" s="52">
        <f t="shared" si="304"/>
        <v>1</v>
      </c>
      <c r="BG655" s="52">
        <f t="shared" si="304"/>
        <v>1</v>
      </c>
      <c r="BH655" s="52">
        <f t="shared" si="304"/>
        <v>1</v>
      </c>
      <c r="BI655" s="52">
        <f t="shared" si="304"/>
        <v>1</v>
      </c>
      <c r="BJ655" s="52">
        <f t="shared" si="304"/>
        <v>1</v>
      </c>
      <c r="BK655" s="52">
        <f t="shared" si="304"/>
        <v>1</v>
      </c>
      <c r="BL655" s="52">
        <f t="shared" si="304"/>
        <v>1</v>
      </c>
      <c r="BM655" s="52">
        <f t="shared" si="304"/>
        <v>1</v>
      </c>
      <c r="BN655" s="52">
        <f t="shared" si="304"/>
        <v>1</v>
      </c>
      <c r="BO655" s="32">
        <f t="shared" si="301"/>
        <v>0.24807395993836673</v>
      </c>
    </row>
    <row r="656" spans="1:67" x14ac:dyDescent="0.2">
      <c r="A656" s="50" t="s">
        <v>1320</v>
      </c>
      <c r="B656" s="50" t="s">
        <v>1321</v>
      </c>
      <c r="C656" s="50" t="s">
        <v>61</v>
      </c>
      <c r="D656" s="51">
        <f>VLOOKUP(A656,'[1]Cuadro Control'!C701:J2586,8,FALSE)</f>
        <v>312374505.66882348</v>
      </c>
      <c r="E656" s="52">
        <f t="shared" si="303"/>
        <v>5.8840081771548515E-2</v>
      </c>
      <c r="F656" s="53">
        <v>46525</v>
      </c>
      <c r="G656" s="53">
        <v>46532</v>
      </c>
      <c r="H656" s="52">
        <f t="shared" si="304"/>
        <v>0</v>
      </c>
      <c r="I656" s="52">
        <f t="shared" si="304"/>
        <v>0</v>
      </c>
      <c r="J656" s="52">
        <f t="shared" si="304"/>
        <v>0</v>
      </c>
      <c r="K656" s="52">
        <f t="shared" si="304"/>
        <v>0</v>
      </c>
      <c r="L656" s="52">
        <f t="shared" si="304"/>
        <v>0</v>
      </c>
      <c r="M656" s="52">
        <f t="shared" si="304"/>
        <v>0</v>
      </c>
      <c r="N656" s="52">
        <f t="shared" si="304"/>
        <v>0</v>
      </c>
      <c r="O656" s="52">
        <f t="shared" si="304"/>
        <v>0</v>
      </c>
      <c r="P656" s="52">
        <f t="shared" si="304"/>
        <v>0</v>
      </c>
      <c r="Q656" s="52">
        <f t="shared" si="304"/>
        <v>0</v>
      </c>
      <c r="R656" s="52">
        <f t="shared" si="304"/>
        <v>0</v>
      </c>
      <c r="S656" s="52">
        <f t="shared" si="304"/>
        <v>0</v>
      </c>
      <c r="T656" s="52">
        <f t="shared" si="304"/>
        <v>0</v>
      </c>
      <c r="U656" s="52">
        <f t="shared" si="304"/>
        <v>0</v>
      </c>
      <c r="V656" s="52">
        <f t="shared" si="304"/>
        <v>0</v>
      </c>
      <c r="W656" s="52">
        <f t="shared" si="304"/>
        <v>0</v>
      </c>
      <c r="X656" s="52">
        <f t="shared" si="304"/>
        <v>0</v>
      </c>
      <c r="Y656" s="52">
        <f t="shared" si="304"/>
        <v>0</v>
      </c>
      <c r="Z656" s="52">
        <f t="shared" si="304"/>
        <v>0</v>
      </c>
      <c r="AA656" s="52">
        <f t="shared" si="304"/>
        <v>0</v>
      </c>
      <c r="AB656" s="52">
        <f t="shared" si="304"/>
        <v>0</v>
      </c>
      <c r="AC656" s="52">
        <f t="shared" si="304"/>
        <v>0</v>
      </c>
      <c r="AD656" s="52">
        <f t="shared" si="304"/>
        <v>0</v>
      </c>
      <c r="AE656" s="52">
        <f t="shared" si="304"/>
        <v>0</v>
      </c>
      <c r="AF656" s="52">
        <f t="shared" si="304"/>
        <v>0</v>
      </c>
      <c r="AG656" s="52">
        <f t="shared" si="304"/>
        <v>0</v>
      </c>
      <c r="AH656" s="52">
        <f t="shared" si="304"/>
        <v>0</v>
      </c>
      <c r="AI656" s="52">
        <f t="shared" si="304"/>
        <v>0</v>
      </c>
      <c r="AJ656" s="52">
        <f t="shared" si="304"/>
        <v>0</v>
      </c>
      <c r="AK656" s="52">
        <f t="shared" si="304"/>
        <v>0</v>
      </c>
      <c r="AL656" s="52">
        <f t="shared" si="304"/>
        <v>0</v>
      </c>
      <c r="AM656" s="52">
        <f t="shared" si="304"/>
        <v>0</v>
      </c>
      <c r="AN656" s="52">
        <f t="shared" si="304"/>
        <v>0</v>
      </c>
      <c r="AO656" s="52">
        <f t="shared" si="304"/>
        <v>0</v>
      </c>
      <c r="AP656" s="52">
        <f t="shared" si="304"/>
        <v>0</v>
      </c>
      <c r="AQ656" s="52">
        <f t="shared" si="304"/>
        <v>0</v>
      </c>
      <c r="AR656" s="52">
        <f t="shared" si="304"/>
        <v>0</v>
      </c>
      <c r="AS656" s="52">
        <f t="shared" si="304"/>
        <v>0</v>
      </c>
      <c r="AT656" s="52">
        <f t="shared" si="304"/>
        <v>0</v>
      </c>
      <c r="AU656" s="52">
        <f t="shared" si="304"/>
        <v>0</v>
      </c>
      <c r="AV656" s="52">
        <f t="shared" si="304"/>
        <v>0</v>
      </c>
      <c r="AW656" s="52">
        <f t="shared" si="304"/>
        <v>0</v>
      </c>
      <c r="AX656" s="52">
        <f t="shared" si="304"/>
        <v>0</v>
      </c>
      <c r="AY656" s="52">
        <f t="shared" si="304"/>
        <v>0</v>
      </c>
      <c r="AZ656" s="52">
        <f t="shared" si="304"/>
        <v>0</v>
      </c>
      <c r="BA656" s="52">
        <f t="shared" si="304"/>
        <v>0.5</v>
      </c>
      <c r="BB656" s="52">
        <f t="shared" si="304"/>
        <v>1</v>
      </c>
      <c r="BC656" s="52">
        <f t="shared" si="304"/>
        <v>1</v>
      </c>
      <c r="BD656" s="52">
        <f t="shared" si="304"/>
        <v>1</v>
      </c>
      <c r="BE656" s="52">
        <f t="shared" si="304"/>
        <v>1</v>
      </c>
      <c r="BF656" s="52">
        <f t="shared" si="304"/>
        <v>1</v>
      </c>
      <c r="BG656" s="52">
        <f t="shared" si="304"/>
        <v>1</v>
      </c>
      <c r="BH656" s="52">
        <f t="shared" si="304"/>
        <v>1</v>
      </c>
      <c r="BI656" s="52">
        <f t="shared" si="304"/>
        <v>1</v>
      </c>
      <c r="BJ656" s="52">
        <f t="shared" si="304"/>
        <v>1</v>
      </c>
      <c r="BK656" s="52">
        <f t="shared" si="304"/>
        <v>1</v>
      </c>
      <c r="BL656" s="52">
        <f t="shared" si="304"/>
        <v>1</v>
      </c>
      <c r="BM656" s="52">
        <f t="shared" si="304"/>
        <v>1</v>
      </c>
      <c r="BN656" s="52">
        <f t="shared" si="304"/>
        <v>1</v>
      </c>
      <c r="BO656" s="32">
        <f t="shared" si="301"/>
        <v>0.2288135593220339</v>
      </c>
    </row>
    <row r="657" spans="1:67" ht="15" x14ac:dyDescent="0.2">
      <c r="A657" s="46" t="s">
        <v>1322</v>
      </c>
      <c r="B657" s="46" t="s">
        <v>1323</v>
      </c>
      <c r="C657" s="46" t="s">
        <v>126</v>
      </c>
      <c r="D657" s="47">
        <f>VLOOKUP(A657,'[1]Cuadro Control'!C702:J2587,8,FALSE)</f>
        <v>9527825.6870364472</v>
      </c>
      <c r="E657" s="48">
        <f t="shared" si="303"/>
        <v>1.794698454439963E-3</v>
      </c>
      <c r="F657" s="49">
        <v>46533</v>
      </c>
      <c r="G657" s="49">
        <v>46535</v>
      </c>
      <c r="H657" s="48">
        <f t="shared" si="304"/>
        <v>0</v>
      </c>
      <c r="I657" s="48">
        <f t="shared" si="304"/>
        <v>0</v>
      </c>
      <c r="J657" s="48">
        <f t="shared" si="304"/>
        <v>0</v>
      </c>
      <c r="K657" s="48">
        <f t="shared" si="304"/>
        <v>0</v>
      </c>
      <c r="L657" s="48">
        <f t="shared" si="304"/>
        <v>0</v>
      </c>
      <c r="M657" s="48">
        <f t="shared" si="304"/>
        <v>0</v>
      </c>
      <c r="N657" s="48">
        <f t="shared" si="304"/>
        <v>0</v>
      </c>
      <c r="O657" s="48">
        <f t="shared" si="304"/>
        <v>0</v>
      </c>
      <c r="P657" s="48">
        <f t="shared" si="304"/>
        <v>0</v>
      </c>
      <c r="Q657" s="48">
        <f t="shared" si="304"/>
        <v>0</v>
      </c>
      <c r="R657" s="48">
        <f t="shared" si="304"/>
        <v>0</v>
      </c>
      <c r="S657" s="48">
        <f t="shared" si="304"/>
        <v>0</v>
      </c>
      <c r="T657" s="48">
        <f t="shared" si="304"/>
        <v>0</v>
      </c>
      <c r="U657" s="48">
        <f t="shared" si="304"/>
        <v>0</v>
      </c>
      <c r="V657" s="48">
        <f t="shared" si="304"/>
        <v>0</v>
      </c>
      <c r="W657" s="48">
        <f t="shared" si="304"/>
        <v>0</v>
      </c>
      <c r="X657" s="48">
        <f t="shared" si="304"/>
        <v>0</v>
      </c>
      <c r="Y657" s="48">
        <f t="shared" si="304"/>
        <v>0</v>
      </c>
      <c r="Z657" s="48">
        <f t="shared" si="304"/>
        <v>0</v>
      </c>
      <c r="AA657" s="48">
        <f t="shared" si="304"/>
        <v>0</v>
      </c>
      <c r="AB657" s="48">
        <f t="shared" si="304"/>
        <v>0</v>
      </c>
      <c r="AC657" s="48">
        <f t="shared" si="304"/>
        <v>0</v>
      </c>
      <c r="AD657" s="48">
        <f t="shared" si="304"/>
        <v>0</v>
      </c>
      <c r="AE657" s="48">
        <f t="shared" si="304"/>
        <v>0</v>
      </c>
      <c r="AF657" s="48">
        <f t="shared" si="304"/>
        <v>0</v>
      </c>
      <c r="AG657" s="48">
        <f t="shared" si="304"/>
        <v>0</v>
      </c>
      <c r="AH657" s="48">
        <f t="shared" si="304"/>
        <v>0</v>
      </c>
      <c r="AI657" s="48">
        <f t="shared" si="304"/>
        <v>0</v>
      </c>
      <c r="AJ657" s="48">
        <f t="shared" si="304"/>
        <v>0</v>
      </c>
      <c r="AK657" s="48">
        <f t="shared" si="304"/>
        <v>0</v>
      </c>
      <c r="AL657" s="48">
        <f t="shared" si="304"/>
        <v>0</v>
      </c>
      <c r="AM657" s="48">
        <f t="shared" si="304"/>
        <v>0</v>
      </c>
      <c r="AN657" s="48">
        <f t="shared" si="304"/>
        <v>0</v>
      </c>
      <c r="AO657" s="48">
        <f t="shared" si="304"/>
        <v>0</v>
      </c>
      <c r="AP657" s="48">
        <f t="shared" si="304"/>
        <v>0</v>
      </c>
      <c r="AQ657" s="48">
        <f t="shared" si="304"/>
        <v>0</v>
      </c>
      <c r="AR657" s="48">
        <f t="shared" si="304"/>
        <v>0</v>
      </c>
      <c r="AS657" s="48">
        <f t="shared" si="304"/>
        <v>0</v>
      </c>
      <c r="AT657" s="48">
        <f t="shared" si="304"/>
        <v>0</v>
      </c>
      <c r="AU657" s="48">
        <f t="shared" si="304"/>
        <v>0</v>
      </c>
      <c r="AV657" s="48">
        <f t="shared" si="304"/>
        <v>0</v>
      </c>
      <c r="AW657" s="48">
        <f t="shared" si="304"/>
        <v>0</v>
      </c>
      <c r="AX657" s="48">
        <f t="shared" si="304"/>
        <v>0</v>
      </c>
      <c r="AY657" s="48">
        <f t="shared" si="304"/>
        <v>0</v>
      </c>
      <c r="AZ657" s="48">
        <f t="shared" si="304"/>
        <v>0</v>
      </c>
      <c r="BA657" s="48">
        <f t="shared" si="304"/>
        <v>0</v>
      </c>
      <c r="BB657" s="48">
        <f t="shared" si="304"/>
        <v>1</v>
      </c>
      <c r="BC657" s="48">
        <f t="shared" si="304"/>
        <v>1</v>
      </c>
      <c r="BD657" s="48">
        <f t="shared" si="304"/>
        <v>1</v>
      </c>
      <c r="BE657" s="48">
        <f t="shared" si="304"/>
        <v>1</v>
      </c>
      <c r="BF657" s="48">
        <f t="shared" si="304"/>
        <v>1</v>
      </c>
      <c r="BG657" s="48">
        <f t="shared" si="304"/>
        <v>1</v>
      </c>
      <c r="BH657" s="48">
        <f t="shared" si="304"/>
        <v>1</v>
      </c>
      <c r="BI657" s="48">
        <f t="shared" si="304"/>
        <v>1</v>
      </c>
      <c r="BJ657" s="48">
        <f t="shared" si="304"/>
        <v>1</v>
      </c>
      <c r="BK657" s="48">
        <f t="shared" si="304"/>
        <v>1</v>
      </c>
      <c r="BL657" s="48">
        <f t="shared" si="304"/>
        <v>1</v>
      </c>
      <c r="BM657" s="48">
        <f t="shared" si="304"/>
        <v>1</v>
      </c>
      <c r="BN657" s="48">
        <f t="shared" si="304"/>
        <v>1</v>
      </c>
      <c r="BO657" s="32">
        <f t="shared" si="301"/>
        <v>0.22033898305084745</v>
      </c>
    </row>
    <row r="658" spans="1:67" x14ac:dyDescent="0.2">
      <c r="A658" s="50" t="s">
        <v>1324</v>
      </c>
      <c r="B658" s="50" t="s">
        <v>1325</v>
      </c>
      <c r="C658" s="50" t="s">
        <v>117</v>
      </c>
      <c r="D658" s="51">
        <f>VLOOKUP(A658,'[1]Cuadro Control'!C703:J2588,8,FALSE)</f>
        <v>320494616.71764702</v>
      </c>
      <c r="E658" s="52">
        <f t="shared" si="303"/>
        <v>6.0369617599332674E-2</v>
      </c>
      <c r="F658" s="53">
        <v>46535</v>
      </c>
      <c r="G658" s="53">
        <v>46541</v>
      </c>
      <c r="H658" s="52">
        <f t="shared" si="304"/>
        <v>0</v>
      </c>
      <c r="I658" s="52">
        <f t="shared" si="304"/>
        <v>0</v>
      </c>
      <c r="J658" s="52">
        <f t="shared" si="304"/>
        <v>0</v>
      </c>
      <c r="K658" s="52">
        <f t="shared" si="304"/>
        <v>0</v>
      </c>
      <c r="L658" s="52">
        <f t="shared" si="304"/>
        <v>0</v>
      </c>
      <c r="M658" s="52">
        <f t="shared" si="304"/>
        <v>0</v>
      </c>
      <c r="N658" s="52">
        <f t="shared" si="304"/>
        <v>0</v>
      </c>
      <c r="O658" s="52">
        <f t="shared" si="304"/>
        <v>0</v>
      </c>
      <c r="P658" s="52">
        <f t="shared" si="304"/>
        <v>0</v>
      </c>
      <c r="Q658" s="52">
        <f t="shared" si="304"/>
        <v>0</v>
      </c>
      <c r="R658" s="52">
        <f t="shared" si="304"/>
        <v>0</v>
      </c>
      <c r="S658" s="52">
        <f t="shared" si="304"/>
        <v>0</v>
      </c>
      <c r="T658" s="52">
        <f t="shared" si="304"/>
        <v>0</v>
      </c>
      <c r="U658" s="52">
        <f t="shared" si="304"/>
        <v>0</v>
      </c>
      <c r="V658" s="52">
        <f t="shared" si="304"/>
        <v>0</v>
      </c>
      <c r="W658" s="52">
        <f t="shared" si="304"/>
        <v>0</v>
      </c>
      <c r="X658" s="52">
        <f t="shared" si="304"/>
        <v>0</v>
      </c>
      <c r="Y658" s="52">
        <f t="shared" si="304"/>
        <v>0</v>
      </c>
      <c r="Z658" s="52">
        <f t="shared" si="304"/>
        <v>0</v>
      </c>
      <c r="AA658" s="52">
        <f t="shared" si="304"/>
        <v>0</v>
      </c>
      <c r="AB658" s="52">
        <f t="shared" si="304"/>
        <v>0</v>
      </c>
      <c r="AC658" s="52">
        <f t="shared" si="304"/>
        <v>0</v>
      </c>
      <c r="AD658" s="52">
        <f t="shared" si="304"/>
        <v>0</v>
      </c>
      <c r="AE658" s="52">
        <f t="shared" si="304"/>
        <v>0</v>
      </c>
      <c r="AF658" s="52">
        <f t="shared" si="304"/>
        <v>0</v>
      </c>
      <c r="AG658" s="52">
        <f t="shared" si="304"/>
        <v>0</v>
      </c>
      <c r="AH658" s="52">
        <f t="shared" si="304"/>
        <v>0</v>
      </c>
      <c r="AI658" s="52">
        <f t="shared" si="304"/>
        <v>0</v>
      </c>
      <c r="AJ658" s="52">
        <f t="shared" si="304"/>
        <v>0</v>
      </c>
      <c r="AK658" s="52">
        <f t="shared" si="304"/>
        <v>0</v>
      </c>
      <c r="AL658" s="52">
        <f t="shared" si="304"/>
        <v>0</v>
      </c>
      <c r="AM658" s="52">
        <f t="shared" si="304"/>
        <v>0</v>
      </c>
      <c r="AN658" s="52">
        <f t="shared" si="304"/>
        <v>0</v>
      </c>
      <c r="AO658" s="52">
        <f t="shared" si="304"/>
        <v>0</v>
      </c>
      <c r="AP658" s="52">
        <f t="shared" si="304"/>
        <v>0</v>
      </c>
      <c r="AQ658" s="52">
        <f t="shared" si="304"/>
        <v>0</v>
      </c>
      <c r="AR658" s="52">
        <f t="shared" si="304"/>
        <v>0</v>
      </c>
      <c r="AS658" s="52">
        <f t="shared" si="304"/>
        <v>0</v>
      </c>
      <c r="AT658" s="52">
        <f t="shared" si="304"/>
        <v>0</v>
      </c>
      <c r="AU658" s="52">
        <f t="shared" si="304"/>
        <v>0</v>
      </c>
      <c r="AV658" s="52">
        <f t="shared" si="304"/>
        <v>0</v>
      </c>
      <c r="AW658" s="52">
        <f t="shared" si="304"/>
        <v>0</v>
      </c>
      <c r="AX658" s="52">
        <f t="shared" si="304"/>
        <v>0</v>
      </c>
      <c r="AY658" s="52">
        <f t="shared" si="304"/>
        <v>0</v>
      </c>
      <c r="AZ658" s="52">
        <f t="shared" si="304"/>
        <v>0</v>
      </c>
      <c r="BA658" s="52">
        <f t="shared" si="304"/>
        <v>0</v>
      </c>
      <c r="BB658" s="52">
        <f t="shared" si="304"/>
        <v>0.14285714285714285</v>
      </c>
      <c r="BC658" s="52">
        <f t="shared" si="304"/>
        <v>1</v>
      </c>
      <c r="BD658" s="52">
        <f t="shared" si="304"/>
        <v>1</v>
      </c>
      <c r="BE658" s="52">
        <f t="shared" si="304"/>
        <v>1</v>
      </c>
      <c r="BF658" s="52">
        <f t="shared" si="304"/>
        <v>1</v>
      </c>
      <c r="BG658" s="52">
        <f t="shared" si="304"/>
        <v>1</v>
      </c>
      <c r="BH658" s="52">
        <f t="shared" si="304"/>
        <v>1</v>
      </c>
      <c r="BI658" s="52">
        <f t="shared" si="304"/>
        <v>1</v>
      </c>
      <c r="BJ658" s="52">
        <f t="shared" si="304"/>
        <v>1</v>
      </c>
      <c r="BK658" s="52">
        <f t="shared" si="304"/>
        <v>1</v>
      </c>
      <c r="BL658" s="52">
        <f t="shared" si="304"/>
        <v>1</v>
      </c>
      <c r="BM658" s="52">
        <f t="shared" si="304"/>
        <v>1</v>
      </c>
      <c r="BN658" s="52">
        <f t="shared" si="304"/>
        <v>1</v>
      </c>
      <c r="BO658" s="32">
        <f t="shared" si="301"/>
        <v>0.20581113801452783</v>
      </c>
    </row>
    <row r="659" spans="1:67" x14ac:dyDescent="0.2">
      <c r="A659" s="50" t="s">
        <v>1326</v>
      </c>
      <c r="B659" s="50" t="s">
        <v>1327</v>
      </c>
      <c r="C659" s="50" t="s">
        <v>111</v>
      </c>
      <c r="D659" s="51">
        <f>VLOOKUP(A659,'[1]Cuadro Control'!C704:J2589,8,FALSE)</f>
        <v>94303618.549411759</v>
      </c>
      <c r="E659" s="52">
        <f t="shared" si="303"/>
        <v>1.7763397864110998E-2</v>
      </c>
      <c r="F659" s="53">
        <v>46541</v>
      </c>
      <c r="G659" s="53">
        <v>46542</v>
      </c>
      <c r="H659" s="52">
        <f t="shared" si="304"/>
        <v>0</v>
      </c>
      <c r="I659" s="52">
        <f t="shared" si="304"/>
        <v>0</v>
      </c>
      <c r="J659" s="52">
        <f t="shared" si="304"/>
        <v>0</v>
      </c>
      <c r="K659" s="52">
        <f t="shared" si="304"/>
        <v>0</v>
      </c>
      <c r="L659" s="52">
        <f t="shared" si="304"/>
        <v>0</v>
      </c>
      <c r="M659" s="52">
        <f t="shared" si="304"/>
        <v>0</v>
      </c>
      <c r="N659" s="52">
        <f t="shared" si="304"/>
        <v>0</v>
      </c>
      <c r="O659" s="52">
        <f t="shared" si="304"/>
        <v>0</v>
      </c>
      <c r="P659" s="52">
        <f t="shared" si="304"/>
        <v>0</v>
      </c>
      <c r="Q659" s="52">
        <f t="shared" si="304"/>
        <v>0</v>
      </c>
      <c r="R659" s="52">
        <f t="shared" si="304"/>
        <v>0</v>
      </c>
      <c r="S659" s="52">
        <f t="shared" si="304"/>
        <v>0</v>
      </c>
      <c r="T659" s="52">
        <f t="shared" si="304"/>
        <v>0</v>
      </c>
      <c r="U659" s="52">
        <f t="shared" si="304"/>
        <v>0</v>
      </c>
      <c r="V659" s="52">
        <f t="shared" si="304"/>
        <v>0</v>
      </c>
      <c r="W659" s="52">
        <f t="shared" si="304"/>
        <v>0</v>
      </c>
      <c r="X659" s="52">
        <f t="shared" si="304"/>
        <v>0</v>
      </c>
      <c r="Y659" s="52">
        <f t="shared" si="304"/>
        <v>0</v>
      </c>
      <c r="Z659" s="52">
        <f t="shared" si="304"/>
        <v>0</v>
      </c>
      <c r="AA659" s="52">
        <f t="shared" ref="AA659:BF670" si="305">IF($F659=0,0,IF(AA$6&lt;$F659,0,IF(AA$6&gt;$G659,1,(AA$6-$F659+1)/($G659-$F659+1))))</f>
        <v>0</v>
      </c>
      <c r="AB659" s="52">
        <f t="shared" si="305"/>
        <v>0</v>
      </c>
      <c r="AC659" s="52">
        <f t="shared" si="305"/>
        <v>0</v>
      </c>
      <c r="AD659" s="52">
        <f t="shared" si="305"/>
        <v>0</v>
      </c>
      <c r="AE659" s="52">
        <f t="shared" si="305"/>
        <v>0</v>
      </c>
      <c r="AF659" s="52">
        <f t="shared" si="305"/>
        <v>0</v>
      </c>
      <c r="AG659" s="52">
        <f t="shared" si="305"/>
        <v>0</v>
      </c>
      <c r="AH659" s="52">
        <f t="shared" si="305"/>
        <v>0</v>
      </c>
      <c r="AI659" s="52">
        <f t="shared" si="305"/>
        <v>0</v>
      </c>
      <c r="AJ659" s="52">
        <f t="shared" si="305"/>
        <v>0</v>
      </c>
      <c r="AK659" s="52">
        <f t="shared" si="305"/>
        <v>0</v>
      </c>
      <c r="AL659" s="52">
        <f t="shared" si="305"/>
        <v>0</v>
      </c>
      <c r="AM659" s="52">
        <f t="shared" si="305"/>
        <v>0</v>
      </c>
      <c r="AN659" s="52">
        <f t="shared" si="305"/>
        <v>0</v>
      </c>
      <c r="AO659" s="52">
        <f t="shared" si="305"/>
        <v>0</v>
      </c>
      <c r="AP659" s="52">
        <f t="shared" si="305"/>
        <v>0</v>
      </c>
      <c r="AQ659" s="52">
        <f t="shared" si="305"/>
        <v>0</v>
      </c>
      <c r="AR659" s="52">
        <f t="shared" si="305"/>
        <v>0</v>
      </c>
      <c r="AS659" s="52">
        <f t="shared" si="305"/>
        <v>0</v>
      </c>
      <c r="AT659" s="52">
        <f t="shared" si="305"/>
        <v>0</v>
      </c>
      <c r="AU659" s="52">
        <f t="shared" si="305"/>
        <v>0</v>
      </c>
      <c r="AV659" s="52">
        <f t="shared" si="305"/>
        <v>0</v>
      </c>
      <c r="AW659" s="52">
        <f t="shared" si="305"/>
        <v>0</v>
      </c>
      <c r="AX659" s="52">
        <f t="shared" si="305"/>
        <v>0</v>
      </c>
      <c r="AY659" s="52">
        <f t="shared" si="305"/>
        <v>0</v>
      </c>
      <c r="AZ659" s="52">
        <f t="shared" si="305"/>
        <v>0</v>
      </c>
      <c r="BA659" s="52">
        <f t="shared" si="305"/>
        <v>0</v>
      </c>
      <c r="BB659" s="52">
        <f t="shared" si="305"/>
        <v>0</v>
      </c>
      <c r="BC659" s="52">
        <f t="shared" si="305"/>
        <v>1</v>
      </c>
      <c r="BD659" s="52">
        <f t="shared" si="305"/>
        <v>1</v>
      </c>
      <c r="BE659" s="52">
        <f t="shared" si="305"/>
        <v>1</v>
      </c>
      <c r="BF659" s="52">
        <f t="shared" si="305"/>
        <v>1</v>
      </c>
      <c r="BG659" s="52">
        <f t="shared" ref="BG659:BN670" si="306">IF($F659=0,0,IF(BG$6&lt;$F659,0,IF(BG$6&gt;$G659,1,(BG$6-$F659+1)/($G659-$F659+1))))</f>
        <v>1</v>
      </c>
      <c r="BH659" s="52">
        <f t="shared" si="306"/>
        <v>1</v>
      </c>
      <c r="BI659" s="52">
        <f t="shared" si="306"/>
        <v>1</v>
      </c>
      <c r="BJ659" s="52">
        <f t="shared" si="306"/>
        <v>1</v>
      </c>
      <c r="BK659" s="52">
        <f t="shared" si="306"/>
        <v>1</v>
      </c>
      <c r="BL659" s="52">
        <f t="shared" si="306"/>
        <v>1</v>
      </c>
      <c r="BM659" s="52">
        <f t="shared" si="306"/>
        <v>1</v>
      </c>
      <c r="BN659" s="52">
        <f t="shared" si="306"/>
        <v>1</v>
      </c>
      <c r="BO659" s="32">
        <f t="shared" si="301"/>
        <v>0.20338983050847459</v>
      </c>
    </row>
    <row r="660" spans="1:67" x14ac:dyDescent="0.2">
      <c r="A660" s="50" t="s">
        <v>1328</v>
      </c>
      <c r="B660" s="50" t="s">
        <v>1329</v>
      </c>
      <c r="C660" s="50" t="s">
        <v>238</v>
      </c>
      <c r="D660" s="51">
        <f>VLOOKUP(A660,'[1]Cuadro Control'!C705:J2590,8,FALSE)</f>
        <v>179436034.15411764</v>
      </c>
      <c r="E660" s="52">
        <f t="shared" si="303"/>
        <v>3.3799272126209236E-2</v>
      </c>
      <c r="F660" s="53">
        <v>46543</v>
      </c>
      <c r="G660" s="53">
        <v>46549</v>
      </c>
      <c r="H660" s="52">
        <f t="shared" ref="H660:W670" si="307">IF($F660=0,0,IF(H$6&lt;$F660,0,IF(H$6&gt;$G660,1,(H$6-$F660+1)/($G660-$F660+1))))</f>
        <v>0</v>
      </c>
      <c r="I660" s="52">
        <f t="shared" si="307"/>
        <v>0</v>
      </c>
      <c r="J660" s="52">
        <f t="shared" si="307"/>
        <v>0</v>
      </c>
      <c r="K660" s="52">
        <f t="shared" si="307"/>
        <v>0</v>
      </c>
      <c r="L660" s="52">
        <f t="shared" si="307"/>
        <v>0</v>
      </c>
      <c r="M660" s="52">
        <f t="shared" si="307"/>
        <v>0</v>
      </c>
      <c r="N660" s="52">
        <f t="shared" si="307"/>
        <v>0</v>
      </c>
      <c r="O660" s="52">
        <f t="shared" si="307"/>
        <v>0</v>
      </c>
      <c r="P660" s="52">
        <f t="shared" si="307"/>
        <v>0</v>
      </c>
      <c r="Q660" s="52">
        <f t="shared" si="307"/>
        <v>0</v>
      </c>
      <c r="R660" s="52">
        <f t="shared" si="307"/>
        <v>0</v>
      </c>
      <c r="S660" s="52">
        <f t="shared" si="307"/>
        <v>0</v>
      </c>
      <c r="T660" s="52">
        <f t="shared" si="307"/>
        <v>0</v>
      </c>
      <c r="U660" s="52">
        <f t="shared" si="307"/>
        <v>0</v>
      </c>
      <c r="V660" s="52">
        <f t="shared" si="307"/>
        <v>0</v>
      </c>
      <c r="W660" s="52">
        <f t="shared" si="307"/>
        <v>0</v>
      </c>
      <c r="X660" s="52">
        <f t="shared" ref="X660:BC670" si="308">IF($F660=0,0,IF(X$6&lt;$F660,0,IF(X$6&gt;$G660,1,(X$6-$F660+1)/($G660-$F660+1))))</f>
        <v>0</v>
      </c>
      <c r="Y660" s="52">
        <f t="shared" si="308"/>
        <v>0</v>
      </c>
      <c r="Z660" s="52">
        <f t="shared" si="308"/>
        <v>0</v>
      </c>
      <c r="AA660" s="52">
        <f t="shared" si="308"/>
        <v>0</v>
      </c>
      <c r="AB660" s="52">
        <f t="shared" si="308"/>
        <v>0</v>
      </c>
      <c r="AC660" s="52">
        <f t="shared" si="308"/>
        <v>0</v>
      </c>
      <c r="AD660" s="52">
        <f t="shared" si="308"/>
        <v>0</v>
      </c>
      <c r="AE660" s="52">
        <f t="shared" si="308"/>
        <v>0</v>
      </c>
      <c r="AF660" s="52">
        <f t="shared" si="308"/>
        <v>0</v>
      </c>
      <c r="AG660" s="52">
        <f t="shared" si="308"/>
        <v>0</v>
      </c>
      <c r="AH660" s="52">
        <f t="shared" si="308"/>
        <v>0</v>
      </c>
      <c r="AI660" s="52">
        <f t="shared" si="308"/>
        <v>0</v>
      </c>
      <c r="AJ660" s="52">
        <f t="shared" si="308"/>
        <v>0</v>
      </c>
      <c r="AK660" s="52">
        <f t="shared" si="308"/>
        <v>0</v>
      </c>
      <c r="AL660" s="52">
        <f t="shared" si="308"/>
        <v>0</v>
      </c>
      <c r="AM660" s="52">
        <f t="shared" si="308"/>
        <v>0</v>
      </c>
      <c r="AN660" s="52">
        <f t="shared" si="308"/>
        <v>0</v>
      </c>
      <c r="AO660" s="52">
        <f t="shared" si="305"/>
        <v>0</v>
      </c>
      <c r="AP660" s="52">
        <f t="shared" si="305"/>
        <v>0</v>
      </c>
      <c r="AQ660" s="52">
        <f t="shared" si="305"/>
        <v>0</v>
      </c>
      <c r="AR660" s="52">
        <f t="shared" si="305"/>
        <v>0</v>
      </c>
      <c r="AS660" s="52">
        <f t="shared" si="305"/>
        <v>0</v>
      </c>
      <c r="AT660" s="52">
        <f t="shared" si="305"/>
        <v>0</v>
      </c>
      <c r="AU660" s="52">
        <f t="shared" si="305"/>
        <v>0</v>
      </c>
      <c r="AV660" s="52">
        <f t="shared" si="305"/>
        <v>0</v>
      </c>
      <c r="AW660" s="52">
        <f t="shared" si="305"/>
        <v>0</v>
      </c>
      <c r="AX660" s="52">
        <f t="shared" si="305"/>
        <v>0</v>
      </c>
      <c r="AY660" s="52">
        <f t="shared" si="305"/>
        <v>0</v>
      </c>
      <c r="AZ660" s="52">
        <f t="shared" si="305"/>
        <v>0</v>
      </c>
      <c r="BA660" s="52">
        <f t="shared" si="305"/>
        <v>0</v>
      </c>
      <c r="BB660" s="52">
        <f t="shared" si="305"/>
        <v>0</v>
      </c>
      <c r="BC660" s="52">
        <f t="shared" si="305"/>
        <v>0</v>
      </c>
      <c r="BD660" s="52">
        <f t="shared" si="305"/>
        <v>1</v>
      </c>
      <c r="BE660" s="52">
        <f t="shared" si="305"/>
        <v>1</v>
      </c>
      <c r="BF660" s="52">
        <f t="shared" si="305"/>
        <v>1</v>
      </c>
      <c r="BG660" s="52">
        <f t="shared" si="306"/>
        <v>1</v>
      </c>
      <c r="BH660" s="52">
        <f t="shared" si="306"/>
        <v>1</v>
      </c>
      <c r="BI660" s="52">
        <f t="shared" si="306"/>
        <v>1</v>
      </c>
      <c r="BJ660" s="52">
        <f t="shared" si="306"/>
        <v>1</v>
      </c>
      <c r="BK660" s="52">
        <f t="shared" si="306"/>
        <v>1</v>
      </c>
      <c r="BL660" s="52">
        <f t="shared" si="306"/>
        <v>1</v>
      </c>
      <c r="BM660" s="52">
        <f t="shared" si="306"/>
        <v>1</v>
      </c>
      <c r="BN660" s="52">
        <f t="shared" si="306"/>
        <v>1</v>
      </c>
      <c r="BO660" s="32">
        <f t="shared" si="301"/>
        <v>0.1864406779661017</v>
      </c>
    </row>
    <row r="661" spans="1:67" x14ac:dyDescent="0.2">
      <c r="A661" s="50" t="s">
        <v>1330</v>
      </c>
      <c r="B661" s="50" t="s">
        <v>1331</v>
      </c>
      <c r="C661" s="50" t="s">
        <v>58</v>
      </c>
      <c r="D661" s="51">
        <f>VLOOKUP(A661,'[1]Cuadro Control'!C706:J2591,8,FALSE)</f>
        <v>1212623361.2117648</v>
      </c>
      <c r="E661" s="52">
        <f t="shared" si="303"/>
        <v>0.22841447185013161</v>
      </c>
      <c r="F661" s="53">
        <v>46549</v>
      </c>
      <c r="G661" s="53">
        <v>46564</v>
      </c>
      <c r="H661" s="52">
        <f t="shared" si="307"/>
        <v>0</v>
      </c>
      <c r="I661" s="52">
        <f t="shared" si="307"/>
        <v>0</v>
      </c>
      <c r="J661" s="52">
        <f t="shared" si="307"/>
        <v>0</v>
      </c>
      <c r="K661" s="52">
        <f t="shared" si="307"/>
        <v>0</v>
      </c>
      <c r="L661" s="52">
        <f t="shared" si="307"/>
        <v>0</v>
      </c>
      <c r="M661" s="52">
        <f t="shared" si="307"/>
        <v>0</v>
      </c>
      <c r="N661" s="52">
        <f t="shared" si="307"/>
        <v>0</v>
      </c>
      <c r="O661" s="52">
        <f t="shared" si="307"/>
        <v>0</v>
      </c>
      <c r="P661" s="52">
        <f t="shared" si="307"/>
        <v>0</v>
      </c>
      <c r="Q661" s="52">
        <f t="shared" si="307"/>
        <v>0</v>
      </c>
      <c r="R661" s="52">
        <f t="shared" si="307"/>
        <v>0</v>
      </c>
      <c r="S661" s="52">
        <f t="shared" si="307"/>
        <v>0</v>
      </c>
      <c r="T661" s="52">
        <f t="shared" si="307"/>
        <v>0</v>
      </c>
      <c r="U661" s="52">
        <f t="shared" si="307"/>
        <v>0</v>
      </c>
      <c r="V661" s="52">
        <f t="shared" si="307"/>
        <v>0</v>
      </c>
      <c r="W661" s="52">
        <f t="shared" si="307"/>
        <v>0</v>
      </c>
      <c r="X661" s="52">
        <f t="shared" si="308"/>
        <v>0</v>
      </c>
      <c r="Y661" s="52">
        <f t="shared" si="308"/>
        <v>0</v>
      </c>
      <c r="Z661" s="52">
        <f t="shared" si="308"/>
        <v>0</v>
      </c>
      <c r="AA661" s="52">
        <f t="shared" si="308"/>
        <v>0</v>
      </c>
      <c r="AB661" s="52">
        <f t="shared" si="308"/>
        <v>0</v>
      </c>
      <c r="AC661" s="52">
        <f t="shared" si="308"/>
        <v>0</v>
      </c>
      <c r="AD661" s="52">
        <f t="shared" si="308"/>
        <v>0</v>
      </c>
      <c r="AE661" s="52">
        <f t="shared" si="308"/>
        <v>0</v>
      </c>
      <c r="AF661" s="52">
        <f t="shared" si="308"/>
        <v>0</v>
      </c>
      <c r="AG661" s="52">
        <f t="shared" si="308"/>
        <v>0</v>
      </c>
      <c r="AH661" s="52">
        <f t="shared" si="308"/>
        <v>0</v>
      </c>
      <c r="AI661" s="52">
        <f t="shared" si="308"/>
        <v>0</v>
      </c>
      <c r="AJ661" s="52">
        <f t="shared" si="308"/>
        <v>0</v>
      </c>
      <c r="AK661" s="52">
        <f t="shared" si="308"/>
        <v>0</v>
      </c>
      <c r="AL661" s="52">
        <f t="shared" si="308"/>
        <v>0</v>
      </c>
      <c r="AM661" s="52">
        <f t="shared" si="308"/>
        <v>0</v>
      </c>
      <c r="AN661" s="52">
        <f t="shared" si="308"/>
        <v>0</v>
      </c>
      <c r="AO661" s="52">
        <f t="shared" si="305"/>
        <v>0</v>
      </c>
      <c r="AP661" s="52">
        <f t="shared" si="305"/>
        <v>0</v>
      </c>
      <c r="AQ661" s="52">
        <f t="shared" si="305"/>
        <v>0</v>
      </c>
      <c r="AR661" s="52">
        <f t="shared" si="305"/>
        <v>0</v>
      </c>
      <c r="AS661" s="52">
        <f t="shared" si="305"/>
        <v>0</v>
      </c>
      <c r="AT661" s="52">
        <f t="shared" si="305"/>
        <v>0</v>
      </c>
      <c r="AU661" s="52">
        <f t="shared" si="305"/>
        <v>0</v>
      </c>
      <c r="AV661" s="52">
        <f t="shared" si="305"/>
        <v>0</v>
      </c>
      <c r="AW661" s="52">
        <f t="shared" si="305"/>
        <v>0</v>
      </c>
      <c r="AX661" s="52">
        <f t="shared" si="305"/>
        <v>0</v>
      </c>
      <c r="AY661" s="52">
        <f t="shared" si="305"/>
        <v>0</v>
      </c>
      <c r="AZ661" s="52">
        <f t="shared" si="305"/>
        <v>0</v>
      </c>
      <c r="BA661" s="52">
        <f t="shared" si="305"/>
        <v>0</v>
      </c>
      <c r="BB661" s="52">
        <f t="shared" si="305"/>
        <v>0</v>
      </c>
      <c r="BC661" s="52">
        <f t="shared" si="305"/>
        <v>0</v>
      </c>
      <c r="BD661" s="52">
        <f t="shared" si="305"/>
        <v>6.25E-2</v>
      </c>
      <c r="BE661" s="52">
        <f t="shared" si="305"/>
        <v>0.5</v>
      </c>
      <c r="BF661" s="52">
        <f t="shared" si="305"/>
        <v>0.9375</v>
      </c>
      <c r="BG661" s="52">
        <f t="shared" si="306"/>
        <v>1</v>
      </c>
      <c r="BH661" s="52">
        <f t="shared" si="306"/>
        <v>1</v>
      </c>
      <c r="BI661" s="52">
        <f t="shared" si="306"/>
        <v>1</v>
      </c>
      <c r="BJ661" s="52">
        <f t="shared" si="306"/>
        <v>1</v>
      </c>
      <c r="BK661" s="52">
        <f t="shared" si="306"/>
        <v>1</v>
      </c>
      <c r="BL661" s="52">
        <f t="shared" si="306"/>
        <v>1</v>
      </c>
      <c r="BM661" s="52">
        <f t="shared" si="306"/>
        <v>1</v>
      </c>
      <c r="BN661" s="52">
        <f t="shared" si="306"/>
        <v>1</v>
      </c>
      <c r="BO661" s="32">
        <f t="shared" si="301"/>
        <v>0.16101694915254236</v>
      </c>
    </row>
    <row r="662" spans="1:67" x14ac:dyDescent="0.2">
      <c r="A662" s="50" t="s">
        <v>1332</v>
      </c>
      <c r="B662" s="50" t="s">
        <v>1333</v>
      </c>
      <c r="C662" s="50" t="s">
        <v>126</v>
      </c>
      <c r="D662" s="51">
        <f>VLOOKUP(A662,'[1]Cuadro Control'!C707:J2592,8,FALSE)</f>
        <v>0</v>
      </c>
      <c r="E662" s="52">
        <f t="shared" si="303"/>
        <v>0</v>
      </c>
      <c r="F662" s="53">
        <v>46566</v>
      </c>
      <c r="G662" s="53">
        <v>46568</v>
      </c>
      <c r="H662" s="52">
        <f t="shared" si="307"/>
        <v>0</v>
      </c>
      <c r="I662" s="52">
        <f t="shared" si="307"/>
        <v>0</v>
      </c>
      <c r="J662" s="52">
        <f t="shared" si="307"/>
        <v>0</v>
      </c>
      <c r="K662" s="52">
        <f t="shared" si="307"/>
        <v>0</v>
      </c>
      <c r="L662" s="52">
        <f t="shared" si="307"/>
        <v>0</v>
      </c>
      <c r="M662" s="52">
        <f t="shared" si="307"/>
        <v>0</v>
      </c>
      <c r="N662" s="52">
        <f t="shared" si="307"/>
        <v>0</v>
      </c>
      <c r="O662" s="52">
        <f t="shared" si="307"/>
        <v>0</v>
      </c>
      <c r="P662" s="52">
        <f t="shared" si="307"/>
        <v>0</v>
      </c>
      <c r="Q662" s="52">
        <f t="shared" si="307"/>
        <v>0</v>
      </c>
      <c r="R662" s="52">
        <f t="shared" si="307"/>
        <v>0</v>
      </c>
      <c r="S662" s="52">
        <f t="shared" si="307"/>
        <v>0</v>
      </c>
      <c r="T662" s="52">
        <f t="shared" si="307"/>
        <v>0</v>
      </c>
      <c r="U662" s="52">
        <f t="shared" si="307"/>
        <v>0</v>
      </c>
      <c r="V662" s="52">
        <f t="shared" si="307"/>
        <v>0</v>
      </c>
      <c r="W662" s="52">
        <f t="shared" si="307"/>
        <v>0</v>
      </c>
      <c r="X662" s="52">
        <f t="shared" si="308"/>
        <v>0</v>
      </c>
      <c r="Y662" s="52">
        <f t="shared" si="308"/>
        <v>0</v>
      </c>
      <c r="Z662" s="52">
        <f t="shared" si="308"/>
        <v>0</v>
      </c>
      <c r="AA662" s="52">
        <f t="shared" si="308"/>
        <v>0</v>
      </c>
      <c r="AB662" s="52">
        <f t="shared" si="308"/>
        <v>0</v>
      </c>
      <c r="AC662" s="52">
        <f t="shared" si="308"/>
        <v>0</v>
      </c>
      <c r="AD662" s="52">
        <f t="shared" si="308"/>
        <v>0</v>
      </c>
      <c r="AE662" s="52">
        <f t="shared" si="308"/>
        <v>0</v>
      </c>
      <c r="AF662" s="52">
        <f t="shared" si="308"/>
        <v>0</v>
      </c>
      <c r="AG662" s="52">
        <f t="shared" si="308"/>
        <v>0</v>
      </c>
      <c r="AH662" s="52">
        <f t="shared" si="308"/>
        <v>0</v>
      </c>
      <c r="AI662" s="52">
        <f t="shared" si="308"/>
        <v>0</v>
      </c>
      <c r="AJ662" s="52">
        <f t="shared" si="308"/>
        <v>0</v>
      </c>
      <c r="AK662" s="52">
        <f t="shared" si="308"/>
        <v>0</v>
      </c>
      <c r="AL662" s="52">
        <f t="shared" si="308"/>
        <v>0</v>
      </c>
      <c r="AM662" s="52">
        <f t="shared" si="308"/>
        <v>0</v>
      </c>
      <c r="AN662" s="52">
        <f t="shared" si="308"/>
        <v>0</v>
      </c>
      <c r="AO662" s="52">
        <f t="shared" si="305"/>
        <v>0</v>
      </c>
      <c r="AP662" s="52">
        <f t="shared" si="305"/>
        <v>0</v>
      </c>
      <c r="AQ662" s="52">
        <f t="shared" si="305"/>
        <v>0</v>
      </c>
      <c r="AR662" s="52">
        <f t="shared" si="305"/>
        <v>0</v>
      </c>
      <c r="AS662" s="52">
        <f t="shared" si="305"/>
        <v>0</v>
      </c>
      <c r="AT662" s="52">
        <f t="shared" si="305"/>
        <v>0</v>
      </c>
      <c r="AU662" s="52">
        <f t="shared" si="305"/>
        <v>0</v>
      </c>
      <c r="AV662" s="52">
        <f t="shared" si="305"/>
        <v>0</v>
      </c>
      <c r="AW662" s="52">
        <f t="shared" si="305"/>
        <v>0</v>
      </c>
      <c r="AX662" s="52">
        <f t="shared" si="305"/>
        <v>0</v>
      </c>
      <c r="AY662" s="52">
        <f t="shared" si="305"/>
        <v>0</v>
      </c>
      <c r="AZ662" s="52">
        <f t="shared" si="305"/>
        <v>0</v>
      </c>
      <c r="BA662" s="52">
        <f t="shared" si="305"/>
        <v>0</v>
      </c>
      <c r="BB662" s="52">
        <f t="shared" si="305"/>
        <v>0</v>
      </c>
      <c r="BC662" s="52">
        <f t="shared" si="305"/>
        <v>0</v>
      </c>
      <c r="BD662" s="52">
        <f t="shared" si="305"/>
        <v>0</v>
      </c>
      <c r="BE662" s="52">
        <f t="shared" si="305"/>
        <v>0</v>
      </c>
      <c r="BF662" s="52">
        <f t="shared" si="305"/>
        <v>0</v>
      </c>
      <c r="BG662" s="52">
        <f t="shared" si="306"/>
        <v>1</v>
      </c>
      <c r="BH662" s="52">
        <f t="shared" si="306"/>
        <v>1</v>
      </c>
      <c r="BI662" s="52">
        <f t="shared" si="306"/>
        <v>1</v>
      </c>
      <c r="BJ662" s="52">
        <f t="shared" si="306"/>
        <v>1</v>
      </c>
      <c r="BK662" s="52">
        <f t="shared" si="306"/>
        <v>1</v>
      </c>
      <c r="BL662" s="52">
        <f t="shared" si="306"/>
        <v>1</v>
      </c>
      <c r="BM662" s="52">
        <f t="shared" si="306"/>
        <v>1</v>
      </c>
      <c r="BN662" s="52">
        <f t="shared" si="306"/>
        <v>1</v>
      </c>
      <c r="BO662" s="32">
        <f t="shared" si="301"/>
        <v>0.13559322033898305</v>
      </c>
    </row>
    <row r="663" spans="1:67" ht="24" x14ac:dyDescent="0.2">
      <c r="A663" s="55" t="s">
        <v>1334</v>
      </c>
      <c r="B663" s="55" t="s">
        <v>1335</v>
      </c>
      <c r="C663" s="55" t="s">
        <v>14</v>
      </c>
      <c r="D663" s="56">
        <f>VLOOKUP(A663,'[1]Cuadro Control'!C708:J2593,8,FALSE)</f>
        <v>0</v>
      </c>
      <c r="E663" s="57">
        <f t="shared" si="303"/>
        <v>0</v>
      </c>
      <c r="F663" s="58">
        <v>46564</v>
      </c>
      <c r="G663" s="58">
        <v>46564</v>
      </c>
      <c r="H663" s="57">
        <f t="shared" si="307"/>
        <v>0</v>
      </c>
      <c r="I663" s="57">
        <f t="shared" si="307"/>
        <v>0</v>
      </c>
      <c r="J663" s="57">
        <f t="shared" si="307"/>
        <v>0</v>
      </c>
      <c r="K663" s="57">
        <f t="shared" si="307"/>
        <v>0</v>
      </c>
      <c r="L663" s="57">
        <f t="shared" si="307"/>
        <v>0</v>
      </c>
      <c r="M663" s="57">
        <f t="shared" si="307"/>
        <v>0</v>
      </c>
      <c r="N663" s="57">
        <f t="shared" si="307"/>
        <v>0</v>
      </c>
      <c r="O663" s="57">
        <f t="shared" si="307"/>
        <v>0</v>
      </c>
      <c r="P663" s="57">
        <f t="shared" si="307"/>
        <v>0</v>
      </c>
      <c r="Q663" s="57">
        <f t="shared" si="307"/>
        <v>0</v>
      </c>
      <c r="R663" s="57">
        <f t="shared" si="307"/>
        <v>0</v>
      </c>
      <c r="S663" s="57">
        <f t="shared" si="307"/>
        <v>0</v>
      </c>
      <c r="T663" s="57">
        <f t="shared" si="307"/>
        <v>0</v>
      </c>
      <c r="U663" s="57">
        <f t="shared" si="307"/>
        <v>0</v>
      </c>
      <c r="V663" s="57">
        <f t="shared" si="307"/>
        <v>0</v>
      </c>
      <c r="W663" s="57">
        <f t="shared" si="307"/>
        <v>0</v>
      </c>
      <c r="X663" s="57">
        <f t="shared" si="308"/>
        <v>0</v>
      </c>
      <c r="Y663" s="57">
        <f t="shared" si="308"/>
        <v>0</v>
      </c>
      <c r="Z663" s="57">
        <f t="shared" si="308"/>
        <v>0</v>
      </c>
      <c r="AA663" s="57">
        <f t="shared" si="308"/>
        <v>0</v>
      </c>
      <c r="AB663" s="57">
        <f t="shared" si="308"/>
        <v>0</v>
      </c>
      <c r="AC663" s="57">
        <f t="shared" si="308"/>
        <v>0</v>
      </c>
      <c r="AD663" s="57">
        <f t="shared" si="308"/>
        <v>0</v>
      </c>
      <c r="AE663" s="57">
        <f t="shared" si="308"/>
        <v>0</v>
      </c>
      <c r="AF663" s="57">
        <f t="shared" si="308"/>
        <v>0</v>
      </c>
      <c r="AG663" s="57">
        <f t="shared" si="308"/>
        <v>0</v>
      </c>
      <c r="AH663" s="57">
        <f t="shared" si="308"/>
        <v>0</v>
      </c>
      <c r="AI663" s="57">
        <f t="shared" si="308"/>
        <v>0</v>
      </c>
      <c r="AJ663" s="57">
        <f t="shared" si="308"/>
        <v>0</v>
      </c>
      <c r="AK663" s="57">
        <f t="shared" si="308"/>
        <v>0</v>
      </c>
      <c r="AL663" s="57">
        <f t="shared" si="308"/>
        <v>0</v>
      </c>
      <c r="AM663" s="57">
        <f t="shared" si="308"/>
        <v>0</v>
      </c>
      <c r="AN663" s="57">
        <f t="shared" si="308"/>
        <v>0</v>
      </c>
      <c r="AO663" s="57">
        <f t="shared" si="305"/>
        <v>0</v>
      </c>
      <c r="AP663" s="57">
        <f t="shared" si="305"/>
        <v>0</v>
      </c>
      <c r="AQ663" s="57">
        <f t="shared" si="305"/>
        <v>0</v>
      </c>
      <c r="AR663" s="57">
        <f t="shared" si="305"/>
        <v>0</v>
      </c>
      <c r="AS663" s="57">
        <f t="shared" si="305"/>
        <v>0</v>
      </c>
      <c r="AT663" s="57">
        <f t="shared" si="305"/>
        <v>0</v>
      </c>
      <c r="AU663" s="57">
        <f t="shared" si="305"/>
        <v>0</v>
      </c>
      <c r="AV663" s="57">
        <f t="shared" si="305"/>
        <v>0</v>
      </c>
      <c r="AW663" s="57">
        <f t="shared" si="305"/>
        <v>0</v>
      </c>
      <c r="AX663" s="57">
        <f t="shared" si="305"/>
        <v>0</v>
      </c>
      <c r="AY663" s="57">
        <f t="shared" si="305"/>
        <v>0</v>
      </c>
      <c r="AZ663" s="57">
        <f t="shared" si="305"/>
        <v>0</v>
      </c>
      <c r="BA663" s="57">
        <f t="shared" si="305"/>
        <v>0</v>
      </c>
      <c r="BB663" s="57">
        <f t="shared" si="305"/>
        <v>0</v>
      </c>
      <c r="BC663" s="57">
        <f t="shared" si="305"/>
        <v>0</v>
      </c>
      <c r="BD663" s="57">
        <f t="shared" si="305"/>
        <v>0</v>
      </c>
      <c r="BE663" s="57">
        <f t="shared" si="305"/>
        <v>0</v>
      </c>
      <c r="BF663" s="57">
        <f t="shared" si="305"/>
        <v>0</v>
      </c>
      <c r="BG663" s="57">
        <f t="shared" si="306"/>
        <v>1</v>
      </c>
      <c r="BH663" s="57">
        <f t="shared" si="306"/>
        <v>1</v>
      </c>
      <c r="BI663" s="57">
        <f t="shared" si="306"/>
        <v>1</v>
      </c>
      <c r="BJ663" s="57">
        <f t="shared" si="306"/>
        <v>1</v>
      </c>
      <c r="BK663" s="57">
        <f t="shared" si="306"/>
        <v>1</v>
      </c>
      <c r="BL663" s="57">
        <f t="shared" si="306"/>
        <v>1</v>
      </c>
      <c r="BM663" s="57">
        <f t="shared" si="306"/>
        <v>1</v>
      </c>
      <c r="BN663" s="57">
        <f t="shared" si="306"/>
        <v>1</v>
      </c>
      <c r="BO663" s="32">
        <f t="shared" si="301"/>
        <v>0.13559322033898305</v>
      </c>
    </row>
    <row r="664" spans="1:67" x14ac:dyDescent="0.2">
      <c r="A664" s="50" t="s">
        <v>1336</v>
      </c>
      <c r="B664" s="50" t="s">
        <v>1337</v>
      </c>
      <c r="C664" s="50" t="s">
        <v>111</v>
      </c>
      <c r="D664" s="51">
        <f>VLOOKUP(A664,'[1]Cuadro Control'!C709:J2594,8,FALSE)</f>
        <v>1230815225.9452939</v>
      </c>
      <c r="E664" s="52">
        <f t="shared" si="303"/>
        <v>0.2318411625341423</v>
      </c>
      <c r="F664" s="53">
        <v>46568</v>
      </c>
      <c r="G664" s="53">
        <v>46569</v>
      </c>
      <c r="H664" s="52">
        <f t="shared" si="307"/>
        <v>0</v>
      </c>
      <c r="I664" s="52">
        <f t="shared" si="307"/>
        <v>0</v>
      </c>
      <c r="J664" s="52">
        <f t="shared" si="307"/>
        <v>0</v>
      </c>
      <c r="K664" s="52">
        <f t="shared" si="307"/>
        <v>0</v>
      </c>
      <c r="L664" s="52">
        <f t="shared" si="307"/>
        <v>0</v>
      </c>
      <c r="M664" s="52">
        <f t="shared" si="307"/>
        <v>0</v>
      </c>
      <c r="N664" s="52">
        <f t="shared" si="307"/>
        <v>0</v>
      </c>
      <c r="O664" s="52">
        <f t="shared" si="307"/>
        <v>0</v>
      </c>
      <c r="P664" s="52">
        <f t="shared" si="307"/>
        <v>0</v>
      </c>
      <c r="Q664" s="52">
        <f t="shared" si="307"/>
        <v>0</v>
      </c>
      <c r="R664" s="52">
        <f t="shared" si="307"/>
        <v>0</v>
      </c>
      <c r="S664" s="52">
        <f t="shared" si="307"/>
        <v>0</v>
      </c>
      <c r="T664" s="52">
        <f t="shared" si="307"/>
        <v>0</v>
      </c>
      <c r="U664" s="52">
        <f t="shared" si="307"/>
        <v>0</v>
      </c>
      <c r="V664" s="52">
        <f t="shared" si="307"/>
        <v>0</v>
      </c>
      <c r="W664" s="52">
        <f t="shared" si="307"/>
        <v>0</v>
      </c>
      <c r="X664" s="52">
        <f t="shared" si="308"/>
        <v>0</v>
      </c>
      <c r="Y664" s="52">
        <f t="shared" si="308"/>
        <v>0</v>
      </c>
      <c r="Z664" s="52">
        <f t="shared" si="308"/>
        <v>0</v>
      </c>
      <c r="AA664" s="52">
        <f t="shared" si="308"/>
        <v>0</v>
      </c>
      <c r="AB664" s="52">
        <f t="shared" si="308"/>
        <v>0</v>
      </c>
      <c r="AC664" s="52">
        <f t="shared" si="308"/>
        <v>0</v>
      </c>
      <c r="AD664" s="52">
        <f t="shared" si="308"/>
        <v>0</v>
      </c>
      <c r="AE664" s="52">
        <f t="shared" si="308"/>
        <v>0</v>
      </c>
      <c r="AF664" s="52">
        <f t="shared" si="308"/>
        <v>0</v>
      </c>
      <c r="AG664" s="52">
        <f t="shared" si="308"/>
        <v>0</v>
      </c>
      <c r="AH664" s="52">
        <f t="shared" si="308"/>
        <v>0</v>
      </c>
      <c r="AI664" s="52">
        <f t="shared" si="308"/>
        <v>0</v>
      </c>
      <c r="AJ664" s="52">
        <f t="shared" si="308"/>
        <v>0</v>
      </c>
      <c r="AK664" s="52">
        <f t="shared" si="308"/>
        <v>0</v>
      </c>
      <c r="AL664" s="52">
        <f t="shared" si="308"/>
        <v>0</v>
      </c>
      <c r="AM664" s="52">
        <f t="shared" si="308"/>
        <v>0</v>
      </c>
      <c r="AN664" s="52">
        <f t="shared" si="308"/>
        <v>0</v>
      </c>
      <c r="AO664" s="52">
        <f t="shared" si="305"/>
        <v>0</v>
      </c>
      <c r="AP664" s="52">
        <f t="shared" si="305"/>
        <v>0</v>
      </c>
      <c r="AQ664" s="52">
        <f t="shared" si="305"/>
        <v>0</v>
      </c>
      <c r="AR664" s="52">
        <f t="shared" si="305"/>
        <v>0</v>
      </c>
      <c r="AS664" s="52">
        <f t="shared" si="305"/>
        <v>0</v>
      </c>
      <c r="AT664" s="52">
        <f t="shared" si="305"/>
        <v>0</v>
      </c>
      <c r="AU664" s="52">
        <f t="shared" si="305"/>
        <v>0</v>
      </c>
      <c r="AV664" s="52">
        <f t="shared" si="305"/>
        <v>0</v>
      </c>
      <c r="AW664" s="52">
        <f t="shared" si="305"/>
        <v>0</v>
      </c>
      <c r="AX664" s="52">
        <f t="shared" si="305"/>
        <v>0</v>
      </c>
      <c r="AY664" s="52">
        <f t="shared" si="305"/>
        <v>0</v>
      </c>
      <c r="AZ664" s="52">
        <f t="shared" si="305"/>
        <v>0</v>
      </c>
      <c r="BA664" s="52">
        <f t="shared" si="305"/>
        <v>0</v>
      </c>
      <c r="BB664" s="52">
        <f t="shared" si="305"/>
        <v>0</v>
      </c>
      <c r="BC664" s="52">
        <f t="shared" si="305"/>
        <v>0</v>
      </c>
      <c r="BD664" s="52">
        <f t="shared" si="305"/>
        <v>0</v>
      </c>
      <c r="BE664" s="52">
        <f t="shared" si="305"/>
        <v>0</v>
      </c>
      <c r="BF664" s="52">
        <f t="shared" si="305"/>
        <v>0</v>
      </c>
      <c r="BG664" s="52">
        <f t="shared" si="306"/>
        <v>1</v>
      </c>
      <c r="BH664" s="52">
        <f t="shared" si="306"/>
        <v>1</v>
      </c>
      <c r="BI664" s="52">
        <f t="shared" si="306"/>
        <v>1</v>
      </c>
      <c r="BJ664" s="52">
        <f t="shared" si="306"/>
        <v>1</v>
      </c>
      <c r="BK664" s="52">
        <f t="shared" si="306"/>
        <v>1</v>
      </c>
      <c r="BL664" s="52">
        <f t="shared" si="306"/>
        <v>1</v>
      </c>
      <c r="BM664" s="52">
        <f t="shared" si="306"/>
        <v>1</v>
      </c>
      <c r="BN664" s="52">
        <f t="shared" si="306"/>
        <v>1</v>
      </c>
      <c r="BO664" s="32">
        <f t="shared" si="301"/>
        <v>0.13559322033898305</v>
      </c>
    </row>
    <row r="665" spans="1:67" x14ac:dyDescent="0.2">
      <c r="A665" s="50" t="s">
        <v>1338</v>
      </c>
      <c r="B665" s="50" t="s">
        <v>1339</v>
      </c>
      <c r="C665" s="50" t="s">
        <v>238</v>
      </c>
      <c r="D665" s="51">
        <f>VLOOKUP(A665,'[1]Cuadro Control'!C710:J2595,8,FALSE)</f>
        <v>0</v>
      </c>
      <c r="E665" s="52">
        <f t="shared" si="303"/>
        <v>0</v>
      </c>
      <c r="F665" s="53">
        <v>46569</v>
      </c>
      <c r="G665" s="53">
        <v>46577</v>
      </c>
      <c r="H665" s="52">
        <f t="shared" si="307"/>
        <v>0</v>
      </c>
      <c r="I665" s="52">
        <f t="shared" si="307"/>
        <v>0</v>
      </c>
      <c r="J665" s="52">
        <f t="shared" si="307"/>
        <v>0</v>
      </c>
      <c r="K665" s="52">
        <f t="shared" si="307"/>
        <v>0</v>
      </c>
      <c r="L665" s="52">
        <f t="shared" si="307"/>
        <v>0</v>
      </c>
      <c r="M665" s="52">
        <f t="shared" si="307"/>
        <v>0</v>
      </c>
      <c r="N665" s="52">
        <f t="shared" si="307"/>
        <v>0</v>
      </c>
      <c r="O665" s="52">
        <f t="shared" si="307"/>
        <v>0</v>
      </c>
      <c r="P665" s="52">
        <f t="shared" si="307"/>
        <v>0</v>
      </c>
      <c r="Q665" s="52">
        <f t="shared" si="307"/>
        <v>0</v>
      </c>
      <c r="R665" s="52">
        <f t="shared" si="307"/>
        <v>0</v>
      </c>
      <c r="S665" s="52">
        <f t="shared" si="307"/>
        <v>0</v>
      </c>
      <c r="T665" s="52">
        <f t="shared" si="307"/>
        <v>0</v>
      </c>
      <c r="U665" s="52">
        <f t="shared" si="307"/>
        <v>0</v>
      </c>
      <c r="V665" s="52">
        <f t="shared" si="307"/>
        <v>0</v>
      </c>
      <c r="W665" s="52">
        <f t="shared" si="307"/>
        <v>0</v>
      </c>
      <c r="X665" s="52">
        <f t="shared" si="308"/>
        <v>0</v>
      </c>
      <c r="Y665" s="52">
        <f t="shared" si="308"/>
        <v>0</v>
      </c>
      <c r="Z665" s="52">
        <f t="shared" si="308"/>
        <v>0</v>
      </c>
      <c r="AA665" s="52">
        <f t="shared" si="308"/>
        <v>0</v>
      </c>
      <c r="AB665" s="52">
        <f t="shared" si="308"/>
        <v>0</v>
      </c>
      <c r="AC665" s="52">
        <f t="shared" si="308"/>
        <v>0</v>
      </c>
      <c r="AD665" s="52">
        <f t="shared" si="308"/>
        <v>0</v>
      </c>
      <c r="AE665" s="52">
        <f t="shared" si="308"/>
        <v>0</v>
      </c>
      <c r="AF665" s="52">
        <f t="shared" si="308"/>
        <v>0</v>
      </c>
      <c r="AG665" s="52">
        <f t="shared" si="308"/>
        <v>0</v>
      </c>
      <c r="AH665" s="52">
        <f t="shared" si="308"/>
        <v>0</v>
      </c>
      <c r="AI665" s="52">
        <f t="shared" si="308"/>
        <v>0</v>
      </c>
      <c r="AJ665" s="52">
        <f t="shared" si="308"/>
        <v>0</v>
      </c>
      <c r="AK665" s="52">
        <f t="shared" si="308"/>
        <v>0</v>
      </c>
      <c r="AL665" s="52">
        <f t="shared" si="308"/>
        <v>0</v>
      </c>
      <c r="AM665" s="52">
        <f t="shared" si="308"/>
        <v>0</v>
      </c>
      <c r="AN665" s="52">
        <f t="shared" si="308"/>
        <v>0</v>
      </c>
      <c r="AO665" s="52">
        <f t="shared" si="305"/>
        <v>0</v>
      </c>
      <c r="AP665" s="52">
        <f t="shared" si="305"/>
        <v>0</v>
      </c>
      <c r="AQ665" s="52">
        <f t="shared" si="305"/>
        <v>0</v>
      </c>
      <c r="AR665" s="52">
        <f t="shared" si="305"/>
        <v>0</v>
      </c>
      <c r="AS665" s="52">
        <f t="shared" si="305"/>
        <v>0</v>
      </c>
      <c r="AT665" s="52">
        <f t="shared" si="305"/>
        <v>0</v>
      </c>
      <c r="AU665" s="52">
        <f t="shared" si="305"/>
        <v>0</v>
      </c>
      <c r="AV665" s="52">
        <f t="shared" si="305"/>
        <v>0</v>
      </c>
      <c r="AW665" s="52">
        <f t="shared" si="305"/>
        <v>0</v>
      </c>
      <c r="AX665" s="52">
        <f t="shared" si="305"/>
        <v>0</v>
      </c>
      <c r="AY665" s="52">
        <f t="shared" si="305"/>
        <v>0</v>
      </c>
      <c r="AZ665" s="52">
        <f t="shared" si="305"/>
        <v>0</v>
      </c>
      <c r="BA665" s="52">
        <f t="shared" si="305"/>
        <v>0</v>
      </c>
      <c r="BB665" s="52">
        <f t="shared" si="305"/>
        <v>0</v>
      </c>
      <c r="BC665" s="52">
        <f t="shared" si="305"/>
        <v>0</v>
      </c>
      <c r="BD665" s="52">
        <f t="shared" si="305"/>
        <v>0</v>
      </c>
      <c r="BE665" s="52">
        <f t="shared" si="305"/>
        <v>0</v>
      </c>
      <c r="BF665" s="52">
        <f t="shared" si="305"/>
        <v>0</v>
      </c>
      <c r="BG665" s="52">
        <f t="shared" si="306"/>
        <v>0.22222222222222221</v>
      </c>
      <c r="BH665" s="52">
        <f t="shared" si="306"/>
        <v>1</v>
      </c>
      <c r="BI665" s="52">
        <f t="shared" si="306"/>
        <v>1</v>
      </c>
      <c r="BJ665" s="52">
        <f t="shared" si="306"/>
        <v>1</v>
      </c>
      <c r="BK665" s="52">
        <f t="shared" si="306"/>
        <v>1</v>
      </c>
      <c r="BL665" s="52">
        <f t="shared" si="306"/>
        <v>1</v>
      </c>
      <c r="BM665" s="52">
        <f t="shared" si="306"/>
        <v>1</v>
      </c>
      <c r="BN665" s="52">
        <f t="shared" si="306"/>
        <v>1</v>
      </c>
      <c r="BO665" s="32">
        <f t="shared" si="301"/>
        <v>0.1224105461393597</v>
      </c>
    </row>
    <row r="666" spans="1:67" ht="24" x14ac:dyDescent="0.2">
      <c r="A666" s="50" t="s">
        <v>1340</v>
      </c>
      <c r="B666" s="50" t="s">
        <v>1341</v>
      </c>
      <c r="C666" s="50" t="s">
        <v>126</v>
      </c>
      <c r="D666" s="51">
        <f>VLOOKUP(A666,'[1]Cuadro Control'!C711:J2596,8,FALSE)</f>
        <v>52736347.43270281</v>
      </c>
      <c r="E666" s="52">
        <f t="shared" si="303"/>
        <v>9.933624348213644E-3</v>
      </c>
      <c r="F666" s="53">
        <v>46577</v>
      </c>
      <c r="G666" s="53">
        <v>46582</v>
      </c>
      <c r="H666" s="52">
        <f t="shared" si="307"/>
        <v>0</v>
      </c>
      <c r="I666" s="52">
        <f t="shared" si="307"/>
        <v>0</v>
      </c>
      <c r="J666" s="52">
        <f t="shared" si="307"/>
        <v>0</v>
      </c>
      <c r="K666" s="52">
        <f t="shared" si="307"/>
        <v>0</v>
      </c>
      <c r="L666" s="52">
        <f t="shared" si="307"/>
        <v>0</v>
      </c>
      <c r="M666" s="52">
        <f t="shared" si="307"/>
        <v>0</v>
      </c>
      <c r="N666" s="52">
        <f t="shared" si="307"/>
        <v>0</v>
      </c>
      <c r="O666" s="52">
        <f t="shared" si="307"/>
        <v>0</v>
      </c>
      <c r="P666" s="52">
        <f t="shared" si="307"/>
        <v>0</v>
      </c>
      <c r="Q666" s="52">
        <f t="shared" si="307"/>
        <v>0</v>
      </c>
      <c r="R666" s="52">
        <f t="shared" si="307"/>
        <v>0</v>
      </c>
      <c r="S666" s="52">
        <f t="shared" si="307"/>
        <v>0</v>
      </c>
      <c r="T666" s="52">
        <f t="shared" si="307"/>
        <v>0</v>
      </c>
      <c r="U666" s="52">
        <f t="shared" si="307"/>
        <v>0</v>
      </c>
      <c r="V666" s="52">
        <f t="shared" si="307"/>
        <v>0</v>
      </c>
      <c r="W666" s="52">
        <f t="shared" si="307"/>
        <v>0</v>
      </c>
      <c r="X666" s="52">
        <f t="shared" si="308"/>
        <v>0</v>
      </c>
      <c r="Y666" s="52">
        <f t="shared" si="308"/>
        <v>0</v>
      </c>
      <c r="Z666" s="52">
        <f t="shared" si="308"/>
        <v>0</v>
      </c>
      <c r="AA666" s="52">
        <f t="shared" si="308"/>
        <v>0</v>
      </c>
      <c r="AB666" s="52">
        <f t="shared" si="308"/>
        <v>0</v>
      </c>
      <c r="AC666" s="52">
        <f t="shared" si="308"/>
        <v>0</v>
      </c>
      <c r="AD666" s="52">
        <f t="shared" si="308"/>
        <v>0</v>
      </c>
      <c r="AE666" s="52">
        <f t="shared" si="308"/>
        <v>0</v>
      </c>
      <c r="AF666" s="52">
        <f t="shared" si="308"/>
        <v>0</v>
      </c>
      <c r="AG666" s="52">
        <f t="shared" si="308"/>
        <v>0</v>
      </c>
      <c r="AH666" s="52">
        <f t="shared" si="308"/>
        <v>0</v>
      </c>
      <c r="AI666" s="52">
        <f t="shared" si="308"/>
        <v>0</v>
      </c>
      <c r="AJ666" s="52">
        <f t="shared" si="308"/>
        <v>0</v>
      </c>
      <c r="AK666" s="52">
        <f t="shared" si="308"/>
        <v>0</v>
      </c>
      <c r="AL666" s="52">
        <f t="shared" si="308"/>
        <v>0</v>
      </c>
      <c r="AM666" s="52">
        <f t="shared" si="308"/>
        <v>0</v>
      </c>
      <c r="AN666" s="52">
        <f t="shared" si="308"/>
        <v>0</v>
      </c>
      <c r="AO666" s="52">
        <f t="shared" si="305"/>
        <v>0</v>
      </c>
      <c r="AP666" s="52">
        <f t="shared" si="305"/>
        <v>0</v>
      </c>
      <c r="AQ666" s="52">
        <f t="shared" si="305"/>
        <v>0</v>
      </c>
      <c r="AR666" s="52">
        <f t="shared" si="305"/>
        <v>0</v>
      </c>
      <c r="AS666" s="52">
        <f t="shared" si="305"/>
        <v>0</v>
      </c>
      <c r="AT666" s="52">
        <f t="shared" si="305"/>
        <v>0</v>
      </c>
      <c r="AU666" s="52">
        <f t="shared" si="305"/>
        <v>0</v>
      </c>
      <c r="AV666" s="52">
        <f t="shared" si="305"/>
        <v>0</v>
      </c>
      <c r="AW666" s="52">
        <f t="shared" si="305"/>
        <v>0</v>
      </c>
      <c r="AX666" s="52">
        <f t="shared" si="305"/>
        <v>0</v>
      </c>
      <c r="AY666" s="52">
        <f t="shared" si="305"/>
        <v>0</v>
      </c>
      <c r="AZ666" s="52">
        <f t="shared" si="305"/>
        <v>0</v>
      </c>
      <c r="BA666" s="52">
        <f t="shared" si="305"/>
        <v>0</v>
      </c>
      <c r="BB666" s="52">
        <f t="shared" si="305"/>
        <v>0</v>
      </c>
      <c r="BC666" s="52">
        <f t="shared" si="305"/>
        <v>0</v>
      </c>
      <c r="BD666" s="52">
        <f t="shared" si="305"/>
        <v>0</v>
      </c>
      <c r="BE666" s="52">
        <f t="shared" si="305"/>
        <v>0</v>
      </c>
      <c r="BF666" s="52">
        <f t="shared" si="305"/>
        <v>0</v>
      </c>
      <c r="BG666" s="52">
        <f t="shared" si="306"/>
        <v>0</v>
      </c>
      <c r="BH666" s="52">
        <f t="shared" si="306"/>
        <v>0.16666666666666666</v>
      </c>
      <c r="BI666" s="52">
        <f t="shared" si="306"/>
        <v>1</v>
      </c>
      <c r="BJ666" s="52">
        <f t="shared" si="306"/>
        <v>1</v>
      </c>
      <c r="BK666" s="52">
        <f t="shared" si="306"/>
        <v>1</v>
      </c>
      <c r="BL666" s="52">
        <f t="shared" si="306"/>
        <v>1</v>
      </c>
      <c r="BM666" s="52">
        <f t="shared" si="306"/>
        <v>1</v>
      </c>
      <c r="BN666" s="52">
        <f t="shared" si="306"/>
        <v>1</v>
      </c>
      <c r="BO666" s="32">
        <f t="shared" si="301"/>
        <v>0.10451977401129944</v>
      </c>
    </row>
    <row r="667" spans="1:67" ht="24" x14ac:dyDescent="0.2">
      <c r="A667" s="50" t="s">
        <v>1342</v>
      </c>
      <c r="B667" s="50" t="s">
        <v>1343</v>
      </c>
      <c r="C667" s="50" t="s">
        <v>117</v>
      </c>
      <c r="D667" s="51">
        <f>VLOOKUP(A667,'[1]Cuadro Control'!C712:J2597,8,FALSE)</f>
        <v>46410609.014634147</v>
      </c>
      <c r="E667" s="52">
        <f t="shared" si="303"/>
        <v>8.742083556535862E-3</v>
      </c>
      <c r="F667" s="53">
        <v>46582</v>
      </c>
      <c r="G667" s="53">
        <v>46584</v>
      </c>
      <c r="H667" s="52">
        <f t="shared" si="307"/>
        <v>0</v>
      </c>
      <c r="I667" s="52">
        <f t="shared" si="307"/>
        <v>0</v>
      </c>
      <c r="J667" s="52">
        <f t="shared" si="307"/>
        <v>0</v>
      </c>
      <c r="K667" s="52">
        <f t="shared" si="307"/>
        <v>0</v>
      </c>
      <c r="L667" s="52">
        <f t="shared" si="307"/>
        <v>0</v>
      </c>
      <c r="M667" s="52">
        <f t="shared" si="307"/>
        <v>0</v>
      </c>
      <c r="N667" s="52">
        <f t="shared" si="307"/>
        <v>0</v>
      </c>
      <c r="O667" s="52">
        <f t="shared" si="307"/>
        <v>0</v>
      </c>
      <c r="P667" s="52">
        <f t="shared" si="307"/>
        <v>0</v>
      </c>
      <c r="Q667" s="52">
        <f t="shared" si="307"/>
        <v>0</v>
      </c>
      <c r="R667" s="52">
        <f t="shared" si="307"/>
        <v>0</v>
      </c>
      <c r="S667" s="52">
        <f t="shared" si="307"/>
        <v>0</v>
      </c>
      <c r="T667" s="52">
        <f t="shared" si="307"/>
        <v>0</v>
      </c>
      <c r="U667" s="52">
        <f t="shared" si="307"/>
        <v>0</v>
      </c>
      <c r="V667" s="52">
        <f t="shared" si="307"/>
        <v>0</v>
      </c>
      <c r="W667" s="52">
        <f t="shared" si="307"/>
        <v>0</v>
      </c>
      <c r="X667" s="52">
        <f t="shared" si="308"/>
        <v>0</v>
      </c>
      <c r="Y667" s="52">
        <f t="shared" si="308"/>
        <v>0</v>
      </c>
      <c r="Z667" s="52">
        <f t="shared" si="308"/>
        <v>0</v>
      </c>
      <c r="AA667" s="52">
        <f t="shared" si="308"/>
        <v>0</v>
      </c>
      <c r="AB667" s="52">
        <f t="shared" si="308"/>
        <v>0</v>
      </c>
      <c r="AC667" s="52">
        <f t="shared" si="308"/>
        <v>0</v>
      </c>
      <c r="AD667" s="52">
        <f t="shared" si="308"/>
        <v>0</v>
      </c>
      <c r="AE667" s="52">
        <f t="shared" si="308"/>
        <v>0</v>
      </c>
      <c r="AF667" s="52">
        <f t="shared" si="308"/>
        <v>0</v>
      </c>
      <c r="AG667" s="52">
        <f t="shared" si="308"/>
        <v>0</v>
      </c>
      <c r="AH667" s="52">
        <f t="shared" si="308"/>
        <v>0</v>
      </c>
      <c r="AI667" s="52">
        <f t="shared" si="308"/>
        <v>0</v>
      </c>
      <c r="AJ667" s="52">
        <f t="shared" si="308"/>
        <v>0</v>
      </c>
      <c r="AK667" s="52">
        <f t="shared" si="308"/>
        <v>0</v>
      </c>
      <c r="AL667" s="52">
        <f t="shared" si="308"/>
        <v>0</v>
      </c>
      <c r="AM667" s="52">
        <f t="shared" si="308"/>
        <v>0</v>
      </c>
      <c r="AN667" s="52">
        <f t="shared" si="308"/>
        <v>0</v>
      </c>
      <c r="AO667" s="52">
        <f t="shared" si="305"/>
        <v>0</v>
      </c>
      <c r="AP667" s="52">
        <f t="shared" si="305"/>
        <v>0</v>
      </c>
      <c r="AQ667" s="52">
        <f t="shared" si="305"/>
        <v>0</v>
      </c>
      <c r="AR667" s="52">
        <f t="shared" si="305"/>
        <v>0</v>
      </c>
      <c r="AS667" s="52">
        <f t="shared" si="305"/>
        <v>0</v>
      </c>
      <c r="AT667" s="52">
        <f t="shared" si="305"/>
        <v>0</v>
      </c>
      <c r="AU667" s="52">
        <f t="shared" si="305"/>
        <v>0</v>
      </c>
      <c r="AV667" s="52">
        <f t="shared" si="305"/>
        <v>0</v>
      </c>
      <c r="AW667" s="52">
        <f t="shared" si="305"/>
        <v>0</v>
      </c>
      <c r="AX667" s="52">
        <f t="shared" si="305"/>
        <v>0</v>
      </c>
      <c r="AY667" s="52">
        <f t="shared" si="305"/>
        <v>0</v>
      </c>
      <c r="AZ667" s="52">
        <f t="shared" si="305"/>
        <v>0</v>
      </c>
      <c r="BA667" s="52">
        <f t="shared" si="305"/>
        <v>0</v>
      </c>
      <c r="BB667" s="52">
        <f t="shared" si="305"/>
        <v>0</v>
      </c>
      <c r="BC667" s="52">
        <f t="shared" si="305"/>
        <v>0</v>
      </c>
      <c r="BD667" s="52">
        <f t="shared" si="305"/>
        <v>0</v>
      </c>
      <c r="BE667" s="52">
        <f t="shared" si="305"/>
        <v>0</v>
      </c>
      <c r="BF667" s="52">
        <f t="shared" si="305"/>
        <v>0</v>
      </c>
      <c r="BG667" s="52">
        <f t="shared" si="306"/>
        <v>0</v>
      </c>
      <c r="BH667" s="52">
        <f t="shared" si="306"/>
        <v>0</v>
      </c>
      <c r="BI667" s="52">
        <f t="shared" si="306"/>
        <v>1</v>
      </c>
      <c r="BJ667" s="52">
        <f t="shared" si="306"/>
        <v>1</v>
      </c>
      <c r="BK667" s="52">
        <f t="shared" si="306"/>
        <v>1</v>
      </c>
      <c r="BL667" s="52">
        <f t="shared" si="306"/>
        <v>1</v>
      </c>
      <c r="BM667" s="52">
        <f t="shared" si="306"/>
        <v>1</v>
      </c>
      <c r="BN667" s="52">
        <f t="shared" si="306"/>
        <v>1</v>
      </c>
      <c r="BO667" s="32">
        <f t="shared" si="301"/>
        <v>0.10169491525423729</v>
      </c>
    </row>
    <row r="668" spans="1:67" ht="24" x14ac:dyDescent="0.2">
      <c r="A668" s="50" t="s">
        <v>1344</v>
      </c>
      <c r="B668" s="50" t="s">
        <v>1345</v>
      </c>
      <c r="C668" s="50" t="s">
        <v>61</v>
      </c>
      <c r="D668" s="51">
        <f>VLOOKUP(A668,'[1]Cuadro Control'!C713:J2598,8,FALSE)</f>
        <v>1587346329.5488234</v>
      </c>
      <c r="E668" s="52">
        <f t="shared" si="303"/>
        <v>0.29899875353285565</v>
      </c>
      <c r="F668" s="53">
        <v>46582</v>
      </c>
      <c r="G668" s="53">
        <v>46594</v>
      </c>
      <c r="H668" s="52">
        <f t="shared" si="307"/>
        <v>0</v>
      </c>
      <c r="I668" s="52">
        <f t="shared" si="307"/>
        <v>0</v>
      </c>
      <c r="J668" s="52">
        <f t="shared" si="307"/>
        <v>0</v>
      </c>
      <c r="K668" s="52">
        <f t="shared" si="307"/>
        <v>0</v>
      </c>
      <c r="L668" s="52">
        <f t="shared" si="307"/>
        <v>0</v>
      </c>
      <c r="M668" s="52">
        <f t="shared" si="307"/>
        <v>0</v>
      </c>
      <c r="N668" s="52">
        <f t="shared" si="307"/>
        <v>0</v>
      </c>
      <c r="O668" s="52">
        <f t="shared" si="307"/>
        <v>0</v>
      </c>
      <c r="P668" s="52">
        <f t="shared" si="307"/>
        <v>0</v>
      </c>
      <c r="Q668" s="52">
        <f t="shared" si="307"/>
        <v>0</v>
      </c>
      <c r="R668" s="52">
        <f t="shared" si="307"/>
        <v>0</v>
      </c>
      <c r="S668" s="52">
        <f t="shared" si="307"/>
        <v>0</v>
      </c>
      <c r="T668" s="52">
        <f t="shared" si="307"/>
        <v>0</v>
      </c>
      <c r="U668" s="52">
        <f t="shared" si="307"/>
        <v>0</v>
      </c>
      <c r="V668" s="52">
        <f t="shared" si="307"/>
        <v>0</v>
      </c>
      <c r="W668" s="52">
        <f t="shared" si="307"/>
        <v>0</v>
      </c>
      <c r="X668" s="52">
        <f t="shared" si="308"/>
        <v>0</v>
      </c>
      <c r="Y668" s="52">
        <f t="shared" si="308"/>
        <v>0</v>
      </c>
      <c r="Z668" s="52">
        <f t="shared" si="308"/>
        <v>0</v>
      </c>
      <c r="AA668" s="52">
        <f t="shared" si="308"/>
        <v>0</v>
      </c>
      <c r="AB668" s="52">
        <f t="shared" si="308"/>
        <v>0</v>
      </c>
      <c r="AC668" s="52">
        <f t="shared" si="308"/>
        <v>0</v>
      </c>
      <c r="AD668" s="52">
        <f t="shared" si="308"/>
        <v>0</v>
      </c>
      <c r="AE668" s="52">
        <f t="shared" si="308"/>
        <v>0</v>
      </c>
      <c r="AF668" s="52">
        <f t="shared" si="308"/>
        <v>0</v>
      </c>
      <c r="AG668" s="52">
        <f t="shared" si="308"/>
        <v>0</v>
      </c>
      <c r="AH668" s="52">
        <f t="shared" si="308"/>
        <v>0</v>
      </c>
      <c r="AI668" s="52">
        <f t="shared" si="308"/>
        <v>0</v>
      </c>
      <c r="AJ668" s="52">
        <f t="shared" si="308"/>
        <v>0</v>
      </c>
      <c r="AK668" s="52">
        <f t="shared" si="308"/>
        <v>0</v>
      </c>
      <c r="AL668" s="52">
        <f t="shared" si="308"/>
        <v>0</v>
      </c>
      <c r="AM668" s="52">
        <f t="shared" si="308"/>
        <v>0</v>
      </c>
      <c r="AN668" s="52">
        <f t="shared" si="308"/>
        <v>0</v>
      </c>
      <c r="AO668" s="52">
        <f t="shared" si="305"/>
        <v>0</v>
      </c>
      <c r="AP668" s="52">
        <f t="shared" si="305"/>
        <v>0</v>
      </c>
      <c r="AQ668" s="52">
        <f t="shared" si="305"/>
        <v>0</v>
      </c>
      <c r="AR668" s="52">
        <f t="shared" si="305"/>
        <v>0</v>
      </c>
      <c r="AS668" s="52">
        <f t="shared" si="305"/>
        <v>0</v>
      </c>
      <c r="AT668" s="52">
        <f t="shared" si="305"/>
        <v>0</v>
      </c>
      <c r="AU668" s="52">
        <f t="shared" si="305"/>
        <v>0</v>
      </c>
      <c r="AV668" s="52">
        <f t="shared" si="305"/>
        <v>0</v>
      </c>
      <c r="AW668" s="52">
        <f t="shared" si="305"/>
        <v>0</v>
      </c>
      <c r="AX668" s="52">
        <f t="shared" si="305"/>
        <v>0</v>
      </c>
      <c r="AY668" s="52">
        <f t="shared" si="305"/>
        <v>0</v>
      </c>
      <c r="AZ668" s="52">
        <f t="shared" si="305"/>
        <v>0</v>
      </c>
      <c r="BA668" s="52">
        <f t="shared" si="305"/>
        <v>0</v>
      </c>
      <c r="BB668" s="52">
        <f t="shared" si="305"/>
        <v>0</v>
      </c>
      <c r="BC668" s="52">
        <f t="shared" si="305"/>
        <v>0</v>
      </c>
      <c r="BD668" s="52">
        <f t="shared" si="305"/>
        <v>0</v>
      </c>
      <c r="BE668" s="52">
        <f t="shared" si="305"/>
        <v>0</v>
      </c>
      <c r="BF668" s="52">
        <f t="shared" si="305"/>
        <v>0</v>
      </c>
      <c r="BG668" s="52">
        <f t="shared" si="306"/>
        <v>0</v>
      </c>
      <c r="BH668" s="52">
        <f t="shared" si="306"/>
        <v>0</v>
      </c>
      <c r="BI668" s="52">
        <f t="shared" si="306"/>
        <v>0.23076923076923078</v>
      </c>
      <c r="BJ668" s="52">
        <f t="shared" si="306"/>
        <v>0.76923076923076927</v>
      </c>
      <c r="BK668" s="52">
        <f t="shared" si="306"/>
        <v>1</v>
      </c>
      <c r="BL668" s="52">
        <f t="shared" si="306"/>
        <v>1</v>
      </c>
      <c r="BM668" s="52">
        <f t="shared" si="306"/>
        <v>1</v>
      </c>
      <c r="BN668" s="52">
        <f t="shared" si="306"/>
        <v>1</v>
      </c>
      <c r="BO668" s="32">
        <f t="shared" si="301"/>
        <v>8.4745762711864403E-2</v>
      </c>
    </row>
    <row r="669" spans="1:67" ht="30" x14ac:dyDescent="0.2">
      <c r="A669" s="46" t="s">
        <v>1346</v>
      </c>
      <c r="B669" s="46" t="s">
        <v>1347</v>
      </c>
      <c r="C669" s="46" t="s">
        <v>61</v>
      </c>
      <c r="D669" s="47">
        <f>VLOOKUP(A669,'[1]Cuadro Control'!C714:J2599,8,FALSE)</f>
        <v>179532477.23999998</v>
      </c>
      <c r="E669" s="48">
        <f t="shared" si="303"/>
        <v>3.3817438522495219E-2</v>
      </c>
      <c r="F669" s="49">
        <v>46584</v>
      </c>
      <c r="G669" s="49">
        <v>46598</v>
      </c>
      <c r="H669" s="48">
        <f t="shared" si="307"/>
        <v>0</v>
      </c>
      <c r="I669" s="48">
        <f t="shared" si="307"/>
        <v>0</v>
      </c>
      <c r="J669" s="48">
        <f t="shared" si="307"/>
        <v>0</v>
      </c>
      <c r="K669" s="48">
        <f t="shared" si="307"/>
        <v>0</v>
      </c>
      <c r="L669" s="48">
        <f t="shared" si="307"/>
        <v>0</v>
      </c>
      <c r="M669" s="48">
        <f t="shared" si="307"/>
        <v>0</v>
      </c>
      <c r="N669" s="48">
        <f t="shared" si="307"/>
        <v>0</v>
      </c>
      <c r="O669" s="48">
        <f t="shared" si="307"/>
        <v>0</v>
      </c>
      <c r="P669" s="48">
        <f t="shared" si="307"/>
        <v>0</v>
      </c>
      <c r="Q669" s="48">
        <f t="shared" si="307"/>
        <v>0</v>
      </c>
      <c r="R669" s="48">
        <f t="shared" si="307"/>
        <v>0</v>
      </c>
      <c r="S669" s="48">
        <f t="shared" si="307"/>
        <v>0</v>
      </c>
      <c r="T669" s="48">
        <f t="shared" si="307"/>
        <v>0</v>
      </c>
      <c r="U669" s="48">
        <f t="shared" si="307"/>
        <v>0</v>
      </c>
      <c r="V669" s="48">
        <f t="shared" si="307"/>
        <v>0</v>
      </c>
      <c r="W669" s="48">
        <f t="shared" si="307"/>
        <v>0</v>
      </c>
      <c r="X669" s="48">
        <f t="shared" si="308"/>
        <v>0</v>
      </c>
      <c r="Y669" s="48">
        <f t="shared" si="308"/>
        <v>0</v>
      </c>
      <c r="Z669" s="48">
        <f t="shared" si="308"/>
        <v>0</v>
      </c>
      <c r="AA669" s="48">
        <f t="shared" si="308"/>
        <v>0</v>
      </c>
      <c r="AB669" s="48">
        <f t="shared" si="308"/>
        <v>0</v>
      </c>
      <c r="AC669" s="48">
        <f t="shared" si="308"/>
        <v>0</v>
      </c>
      <c r="AD669" s="48">
        <f t="shared" si="308"/>
        <v>0</v>
      </c>
      <c r="AE669" s="48">
        <f t="shared" si="308"/>
        <v>0</v>
      </c>
      <c r="AF669" s="48">
        <f t="shared" si="308"/>
        <v>0</v>
      </c>
      <c r="AG669" s="48">
        <f t="shared" si="308"/>
        <v>0</v>
      </c>
      <c r="AH669" s="48">
        <f t="shared" si="308"/>
        <v>0</v>
      </c>
      <c r="AI669" s="48">
        <f t="shared" si="308"/>
        <v>0</v>
      </c>
      <c r="AJ669" s="48">
        <f t="shared" si="308"/>
        <v>0</v>
      </c>
      <c r="AK669" s="48">
        <f t="shared" si="308"/>
        <v>0</v>
      </c>
      <c r="AL669" s="48">
        <f t="shared" si="308"/>
        <v>0</v>
      </c>
      <c r="AM669" s="48">
        <f t="shared" si="308"/>
        <v>0</v>
      </c>
      <c r="AN669" s="48">
        <f t="shared" si="308"/>
        <v>0</v>
      </c>
      <c r="AO669" s="48">
        <f t="shared" si="305"/>
        <v>0</v>
      </c>
      <c r="AP669" s="48">
        <f t="shared" si="305"/>
        <v>0</v>
      </c>
      <c r="AQ669" s="48">
        <f t="shared" si="305"/>
        <v>0</v>
      </c>
      <c r="AR669" s="48">
        <f t="shared" si="305"/>
        <v>0</v>
      </c>
      <c r="AS669" s="48">
        <f t="shared" si="305"/>
        <v>0</v>
      </c>
      <c r="AT669" s="48">
        <f t="shared" si="305"/>
        <v>0</v>
      </c>
      <c r="AU669" s="48">
        <f t="shared" si="305"/>
        <v>0</v>
      </c>
      <c r="AV669" s="48">
        <f t="shared" si="305"/>
        <v>0</v>
      </c>
      <c r="AW669" s="48">
        <f t="shared" si="305"/>
        <v>0</v>
      </c>
      <c r="AX669" s="48">
        <f t="shared" si="305"/>
        <v>0</v>
      </c>
      <c r="AY669" s="48">
        <f t="shared" si="305"/>
        <v>0</v>
      </c>
      <c r="AZ669" s="48">
        <f t="shared" si="305"/>
        <v>0</v>
      </c>
      <c r="BA669" s="48">
        <f t="shared" si="305"/>
        <v>0</v>
      </c>
      <c r="BB669" s="48">
        <f t="shared" si="305"/>
        <v>0</v>
      </c>
      <c r="BC669" s="48">
        <f t="shared" si="305"/>
        <v>0</v>
      </c>
      <c r="BD669" s="48">
        <f t="shared" si="305"/>
        <v>0</v>
      </c>
      <c r="BE669" s="48">
        <f t="shared" si="305"/>
        <v>0</v>
      </c>
      <c r="BF669" s="48">
        <f t="shared" si="305"/>
        <v>0</v>
      </c>
      <c r="BG669" s="48">
        <f t="shared" si="306"/>
        <v>0</v>
      </c>
      <c r="BH669" s="48">
        <f t="shared" si="306"/>
        <v>0</v>
      </c>
      <c r="BI669" s="48">
        <f t="shared" si="306"/>
        <v>6.6666666666666666E-2</v>
      </c>
      <c r="BJ669" s="48">
        <f t="shared" si="306"/>
        <v>0.53333333333333333</v>
      </c>
      <c r="BK669" s="48">
        <f t="shared" si="306"/>
        <v>1</v>
      </c>
      <c r="BL669" s="48">
        <f t="shared" si="306"/>
        <v>1</v>
      </c>
      <c r="BM669" s="48">
        <f t="shared" si="306"/>
        <v>1</v>
      </c>
      <c r="BN669" s="48">
        <f t="shared" si="306"/>
        <v>1</v>
      </c>
      <c r="BO669" s="32">
        <f t="shared" si="301"/>
        <v>7.7966101694915246E-2</v>
      </c>
    </row>
    <row r="670" spans="1:67" ht="24" x14ac:dyDescent="0.2">
      <c r="A670" s="55" t="s">
        <v>1348</v>
      </c>
      <c r="B670" s="55" t="s">
        <v>1349</v>
      </c>
      <c r="C670" s="55" t="s">
        <v>14</v>
      </c>
      <c r="D670" s="56">
        <f>VLOOKUP(A670,'[1]Cuadro Control'!C715:J2600,8,FALSE)</f>
        <v>0</v>
      </c>
      <c r="E670" s="57">
        <f>IFERROR(D670/$D$654,0)</f>
        <v>0</v>
      </c>
      <c r="F670" s="58">
        <v>46598</v>
      </c>
      <c r="G670" s="58">
        <v>46598</v>
      </c>
      <c r="H670" s="57">
        <f t="shared" si="307"/>
        <v>0</v>
      </c>
      <c r="I670" s="57">
        <f t="shared" si="307"/>
        <v>0</v>
      </c>
      <c r="J670" s="57">
        <f t="shared" si="307"/>
        <v>0</v>
      </c>
      <c r="K670" s="57">
        <f t="shared" si="307"/>
        <v>0</v>
      </c>
      <c r="L670" s="57">
        <f t="shared" si="307"/>
        <v>0</v>
      </c>
      <c r="M670" s="57">
        <f t="shared" si="307"/>
        <v>0</v>
      </c>
      <c r="N670" s="57">
        <f t="shared" si="307"/>
        <v>0</v>
      </c>
      <c r="O670" s="57">
        <f t="shared" si="307"/>
        <v>0</v>
      </c>
      <c r="P670" s="57">
        <f t="shared" si="307"/>
        <v>0</v>
      </c>
      <c r="Q670" s="57">
        <f t="shared" si="307"/>
        <v>0</v>
      </c>
      <c r="R670" s="57">
        <f t="shared" si="307"/>
        <v>0</v>
      </c>
      <c r="S670" s="57">
        <f t="shared" si="307"/>
        <v>0</v>
      </c>
      <c r="T670" s="57">
        <f t="shared" si="307"/>
        <v>0</v>
      </c>
      <c r="U670" s="57">
        <f t="shared" si="307"/>
        <v>0</v>
      </c>
      <c r="V670" s="57">
        <f t="shared" si="307"/>
        <v>0</v>
      </c>
      <c r="W670" s="57">
        <f t="shared" si="307"/>
        <v>0</v>
      </c>
      <c r="X670" s="57">
        <f t="shared" si="308"/>
        <v>0</v>
      </c>
      <c r="Y670" s="57">
        <f t="shared" si="308"/>
        <v>0</v>
      </c>
      <c r="Z670" s="57">
        <f t="shared" si="308"/>
        <v>0</v>
      </c>
      <c r="AA670" s="57">
        <f t="shared" si="308"/>
        <v>0</v>
      </c>
      <c r="AB670" s="57">
        <f t="shared" si="308"/>
        <v>0</v>
      </c>
      <c r="AC670" s="57">
        <f t="shared" si="308"/>
        <v>0</v>
      </c>
      <c r="AD670" s="57">
        <f t="shared" si="308"/>
        <v>0</v>
      </c>
      <c r="AE670" s="57">
        <f t="shared" si="308"/>
        <v>0</v>
      </c>
      <c r="AF670" s="57">
        <f t="shared" si="308"/>
        <v>0</v>
      </c>
      <c r="AG670" s="57">
        <f t="shared" si="308"/>
        <v>0</v>
      </c>
      <c r="AH670" s="57">
        <f t="shared" si="308"/>
        <v>0</v>
      </c>
      <c r="AI670" s="57">
        <f t="shared" si="308"/>
        <v>0</v>
      </c>
      <c r="AJ670" s="57">
        <f t="shared" si="308"/>
        <v>0</v>
      </c>
      <c r="AK670" s="57">
        <f t="shared" si="308"/>
        <v>0</v>
      </c>
      <c r="AL670" s="57">
        <f t="shared" si="308"/>
        <v>0</v>
      </c>
      <c r="AM670" s="57">
        <f t="shared" si="308"/>
        <v>0</v>
      </c>
      <c r="AN670" s="57">
        <f t="shared" si="308"/>
        <v>0</v>
      </c>
      <c r="AO670" s="57">
        <f t="shared" si="308"/>
        <v>0</v>
      </c>
      <c r="AP670" s="57">
        <f t="shared" si="308"/>
        <v>0</v>
      </c>
      <c r="AQ670" s="57">
        <f t="shared" si="308"/>
        <v>0</v>
      </c>
      <c r="AR670" s="57">
        <f t="shared" si="308"/>
        <v>0</v>
      </c>
      <c r="AS670" s="57">
        <f t="shared" si="308"/>
        <v>0</v>
      </c>
      <c r="AT670" s="57">
        <f t="shared" si="308"/>
        <v>0</v>
      </c>
      <c r="AU670" s="57">
        <f t="shared" si="308"/>
        <v>0</v>
      </c>
      <c r="AV670" s="57">
        <f t="shared" si="308"/>
        <v>0</v>
      </c>
      <c r="AW670" s="57">
        <f t="shared" si="308"/>
        <v>0</v>
      </c>
      <c r="AX670" s="57">
        <f t="shared" si="308"/>
        <v>0</v>
      </c>
      <c r="AY670" s="57">
        <f t="shared" si="308"/>
        <v>0</v>
      </c>
      <c r="AZ670" s="57">
        <f t="shared" si="308"/>
        <v>0</v>
      </c>
      <c r="BA670" s="57">
        <f t="shared" si="308"/>
        <v>0</v>
      </c>
      <c r="BB670" s="57">
        <f t="shared" si="308"/>
        <v>0</v>
      </c>
      <c r="BC670" s="57">
        <f t="shared" si="308"/>
        <v>0</v>
      </c>
      <c r="BD670" s="57">
        <f t="shared" si="305"/>
        <v>0</v>
      </c>
      <c r="BE670" s="57">
        <f t="shared" si="305"/>
        <v>0</v>
      </c>
      <c r="BF670" s="57">
        <f t="shared" si="305"/>
        <v>0</v>
      </c>
      <c r="BG670" s="57">
        <f t="shared" si="306"/>
        <v>0</v>
      </c>
      <c r="BH670" s="57">
        <f t="shared" si="306"/>
        <v>0</v>
      </c>
      <c r="BI670" s="57">
        <f t="shared" si="306"/>
        <v>0</v>
      </c>
      <c r="BJ670" s="57">
        <f t="shared" si="306"/>
        <v>0</v>
      </c>
      <c r="BK670" s="57">
        <f t="shared" si="306"/>
        <v>1</v>
      </c>
      <c r="BL670" s="57">
        <f t="shared" si="306"/>
        <v>1</v>
      </c>
      <c r="BM670" s="57">
        <f t="shared" si="306"/>
        <v>1</v>
      </c>
      <c r="BN670" s="57">
        <f t="shared" si="306"/>
        <v>1</v>
      </c>
      <c r="BO670" s="32">
        <f t="shared" si="301"/>
        <v>6.7796610169491525E-2</v>
      </c>
    </row>
    <row r="671" spans="1:67" x14ac:dyDescent="0.2">
      <c r="A671" s="59" t="s">
        <v>1350</v>
      </c>
      <c r="B671" s="59" t="s">
        <v>1351</v>
      </c>
      <c r="C671" s="59" t="s">
        <v>467</v>
      </c>
      <c r="D671" s="60">
        <f>SUM(D672:D687)</f>
        <v>5328575640.9303732</v>
      </c>
      <c r="E671" s="61">
        <f>IFERROR(D671/$D$109,0)</f>
        <v>2.9517699038985597E-2</v>
      </c>
      <c r="F671" s="62">
        <v>46525</v>
      </c>
      <c r="G671" s="62">
        <v>46606</v>
      </c>
      <c r="H671" s="61">
        <f>SUMPRODUCT($E672:$E686,H672:H686)</f>
        <v>0</v>
      </c>
      <c r="I671" s="61">
        <f t="shared" ref="I671:BN671" si="309">SUMPRODUCT($E672:$E686,I672:I686)</f>
        <v>0</v>
      </c>
      <c r="J671" s="61">
        <f t="shared" si="309"/>
        <v>0</v>
      </c>
      <c r="K671" s="61">
        <f t="shared" si="309"/>
        <v>0</v>
      </c>
      <c r="L671" s="61">
        <f t="shared" si="309"/>
        <v>0</v>
      </c>
      <c r="M671" s="61">
        <f t="shared" si="309"/>
        <v>0</v>
      </c>
      <c r="N671" s="61">
        <f t="shared" si="309"/>
        <v>0</v>
      </c>
      <c r="O671" s="61">
        <f t="shared" si="309"/>
        <v>0</v>
      </c>
      <c r="P671" s="61">
        <f t="shared" si="309"/>
        <v>0</v>
      </c>
      <c r="Q671" s="61">
        <f t="shared" si="309"/>
        <v>0</v>
      </c>
      <c r="R671" s="61">
        <f t="shared" si="309"/>
        <v>0</v>
      </c>
      <c r="S671" s="61">
        <f t="shared" si="309"/>
        <v>0</v>
      </c>
      <c r="T671" s="61">
        <f t="shared" si="309"/>
        <v>0</v>
      </c>
      <c r="U671" s="61">
        <f t="shared" si="309"/>
        <v>0</v>
      </c>
      <c r="V671" s="61">
        <f t="shared" si="309"/>
        <v>0</v>
      </c>
      <c r="W671" s="61">
        <f t="shared" si="309"/>
        <v>0</v>
      </c>
      <c r="X671" s="61">
        <f t="shared" si="309"/>
        <v>0</v>
      </c>
      <c r="Y671" s="61">
        <f t="shared" si="309"/>
        <v>0</v>
      </c>
      <c r="Z671" s="61">
        <f t="shared" si="309"/>
        <v>0</v>
      </c>
      <c r="AA671" s="61">
        <f t="shared" si="309"/>
        <v>0</v>
      </c>
      <c r="AB671" s="61">
        <f t="shared" si="309"/>
        <v>0</v>
      </c>
      <c r="AC671" s="61">
        <f t="shared" si="309"/>
        <v>0</v>
      </c>
      <c r="AD671" s="61">
        <f t="shared" si="309"/>
        <v>0</v>
      </c>
      <c r="AE671" s="61">
        <f t="shared" si="309"/>
        <v>0</v>
      </c>
      <c r="AF671" s="61">
        <f t="shared" si="309"/>
        <v>0</v>
      </c>
      <c r="AG671" s="61">
        <f t="shared" si="309"/>
        <v>0</v>
      </c>
      <c r="AH671" s="61">
        <f t="shared" si="309"/>
        <v>0</v>
      </c>
      <c r="AI671" s="61">
        <f t="shared" si="309"/>
        <v>0</v>
      </c>
      <c r="AJ671" s="61">
        <f t="shared" si="309"/>
        <v>0</v>
      </c>
      <c r="AK671" s="61">
        <f t="shared" si="309"/>
        <v>0</v>
      </c>
      <c r="AL671" s="61">
        <f t="shared" si="309"/>
        <v>0</v>
      </c>
      <c r="AM671" s="61">
        <f t="shared" si="309"/>
        <v>0</v>
      </c>
      <c r="AN671" s="61">
        <f t="shared" si="309"/>
        <v>0</v>
      </c>
      <c r="AO671" s="61">
        <f t="shared" si="309"/>
        <v>0</v>
      </c>
      <c r="AP671" s="61">
        <f t="shared" si="309"/>
        <v>0</v>
      </c>
      <c r="AQ671" s="61">
        <f t="shared" si="309"/>
        <v>0</v>
      </c>
      <c r="AR671" s="61">
        <f t="shared" si="309"/>
        <v>0</v>
      </c>
      <c r="AS671" s="61">
        <f t="shared" si="309"/>
        <v>0</v>
      </c>
      <c r="AT671" s="61">
        <f t="shared" si="309"/>
        <v>0</v>
      </c>
      <c r="AU671" s="61">
        <f t="shared" si="309"/>
        <v>0</v>
      </c>
      <c r="AV671" s="61">
        <f t="shared" si="309"/>
        <v>0</v>
      </c>
      <c r="AW671" s="61">
        <f t="shared" si="309"/>
        <v>0</v>
      </c>
      <c r="AX671" s="61">
        <f t="shared" si="309"/>
        <v>0</v>
      </c>
      <c r="AY671" s="61">
        <f t="shared" si="309"/>
        <v>0</v>
      </c>
      <c r="AZ671" s="61">
        <f t="shared" si="309"/>
        <v>0</v>
      </c>
      <c r="BA671" s="61">
        <f t="shared" si="309"/>
        <v>6.9455109370426902E-3</v>
      </c>
      <c r="BB671" s="61">
        <f t="shared" si="309"/>
        <v>3.3214154121280925E-2</v>
      </c>
      <c r="BC671" s="61">
        <f t="shared" si="309"/>
        <v>7.4607527129132684E-2</v>
      </c>
      <c r="BD671" s="61">
        <f t="shared" si="309"/>
        <v>0.12415509325463654</v>
      </c>
      <c r="BE671" s="61">
        <f t="shared" si="309"/>
        <v>0.18082152525512407</v>
      </c>
      <c r="BF671" s="61">
        <f t="shared" si="309"/>
        <v>0.27139792212688463</v>
      </c>
      <c r="BG671" s="61">
        <f t="shared" si="309"/>
        <v>0.35523945977000571</v>
      </c>
      <c r="BH671" s="61">
        <f t="shared" si="309"/>
        <v>0.53061822640316181</v>
      </c>
      <c r="BI671" s="61">
        <f t="shared" si="309"/>
        <v>0.64611018043408852</v>
      </c>
      <c r="BJ671" s="61">
        <f t="shared" si="309"/>
        <v>0.66188210791069413</v>
      </c>
      <c r="BK671" s="61">
        <f t="shared" si="309"/>
        <v>0.81300925197237361</v>
      </c>
      <c r="BL671" s="61">
        <f t="shared" si="309"/>
        <v>0.99693705496658824</v>
      </c>
      <c r="BM671" s="61">
        <f t="shared" si="309"/>
        <v>0.99999999999999978</v>
      </c>
      <c r="BN671" s="61">
        <f t="shared" si="309"/>
        <v>0.99999999999999978</v>
      </c>
      <c r="BO671" s="32">
        <f t="shared" si="301"/>
        <v>0.11347352566577988</v>
      </c>
    </row>
    <row r="672" spans="1:67" ht="24" x14ac:dyDescent="0.2">
      <c r="A672" s="50" t="s">
        <v>1352</v>
      </c>
      <c r="B672" s="50" t="s">
        <v>1353</v>
      </c>
      <c r="C672" s="50" t="s">
        <v>74</v>
      </c>
      <c r="D672" s="51">
        <f>VLOOKUP(A672,'[1]Cuadro Control'!C717:J2602,8,FALSE)</f>
        <v>83271780.884117648</v>
      </c>
      <c r="E672" s="52">
        <f t="shared" ref="E672:E687" si="310">IFERROR(D672/$D$671,0)</f>
        <v>1.5627399608346054E-2</v>
      </c>
      <c r="F672" s="53">
        <v>46525</v>
      </c>
      <c r="G672" s="53">
        <v>46533</v>
      </c>
      <c r="H672" s="52">
        <f t="shared" ref="H672:BN676" si="311">IF($F672=0,0,IF(H$6&lt;$F672,0,IF(H$6&gt;$G672,1,(H$6-$F672+1)/($G672-$F672+1))))</f>
        <v>0</v>
      </c>
      <c r="I672" s="52">
        <f t="shared" si="311"/>
        <v>0</v>
      </c>
      <c r="J672" s="52">
        <f t="shared" si="311"/>
        <v>0</v>
      </c>
      <c r="K672" s="52">
        <f t="shared" si="311"/>
        <v>0</v>
      </c>
      <c r="L672" s="52">
        <f t="shared" si="311"/>
        <v>0</v>
      </c>
      <c r="M672" s="52">
        <f t="shared" si="311"/>
        <v>0</v>
      </c>
      <c r="N672" s="52">
        <f t="shared" si="311"/>
        <v>0</v>
      </c>
      <c r="O672" s="52">
        <f t="shared" si="311"/>
        <v>0</v>
      </c>
      <c r="P672" s="52">
        <f t="shared" si="311"/>
        <v>0</v>
      </c>
      <c r="Q672" s="52">
        <f t="shared" si="311"/>
        <v>0</v>
      </c>
      <c r="R672" s="52">
        <f t="shared" si="311"/>
        <v>0</v>
      </c>
      <c r="S672" s="52">
        <f t="shared" si="311"/>
        <v>0</v>
      </c>
      <c r="T672" s="52">
        <f t="shared" si="311"/>
        <v>0</v>
      </c>
      <c r="U672" s="52">
        <f t="shared" si="311"/>
        <v>0</v>
      </c>
      <c r="V672" s="52">
        <f t="shared" si="311"/>
        <v>0</v>
      </c>
      <c r="W672" s="52">
        <f t="shared" si="311"/>
        <v>0</v>
      </c>
      <c r="X672" s="52">
        <f t="shared" si="311"/>
        <v>0</v>
      </c>
      <c r="Y672" s="52">
        <f t="shared" si="311"/>
        <v>0</v>
      </c>
      <c r="Z672" s="52">
        <f t="shared" si="311"/>
        <v>0</v>
      </c>
      <c r="AA672" s="52">
        <f t="shared" si="311"/>
        <v>0</v>
      </c>
      <c r="AB672" s="52">
        <f t="shared" si="311"/>
        <v>0</v>
      </c>
      <c r="AC672" s="52">
        <f t="shared" si="311"/>
        <v>0</v>
      </c>
      <c r="AD672" s="52">
        <f t="shared" si="311"/>
        <v>0</v>
      </c>
      <c r="AE672" s="52">
        <f t="shared" si="311"/>
        <v>0</v>
      </c>
      <c r="AF672" s="52">
        <f t="shared" si="311"/>
        <v>0</v>
      </c>
      <c r="AG672" s="52">
        <f t="shared" si="311"/>
        <v>0</v>
      </c>
      <c r="AH672" s="52">
        <f t="shared" si="311"/>
        <v>0</v>
      </c>
      <c r="AI672" s="52">
        <f t="shared" si="311"/>
        <v>0</v>
      </c>
      <c r="AJ672" s="52">
        <f t="shared" si="311"/>
        <v>0</v>
      </c>
      <c r="AK672" s="52">
        <f t="shared" si="311"/>
        <v>0</v>
      </c>
      <c r="AL672" s="52">
        <f t="shared" si="311"/>
        <v>0</v>
      </c>
      <c r="AM672" s="52">
        <f t="shared" si="311"/>
        <v>0</v>
      </c>
      <c r="AN672" s="52">
        <f t="shared" si="311"/>
        <v>0</v>
      </c>
      <c r="AO672" s="52">
        <f t="shared" si="311"/>
        <v>0</v>
      </c>
      <c r="AP672" s="52">
        <f t="shared" si="311"/>
        <v>0</v>
      </c>
      <c r="AQ672" s="52">
        <f t="shared" si="311"/>
        <v>0</v>
      </c>
      <c r="AR672" s="52">
        <f t="shared" si="311"/>
        <v>0</v>
      </c>
      <c r="AS672" s="52">
        <f t="shared" si="311"/>
        <v>0</v>
      </c>
      <c r="AT672" s="52">
        <f t="shared" si="311"/>
        <v>0</v>
      </c>
      <c r="AU672" s="52">
        <f t="shared" si="311"/>
        <v>0</v>
      </c>
      <c r="AV672" s="52">
        <f t="shared" si="311"/>
        <v>0</v>
      </c>
      <c r="AW672" s="52">
        <f t="shared" si="311"/>
        <v>0</v>
      </c>
      <c r="AX672" s="52">
        <f t="shared" si="311"/>
        <v>0</v>
      </c>
      <c r="AY672" s="52">
        <f t="shared" si="311"/>
        <v>0</v>
      </c>
      <c r="AZ672" s="52">
        <f t="shared" si="311"/>
        <v>0</v>
      </c>
      <c r="BA672" s="52">
        <f t="shared" si="311"/>
        <v>0.44444444444444442</v>
      </c>
      <c r="BB672" s="52">
        <f t="shared" si="311"/>
        <v>1</v>
      </c>
      <c r="BC672" s="52">
        <f t="shared" si="311"/>
        <v>1</v>
      </c>
      <c r="BD672" s="52">
        <f t="shared" si="311"/>
        <v>1</v>
      </c>
      <c r="BE672" s="52">
        <f t="shared" si="311"/>
        <v>1</v>
      </c>
      <c r="BF672" s="52">
        <f t="shared" si="311"/>
        <v>1</v>
      </c>
      <c r="BG672" s="52">
        <f t="shared" si="311"/>
        <v>1</v>
      </c>
      <c r="BH672" s="52">
        <f t="shared" si="311"/>
        <v>1</v>
      </c>
      <c r="BI672" s="52">
        <f t="shared" si="311"/>
        <v>1</v>
      </c>
      <c r="BJ672" s="52">
        <f t="shared" si="311"/>
        <v>1</v>
      </c>
      <c r="BK672" s="52">
        <f t="shared" si="311"/>
        <v>1</v>
      </c>
      <c r="BL672" s="52">
        <f t="shared" si="311"/>
        <v>1</v>
      </c>
      <c r="BM672" s="52">
        <f t="shared" si="311"/>
        <v>1</v>
      </c>
      <c r="BN672" s="52">
        <f t="shared" si="311"/>
        <v>1</v>
      </c>
      <c r="BO672" s="32">
        <f t="shared" si="301"/>
        <v>0.22787193973634651</v>
      </c>
    </row>
    <row r="673" spans="1:67" x14ac:dyDescent="0.2">
      <c r="A673" s="50" t="s">
        <v>1354</v>
      </c>
      <c r="B673" s="50" t="s">
        <v>1355</v>
      </c>
      <c r="C673" s="50" t="s">
        <v>61</v>
      </c>
      <c r="D673" s="51">
        <f>VLOOKUP(A673,'[1]Cuadro Control'!C718:J2603,8,FALSE)</f>
        <v>312374505.66882348</v>
      </c>
      <c r="E673" s="52">
        <f t="shared" si="310"/>
        <v>5.8622515043116226E-2</v>
      </c>
      <c r="F673" s="53">
        <v>46533</v>
      </c>
      <c r="G673" s="53">
        <v>46542</v>
      </c>
      <c r="H673" s="52">
        <f t="shared" si="311"/>
        <v>0</v>
      </c>
      <c r="I673" s="52">
        <f t="shared" si="311"/>
        <v>0</v>
      </c>
      <c r="J673" s="52">
        <f t="shared" si="311"/>
        <v>0</v>
      </c>
      <c r="K673" s="52">
        <f t="shared" si="311"/>
        <v>0</v>
      </c>
      <c r="L673" s="52">
        <f t="shared" si="311"/>
        <v>0</v>
      </c>
      <c r="M673" s="52">
        <f t="shared" si="311"/>
        <v>0</v>
      </c>
      <c r="N673" s="52">
        <f t="shared" si="311"/>
        <v>0</v>
      </c>
      <c r="O673" s="52">
        <f t="shared" si="311"/>
        <v>0</v>
      </c>
      <c r="P673" s="52">
        <f t="shared" si="311"/>
        <v>0</v>
      </c>
      <c r="Q673" s="52">
        <f t="shared" si="311"/>
        <v>0</v>
      </c>
      <c r="R673" s="52">
        <f t="shared" si="311"/>
        <v>0</v>
      </c>
      <c r="S673" s="52">
        <f t="shared" si="311"/>
        <v>0</v>
      </c>
      <c r="T673" s="52">
        <f t="shared" si="311"/>
        <v>0</v>
      </c>
      <c r="U673" s="52">
        <f t="shared" si="311"/>
        <v>0</v>
      </c>
      <c r="V673" s="52">
        <f t="shared" si="311"/>
        <v>0</v>
      </c>
      <c r="W673" s="52">
        <f t="shared" si="311"/>
        <v>0</v>
      </c>
      <c r="X673" s="52">
        <f t="shared" si="311"/>
        <v>0</v>
      </c>
      <c r="Y673" s="52">
        <f t="shared" si="311"/>
        <v>0</v>
      </c>
      <c r="Z673" s="52">
        <f t="shared" si="311"/>
        <v>0</v>
      </c>
      <c r="AA673" s="52">
        <f t="shared" si="311"/>
        <v>0</v>
      </c>
      <c r="AB673" s="52">
        <f t="shared" si="311"/>
        <v>0</v>
      </c>
      <c r="AC673" s="52">
        <f t="shared" si="311"/>
        <v>0</v>
      </c>
      <c r="AD673" s="52">
        <f t="shared" si="311"/>
        <v>0</v>
      </c>
      <c r="AE673" s="52">
        <f t="shared" si="311"/>
        <v>0</v>
      </c>
      <c r="AF673" s="52">
        <f t="shared" si="311"/>
        <v>0</v>
      </c>
      <c r="AG673" s="52">
        <f t="shared" si="311"/>
        <v>0</v>
      </c>
      <c r="AH673" s="52">
        <f t="shared" si="311"/>
        <v>0</v>
      </c>
      <c r="AI673" s="52">
        <f t="shared" si="311"/>
        <v>0</v>
      </c>
      <c r="AJ673" s="52">
        <f t="shared" si="311"/>
        <v>0</v>
      </c>
      <c r="AK673" s="52">
        <f t="shared" si="311"/>
        <v>0</v>
      </c>
      <c r="AL673" s="52">
        <f t="shared" si="311"/>
        <v>0</v>
      </c>
      <c r="AM673" s="52">
        <f t="shared" si="311"/>
        <v>0</v>
      </c>
      <c r="AN673" s="52">
        <f t="shared" si="311"/>
        <v>0</v>
      </c>
      <c r="AO673" s="52">
        <f t="shared" si="311"/>
        <v>0</v>
      </c>
      <c r="AP673" s="52">
        <f t="shared" si="311"/>
        <v>0</v>
      </c>
      <c r="AQ673" s="52">
        <f t="shared" si="311"/>
        <v>0</v>
      </c>
      <c r="AR673" s="52">
        <f t="shared" si="311"/>
        <v>0</v>
      </c>
      <c r="AS673" s="52">
        <f t="shared" si="311"/>
        <v>0</v>
      </c>
      <c r="AT673" s="52">
        <f t="shared" si="311"/>
        <v>0</v>
      </c>
      <c r="AU673" s="52">
        <f t="shared" si="311"/>
        <v>0</v>
      </c>
      <c r="AV673" s="52">
        <f t="shared" si="311"/>
        <v>0</v>
      </c>
      <c r="AW673" s="52">
        <f t="shared" si="311"/>
        <v>0</v>
      </c>
      <c r="AX673" s="52">
        <f t="shared" si="311"/>
        <v>0</v>
      </c>
      <c r="AY673" s="52">
        <f t="shared" si="311"/>
        <v>0</v>
      </c>
      <c r="AZ673" s="52">
        <f t="shared" si="311"/>
        <v>0</v>
      </c>
      <c r="BA673" s="52">
        <f t="shared" si="311"/>
        <v>0</v>
      </c>
      <c r="BB673" s="52">
        <f t="shared" si="311"/>
        <v>0.3</v>
      </c>
      <c r="BC673" s="52">
        <f t="shared" si="311"/>
        <v>1</v>
      </c>
      <c r="BD673" s="52">
        <f t="shared" si="311"/>
        <v>1</v>
      </c>
      <c r="BE673" s="52">
        <f t="shared" si="311"/>
        <v>1</v>
      </c>
      <c r="BF673" s="52">
        <f t="shared" si="311"/>
        <v>1</v>
      </c>
      <c r="BG673" s="52">
        <f t="shared" si="311"/>
        <v>1</v>
      </c>
      <c r="BH673" s="52">
        <f t="shared" si="311"/>
        <v>1</v>
      </c>
      <c r="BI673" s="52">
        <f t="shared" si="311"/>
        <v>1</v>
      </c>
      <c r="BJ673" s="52">
        <f t="shared" si="311"/>
        <v>1</v>
      </c>
      <c r="BK673" s="52">
        <f t="shared" si="311"/>
        <v>1</v>
      </c>
      <c r="BL673" s="52">
        <f t="shared" si="311"/>
        <v>1</v>
      </c>
      <c r="BM673" s="52">
        <f t="shared" si="311"/>
        <v>1</v>
      </c>
      <c r="BN673" s="52">
        <f t="shared" si="311"/>
        <v>1</v>
      </c>
      <c r="BO673" s="32">
        <f t="shared" si="301"/>
        <v>0.20847457627118646</v>
      </c>
    </row>
    <row r="674" spans="1:67" ht="15" x14ac:dyDescent="0.2">
      <c r="A674" s="46" t="s">
        <v>1356</v>
      </c>
      <c r="B674" s="46" t="s">
        <v>1357</v>
      </c>
      <c r="C674" s="46" t="s">
        <v>126</v>
      </c>
      <c r="D674" s="47">
        <f>VLOOKUP(A674,'[1]Cuadro Control'!C719:J2604,8,FALSE)</f>
        <v>9527825.6870364472</v>
      </c>
      <c r="E674" s="48">
        <f t="shared" si="310"/>
        <v>1.7880623883520365E-3</v>
      </c>
      <c r="F674" s="49">
        <v>46542</v>
      </c>
      <c r="G674" s="49">
        <v>46546</v>
      </c>
      <c r="H674" s="48">
        <f t="shared" si="311"/>
        <v>0</v>
      </c>
      <c r="I674" s="48">
        <f t="shared" si="311"/>
        <v>0</v>
      </c>
      <c r="J674" s="48">
        <f t="shared" si="311"/>
        <v>0</v>
      </c>
      <c r="K674" s="48">
        <f t="shared" si="311"/>
        <v>0</v>
      </c>
      <c r="L674" s="48">
        <f t="shared" si="311"/>
        <v>0</v>
      </c>
      <c r="M674" s="48">
        <f t="shared" si="311"/>
        <v>0</v>
      </c>
      <c r="N674" s="48">
        <f t="shared" si="311"/>
        <v>0</v>
      </c>
      <c r="O674" s="48">
        <f t="shared" si="311"/>
        <v>0</v>
      </c>
      <c r="P674" s="48">
        <f t="shared" si="311"/>
        <v>0</v>
      </c>
      <c r="Q674" s="48">
        <f t="shared" si="311"/>
        <v>0</v>
      </c>
      <c r="R674" s="48">
        <f t="shared" si="311"/>
        <v>0</v>
      </c>
      <c r="S674" s="48">
        <f t="shared" si="311"/>
        <v>0</v>
      </c>
      <c r="T674" s="48">
        <f t="shared" si="311"/>
        <v>0</v>
      </c>
      <c r="U674" s="48">
        <f t="shared" si="311"/>
        <v>0</v>
      </c>
      <c r="V674" s="48">
        <f t="shared" si="311"/>
        <v>0</v>
      </c>
      <c r="W674" s="48">
        <f t="shared" si="311"/>
        <v>0</v>
      </c>
      <c r="X674" s="48">
        <f t="shared" si="311"/>
        <v>0</v>
      </c>
      <c r="Y674" s="48">
        <f t="shared" si="311"/>
        <v>0</v>
      </c>
      <c r="Z674" s="48">
        <f t="shared" si="311"/>
        <v>0</v>
      </c>
      <c r="AA674" s="48">
        <f t="shared" si="311"/>
        <v>0</v>
      </c>
      <c r="AB674" s="48">
        <f t="shared" si="311"/>
        <v>0</v>
      </c>
      <c r="AC674" s="48">
        <f t="shared" si="311"/>
        <v>0</v>
      </c>
      <c r="AD674" s="48">
        <f t="shared" si="311"/>
        <v>0</v>
      </c>
      <c r="AE674" s="48">
        <f t="shared" si="311"/>
        <v>0</v>
      </c>
      <c r="AF674" s="48">
        <f t="shared" si="311"/>
        <v>0</v>
      </c>
      <c r="AG674" s="48">
        <f t="shared" si="311"/>
        <v>0</v>
      </c>
      <c r="AH674" s="48">
        <f t="shared" si="311"/>
        <v>0</v>
      </c>
      <c r="AI674" s="48">
        <f t="shared" si="311"/>
        <v>0</v>
      </c>
      <c r="AJ674" s="48">
        <f t="shared" si="311"/>
        <v>0</v>
      </c>
      <c r="AK674" s="48">
        <f t="shared" si="311"/>
        <v>0</v>
      </c>
      <c r="AL674" s="48">
        <f t="shared" si="311"/>
        <v>0</v>
      </c>
      <c r="AM674" s="48">
        <f t="shared" si="311"/>
        <v>0</v>
      </c>
      <c r="AN674" s="48">
        <f t="shared" si="311"/>
        <v>0</v>
      </c>
      <c r="AO674" s="48">
        <f t="shared" si="311"/>
        <v>0</v>
      </c>
      <c r="AP674" s="48">
        <f t="shared" si="311"/>
        <v>0</v>
      </c>
      <c r="AQ674" s="48">
        <f t="shared" si="311"/>
        <v>0</v>
      </c>
      <c r="AR674" s="48">
        <f t="shared" si="311"/>
        <v>0</v>
      </c>
      <c r="AS674" s="48">
        <f t="shared" si="311"/>
        <v>0</v>
      </c>
      <c r="AT674" s="48">
        <f t="shared" si="311"/>
        <v>0</v>
      </c>
      <c r="AU674" s="48">
        <f t="shared" si="311"/>
        <v>0</v>
      </c>
      <c r="AV674" s="48">
        <f t="shared" si="311"/>
        <v>0</v>
      </c>
      <c r="AW674" s="48">
        <f t="shared" si="311"/>
        <v>0</v>
      </c>
      <c r="AX674" s="48">
        <f t="shared" si="311"/>
        <v>0</v>
      </c>
      <c r="AY674" s="48">
        <f t="shared" si="311"/>
        <v>0</v>
      </c>
      <c r="AZ674" s="48">
        <f t="shared" si="311"/>
        <v>0</v>
      </c>
      <c r="BA674" s="48">
        <f t="shared" si="311"/>
        <v>0</v>
      </c>
      <c r="BB674" s="48">
        <f t="shared" si="311"/>
        <v>0</v>
      </c>
      <c r="BC674" s="48">
        <f t="shared" si="311"/>
        <v>0.2</v>
      </c>
      <c r="BD674" s="48">
        <f t="shared" si="311"/>
        <v>1</v>
      </c>
      <c r="BE674" s="48">
        <f t="shared" si="311"/>
        <v>1</v>
      </c>
      <c r="BF674" s="48">
        <f t="shared" si="311"/>
        <v>1</v>
      </c>
      <c r="BG674" s="48">
        <f t="shared" si="311"/>
        <v>1</v>
      </c>
      <c r="BH674" s="48">
        <f t="shared" si="311"/>
        <v>1</v>
      </c>
      <c r="BI674" s="48">
        <f t="shared" si="311"/>
        <v>1</v>
      </c>
      <c r="BJ674" s="48">
        <f t="shared" si="311"/>
        <v>1</v>
      </c>
      <c r="BK674" s="48">
        <f t="shared" si="311"/>
        <v>1</v>
      </c>
      <c r="BL674" s="48">
        <f t="shared" si="311"/>
        <v>1</v>
      </c>
      <c r="BM674" s="48">
        <f t="shared" si="311"/>
        <v>1</v>
      </c>
      <c r="BN674" s="48">
        <f t="shared" si="311"/>
        <v>1</v>
      </c>
      <c r="BO674" s="32">
        <f t="shared" si="301"/>
        <v>0.18983050847457625</v>
      </c>
    </row>
    <row r="675" spans="1:67" x14ac:dyDescent="0.2">
      <c r="A675" s="50" t="s">
        <v>1358</v>
      </c>
      <c r="B675" s="50" t="s">
        <v>1359</v>
      </c>
      <c r="C675" s="50" t="s">
        <v>117</v>
      </c>
      <c r="D675" s="51">
        <f>VLOOKUP(A675,'[1]Cuadro Control'!C720:J2605,8,FALSE)</f>
        <v>320494616.71764702</v>
      </c>
      <c r="E675" s="52">
        <f t="shared" si="310"/>
        <v>6.0146395268527789E-2</v>
      </c>
      <c r="F675" s="53">
        <v>46546</v>
      </c>
      <c r="G675" s="53">
        <v>46550</v>
      </c>
      <c r="H675" s="52">
        <f t="shared" si="311"/>
        <v>0</v>
      </c>
      <c r="I675" s="52">
        <f t="shared" si="311"/>
        <v>0</v>
      </c>
      <c r="J675" s="52">
        <f t="shared" si="311"/>
        <v>0</v>
      </c>
      <c r="K675" s="52">
        <f t="shared" si="311"/>
        <v>0</v>
      </c>
      <c r="L675" s="52">
        <f t="shared" si="311"/>
        <v>0</v>
      </c>
      <c r="M675" s="52">
        <f t="shared" si="311"/>
        <v>0</v>
      </c>
      <c r="N675" s="52">
        <f t="shared" si="311"/>
        <v>0</v>
      </c>
      <c r="O675" s="52">
        <f t="shared" si="311"/>
        <v>0</v>
      </c>
      <c r="P675" s="52">
        <f t="shared" si="311"/>
        <v>0</v>
      </c>
      <c r="Q675" s="52">
        <f t="shared" si="311"/>
        <v>0</v>
      </c>
      <c r="R675" s="52">
        <f t="shared" si="311"/>
        <v>0</v>
      </c>
      <c r="S675" s="52">
        <f t="shared" si="311"/>
        <v>0</v>
      </c>
      <c r="T675" s="52">
        <f t="shared" si="311"/>
        <v>0</v>
      </c>
      <c r="U675" s="52">
        <f t="shared" si="311"/>
        <v>0</v>
      </c>
      <c r="V675" s="52">
        <f t="shared" si="311"/>
        <v>0</v>
      </c>
      <c r="W675" s="52">
        <f t="shared" si="311"/>
        <v>0</v>
      </c>
      <c r="X675" s="52">
        <f t="shared" si="311"/>
        <v>0</v>
      </c>
      <c r="Y675" s="52">
        <f t="shared" si="311"/>
        <v>0</v>
      </c>
      <c r="Z675" s="52">
        <f t="shared" si="311"/>
        <v>0</v>
      </c>
      <c r="AA675" s="52">
        <f t="shared" si="311"/>
        <v>0</v>
      </c>
      <c r="AB675" s="52">
        <f t="shared" si="311"/>
        <v>0</v>
      </c>
      <c r="AC675" s="52">
        <f t="shared" si="311"/>
        <v>0</v>
      </c>
      <c r="AD675" s="52">
        <f t="shared" si="311"/>
        <v>0</v>
      </c>
      <c r="AE675" s="52">
        <f t="shared" si="311"/>
        <v>0</v>
      </c>
      <c r="AF675" s="52">
        <f t="shared" si="311"/>
        <v>0</v>
      </c>
      <c r="AG675" s="52">
        <f t="shared" si="311"/>
        <v>0</v>
      </c>
      <c r="AH675" s="52">
        <f t="shared" si="311"/>
        <v>0</v>
      </c>
      <c r="AI675" s="52">
        <f t="shared" si="311"/>
        <v>0</v>
      </c>
      <c r="AJ675" s="52">
        <f t="shared" si="311"/>
        <v>0</v>
      </c>
      <c r="AK675" s="52">
        <f t="shared" si="311"/>
        <v>0</v>
      </c>
      <c r="AL675" s="52">
        <f t="shared" si="311"/>
        <v>0</v>
      </c>
      <c r="AM675" s="52">
        <f t="shared" si="311"/>
        <v>0</v>
      </c>
      <c r="AN675" s="52">
        <f t="shared" si="311"/>
        <v>0</v>
      </c>
      <c r="AO675" s="52">
        <f t="shared" si="311"/>
        <v>0</v>
      </c>
      <c r="AP675" s="52">
        <f t="shared" si="311"/>
        <v>0</v>
      </c>
      <c r="AQ675" s="52">
        <f t="shared" si="311"/>
        <v>0</v>
      </c>
      <c r="AR675" s="52">
        <f t="shared" si="311"/>
        <v>0</v>
      </c>
      <c r="AS675" s="52">
        <f t="shared" si="311"/>
        <v>0</v>
      </c>
      <c r="AT675" s="52">
        <f t="shared" si="311"/>
        <v>0</v>
      </c>
      <c r="AU675" s="52">
        <f t="shared" si="311"/>
        <v>0</v>
      </c>
      <c r="AV675" s="52">
        <f t="shared" si="311"/>
        <v>0</v>
      </c>
      <c r="AW675" s="52">
        <f t="shared" si="311"/>
        <v>0</v>
      </c>
      <c r="AX675" s="52">
        <f t="shared" si="311"/>
        <v>0</v>
      </c>
      <c r="AY675" s="52">
        <f t="shared" si="311"/>
        <v>0</v>
      </c>
      <c r="AZ675" s="52">
        <f t="shared" si="311"/>
        <v>0</v>
      </c>
      <c r="BA675" s="52">
        <f t="shared" si="311"/>
        <v>0</v>
      </c>
      <c r="BB675" s="52">
        <f t="shared" si="311"/>
        <v>0</v>
      </c>
      <c r="BC675" s="52">
        <f t="shared" si="311"/>
        <v>0</v>
      </c>
      <c r="BD675" s="52">
        <f t="shared" si="311"/>
        <v>0.8</v>
      </c>
      <c r="BE675" s="52">
        <f t="shared" si="311"/>
        <v>1</v>
      </c>
      <c r="BF675" s="52">
        <f t="shared" si="311"/>
        <v>1</v>
      </c>
      <c r="BG675" s="52">
        <f t="shared" si="311"/>
        <v>1</v>
      </c>
      <c r="BH675" s="52">
        <f t="shared" si="311"/>
        <v>1</v>
      </c>
      <c r="BI675" s="52">
        <f t="shared" si="311"/>
        <v>1</v>
      </c>
      <c r="BJ675" s="52">
        <f t="shared" si="311"/>
        <v>1</v>
      </c>
      <c r="BK675" s="52">
        <f t="shared" si="311"/>
        <v>1</v>
      </c>
      <c r="BL675" s="52">
        <f t="shared" si="311"/>
        <v>1</v>
      </c>
      <c r="BM675" s="52">
        <f t="shared" si="311"/>
        <v>1</v>
      </c>
      <c r="BN675" s="52">
        <f t="shared" si="311"/>
        <v>1</v>
      </c>
      <c r="BO675" s="32">
        <f t="shared" si="301"/>
        <v>0.18305084745762712</v>
      </c>
    </row>
    <row r="676" spans="1:67" x14ac:dyDescent="0.2">
      <c r="A676" s="50" t="s">
        <v>1360</v>
      </c>
      <c r="B676" s="50" t="s">
        <v>1361</v>
      </c>
      <c r="C676" s="50" t="s">
        <v>111</v>
      </c>
      <c r="D676" s="51">
        <f>VLOOKUP(A676,'[1]Cuadro Control'!C721:J2606,8,FALSE)</f>
        <v>94303618.549411759</v>
      </c>
      <c r="E676" s="52">
        <f t="shared" si="310"/>
        <v>1.7697716032224003E-2</v>
      </c>
      <c r="F676" s="53">
        <v>46550</v>
      </c>
      <c r="G676" s="53">
        <v>46553</v>
      </c>
      <c r="H676" s="52">
        <f t="shared" si="311"/>
        <v>0</v>
      </c>
      <c r="I676" s="52">
        <f t="shared" si="311"/>
        <v>0</v>
      </c>
      <c r="J676" s="52">
        <f t="shared" si="311"/>
        <v>0</v>
      </c>
      <c r="K676" s="52">
        <f t="shared" si="311"/>
        <v>0</v>
      </c>
      <c r="L676" s="52">
        <f t="shared" si="311"/>
        <v>0</v>
      </c>
      <c r="M676" s="52">
        <f t="shared" si="311"/>
        <v>0</v>
      </c>
      <c r="N676" s="52">
        <f t="shared" si="311"/>
        <v>0</v>
      </c>
      <c r="O676" s="52">
        <f t="shared" si="311"/>
        <v>0</v>
      </c>
      <c r="P676" s="52">
        <f t="shared" si="311"/>
        <v>0</v>
      </c>
      <c r="Q676" s="52">
        <f t="shared" si="311"/>
        <v>0</v>
      </c>
      <c r="R676" s="52">
        <f t="shared" si="311"/>
        <v>0</v>
      </c>
      <c r="S676" s="52">
        <f t="shared" si="311"/>
        <v>0</v>
      </c>
      <c r="T676" s="52">
        <f t="shared" si="311"/>
        <v>0</v>
      </c>
      <c r="U676" s="52">
        <f t="shared" si="311"/>
        <v>0</v>
      </c>
      <c r="V676" s="52">
        <f t="shared" si="311"/>
        <v>0</v>
      </c>
      <c r="W676" s="52">
        <f t="shared" si="311"/>
        <v>0</v>
      </c>
      <c r="X676" s="52">
        <f t="shared" si="311"/>
        <v>0</v>
      </c>
      <c r="Y676" s="52">
        <f t="shared" si="311"/>
        <v>0</v>
      </c>
      <c r="Z676" s="52">
        <f t="shared" si="311"/>
        <v>0</v>
      </c>
      <c r="AA676" s="52">
        <f t="shared" ref="AA676:BF688" si="312">IF($F676=0,0,IF(AA$6&lt;$F676,0,IF(AA$6&gt;$G676,1,(AA$6-$F676+1)/($G676-$F676+1))))</f>
        <v>0</v>
      </c>
      <c r="AB676" s="52">
        <f t="shared" si="312"/>
        <v>0</v>
      </c>
      <c r="AC676" s="52">
        <f t="shared" si="312"/>
        <v>0</v>
      </c>
      <c r="AD676" s="52">
        <f t="shared" si="312"/>
        <v>0</v>
      </c>
      <c r="AE676" s="52">
        <f t="shared" si="312"/>
        <v>0</v>
      </c>
      <c r="AF676" s="52">
        <f t="shared" si="312"/>
        <v>0</v>
      </c>
      <c r="AG676" s="52">
        <f t="shared" si="312"/>
        <v>0</v>
      </c>
      <c r="AH676" s="52">
        <f t="shared" si="312"/>
        <v>0</v>
      </c>
      <c r="AI676" s="52">
        <f t="shared" si="312"/>
        <v>0</v>
      </c>
      <c r="AJ676" s="52">
        <f t="shared" si="312"/>
        <v>0</v>
      </c>
      <c r="AK676" s="52">
        <f t="shared" si="312"/>
        <v>0</v>
      </c>
      <c r="AL676" s="52">
        <f t="shared" si="312"/>
        <v>0</v>
      </c>
      <c r="AM676" s="52">
        <f t="shared" si="312"/>
        <v>0</v>
      </c>
      <c r="AN676" s="52">
        <f t="shared" si="312"/>
        <v>0</v>
      </c>
      <c r="AO676" s="52">
        <f t="shared" si="312"/>
        <v>0</v>
      </c>
      <c r="AP676" s="52">
        <f t="shared" si="312"/>
        <v>0</v>
      </c>
      <c r="AQ676" s="52">
        <f t="shared" si="312"/>
        <v>0</v>
      </c>
      <c r="AR676" s="52">
        <f t="shared" si="312"/>
        <v>0</v>
      </c>
      <c r="AS676" s="52">
        <f t="shared" si="312"/>
        <v>0</v>
      </c>
      <c r="AT676" s="52">
        <f t="shared" si="312"/>
        <v>0</v>
      </c>
      <c r="AU676" s="52">
        <f t="shared" si="312"/>
        <v>0</v>
      </c>
      <c r="AV676" s="52">
        <f t="shared" si="312"/>
        <v>0</v>
      </c>
      <c r="AW676" s="52">
        <f t="shared" si="312"/>
        <v>0</v>
      </c>
      <c r="AX676" s="52">
        <f t="shared" si="312"/>
        <v>0</v>
      </c>
      <c r="AY676" s="52">
        <f t="shared" si="312"/>
        <v>0</v>
      </c>
      <c r="AZ676" s="52">
        <f t="shared" si="312"/>
        <v>0</v>
      </c>
      <c r="BA676" s="52">
        <f t="shared" si="312"/>
        <v>0</v>
      </c>
      <c r="BB676" s="52">
        <f t="shared" si="312"/>
        <v>0</v>
      </c>
      <c r="BC676" s="52">
        <f t="shared" si="312"/>
        <v>0</v>
      </c>
      <c r="BD676" s="52">
        <f t="shared" si="312"/>
        <v>0</v>
      </c>
      <c r="BE676" s="52">
        <f t="shared" si="312"/>
        <v>1</v>
      </c>
      <c r="BF676" s="52">
        <f t="shared" si="312"/>
        <v>1</v>
      </c>
      <c r="BG676" s="52">
        <f t="shared" ref="BG676:BN688" si="313">IF($F676=0,0,IF(BG$6&lt;$F676,0,IF(BG$6&gt;$G676,1,(BG$6-$F676+1)/($G676-$F676+1))))</f>
        <v>1</v>
      </c>
      <c r="BH676" s="52">
        <f t="shared" si="313"/>
        <v>1</v>
      </c>
      <c r="BI676" s="52">
        <f t="shared" si="313"/>
        <v>1</v>
      </c>
      <c r="BJ676" s="52">
        <f t="shared" si="313"/>
        <v>1</v>
      </c>
      <c r="BK676" s="52">
        <f t="shared" si="313"/>
        <v>1</v>
      </c>
      <c r="BL676" s="52">
        <f t="shared" si="313"/>
        <v>1</v>
      </c>
      <c r="BM676" s="52">
        <f t="shared" si="313"/>
        <v>1</v>
      </c>
      <c r="BN676" s="52">
        <f t="shared" si="313"/>
        <v>1</v>
      </c>
      <c r="BO676" s="32">
        <f t="shared" si="301"/>
        <v>0.16949152542372881</v>
      </c>
    </row>
    <row r="677" spans="1:67" x14ac:dyDescent="0.2">
      <c r="A677" s="50" t="s">
        <v>1362</v>
      </c>
      <c r="B677" s="50" t="s">
        <v>1363</v>
      </c>
      <c r="C677" s="50" t="s">
        <v>238</v>
      </c>
      <c r="D677" s="51">
        <f>VLOOKUP(A677,'[1]Cuadro Control'!C723:J2607,8,FALSE)</f>
        <v>179436034.15411764</v>
      </c>
      <c r="E677" s="52">
        <f t="shared" si="310"/>
        <v>3.3674296143197467E-2</v>
      </c>
      <c r="F677" s="53">
        <v>46553</v>
      </c>
      <c r="G677" s="53">
        <v>46557</v>
      </c>
      <c r="H677" s="52">
        <f t="shared" ref="H677:W688" si="314">IF($F677=0,0,IF(H$6&lt;$F677,0,IF(H$6&gt;$G677,1,(H$6-$F677+1)/($G677-$F677+1))))</f>
        <v>0</v>
      </c>
      <c r="I677" s="52">
        <f t="shared" si="314"/>
        <v>0</v>
      </c>
      <c r="J677" s="52">
        <f t="shared" si="314"/>
        <v>0</v>
      </c>
      <c r="K677" s="52">
        <f t="shared" si="314"/>
        <v>0</v>
      </c>
      <c r="L677" s="52">
        <f t="shared" si="314"/>
        <v>0</v>
      </c>
      <c r="M677" s="52">
        <f t="shared" si="314"/>
        <v>0</v>
      </c>
      <c r="N677" s="52">
        <f t="shared" si="314"/>
        <v>0</v>
      </c>
      <c r="O677" s="52">
        <f t="shared" si="314"/>
        <v>0</v>
      </c>
      <c r="P677" s="52">
        <f t="shared" si="314"/>
        <v>0</v>
      </c>
      <c r="Q677" s="52">
        <f t="shared" si="314"/>
        <v>0</v>
      </c>
      <c r="R677" s="52">
        <f t="shared" si="314"/>
        <v>0</v>
      </c>
      <c r="S677" s="52">
        <f t="shared" si="314"/>
        <v>0</v>
      </c>
      <c r="T677" s="52">
        <f t="shared" si="314"/>
        <v>0</v>
      </c>
      <c r="U677" s="52">
        <f t="shared" si="314"/>
        <v>0</v>
      </c>
      <c r="V677" s="52">
        <f t="shared" si="314"/>
        <v>0</v>
      </c>
      <c r="W677" s="52">
        <f t="shared" si="314"/>
        <v>0</v>
      </c>
      <c r="X677" s="52">
        <f t="shared" ref="X677:AN688" si="315">IF($F677=0,0,IF(X$6&lt;$F677,0,IF(X$6&gt;$G677,1,(X$6-$F677+1)/($G677-$F677+1))))</f>
        <v>0</v>
      </c>
      <c r="Y677" s="52">
        <f t="shared" si="315"/>
        <v>0</v>
      </c>
      <c r="Z677" s="52">
        <f t="shared" si="315"/>
        <v>0</v>
      </c>
      <c r="AA677" s="52">
        <f t="shared" si="315"/>
        <v>0</v>
      </c>
      <c r="AB677" s="52">
        <f t="shared" si="315"/>
        <v>0</v>
      </c>
      <c r="AC677" s="52">
        <f t="shared" si="315"/>
        <v>0</v>
      </c>
      <c r="AD677" s="52">
        <f t="shared" si="315"/>
        <v>0</v>
      </c>
      <c r="AE677" s="52">
        <f t="shared" si="315"/>
        <v>0</v>
      </c>
      <c r="AF677" s="52">
        <f t="shared" si="315"/>
        <v>0</v>
      </c>
      <c r="AG677" s="52">
        <f t="shared" si="315"/>
        <v>0</v>
      </c>
      <c r="AH677" s="52">
        <f t="shared" si="315"/>
        <v>0</v>
      </c>
      <c r="AI677" s="52">
        <f t="shared" si="315"/>
        <v>0</v>
      </c>
      <c r="AJ677" s="52">
        <f t="shared" si="315"/>
        <v>0</v>
      </c>
      <c r="AK677" s="52">
        <f t="shared" si="315"/>
        <v>0</v>
      </c>
      <c r="AL677" s="52">
        <f t="shared" si="315"/>
        <v>0</v>
      </c>
      <c r="AM677" s="52">
        <f t="shared" si="315"/>
        <v>0</v>
      </c>
      <c r="AN677" s="52">
        <f t="shared" si="315"/>
        <v>0</v>
      </c>
      <c r="AO677" s="52">
        <f t="shared" si="312"/>
        <v>0</v>
      </c>
      <c r="AP677" s="52">
        <f t="shared" si="312"/>
        <v>0</v>
      </c>
      <c r="AQ677" s="52">
        <f t="shared" si="312"/>
        <v>0</v>
      </c>
      <c r="AR677" s="52">
        <f t="shared" si="312"/>
        <v>0</v>
      </c>
      <c r="AS677" s="52">
        <f t="shared" si="312"/>
        <v>0</v>
      </c>
      <c r="AT677" s="52">
        <f t="shared" si="312"/>
        <v>0</v>
      </c>
      <c r="AU677" s="52">
        <f t="shared" si="312"/>
        <v>0</v>
      </c>
      <c r="AV677" s="52">
        <f t="shared" si="312"/>
        <v>0</v>
      </c>
      <c r="AW677" s="52">
        <f t="shared" si="312"/>
        <v>0</v>
      </c>
      <c r="AX677" s="52">
        <f t="shared" si="312"/>
        <v>0</v>
      </c>
      <c r="AY677" s="52">
        <f t="shared" si="312"/>
        <v>0</v>
      </c>
      <c r="AZ677" s="52">
        <f t="shared" si="312"/>
        <v>0</v>
      </c>
      <c r="BA677" s="52">
        <f t="shared" si="312"/>
        <v>0</v>
      </c>
      <c r="BB677" s="52">
        <f t="shared" si="312"/>
        <v>0</v>
      </c>
      <c r="BC677" s="52">
        <f t="shared" si="312"/>
        <v>0</v>
      </c>
      <c r="BD677" s="52">
        <f t="shared" si="312"/>
        <v>0</v>
      </c>
      <c r="BE677" s="52">
        <f t="shared" si="312"/>
        <v>0.8</v>
      </c>
      <c r="BF677" s="52">
        <f t="shared" si="312"/>
        <v>1</v>
      </c>
      <c r="BG677" s="52">
        <f t="shared" si="313"/>
        <v>1</v>
      </c>
      <c r="BH677" s="52">
        <f t="shared" si="313"/>
        <v>1</v>
      </c>
      <c r="BI677" s="52">
        <f t="shared" si="313"/>
        <v>1</v>
      </c>
      <c r="BJ677" s="52">
        <f t="shared" si="313"/>
        <v>1</v>
      </c>
      <c r="BK677" s="52">
        <f t="shared" si="313"/>
        <v>1</v>
      </c>
      <c r="BL677" s="52">
        <f t="shared" si="313"/>
        <v>1</v>
      </c>
      <c r="BM677" s="52">
        <f t="shared" si="313"/>
        <v>1</v>
      </c>
      <c r="BN677" s="52">
        <f t="shared" si="313"/>
        <v>1</v>
      </c>
      <c r="BO677" s="32">
        <f t="shared" si="301"/>
        <v>0.16610169491525426</v>
      </c>
    </row>
    <row r="678" spans="1:67" x14ac:dyDescent="0.2">
      <c r="A678" s="50" t="s">
        <v>1364</v>
      </c>
      <c r="B678" s="50" t="s">
        <v>1365</v>
      </c>
      <c r="C678" s="50" t="s">
        <v>58</v>
      </c>
      <c r="D678" s="51">
        <f>VLOOKUP(A678,'[1]Cuadro Control'!C724:J2608,8,FALSE)</f>
        <v>1212623361.2117648</v>
      </c>
      <c r="E678" s="52">
        <f t="shared" si="310"/>
        <v>0.22756988788847143</v>
      </c>
      <c r="F678" s="53">
        <v>46557</v>
      </c>
      <c r="G678" s="53">
        <v>46575</v>
      </c>
      <c r="H678" s="52">
        <f t="shared" si="314"/>
        <v>0</v>
      </c>
      <c r="I678" s="52">
        <f t="shared" si="314"/>
        <v>0</v>
      </c>
      <c r="J678" s="52">
        <f t="shared" si="314"/>
        <v>0</v>
      </c>
      <c r="K678" s="52">
        <f t="shared" si="314"/>
        <v>0</v>
      </c>
      <c r="L678" s="52">
        <f t="shared" si="314"/>
        <v>0</v>
      </c>
      <c r="M678" s="52">
        <f t="shared" si="314"/>
        <v>0</v>
      </c>
      <c r="N678" s="52">
        <f t="shared" si="314"/>
        <v>0</v>
      </c>
      <c r="O678" s="52">
        <f t="shared" si="314"/>
        <v>0</v>
      </c>
      <c r="P678" s="52">
        <f t="shared" si="314"/>
        <v>0</v>
      </c>
      <c r="Q678" s="52">
        <f t="shared" si="314"/>
        <v>0</v>
      </c>
      <c r="R678" s="52">
        <f t="shared" si="314"/>
        <v>0</v>
      </c>
      <c r="S678" s="52">
        <f t="shared" si="314"/>
        <v>0</v>
      </c>
      <c r="T678" s="52">
        <f t="shared" si="314"/>
        <v>0</v>
      </c>
      <c r="U678" s="52">
        <f t="shared" si="314"/>
        <v>0</v>
      </c>
      <c r="V678" s="52">
        <f t="shared" si="314"/>
        <v>0</v>
      </c>
      <c r="W678" s="52">
        <f t="shared" si="314"/>
        <v>0</v>
      </c>
      <c r="X678" s="52">
        <f t="shared" si="315"/>
        <v>0</v>
      </c>
      <c r="Y678" s="52">
        <f t="shared" si="315"/>
        <v>0</v>
      </c>
      <c r="Z678" s="52">
        <f t="shared" si="315"/>
        <v>0</v>
      </c>
      <c r="AA678" s="52">
        <f t="shared" si="315"/>
        <v>0</v>
      </c>
      <c r="AB678" s="52">
        <f t="shared" si="315"/>
        <v>0</v>
      </c>
      <c r="AC678" s="52">
        <f t="shared" si="315"/>
        <v>0</v>
      </c>
      <c r="AD678" s="52">
        <f t="shared" si="315"/>
        <v>0</v>
      </c>
      <c r="AE678" s="52">
        <f t="shared" si="315"/>
        <v>0</v>
      </c>
      <c r="AF678" s="52">
        <f t="shared" si="315"/>
        <v>0</v>
      </c>
      <c r="AG678" s="52">
        <f t="shared" si="315"/>
        <v>0</v>
      </c>
      <c r="AH678" s="52">
        <f t="shared" si="315"/>
        <v>0</v>
      </c>
      <c r="AI678" s="52">
        <f t="shared" si="315"/>
        <v>0</v>
      </c>
      <c r="AJ678" s="52">
        <f t="shared" si="315"/>
        <v>0</v>
      </c>
      <c r="AK678" s="52">
        <f t="shared" si="315"/>
        <v>0</v>
      </c>
      <c r="AL678" s="52">
        <f t="shared" si="315"/>
        <v>0</v>
      </c>
      <c r="AM678" s="52">
        <f t="shared" si="315"/>
        <v>0</v>
      </c>
      <c r="AN678" s="52">
        <f t="shared" si="315"/>
        <v>0</v>
      </c>
      <c r="AO678" s="52">
        <f t="shared" si="312"/>
        <v>0</v>
      </c>
      <c r="AP678" s="52">
        <f t="shared" si="312"/>
        <v>0</v>
      </c>
      <c r="AQ678" s="52">
        <f t="shared" si="312"/>
        <v>0</v>
      </c>
      <c r="AR678" s="52">
        <f t="shared" si="312"/>
        <v>0</v>
      </c>
      <c r="AS678" s="52">
        <f t="shared" si="312"/>
        <v>0</v>
      </c>
      <c r="AT678" s="52">
        <f t="shared" si="312"/>
        <v>0</v>
      </c>
      <c r="AU678" s="52">
        <f t="shared" si="312"/>
        <v>0</v>
      </c>
      <c r="AV678" s="52">
        <f t="shared" si="312"/>
        <v>0</v>
      </c>
      <c r="AW678" s="52">
        <f t="shared" si="312"/>
        <v>0</v>
      </c>
      <c r="AX678" s="52">
        <f t="shared" si="312"/>
        <v>0</v>
      </c>
      <c r="AY678" s="52">
        <f t="shared" si="312"/>
        <v>0</v>
      </c>
      <c r="AZ678" s="52">
        <f t="shared" si="312"/>
        <v>0</v>
      </c>
      <c r="BA678" s="52">
        <f t="shared" si="312"/>
        <v>0</v>
      </c>
      <c r="BB678" s="52">
        <f t="shared" si="312"/>
        <v>0</v>
      </c>
      <c r="BC678" s="52">
        <f t="shared" si="312"/>
        <v>0</v>
      </c>
      <c r="BD678" s="52">
        <f t="shared" si="312"/>
        <v>0</v>
      </c>
      <c r="BE678" s="52">
        <f t="shared" si="312"/>
        <v>0</v>
      </c>
      <c r="BF678" s="52">
        <f t="shared" si="312"/>
        <v>0.36842105263157893</v>
      </c>
      <c r="BG678" s="52">
        <f t="shared" si="313"/>
        <v>0.73684210526315785</v>
      </c>
      <c r="BH678" s="52">
        <f t="shared" si="313"/>
        <v>1</v>
      </c>
      <c r="BI678" s="52">
        <f t="shared" si="313"/>
        <v>1</v>
      </c>
      <c r="BJ678" s="52">
        <f t="shared" si="313"/>
        <v>1</v>
      </c>
      <c r="BK678" s="52">
        <f t="shared" si="313"/>
        <v>1</v>
      </c>
      <c r="BL678" s="52">
        <f t="shared" si="313"/>
        <v>1</v>
      </c>
      <c r="BM678" s="52">
        <f t="shared" si="313"/>
        <v>1</v>
      </c>
      <c r="BN678" s="52">
        <f t="shared" si="313"/>
        <v>1</v>
      </c>
      <c r="BO678" s="32">
        <f t="shared" si="301"/>
        <v>0.13737734165923282</v>
      </c>
    </row>
    <row r="679" spans="1:67" x14ac:dyDescent="0.2">
      <c r="A679" s="50" t="s">
        <v>1366</v>
      </c>
      <c r="B679" s="50" t="s">
        <v>1367</v>
      </c>
      <c r="C679" s="50" t="s">
        <v>126</v>
      </c>
      <c r="D679" s="51">
        <f>VLOOKUP(A679,'[1]Cuadro Control'!C725:J2609,8,FALSE)</f>
        <v>0</v>
      </c>
      <c r="E679" s="52">
        <f t="shared" si="310"/>
        <v>0</v>
      </c>
      <c r="F679" s="53">
        <v>46575</v>
      </c>
      <c r="G679" s="53">
        <v>46577</v>
      </c>
      <c r="H679" s="52">
        <f t="shared" si="314"/>
        <v>0</v>
      </c>
      <c r="I679" s="52">
        <f t="shared" si="314"/>
        <v>0</v>
      </c>
      <c r="J679" s="52">
        <f t="shared" si="314"/>
        <v>0</v>
      </c>
      <c r="K679" s="52">
        <f t="shared" si="314"/>
        <v>0</v>
      </c>
      <c r="L679" s="52">
        <f t="shared" si="314"/>
        <v>0</v>
      </c>
      <c r="M679" s="52">
        <f t="shared" si="314"/>
        <v>0</v>
      </c>
      <c r="N679" s="52">
        <f t="shared" si="314"/>
        <v>0</v>
      </c>
      <c r="O679" s="52">
        <f t="shared" si="314"/>
        <v>0</v>
      </c>
      <c r="P679" s="52">
        <f t="shared" si="314"/>
        <v>0</v>
      </c>
      <c r="Q679" s="52">
        <f t="shared" si="314"/>
        <v>0</v>
      </c>
      <c r="R679" s="52">
        <f t="shared" si="314"/>
        <v>0</v>
      </c>
      <c r="S679" s="52">
        <f t="shared" si="314"/>
        <v>0</v>
      </c>
      <c r="T679" s="52">
        <f t="shared" si="314"/>
        <v>0</v>
      </c>
      <c r="U679" s="52">
        <f t="shared" si="314"/>
        <v>0</v>
      </c>
      <c r="V679" s="52">
        <f t="shared" si="314"/>
        <v>0</v>
      </c>
      <c r="W679" s="52">
        <f t="shared" si="314"/>
        <v>0</v>
      </c>
      <c r="X679" s="52">
        <f t="shared" si="315"/>
        <v>0</v>
      </c>
      <c r="Y679" s="52">
        <f t="shared" si="315"/>
        <v>0</v>
      </c>
      <c r="Z679" s="52">
        <f t="shared" si="315"/>
        <v>0</v>
      </c>
      <c r="AA679" s="52">
        <f t="shared" si="315"/>
        <v>0</v>
      </c>
      <c r="AB679" s="52">
        <f t="shared" si="315"/>
        <v>0</v>
      </c>
      <c r="AC679" s="52">
        <f t="shared" si="315"/>
        <v>0</v>
      </c>
      <c r="AD679" s="52">
        <f t="shared" si="315"/>
        <v>0</v>
      </c>
      <c r="AE679" s="52">
        <f t="shared" si="315"/>
        <v>0</v>
      </c>
      <c r="AF679" s="52">
        <f t="shared" si="315"/>
        <v>0</v>
      </c>
      <c r="AG679" s="52">
        <f t="shared" si="315"/>
        <v>0</v>
      </c>
      <c r="AH679" s="52">
        <f t="shared" si="315"/>
        <v>0</v>
      </c>
      <c r="AI679" s="52">
        <f t="shared" si="315"/>
        <v>0</v>
      </c>
      <c r="AJ679" s="52">
        <f t="shared" si="315"/>
        <v>0</v>
      </c>
      <c r="AK679" s="52">
        <f t="shared" si="315"/>
        <v>0</v>
      </c>
      <c r="AL679" s="52">
        <f t="shared" si="315"/>
        <v>0</v>
      </c>
      <c r="AM679" s="52">
        <f t="shared" si="315"/>
        <v>0</v>
      </c>
      <c r="AN679" s="52">
        <f t="shared" si="315"/>
        <v>0</v>
      </c>
      <c r="AO679" s="52">
        <f t="shared" si="312"/>
        <v>0</v>
      </c>
      <c r="AP679" s="52">
        <f t="shared" si="312"/>
        <v>0</v>
      </c>
      <c r="AQ679" s="52">
        <f t="shared" si="312"/>
        <v>0</v>
      </c>
      <c r="AR679" s="52">
        <f t="shared" si="312"/>
        <v>0</v>
      </c>
      <c r="AS679" s="52">
        <f t="shared" si="312"/>
        <v>0</v>
      </c>
      <c r="AT679" s="52">
        <f t="shared" si="312"/>
        <v>0</v>
      </c>
      <c r="AU679" s="52">
        <f t="shared" si="312"/>
        <v>0</v>
      </c>
      <c r="AV679" s="52">
        <f t="shared" si="312"/>
        <v>0</v>
      </c>
      <c r="AW679" s="52">
        <f t="shared" si="312"/>
        <v>0</v>
      </c>
      <c r="AX679" s="52">
        <f t="shared" si="312"/>
        <v>0</v>
      </c>
      <c r="AY679" s="52">
        <f t="shared" si="312"/>
        <v>0</v>
      </c>
      <c r="AZ679" s="52">
        <f t="shared" si="312"/>
        <v>0</v>
      </c>
      <c r="BA679" s="52">
        <f t="shared" si="312"/>
        <v>0</v>
      </c>
      <c r="BB679" s="52">
        <f t="shared" si="312"/>
        <v>0</v>
      </c>
      <c r="BC679" s="52">
        <f t="shared" si="312"/>
        <v>0</v>
      </c>
      <c r="BD679" s="52">
        <f t="shared" si="312"/>
        <v>0</v>
      </c>
      <c r="BE679" s="52">
        <f t="shared" si="312"/>
        <v>0</v>
      </c>
      <c r="BF679" s="52">
        <f t="shared" si="312"/>
        <v>0</v>
      </c>
      <c r="BG679" s="52">
        <f t="shared" si="313"/>
        <v>0</v>
      </c>
      <c r="BH679" s="52">
        <f t="shared" si="313"/>
        <v>1</v>
      </c>
      <c r="BI679" s="52">
        <f t="shared" si="313"/>
        <v>1</v>
      </c>
      <c r="BJ679" s="52">
        <f t="shared" si="313"/>
        <v>1</v>
      </c>
      <c r="BK679" s="52">
        <f t="shared" si="313"/>
        <v>1</v>
      </c>
      <c r="BL679" s="52">
        <f t="shared" si="313"/>
        <v>1</v>
      </c>
      <c r="BM679" s="52">
        <f t="shared" si="313"/>
        <v>1</v>
      </c>
      <c r="BN679" s="52">
        <f t="shared" si="313"/>
        <v>1</v>
      </c>
      <c r="BO679" s="32">
        <f t="shared" si="301"/>
        <v>0.11864406779661017</v>
      </c>
    </row>
    <row r="680" spans="1:67" ht="24" x14ac:dyDescent="0.2">
      <c r="A680" s="55" t="s">
        <v>1368</v>
      </c>
      <c r="B680" s="55" t="s">
        <v>1369</v>
      </c>
      <c r="C680" s="55" t="s">
        <v>14</v>
      </c>
      <c r="D680" s="56">
        <f>VLOOKUP(A680,'[1]Cuadro Control'!C726:J2610,8,FALSE)</f>
        <v>0</v>
      </c>
      <c r="E680" s="57">
        <f t="shared" si="310"/>
        <v>0</v>
      </c>
      <c r="F680" s="58">
        <v>46575</v>
      </c>
      <c r="G680" s="58">
        <v>46575</v>
      </c>
      <c r="H680" s="57">
        <f t="shared" si="314"/>
        <v>0</v>
      </c>
      <c r="I680" s="57">
        <f t="shared" si="314"/>
        <v>0</v>
      </c>
      <c r="J680" s="57">
        <f t="shared" si="314"/>
        <v>0</v>
      </c>
      <c r="K680" s="57">
        <f t="shared" si="314"/>
        <v>0</v>
      </c>
      <c r="L680" s="57">
        <f t="shared" si="314"/>
        <v>0</v>
      </c>
      <c r="M680" s="57">
        <f t="shared" si="314"/>
        <v>0</v>
      </c>
      <c r="N680" s="57">
        <f t="shared" si="314"/>
        <v>0</v>
      </c>
      <c r="O680" s="57">
        <f t="shared" si="314"/>
        <v>0</v>
      </c>
      <c r="P680" s="57">
        <f t="shared" si="314"/>
        <v>0</v>
      </c>
      <c r="Q680" s="57">
        <f t="shared" si="314"/>
        <v>0</v>
      </c>
      <c r="R680" s="57">
        <f t="shared" si="314"/>
        <v>0</v>
      </c>
      <c r="S680" s="57">
        <f t="shared" si="314"/>
        <v>0</v>
      </c>
      <c r="T680" s="57">
        <f t="shared" si="314"/>
        <v>0</v>
      </c>
      <c r="U680" s="57">
        <f t="shared" si="314"/>
        <v>0</v>
      </c>
      <c r="V680" s="57">
        <f t="shared" si="314"/>
        <v>0</v>
      </c>
      <c r="W680" s="57">
        <f t="shared" si="314"/>
        <v>0</v>
      </c>
      <c r="X680" s="57">
        <f t="shared" si="315"/>
        <v>0</v>
      </c>
      <c r="Y680" s="57">
        <f t="shared" si="315"/>
        <v>0</v>
      </c>
      <c r="Z680" s="57">
        <f t="shared" si="315"/>
        <v>0</v>
      </c>
      <c r="AA680" s="57">
        <f t="shared" si="315"/>
        <v>0</v>
      </c>
      <c r="AB680" s="57">
        <f t="shared" si="315"/>
        <v>0</v>
      </c>
      <c r="AC680" s="57">
        <f t="shared" si="315"/>
        <v>0</v>
      </c>
      <c r="AD680" s="57">
        <f t="shared" si="315"/>
        <v>0</v>
      </c>
      <c r="AE680" s="57">
        <f t="shared" si="315"/>
        <v>0</v>
      </c>
      <c r="AF680" s="57">
        <f t="shared" si="315"/>
        <v>0</v>
      </c>
      <c r="AG680" s="57">
        <f t="shared" si="315"/>
        <v>0</v>
      </c>
      <c r="AH680" s="57">
        <f t="shared" si="315"/>
        <v>0</v>
      </c>
      <c r="AI680" s="57">
        <f t="shared" si="315"/>
        <v>0</v>
      </c>
      <c r="AJ680" s="57">
        <f t="shared" si="315"/>
        <v>0</v>
      </c>
      <c r="AK680" s="57">
        <f t="shared" si="315"/>
        <v>0</v>
      </c>
      <c r="AL680" s="57">
        <f t="shared" si="315"/>
        <v>0</v>
      </c>
      <c r="AM680" s="57">
        <f t="shared" si="315"/>
        <v>0</v>
      </c>
      <c r="AN680" s="57">
        <f t="shared" si="315"/>
        <v>0</v>
      </c>
      <c r="AO680" s="57">
        <f t="shared" si="312"/>
        <v>0</v>
      </c>
      <c r="AP680" s="57">
        <f t="shared" si="312"/>
        <v>0</v>
      </c>
      <c r="AQ680" s="57">
        <f t="shared" si="312"/>
        <v>0</v>
      </c>
      <c r="AR680" s="57">
        <f t="shared" si="312"/>
        <v>0</v>
      </c>
      <c r="AS680" s="57">
        <f t="shared" si="312"/>
        <v>0</v>
      </c>
      <c r="AT680" s="57">
        <f t="shared" si="312"/>
        <v>0</v>
      </c>
      <c r="AU680" s="57">
        <f t="shared" si="312"/>
        <v>0</v>
      </c>
      <c r="AV680" s="57">
        <f t="shared" si="312"/>
        <v>0</v>
      </c>
      <c r="AW680" s="57">
        <f t="shared" si="312"/>
        <v>0</v>
      </c>
      <c r="AX680" s="57">
        <f t="shared" si="312"/>
        <v>0</v>
      </c>
      <c r="AY680" s="57">
        <f t="shared" si="312"/>
        <v>0</v>
      </c>
      <c r="AZ680" s="57">
        <f t="shared" si="312"/>
        <v>0</v>
      </c>
      <c r="BA680" s="57">
        <f t="shared" si="312"/>
        <v>0</v>
      </c>
      <c r="BB680" s="57">
        <f t="shared" si="312"/>
        <v>0</v>
      </c>
      <c r="BC680" s="57">
        <f t="shared" si="312"/>
        <v>0</v>
      </c>
      <c r="BD680" s="57">
        <f t="shared" si="312"/>
        <v>0</v>
      </c>
      <c r="BE680" s="57">
        <f t="shared" si="312"/>
        <v>0</v>
      </c>
      <c r="BF680" s="57">
        <f t="shared" si="312"/>
        <v>0</v>
      </c>
      <c r="BG680" s="57">
        <f t="shared" si="313"/>
        <v>0</v>
      </c>
      <c r="BH680" s="57">
        <f t="shared" si="313"/>
        <v>1</v>
      </c>
      <c r="BI680" s="57">
        <f t="shared" si="313"/>
        <v>1</v>
      </c>
      <c r="BJ680" s="57">
        <f t="shared" si="313"/>
        <v>1</v>
      </c>
      <c r="BK680" s="57">
        <f t="shared" si="313"/>
        <v>1</v>
      </c>
      <c r="BL680" s="57">
        <f t="shared" si="313"/>
        <v>1</v>
      </c>
      <c r="BM680" s="57">
        <f t="shared" si="313"/>
        <v>1</v>
      </c>
      <c r="BN680" s="57">
        <f t="shared" si="313"/>
        <v>1</v>
      </c>
      <c r="BO680" s="32">
        <f t="shared" si="301"/>
        <v>0.11864406779661017</v>
      </c>
    </row>
    <row r="681" spans="1:67" x14ac:dyDescent="0.2">
      <c r="A681" s="50" t="s">
        <v>1370</v>
      </c>
      <c r="B681" s="50" t="s">
        <v>1371</v>
      </c>
      <c r="C681" s="50" t="s">
        <v>111</v>
      </c>
      <c r="D681" s="51">
        <f>VLOOKUP(A681,'[1]Cuadro Control'!C727:J2611,8,FALSE)</f>
        <v>1230815225.9452939</v>
      </c>
      <c r="E681" s="52">
        <f t="shared" si="310"/>
        <v>0.23098390806185359</v>
      </c>
      <c r="F681" s="53">
        <v>46577</v>
      </c>
      <c r="G681" s="53">
        <v>46578</v>
      </c>
      <c r="H681" s="52">
        <f t="shared" si="314"/>
        <v>0</v>
      </c>
      <c r="I681" s="52">
        <f t="shared" si="314"/>
        <v>0</v>
      </c>
      <c r="J681" s="52">
        <f t="shared" si="314"/>
        <v>0</v>
      </c>
      <c r="K681" s="52">
        <f t="shared" si="314"/>
        <v>0</v>
      </c>
      <c r="L681" s="52">
        <f t="shared" si="314"/>
        <v>0</v>
      </c>
      <c r="M681" s="52">
        <f t="shared" si="314"/>
        <v>0</v>
      </c>
      <c r="N681" s="52">
        <f t="shared" si="314"/>
        <v>0</v>
      </c>
      <c r="O681" s="52">
        <f t="shared" si="314"/>
        <v>0</v>
      </c>
      <c r="P681" s="52">
        <f t="shared" si="314"/>
        <v>0</v>
      </c>
      <c r="Q681" s="52">
        <f t="shared" si="314"/>
        <v>0</v>
      </c>
      <c r="R681" s="52">
        <f t="shared" si="314"/>
        <v>0</v>
      </c>
      <c r="S681" s="52">
        <f t="shared" si="314"/>
        <v>0</v>
      </c>
      <c r="T681" s="52">
        <f t="shared" si="314"/>
        <v>0</v>
      </c>
      <c r="U681" s="52">
        <f t="shared" si="314"/>
        <v>0</v>
      </c>
      <c r="V681" s="52">
        <f t="shared" si="314"/>
        <v>0</v>
      </c>
      <c r="W681" s="52">
        <f t="shared" si="314"/>
        <v>0</v>
      </c>
      <c r="X681" s="52">
        <f t="shared" si="315"/>
        <v>0</v>
      </c>
      <c r="Y681" s="52">
        <f t="shared" si="315"/>
        <v>0</v>
      </c>
      <c r="Z681" s="52">
        <f t="shared" si="315"/>
        <v>0</v>
      </c>
      <c r="AA681" s="52">
        <f t="shared" si="315"/>
        <v>0</v>
      </c>
      <c r="AB681" s="52">
        <f t="shared" si="315"/>
        <v>0</v>
      </c>
      <c r="AC681" s="52">
        <f t="shared" si="315"/>
        <v>0</v>
      </c>
      <c r="AD681" s="52">
        <f t="shared" si="315"/>
        <v>0</v>
      </c>
      <c r="AE681" s="52">
        <f t="shared" si="315"/>
        <v>0</v>
      </c>
      <c r="AF681" s="52">
        <f t="shared" si="315"/>
        <v>0</v>
      </c>
      <c r="AG681" s="52">
        <f t="shared" si="315"/>
        <v>0</v>
      </c>
      <c r="AH681" s="52">
        <f t="shared" si="315"/>
        <v>0</v>
      </c>
      <c r="AI681" s="52">
        <f t="shared" si="315"/>
        <v>0</v>
      </c>
      <c r="AJ681" s="52">
        <f t="shared" si="315"/>
        <v>0</v>
      </c>
      <c r="AK681" s="52">
        <f t="shared" si="315"/>
        <v>0</v>
      </c>
      <c r="AL681" s="52">
        <f t="shared" si="315"/>
        <v>0</v>
      </c>
      <c r="AM681" s="52">
        <f t="shared" si="315"/>
        <v>0</v>
      </c>
      <c r="AN681" s="52">
        <f t="shared" si="315"/>
        <v>0</v>
      </c>
      <c r="AO681" s="52">
        <f t="shared" si="312"/>
        <v>0</v>
      </c>
      <c r="AP681" s="52">
        <f t="shared" si="312"/>
        <v>0</v>
      </c>
      <c r="AQ681" s="52">
        <f t="shared" si="312"/>
        <v>0</v>
      </c>
      <c r="AR681" s="52">
        <f t="shared" si="312"/>
        <v>0</v>
      </c>
      <c r="AS681" s="52">
        <f t="shared" si="312"/>
        <v>0</v>
      </c>
      <c r="AT681" s="52">
        <f t="shared" si="312"/>
        <v>0</v>
      </c>
      <c r="AU681" s="52">
        <f t="shared" si="312"/>
        <v>0</v>
      </c>
      <c r="AV681" s="52">
        <f t="shared" si="312"/>
        <v>0</v>
      </c>
      <c r="AW681" s="52">
        <f t="shared" si="312"/>
        <v>0</v>
      </c>
      <c r="AX681" s="52">
        <f t="shared" si="312"/>
        <v>0</v>
      </c>
      <c r="AY681" s="52">
        <f t="shared" si="312"/>
        <v>0</v>
      </c>
      <c r="AZ681" s="52">
        <f t="shared" si="312"/>
        <v>0</v>
      </c>
      <c r="BA681" s="52">
        <f t="shared" si="312"/>
        <v>0</v>
      </c>
      <c r="BB681" s="52">
        <f t="shared" si="312"/>
        <v>0</v>
      </c>
      <c r="BC681" s="52">
        <f t="shared" si="312"/>
        <v>0</v>
      </c>
      <c r="BD681" s="52">
        <f t="shared" si="312"/>
        <v>0</v>
      </c>
      <c r="BE681" s="52">
        <f t="shared" si="312"/>
        <v>0</v>
      </c>
      <c r="BF681" s="52">
        <f t="shared" si="312"/>
        <v>0</v>
      </c>
      <c r="BG681" s="52">
        <f t="shared" si="313"/>
        <v>0</v>
      </c>
      <c r="BH681" s="52">
        <f t="shared" si="313"/>
        <v>0.5</v>
      </c>
      <c r="BI681" s="52">
        <f t="shared" si="313"/>
        <v>1</v>
      </c>
      <c r="BJ681" s="52">
        <f t="shared" si="313"/>
        <v>1</v>
      </c>
      <c r="BK681" s="52">
        <f t="shared" si="313"/>
        <v>1</v>
      </c>
      <c r="BL681" s="52">
        <f t="shared" si="313"/>
        <v>1</v>
      </c>
      <c r="BM681" s="52">
        <f t="shared" si="313"/>
        <v>1</v>
      </c>
      <c r="BN681" s="52">
        <f t="shared" si="313"/>
        <v>1</v>
      </c>
      <c r="BO681" s="32">
        <f t="shared" si="301"/>
        <v>0.11016949152542373</v>
      </c>
    </row>
    <row r="682" spans="1:67" x14ac:dyDescent="0.2">
      <c r="A682" s="50" t="s">
        <v>1372</v>
      </c>
      <c r="B682" s="50" t="s">
        <v>1373</v>
      </c>
      <c r="C682" s="50" t="s">
        <v>238</v>
      </c>
      <c r="D682" s="51">
        <f>VLOOKUP(A682,'[1]Cuadro Control'!C728:J2612,8,FALSE)</f>
        <v>0</v>
      </c>
      <c r="E682" s="52">
        <f t="shared" si="310"/>
        <v>0</v>
      </c>
      <c r="F682" s="53">
        <v>46578</v>
      </c>
      <c r="G682" s="53">
        <v>46589</v>
      </c>
      <c r="H682" s="52">
        <f t="shared" si="314"/>
        <v>0</v>
      </c>
      <c r="I682" s="52">
        <f t="shared" si="314"/>
        <v>0</v>
      </c>
      <c r="J682" s="52">
        <f t="shared" si="314"/>
        <v>0</v>
      </c>
      <c r="K682" s="52">
        <f t="shared" si="314"/>
        <v>0</v>
      </c>
      <c r="L682" s="52">
        <f t="shared" si="314"/>
        <v>0</v>
      </c>
      <c r="M682" s="52">
        <f t="shared" si="314"/>
        <v>0</v>
      </c>
      <c r="N682" s="52">
        <f t="shared" si="314"/>
        <v>0</v>
      </c>
      <c r="O682" s="52">
        <f t="shared" si="314"/>
        <v>0</v>
      </c>
      <c r="P682" s="52">
        <f t="shared" si="314"/>
        <v>0</v>
      </c>
      <c r="Q682" s="52">
        <f t="shared" si="314"/>
        <v>0</v>
      </c>
      <c r="R682" s="52">
        <f t="shared" si="314"/>
        <v>0</v>
      </c>
      <c r="S682" s="52">
        <f t="shared" si="314"/>
        <v>0</v>
      </c>
      <c r="T682" s="52">
        <f t="shared" si="314"/>
        <v>0</v>
      </c>
      <c r="U682" s="52">
        <f t="shared" si="314"/>
        <v>0</v>
      </c>
      <c r="V682" s="52">
        <f t="shared" si="314"/>
        <v>0</v>
      </c>
      <c r="W682" s="52">
        <f t="shared" si="314"/>
        <v>0</v>
      </c>
      <c r="X682" s="52">
        <f t="shared" si="315"/>
        <v>0</v>
      </c>
      <c r="Y682" s="52">
        <f t="shared" si="315"/>
        <v>0</v>
      </c>
      <c r="Z682" s="52">
        <f t="shared" si="315"/>
        <v>0</v>
      </c>
      <c r="AA682" s="52">
        <f t="shared" si="315"/>
        <v>0</v>
      </c>
      <c r="AB682" s="52">
        <f t="shared" si="315"/>
        <v>0</v>
      </c>
      <c r="AC682" s="52">
        <f t="shared" si="315"/>
        <v>0</v>
      </c>
      <c r="AD682" s="52">
        <f t="shared" si="315"/>
        <v>0</v>
      </c>
      <c r="AE682" s="52">
        <f t="shared" si="315"/>
        <v>0</v>
      </c>
      <c r="AF682" s="52">
        <f t="shared" si="315"/>
        <v>0</v>
      </c>
      <c r="AG682" s="52">
        <f t="shared" si="315"/>
        <v>0</v>
      </c>
      <c r="AH682" s="52">
        <f t="shared" si="315"/>
        <v>0</v>
      </c>
      <c r="AI682" s="52">
        <f t="shared" si="315"/>
        <v>0</v>
      </c>
      <c r="AJ682" s="52">
        <f t="shared" si="315"/>
        <v>0</v>
      </c>
      <c r="AK682" s="52">
        <f t="shared" si="315"/>
        <v>0</v>
      </c>
      <c r="AL682" s="52">
        <f t="shared" si="315"/>
        <v>0</v>
      </c>
      <c r="AM682" s="52">
        <f t="shared" si="315"/>
        <v>0</v>
      </c>
      <c r="AN682" s="52">
        <f t="shared" si="315"/>
        <v>0</v>
      </c>
      <c r="AO682" s="52">
        <f t="shared" si="312"/>
        <v>0</v>
      </c>
      <c r="AP682" s="52">
        <f t="shared" si="312"/>
        <v>0</v>
      </c>
      <c r="AQ682" s="52">
        <f t="shared" si="312"/>
        <v>0</v>
      </c>
      <c r="AR682" s="52">
        <f t="shared" si="312"/>
        <v>0</v>
      </c>
      <c r="AS682" s="52">
        <f t="shared" si="312"/>
        <v>0</v>
      </c>
      <c r="AT682" s="52">
        <f t="shared" si="312"/>
        <v>0</v>
      </c>
      <c r="AU682" s="52">
        <f t="shared" si="312"/>
        <v>0</v>
      </c>
      <c r="AV682" s="52">
        <f t="shared" si="312"/>
        <v>0</v>
      </c>
      <c r="AW682" s="52">
        <f t="shared" si="312"/>
        <v>0</v>
      </c>
      <c r="AX682" s="52">
        <f t="shared" si="312"/>
        <v>0</v>
      </c>
      <c r="AY682" s="52">
        <f t="shared" si="312"/>
        <v>0</v>
      </c>
      <c r="AZ682" s="52">
        <f t="shared" si="312"/>
        <v>0</v>
      </c>
      <c r="BA682" s="52">
        <f t="shared" si="312"/>
        <v>0</v>
      </c>
      <c r="BB682" s="52">
        <f t="shared" si="312"/>
        <v>0</v>
      </c>
      <c r="BC682" s="52">
        <f t="shared" si="312"/>
        <v>0</v>
      </c>
      <c r="BD682" s="52">
        <f t="shared" si="312"/>
        <v>0</v>
      </c>
      <c r="BE682" s="52">
        <f t="shared" si="312"/>
        <v>0</v>
      </c>
      <c r="BF682" s="52">
        <f t="shared" si="312"/>
        <v>0</v>
      </c>
      <c r="BG682" s="52">
        <f t="shared" si="313"/>
        <v>0</v>
      </c>
      <c r="BH682" s="52">
        <f t="shared" si="313"/>
        <v>0</v>
      </c>
      <c r="BI682" s="52">
        <f t="shared" si="313"/>
        <v>0.58333333333333337</v>
      </c>
      <c r="BJ682" s="52">
        <f t="shared" si="313"/>
        <v>1</v>
      </c>
      <c r="BK682" s="52">
        <f t="shared" si="313"/>
        <v>1</v>
      </c>
      <c r="BL682" s="52">
        <f t="shared" si="313"/>
        <v>1</v>
      </c>
      <c r="BM682" s="52">
        <f t="shared" si="313"/>
        <v>1</v>
      </c>
      <c r="BN682" s="52">
        <f t="shared" si="313"/>
        <v>1</v>
      </c>
      <c r="BO682" s="32">
        <f t="shared" si="301"/>
        <v>9.4632768361581937E-2</v>
      </c>
    </row>
    <row r="683" spans="1:67" ht="24" x14ac:dyDescent="0.2">
      <c r="A683" s="50" t="s">
        <v>1374</v>
      </c>
      <c r="B683" s="50" t="s">
        <v>1375</v>
      </c>
      <c r="C683" s="50" t="s">
        <v>126</v>
      </c>
      <c r="D683" s="51">
        <f>VLOOKUP(A683,'[1]Cuadro Control'!C729:J2613,8,FALSE)</f>
        <v>72439256.308702826</v>
      </c>
      <c r="E683" s="52">
        <f t="shared" si="310"/>
        <v>1.3594487756216758E-2</v>
      </c>
      <c r="F683" s="53">
        <v>46589</v>
      </c>
      <c r="G683" s="53">
        <v>46591</v>
      </c>
      <c r="H683" s="52">
        <f t="shared" si="314"/>
        <v>0</v>
      </c>
      <c r="I683" s="52">
        <f t="shared" si="314"/>
        <v>0</v>
      </c>
      <c r="J683" s="52">
        <f t="shared" si="314"/>
        <v>0</v>
      </c>
      <c r="K683" s="52">
        <f t="shared" si="314"/>
        <v>0</v>
      </c>
      <c r="L683" s="52">
        <f t="shared" si="314"/>
        <v>0</v>
      </c>
      <c r="M683" s="52">
        <f t="shared" si="314"/>
        <v>0</v>
      </c>
      <c r="N683" s="52">
        <f t="shared" si="314"/>
        <v>0</v>
      </c>
      <c r="O683" s="52">
        <f t="shared" si="314"/>
        <v>0</v>
      </c>
      <c r="P683" s="52">
        <f t="shared" si="314"/>
        <v>0</v>
      </c>
      <c r="Q683" s="52">
        <f t="shared" si="314"/>
        <v>0</v>
      </c>
      <c r="R683" s="52">
        <f t="shared" si="314"/>
        <v>0</v>
      </c>
      <c r="S683" s="52">
        <f t="shared" si="314"/>
        <v>0</v>
      </c>
      <c r="T683" s="52">
        <f t="shared" si="314"/>
        <v>0</v>
      </c>
      <c r="U683" s="52">
        <f t="shared" si="314"/>
        <v>0</v>
      </c>
      <c r="V683" s="52">
        <f t="shared" si="314"/>
        <v>0</v>
      </c>
      <c r="W683" s="52">
        <f t="shared" si="314"/>
        <v>0</v>
      </c>
      <c r="X683" s="52">
        <f t="shared" si="315"/>
        <v>0</v>
      </c>
      <c r="Y683" s="52">
        <f t="shared" si="315"/>
        <v>0</v>
      </c>
      <c r="Z683" s="52">
        <f t="shared" si="315"/>
        <v>0</v>
      </c>
      <c r="AA683" s="52">
        <f t="shared" si="315"/>
        <v>0</v>
      </c>
      <c r="AB683" s="52">
        <f t="shared" si="315"/>
        <v>0</v>
      </c>
      <c r="AC683" s="52">
        <f t="shared" si="315"/>
        <v>0</v>
      </c>
      <c r="AD683" s="52">
        <f t="shared" si="315"/>
        <v>0</v>
      </c>
      <c r="AE683" s="52">
        <f t="shared" si="315"/>
        <v>0</v>
      </c>
      <c r="AF683" s="52">
        <f t="shared" si="315"/>
        <v>0</v>
      </c>
      <c r="AG683" s="52">
        <f t="shared" si="315"/>
        <v>0</v>
      </c>
      <c r="AH683" s="52">
        <f t="shared" si="315"/>
        <v>0</v>
      </c>
      <c r="AI683" s="52">
        <f t="shared" si="315"/>
        <v>0</v>
      </c>
      <c r="AJ683" s="52">
        <f t="shared" si="315"/>
        <v>0</v>
      </c>
      <c r="AK683" s="52">
        <f t="shared" si="315"/>
        <v>0</v>
      </c>
      <c r="AL683" s="52">
        <f t="shared" si="315"/>
        <v>0</v>
      </c>
      <c r="AM683" s="52">
        <f t="shared" si="315"/>
        <v>0</v>
      </c>
      <c r="AN683" s="52">
        <f t="shared" si="315"/>
        <v>0</v>
      </c>
      <c r="AO683" s="52">
        <f t="shared" si="312"/>
        <v>0</v>
      </c>
      <c r="AP683" s="52">
        <f t="shared" si="312"/>
        <v>0</v>
      </c>
      <c r="AQ683" s="52">
        <f t="shared" si="312"/>
        <v>0</v>
      </c>
      <c r="AR683" s="52">
        <f t="shared" si="312"/>
        <v>0</v>
      </c>
      <c r="AS683" s="52">
        <f t="shared" si="312"/>
        <v>0</v>
      </c>
      <c r="AT683" s="52">
        <f t="shared" si="312"/>
        <v>0</v>
      </c>
      <c r="AU683" s="52">
        <f t="shared" si="312"/>
        <v>0</v>
      </c>
      <c r="AV683" s="52">
        <f t="shared" si="312"/>
        <v>0</v>
      </c>
      <c r="AW683" s="52">
        <f t="shared" si="312"/>
        <v>0</v>
      </c>
      <c r="AX683" s="52">
        <f t="shared" si="312"/>
        <v>0</v>
      </c>
      <c r="AY683" s="52">
        <f t="shared" si="312"/>
        <v>0</v>
      </c>
      <c r="AZ683" s="52">
        <f t="shared" si="312"/>
        <v>0</v>
      </c>
      <c r="BA683" s="52">
        <f t="shared" si="312"/>
        <v>0</v>
      </c>
      <c r="BB683" s="52">
        <f t="shared" si="312"/>
        <v>0</v>
      </c>
      <c r="BC683" s="52">
        <f t="shared" si="312"/>
        <v>0</v>
      </c>
      <c r="BD683" s="52">
        <f t="shared" si="312"/>
        <v>0</v>
      </c>
      <c r="BE683" s="52">
        <f t="shared" si="312"/>
        <v>0</v>
      </c>
      <c r="BF683" s="52">
        <f t="shared" si="312"/>
        <v>0</v>
      </c>
      <c r="BG683" s="52">
        <f t="shared" si="313"/>
        <v>0</v>
      </c>
      <c r="BH683" s="52">
        <f t="shared" si="313"/>
        <v>0</v>
      </c>
      <c r="BI683" s="52">
        <f t="shared" si="313"/>
        <v>0</v>
      </c>
      <c r="BJ683" s="52">
        <f t="shared" si="313"/>
        <v>1</v>
      </c>
      <c r="BK683" s="52">
        <f t="shared" si="313"/>
        <v>1</v>
      </c>
      <c r="BL683" s="52">
        <f t="shared" si="313"/>
        <v>1</v>
      </c>
      <c r="BM683" s="52">
        <f t="shared" si="313"/>
        <v>1</v>
      </c>
      <c r="BN683" s="52">
        <f t="shared" si="313"/>
        <v>1</v>
      </c>
      <c r="BO683" s="32">
        <f t="shared" si="301"/>
        <v>8.4745762711864403E-2</v>
      </c>
    </row>
    <row r="684" spans="1:67" ht="24" x14ac:dyDescent="0.2">
      <c r="A684" s="50" t="s">
        <v>1376</v>
      </c>
      <c r="B684" s="50" t="s">
        <v>1377</v>
      </c>
      <c r="C684" s="50" t="s">
        <v>117</v>
      </c>
      <c r="D684" s="51">
        <f>VLOOKUP(A684,'[1]Cuadro Control'!C730:J2614,8,FALSE)</f>
        <v>46410609.014634147</v>
      </c>
      <c r="E684" s="52">
        <f t="shared" si="310"/>
        <v>8.7097588815556008E-3</v>
      </c>
      <c r="F684" s="53">
        <v>46591</v>
      </c>
      <c r="G684" s="53">
        <v>46594</v>
      </c>
      <c r="H684" s="52">
        <f t="shared" si="314"/>
        <v>0</v>
      </c>
      <c r="I684" s="52">
        <f t="shared" si="314"/>
        <v>0</v>
      </c>
      <c r="J684" s="52">
        <f t="shared" si="314"/>
        <v>0</v>
      </c>
      <c r="K684" s="52">
        <f t="shared" si="314"/>
        <v>0</v>
      </c>
      <c r="L684" s="52">
        <f t="shared" si="314"/>
        <v>0</v>
      </c>
      <c r="M684" s="52">
        <f t="shared" si="314"/>
        <v>0</v>
      </c>
      <c r="N684" s="52">
        <f t="shared" si="314"/>
        <v>0</v>
      </c>
      <c r="O684" s="52">
        <f t="shared" si="314"/>
        <v>0</v>
      </c>
      <c r="P684" s="52">
        <f t="shared" si="314"/>
        <v>0</v>
      </c>
      <c r="Q684" s="52">
        <f t="shared" si="314"/>
        <v>0</v>
      </c>
      <c r="R684" s="52">
        <f t="shared" si="314"/>
        <v>0</v>
      </c>
      <c r="S684" s="52">
        <f t="shared" si="314"/>
        <v>0</v>
      </c>
      <c r="T684" s="52">
        <f t="shared" si="314"/>
        <v>0</v>
      </c>
      <c r="U684" s="52">
        <f t="shared" si="314"/>
        <v>0</v>
      </c>
      <c r="V684" s="52">
        <f t="shared" si="314"/>
        <v>0</v>
      </c>
      <c r="W684" s="52">
        <f t="shared" si="314"/>
        <v>0</v>
      </c>
      <c r="X684" s="52">
        <f t="shared" si="315"/>
        <v>0</v>
      </c>
      <c r="Y684" s="52">
        <f t="shared" si="315"/>
        <v>0</v>
      </c>
      <c r="Z684" s="52">
        <f t="shared" si="315"/>
        <v>0</v>
      </c>
      <c r="AA684" s="52">
        <f t="shared" si="315"/>
        <v>0</v>
      </c>
      <c r="AB684" s="52">
        <f t="shared" si="315"/>
        <v>0</v>
      </c>
      <c r="AC684" s="52">
        <f t="shared" si="315"/>
        <v>0</v>
      </c>
      <c r="AD684" s="52">
        <f t="shared" si="315"/>
        <v>0</v>
      </c>
      <c r="AE684" s="52">
        <f t="shared" si="315"/>
        <v>0</v>
      </c>
      <c r="AF684" s="52">
        <f t="shared" si="315"/>
        <v>0</v>
      </c>
      <c r="AG684" s="52">
        <f t="shared" si="315"/>
        <v>0</v>
      </c>
      <c r="AH684" s="52">
        <f t="shared" si="315"/>
        <v>0</v>
      </c>
      <c r="AI684" s="52">
        <f t="shared" si="315"/>
        <v>0</v>
      </c>
      <c r="AJ684" s="52">
        <f t="shared" si="315"/>
        <v>0</v>
      </c>
      <c r="AK684" s="52">
        <f t="shared" si="315"/>
        <v>0</v>
      </c>
      <c r="AL684" s="52">
        <f t="shared" si="315"/>
        <v>0</v>
      </c>
      <c r="AM684" s="52">
        <f t="shared" si="315"/>
        <v>0</v>
      </c>
      <c r="AN684" s="52">
        <f t="shared" si="315"/>
        <v>0</v>
      </c>
      <c r="AO684" s="52">
        <f t="shared" si="312"/>
        <v>0</v>
      </c>
      <c r="AP684" s="52">
        <f t="shared" si="312"/>
        <v>0</v>
      </c>
      <c r="AQ684" s="52">
        <f t="shared" si="312"/>
        <v>0</v>
      </c>
      <c r="AR684" s="52">
        <f t="shared" si="312"/>
        <v>0</v>
      </c>
      <c r="AS684" s="52">
        <f t="shared" si="312"/>
        <v>0</v>
      </c>
      <c r="AT684" s="52">
        <f t="shared" si="312"/>
        <v>0</v>
      </c>
      <c r="AU684" s="52">
        <f t="shared" si="312"/>
        <v>0</v>
      </c>
      <c r="AV684" s="52">
        <f t="shared" si="312"/>
        <v>0</v>
      </c>
      <c r="AW684" s="52">
        <f t="shared" si="312"/>
        <v>0</v>
      </c>
      <c r="AX684" s="52">
        <f t="shared" si="312"/>
        <v>0</v>
      </c>
      <c r="AY684" s="52">
        <f t="shared" si="312"/>
        <v>0</v>
      </c>
      <c r="AZ684" s="52">
        <f t="shared" si="312"/>
        <v>0</v>
      </c>
      <c r="BA684" s="52">
        <f t="shared" si="312"/>
        <v>0</v>
      </c>
      <c r="BB684" s="52">
        <f t="shared" si="312"/>
        <v>0</v>
      </c>
      <c r="BC684" s="52">
        <f t="shared" si="312"/>
        <v>0</v>
      </c>
      <c r="BD684" s="52">
        <f t="shared" si="312"/>
        <v>0</v>
      </c>
      <c r="BE684" s="52">
        <f t="shared" si="312"/>
        <v>0</v>
      </c>
      <c r="BF684" s="52">
        <f t="shared" si="312"/>
        <v>0</v>
      </c>
      <c r="BG684" s="52">
        <f t="shared" si="313"/>
        <v>0</v>
      </c>
      <c r="BH684" s="52">
        <f t="shared" si="313"/>
        <v>0</v>
      </c>
      <c r="BI684" s="52">
        <f t="shared" si="313"/>
        <v>0</v>
      </c>
      <c r="BJ684" s="52">
        <f t="shared" si="313"/>
        <v>0.25</v>
      </c>
      <c r="BK684" s="52">
        <f t="shared" si="313"/>
        <v>1</v>
      </c>
      <c r="BL684" s="52">
        <f t="shared" si="313"/>
        <v>1</v>
      </c>
      <c r="BM684" s="52">
        <f t="shared" si="313"/>
        <v>1</v>
      </c>
      <c r="BN684" s="52">
        <f t="shared" si="313"/>
        <v>1</v>
      </c>
      <c r="BO684" s="32">
        <f t="shared" si="301"/>
        <v>7.2033898305084748E-2</v>
      </c>
    </row>
    <row r="685" spans="1:67" ht="24" x14ac:dyDescent="0.2">
      <c r="A685" s="50" t="s">
        <v>1378</v>
      </c>
      <c r="B685" s="50" t="s">
        <v>1379</v>
      </c>
      <c r="C685" s="50" t="s">
        <v>61</v>
      </c>
      <c r="D685" s="51">
        <f>VLOOKUP(A685,'[1]Cuadro Control'!C731:J2615,8,FALSE)</f>
        <v>1587346329.5488234</v>
      </c>
      <c r="E685" s="52">
        <f t="shared" si="310"/>
        <v>0.29789317756061195</v>
      </c>
      <c r="F685" s="53">
        <v>46594</v>
      </c>
      <c r="G685" s="53">
        <v>46604</v>
      </c>
      <c r="H685" s="52">
        <f t="shared" si="314"/>
        <v>0</v>
      </c>
      <c r="I685" s="52">
        <f t="shared" si="314"/>
        <v>0</v>
      </c>
      <c r="J685" s="52">
        <f t="shared" si="314"/>
        <v>0</v>
      </c>
      <c r="K685" s="52">
        <f t="shared" si="314"/>
        <v>0</v>
      </c>
      <c r="L685" s="52">
        <f t="shared" si="314"/>
        <v>0</v>
      </c>
      <c r="M685" s="52">
        <f t="shared" si="314"/>
        <v>0</v>
      </c>
      <c r="N685" s="52">
        <f t="shared" si="314"/>
        <v>0</v>
      </c>
      <c r="O685" s="52">
        <f t="shared" si="314"/>
        <v>0</v>
      </c>
      <c r="P685" s="52">
        <f t="shared" si="314"/>
        <v>0</v>
      </c>
      <c r="Q685" s="52">
        <f t="shared" si="314"/>
        <v>0</v>
      </c>
      <c r="R685" s="52">
        <f t="shared" si="314"/>
        <v>0</v>
      </c>
      <c r="S685" s="52">
        <f t="shared" si="314"/>
        <v>0</v>
      </c>
      <c r="T685" s="52">
        <f t="shared" si="314"/>
        <v>0</v>
      </c>
      <c r="U685" s="52">
        <f t="shared" si="314"/>
        <v>0</v>
      </c>
      <c r="V685" s="52">
        <f t="shared" si="314"/>
        <v>0</v>
      </c>
      <c r="W685" s="52">
        <f t="shared" si="314"/>
        <v>0</v>
      </c>
      <c r="X685" s="52">
        <f t="shared" si="315"/>
        <v>0</v>
      </c>
      <c r="Y685" s="52">
        <f t="shared" si="315"/>
        <v>0</v>
      </c>
      <c r="Z685" s="52">
        <f t="shared" si="315"/>
        <v>0</v>
      </c>
      <c r="AA685" s="52">
        <f t="shared" si="315"/>
        <v>0</v>
      </c>
      <c r="AB685" s="52">
        <f t="shared" si="315"/>
        <v>0</v>
      </c>
      <c r="AC685" s="52">
        <f t="shared" si="315"/>
        <v>0</v>
      </c>
      <c r="AD685" s="52">
        <f t="shared" si="315"/>
        <v>0</v>
      </c>
      <c r="AE685" s="52">
        <f t="shared" si="315"/>
        <v>0</v>
      </c>
      <c r="AF685" s="52">
        <f t="shared" si="315"/>
        <v>0</v>
      </c>
      <c r="AG685" s="52">
        <f t="shared" si="315"/>
        <v>0</v>
      </c>
      <c r="AH685" s="52">
        <f t="shared" si="315"/>
        <v>0</v>
      </c>
      <c r="AI685" s="52">
        <f t="shared" si="315"/>
        <v>0</v>
      </c>
      <c r="AJ685" s="52">
        <f t="shared" si="315"/>
        <v>0</v>
      </c>
      <c r="AK685" s="52">
        <f t="shared" si="315"/>
        <v>0</v>
      </c>
      <c r="AL685" s="52">
        <f t="shared" si="315"/>
        <v>0</v>
      </c>
      <c r="AM685" s="52">
        <f t="shared" si="315"/>
        <v>0</v>
      </c>
      <c r="AN685" s="52">
        <f t="shared" si="315"/>
        <v>0</v>
      </c>
      <c r="AO685" s="52">
        <f t="shared" si="312"/>
        <v>0</v>
      </c>
      <c r="AP685" s="52">
        <f t="shared" si="312"/>
        <v>0</v>
      </c>
      <c r="AQ685" s="52">
        <f t="shared" si="312"/>
        <v>0</v>
      </c>
      <c r="AR685" s="52">
        <f t="shared" si="312"/>
        <v>0</v>
      </c>
      <c r="AS685" s="52">
        <f t="shared" si="312"/>
        <v>0</v>
      </c>
      <c r="AT685" s="52">
        <f t="shared" si="312"/>
        <v>0</v>
      </c>
      <c r="AU685" s="52">
        <f t="shared" si="312"/>
        <v>0</v>
      </c>
      <c r="AV685" s="52">
        <f t="shared" si="312"/>
        <v>0</v>
      </c>
      <c r="AW685" s="52">
        <f t="shared" si="312"/>
        <v>0</v>
      </c>
      <c r="AX685" s="52">
        <f t="shared" si="312"/>
        <v>0</v>
      </c>
      <c r="AY685" s="52">
        <f t="shared" si="312"/>
        <v>0</v>
      </c>
      <c r="AZ685" s="52">
        <f t="shared" si="312"/>
        <v>0</v>
      </c>
      <c r="BA685" s="52">
        <f t="shared" si="312"/>
        <v>0</v>
      </c>
      <c r="BB685" s="52">
        <f t="shared" si="312"/>
        <v>0</v>
      </c>
      <c r="BC685" s="52">
        <f t="shared" si="312"/>
        <v>0</v>
      </c>
      <c r="BD685" s="52">
        <f t="shared" si="312"/>
        <v>0</v>
      </c>
      <c r="BE685" s="52">
        <f t="shared" si="312"/>
        <v>0</v>
      </c>
      <c r="BF685" s="52">
        <f t="shared" si="312"/>
        <v>0</v>
      </c>
      <c r="BG685" s="52">
        <f t="shared" si="313"/>
        <v>0</v>
      </c>
      <c r="BH685" s="52">
        <f t="shared" si="313"/>
        <v>0</v>
      </c>
      <c r="BI685" s="52">
        <f t="shared" si="313"/>
        <v>0</v>
      </c>
      <c r="BJ685" s="52">
        <f t="shared" si="313"/>
        <v>0</v>
      </c>
      <c r="BK685" s="52">
        <f t="shared" si="313"/>
        <v>0.45454545454545453</v>
      </c>
      <c r="BL685" s="52">
        <f t="shared" si="313"/>
        <v>1</v>
      </c>
      <c r="BM685" s="52">
        <f t="shared" si="313"/>
        <v>1</v>
      </c>
      <c r="BN685" s="52">
        <f t="shared" si="313"/>
        <v>1</v>
      </c>
      <c r="BO685" s="32">
        <f t="shared" si="301"/>
        <v>5.8551617873651769E-2</v>
      </c>
    </row>
    <row r="686" spans="1:67" ht="30" x14ac:dyDescent="0.2">
      <c r="A686" s="46" t="s">
        <v>1380</v>
      </c>
      <c r="B686" s="46" t="s">
        <v>1381</v>
      </c>
      <c r="C686" s="46" t="s">
        <v>61</v>
      </c>
      <c r="D686" s="47">
        <f>VLOOKUP(A686,'[1]Cuadro Control'!C732:J2616,8,FALSE)</f>
        <v>179532477.23999998</v>
      </c>
      <c r="E686" s="48">
        <f t="shared" si="310"/>
        <v>3.369239536752705E-2</v>
      </c>
      <c r="F686" s="49">
        <v>46596</v>
      </c>
      <c r="G686" s="49">
        <v>46606</v>
      </c>
      <c r="H686" s="48">
        <f t="shared" si="314"/>
        <v>0</v>
      </c>
      <c r="I686" s="48">
        <f t="shared" si="314"/>
        <v>0</v>
      </c>
      <c r="J686" s="48">
        <f t="shared" si="314"/>
        <v>0</v>
      </c>
      <c r="K686" s="48">
        <f t="shared" si="314"/>
        <v>0</v>
      </c>
      <c r="L686" s="48">
        <f t="shared" si="314"/>
        <v>0</v>
      </c>
      <c r="M686" s="48">
        <f t="shared" si="314"/>
        <v>0</v>
      </c>
      <c r="N686" s="48">
        <f t="shared" si="314"/>
        <v>0</v>
      </c>
      <c r="O686" s="48">
        <f t="shared" si="314"/>
        <v>0</v>
      </c>
      <c r="P686" s="48">
        <f t="shared" si="314"/>
        <v>0</v>
      </c>
      <c r="Q686" s="48">
        <f t="shared" si="314"/>
        <v>0</v>
      </c>
      <c r="R686" s="48">
        <f t="shared" si="314"/>
        <v>0</v>
      </c>
      <c r="S686" s="48">
        <f t="shared" si="314"/>
        <v>0</v>
      </c>
      <c r="T686" s="48">
        <f t="shared" si="314"/>
        <v>0</v>
      </c>
      <c r="U686" s="48">
        <f t="shared" si="314"/>
        <v>0</v>
      </c>
      <c r="V686" s="48">
        <f t="shared" si="314"/>
        <v>0</v>
      </c>
      <c r="W686" s="48">
        <f t="shared" si="314"/>
        <v>0</v>
      </c>
      <c r="X686" s="48">
        <f t="shared" si="315"/>
        <v>0</v>
      </c>
      <c r="Y686" s="48">
        <f t="shared" si="315"/>
        <v>0</v>
      </c>
      <c r="Z686" s="48">
        <f t="shared" si="315"/>
        <v>0</v>
      </c>
      <c r="AA686" s="48">
        <f t="shared" si="315"/>
        <v>0</v>
      </c>
      <c r="AB686" s="48">
        <f t="shared" si="315"/>
        <v>0</v>
      </c>
      <c r="AC686" s="48">
        <f t="shared" si="315"/>
        <v>0</v>
      </c>
      <c r="AD686" s="48">
        <f t="shared" si="315"/>
        <v>0</v>
      </c>
      <c r="AE686" s="48">
        <f t="shared" si="315"/>
        <v>0</v>
      </c>
      <c r="AF686" s="48">
        <f t="shared" si="315"/>
        <v>0</v>
      </c>
      <c r="AG686" s="48">
        <f t="shared" si="315"/>
        <v>0</v>
      </c>
      <c r="AH686" s="48">
        <f t="shared" si="315"/>
        <v>0</v>
      </c>
      <c r="AI686" s="48">
        <f t="shared" si="315"/>
        <v>0</v>
      </c>
      <c r="AJ686" s="48">
        <f t="shared" si="315"/>
        <v>0</v>
      </c>
      <c r="AK686" s="48">
        <f t="shared" si="315"/>
        <v>0</v>
      </c>
      <c r="AL686" s="48">
        <f t="shared" si="315"/>
        <v>0</v>
      </c>
      <c r="AM686" s="48">
        <f t="shared" si="315"/>
        <v>0</v>
      </c>
      <c r="AN686" s="48">
        <f t="shared" si="315"/>
        <v>0</v>
      </c>
      <c r="AO686" s="48">
        <f t="shared" si="312"/>
        <v>0</v>
      </c>
      <c r="AP686" s="48">
        <f t="shared" si="312"/>
        <v>0</v>
      </c>
      <c r="AQ686" s="48">
        <f t="shared" si="312"/>
        <v>0</v>
      </c>
      <c r="AR686" s="48">
        <f t="shared" si="312"/>
        <v>0</v>
      </c>
      <c r="AS686" s="48">
        <f t="shared" si="312"/>
        <v>0</v>
      </c>
      <c r="AT686" s="48">
        <f t="shared" si="312"/>
        <v>0</v>
      </c>
      <c r="AU686" s="48">
        <f t="shared" si="312"/>
        <v>0</v>
      </c>
      <c r="AV686" s="48">
        <f t="shared" si="312"/>
        <v>0</v>
      </c>
      <c r="AW686" s="48">
        <f t="shared" si="312"/>
        <v>0</v>
      </c>
      <c r="AX686" s="48">
        <f t="shared" si="312"/>
        <v>0</v>
      </c>
      <c r="AY686" s="48">
        <f t="shared" si="312"/>
        <v>0</v>
      </c>
      <c r="AZ686" s="48">
        <f t="shared" si="312"/>
        <v>0</v>
      </c>
      <c r="BA686" s="48">
        <f t="shared" si="312"/>
        <v>0</v>
      </c>
      <c r="BB686" s="48">
        <f t="shared" si="312"/>
        <v>0</v>
      </c>
      <c r="BC686" s="48">
        <f t="shared" si="312"/>
        <v>0</v>
      </c>
      <c r="BD686" s="48">
        <f t="shared" si="312"/>
        <v>0</v>
      </c>
      <c r="BE686" s="48">
        <f t="shared" si="312"/>
        <v>0</v>
      </c>
      <c r="BF686" s="48">
        <f t="shared" si="312"/>
        <v>0</v>
      </c>
      <c r="BG686" s="48">
        <f t="shared" si="313"/>
        <v>0</v>
      </c>
      <c r="BH686" s="48">
        <f t="shared" si="313"/>
        <v>0</v>
      </c>
      <c r="BI686" s="48">
        <f t="shared" si="313"/>
        <v>0</v>
      </c>
      <c r="BJ686" s="48">
        <f t="shared" si="313"/>
        <v>0</v>
      </c>
      <c r="BK686" s="48">
        <f t="shared" si="313"/>
        <v>0.27272727272727271</v>
      </c>
      <c r="BL686" s="48">
        <f t="shared" si="313"/>
        <v>0.90909090909090906</v>
      </c>
      <c r="BM686" s="48">
        <f t="shared" si="313"/>
        <v>1</v>
      </c>
      <c r="BN686" s="48">
        <f t="shared" si="313"/>
        <v>1</v>
      </c>
      <c r="BO686" s="32">
        <f t="shared" si="301"/>
        <v>5.3929121725731895E-2</v>
      </c>
    </row>
    <row r="687" spans="1:67" ht="24" x14ac:dyDescent="0.2">
      <c r="A687" s="55" t="s">
        <v>1382</v>
      </c>
      <c r="B687" s="55" t="s">
        <v>1383</v>
      </c>
      <c r="C687" s="55" t="s">
        <v>14</v>
      </c>
      <c r="D687" s="56">
        <f>VLOOKUP(A687,'[1]Cuadro Control'!C733:J2617,8,FALSE)</f>
        <v>0</v>
      </c>
      <c r="E687" s="57">
        <f t="shared" si="310"/>
        <v>0</v>
      </c>
      <c r="F687" s="58">
        <v>46606</v>
      </c>
      <c r="G687" s="58">
        <v>46606</v>
      </c>
      <c r="H687" s="57">
        <f t="shared" si="314"/>
        <v>0</v>
      </c>
      <c r="I687" s="57">
        <f t="shared" si="314"/>
        <v>0</v>
      </c>
      <c r="J687" s="57">
        <f t="shared" si="314"/>
        <v>0</v>
      </c>
      <c r="K687" s="57">
        <f t="shared" si="314"/>
        <v>0</v>
      </c>
      <c r="L687" s="57">
        <f t="shared" si="314"/>
        <v>0</v>
      </c>
      <c r="M687" s="57">
        <f t="shared" si="314"/>
        <v>0</v>
      </c>
      <c r="N687" s="57">
        <f t="shared" si="314"/>
        <v>0</v>
      </c>
      <c r="O687" s="57">
        <f t="shared" si="314"/>
        <v>0</v>
      </c>
      <c r="P687" s="57">
        <f t="shared" si="314"/>
        <v>0</v>
      </c>
      <c r="Q687" s="57">
        <f t="shared" si="314"/>
        <v>0</v>
      </c>
      <c r="R687" s="57">
        <f t="shared" si="314"/>
        <v>0</v>
      </c>
      <c r="S687" s="57">
        <f t="shared" si="314"/>
        <v>0</v>
      </c>
      <c r="T687" s="57">
        <f t="shared" si="314"/>
        <v>0</v>
      </c>
      <c r="U687" s="57">
        <f t="shared" si="314"/>
        <v>0</v>
      </c>
      <c r="V687" s="57">
        <f t="shared" si="314"/>
        <v>0</v>
      </c>
      <c r="W687" s="57">
        <f t="shared" si="314"/>
        <v>0</v>
      </c>
      <c r="X687" s="57">
        <f t="shared" si="315"/>
        <v>0</v>
      </c>
      <c r="Y687" s="57">
        <f t="shared" si="315"/>
        <v>0</v>
      </c>
      <c r="Z687" s="57">
        <f t="shared" si="315"/>
        <v>0</v>
      </c>
      <c r="AA687" s="57">
        <f t="shared" si="315"/>
        <v>0</v>
      </c>
      <c r="AB687" s="57">
        <f t="shared" si="315"/>
        <v>0</v>
      </c>
      <c r="AC687" s="57">
        <f t="shared" si="315"/>
        <v>0</v>
      </c>
      <c r="AD687" s="57">
        <f t="shared" si="315"/>
        <v>0</v>
      </c>
      <c r="AE687" s="57">
        <f t="shared" si="315"/>
        <v>0</v>
      </c>
      <c r="AF687" s="57">
        <f t="shared" si="315"/>
        <v>0</v>
      </c>
      <c r="AG687" s="57">
        <f t="shared" si="315"/>
        <v>0</v>
      </c>
      <c r="AH687" s="57">
        <f t="shared" si="315"/>
        <v>0</v>
      </c>
      <c r="AI687" s="57">
        <f t="shared" si="315"/>
        <v>0</v>
      </c>
      <c r="AJ687" s="57">
        <f t="shared" si="315"/>
        <v>0</v>
      </c>
      <c r="AK687" s="57">
        <f t="shared" si="315"/>
        <v>0</v>
      </c>
      <c r="AL687" s="57">
        <f t="shared" si="315"/>
        <v>0</v>
      </c>
      <c r="AM687" s="57">
        <f t="shared" si="315"/>
        <v>0</v>
      </c>
      <c r="AN687" s="57">
        <f t="shared" si="315"/>
        <v>0</v>
      </c>
      <c r="AO687" s="57">
        <f t="shared" si="312"/>
        <v>0</v>
      </c>
      <c r="AP687" s="57">
        <f t="shared" si="312"/>
        <v>0</v>
      </c>
      <c r="AQ687" s="57">
        <f t="shared" si="312"/>
        <v>0</v>
      </c>
      <c r="AR687" s="57">
        <f t="shared" si="312"/>
        <v>0</v>
      </c>
      <c r="AS687" s="57">
        <f t="shared" si="312"/>
        <v>0</v>
      </c>
      <c r="AT687" s="57">
        <f t="shared" si="312"/>
        <v>0</v>
      </c>
      <c r="AU687" s="57">
        <f t="shared" si="312"/>
        <v>0</v>
      </c>
      <c r="AV687" s="57">
        <f t="shared" si="312"/>
        <v>0</v>
      </c>
      <c r="AW687" s="57">
        <f t="shared" si="312"/>
        <v>0</v>
      </c>
      <c r="AX687" s="57">
        <f t="shared" si="312"/>
        <v>0</v>
      </c>
      <c r="AY687" s="57">
        <f t="shared" si="312"/>
        <v>0</v>
      </c>
      <c r="AZ687" s="57">
        <f t="shared" si="312"/>
        <v>0</v>
      </c>
      <c r="BA687" s="57">
        <f t="shared" si="312"/>
        <v>0</v>
      </c>
      <c r="BB687" s="57">
        <f t="shared" si="312"/>
        <v>0</v>
      </c>
      <c r="BC687" s="57">
        <f t="shared" si="312"/>
        <v>0</v>
      </c>
      <c r="BD687" s="57">
        <f t="shared" si="312"/>
        <v>0</v>
      </c>
      <c r="BE687" s="57">
        <f t="shared" si="312"/>
        <v>0</v>
      </c>
      <c r="BF687" s="57">
        <f t="shared" si="312"/>
        <v>0</v>
      </c>
      <c r="BG687" s="57">
        <f t="shared" si="313"/>
        <v>0</v>
      </c>
      <c r="BH687" s="57">
        <f t="shared" si="313"/>
        <v>0</v>
      </c>
      <c r="BI687" s="57">
        <f t="shared" si="313"/>
        <v>0</v>
      </c>
      <c r="BJ687" s="57">
        <f t="shared" si="313"/>
        <v>0</v>
      </c>
      <c r="BK687" s="57">
        <f t="shared" si="313"/>
        <v>0</v>
      </c>
      <c r="BL687" s="57">
        <f t="shared" si="313"/>
        <v>0</v>
      </c>
      <c r="BM687" s="57">
        <f t="shared" si="313"/>
        <v>1</v>
      </c>
      <c r="BN687" s="57">
        <f t="shared" si="313"/>
        <v>1</v>
      </c>
      <c r="BO687" s="32">
        <f t="shared" si="301"/>
        <v>3.3898305084745763E-2</v>
      </c>
    </row>
    <row r="688" spans="1:67" x14ac:dyDescent="0.2">
      <c r="A688" s="28" t="s">
        <v>1384</v>
      </c>
      <c r="B688" s="28" t="s">
        <v>1385</v>
      </c>
      <c r="C688" s="28" t="s">
        <v>14</v>
      </c>
      <c r="D688" s="29">
        <f>VLOOKUP(A688,'[1]Cuadro Control'!C734:J2618,8,FALSE)</f>
        <v>0</v>
      </c>
      <c r="E688" s="30">
        <f>IFERROR(D688/$D$671,0)</f>
        <v>0</v>
      </c>
      <c r="F688" s="31">
        <v>46606</v>
      </c>
      <c r="G688" s="31">
        <v>46606</v>
      </c>
      <c r="H688" s="30">
        <f t="shared" si="314"/>
        <v>0</v>
      </c>
      <c r="I688" s="30">
        <f t="shared" si="314"/>
        <v>0</v>
      </c>
      <c r="J688" s="30">
        <f t="shared" si="314"/>
        <v>0</v>
      </c>
      <c r="K688" s="30">
        <f t="shared" si="314"/>
        <v>0</v>
      </c>
      <c r="L688" s="30">
        <f t="shared" si="314"/>
        <v>0</v>
      </c>
      <c r="M688" s="30">
        <f t="shared" si="314"/>
        <v>0</v>
      </c>
      <c r="N688" s="30">
        <f t="shared" si="314"/>
        <v>0</v>
      </c>
      <c r="O688" s="30">
        <f t="shared" si="314"/>
        <v>0</v>
      </c>
      <c r="P688" s="30">
        <f t="shared" si="314"/>
        <v>0</v>
      </c>
      <c r="Q688" s="30">
        <f t="shared" si="314"/>
        <v>0</v>
      </c>
      <c r="R688" s="30">
        <f t="shared" si="314"/>
        <v>0</v>
      </c>
      <c r="S688" s="30">
        <f t="shared" si="314"/>
        <v>0</v>
      </c>
      <c r="T688" s="30">
        <f t="shared" si="314"/>
        <v>0</v>
      </c>
      <c r="U688" s="30">
        <f t="shared" si="314"/>
        <v>0</v>
      </c>
      <c r="V688" s="30">
        <f t="shared" si="314"/>
        <v>0</v>
      </c>
      <c r="W688" s="30">
        <f t="shared" si="314"/>
        <v>0</v>
      </c>
      <c r="X688" s="30">
        <f t="shared" si="315"/>
        <v>0</v>
      </c>
      <c r="Y688" s="30">
        <f t="shared" si="315"/>
        <v>0</v>
      </c>
      <c r="Z688" s="30">
        <f t="shared" si="315"/>
        <v>0</v>
      </c>
      <c r="AA688" s="30">
        <f t="shared" si="315"/>
        <v>0</v>
      </c>
      <c r="AB688" s="30">
        <f t="shared" si="315"/>
        <v>0</v>
      </c>
      <c r="AC688" s="30">
        <f t="shared" si="315"/>
        <v>0</v>
      </c>
      <c r="AD688" s="30">
        <f t="shared" si="315"/>
        <v>0</v>
      </c>
      <c r="AE688" s="30">
        <f t="shared" si="315"/>
        <v>0</v>
      </c>
      <c r="AF688" s="30">
        <f t="shared" si="315"/>
        <v>0</v>
      </c>
      <c r="AG688" s="30">
        <f t="shared" si="315"/>
        <v>0</v>
      </c>
      <c r="AH688" s="30">
        <f t="shared" si="315"/>
        <v>0</v>
      </c>
      <c r="AI688" s="30">
        <f t="shared" si="315"/>
        <v>0</v>
      </c>
      <c r="AJ688" s="30">
        <f t="shared" si="315"/>
        <v>0</v>
      </c>
      <c r="AK688" s="30">
        <f t="shared" si="315"/>
        <v>0</v>
      </c>
      <c r="AL688" s="30">
        <f t="shared" si="315"/>
        <v>0</v>
      </c>
      <c r="AM688" s="30">
        <f t="shared" si="315"/>
        <v>0</v>
      </c>
      <c r="AN688" s="30">
        <f t="shared" si="315"/>
        <v>0</v>
      </c>
      <c r="AO688" s="30">
        <f t="shared" si="312"/>
        <v>0</v>
      </c>
      <c r="AP688" s="30">
        <f t="shared" si="312"/>
        <v>0</v>
      </c>
      <c r="AQ688" s="30">
        <f t="shared" si="312"/>
        <v>0</v>
      </c>
      <c r="AR688" s="30">
        <f t="shared" si="312"/>
        <v>0</v>
      </c>
      <c r="AS688" s="30">
        <f t="shared" si="312"/>
        <v>0</v>
      </c>
      <c r="AT688" s="30">
        <f t="shared" si="312"/>
        <v>0</v>
      </c>
      <c r="AU688" s="30">
        <f t="shared" si="312"/>
        <v>0</v>
      </c>
      <c r="AV688" s="30">
        <f t="shared" si="312"/>
        <v>0</v>
      </c>
      <c r="AW688" s="30">
        <f t="shared" si="312"/>
        <v>0</v>
      </c>
      <c r="AX688" s="30">
        <f t="shared" si="312"/>
        <v>0</v>
      </c>
      <c r="AY688" s="30">
        <f t="shared" si="312"/>
        <v>0</v>
      </c>
      <c r="AZ688" s="30">
        <f t="shared" si="312"/>
        <v>0</v>
      </c>
      <c r="BA688" s="30">
        <f t="shared" si="312"/>
        <v>0</v>
      </c>
      <c r="BB688" s="30">
        <f t="shared" si="312"/>
        <v>0</v>
      </c>
      <c r="BC688" s="30">
        <f t="shared" si="312"/>
        <v>0</v>
      </c>
      <c r="BD688" s="30">
        <f t="shared" si="312"/>
        <v>0</v>
      </c>
      <c r="BE688" s="30">
        <f t="shared" si="312"/>
        <v>0</v>
      </c>
      <c r="BF688" s="30">
        <f t="shared" si="312"/>
        <v>0</v>
      </c>
      <c r="BG688" s="30">
        <f t="shared" si="313"/>
        <v>0</v>
      </c>
      <c r="BH688" s="30">
        <f t="shared" si="313"/>
        <v>0</v>
      </c>
      <c r="BI688" s="30">
        <f t="shared" si="313"/>
        <v>0</v>
      </c>
      <c r="BJ688" s="30">
        <f t="shared" si="313"/>
        <v>0</v>
      </c>
      <c r="BK688" s="30">
        <f t="shared" si="313"/>
        <v>0</v>
      </c>
      <c r="BL688" s="30">
        <f t="shared" si="313"/>
        <v>0</v>
      </c>
      <c r="BM688" s="30">
        <f t="shared" si="313"/>
        <v>1</v>
      </c>
      <c r="BN688" s="30">
        <f t="shared" si="313"/>
        <v>1</v>
      </c>
      <c r="BO688" s="32">
        <f t="shared" si="301"/>
        <v>3.3898305084745763E-2</v>
      </c>
    </row>
    <row r="689" spans="1:67" ht="24" x14ac:dyDescent="0.2">
      <c r="A689" s="21">
        <v>11</v>
      </c>
      <c r="B689" s="21" t="s">
        <v>1386</v>
      </c>
      <c r="C689" s="21" t="s">
        <v>1387</v>
      </c>
      <c r="D689" s="33">
        <f>SUM(D690:D694)</f>
        <v>909298560</v>
      </c>
      <c r="E689" s="63">
        <f>IFERROR(D689/$D$8,0)</f>
        <v>4.3622719374773553E-3</v>
      </c>
      <c r="F689" s="25">
        <v>46270</v>
      </c>
      <c r="G689" s="25">
        <v>46606</v>
      </c>
      <c r="H689" s="24">
        <f>SUMPRODUCT($E690:$E694,H690:H694)</f>
        <v>0</v>
      </c>
      <c r="I689" s="24">
        <f t="shared" ref="I689:BN689" si="316">SUMPRODUCT($E690:$E694,I690:I694)</f>
        <v>0</v>
      </c>
      <c r="J689" s="24">
        <f t="shared" si="316"/>
        <v>0</v>
      </c>
      <c r="K689" s="24">
        <f t="shared" si="316"/>
        <v>0</v>
      </c>
      <c r="L689" s="24">
        <f t="shared" si="316"/>
        <v>0</v>
      </c>
      <c r="M689" s="24">
        <f t="shared" si="316"/>
        <v>0</v>
      </c>
      <c r="N689" s="24">
        <f t="shared" si="316"/>
        <v>0</v>
      </c>
      <c r="O689" s="24">
        <f t="shared" si="316"/>
        <v>0</v>
      </c>
      <c r="P689" s="24">
        <f t="shared" si="316"/>
        <v>0</v>
      </c>
      <c r="Q689" s="24">
        <f t="shared" si="316"/>
        <v>1.7356942777110841E-2</v>
      </c>
      <c r="R689" s="24">
        <f t="shared" si="316"/>
        <v>3.8540416166466585E-2</v>
      </c>
      <c r="S689" s="24">
        <f t="shared" si="316"/>
        <v>5.9723889555822335E-2</v>
      </c>
      <c r="T689" s="24">
        <f t="shared" si="316"/>
        <v>8.0907362945178057E-2</v>
      </c>
      <c r="U689" s="24">
        <f t="shared" si="316"/>
        <v>0.10470726752239357</v>
      </c>
      <c r="V689" s="24">
        <f t="shared" si="316"/>
        <v>0.13504825006925847</v>
      </c>
      <c r="W689" s="24">
        <f t="shared" si="316"/>
        <v>0.16538923261612337</v>
      </c>
      <c r="X689" s="24">
        <f t="shared" si="316"/>
        <v>0.19573021516298827</v>
      </c>
      <c r="Y689" s="24">
        <f t="shared" si="316"/>
        <v>0.22607119770985315</v>
      </c>
      <c r="Z689" s="24">
        <f t="shared" si="316"/>
        <v>0.25641218025671803</v>
      </c>
      <c r="AA689" s="24">
        <f t="shared" si="316"/>
        <v>0.28675316280358298</v>
      </c>
      <c r="AB689" s="24">
        <f t="shared" si="316"/>
        <v>0.31709414535044783</v>
      </c>
      <c r="AC689" s="24">
        <f t="shared" si="316"/>
        <v>0.34743512789731279</v>
      </c>
      <c r="AD689" s="24">
        <f t="shared" si="316"/>
        <v>0.37777611044417764</v>
      </c>
      <c r="AE689" s="24">
        <f t="shared" si="316"/>
        <v>0.40811709299104254</v>
      </c>
      <c r="AF689" s="24">
        <f t="shared" si="316"/>
        <v>0.4384580755379075</v>
      </c>
      <c r="AG689" s="24">
        <f t="shared" si="316"/>
        <v>0.46369701726844581</v>
      </c>
      <c r="AH689" s="24">
        <f t="shared" si="316"/>
        <v>0.48510942838673926</v>
      </c>
      <c r="AI689" s="24">
        <f t="shared" si="316"/>
        <v>0.50652183950503282</v>
      </c>
      <c r="AJ689" s="24">
        <f t="shared" si="316"/>
        <v>0.52703645560788415</v>
      </c>
      <c r="AK689" s="24">
        <f t="shared" si="316"/>
        <v>0.54474097331240179</v>
      </c>
      <c r="AL689" s="24">
        <f t="shared" si="316"/>
        <v>0.56244549101691954</v>
      </c>
      <c r="AM689" s="24">
        <f t="shared" si="316"/>
        <v>0.58015000872143729</v>
      </c>
      <c r="AN689" s="24">
        <f t="shared" si="316"/>
        <v>0.59785452642595494</v>
      </c>
      <c r="AO689" s="24">
        <f t="shared" si="316"/>
        <v>0.61555904413047258</v>
      </c>
      <c r="AP689" s="24">
        <f t="shared" si="316"/>
        <v>0.63326356183499044</v>
      </c>
      <c r="AQ689" s="24">
        <f t="shared" si="316"/>
        <v>0.65096807953950808</v>
      </c>
      <c r="AR689" s="24">
        <f t="shared" si="316"/>
        <v>0.66867259724402572</v>
      </c>
      <c r="AS689" s="24">
        <f t="shared" si="316"/>
        <v>0.68637711494854348</v>
      </c>
      <c r="AT689" s="24">
        <f t="shared" si="316"/>
        <v>0.70408163265306123</v>
      </c>
      <c r="AU689" s="24">
        <f t="shared" si="316"/>
        <v>0.72381547991304085</v>
      </c>
      <c r="AV689" s="24">
        <f t="shared" si="316"/>
        <v>0.74320259686113344</v>
      </c>
      <c r="AW689" s="24">
        <f t="shared" si="316"/>
        <v>0.76258971380922602</v>
      </c>
      <c r="AX689" s="24">
        <f t="shared" si="316"/>
        <v>0.78197683075731861</v>
      </c>
      <c r="AY689" s="24">
        <f t="shared" si="316"/>
        <v>0.80136394770541108</v>
      </c>
      <c r="AZ689" s="24">
        <f t="shared" si="316"/>
        <v>0.82075106465350367</v>
      </c>
      <c r="BA689" s="24">
        <f t="shared" si="316"/>
        <v>0.84013818160159626</v>
      </c>
      <c r="BB689" s="24">
        <f t="shared" si="316"/>
        <v>0.85952529854968884</v>
      </c>
      <c r="BC689" s="24">
        <f t="shared" si="316"/>
        <v>0.87891241549778132</v>
      </c>
      <c r="BD689" s="24">
        <f t="shared" si="316"/>
        <v>0.89829953244587402</v>
      </c>
      <c r="BE689" s="24">
        <f t="shared" si="316"/>
        <v>0.91768664939396649</v>
      </c>
      <c r="BF689" s="24">
        <f t="shared" si="316"/>
        <v>0.93341076267905532</v>
      </c>
      <c r="BG689" s="24">
        <f t="shared" si="316"/>
        <v>0.94425087108013939</v>
      </c>
      <c r="BH689" s="24">
        <f t="shared" si="316"/>
        <v>0.95509097948122346</v>
      </c>
      <c r="BI689" s="24">
        <f t="shared" si="316"/>
        <v>0.96593108788230742</v>
      </c>
      <c r="BJ689" s="24">
        <f t="shared" si="316"/>
        <v>0.97677119628339137</v>
      </c>
      <c r="BK689" s="24">
        <f t="shared" si="316"/>
        <v>0.98761130468447544</v>
      </c>
      <c r="BL689" s="24">
        <f t="shared" si="316"/>
        <v>0.9984514130855594</v>
      </c>
      <c r="BM689" s="24">
        <f t="shared" si="316"/>
        <v>1</v>
      </c>
      <c r="BN689" s="24">
        <f t="shared" si="316"/>
        <v>1</v>
      </c>
      <c r="BO689" s="32">
        <f t="shared" si="301"/>
        <v>0.49952165706383889</v>
      </c>
    </row>
    <row r="690" spans="1:67" x14ac:dyDescent="0.2">
      <c r="A690" s="50" t="s">
        <v>1388</v>
      </c>
      <c r="B690" s="50" t="s">
        <v>1389</v>
      </c>
      <c r="C690" s="50" t="s">
        <v>1390</v>
      </c>
      <c r="D690" s="51">
        <f>VLOOKUP(A690,'[1]Cuadro Control'!C736:J2620,8,FALSE)</f>
        <v>216499657.14285713</v>
      </c>
      <c r="E690" s="52">
        <f>IFERROR(D690/$D$689,0)</f>
        <v>0.23809523809523808</v>
      </c>
      <c r="F690" s="53">
        <v>46270</v>
      </c>
      <c r="G690" s="53">
        <v>46405</v>
      </c>
      <c r="H690" s="52">
        <f>IF($F690=0,0,IF(H$6&lt;$F690,0,IF(H$6&gt;$G690,1,(H$6-$F690+1)/($G690-$F690+1))))</f>
        <v>0</v>
      </c>
      <c r="I690" s="52">
        <f t="shared" ref="I690:AN698" si="317">IF($F690=0,0,IF(I$6&lt;$F690,0,IF(I$6&gt;$G690,1,(I$6-$F690+1)/($G690-$F690+1))))</f>
        <v>0</v>
      </c>
      <c r="J690" s="52">
        <f t="shared" si="317"/>
        <v>0</v>
      </c>
      <c r="K690" s="52">
        <f t="shared" si="317"/>
        <v>0</v>
      </c>
      <c r="L690" s="52">
        <f t="shared" si="317"/>
        <v>0</v>
      </c>
      <c r="M690" s="52">
        <f t="shared" si="317"/>
        <v>0</v>
      </c>
      <c r="N690" s="52">
        <f t="shared" si="317"/>
        <v>0</v>
      </c>
      <c r="O690" s="52">
        <f t="shared" si="317"/>
        <v>0</v>
      </c>
      <c r="P690" s="52">
        <f t="shared" si="317"/>
        <v>0</v>
      </c>
      <c r="Q690" s="52">
        <f t="shared" si="317"/>
        <v>5.1470588235294115E-2</v>
      </c>
      <c r="R690" s="52">
        <f t="shared" si="317"/>
        <v>0.10294117647058823</v>
      </c>
      <c r="S690" s="52">
        <f t="shared" si="317"/>
        <v>0.15441176470588236</v>
      </c>
      <c r="T690" s="52">
        <f t="shared" si="317"/>
        <v>0.20588235294117646</v>
      </c>
      <c r="U690" s="52">
        <f t="shared" si="317"/>
        <v>0.25735294117647056</v>
      </c>
      <c r="V690" s="52">
        <f t="shared" si="317"/>
        <v>0.30882352941176472</v>
      </c>
      <c r="W690" s="52">
        <f t="shared" si="317"/>
        <v>0.36029411764705882</v>
      </c>
      <c r="X690" s="52">
        <f t="shared" si="317"/>
        <v>0.41176470588235292</v>
      </c>
      <c r="Y690" s="52">
        <f t="shared" si="317"/>
        <v>0.46323529411764708</v>
      </c>
      <c r="Z690" s="52">
        <f t="shared" si="317"/>
        <v>0.51470588235294112</v>
      </c>
      <c r="AA690" s="52">
        <f t="shared" si="317"/>
        <v>0.56617647058823528</v>
      </c>
      <c r="AB690" s="52">
        <f t="shared" si="317"/>
        <v>0.61764705882352944</v>
      </c>
      <c r="AC690" s="52">
        <f t="shared" si="317"/>
        <v>0.66911764705882348</v>
      </c>
      <c r="AD690" s="52">
        <f t="shared" si="317"/>
        <v>0.72058823529411764</v>
      </c>
      <c r="AE690" s="52">
        <f t="shared" si="317"/>
        <v>0.7720588235294118</v>
      </c>
      <c r="AF690" s="52">
        <f t="shared" si="317"/>
        <v>0.82352941176470584</v>
      </c>
      <c r="AG690" s="52">
        <f t="shared" si="317"/>
        <v>0.875</v>
      </c>
      <c r="AH690" s="52">
        <f t="shared" si="317"/>
        <v>0.92647058823529416</v>
      </c>
      <c r="AI690" s="52">
        <f t="shared" si="317"/>
        <v>0.9779411764705882</v>
      </c>
      <c r="AJ690" s="52">
        <f t="shared" si="317"/>
        <v>1</v>
      </c>
      <c r="AK690" s="52">
        <f t="shared" si="317"/>
        <v>1</v>
      </c>
      <c r="AL690" s="52">
        <f t="shared" si="317"/>
        <v>1</v>
      </c>
      <c r="AM690" s="52">
        <f t="shared" si="317"/>
        <v>1</v>
      </c>
      <c r="AN690" s="52">
        <f t="shared" si="317"/>
        <v>1</v>
      </c>
      <c r="AO690" s="52">
        <f t="shared" ref="AO690:BN694" si="318">IF($F690=0,0,IF(AO$6&lt;$F690,0,IF(AO$6&gt;$G690,1,(AO$6-$F690+1)/($G690-$F690+1))))</f>
        <v>1</v>
      </c>
      <c r="AP690" s="52">
        <f t="shared" si="318"/>
        <v>1</v>
      </c>
      <c r="AQ690" s="52">
        <f t="shared" si="318"/>
        <v>1</v>
      </c>
      <c r="AR690" s="52">
        <f t="shared" si="318"/>
        <v>1</v>
      </c>
      <c r="AS690" s="52">
        <f t="shared" si="318"/>
        <v>1</v>
      </c>
      <c r="AT690" s="52">
        <f t="shared" si="318"/>
        <v>1</v>
      </c>
      <c r="AU690" s="52">
        <f t="shared" si="318"/>
        <v>1</v>
      </c>
      <c r="AV690" s="52">
        <f t="shared" si="318"/>
        <v>1</v>
      </c>
      <c r="AW690" s="52">
        <f t="shared" si="318"/>
        <v>1</v>
      </c>
      <c r="AX690" s="52">
        <f t="shared" si="318"/>
        <v>1</v>
      </c>
      <c r="AY690" s="52">
        <f t="shared" si="318"/>
        <v>1</v>
      </c>
      <c r="AZ690" s="52">
        <f t="shared" si="318"/>
        <v>1</v>
      </c>
      <c r="BA690" s="52">
        <f t="shared" si="318"/>
        <v>1</v>
      </c>
      <c r="BB690" s="52">
        <f t="shared" si="318"/>
        <v>1</v>
      </c>
      <c r="BC690" s="52">
        <f t="shared" si="318"/>
        <v>1</v>
      </c>
      <c r="BD690" s="52">
        <f t="shared" si="318"/>
        <v>1</v>
      </c>
      <c r="BE690" s="52">
        <f t="shared" si="318"/>
        <v>1</v>
      </c>
      <c r="BF690" s="52">
        <f t="shared" si="318"/>
        <v>1</v>
      </c>
      <c r="BG690" s="52">
        <f t="shared" si="318"/>
        <v>1</v>
      </c>
      <c r="BH690" s="52">
        <f t="shared" si="318"/>
        <v>1</v>
      </c>
      <c r="BI690" s="52">
        <f t="shared" si="318"/>
        <v>1</v>
      </c>
      <c r="BJ690" s="52">
        <f t="shared" si="318"/>
        <v>1</v>
      </c>
      <c r="BK690" s="52">
        <f t="shared" si="318"/>
        <v>1</v>
      </c>
      <c r="BL690" s="52">
        <f t="shared" si="318"/>
        <v>1</v>
      </c>
      <c r="BM690" s="52">
        <f t="shared" si="318"/>
        <v>1</v>
      </c>
      <c r="BN690" s="52">
        <f t="shared" si="318"/>
        <v>1</v>
      </c>
      <c r="BO690" s="32">
        <f t="shared" si="301"/>
        <v>0.69117647058823528</v>
      </c>
    </row>
    <row r="691" spans="1:67" x14ac:dyDescent="0.2">
      <c r="A691" s="50" t="s">
        <v>1391</v>
      </c>
      <c r="B691" s="50" t="s">
        <v>1392</v>
      </c>
      <c r="C691" s="50" t="s">
        <v>1390</v>
      </c>
      <c r="D691" s="51">
        <f>VLOOKUP(A691,'[1]Cuadro Control'!C737:J2621,8,FALSE)</f>
        <v>129899794.28571428</v>
      </c>
      <c r="E691" s="52">
        <f>IFERROR(D691/$D$689,0)</f>
        <v>0.14285714285714285</v>
      </c>
      <c r="F691" s="53">
        <v>46273</v>
      </c>
      <c r="G691" s="53">
        <v>46384</v>
      </c>
      <c r="H691" s="52">
        <f>IF($F691=0,0,IF(H$6&lt;$F691,0,IF(H$6&gt;$G691,1,(H$6-$F691+1)/($G691-$F691+1))))</f>
        <v>0</v>
      </c>
      <c r="I691" s="52">
        <f t="shared" si="317"/>
        <v>0</v>
      </c>
      <c r="J691" s="52">
        <f t="shared" si="317"/>
        <v>0</v>
      </c>
      <c r="K691" s="52">
        <f t="shared" si="317"/>
        <v>0</v>
      </c>
      <c r="L691" s="52">
        <f t="shared" si="317"/>
        <v>0</v>
      </c>
      <c r="M691" s="52">
        <f t="shared" si="317"/>
        <v>0</v>
      </c>
      <c r="N691" s="52">
        <f t="shared" si="317"/>
        <v>0</v>
      </c>
      <c r="O691" s="52">
        <f t="shared" si="317"/>
        <v>0</v>
      </c>
      <c r="P691" s="52">
        <f t="shared" si="317"/>
        <v>0</v>
      </c>
      <c r="Q691" s="52">
        <f t="shared" si="317"/>
        <v>3.5714285714285712E-2</v>
      </c>
      <c r="R691" s="52">
        <f t="shared" si="317"/>
        <v>9.8214285714285712E-2</v>
      </c>
      <c r="S691" s="52">
        <f t="shared" si="317"/>
        <v>0.16071428571428573</v>
      </c>
      <c r="T691" s="52">
        <f t="shared" si="317"/>
        <v>0.22321428571428573</v>
      </c>
      <c r="U691" s="52">
        <f t="shared" si="317"/>
        <v>0.2857142857142857</v>
      </c>
      <c r="V691" s="52">
        <f t="shared" si="317"/>
        <v>0.3482142857142857</v>
      </c>
      <c r="W691" s="52">
        <f t="shared" si="317"/>
        <v>0.4107142857142857</v>
      </c>
      <c r="X691" s="52">
        <f t="shared" si="317"/>
        <v>0.4732142857142857</v>
      </c>
      <c r="Y691" s="52">
        <f t="shared" si="317"/>
        <v>0.5357142857142857</v>
      </c>
      <c r="Z691" s="52">
        <f t="shared" si="317"/>
        <v>0.5982142857142857</v>
      </c>
      <c r="AA691" s="52">
        <f t="shared" si="317"/>
        <v>0.6607142857142857</v>
      </c>
      <c r="AB691" s="52">
        <f t="shared" si="317"/>
        <v>0.7232142857142857</v>
      </c>
      <c r="AC691" s="52">
        <f t="shared" si="317"/>
        <v>0.7857142857142857</v>
      </c>
      <c r="AD691" s="52">
        <f t="shared" si="317"/>
        <v>0.8482142857142857</v>
      </c>
      <c r="AE691" s="52">
        <f t="shared" si="317"/>
        <v>0.9107142857142857</v>
      </c>
      <c r="AF691" s="52">
        <f t="shared" si="317"/>
        <v>0.9732142857142857</v>
      </c>
      <c r="AG691" s="52">
        <f t="shared" si="317"/>
        <v>1</v>
      </c>
      <c r="AH691" s="52">
        <f t="shared" si="317"/>
        <v>1</v>
      </c>
      <c r="AI691" s="52">
        <f t="shared" si="317"/>
        <v>1</v>
      </c>
      <c r="AJ691" s="52">
        <f t="shared" si="317"/>
        <v>1</v>
      </c>
      <c r="AK691" s="52">
        <f t="shared" si="317"/>
        <v>1</v>
      </c>
      <c r="AL691" s="52">
        <f t="shared" si="317"/>
        <v>1</v>
      </c>
      <c r="AM691" s="52">
        <f t="shared" si="317"/>
        <v>1</v>
      </c>
      <c r="AN691" s="52">
        <f t="shared" si="317"/>
        <v>1</v>
      </c>
      <c r="AO691" s="52">
        <f t="shared" si="318"/>
        <v>1</v>
      </c>
      <c r="AP691" s="52">
        <f t="shared" si="318"/>
        <v>1</v>
      </c>
      <c r="AQ691" s="52">
        <f t="shared" si="318"/>
        <v>1</v>
      </c>
      <c r="AR691" s="52">
        <f t="shared" si="318"/>
        <v>1</v>
      </c>
      <c r="AS691" s="52">
        <f t="shared" si="318"/>
        <v>1</v>
      </c>
      <c r="AT691" s="52">
        <f t="shared" si="318"/>
        <v>1</v>
      </c>
      <c r="AU691" s="52">
        <f t="shared" si="318"/>
        <v>1</v>
      </c>
      <c r="AV691" s="52">
        <f t="shared" si="318"/>
        <v>1</v>
      </c>
      <c r="AW691" s="52">
        <f t="shared" si="318"/>
        <v>1</v>
      </c>
      <c r="AX691" s="52">
        <f t="shared" si="318"/>
        <v>1</v>
      </c>
      <c r="AY691" s="52">
        <f t="shared" si="318"/>
        <v>1</v>
      </c>
      <c r="AZ691" s="52">
        <f t="shared" si="318"/>
        <v>1</v>
      </c>
      <c r="BA691" s="52">
        <f t="shared" si="318"/>
        <v>1</v>
      </c>
      <c r="BB691" s="52">
        <f t="shared" si="318"/>
        <v>1</v>
      </c>
      <c r="BC691" s="52">
        <f t="shared" si="318"/>
        <v>1</v>
      </c>
      <c r="BD691" s="52">
        <f t="shared" si="318"/>
        <v>1</v>
      </c>
      <c r="BE691" s="52">
        <f t="shared" si="318"/>
        <v>1</v>
      </c>
      <c r="BF691" s="52">
        <f t="shared" si="318"/>
        <v>1</v>
      </c>
      <c r="BG691" s="52">
        <f t="shared" si="318"/>
        <v>1</v>
      </c>
      <c r="BH691" s="52">
        <f t="shared" si="318"/>
        <v>1</v>
      </c>
      <c r="BI691" s="52">
        <f t="shared" si="318"/>
        <v>1</v>
      </c>
      <c r="BJ691" s="52">
        <f t="shared" si="318"/>
        <v>1</v>
      </c>
      <c r="BK691" s="52">
        <f t="shared" si="318"/>
        <v>1</v>
      </c>
      <c r="BL691" s="52">
        <f t="shared" si="318"/>
        <v>1</v>
      </c>
      <c r="BM691" s="52">
        <f t="shared" si="318"/>
        <v>1</v>
      </c>
      <c r="BN691" s="52">
        <f t="shared" si="318"/>
        <v>1</v>
      </c>
      <c r="BO691" s="32">
        <f t="shared" si="301"/>
        <v>0.71307506053268765</v>
      </c>
    </row>
    <row r="692" spans="1:67" x14ac:dyDescent="0.2">
      <c r="A692" s="50" t="s">
        <v>1393</v>
      </c>
      <c r="B692" s="50" t="s">
        <v>1394</v>
      </c>
      <c r="C692" s="50" t="s">
        <v>1395</v>
      </c>
      <c r="D692" s="51">
        <f>VLOOKUP(A692,'[1]Cuadro Control'!C738:J2622,8,FALSE)</f>
        <v>216499657.14285713</v>
      </c>
      <c r="E692" s="52">
        <f>IFERROR(D692/$D$689,0)</f>
        <v>0.23809523809523808</v>
      </c>
      <c r="F692" s="53">
        <v>46303</v>
      </c>
      <c r="G692" s="53">
        <v>46484</v>
      </c>
      <c r="H692" s="52">
        <f>IF($F692=0,0,IF(H$6&lt;$F692,0,IF(H$6&gt;$G692,1,(H$6-$F692+1)/($G692-$F692+1))))</f>
        <v>0</v>
      </c>
      <c r="I692" s="52">
        <f t="shared" si="317"/>
        <v>0</v>
      </c>
      <c r="J692" s="52">
        <f t="shared" si="317"/>
        <v>0</v>
      </c>
      <c r="K692" s="52">
        <f t="shared" si="317"/>
        <v>0</v>
      </c>
      <c r="L692" s="52">
        <f t="shared" si="317"/>
        <v>0</v>
      </c>
      <c r="M692" s="52">
        <f t="shared" si="317"/>
        <v>0</v>
      </c>
      <c r="N692" s="52">
        <f t="shared" si="317"/>
        <v>0</v>
      </c>
      <c r="O692" s="52">
        <f t="shared" si="317"/>
        <v>0</v>
      </c>
      <c r="P692" s="52">
        <f t="shared" si="317"/>
        <v>0</v>
      </c>
      <c r="Q692" s="52">
        <f t="shared" si="317"/>
        <v>0</v>
      </c>
      <c r="R692" s="52">
        <f t="shared" si="317"/>
        <v>0</v>
      </c>
      <c r="S692" s="52">
        <f t="shared" si="317"/>
        <v>0</v>
      </c>
      <c r="T692" s="52">
        <f t="shared" si="317"/>
        <v>0</v>
      </c>
      <c r="U692" s="52">
        <f t="shared" si="317"/>
        <v>1.098901098901099E-2</v>
      </c>
      <c r="V692" s="52">
        <f t="shared" si="317"/>
        <v>4.9450549450549448E-2</v>
      </c>
      <c r="W692" s="52">
        <f t="shared" si="317"/>
        <v>8.7912087912087919E-2</v>
      </c>
      <c r="X692" s="52">
        <f t="shared" si="317"/>
        <v>0.12637362637362637</v>
      </c>
      <c r="Y692" s="52">
        <f t="shared" si="317"/>
        <v>0.16483516483516483</v>
      </c>
      <c r="Z692" s="52">
        <f t="shared" si="317"/>
        <v>0.2032967032967033</v>
      </c>
      <c r="AA692" s="52">
        <f t="shared" si="317"/>
        <v>0.24175824175824176</v>
      </c>
      <c r="AB692" s="52">
        <f t="shared" si="317"/>
        <v>0.28021978021978022</v>
      </c>
      <c r="AC692" s="52">
        <f t="shared" si="317"/>
        <v>0.31868131868131866</v>
      </c>
      <c r="AD692" s="52">
        <f t="shared" si="317"/>
        <v>0.35714285714285715</v>
      </c>
      <c r="AE692" s="52">
        <f t="shared" si="317"/>
        <v>0.39560439560439559</v>
      </c>
      <c r="AF692" s="52">
        <f t="shared" si="317"/>
        <v>0.43406593406593408</v>
      </c>
      <c r="AG692" s="52">
        <f t="shared" si="317"/>
        <v>0.47252747252747251</v>
      </c>
      <c r="AH692" s="52">
        <f t="shared" si="317"/>
        <v>0.51098901098901095</v>
      </c>
      <c r="AI692" s="52">
        <f t="shared" si="317"/>
        <v>0.5494505494505495</v>
      </c>
      <c r="AJ692" s="52">
        <f t="shared" si="317"/>
        <v>0.58791208791208793</v>
      </c>
      <c r="AK692" s="52">
        <f t="shared" si="317"/>
        <v>0.62637362637362637</v>
      </c>
      <c r="AL692" s="52">
        <f t="shared" si="317"/>
        <v>0.6648351648351648</v>
      </c>
      <c r="AM692" s="52">
        <f t="shared" si="317"/>
        <v>0.70329670329670335</v>
      </c>
      <c r="AN692" s="52">
        <f t="shared" si="317"/>
        <v>0.74175824175824179</v>
      </c>
      <c r="AO692" s="52">
        <f t="shared" si="318"/>
        <v>0.78021978021978022</v>
      </c>
      <c r="AP692" s="52">
        <f t="shared" si="318"/>
        <v>0.81868131868131866</v>
      </c>
      <c r="AQ692" s="52">
        <f t="shared" si="318"/>
        <v>0.8571428571428571</v>
      </c>
      <c r="AR692" s="52">
        <f t="shared" si="318"/>
        <v>0.89560439560439564</v>
      </c>
      <c r="AS692" s="52">
        <f t="shared" si="318"/>
        <v>0.93406593406593408</v>
      </c>
      <c r="AT692" s="52">
        <f t="shared" si="318"/>
        <v>0.97252747252747251</v>
      </c>
      <c r="AU692" s="52">
        <f t="shared" si="318"/>
        <v>1</v>
      </c>
      <c r="AV692" s="52">
        <f t="shared" si="318"/>
        <v>1</v>
      </c>
      <c r="AW692" s="52">
        <f t="shared" si="318"/>
        <v>1</v>
      </c>
      <c r="AX692" s="52">
        <f t="shared" si="318"/>
        <v>1</v>
      </c>
      <c r="AY692" s="52">
        <f t="shared" si="318"/>
        <v>1</v>
      </c>
      <c r="AZ692" s="52">
        <f t="shared" si="318"/>
        <v>1</v>
      </c>
      <c r="BA692" s="52">
        <f t="shared" si="318"/>
        <v>1</v>
      </c>
      <c r="BB692" s="52">
        <f t="shared" si="318"/>
        <v>1</v>
      </c>
      <c r="BC692" s="52">
        <f t="shared" si="318"/>
        <v>1</v>
      </c>
      <c r="BD692" s="52">
        <f t="shared" si="318"/>
        <v>1</v>
      </c>
      <c r="BE692" s="52">
        <f t="shared" si="318"/>
        <v>1</v>
      </c>
      <c r="BF692" s="52">
        <f t="shared" si="318"/>
        <v>1</v>
      </c>
      <c r="BG692" s="52">
        <f t="shared" si="318"/>
        <v>1</v>
      </c>
      <c r="BH692" s="52">
        <f t="shared" si="318"/>
        <v>1</v>
      </c>
      <c r="BI692" s="52">
        <f t="shared" si="318"/>
        <v>1</v>
      </c>
      <c r="BJ692" s="52">
        <f t="shared" si="318"/>
        <v>1</v>
      </c>
      <c r="BK692" s="52">
        <f t="shared" si="318"/>
        <v>1</v>
      </c>
      <c r="BL692" s="52">
        <f t="shared" si="318"/>
        <v>1</v>
      </c>
      <c r="BM692" s="52">
        <f t="shared" si="318"/>
        <v>1</v>
      </c>
      <c r="BN692" s="52">
        <f t="shared" si="318"/>
        <v>1</v>
      </c>
      <c r="BO692" s="32">
        <f t="shared" si="301"/>
        <v>0.55569007263922532</v>
      </c>
    </row>
    <row r="693" spans="1:67" x14ac:dyDescent="0.2">
      <c r="A693" s="50" t="s">
        <v>1396</v>
      </c>
      <c r="B693" s="50" t="s">
        <v>1397</v>
      </c>
      <c r="C693" s="50" t="s">
        <v>1398</v>
      </c>
      <c r="D693" s="51">
        <f>VLOOKUP(A693,'[1]Cuadro Control'!C739:J2623,8,FALSE)</f>
        <v>173199725.7142857</v>
      </c>
      <c r="E693" s="52">
        <f>IFERROR(D693/$D$689,0)</f>
        <v>0.19047619047619047</v>
      </c>
      <c r="F693" s="53">
        <v>46405</v>
      </c>
      <c r="G693" s="53">
        <v>46560</v>
      </c>
      <c r="H693" s="52">
        <f>IF($F693=0,0,IF(H$6&lt;$F693,0,IF(H$6&gt;$G693,1,(H$6-$F693+1)/($G693-$F693+1))))</f>
        <v>0</v>
      </c>
      <c r="I693" s="52">
        <f t="shared" si="317"/>
        <v>0</v>
      </c>
      <c r="J693" s="52">
        <f t="shared" si="317"/>
        <v>0</v>
      </c>
      <c r="K693" s="52">
        <f t="shared" si="317"/>
        <v>0</v>
      </c>
      <c r="L693" s="52">
        <f t="shared" si="317"/>
        <v>0</v>
      </c>
      <c r="M693" s="52">
        <f t="shared" si="317"/>
        <v>0</v>
      </c>
      <c r="N693" s="52">
        <f t="shared" si="317"/>
        <v>0</v>
      </c>
      <c r="O693" s="52">
        <f t="shared" si="317"/>
        <v>0</v>
      </c>
      <c r="P693" s="52">
        <f t="shared" si="317"/>
        <v>0</v>
      </c>
      <c r="Q693" s="52">
        <f t="shared" si="317"/>
        <v>0</v>
      </c>
      <c r="R693" s="52">
        <f t="shared" si="317"/>
        <v>0</v>
      </c>
      <c r="S693" s="52">
        <f t="shared" si="317"/>
        <v>0</v>
      </c>
      <c r="T693" s="52">
        <f t="shared" si="317"/>
        <v>0</v>
      </c>
      <c r="U693" s="52">
        <f t="shared" si="317"/>
        <v>0</v>
      </c>
      <c r="V693" s="52">
        <f t="shared" si="317"/>
        <v>0</v>
      </c>
      <c r="W693" s="52">
        <f t="shared" si="317"/>
        <v>0</v>
      </c>
      <c r="X693" s="52">
        <f t="shared" si="317"/>
        <v>0</v>
      </c>
      <c r="Y693" s="52">
        <f t="shared" si="317"/>
        <v>0</v>
      </c>
      <c r="Z693" s="52">
        <f t="shared" si="317"/>
        <v>0</v>
      </c>
      <c r="AA693" s="52">
        <f t="shared" si="317"/>
        <v>0</v>
      </c>
      <c r="AB693" s="52">
        <f t="shared" si="317"/>
        <v>0</v>
      </c>
      <c r="AC693" s="52">
        <f t="shared" si="317"/>
        <v>0</v>
      </c>
      <c r="AD693" s="52">
        <f t="shared" si="317"/>
        <v>0</v>
      </c>
      <c r="AE693" s="52">
        <f t="shared" si="317"/>
        <v>0</v>
      </c>
      <c r="AF693" s="52">
        <f t="shared" si="317"/>
        <v>0</v>
      </c>
      <c r="AG693" s="52">
        <f t="shared" si="317"/>
        <v>0</v>
      </c>
      <c r="AH693" s="52">
        <f t="shared" si="317"/>
        <v>0</v>
      </c>
      <c r="AI693" s="52">
        <f t="shared" si="317"/>
        <v>0</v>
      </c>
      <c r="AJ693" s="52">
        <f t="shared" si="317"/>
        <v>3.2051282051282048E-2</v>
      </c>
      <c r="AK693" s="52">
        <f t="shared" si="317"/>
        <v>7.6923076923076927E-2</v>
      </c>
      <c r="AL693" s="52">
        <f t="shared" si="317"/>
        <v>0.12179487179487179</v>
      </c>
      <c r="AM693" s="52">
        <f t="shared" si="317"/>
        <v>0.16666666666666666</v>
      </c>
      <c r="AN693" s="52">
        <f t="shared" si="317"/>
        <v>0.21153846153846154</v>
      </c>
      <c r="AO693" s="52">
        <f t="shared" si="318"/>
        <v>0.25641025641025639</v>
      </c>
      <c r="AP693" s="52">
        <f t="shared" si="318"/>
        <v>0.30128205128205127</v>
      </c>
      <c r="AQ693" s="52">
        <f t="shared" si="318"/>
        <v>0.34615384615384615</v>
      </c>
      <c r="AR693" s="52">
        <f t="shared" si="318"/>
        <v>0.39102564102564102</v>
      </c>
      <c r="AS693" s="52">
        <f t="shared" si="318"/>
        <v>0.4358974358974359</v>
      </c>
      <c r="AT693" s="52">
        <f t="shared" si="318"/>
        <v>0.48076923076923078</v>
      </c>
      <c r="AU693" s="52">
        <f t="shared" si="318"/>
        <v>0.52564102564102566</v>
      </c>
      <c r="AV693" s="52">
        <f t="shared" si="318"/>
        <v>0.57051282051282048</v>
      </c>
      <c r="AW693" s="52">
        <f t="shared" si="318"/>
        <v>0.61538461538461542</v>
      </c>
      <c r="AX693" s="52">
        <f t="shared" si="318"/>
        <v>0.66025641025641024</v>
      </c>
      <c r="AY693" s="52">
        <f t="shared" si="318"/>
        <v>0.70512820512820518</v>
      </c>
      <c r="AZ693" s="52">
        <f t="shared" si="318"/>
        <v>0.75</v>
      </c>
      <c r="BA693" s="52">
        <f t="shared" si="318"/>
        <v>0.79487179487179482</v>
      </c>
      <c r="BB693" s="52">
        <f t="shared" si="318"/>
        <v>0.83974358974358976</v>
      </c>
      <c r="BC693" s="52">
        <f t="shared" si="318"/>
        <v>0.88461538461538458</v>
      </c>
      <c r="BD693" s="52">
        <f t="shared" si="318"/>
        <v>0.92948717948717952</v>
      </c>
      <c r="BE693" s="52">
        <f t="shared" si="318"/>
        <v>0.97435897435897434</v>
      </c>
      <c r="BF693" s="52">
        <f t="shared" si="318"/>
        <v>1</v>
      </c>
      <c r="BG693" s="52">
        <f t="shared" si="318"/>
        <v>1</v>
      </c>
      <c r="BH693" s="52">
        <f t="shared" si="318"/>
        <v>1</v>
      </c>
      <c r="BI693" s="52">
        <f t="shared" si="318"/>
        <v>1</v>
      </c>
      <c r="BJ693" s="52">
        <f t="shared" si="318"/>
        <v>1</v>
      </c>
      <c r="BK693" s="52">
        <f t="shared" si="318"/>
        <v>1</v>
      </c>
      <c r="BL693" s="52">
        <f t="shared" si="318"/>
        <v>1</v>
      </c>
      <c r="BM693" s="52">
        <f t="shared" si="318"/>
        <v>1</v>
      </c>
      <c r="BN693" s="52">
        <f t="shared" si="318"/>
        <v>1</v>
      </c>
      <c r="BO693" s="32">
        <f t="shared" si="301"/>
        <v>0.34017818339852235</v>
      </c>
    </row>
    <row r="694" spans="1:67" x14ac:dyDescent="0.2">
      <c r="A694" s="50" t="s">
        <v>1399</v>
      </c>
      <c r="B694" s="50" t="s">
        <v>1400</v>
      </c>
      <c r="C694" s="50" t="s">
        <v>1390</v>
      </c>
      <c r="D694" s="51">
        <f>VLOOKUP(A694,'[1]Cuadro Control'!C740:J2624,8,FALSE)</f>
        <v>173199725.7142857</v>
      </c>
      <c r="E694" s="52">
        <f>IFERROR(D694/$D$689,0)</f>
        <v>0.19047619047619047</v>
      </c>
      <c r="F694" s="53">
        <v>46484</v>
      </c>
      <c r="G694" s="53">
        <v>46606</v>
      </c>
      <c r="H694" s="52">
        <f>IF($F694=0,0,IF(H$6&lt;$F694,0,IF(H$6&gt;$G694,1,(H$6-$F694+1)/($G694-$F694+1))))</f>
        <v>0</v>
      </c>
      <c r="I694" s="52">
        <f t="shared" si="317"/>
        <v>0</v>
      </c>
      <c r="J694" s="52">
        <f t="shared" si="317"/>
        <v>0</v>
      </c>
      <c r="K694" s="52">
        <f t="shared" si="317"/>
        <v>0</v>
      </c>
      <c r="L694" s="52">
        <f t="shared" si="317"/>
        <v>0</v>
      </c>
      <c r="M694" s="52">
        <f t="shared" si="317"/>
        <v>0</v>
      </c>
      <c r="N694" s="52">
        <f t="shared" si="317"/>
        <v>0</v>
      </c>
      <c r="O694" s="52">
        <f t="shared" si="317"/>
        <v>0</v>
      </c>
      <c r="P694" s="52">
        <f t="shared" si="317"/>
        <v>0</v>
      </c>
      <c r="Q694" s="52">
        <f t="shared" si="317"/>
        <v>0</v>
      </c>
      <c r="R694" s="52">
        <f t="shared" si="317"/>
        <v>0</v>
      </c>
      <c r="S694" s="52">
        <f t="shared" si="317"/>
        <v>0</v>
      </c>
      <c r="T694" s="52">
        <f t="shared" si="317"/>
        <v>0</v>
      </c>
      <c r="U694" s="52">
        <f t="shared" si="317"/>
        <v>0</v>
      </c>
      <c r="V694" s="52">
        <f t="shared" si="317"/>
        <v>0</v>
      </c>
      <c r="W694" s="52">
        <f t="shared" si="317"/>
        <v>0</v>
      </c>
      <c r="X694" s="52">
        <f t="shared" si="317"/>
        <v>0</v>
      </c>
      <c r="Y694" s="52">
        <f t="shared" si="317"/>
        <v>0</v>
      </c>
      <c r="Z694" s="52">
        <f t="shared" si="317"/>
        <v>0</v>
      </c>
      <c r="AA694" s="52">
        <f t="shared" si="317"/>
        <v>0</v>
      </c>
      <c r="AB694" s="52">
        <f t="shared" si="317"/>
        <v>0</v>
      </c>
      <c r="AC694" s="52">
        <f t="shared" si="317"/>
        <v>0</v>
      </c>
      <c r="AD694" s="52">
        <f t="shared" si="317"/>
        <v>0</v>
      </c>
      <c r="AE694" s="52">
        <f t="shared" si="317"/>
        <v>0</v>
      </c>
      <c r="AF694" s="52">
        <f t="shared" si="317"/>
        <v>0</v>
      </c>
      <c r="AG694" s="52">
        <f t="shared" si="317"/>
        <v>0</v>
      </c>
      <c r="AH694" s="52">
        <f t="shared" si="317"/>
        <v>0</v>
      </c>
      <c r="AI694" s="52">
        <f t="shared" si="317"/>
        <v>0</v>
      </c>
      <c r="AJ694" s="52">
        <f t="shared" si="317"/>
        <v>0</v>
      </c>
      <c r="AK694" s="52">
        <f t="shared" si="317"/>
        <v>0</v>
      </c>
      <c r="AL694" s="52">
        <f t="shared" si="317"/>
        <v>0</v>
      </c>
      <c r="AM694" s="52">
        <f t="shared" si="317"/>
        <v>0</v>
      </c>
      <c r="AN694" s="52">
        <f t="shared" si="317"/>
        <v>0</v>
      </c>
      <c r="AO694" s="52">
        <f t="shared" si="318"/>
        <v>0</v>
      </c>
      <c r="AP694" s="52">
        <f t="shared" si="318"/>
        <v>0</v>
      </c>
      <c r="AQ694" s="52">
        <f t="shared" si="318"/>
        <v>0</v>
      </c>
      <c r="AR694" s="52">
        <f t="shared" si="318"/>
        <v>0</v>
      </c>
      <c r="AS694" s="52">
        <f t="shared" si="318"/>
        <v>0</v>
      </c>
      <c r="AT694" s="52">
        <f t="shared" si="318"/>
        <v>0</v>
      </c>
      <c r="AU694" s="52">
        <f t="shared" si="318"/>
        <v>2.4390243902439025E-2</v>
      </c>
      <c r="AV694" s="52">
        <f t="shared" si="318"/>
        <v>8.1300813008130079E-2</v>
      </c>
      <c r="AW694" s="52">
        <f t="shared" si="318"/>
        <v>0.13821138211382114</v>
      </c>
      <c r="AX694" s="52">
        <f t="shared" si="318"/>
        <v>0.1951219512195122</v>
      </c>
      <c r="AY694" s="52">
        <f t="shared" si="318"/>
        <v>0.25203252032520324</v>
      </c>
      <c r="AZ694" s="52">
        <f t="shared" si="318"/>
        <v>0.30894308943089432</v>
      </c>
      <c r="BA694" s="52">
        <f t="shared" si="318"/>
        <v>0.36585365853658536</v>
      </c>
      <c r="BB694" s="52">
        <f t="shared" si="318"/>
        <v>0.42276422764227645</v>
      </c>
      <c r="BC694" s="52">
        <f t="shared" si="318"/>
        <v>0.47967479674796748</v>
      </c>
      <c r="BD694" s="52">
        <f t="shared" si="318"/>
        <v>0.53658536585365857</v>
      </c>
      <c r="BE694" s="52">
        <f t="shared" si="318"/>
        <v>0.5934959349593496</v>
      </c>
      <c r="BF694" s="52">
        <f t="shared" si="318"/>
        <v>0.65040650406504064</v>
      </c>
      <c r="BG694" s="52">
        <f t="shared" si="318"/>
        <v>0.70731707317073167</v>
      </c>
      <c r="BH694" s="52">
        <f t="shared" si="318"/>
        <v>0.76422764227642281</v>
      </c>
      <c r="BI694" s="52">
        <f t="shared" si="318"/>
        <v>0.82113821138211385</v>
      </c>
      <c r="BJ694" s="52">
        <f t="shared" si="318"/>
        <v>0.87804878048780488</v>
      </c>
      <c r="BK694" s="52">
        <f t="shared" si="318"/>
        <v>0.93495934959349591</v>
      </c>
      <c r="BL694" s="52">
        <f t="shared" si="318"/>
        <v>0.99186991869918695</v>
      </c>
      <c r="BM694" s="52">
        <f t="shared" si="318"/>
        <v>1</v>
      </c>
      <c r="BN694" s="52">
        <f t="shared" si="318"/>
        <v>1</v>
      </c>
      <c r="BO694" s="32">
        <f t="shared" si="301"/>
        <v>0.18892104175279043</v>
      </c>
    </row>
    <row r="695" spans="1:67" ht="23.45" customHeight="1" x14ac:dyDescent="0.2">
      <c r="A695" s="21">
        <v>12</v>
      </c>
      <c r="B695" s="21" t="s">
        <v>1401</v>
      </c>
      <c r="C695" s="21" t="s">
        <v>1402</v>
      </c>
      <c r="D695" s="33">
        <f>SUM(D696:D698)</f>
        <v>11729331452.099998</v>
      </c>
      <c r="E695" s="24">
        <f>IFERROR(D695/$D$8,0)</f>
        <v>5.6270333738201839E-2</v>
      </c>
      <c r="F695" s="25">
        <v>46560</v>
      </c>
      <c r="G695" s="25">
        <v>46627</v>
      </c>
      <c r="H695" s="24">
        <f>SUMPRODUCT($E696:$E697,H696:H697)</f>
        <v>0</v>
      </c>
      <c r="I695" s="24">
        <f t="shared" ref="I695:BN695" si="319">SUMPRODUCT($E696:$E697,I696:I697)</f>
        <v>0</v>
      </c>
      <c r="J695" s="24">
        <f t="shared" si="319"/>
        <v>0</v>
      </c>
      <c r="K695" s="24">
        <f t="shared" si="319"/>
        <v>0</v>
      </c>
      <c r="L695" s="24">
        <f t="shared" si="319"/>
        <v>0</v>
      </c>
      <c r="M695" s="24">
        <f t="shared" si="319"/>
        <v>0</v>
      </c>
      <c r="N695" s="24">
        <f t="shared" si="319"/>
        <v>0</v>
      </c>
      <c r="O695" s="24">
        <f t="shared" si="319"/>
        <v>0</v>
      </c>
      <c r="P695" s="24">
        <f t="shared" si="319"/>
        <v>0</v>
      </c>
      <c r="Q695" s="24">
        <f t="shared" si="319"/>
        <v>0</v>
      </c>
      <c r="R695" s="24">
        <f t="shared" si="319"/>
        <v>0</v>
      </c>
      <c r="S695" s="24">
        <f t="shared" si="319"/>
        <v>0</v>
      </c>
      <c r="T695" s="24">
        <f t="shared" si="319"/>
        <v>0</v>
      </c>
      <c r="U695" s="24">
        <f t="shared" si="319"/>
        <v>0</v>
      </c>
      <c r="V695" s="24">
        <f t="shared" si="319"/>
        <v>0</v>
      </c>
      <c r="W695" s="24">
        <f t="shared" si="319"/>
        <v>0</v>
      </c>
      <c r="X695" s="24">
        <f t="shared" si="319"/>
        <v>0</v>
      </c>
      <c r="Y695" s="24">
        <f t="shared" si="319"/>
        <v>0</v>
      </c>
      <c r="Z695" s="24">
        <f t="shared" si="319"/>
        <v>0</v>
      </c>
      <c r="AA695" s="24">
        <f t="shared" si="319"/>
        <v>0</v>
      </c>
      <c r="AB695" s="24">
        <f t="shared" si="319"/>
        <v>0</v>
      </c>
      <c r="AC695" s="24">
        <f t="shared" si="319"/>
        <v>0</v>
      </c>
      <c r="AD695" s="24">
        <f t="shared" si="319"/>
        <v>0</v>
      </c>
      <c r="AE695" s="24">
        <f t="shared" si="319"/>
        <v>0</v>
      </c>
      <c r="AF695" s="24">
        <f t="shared" si="319"/>
        <v>0</v>
      </c>
      <c r="AG695" s="24">
        <f t="shared" si="319"/>
        <v>0</v>
      </c>
      <c r="AH695" s="24">
        <f t="shared" si="319"/>
        <v>0</v>
      </c>
      <c r="AI695" s="24">
        <f t="shared" si="319"/>
        <v>0</v>
      </c>
      <c r="AJ695" s="24">
        <f t="shared" si="319"/>
        <v>0</v>
      </c>
      <c r="AK695" s="24">
        <f t="shared" si="319"/>
        <v>0</v>
      </c>
      <c r="AL695" s="24">
        <f t="shared" si="319"/>
        <v>0</v>
      </c>
      <c r="AM695" s="24">
        <f t="shared" si="319"/>
        <v>0</v>
      </c>
      <c r="AN695" s="24">
        <f t="shared" si="319"/>
        <v>0</v>
      </c>
      <c r="AO695" s="24">
        <f t="shared" si="319"/>
        <v>0</v>
      </c>
      <c r="AP695" s="24">
        <f t="shared" si="319"/>
        <v>0</v>
      </c>
      <c r="AQ695" s="24">
        <f t="shared" si="319"/>
        <v>0</v>
      </c>
      <c r="AR695" s="24">
        <f t="shared" si="319"/>
        <v>0</v>
      </c>
      <c r="AS695" s="24">
        <f t="shared" si="319"/>
        <v>0</v>
      </c>
      <c r="AT695" s="24">
        <f t="shared" si="319"/>
        <v>0</v>
      </c>
      <c r="AU695" s="24">
        <f t="shared" si="319"/>
        <v>0</v>
      </c>
      <c r="AV695" s="24">
        <f t="shared" si="319"/>
        <v>0</v>
      </c>
      <c r="AW695" s="24">
        <f t="shared" si="319"/>
        <v>0</v>
      </c>
      <c r="AX695" s="24">
        <f t="shared" si="319"/>
        <v>0</v>
      </c>
      <c r="AY695" s="24">
        <f t="shared" si="319"/>
        <v>0</v>
      </c>
      <c r="AZ695" s="24">
        <f t="shared" si="319"/>
        <v>0</v>
      </c>
      <c r="BA695" s="24">
        <f t="shared" si="319"/>
        <v>0</v>
      </c>
      <c r="BB695" s="24">
        <f t="shared" si="319"/>
        <v>0</v>
      </c>
      <c r="BC695" s="24">
        <f t="shared" si="319"/>
        <v>0</v>
      </c>
      <c r="BD695" s="24">
        <f t="shared" si="319"/>
        <v>0</v>
      </c>
      <c r="BE695" s="24">
        <f t="shared" si="319"/>
        <v>0</v>
      </c>
      <c r="BF695" s="24">
        <f t="shared" si="319"/>
        <v>5.8823529411764712E-2</v>
      </c>
      <c r="BG695" s="24">
        <f t="shared" si="319"/>
        <v>0.16176470588235298</v>
      </c>
      <c r="BH695" s="24">
        <f t="shared" si="319"/>
        <v>0.26470588235294124</v>
      </c>
      <c r="BI695" s="24">
        <f t="shared" si="319"/>
        <v>0.36764705882352944</v>
      </c>
      <c r="BJ695" s="24">
        <f t="shared" si="319"/>
        <v>0.4705882352941177</v>
      </c>
      <c r="BK695" s="24">
        <f t="shared" si="319"/>
        <v>0.57352941176470584</v>
      </c>
      <c r="BL695" s="24">
        <f t="shared" si="319"/>
        <v>0.67647058823529427</v>
      </c>
      <c r="BM695" s="24">
        <f t="shared" si="319"/>
        <v>0.77941176470588247</v>
      </c>
      <c r="BN695" s="24">
        <f t="shared" si="319"/>
        <v>0.88235294117647067</v>
      </c>
      <c r="BO695" s="32">
        <f t="shared" si="301"/>
        <v>7.1784646061814575E-2</v>
      </c>
    </row>
    <row r="696" spans="1:67" x14ac:dyDescent="0.2">
      <c r="A696" s="50" t="s">
        <v>1403</v>
      </c>
      <c r="B696" s="50" t="s">
        <v>1404</v>
      </c>
      <c r="C696" s="50" t="s">
        <v>1402</v>
      </c>
      <c r="D696" s="51">
        <f>VLOOKUP(A696,'[1]Cuadro Control'!C742:J2626,8,FALSE)</f>
        <v>3265847514.5999994</v>
      </c>
      <c r="E696" s="52">
        <f>IFERROR(D696/$D$695,0)</f>
        <v>0.27843424221891933</v>
      </c>
      <c r="F696" s="53">
        <v>46560</v>
      </c>
      <c r="G696" s="53">
        <v>46627</v>
      </c>
      <c r="H696" s="52">
        <f t="shared" ref="H696:W703" si="320">IF($F696=0,0,IF(H$6&lt;$F696,0,IF(H$6&gt;$G696,1,(H$6-$F696+1)/($G696-$F696+1))))</f>
        <v>0</v>
      </c>
      <c r="I696" s="52">
        <f t="shared" si="317"/>
        <v>0</v>
      </c>
      <c r="J696" s="52">
        <f t="shared" si="317"/>
        <v>0</v>
      </c>
      <c r="K696" s="52">
        <f t="shared" si="317"/>
        <v>0</v>
      </c>
      <c r="L696" s="52">
        <f t="shared" si="317"/>
        <v>0</v>
      </c>
      <c r="M696" s="52">
        <f t="shared" si="317"/>
        <v>0</v>
      </c>
      <c r="N696" s="52">
        <f t="shared" si="317"/>
        <v>0</v>
      </c>
      <c r="O696" s="52">
        <f t="shared" si="317"/>
        <v>0</v>
      </c>
      <c r="P696" s="52">
        <f t="shared" si="317"/>
        <v>0</v>
      </c>
      <c r="Q696" s="52">
        <f t="shared" si="317"/>
        <v>0</v>
      </c>
      <c r="R696" s="52">
        <f t="shared" si="317"/>
        <v>0</v>
      </c>
      <c r="S696" s="52">
        <f t="shared" si="317"/>
        <v>0</v>
      </c>
      <c r="T696" s="52">
        <f t="shared" si="317"/>
        <v>0</v>
      </c>
      <c r="U696" s="52">
        <f t="shared" si="317"/>
        <v>0</v>
      </c>
      <c r="V696" s="52">
        <f t="shared" si="317"/>
        <v>0</v>
      </c>
      <c r="W696" s="52">
        <f t="shared" si="317"/>
        <v>0</v>
      </c>
      <c r="X696" s="52">
        <f t="shared" si="317"/>
        <v>0</v>
      </c>
      <c r="Y696" s="52">
        <f t="shared" si="317"/>
        <v>0</v>
      </c>
      <c r="Z696" s="52">
        <f t="shared" si="317"/>
        <v>0</v>
      </c>
      <c r="AA696" s="52">
        <f t="shared" si="317"/>
        <v>0</v>
      </c>
      <c r="AB696" s="52">
        <f t="shared" si="317"/>
        <v>0</v>
      </c>
      <c r="AC696" s="52">
        <f t="shared" si="317"/>
        <v>0</v>
      </c>
      <c r="AD696" s="52">
        <f t="shared" si="317"/>
        <v>0</v>
      </c>
      <c r="AE696" s="52">
        <f t="shared" si="317"/>
        <v>0</v>
      </c>
      <c r="AF696" s="52">
        <f t="shared" si="317"/>
        <v>0</v>
      </c>
      <c r="AG696" s="52">
        <f t="shared" si="317"/>
        <v>0</v>
      </c>
      <c r="AH696" s="52">
        <f t="shared" si="317"/>
        <v>0</v>
      </c>
      <c r="AI696" s="52">
        <f t="shared" si="317"/>
        <v>0</v>
      </c>
      <c r="AJ696" s="52">
        <f t="shared" si="317"/>
        <v>0</v>
      </c>
      <c r="AK696" s="52">
        <f t="shared" si="317"/>
        <v>0</v>
      </c>
      <c r="AL696" s="52">
        <f t="shared" si="317"/>
        <v>0</v>
      </c>
      <c r="AM696" s="52">
        <f t="shared" si="317"/>
        <v>0</v>
      </c>
      <c r="AN696" s="52">
        <f t="shared" si="317"/>
        <v>0</v>
      </c>
      <c r="AO696" s="52">
        <f t="shared" ref="AO696:BN703" si="321">IF($F696=0,0,IF(AO$6&lt;$F696,0,IF(AO$6&gt;$G696,1,(AO$6-$F696+1)/($G696-$F696+1))))</f>
        <v>0</v>
      </c>
      <c r="AP696" s="52">
        <f t="shared" si="321"/>
        <v>0</v>
      </c>
      <c r="AQ696" s="52">
        <f t="shared" si="321"/>
        <v>0</v>
      </c>
      <c r="AR696" s="52">
        <f t="shared" si="321"/>
        <v>0</v>
      </c>
      <c r="AS696" s="52">
        <f t="shared" si="321"/>
        <v>0</v>
      </c>
      <c r="AT696" s="52">
        <f t="shared" si="321"/>
        <v>0</v>
      </c>
      <c r="AU696" s="52">
        <f t="shared" si="321"/>
        <v>0</v>
      </c>
      <c r="AV696" s="52">
        <f t="shared" si="321"/>
        <v>0</v>
      </c>
      <c r="AW696" s="52">
        <f t="shared" si="321"/>
        <v>0</v>
      </c>
      <c r="AX696" s="52">
        <f t="shared" si="321"/>
        <v>0</v>
      </c>
      <c r="AY696" s="52">
        <f t="shared" si="321"/>
        <v>0</v>
      </c>
      <c r="AZ696" s="52">
        <f t="shared" si="321"/>
        <v>0</v>
      </c>
      <c r="BA696" s="52">
        <f t="shared" si="321"/>
        <v>0</v>
      </c>
      <c r="BB696" s="52">
        <f t="shared" si="321"/>
        <v>0</v>
      </c>
      <c r="BC696" s="52">
        <f t="shared" si="321"/>
        <v>0</v>
      </c>
      <c r="BD696" s="52">
        <f t="shared" si="321"/>
        <v>0</v>
      </c>
      <c r="BE696" s="52">
        <f t="shared" si="321"/>
        <v>0</v>
      </c>
      <c r="BF696" s="52">
        <f t="shared" si="321"/>
        <v>5.8823529411764705E-2</v>
      </c>
      <c r="BG696" s="52">
        <f t="shared" si="321"/>
        <v>0.16176470588235295</v>
      </c>
      <c r="BH696" s="52">
        <f t="shared" si="321"/>
        <v>0.26470588235294118</v>
      </c>
      <c r="BI696" s="52">
        <f t="shared" si="321"/>
        <v>0.36764705882352944</v>
      </c>
      <c r="BJ696" s="52">
        <f t="shared" si="321"/>
        <v>0.47058823529411764</v>
      </c>
      <c r="BK696" s="52">
        <f t="shared" si="321"/>
        <v>0.57352941176470584</v>
      </c>
      <c r="BL696" s="52">
        <f t="shared" si="321"/>
        <v>0.67647058823529416</v>
      </c>
      <c r="BM696" s="52">
        <f t="shared" si="321"/>
        <v>0.77941176470588236</v>
      </c>
      <c r="BN696" s="52">
        <f t="shared" si="321"/>
        <v>0.88235294117647056</v>
      </c>
      <c r="BO696" s="32">
        <f t="shared" si="301"/>
        <v>7.1784646061814561E-2</v>
      </c>
    </row>
    <row r="697" spans="1:67" ht="24" x14ac:dyDescent="0.2">
      <c r="A697" s="50" t="s">
        <v>1405</v>
      </c>
      <c r="B697" s="50" t="s">
        <v>1406</v>
      </c>
      <c r="C697" s="50" t="s">
        <v>1402</v>
      </c>
      <c r="D697" s="51">
        <f>VLOOKUP(A697,'[1]Cuadro Control'!C743:J2627,8,FALSE)</f>
        <v>8463483937.5</v>
      </c>
      <c r="E697" s="52">
        <f>IFERROR(D697/$D$695,0)</f>
        <v>0.72156575778108079</v>
      </c>
      <c r="F697" s="53">
        <v>46560</v>
      </c>
      <c r="G697" s="53">
        <v>46627</v>
      </c>
      <c r="H697" s="52">
        <f t="shared" si="320"/>
        <v>0</v>
      </c>
      <c r="I697" s="52">
        <f t="shared" si="317"/>
        <v>0</v>
      </c>
      <c r="J697" s="52">
        <f t="shared" si="317"/>
        <v>0</v>
      </c>
      <c r="K697" s="52">
        <f t="shared" si="317"/>
        <v>0</v>
      </c>
      <c r="L697" s="52">
        <f t="shared" si="317"/>
        <v>0</v>
      </c>
      <c r="M697" s="52">
        <f t="shared" si="317"/>
        <v>0</v>
      </c>
      <c r="N697" s="52">
        <f t="shared" si="317"/>
        <v>0</v>
      </c>
      <c r="O697" s="52">
        <f t="shared" si="317"/>
        <v>0</v>
      </c>
      <c r="P697" s="52">
        <f t="shared" si="317"/>
        <v>0</v>
      </c>
      <c r="Q697" s="52">
        <f t="shared" si="317"/>
        <v>0</v>
      </c>
      <c r="R697" s="52">
        <f t="shared" si="317"/>
        <v>0</v>
      </c>
      <c r="S697" s="52">
        <f t="shared" si="317"/>
        <v>0</v>
      </c>
      <c r="T697" s="52">
        <f t="shared" si="317"/>
        <v>0</v>
      </c>
      <c r="U697" s="52">
        <f t="shared" si="317"/>
        <v>0</v>
      </c>
      <c r="V697" s="52">
        <f t="shared" si="317"/>
        <v>0</v>
      </c>
      <c r="W697" s="52">
        <f t="shared" si="317"/>
        <v>0</v>
      </c>
      <c r="X697" s="52">
        <f t="shared" si="317"/>
        <v>0</v>
      </c>
      <c r="Y697" s="52">
        <f t="shared" si="317"/>
        <v>0</v>
      </c>
      <c r="Z697" s="52">
        <f t="shared" si="317"/>
        <v>0</v>
      </c>
      <c r="AA697" s="52">
        <f t="shared" si="317"/>
        <v>0</v>
      </c>
      <c r="AB697" s="52">
        <f t="shared" si="317"/>
        <v>0</v>
      </c>
      <c r="AC697" s="52">
        <f t="shared" si="317"/>
        <v>0</v>
      </c>
      <c r="AD697" s="52">
        <f t="shared" si="317"/>
        <v>0</v>
      </c>
      <c r="AE697" s="52">
        <f t="shared" si="317"/>
        <v>0</v>
      </c>
      <c r="AF697" s="52">
        <f t="shared" si="317"/>
        <v>0</v>
      </c>
      <c r="AG697" s="52">
        <f t="shared" si="317"/>
        <v>0</v>
      </c>
      <c r="AH697" s="52">
        <f t="shared" si="317"/>
        <v>0</v>
      </c>
      <c r="AI697" s="52">
        <f t="shared" si="317"/>
        <v>0</v>
      </c>
      <c r="AJ697" s="52">
        <f t="shared" si="317"/>
        <v>0</v>
      </c>
      <c r="AK697" s="52">
        <f t="shared" si="317"/>
        <v>0</v>
      </c>
      <c r="AL697" s="52">
        <f t="shared" si="317"/>
        <v>0</v>
      </c>
      <c r="AM697" s="52">
        <f t="shared" si="317"/>
        <v>0</v>
      </c>
      <c r="AN697" s="52">
        <f t="shared" si="317"/>
        <v>0</v>
      </c>
      <c r="AO697" s="52">
        <f t="shared" si="321"/>
        <v>0</v>
      </c>
      <c r="AP697" s="52">
        <f t="shared" si="321"/>
        <v>0</v>
      </c>
      <c r="AQ697" s="52">
        <f t="shared" si="321"/>
        <v>0</v>
      </c>
      <c r="AR697" s="52">
        <f t="shared" si="321"/>
        <v>0</v>
      </c>
      <c r="AS697" s="52">
        <f t="shared" si="321"/>
        <v>0</v>
      </c>
      <c r="AT697" s="52">
        <f t="shared" si="321"/>
        <v>0</v>
      </c>
      <c r="AU697" s="52">
        <f t="shared" si="321"/>
        <v>0</v>
      </c>
      <c r="AV697" s="52">
        <f t="shared" si="321"/>
        <v>0</v>
      </c>
      <c r="AW697" s="52">
        <f t="shared" si="321"/>
        <v>0</v>
      </c>
      <c r="AX697" s="52">
        <f t="shared" si="321"/>
        <v>0</v>
      </c>
      <c r="AY697" s="52">
        <f t="shared" si="321"/>
        <v>0</v>
      </c>
      <c r="AZ697" s="52">
        <f t="shared" si="321"/>
        <v>0</v>
      </c>
      <c r="BA697" s="52">
        <f t="shared" si="321"/>
        <v>0</v>
      </c>
      <c r="BB697" s="52">
        <f t="shared" si="321"/>
        <v>0</v>
      </c>
      <c r="BC697" s="52">
        <f t="shared" si="321"/>
        <v>0</v>
      </c>
      <c r="BD697" s="52">
        <f t="shared" si="321"/>
        <v>0</v>
      </c>
      <c r="BE697" s="52">
        <f t="shared" si="321"/>
        <v>0</v>
      </c>
      <c r="BF697" s="52">
        <f t="shared" si="321"/>
        <v>5.8823529411764705E-2</v>
      </c>
      <c r="BG697" s="52">
        <f t="shared" si="321"/>
        <v>0.16176470588235295</v>
      </c>
      <c r="BH697" s="52">
        <f t="shared" si="321"/>
        <v>0.26470588235294118</v>
      </c>
      <c r="BI697" s="52">
        <f t="shared" si="321"/>
        <v>0.36764705882352944</v>
      </c>
      <c r="BJ697" s="52">
        <f t="shared" si="321"/>
        <v>0.47058823529411764</v>
      </c>
      <c r="BK697" s="52">
        <f t="shared" si="321"/>
        <v>0.57352941176470584</v>
      </c>
      <c r="BL697" s="52">
        <f t="shared" si="321"/>
        <v>0.67647058823529416</v>
      </c>
      <c r="BM697" s="52">
        <f t="shared" si="321"/>
        <v>0.77941176470588236</v>
      </c>
      <c r="BN697" s="52">
        <f t="shared" si="321"/>
        <v>0.88235294117647056</v>
      </c>
      <c r="BO697" s="32">
        <f t="shared" si="301"/>
        <v>7.1784646061814561E-2</v>
      </c>
    </row>
    <row r="698" spans="1:67" x14ac:dyDescent="0.2">
      <c r="A698" s="28">
        <v>13</v>
      </c>
      <c r="B698" s="28" t="s">
        <v>1407</v>
      </c>
      <c r="C698" s="28" t="s">
        <v>14</v>
      </c>
      <c r="D698" s="29">
        <f>VLOOKUP(A698,'[1]Cuadro Control'!C744:J2628,8,FALSE)</f>
        <v>0</v>
      </c>
      <c r="E698" s="30">
        <f>IFERROR(D698/$D$8,0)</f>
        <v>0</v>
      </c>
      <c r="F698" s="31">
        <v>46627</v>
      </c>
      <c r="G698" s="31">
        <v>46627</v>
      </c>
      <c r="H698" s="30">
        <f t="shared" si="320"/>
        <v>0</v>
      </c>
      <c r="I698" s="30">
        <f t="shared" si="317"/>
        <v>0</v>
      </c>
      <c r="J698" s="30">
        <f t="shared" si="317"/>
        <v>0</v>
      </c>
      <c r="K698" s="30">
        <f t="shared" si="317"/>
        <v>0</v>
      </c>
      <c r="L698" s="30">
        <f t="shared" si="317"/>
        <v>0</v>
      </c>
      <c r="M698" s="30">
        <f t="shared" si="317"/>
        <v>0</v>
      </c>
      <c r="N698" s="30">
        <f t="shared" si="317"/>
        <v>0</v>
      </c>
      <c r="O698" s="30">
        <f t="shared" si="317"/>
        <v>0</v>
      </c>
      <c r="P698" s="30">
        <f t="shared" si="317"/>
        <v>0</v>
      </c>
      <c r="Q698" s="30">
        <f t="shared" si="317"/>
        <v>0</v>
      </c>
      <c r="R698" s="30">
        <f t="shared" si="317"/>
        <v>0</v>
      </c>
      <c r="S698" s="30">
        <f t="shared" si="317"/>
        <v>0</v>
      </c>
      <c r="T698" s="30">
        <f t="shared" si="317"/>
        <v>0</v>
      </c>
      <c r="U698" s="30">
        <f t="shared" si="317"/>
        <v>0</v>
      </c>
      <c r="V698" s="30">
        <f t="shared" si="317"/>
        <v>0</v>
      </c>
      <c r="W698" s="30">
        <f t="shared" si="317"/>
        <v>0</v>
      </c>
      <c r="X698" s="30">
        <f t="shared" si="317"/>
        <v>0</v>
      </c>
      <c r="Y698" s="30">
        <f t="shared" si="317"/>
        <v>0</v>
      </c>
      <c r="Z698" s="30">
        <f t="shared" si="317"/>
        <v>0</v>
      </c>
      <c r="AA698" s="30">
        <f t="shared" si="317"/>
        <v>0</v>
      </c>
      <c r="AB698" s="30">
        <f t="shared" si="317"/>
        <v>0</v>
      </c>
      <c r="AC698" s="30">
        <f t="shared" si="317"/>
        <v>0</v>
      </c>
      <c r="AD698" s="30">
        <f t="shared" si="317"/>
        <v>0</v>
      </c>
      <c r="AE698" s="30">
        <f t="shared" si="317"/>
        <v>0</v>
      </c>
      <c r="AF698" s="30">
        <f t="shared" si="317"/>
        <v>0</v>
      </c>
      <c r="AG698" s="30">
        <f t="shared" si="317"/>
        <v>0</v>
      </c>
      <c r="AH698" s="30">
        <f t="shared" si="317"/>
        <v>0</v>
      </c>
      <c r="AI698" s="30">
        <f t="shared" si="317"/>
        <v>0</v>
      </c>
      <c r="AJ698" s="30">
        <f t="shared" si="317"/>
        <v>0</v>
      </c>
      <c r="AK698" s="30">
        <f t="shared" si="317"/>
        <v>0</v>
      </c>
      <c r="AL698" s="30">
        <f t="shared" si="317"/>
        <v>0</v>
      </c>
      <c r="AM698" s="30">
        <f t="shared" si="317"/>
        <v>0</v>
      </c>
      <c r="AN698" s="30">
        <f t="shared" ref="AN698" si="322">IF($F698=0,0,IF(AN$6&lt;$F698,0,IF(AN$6&gt;$G698,1,(AN$6-$F698+1)/($G698-$F698+1))))</f>
        <v>0</v>
      </c>
      <c r="AO698" s="30">
        <f t="shared" si="321"/>
        <v>0</v>
      </c>
      <c r="AP698" s="30">
        <f t="shared" si="321"/>
        <v>0</v>
      </c>
      <c r="AQ698" s="30">
        <f t="shared" si="321"/>
        <v>0</v>
      </c>
      <c r="AR698" s="30">
        <f t="shared" si="321"/>
        <v>0</v>
      </c>
      <c r="AS698" s="30">
        <f t="shared" si="321"/>
        <v>0</v>
      </c>
      <c r="AT698" s="30">
        <f t="shared" si="321"/>
        <v>0</v>
      </c>
      <c r="AU698" s="30">
        <f t="shared" si="321"/>
        <v>0</v>
      </c>
      <c r="AV698" s="30">
        <f t="shared" si="321"/>
        <v>0</v>
      </c>
      <c r="AW698" s="30">
        <f t="shared" si="321"/>
        <v>0</v>
      </c>
      <c r="AX698" s="30">
        <f t="shared" si="321"/>
        <v>0</v>
      </c>
      <c r="AY698" s="30">
        <f t="shared" si="321"/>
        <v>0</v>
      </c>
      <c r="AZ698" s="30">
        <f t="shared" si="321"/>
        <v>0</v>
      </c>
      <c r="BA698" s="30">
        <f t="shared" si="321"/>
        <v>0</v>
      </c>
      <c r="BB698" s="30">
        <f t="shared" si="321"/>
        <v>0</v>
      </c>
      <c r="BC698" s="30">
        <f t="shared" si="321"/>
        <v>0</v>
      </c>
      <c r="BD698" s="30">
        <f t="shared" si="321"/>
        <v>0</v>
      </c>
      <c r="BE698" s="30">
        <f t="shared" si="321"/>
        <v>0</v>
      </c>
      <c r="BF698" s="30">
        <f t="shared" si="321"/>
        <v>0</v>
      </c>
      <c r="BG698" s="30">
        <f t="shared" si="321"/>
        <v>0</v>
      </c>
      <c r="BH698" s="30">
        <f t="shared" si="321"/>
        <v>0</v>
      </c>
      <c r="BI698" s="30">
        <f t="shared" si="321"/>
        <v>0</v>
      </c>
      <c r="BJ698" s="30">
        <f t="shared" si="321"/>
        <v>0</v>
      </c>
      <c r="BK698" s="30">
        <f t="shared" si="321"/>
        <v>0</v>
      </c>
      <c r="BL698" s="30">
        <f t="shared" si="321"/>
        <v>0</v>
      </c>
      <c r="BM698" s="30">
        <f t="shared" si="321"/>
        <v>0</v>
      </c>
      <c r="BN698" s="30">
        <f t="shared" si="321"/>
        <v>0</v>
      </c>
      <c r="BO698" s="32">
        <f t="shared" si="301"/>
        <v>0</v>
      </c>
    </row>
    <row r="699" spans="1:67" x14ac:dyDescent="0.2">
      <c r="A699" s="21">
        <v>14</v>
      </c>
      <c r="B699" s="21" t="s">
        <v>1408</v>
      </c>
      <c r="C699" s="21" t="s">
        <v>1409</v>
      </c>
      <c r="D699" s="33">
        <f>SUM(D700:D703)</f>
        <v>0</v>
      </c>
      <c r="E699" s="24">
        <f>IFERROR(D699/$D$8,0)</f>
        <v>0</v>
      </c>
      <c r="F699" s="25">
        <v>46627</v>
      </c>
      <c r="G699" s="25">
        <v>46637</v>
      </c>
      <c r="H699" s="24">
        <f t="shared" si="320"/>
        <v>0</v>
      </c>
      <c r="I699" s="24">
        <f t="shared" si="320"/>
        <v>0</v>
      </c>
      <c r="J699" s="24">
        <f t="shared" si="320"/>
        <v>0</v>
      </c>
      <c r="K699" s="24">
        <f t="shared" si="320"/>
        <v>0</v>
      </c>
      <c r="L699" s="24">
        <f t="shared" si="320"/>
        <v>0</v>
      </c>
      <c r="M699" s="24">
        <f t="shared" si="320"/>
        <v>0</v>
      </c>
      <c r="N699" s="24">
        <f t="shared" si="320"/>
        <v>0</v>
      </c>
      <c r="O699" s="24">
        <f t="shared" si="320"/>
        <v>0</v>
      </c>
      <c r="P699" s="24">
        <f t="shared" si="320"/>
        <v>0</v>
      </c>
      <c r="Q699" s="24">
        <f t="shared" si="320"/>
        <v>0</v>
      </c>
      <c r="R699" s="24">
        <f t="shared" si="320"/>
        <v>0</v>
      </c>
      <c r="S699" s="24">
        <f t="shared" si="320"/>
        <v>0</v>
      </c>
      <c r="T699" s="24">
        <f t="shared" si="320"/>
        <v>0</v>
      </c>
      <c r="U699" s="24">
        <f t="shared" si="320"/>
        <v>0</v>
      </c>
      <c r="V699" s="24">
        <f t="shared" si="320"/>
        <v>0</v>
      </c>
      <c r="W699" s="24">
        <f t="shared" si="320"/>
        <v>0</v>
      </c>
      <c r="X699" s="24">
        <f t="shared" ref="X699:BC703" si="323">IF($F699=0,0,IF(X$6&lt;$F699,0,IF(X$6&gt;$G699,1,(X$6-$F699+1)/($G699-$F699+1))))</f>
        <v>0</v>
      </c>
      <c r="Y699" s="24">
        <f t="shared" si="323"/>
        <v>0</v>
      </c>
      <c r="Z699" s="24">
        <f t="shared" si="323"/>
        <v>0</v>
      </c>
      <c r="AA699" s="24">
        <f t="shared" si="323"/>
        <v>0</v>
      </c>
      <c r="AB699" s="24">
        <f t="shared" si="323"/>
        <v>0</v>
      </c>
      <c r="AC699" s="24">
        <f t="shared" si="323"/>
        <v>0</v>
      </c>
      <c r="AD699" s="24">
        <f t="shared" si="323"/>
        <v>0</v>
      </c>
      <c r="AE699" s="24">
        <f t="shared" si="323"/>
        <v>0</v>
      </c>
      <c r="AF699" s="24">
        <f t="shared" si="323"/>
        <v>0</v>
      </c>
      <c r="AG699" s="24">
        <f t="shared" si="323"/>
        <v>0</v>
      </c>
      <c r="AH699" s="24">
        <f t="shared" si="323"/>
        <v>0</v>
      </c>
      <c r="AI699" s="24">
        <f t="shared" si="323"/>
        <v>0</v>
      </c>
      <c r="AJ699" s="24">
        <f t="shared" si="323"/>
        <v>0</v>
      </c>
      <c r="AK699" s="24">
        <f t="shared" si="323"/>
        <v>0</v>
      </c>
      <c r="AL699" s="24">
        <f t="shared" si="323"/>
        <v>0</v>
      </c>
      <c r="AM699" s="24">
        <f t="shared" si="323"/>
        <v>0</v>
      </c>
      <c r="AN699" s="24">
        <f t="shared" si="323"/>
        <v>0</v>
      </c>
      <c r="AO699" s="24">
        <f t="shared" si="321"/>
        <v>0</v>
      </c>
      <c r="AP699" s="24">
        <f t="shared" si="321"/>
        <v>0</v>
      </c>
      <c r="AQ699" s="24">
        <f t="shared" si="321"/>
        <v>0</v>
      </c>
      <c r="AR699" s="24">
        <f t="shared" si="321"/>
        <v>0</v>
      </c>
      <c r="AS699" s="24">
        <f t="shared" si="321"/>
        <v>0</v>
      </c>
      <c r="AT699" s="24">
        <f t="shared" si="321"/>
        <v>0</v>
      </c>
      <c r="AU699" s="24">
        <f t="shared" si="321"/>
        <v>0</v>
      </c>
      <c r="AV699" s="24">
        <f t="shared" si="321"/>
        <v>0</v>
      </c>
      <c r="AW699" s="24">
        <f t="shared" si="321"/>
        <v>0</v>
      </c>
      <c r="AX699" s="24">
        <f t="shared" si="321"/>
        <v>0</v>
      </c>
      <c r="AY699" s="24">
        <f t="shared" si="321"/>
        <v>0</v>
      </c>
      <c r="AZ699" s="24">
        <f t="shared" si="321"/>
        <v>0</v>
      </c>
      <c r="BA699" s="24">
        <f t="shared" si="321"/>
        <v>0</v>
      </c>
      <c r="BB699" s="24">
        <f t="shared" si="321"/>
        <v>0</v>
      </c>
      <c r="BC699" s="24">
        <f t="shared" si="321"/>
        <v>0</v>
      </c>
      <c r="BD699" s="24">
        <f t="shared" si="321"/>
        <v>0</v>
      </c>
      <c r="BE699" s="24">
        <f t="shared" si="321"/>
        <v>0</v>
      </c>
      <c r="BF699" s="24">
        <f t="shared" si="321"/>
        <v>0</v>
      </c>
      <c r="BG699" s="24">
        <f t="shared" si="321"/>
        <v>0</v>
      </c>
      <c r="BH699" s="24">
        <f t="shared" si="321"/>
        <v>0</v>
      </c>
      <c r="BI699" s="24">
        <f t="shared" si="321"/>
        <v>0</v>
      </c>
      <c r="BJ699" s="24">
        <f t="shared" si="321"/>
        <v>0</v>
      </c>
      <c r="BK699" s="24">
        <f t="shared" si="321"/>
        <v>0</v>
      </c>
      <c r="BL699" s="24">
        <f t="shared" si="321"/>
        <v>0</v>
      </c>
      <c r="BM699" s="24">
        <f t="shared" si="321"/>
        <v>0</v>
      </c>
      <c r="BN699" s="24">
        <f t="shared" si="321"/>
        <v>0</v>
      </c>
      <c r="BO699" s="32">
        <f t="shared" si="301"/>
        <v>0</v>
      </c>
    </row>
    <row r="700" spans="1:67" x14ac:dyDescent="0.2">
      <c r="A700" s="50" t="s">
        <v>1410</v>
      </c>
      <c r="B700" s="50" t="s">
        <v>1411</v>
      </c>
      <c r="C700" s="50" t="s">
        <v>1409</v>
      </c>
      <c r="D700" s="51">
        <f>VLOOKUP(A700,'[1]Cuadro Control'!C746:J2630,8,FALSE)</f>
        <v>0</v>
      </c>
      <c r="E700" s="52">
        <f>IFERROR(D700/$D$699,0)</f>
        <v>0</v>
      </c>
      <c r="F700" s="53">
        <v>46627</v>
      </c>
      <c r="G700" s="53">
        <v>46637</v>
      </c>
      <c r="H700" s="52">
        <f t="shared" si="320"/>
        <v>0</v>
      </c>
      <c r="I700" s="52">
        <f t="shared" si="320"/>
        <v>0</v>
      </c>
      <c r="J700" s="52">
        <f t="shared" si="320"/>
        <v>0</v>
      </c>
      <c r="K700" s="52">
        <f t="shared" si="320"/>
        <v>0</v>
      </c>
      <c r="L700" s="52">
        <f t="shared" si="320"/>
        <v>0</v>
      </c>
      <c r="M700" s="52">
        <f t="shared" si="320"/>
        <v>0</v>
      </c>
      <c r="N700" s="52">
        <f t="shared" si="320"/>
        <v>0</v>
      </c>
      <c r="O700" s="52">
        <f t="shared" si="320"/>
        <v>0</v>
      </c>
      <c r="P700" s="52">
        <f t="shared" si="320"/>
        <v>0</v>
      </c>
      <c r="Q700" s="52">
        <f t="shared" si="320"/>
        <v>0</v>
      </c>
      <c r="R700" s="52">
        <f t="shared" si="320"/>
        <v>0</v>
      </c>
      <c r="S700" s="52">
        <f t="shared" si="320"/>
        <v>0</v>
      </c>
      <c r="T700" s="52">
        <f t="shared" si="320"/>
        <v>0</v>
      </c>
      <c r="U700" s="52">
        <f t="shared" si="320"/>
        <v>0</v>
      </c>
      <c r="V700" s="52">
        <f t="shared" si="320"/>
        <v>0</v>
      </c>
      <c r="W700" s="52">
        <f t="shared" si="320"/>
        <v>0</v>
      </c>
      <c r="X700" s="52">
        <f t="shared" si="323"/>
        <v>0</v>
      </c>
      <c r="Y700" s="52">
        <f t="shared" si="323"/>
        <v>0</v>
      </c>
      <c r="Z700" s="52">
        <f t="shared" si="323"/>
        <v>0</v>
      </c>
      <c r="AA700" s="52">
        <f t="shared" si="323"/>
        <v>0</v>
      </c>
      <c r="AB700" s="52">
        <f t="shared" si="323"/>
        <v>0</v>
      </c>
      <c r="AC700" s="52">
        <f t="shared" si="323"/>
        <v>0</v>
      </c>
      <c r="AD700" s="52">
        <f t="shared" si="323"/>
        <v>0</v>
      </c>
      <c r="AE700" s="52">
        <f t="shared" si="323"/>
        <v>0</v>
      </c>
      <c r="AF700" s="52">
        <f t="shared" si="323"/>
        <v>0</v>
      </c>
      <c r="AG700" s="52">
        <f t="shared" si="323"/>
        <v>0</v>
      </c>
      <c r="AH700" s="52">
        <f t="shared" si="323"/>
        <v>0</v>
      </c>
      <c r="AI700" s="52">
        <f t="shared" si="323"/>
        <v>0</v>
      </c>
      <c r="AJ700" s="52">
        <f t="shared" si="323"/>
        <v>0</v>
      </c>
      <c r="AK700" s="52">
        <f t="shared" si="323"/>
        <v>0</v>
      </c>
      <c r="AL700" s="52">
        <f t="shared" si="323"/>
        <v>0</v>
      </c>
      <c r="AM700" s="52">
        <f t="shared" si="323"/>
        <v>0</v>
      </c>
      <c r="AN700" s="52">
        <f t="shared" si="323"/>
        <v>0</v>
      </c>
      <c r="AO700" s="52">
        <f t="shared" si="321"/>
        <v>0</v>
      </c>
      <c r="AP700" s="52">
        <f t="shared" si="321"/>
        <v>0</v>
      </c>
      <c r="AQ700" s="52">
        <f t="shared" si="321"/>
        <v>0</v>
      </c>
      <c r="AR700" s="52">
        <f t="shared" si="321"/>
        <v>0</v>
      </c>
      <c r="AS700" s="52">
        <f t="shared" si="321"/>
        <v>0</v>
      </c>
      <c r="AT700" s="52">
        <f t="shared" si="321"/>
        <v>0</v>
      </c>
      <c r="AU700" s="52">
        <f t="shared" si="321"/>
        <v>0</v>
      </c>
      <c r="AV700" s="52">
        <f t="shared" si="321"/>
        <v>0</v>
      </c>
      <c r="AW700" s="52">
        <f t="shared" si="321"/>
        <v>0</v>
      </c>
      <c r="AX700" s="52">
        <f t="shared" si="321"/>
        <v>0</v>
      </c>
      <c r="AY700" s="52">
        <f t="shared" si="321"/>
        <v>0</v>
      </c>
      <c r="AZ700" s="52">
        <f t="shared" si="321"/>
        <v>0</v>
      </c>
      <c r="BA700" s="52">
        <f t="shared" si="321"/>
        <v>0</v>
      </c>
      <c r="BB700" s="52">
        <f t="shared" si="321"/>
        <v>0</v>
      </c>
      <c r="BC700" s="52">
        <f t="shared" si="321"/>
        <v>0</v>
      </c>
      <c r="BD700" s="52">
        <f t="shared" si="321"/>
        <v>0</v>
      </c>
      <c r="BE700" s="52">
        <f t="shared" si="321"/>
        <v>0</v>
      </c>
      <c r="BF700" s="52">
        <f t="shared" si="321"/>
        <v>0</v>
      </c>
      <c r="BG700" s="52">
        <f t="shared" si="321"/>
        <v>0</v>
      </c>
      <c r="BH700" s="52">
        <f t="shared" si="321"/>
        <v>0</v>
      </c>
      <c r="BI700" s="52">
        <f t="shared" si="321"/>
        <v>0</v>
      </c>
      <c r="BJ700" s="52">
        <f t="shared" si="321"/>
        <v>0</v>
      </c>
      <c r="BK700" s="52">
        <f t="shared" si="321"/>
        <v>0</v>
      </c>
      <c r="BL700" s="52">
        <f t="shared" si="321"/>
        <v>0</v>
      </c>
      <c r="BM700" s="52">
        <f t="shared" si="321"/>
        <v>0</v>
      </c>
      <c r="BN700" s="52">
        <f t="shared" si="321"/>
        <v>0</v>
      </c>
      <c r="BO700" s="32">
        <f t="shared" si="301"/>
        <v>0</v>
      </c>
    </row>
    <row r="701" spans="1:67" ht="24" x14ac:dyDescent="0.2">
      <c r="A701" s="50" t="s">
        <v>1412</v>
      </c>
      <c r="B701" s="50" t="s">
        <v>1413</v>
      </c>
      <c r="C701" s="50" t="s">
        <v>1409</v>
      </c>
      <c r="D701" s="51">
        <f>VLOOKUP(A701,'[1]Cuadro Control'!C747:J2631,8,FALSE)</f>
        <v>0</v>
      </c>
      <c r="E701" s="52">
        <f>IFERROR(D701/$D$699,0)</f>
        <v>0</v>
      </c>
      <c r="F701" s="53">
        <v>46627</v>
      </c>
      <c r="G701" s="53">
        <v>46637</v>
      </c>
      <c r="H701" s="52">
        <f t="shared" si="320"/>
        <v>0</v>
      </c>
      <c r="I701" s="52">
        <f t="shared" si="320"/>
        <v>0</v>
      </c>
      <c r="J701" s="52">
        <f t="shared" si="320"/>
        <v>0</v>
      </c>
      <c r="K701" s="52">
        <f t="shared" si="320"/>
        <v>0</v>
      </c>
      <c r="L701" s="52">
        <f t="shared" si="320"/>
        <v>0</v>
      </c>
      <c r="M701" s="52">
        <f t="shared" si="320"/>
        <v>0</v>
      </c>
      <c r="N701" s="52">
        <f t="shared" si="320"/>
        <v>0</v>
      </c>
      <c r="O701" s="52">
        <f t="shared" si="320"/>
        <v>0</v>
      </c>
      <c r="P701" s="52">
        <f t="shared" si="320"/>
        <v>0</v>
      </c>
      <c r="Q701" s="52">
        <f t="shared" si="320"/>
        <v>0</v>
      </c>
      <c r="R701" s="52">
        <f t="shared" si="320"/>
        <v>0</v>
      </c>
      <c r="S701" s="52">
        <f t="shared" si="320"/>
        <v>0</v>
      </c>
      <c r="T701" s="52">
        <f t="shared" si="320"/>
        <v>0</v>
      </c>
      <c r="U701" s="52">
        <f t="shared" si="320"/>
        <v>0</v>
      </c>
      <c r="V701" s="52">
        <f t="shared" si="320"/>
        <v>0</v>
      </c>
      <c r="W701" s="52">
        <f t="shared" si="320"/>
        <v>0</v>
      </c>
      <c r="X701" s="52">
        <f t="shared" si="323"/>
        <v>0</v>
      </c>
      <c r="Y701" s="52">
        <f t="shared" si="323"/>
        <v>0</v>
      </c>
      <c r="Z701" s="52">
        <f t="shared" si="323"/>
        <v>0</v>
      </c>
      <c r="AA701" s="52">
        <f t="shared" si="323"/>
        <v>0</v>
      </c>
      <c r="AB701" s="52">
        <f t="shared" si="323"/>
        <v>0</v>
      </c>
      <c r="AC701" s="52">
        <f t="shared" si="323"/>
        <v>0</v>
      </c>
      <c r="AD701" s="52">
        <f t="shared" si="323"/>
        <v>0</v>
      </c>
      <c r="AE701" s="52">
        <f t="shared" si="323"/>
        <v>0</v>
      </c>
      <c r="AF701" s="52">
        <f t="shared" si="323"/>
        <v>0</v>
      </c>
      <c r="AG701" s="52">
        <f t="shared" si="323"/>
        <v>0</v>
      </c>
      <c r="AH701" s="52">
        <f t="shared" si="323"/>
        <v>0</v>
      </c>
      <c r="AI701" s="52">
        <f t="shared" si="323"/>
        <v>0</v>
      </c>
      <c r="AJ701" s="52">
        <f t="shared" si="323"/>
        <v>0</v>
      </c>
      <c r="AK701" s="52">
        <f t="shared" si="323"/>
        <v>0</v>
      </c>
      <c r="AL701" s="52">
        <f t="shared" si="323"/>
        <v>0</v>
      </c>
      <c r="AM701" s="52">
        <f t="shared" si="323"/>
        <v>0</v>
      </c>
      <c r="AN701" s="52">
        <f t="shared" si="323"/>
        <v>0</v>
      </c>
      <c r="AO701" s="52">
        <f t="shared" si="321"/>
        <v>0</v>
      </c>
      <c r="AP701" s="52">
        <f t="shared" si="321"/>
        <v>0</v>
      </c>
      <c r="AQ701" s="52">
        <f t="shared" si="321"/>
        <v>0</v>
      </c>
      <c r="AR701" s="52">
        <f t="shared" si="321"/>
        <v>0</v>
      </c>
      <c r="AS701" s="52">
        <f t="shared" si="321"/>
        <v>0</v>
      </c>
      <c r="AT701" s="52">
        <f t="shared" si="321"/>
        <v>0</v>
      </c>
      <c r="AU701" s="52">
        <f t="shared" si="321"/>
        <v>0</v>
      </c>
      <c r="AV701" s="52">
        <f t="shared" si="321"/>
        <v>0</v>
      </c>
      <c r="AW701" s="52">
        <f t="shared" si="321"/>
        <v>0</v>
      </c>
      <c r="AX701" s="52">
        <f t="shared" si="321"/>
        <v>0</v>
      </c>
      <c r="AY701" s="52">
        <f t="shared" si="321"/>
        <v>0</v>
      </c>
      <c r="AZ701" s="52">
        <f t="shared" si="321"/>
        <v>0</v>
      </c>
      <c r="BA701" s="52">
        <f t="shared" si="321"/>
        <v>0</v>
      </c>
      <c r="BB701" s="52">
        <f t="shared" si="321"/>
        <v>0</v>
      </c>
      <c r="BC701" s="52">
        <f t="shared" si="321"/>
        <v>0</v>
      </c>
      <c r="BD701" s="52">
        <f t="shared" si="321"/>
        <v>0</v>
      </c>
      <c r="BE701" s="52">
        <f t="shared" si="321"/>
        <v>0</v>
      </c>
      <c r="BF701" s="52">
        <f t="shared" si="321"/>
        <v>0</v>
      </c>
      <c r="BG701" s="52">
        <f t="shared" si="321"/>
        <v>0</v>
      </c>
      <c r="BH701" s="52">
        <f t="shared" si="321"/>
        <v>0</v>
      </c>
      <c r="BI701" s="52">
        <f t="shared" si="321"/>
        <v>0</v>
      </c>
      <c r="BJ701" s="52">
        <f t="shared" si="321"/>
        <v>0</v>
      </c>
      <c r="BK701" s="52">
        <f t="shared" si="321"/>
        <v>0</v>
      </c>
      <c r="BL701" s="52">
        <f t="shared" si="321"/>
        <v>0</v>
      </c>
      <c r="BM701" s="52">
        <f t="shared" si="321"/>
        <v>0</v>
      </c>
      <c r="BN701" s="52">
        <f t="shared" si="321"/>
        <v>0</v>
      </c>
      <c r="BO701" s="32">
        <f t="shared" si="301"/>
        <v>0</v>
      </c>
    </row>
    <row r="702" spans="1:67" x14ac:dyDescent="0.2">
      <c r="A702" s="50" t="s">
        <v>1414</v>
      </c>
      <c r="B702" s="50" t="s">
        <v>1415</v>
      </c>
      <c r="C702" s="50" t="s">
        <v>1409</v>
      </c>
      <c r="D702" s="51">
        <f>VLOOKUP(A702,'[1]Cuadro Control'!C748:J2632,8,FALSE)</f>
        <v>0</v>
      </c>
      <c r="E702" s="52">
        <f>IFERROR(D702/$D$699,0)</f>
        <v>0</v>
      </c>
      <c r="F702" s="53">
        <v>46627</v>
      </c>
      <c r="G702" s="53">
        <v>46637</v>
      </c>
      <c r="H702" s="52">
        <f t="shared" si="320"/>
        <v>0</v>
      </c>
      <c r="I702" s="52">
        <f t="shared" si="320"/>
        <v>0</v>
      </c>
      <c r="J702" s="52">
        <f t="shared" si="320"/>
        <v>0</v>
      </c>
      <c r="K702" s="52">
        <f t="shared" si="320"/>
        <v>0</v>
      </c>
      <c r="L702" s="52">
        <f t="shared" si="320"/>
        <v>0</v>
      </c>
      <c r="M702" s="52">
        <f t="shared" si="320"/>
        <v>0</v>
      </c>
      <c r="N702" s="52">
        <f t="shared" si="320"/>
        <v>0</v>
      </c>
      <c r="O702" s="52">
        <f t="shared" si="320"/>
        <v>0</v>
      </c>
      <c r="P702" s="52">
        <f t="shared" si="320"/>
        <v>0</v>
      </c>
      <c r="Q702" s="52">
        <f t="shared" si="320"/>
        <v>0</v>
      </c>
      <c r="R702" s="52">
        <f t="shared" si="320"/>
        <v>0</v>
      </c>
      <c r="S702" s="52">
        <f t="shared" si="320"/>
        <v>0</v>
      </c>
      <c r="T702" s="52">
        <f t="shared" si="320"/>
        <v>0</v>
      </c>
      <c r="U702" s="52">
        <f t="shared" si="320"/>
        <v>0</v>
      </c>
      <c r="V702" s="52">
        <f t="shared" si="320"/>
        <v>0</v>
      </c>
      <c r="W702" s="52">
        <f t="shared" si="320"/>
        <v>0</v>
      </c>
      <c r="X702" s="52">
        <f t="shared" si="323"/>
        <v>0</v>
      </c>
      <c r="Y702" s="52">
        <f t="shared" si="323"/>
        <v>0</v>
      </c>
      <c r="Z702" s="52">
        <f t="shared" si="323"/>
        <v>0</v>
      </c>
      <c r="AA702" s="52">
        <f t="shared" si="323"/>
        <v>0</v>
      </c>
      <c r="AB702" s="52">
        <f t="shared" si="323"/>
        <v>0</v>
      </c>
      <c r="AC702" s="52">
        <f t="shared" si="323"/>
        <v>0</v>
      </c>
      <c r="AD702" s="52">
        <f t="shared" si="323"/>
        <v>0</v>
      </c>
      <c r="AE702" s="52">
        <f t="shared" si="323"/>
        <v>0</v>
      </c>
      <c r="AF702" s="52">
        <f t="shared" si="323"/>
        <v>0</v>
      </c>
      <c r="AG702" s="52">
        <f t="shared" si="323"/>
        <v>0</v>
      </c>
      <c r="AH702" s="52">
        <f t="shared" si="323"/>
        <v>0</v>
      </c>
      <c r="AI702" s="52">
        <f t="shared" si="323"/>
        <v>0</v>
      </c>
      <c r="AJ702" s="52">
        <f t="shared" si="323"/>
        <v>0</v>
      </c>
      <c r="AK702" s="52">
        <f t="shared" si="323"/>
        <v>0</v>
      </c>
      <c r="AL702" s="52">
        <f t="shared" si="323"/>
        <v>0</v>
      </c>
      <c r="AM702" s="52">
        <f t="shared" si="323"/>
        <v>0</v>
      </c>
      <c r="AN702" s="52">
        <f t="shared" si="323"/>
        <v>0</v>
      </c>
      <c r="AO702" s="52">
        <f t="shared" si="321"/>
        <v>0</v>
      </c>
      <c r="AP702" s="52">
        <f t="shared" si="321"/>
        <v>0</v>
      </c>
      <c r="AQ702" s="52">
        <f t="shared" si="321"/>
        <v>0</v>
      </c>
      <c r="AR702" s="52">
        <f t="shared" si="321"/>
        <v>0</v>
      </c>
      <c r="AS702" s="52">
        <f t="shared" si="321"/>
        <v>0</v>
      </c>
      <c r="AT702" s="52">
        <f t="shared" si="321"/>
        <v>0</v>
      </c>
      <c r="AU702" s="52">
        <f t="shared" si="321"/>
        <v>0</v>
      </c>
      <c r="AV702" s="52">
        <f t="shared" si="321"/>
        <v>0</v>
      </c>
      <c r="AW702" s="52">
        <f t="shared" si="321"/>
        <v>0</v>
      </c>
      <c r="AX702" s="52">
        <f t="shared" si="321"/>
        <v>0</v>
      </c>
      <c r="AY702" s="52">
        <f t="shared" si="321"/>
        <v>0</v>
      </c>
      <c r="AZ702" s="52">
        <f t="shared" si="321"/>
        <v>0</v>
      </c>
      <c r="BA702" s="52">
        <f t="shared" si="321"/>
        <v>0</v>
      </c>
      <c r="BB702" s="52">
        <f t="shared" si="321"/>
        <v>0</v>
      </c>
      <c r="BC702" s="52">
        <f t="shared" si="321"/>
        <v>0</v>
      </c>
      <c r="BD702" s="52">
        <f t="shared" si="321"/>
        <v>0</v>
      </c>
      <c r="BE702" s="52">
        <f t="shared" si="321"/>
        <v>0</v>
      </c>
      <c r="BF702" s="52">
        <f t="shared" si="321"/>
        <v>0</v>
      </c>
      <c r="BG702" s="52">
        <f t="shared" si="321"/>
        <v>0</v>
      </c>
      <c r="BH702" s="52">
        <f t="shared" si="321"/>
        <v>0</v>
      </c>
      <c r="BI702" s="52">
        <f t="shared" si="321"/>
        <v>0</v>
      </c>
      <c r="BJ702" s="52">
        <f t="shared" si="321"/>
        <v>0</v>
      </c>
      <c r="BK702" s="52">
        <f t="shared" si="321"/>
        <v>0</v>
      </c>
      <c r="BL702" s="52">
        <f t="shared" si="321"/>
        <v>0</v>
      </c>
      <c r="BM702" s="52">
        <f t="shared" si="321"/>
        <v>0</v>
      </c>
      <c r="BN702" s="52">
        <f t="shared" si="321"/>
        <v>0</v>
      </c>
      <c r="BO702" s="32">
        <f t="shared" si="301"/>
        <v>0</v>
      </c>
    </row>
    <row r="703" spans="1:67" x14ac:dyDescent="0.2">
      <c r="A703" s="28">
        <v>15</v>
      </c>
      <c r="B703" s="28" t="s">
        <v>1416</v>
      </c>
      <c r="C703" s="28" t="s">
        <v>14</v>
      </c>
      <c r="D703" s="29">
        <f>VLOOKUP(A703,'[1]Cuadro Control'!C749:J2633,8,FALSE)</f>
        <v>0</v>
      </c>
      <c r="E703" s="30">
        <f>IFERROR(D703/$D$8,0)</f>
        <v>0</v>
      </c>
      <c r="F703" s="31">
        <v>46637</v>
      </c>
      <c r="G703" s="31">
        <v>46637</v>
      </c>
      <c r="H703" s="30">
        <f t="shared" si="320"/>
        <v>0</v>
      </c>
      <c r="I703" s="30">
        <f t="shared" si="320"/>
        <v>0</v>
      </c>
      <c r="J703" s="30">
        <f t="shared" si="320"/>
        <v>0</v>
      </c>
      <c r="K703" s="30">
        <f t="shared" si="320"/>
        <v>0</v>
      </c>
      <c r="L703" s="30">
        <f t="shared" si="320"/>
        <v>0</v>
      </c>
      <c r="M703" s="30">
        <f t="shared" si="320"/>
        <v>0</v>
      </c>
      <c r="N703" s="30">
        <f t="shared" si="320"/>
        <v>0</v>
      </c>
      <c r="O703" s="30">
        <f t="shared" si="320"/>
        <v>0</v>
      </c>
      <c r="P703" s="30">
        <f t="shared" si="320"/>
        <v>0</v>
      </c>
      <c r="Q703" s="30">
        <f t="shared" si="320"/>
        <v>0</v>
      </c>
      <c r="R703" s="30">
        <f t="shared" si="320"/>
        <v>0</v>
      </c>
      <c r="S703" s="30">
        <f t="shared" si="320"/>
        <v>0</v>
      </c>
      <c r="T703" s="30">
        <f t="shared" si="320"/>
        <v>0</v>
      </c>
      <c r="U703" s="30">
        <f t="shared" si="320"/>
        <v>0</v>
      </c>
      <c r="V703" s="30">
        <f t="shared" si="320"/>
        <v>0</v>
      </c>
      <c r="W703" s="30">
        <f t="shared" si="320"/>
        <v>0</v>
      </c>
      <c r="X703" s="30">
        <f t="shared" si="323"/>
        <v>0</v>
      </c>
      <c r="Y703" s="30">
        <f t="shared" si="323"/>
        <v>0</v>
      </c>
      <c r="Z703" s="30">
        <f t="shared" si="323"/>
        <v>0</v>
      </c>
      <c r="AA703" s="30">
        <f t="shared" si="323"/>
        <v>0</v>
      </c>
      <c r="AB703" s="30">
        <f t="shared" si="323"/>
        <v>0</v>
      </c>
      <c r="AC703" s="30">
        <f t="shared" si="323"/>
        <v>0</v>
      </c>
      <c r="AD703" s="30">
        <f t="shared" si="323"/>
        <v>0</v>
      </c>
      <c r="AE703" s="30">
        <f t="shared" si="323"/>
        <v>0</v>
      </c>
      <c r="AF703" s="30">
        <f t="shared" si="323"/>
        <v>0</v>
      </c>
      <c r="AG703" s="30">
        <f t="shared" si="323"/>
        <v>0</v>
      </c>
      <c r="AH703" s="30">
        <f t="shared" si="323"/>
        <v>0</v>
      </c>
      <c r="AI703" s="30">
        <f t="shared" si="323"/>
        <v>0</v>
      </c>
      <c r="AJ703" s="30">
        <f t="shared" si="323"/>
        <v>0</v>
      </c>
      <c r="AK703" s="30">
        <f t="shared" si="323"/>
        <v>0</v>
      </c>
      <c r="AL703" s="30">
        <f t="shared" si="323"/>
        <v>0</v>
      </c>
      <c r="AM703" s="30">
        <f t="shared" si="323"/>
        <v>0</v>
      </c>
      <c r="AN703" s="30">
        <f t="shared" si="323"/>
        <v>0</v>
      </c>
      <c r="AO703" s="30">
        <f t="shared" si="323"/>
        <v>0</v>
      </c>
      <c r="AP703" s="30">
        <f t="shared" si="323"/>
        <v>0</v>
      </c>
      <c r="AQ703" s="30">
        <f t="shared" si="323"/>
        <v>0</v>
      </c>
      <c r="AR703" s="30">
        <f t="shared" si="323"/>
        <v>0</v>
      </c>
      <c r="AS703" s="30">
        <f t="shared" si="323"/>
        <v>0</v>
      </c>
      <c r="AT703" s="30">
        <f t="shared" si="323"/>
        <v>0</v>
      </c>
      <c r="AU703" s="30">
        <f t="shared" si="323"/>
        <v>0</v>
      </c>
      <c r="AV703" s="30">
        <f t="shared" si="323"/>
        <v>0</v>
      </c>
      <c r="AW703" s="30">
        <f t="shared" si="323"/>
        <v>0</v>
      </c>
      <c r="AX703" s="30">
        <f t="shared" si="323"/>
        <v>0</v>
      </c>
      <c r="AY703" s="30">
        <f t="shared" si="323"/>
        <v>0</v>
      </c>
      <c r="AZ703" s="30">
        <f t="shared" si="323"/>
        <v>0</v>
      </c>
      <c r="BA703" s="30">
        <f t="shared" si="323"/>
        <v>0</v>
      </c>
      <c r="BB703" s="30">
        <f t="shared" si="323"/>
        <v>0</v>
      </c>
      <c r="BC703" s="30">
        <f t="shared" si="323"/>
        <v>0</v>
      </c>
      <c r="BD703" s="30">
        <f t="shared" si="321"/>
        <v>0</v>
      </c>
      <c r="BE703" s="30">
        <f t="shared" si="321"/>
        <v>0</v>
      </c>
      <c r="BF703" s="30">
        <f t="shared" si="321"/>
        <v>0</v>
      </c>
      <c r="BG703" s="30">
        <f t="shared" si="321"/>
        <v>0</v>
      </c>
      <c r="BH703" s="30">
        <f t="shared" si="321"/>
        <v>0</v>
      </c>
      <c r="BI703" s="30">
        <f t="shared" si="321"/>
        <v>0</v>
      </c>
      <c r="BJ703" s="30">
        <f t="shared" si="321"/>
        <v>0</v>
      </c>
      <c r="BK703" s="30">
        <f t="shared" si="321"/>
        <v>0</v>
      </c>
      <c r="BL703" s="30">
        <f t="shared" si="321"/>
        <v>0</v>
      </c>
      <c r="BM703" s="30">
        <f t="shared" si="321"/>
        <v>0</v>
      </c>
      <c r="BN703" s="30">
        <f t="shared" si="321"/>
        <v>0</v>
      </c>
      <c r="BO703" s="32">
        <f t="shared" si="301"/>
        <v>0</v>
      </c>
    </row>
  </sheetData>
  <autoFilter ref="A7:BN703" xr:uid="{145BC7E2-250D-43D9-A98B-BAD3268A4CED}"/>
  <mergeCells count="3">
    <mergeCell ref="A3:D6"/>
    <mergeCell ref="E3:F6"/>
    <mergeCell ref="G3:G4"/>
  </mergeCells>
  <pageMargins left="0.7" right="0.7" top="0.75" bottom="0.75" header="0.3" footer="0.3"/>
  <pageSetup paperSize="9" orientation="portrait" r:id="rId1"/>
  <headerFooter>
    <oddFooter>&amp;C_x000D_&amp;1#&amp;"Aptos"&amp;6&amp;K000000 ECP-INFORMACION PUBLICA</oddFooter>
  </headerFooter>
  <drawing r:id="rId2"/>
</worksheet>
</file>

<file path=docMetadata/LabelInfo.xml><?xml version="1.0" encoding="utf-8"?>
<clbl:labelList xmlns:clbl="http://schemas.microsoft.com/office/2020/mipLabelMetadata">
  <clbl:label id="{e6dda216-a899-4ab6-ba29-0dda5f7b7a74}" enabled="1" method="Privileged" siteId="{a4305987-cf78-4f93-9d64-bf18af65397b}"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Proyectado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Efrain Andres Laverde Mera</dc:creator>
  <cp:lastModifiedBy>Efrain Andres Laverde Mera</cp:lastModifiedBy>
  <dcterms:created xsi:type="dcterms:W3CDTF">2026-09-07T12:37:43Z</dcterms:created>
  <dcterms:modified xsi:type="dcterms:W3CDTF">2026-09-07T12:55:35Z</dcterms:modified>
</cp:coreProperties>
</file>