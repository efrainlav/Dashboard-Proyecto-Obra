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opetrol-my.sharepoint.com/personal/efrain_laverde_ecopetrol_com_co/Documents/2026/data/Dashboard-Proyecto-Obra/"/>
    </mc:Choice>
  </mc:AlternateContent>
  <xr:revisionPtr revIDLastSave="0" documentId="8_{137F1140-7133-4DBF-A256-DA5D6229D211}" xr6:coauthVersionLast="47" xr6:coauthVersionMax="47" xr10:uidLastSave="{00000000-0000-0000-0000-000000000000}"/>
  <bookViews>
    <workbookView xWindow="-120" yWindow="-120" windowWidth="29040" windowHeight="15720" xr2:uid="{EAE8419B-CA7F-4247-A4A0-16536E1C590B}"/>
  </bookViews>
  <sheets>
    <sheet name="GIS" sheetId="1" r:id="rId1"/>
  </sheets>
  <externalReferences>
    <externalReference r:id="rId2"/>
    <externalReference r:id="rId3"/>
    <externalReference r:id="rId4"/>
  </externalReferences>
  <definedNames>
    <definedName name="__xlfn.BAHTTEXT" hidden="1">#NAME?</definedName>
    <definedName name="_Order2" hidden="1">255</definedName>
    <definedName name="aa">MATCH(0.01,[0]!End_Bal,-1)+1</definedName>
    <definedName name="BLOQUE_GEOTECNIA">[2]APUs!$B$10:$B$11</definedName>
    <definedName name="BLOQUE_LINEAS">[2]APUs!$B$4:$B$8</definedName>
    <definedName name="COD_TARIFAS">[2]COD!$A$2:$A$919</definedName>
    <definedName name="CZN_south_perc">0</definedName>
    <definedName name="Engine">#N/A</definedName>
    <definedName name="EspecialidadSubsuelo">[3]Back!$AJ$3:$AJ$5</definedName>
    <definedName name="ev.Initialized" hidden="1">FALSE</definedName>
    <definedName name="Header_Row">ROW(#REF!)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38798.4609490741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Last_Row">IF([0]!Values_Entered,Header_Row+[0]!Number_of_Payments,Header_Row)</definedName>
    <definedName name="LLC_south_perc">100</definedName>
    <definedName name="NA">[3]Back!$M$5</definedName>
    <definedName name="NOLOCALNACIDOS">[3]Back!$BK$3:$BK$14</definedName>
    <definedName name="Number_of_Payments">MATCH(0.01,End_Bal,-1)+1</definedName>
    <definedName name="Values_Entered">IF(Loan_Amount*Interest_Rate*Loan_Years*Loan_Start&gt;0,1,0)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9" i="1" l="1"/>
  <c r="L139" i="1"/>
  <c r="K139" i="1"/>
  <c r="J139" i="1"/>
  <c r="I139" i="1"/>
  <c r="H139" i="1"/>
  <c r="G139" i="1"/>
  <c r="F139" i="1"/>
  <c r="E139" i="1"/>
  <c r="D139" i="1"/>
  <c r="C139" i="1"/>
  <c r="M138" i="1"/>
  <c r="L138" i="1"/>
  <c r="K138" i="1"/>
  <c r="J138" i="1"/>
  <c r="I138" i="1"/>
  <c r="H138" i="1"/>
  <c r="G138" i="1"/>
  <c r="F138" i="1"/>
  <c r="E138" i="1"/>
  <c r="D138" i="1"/>
  <c r="C138" i="1"/>
  <c r="M137" i="1"/>
  <c r="L137" i="1"/>
  <c r="K137" i="1"/>
  <c r="J137" i="1"/>
  <c r="I137" i="1"/>
  <c r="H137" i="1"/>
  <c r="G137" i="1"/>
  <c r="F137" i="1"/>
  <c r="E137" i="1"/>
  <c r="D137" i="1"/>
  <c r="C137" i="1"/>
  <c r="M136" i="1"/>
  <c r="L136" i="1"/>
  <c r="K136" i="1"/>
  <c r="J136" i="1"/>
  <c r="I136" i="1"/>
  <c r="H136" i="1"/>
  <c r="G136" i="1"/>
  <c r="F136" i="1"/>
  <c r="E136" i="1"/>
  <c r="D136" i="1"/>
  <c r="C136" i="1"/>
  <c r="M135" i="1"/>
  <c r="L135" i="1"/>
  <c r="K135" i="1"/>
  <c r="J135" i="1"/>
  <c r="I135" i="1"/>
  <c r="H135" i="1"/>
  <c r="G135" i="1"/>
  <c r="F135" i="1"/>
  <c r="E135" i="1"/>
  <c r="D135" i="1"/>
  <c r="C135" i="1"/>
  <c r="M134" i="1"/>
  <c r="L134" i="1"/>
  <c r="K134" i="1"/>
  <c r="J134" i="1"/>
  <c r="I134" i="1"/>
  <c r="H134" i="1"/>
  <c r="G134" i="1"/>
  <c r="F134" i="1"/>
  <c r="E134" i="1"/>
  <c r="D134" i="1"/>
  <c r="C134" i="1"/>
  <c r="M133" i="1"/>
  <c r="L133" i="1"/>
  <c r="K133" i="1"/>
  <c r="J133" i="1"/>
  <c r="I133" i="1"/>
  <c r="H133" i="1"/>
  <c r="G133" i="1"/>
  <c r="F133" i="1"/>
  <c r="E133" i="1"/>
  <c r="D133" i="1"/>
  <c r="C133" i="1"/>
  <c r="M132" i="1"/>
  <c r="L132" i="1"/>
  <c r="K132" i="1"/>
  <c r="J132" i="1"/>
  <c r="I132" i="1"/>
  <c r="H132" i="1"/>
  <c r="G132" i="1"/>
  <c r="F132" i="1"/>
  <c r="E132" i="1"/>
  <c r="D132" i="1"/>
  <c r="C132" i="1"/>
  <c r="M131" i="1"/>
  <c r="L131" i="1"/>
  <c r="K131" i="1"/>
  <c r="J131" i="1"/>
  <c r="I131" i="1"/>
  <c r="H131" i="1"/>
  <c r="G131" i="1"/>
  <c r="F131" i="1"/>
  <c r="E131" i="1"/>
  <c r="D131" i="1"/>
  <c r="C131" i="1"/>
  <c r="M130" i="1"/>
  <c r="L130" i="1"/>
  <c r="K130" i="1"/>
  <c r="J130" i="1"/>
  <c r="I130" i="1"/>
  <c r="H130" i="1"/>
  <c r="G130" i="1"/>
  <c r="F130" i="1"/>
  <c r="E130" i="1"/>
  <c r="D130" i="1"/>
  <c r="C130" i="1"/>
  <c r="M129" i="1"/>
  <c r="L129" i="1"/>
  <c r="K129" i="1"/>
  <c r="J129" i="1"/>
  <c r="I129" i="1"/>
  <c r="H129" i="1"/>
  <c r="G129" i="1"/>
  <c r="F129" i="1"/>
  <c r="E129" i="1"/>
  <c r="D129" i="1"/>
  <c r="C129" i="1"/>
  <c r="M128" i="1"/>
  <c r="L128" i="1"/>
  <c r="K128" i="1"/>
  <c r="J128" i="1"/>
  <c r="I128" i="1"/>
  <c r="H128" i="1"/>
  <c r="G128" i="1"/>
  <c r="F128" i="1"/>
  <c r="E128" i="1"/>
  <c r="D128" i="1"/>
  <c r="C128" i="1"/>
  <c r="M127" i="1"/>
  <c r="L127" i="1"/>
  <c r="K127" i="1"/>
  <c r="J127" i="1"/>
  <c r="I127" i="1"/>
  <c r="H127" i="1"/>
  <c r="G127" i="1"/>
  <c r="F127" i="1"/>
  <c r="E127" i="1"/>
  <c r="D127" i="1"/>
  <c r="C127" i="1"/>
  <c r="M126" i="1"/>
  <c r="L126" i="1"/>
  <c r="K126" i="1"/>
  <c r="J126" i="1"/>
  <c r="I126" i="1"/>
  <c r="H126" i="1"/>
  <c r="G126" i="1"/>
  <c r="F126" i="1"/>
  <c r="E126" i="1"/>
  <c r="D126" i="1"/>
  <c r="C126" i="1"/>
  <c r="M125" i="1"/>
  <c r="L125" i="1"/>
  <c r="K125" i="1"/>
  <c r="J125" i="1"/>
  <c r="I125" i="1"/>
  <c r="H125" i="1"/>
  <c r="G125" i="1"/>
  <c r="F125" i="1"/>
  <c r="E125" i="1"/>
  <c r="D125" i="1"/>
  <c r="C125" i="1"/>
  <c r="M124" i="1"/>
  <c r="L124" i="1"/>
  <c r="K124" i="1"/>
  <c r="J124" i="1"/>
  <c r="I124" i="1"/>
  <c r="H124" i="1"/>
  <c r="G124" i="1"/>
  <c r="F124" i="1"/>
  <c r="E124" i="1"/>
  <c r="D124" i="1"/>
  <c r="C124" i="1"/>
  <c r="M123" i="1"/>
  <c r="L123" i="1"/>
  <c r="K123" i="1"/>
  <c r="J123" i="1"/>
  <c r="I123" i="1"/>
  <c r="H123" i="1"/>
  <c r="G123" i="1"/>
  <c r="F123" i="1"/>
  <c r="E123" i="1"/>
  <c r="D123" i="1"/>
  <c r="C123" i="1"/>
  <c r="M122" i="1"/>
  <c r="L122" i="1"/>
  <c r="K122" i="1"/>
  <c r="J122" i="1"/>
  <c r="I122" i="1"/>
  <c r="H122" i="1"/>
  <c r="G122" i="1"/>
  <c r="F122" i="1"/>
  <c r="E122" i="1"/>
  <c r="D122" i="1"/>
  <c r="C122" i="1"/>
  <c r="M121" i="1"/>
  <c r="L121" i="1"/>
  <c r="K121" i="1"/>
  <c r="J121" i="1"/>
  <c r="I121" i="1"/>
  <c r="H121" i="1"/>
  <c r="G121" i="1"/>
  <c r="F121" i="1"/>
  <c r="E121" i="1"/>
  <c r="D121" i="1"/>
  <c r="C121" i="1"/>
  <c r="M120" i="1"/>
  <c r="L120" i="1"/>
  <c r="K120" i="1"/>
  <c r="J120" i="1"/>
  <c r="I120" i="1"/>
  <c r="H120" i="1"/>
  <c r="G120" i="1"/>
  <c r="F120" i="1"/>
  <c r="E120" i="1"/>
  <c r="D120" i="1"/>
  <c r="C120" i="1"/>
  <c r="M119" i="1"/>
  <c r="L119" i="1"/>
  <c r="K119" i="1"/>
  <c r="J119" i="1"/>
  <c r="I119" i="1"/>
  <c r="H119" i="1"/>
  <c r="G119" i="1"/>
  <c r="F119" i="1"/>
  <c r="E119" i="1"/>
  <c r="D119" i="1"/>
  <c r="C119" i="1"/>
  <c r="M118" i="1"/>
  <c r="L118" i="1"/>
  <c r="K118" i="1"/>
  <c r="J118" i="1"/>
  <c r="I118" i="1"/>
  <c r="H118" i="1"/>
  <c r="G118" i="1"/>
  <c r="F118" i="1"/>
  <c r="E118" i="1"/>
  <c r="D118" i="1"/>
  <c r="C118" i="1"/>
  <c r="M117" i="1"/>
  <c r="L117" i="1"/>
  <c r="K117" i="1"/>
  <c r="J117" i="1"/>
  <c r="I117" i="1"/>
  <c r="H117" i="1"/>
  <c r="G117" i="1"/>
  <c r="F117" i="1"/>
  <c r="E117" i="1"/>
  <c r="D117" i="1"/>
  <c r="C117" i="1"/>
  <c r="M116" i="1"/>
  <c r="L116" i="1"/>
  <c r="K116" i="1"/>
  <c r="J116" i="1"/>
  <c r="I116" i="1"/>
  <c r="H116" i="1"/>
  <c r="G116" i="1"/>
  <c r="F116" i="1"/>
  <c r="E116" i="1"/>
  <c r="D116" i="1"/>
  <c r="C116" i="1"/>
  <c r="M115" i="1"/>
  <c r="L115" i="1"/>
  <c r="K115" i="1"/>
  <c r="J115" i="1"/>
  <c r="I115" i="1"/>
  <c r="H115" i="1"/>
  <c r="G115" i="1"/>
  <c r="F115" i="1"/>
  <c r="E115" i="1"/>
  <c r="D115" i="1"/>
  <c r="C115" i="1"/>
  <c r="M114" i="1"/>
  <c r="L114" i="1"/>
  <c r="K114" i="1"/>
  <c r="J114" i="1"/>
  <c r="I114" i="1"/>
  <c r="H114" i="1"/>
  <c r="G114" i="1"/>
  <c r="F114" i="1"/>
  <c r="E114" i="1"/>
  <c r="D114" i="1"/>
  <c r="C114" i="1"/>
  <c r="M113" i="1"/>
  <c r="L113" i="1"/>
  <c r="K113" i="1"/>
  <c r="J113" i="1"/>
  <c r="I113" i="1"/>
  <c r="H113" i="1"/>
  <c r="G113" i="1"/>
  <c r="F113" i="1"/>
  <c r="E113" i="1"/>
  <c r="D113" i="1"/>
  <c r="C113" i="1"/>
  <c r="M112" i="1"/>
  <c r="L112" i="1"/>
  <c r="K112" i="1"/>
  <c r="J112" i="1"/>
  <c r="I112" i="1"/>
  <c r="H112" i="1"/>
  <c r="G112" i="1"/>
  <c r="F112" i="1"/>
  <c r="E112" i="1"/>
  <c r="D112" i="1"/>
  <c r="C112" i="1"/>
  <c r="M111" i="1"/>
  <c r="L111" i="1"/>
  <c r="K111" i="1"/>
  <c r="J111" i="1"/>
  <c r="I111" i="1"/>
  <c r="H111" i="1"/>
  <c r="G111" i="1"/>
  <c r="F111" i="1"/>
  <c r="E111" i="1"/>
  <c r="D111" i="1"/>
  <c r="C111" i="1"/>
  <c r="M110" i="1"/>
  <c r="L110" i="1"/>
  <c r="K110" i="1"/>
  <c r="J110" i="1"/>
  <c r="I110" i="1"/>
  <c r="H110" i="1"/>
  <c r="G110" i="1"/>
  <c r="F110" i="1"/>
  <c r="E110" i="1"/>
  <c r="D110" i="1"/>
  <c r="C110" i="1"/>
  <c r="M109" i="1"/>
  <c r="L109" i="1"/>
  <c r="K109" i="1"/>
  <c r="J109" i="1"/>
  <c r="I109" i="1"/>
  <c r="H109" i="1"/>
  <c r="G109" i="1"/>
  <c r="F109" i="1"/>
  <c r="E109" i="1"/>
  <c r="D109" i="1"/>
  <c r="C109" i="1"/>
  <c r="M108" i="1"/>
  <c r="L108" i="1"/>
  <c r="K108" i="1"/>
  <c r="J108" i="1"/>
  <c r="I108" i="1"/>
  <c r="H108" i="1"/>
  <c r="G108" i="1"/>
  <c r="F108" i="1"/>
  <c r="E108" i="1"/>
  <c r="D108" i="1"/>
  <c r="C108" i="1"/>
  <c r="M107" i="1"/>
  <c r="L107" i="1"/>
  <c r="K107" i="1"/>
  <c r="J107" i="1"/>
  <c r="I107" i="1"/>
  <c r="H107" i="1"/>
  <c r="G107" i="1"/>
  <c r="F107" i="1"/>
  <c r="E107" i="1"/>
  <c r="D107" i="1"/>
  <c r="C107" i="1"/>
  <c r="M106" i="1"/>
  <c r="L106" i="1"/>
  <c r="K106" i="1"/>
  <c r="J106" i="1"/>
  <c r="I106" i="1"/>
  <c r="H106" i="1"/>
  <c r="G106" i="1"/>
  <c r="F106" i="1"/>
  <c r="E106" i="1"/>
  <c r="D106" i="1"/>
  <c r="C106" i="1"/>
  <c r="M105" i="1"/>
  <c r="L105" i="1"/>
  <c r="K105" i="1"/>
  <c r="J105" i="1"/>
  <c r="I105" i="1"/>
  <c r="H105" i="1"/>
  <c r="G105" i="1"/>
  <c r="F105" i="1"/>
  <c r="E105" i="1"/>
  <c r="D105" i="1"/>
  <c r="C105" i="1"/>
  <c r="M104" i="1"/>
  <c r="L104" i="1"/>
  <c r="K104" i="1"/>
  <c r="J104" i="1"/>
  <c r="I104" i="1"/>
  <c r="H104" i="1"/>
  <c r="G104" i="1"/>
  <c r="F104" i="1"/>
  <c r="E104" i="1"/>
  <c r="D104" i="1"/>
  <c r="C104" i="1"/>
  <c r="M103" i="1"/>
  <c r="L103" i="1"/>
  <c r="K103" i="1"/>
  <c r="J103" i="1"/>
  <c r="I103" i="1"/>
  <c r="H103" i="1"/>
  <c r="G103" i="1"/>
  <c r="F103" i="1"/>
  <c r="E103" i="1"/>
  <c r="D103" i="1"/>
  <c r="C103" i="1"/>
  <c r="M102" i="1"/>
  <c r="L102" i="1"/>
  <c r="K102" i="1"/>
  <c r="J102" i="1"/>
  <c r="I102" i="1"/>
  <c r="H102" i="1"/>
  <c r="G102" i="1"/>
  <c r="F102" i="1"/>
  <c r="E102" i="1"/>
  <c r="D102" i="1"/>
  <c r="C102" i="1"/>
  <c r="M101" i="1"/>
  <c r="L101" i="1"/>
  <c r="K101" i="1"/>
  <c r="J101" i="1"/>
  <c r="I101" i="1"/>
  <c r="H101" i="1"/>
  <c r="G101" i="1"/>
  <c r="F101" i="1"/>
  <c r="E101" i="1"/>
  <c r="D101" i="1"/>
  <c r="C101" i="1"/>
  <c r="M100" i="1"/>
  <c r="L100" i="1"/>
  <c r="K100" i="1"/>
  <c r="J100" i="1"/>
  <c r="I100" i="1"/>
  <c r="H100" i="1"/>
  <c r="G100" i="1"/>
  <c r="F100" i="1"/>
  <c r="E100" i="1"/>
  <c r="D100" i="1"/>
  <c r="C100" i="1"/>
  <c r="M99" i="1"/>
  <c r="L99" i="1"/>
  <c r="K99" i="1"/>
  <c r="J99" i="1"/>
  <c r="I99" i="1"/>
  <c r="H99" i="1"/>
  <c r="G99" i="1"/>
  <c r="F99" i="1"/>
  <c r="E99" i="1"/>
  <c r="D99" i="1"/>
  <c r="C99" i="1"/>
  <c r="M98" i="1"/>
  <c r="L98" i="1"/>
  <c r="K98" i="1"/>
  <c r="J98" i="1"/>
  <c r="I98" i="1"/>
  <c r="H98" i="1"/>
  <c r="G98" i="1"/>
  <c r="F98" i="1"/>
  <c r="E98" i="1"/>
  <c r="D98" i="1"/>
  <c r="C98" i="1"/>
  <c r="M97" i="1"/>
  <c r="L97" i="1"/>
  <c r="K97" i="1"/>
  <c r="J97" i="1"/>
  <c r="I97" i="1"/>
  <c r="H97" i="1"/>
  <c r="G97" i="1"/>
  <c r="F97" i="1"/>
  <c r="E97" i="1"/>
  <c r="D97" i="1"/>
  <c r="C97" i="1"/>
  <c r="M96" i="1"/>
  <c r="L96" i="1"/>
  <c r="K96" i="1"/>
  <c r="J96" i="1"/>
  <c r="I96" i="1"/>
  <c r="H96" i="1"/>
  <c r="G96" i="1"/>
  <c r="F96" i="1"/>
  <c r="E96" i="1"/>
  <c r="D96" i="1"/>
  <c r="C96" i="1"/>
  <c r="M95" i="1"/>
  <c r="L95" i="1"/>
  <c r="K95" i="1"/>
  <c r="J95" i="1"/>
  <c r="I95" i="1"/>
  <c r="H95" i="1"/>
  <c r="G95" i="1"/>
  <c r="F95" i="1"/>
  <c r="E95" i="1"/>
  <c r="D95" i="1"/>
  <c r="C95" i="1"/>
  <c r="M94" i="1"/>
  <c r="L94" i="1"/>
  <c r="K94" i="1"/>
  <c r="J94" i="1"/>
  <c r="I94" i="1"/>
  <c r="H94" i="1"/>
  <c r="G94" i="1"/>
  <c r="F94" i="1"/>
  <c r="E94" i="1"/>
  <c r="D94" i="1"/>
  <c r="C94" i="1"/>
  <c r="M93" i="1"/>
  <c r="L93" i="1"/>
  <c r="K93" i="1"/>
  <c r="J93" i="1"/>
  <c r="I93" i="1"/>
  <c r="H93" i="1"/>
  <c r="G93" i="1"/>
  <c r="F93" i="1"/>
  <c r="E93" i="1"/>
  <c r="D93" i="1"/>
  <c r="C93" i="1"/>
  <c r="M92" i="1"/>
  <c r="L92" i="1"/>
  <c r="K92" i="1"/>
  <c r="J92" i="1"/>
  <c r="I92" i="1"/>
  <c r="H92" i="1"/>
  <c r="G92" i="1"/>
  <c r="F92" i="1"/>
  <c r="E92" i="1"/>
  <c r="D92" i="1"/>
  <c r="C92" i="1"/>
  <c r="M91" i="1"/>
  <c r="L91" i="1"/>
  <c r="K91" i="1"/>
  <c r="J91" i="1"/>
  <c r="I91" i="1"/>
  <c r="H91" i="1"/>
  <c r="G91" i="1"/>
  <c r="F91" i="1"/>
  <c r="E91" i="1"/>
  <c r="D91" i="1"/>
  <c r="C91" i="1"/>
  <c r="M90" i="1"/>
  <c r="L90" i="1"/>
  <c r="K90" i="1"/>
  <c r="J90" i="1"/>
  <c r="I90" i="1"/>
  <c r="H90" i="1"/>
  <c r="G90" i="1"/>
  <c r="F90" i="1"/>
  <c r="E90" i="1"/>
  <c r="D90" i="1"/>
  <c r="C90" i="1"/>
  <c r="M89" i="1"/>
  <c r="L89" i="1"/>
  <c r="K89" i="1"/>
  <c r="J89" i="1"/>
  <c r="I89" i="1"/>
  <c r="H89" i="1"/>
  <c r="G89" i="1"/>
  <c r="F89" i="1"/>
  <c r="E89" i="1"/>
  <c r="D89" i="1"/>
  <c r="C89" i="1"/>
  <c r="M88" i="1"/>
  <c r="L88" i="1"/>
  <c r="K88" i="1"/>
  <c r="J88" i="1"/>
  <c r="I88" i="1"/>
  <c r="H88" i="1"/>
  <c r="G88" i="1"/>
  <c r="F88" i="1"/>
  <c r="E88" i="1"/>
  <c r="D88" i="1"/>
  <c r="C88" i="1"/>
  <c r="M87" i="1"/>
  <c r="L87" i="1"/>
  <c r="K87" i="1"/>
  <c r="J87" i="1"/>
  <c r="I87" i="1"/>
  <c r="H87" i="1"/>
  <c r="G87" i="1"/>
  <c r="F87" i="1"/>
  <c r="E87" i="1"/>
  <c r="D87" i="1"/>
  <c r="C87" i="1"/>
  <c r="M86" i="1"/>
  <c r="L86" i="1"/>
  <c r="K86" i="1"/>
  <c r="J86" i="1"/>
  <c r="I86" i="1"/>
  <c r="H86" i="1"/>
  <c r="G86" i="1"/>
  <c r="F86" i="1"/>
  <c r="E86" i="1"/>
  <c r="D86" i="1"/>
  <c r="C86" i="1"/>
  <c r="M85" i="1"/>
  <c r="L85" i="1"/>
  <c r="K85" i="1"/>
  <c r="J85" i="1"/>
  <c r="I85" i="1"/>
  <c r="H85" i="1"/>
  <c r="G85" i="1"/>
  <c r="F85" i="1"/>
  <c r="E85" i="1"/>
  <c r="D85" i="1"/>
  <c r="C85" i="1"/>
  <c r="M84" i="1"/>
  <c r="L84" i="1"/>
  <c r="K84" i="1"/>
  <c r="J84" i="1"/>
  <c r="I84" i="1"/>
  <c r="H84" i="1"/>
  <c r="G84" i="1"/>
  <c r="F84" i="1"/>
  <c r="E84" i="1"/>
  <c r="D84" i="1"/>
  <c r="C84" i="1"/>
  <c r="M83" i="1"/>
  <c r="L83" i="1"/>
  <c r="K83" i="1"/>
  <c r="J83" i="1"/>
  <c r="I83" i="1"/>
  <c r="H83" i="1"/>
  <c r="G83" i="1"/>
  <c r="F83" i="1"/>
  <c r="E83" i="1"/>
  <c r="D83" i="1"/>
  <c r="C83" i="1"/>
  <c r="M82" i="1"/>
  <c r="L82" i="1"/>
  <c r="K82" i="1"/>
  <c r="J82" i="1"/>
  <c r="I82" i="1"/>
  <c r="H82" i="1"/>
  <c r="G82" i="1"/>
  <c r="F82" i="1"/>
  <c r="E82" i="1"/>
  <c r="D82" i="1"/>
  <c r="C82" i="1"/>
  <c r="M81" i="1"/>
  <c r="L81" i="1"/>
  <c r="K81" i="1"/>
  <c r="J81" i="1"/>
  <c r="I81" i="1"/>
  <c r="H81" i="1"/>
  <c r="G81" i="1"/>
  <c r="F81" i="1"/>
  <c r="E81" i="1"/>
  <c r="D81" i="1"/>
  <c r="C81" i="1"/>
  <c r="M80" i="1"/>
  <c r="L80" i="1"/>
  <c r="K80" i="1"/>
  <c r="J80" i="1"/>
  <c r="I80" i="1"/>
  <c r="H80" i="1"/>
  <c r="G80" i="1"/>
  <c r="F80" i="1"/>
  <c r="E80" i="1"/>
  <c r="D80" i="1"/>
  <c r="C80" i="1"/>
  <c r="M79" i="1"/>
  <c r="L79" i="1"/>
  <c r="K79" i="1"/>
  <c r="J79" i="1"/>
  <c r="I79" i="1"/>
  <c r="H79" i="1"/>
  <c r="G79" i="1"/>
  <c r="F79" i="1"/>
  <c r="E79" i="1"/>
  <c r="D79" i="1"/>
  <c r="C79" i="1"/>
  <c r="M78" i="1"/>
  <c r="L78" i="1"/>
  <c r="K78" i="1"/>
  <c r="J78" i="1"/>
  <c r="I78" i="1"/>
  <c r="H78" i="1"/>
  <c r="G78" i="1"/>
  <c r="F78" i="1"/>
  <c r="E78" i="1"/>
  <c r="D78" i="1"/>
  <c r="C78" i="1"/>
  <c r="M77" i="1"/>
  <c r="L77" i="1"/>
  <c r="K77" i="1"/>
  <c r="J77" i="1"/>
  <c r="I77" i="1"/>
  <c r="H77" i="1"/>
  <c r="G77" i="1"/>
  <c r="F77" i="1"/>
  <c r="E77" i="1"/>
  <c r="D77" i="1"/>
  <c r="C77" i="1"/>
  <c r="M76" i="1"/>
  <c r="L76" i="1"/>
  <c r="K76" i="1"/>
  <c r="J76" i="1"/>
  <c r="I76" i="1"/>
  <c r="H76" i="1"/>
  <c r="G76" i="1"/>
  <c r="F76" i="1"/>
  <c r="E76" i="1"/>
  <c r="D76" i="1"/>
  <c r="C76" i="1"/>
  <c r="M75" i="1"/>
  <c r="L75" i="1"/>
  <c r="K75" i="1"/>
  <c r="J75" i="1"/>
  <c r="I75" i="1"/>
  <c r="H75" i="1"/>
  <c r="G75" i="1"/>
  <c r="F75" i="1"/>
  <c r="E75" i="1"/>
  <c r="D75" i="1"/>
  <c r="C75" i="1"/>
  <c r="M74" i="1"/>
  <c r="L74" i="1"/>
  <c r="K74" i="1"/>
  <c r="J74" i="1"/>
  <c r="I74" i="1"/>
  <c r="H74" i="1"/>
  <c r="G74" i="1"/>
  <c r="F74" i="1"/>
  <c r="E74" i="1"/>
  <c r="D74" i="1"/>
  <c r="C74" i="1"/>
  <c r="M73" i="1"/>
  <c r="L73" i="1"/>
  <c r="K73" i="1"/>
  <c r="J73" i="1"/>
  <c r="I73" i="1"/>
  <c r="H73" i="1"/>
  <c r="G73" i="1"/>
  <c r="F73" i="1"/>
  <c r="E73" i="1"/>
  <c r="D73" i="1"/>
  <c r="C73" i="1"/>
  <c r="M72" i="1"/>
  <c r="L72" i="1"/>
  <c r="K72" i="1"/>
  <c r="J72" i="1"/>
  <c r="I72" i="1"/>
  <c r="H72" i="1"/>
  <c r="G72" i="1"/>
  <c r="F72" i="1"/>
  <c r="E72" i="1"/>
  <c r="D72" i="1"/>
  <c r="C72" i="1"/>
  <c r="M71" i="1"/>
  <c r="L71" i="1"/>
  <c r="K71" i="1"/>
  <c r="J71" i="1"/>
  <c r="I71" i="1"/>
  <c r="H71" i="1"/>
  <c r="G71" i="1"/>
  <c r="F71" i="1"/>
  <c r="E71" i="1"/>
  <c r="D71" i="1"/>
  <c r="C71" i="1"/>
  <c r="M70" i="1"/>
  <c r="L70" i="1"/>
  <c r="K70" i="1"/>
  <c r="J70" i="1"/>
  <c r="I70" i="1"/>
  <c r="H70" i="1"/>
  <c r="G70" i="1"/>
  <c r="F70" i="1"/>
  <c r="E70" i="1"/>
  <c r="D70" i="1"/>
  <c r="C70" i="1"/>
  <c r="M69" i="1"/>
  <c r="L69" i="1"/>
  <c r="K69" i="1"/>
  <c r="J69" i="1"/>
  <c r="I69" i="1"/>
  <c r="H69" i="1"/>
  <c r="G69" i="1"/>
  <c r="F69" i="1"/>
  <c r="E69" i="1"/>
  <c r="D69" i="1"/>
  <c r="C69" i="1"/>
  <c r="M68" i="1"/>
  <c r="L68" i="1"/>
  <c r="K68" i="1"/>
  <c r="J68" i="1"/>
  <c r="I68" i="1"/>
  <c r="H68" i="1"/>
  <c r="G68" i="1"/>
  <c r="F68" i="1"/>
  <c r="E68" i="1"/>
  <c r="D68" i="1"/>
  <c r="C68" i="1"/>
  <c r="M67" i="1"/>
  <c r="L67" i="1"/>
  <c r="K67" i="1"/>
  <c r="J67" i="1"/>
  <c r="I67" i="1"/>
  <c r="H67" i="1"/>
  <c r="G67" i="1"/>
  <c r="F67" i="1"/>
  <c r="E67" i="1"/>
  <c r="D67" i="1"/>
  <c r="C67" i="1"/>
  <c r="M66" i="1"/>
  <c r="L66" i="1"/>
  <c r="K66" i="1"/>
  <c r="J66" i="1"/>
  <c r="I66" i="1"/>
  <c r="H66" i="1"/>
  <c r="G66" i="1"/>
  <c r="F66" i="1"/>
  <c r="E66" i="1"/>
  <c r="D66" i="1"/>
  <c r="C66" i="1"/>
  <c r="M65" i="1"/>
  <c r="L65" i="1"/>
  <c r="K65" i="1"/>
  <c r="J65" i="1"/>
  <c r="I65" i="1"/>
  <c r="H65" i="1"/>
  <c r="G65" i="1"/>
  <c r="F65" i="1"/>
  <c r="E65" i="1"/>
  <c r="D65" i="1"/>
  <c r="C65" i="1"/>
  <c r="M64" i="1"/>
  <c r="L64" i="1"/>
  <c r="K64" i="1"/>
  <c r="J64" i="1"/>
  <c r="I64" i="1"/>
  <c r="H64" i="1"/>
  <c r="G64" i="1"/>
  <c r="F64" i="1"/>
  <c r="E64" i="1"/>
  <c r="D64" i="1"/>
  <c r="C64" i="1"/>
  <c r="M63" i="1"/>
  <c r="L63" i="1"/>
  <c r="K63" i="1"/>
  <c r="J63" i="1"/>
  <c r="I63" i="1"/>
  <c r="H63" i="1"/>
  <c r="G63" i="1"/>
  <c r="F63" i="1"/>
  <c r="E63" i="1"/>
  <c r="D63" i="1"/>
  <c r="C63" i="1"/>
  <c r="M62" i="1"/>
  <c r="L62" i="1"/>
  <c r="K62" i="1"/>
  <c r="J62" i="1"/>
  <c r="I62" i="1"/>
  <c r="H62" i="1"/>
  <c r="G62" i="1"/>
  <c r="F62" i="1"/>
  <c r="E62" i="1"/>
  <c r="D62" i="1"/>
  <c r="C62" i="1"/>
  <c r="M61" i="1"/>
  <c r="L61" i="1"/>
  <c r="K61" i="1"/>
  <c r="J61" i="1"/>
  <c r="I61" i="1"/>
  <c r="H61" i="1"/>
  <c r="G61" i="1"/>
  <c r="F61" i="1"/>
  <c r="E61" i="1"/>
  <c r="D61" i="1"/>
  <c r="C61" i="1"/>
  <c r="M60" i="1"/>
  <c r="L60" i="1"/>
  <c r="K60" i="1"/>
  <c r="J60" i="1"/>
  <c r="I60" i="1"/>
  <c r="H60" i="1"/>
  <c r="G60" i="1"/>
  <c r="F60" i="1"/>
  <c r="E60" i="1"/>
  <c r="D60" i="1"/>
  <c r="C60" i="1"/>
  <c r="M59" i="1"/>
  <c r="L59" i="1"/>
  <c r="K59" i="1"/>
  <c r="J59" i="1"/>
  <c r="I59" i="1"/>
  <c r="H59" i="1"/>
  <c r="G59" i="1"/>
  <c r="F59" i="1"/>
  <c r="E59" i="1"/>
  <c r="D59" i="1"/>
  <c r="C59" i="1"/>
  <c r="M58" i="1"/>
  <c r="L58" i="1"/>
  <c r="K58" i="1"/>
  <c r="J58" i="1"/>
  <c r="I58" i="1"/>
  <c r="H58" i="1"/>
  <c r="G58" i="1"/>
  <c r="F58" i="1"/>
  <c r="E58" i="1"/>
  <c r="D58" i="1"/>
  <c r="C58" i="1"/>
  <c r="M57" i="1"/>
  <c r="L57" i="1"/>
  <c r="K57" i="1"/>
  <c r="J57" i="1"/>
  <c r="I57" i="1"/>
  <c r="H57" i="1"/>
  <c r="G57" i="1"/>
  <c r="F57" i="1"/>
  <c r="E57" i="1"/>
  <c r="D57" i="1"/>
  <c r="C57" i="1"/>
  <c r="M56" i="1"/>
  <c r="L56" i="1"/>
  <c r="K56" i="1"/>
  <c r="J56" i="1"/>
  <c r="I56" i="1"/>
  <c r="H56" i="1"/>
  <c r="G56" i="1"/>
  <c r="F56" i="1"/>
  <c r="E56" i="1"/>
  <c r="D56" i="1"/>
  <c r="C56" i="1"/>
  <c r="M55" i="1"/>
  <c r="L55" i="1"/>
  <c r="K55" i="1"/>
  <c r="J55" i="1"/>
  <c r="I55" i="1"/>
  <c r="H55" i="1"/>
  <c r="G55" i="1"/>
  <c r="F55" i="1"/>
  <c r="E55" i="1"/>
  <c r="D55" i="1"/>
  <c r="C55" i="1"/>
  <c r="M54" i="1"/>
  <c r="L54" i="1"/>
  <c r="K54" i="1"/>
  <c r="J54" i="1"/>
  <c r="I54" i="1"/>
  <c r="H54" i="1"/>
  <c r="G54" i="1"/>
  <c r="F54" i="1"/>
  <c r="E54" i="1"/>
  <c r="D54" i="1"/>
  <c r="C54" i="1"/>
  <c r="M53" i="1"/>
  <c r="L53" i="1"/>
  <c r="K53" i="1"/>
  <c r="J53" i="1"/>
  <c r="I53" i="1"/>
  <c r="H53" i="1"/>
  <c r="G53" i="1"/>
  <c r="F53" i="1"/>
  <c r="E53" i="1"/>
  <c r="D53" i="1"/>
  <c r="C53" i="1"/>
  <c r="M52" i="1"/>
  <c r="L52" i="1"/>
  <c r="K52" i="1"/>
  <c r="J52" i="1"/>
  <c r="I52" i="1"/>
  <c r="H52" i="1"/>
  <c r="G52" i="1"/>
  <c r="F52" i="1"/>
  <c r="E52" i="1"/>
  <c r="D52" i="1"/>
  <c r="C52" i="1"/>
  <c r="M51" i="1"/>
  <c r="L51" i="1"/>
  <c r="K51" i="1"/>
  <c r="J51" i="1"/>
  <c r="I51" i="1"/>
  <c r="H51" i="1"/>
  <c r="G51" i="1"/>
  <c r="F51" i="1"/>
  <c r="E51" i="1"/>
  <c r="D51" i="1"/>
  <c r="C51" i="1"/>
  <c r="M50" i="1"/>
  <c r="L50" i="1"/>
  <c r="K50" i="1"/>
  <c r="J50" i="1"/>
  <c r="I50" i="1"/>
  <c r="H50" i="1"/>
  <c r="G50" i="1"/>
  <c r="F50" i="1"/>
  <c r="E50" i="1"/>
  <c r="D50" i="1"/>
  <c r="C50" i="1"/>
  <c r="M49" i="1"/>
  <c r="L49" i="1"/>
  <c r="K49" i="1"/>
  <c r="J49" i="1"/>
  <c r="I49" i="1"/>
  <c r="H49" i="1"/>
  <c r="G49" i="1"/>
  <c r="F49" i="1"/>
  <c r="E49" i="1"/>
  <c r="D49" i="1"/>
  <c r="C49" i="1"/>
  <c r="M48" i="1"/>
  <c r="L48" i="1"/>
  <c r="K48" i="1"/>
  <c r="J48" i="1"/>
  <c r="I48" i="1"/>
  <c r="H48" i="1"/>
  <c r="G48" i="1"/>
  <c r="F48" i="1"/>
  <c r="E48" i="1"/>
  <c r="D48" i="1"/>
  <c r="C48" i="1"/>
  <c r="M47" i="1"/>
  <c r="L47" i="1"/>
  <c r="K47" i="1"/>
  <c r="J47" i="1"/>
  <c r="I47" i="1"/>
  <c r="H47" i="1"/>
  <c r="G47" i="1"/>
  <c r="F47" i="1"/>
  <c r="E47" i="1"/>
  <c r="D47" i="1"/>
  <c r="C47" i="1"/>
  <c r="M46" i="1"/>
  <c r="L46" i="1"/>
  <c r="K46" i="1"/>
  <c r="J46" i="1"/>
  <c r="I46" i="1"/>
  <c r="H46" i="1"/>
  <c r="G46" i="1"/>
  <c r="F46" i="1"/>
  <c r="E46" i="1"/>
  <c r="D46" i="1"/>
  <c r="C46" i="1"/>
  <c r="M45" i="1"/>
  <c r="L45" i="1"/>
  <c r="K45" i="1"/>
  <c r="J45" i="1"/>
  <c r="I45" i="1"/>
  <c r="H45" i="1"/>
  <c r="G45" i="1"/>
  <c r="F45" i="1"/>
  <c r="E45" i="1"/>
  <c r="D45" i="1"/>
  <c r="C45" i="1"/>
  <c r="M44" i="1"/>
  <c r="L44" i="1"/>
  <c r="K44" i="1"/>
  <c r="J44" i="1"/>
  <c r="I44" i="1"/>
  <c r="H44" i="1"/>
  <c r="G44" i="1"/>
  <c r="F44" i="1"/>
  <c r="E44" i="1"/>
  <c r="D44" i="1"/>
  <c r="C44" i="1"/>
  <c r="M43" i="1"/>
  <c r="L43" i="1"/>
  <c r="K43" i="1"/>
  <c r="J43" i="1"/>
  <c r="I43" i="1"/>
  <c r="H43" i="1"/>
  <c r="G43" i="1"/>
  <c r="F43" i="1"/>
  <c r="E43" i="1"/>
  <c r="D43" i="1"/>
  <c r="C43" i="1"/>
  <c r="M42" i="1"/>
  <c r="L42" i="1"/>
  <c r="K42" i="1"/>
  <c r="J42" i="1"/>
  <c r="I42" i="1"/>
  <c r="H42" i="1"/>
  <c r="G42" i="1"/>
  <c r="F42" i="1"/>
  <c r="E42" i="1"/>
  <c r="D42" i="1"/>
  <c r="C42" i="1"/>
  <c r="M41" i="1"/>
  <c r="L41" i="1"/>
  <c r="K41" i="1"/>
  <c r="J41" i="1"/>
  <c r="I41" i="1"/>
  <c r="H41" i="1"/>
  <c r="G41" i="1"/>
  <c r="F41" i="1"/>
  <c r="E41" i="1"/>
  <c r="D41" i="1"/>
  <c r="C41" i="1"/>
  <c r="M40" i="1"/>
  <c r="L40" i="1"/>
  <c r="K40" i="1"/>
  <c r="J40" i="1"/>
  <c r="I40" i="1"/>
  <c r="H40" i="1"/>
  <c r="G40" i="1"/>
  <c r="F40" i="1"/>
  <c r="E40" i="1"/>
  <c r="D40" i="1"/>
  <c r="C40" i="1"/>
  <c r="M39" i="1"/>
  <c r="L39" i="1"/>
  <c r="K39" i="1"/>
  <c r="J39" i="1"/>
  <c r="I39" i="1"/>
  <c r="H39" i="1"/>
  <c r="G39" i="1"/>
  <c r="F39" i="1"/>
  <c r="E39" i="1"/>
  <c r="D39" i="1"/>
  <c r="C39" i="1"/>
  <c r="M38" i="1"/>
  <c r="L38" i="1"/>
  <c r="K38" i="1"/>
  <c r="J38" i="1"/>
  <c r="I38" i="1"/>
  <c r="H38" i="1"/>
  <c r="G38" i="1"/>
  <c r="F38" i="1"/>
  <c r="E38" i="1"/>
  <c r="D38" i="1"/>
  <c r="C38" i="1"/>
  <c r="M37" i="1"/>
  <c r="L37" i="1"/>
  <c r="K37" i="1"/>
  <c r="J37" i="1"/>
  <c r="I37" i="1"/>
  <c r="H37" i="1"/>
  <c r="G37" i="1"/>
  <c r="F37" i="1"/>
  <c r="E37" i="1"/>
  <c r="D37" i="1"/>
  <c r="C37" i="1"/>
  <c r="M36" i="1"/>
  <c r="L36" i="1"/>
  <c r="K36" i="1"/>
  <c r="J36" i="1"/>
  <c r="I36" i="1"/>
  <c r="H36" i="1"/>
  <c r="G36" i="1"/>
  <c r="F36" i="1"/>
  <c r="E36" i="1"/>
  <c r="D36" i="1"/>
  <c r="C36" i="1"/>
  <c r="M35" i="1"/>
  <c r="L35" i="1"/>
  <c r="K35" i="1"/>
  <c r="J35" i="1"/>
  <c r="I35" i="1"/>
  <c r="H35" i="1"/>
  <c r="G35" i="1"/>
  <c r="F35" i="1"/>
  <c r="E35" i="1"/>
  <c r="D35" i="1"/>
  <c r="C35" i="1"/>
  <c r="M34" i="1"/>
  <c r="L34" i="1"/>
  <c r="K34" i="1"/>
  <c r="J34" i="1"/>
  <c r="I34" i="1"/>
  <c r="H34" i="1"/>
  <c r="G34" i="1"/>
  <c r="F34" i="1"/>
  <c r="E34" i="1"/>
  <c r="D34" i="1"/>
  <c r="C34" i="1"/>
  <c r="M33" i="1"/>
  <c r="L33" i="1"/>
  <c r="K33" i="1"/>
  <c r="J33" i="1"/>
  <c r="I33" i="1"/>
  <c r="H33" i="1"/>
  <c r="G33" i="1"/>
  <c r="F33" i="1"/>
  <c r="E33" i="1"/>
  <c r="D33" i="1"/>
  <c r="C33" i="1"/>
  <c r="M32" i="1"/>
  <c r="L32" i="1"/>
  <c r="K32" i="1"/>
  <c r="J32" i="1"/>
  <c r="I32" i="1"/>
  <c r="H32" i="1"/>
  <c r="G32" i="1"/>
  <c r="F32" i="1"/>
  <c r="E32" i="1"/>
  <c r="D32" i="1"/>
  <c r="C32" i="1"/>
  <c r="M31" i="1"/>
  <c r="L31" i="1"/>
  <c r="K31" i="1"/>
  <c r="J31" i="1"/>
  <c r="I31" i="1"/>
  <c r="H31" i="1"/>
  <c r="G31" i="1"/>
  <c r="F31" i="1"/>
  <c r="E31" i="1"/>
  <c r="D31" i="1"/>
  <c r="C31" i="1"/>
  <c r="M30" i="1"/>
  <c r="L30" i="1"/>
  <c r="K30" i="1"/>
  <c r="J30" i="1"/>
  <c r="I30" i="1"/>
  <c r="H30" i="1"/>
  <c r="G30" i="1"/>
  <c r="F30" i="1"/>
  <c r="E30" i="1"/>
  <c r="D30" i="1"/>
  <c r="C30" i="1"/>
  <c r="M29" i="1"/>
  <c r="L29" i="1"/>
  <c r="K29" i="1"/>
  <c r="J29" i="1"/>
  <c r="I29" i="1"/>
  <c r="H29" i="1"/>
  <c r="G29" i="1"/>
  <c r="F29" i="1"/>
  <c r="E29" i="1"/>
  <c r="D29" i="1"/>
  <c r="C29" i="1"/>
  <c r="M28" i="1"/>
  <c r="L28" i="1"/>
  <c r="K28" i="1"/>
  <c r="J28" i="1"/>
  <c r="I28" i="1"/>
  <c r="H28" i="1"/>
  <c r="G28" i="1"/>
  <c r="F28" i="1"/>
  <c r="E28" i="1"/>
  <c r="D28" i="1"/>
  <c r="C28" i="1"/>
  <c r="M27" i="1"/>
  <c r="L27" i="1"/>
  <c r="K27" i="1"/>
  <c r="J27" i="1"/>
  <c r="I27" i="1"/>
  <c r="H27" i="1"/>
  <c r="G27" i="1"/>
  <c r="F27" i="1"/>
  <c r="E27" i="1"/>
  <c r="D27" i="1"/>
  <c r="C27" i="1"/>
  <c r="M26" i="1"/>
  <c r="L26" i="1"/>
  <c r="K26" i="1"/>
  <c r="J26" i="1"/>
  <c r="I26" i="1"/>
  <c r="H26" i="1"/>
  <c r="G26" i="1"/>
  <c r="F26" i="1"/>
  <c r="E26" i="1"/>
  <c r="D26" i="1"/>
  <c r="C26" i="1"/>
  <c r="M25" i="1"/>
  <c r="L25" i="1"/>
  <c r="K25" i="1"/>
  <c r="J25" i="1"/>
  <c r="I25" i="1"/>
  <c r="H25" i="1"/>
  <c r="G25" i="1"/>
  <c r="F25" i="1"/>
  <c r="E25" i="1"/>
  <c r="D25" i="1"/>
  <c r="C25" i="1"/>
  <c r="M24" i="1"/>
  <c r="L24" i="1"/>
  <c r="K24" i="1"/>
  <c r="J24" i="1"/>
  <c r="I24" i="1"/>
  <c r="H24" i="1"/>
  <c r="G24" i="1"/>
  <c r="F24" i="1"/>
  <c r="E24" i="1"/>
  <c r="D24" i="1"/>
  <c r="C24" i="1"/>
  <c r="M23" i="1"/>
  <c r="L23" i="1"/>
  <c r="K23" i="1"/>
  <c r="J23" i="1"/>
  <c r="I23" i="1"/>
  <c r="H23" i="1"/>
  <c r="G23" i="1"/>
  <c r="F23" i="1"/>
  <c r="E23" i="1"/>
  <c r="D23" i="1"/>
  <c r="C23" i="1"/>
  <c r="M22" i="1"/>
  <c r="L22" i="1"/>
  <c r="K22" i="1"/>
  <c r="J22" i="1"/>
  <c r="I22" i="1"/>
  <c r="H22" i="1"/>
  <c r="G22" i="1"/>
  <c r="F22" i="1"/>
  <c r="E22" i="1"/>
  <c r="D22" i="1"/>
  <c r="C22" i="1"/>
  <c r="M21" i="1"/>
  <c r="L21" i="1"/>
  <c r="K21" i="1"/>
  <c r="J21" i="1"/>
  <c r="I21" i="1"/>
  <c r="H21" i="1"/>
  <c r="G21" i="1"/>
  <c r="F21" i="1"/>
  <c r="E21" i="1"/>
  <c r="D21" i="1"/>
  <c r="C21" i="1"/>
  <c r="M20" i="1"/>
  <c r="L20" i="1"/>
  <c r="K20" i="1"/>
  <c r="J20" i="1"/>
  <c r="I20" i="1"/>
  <c r="H20" i="1"/>
  <c r="G20" i="1"/>
  <c r="F20" i="1"/>
  <c r="E20" i="1"/>
  <c r="D20" i="1"/>
  <c r="C20" i="1"/>
  <c r="M19" i="1"/>
  <c r="L19" i="1"/>
  <c r="K19" i="1"/>
  <c r="J19" i="1"/>
  <c r="I19" i="1"/>
  <c r="H19" i="1"/>
  <c r="G19" i="1"/>
  <c r="F19" i="1"/>
  <c r="E19" i="1"/>
  <c r="D19" i="1"/>
  <c r="C19" i="1"/>
  <c r="M18" i="1"/>
  <c r="L18" i="1"/>
  <c r="K18" i="1"/>
  <c r="J18" i="1"/>
  <c r="I18" i="1"/>
  <c r="H18" i="1"/>
  <c r="G18" i="1"/>
  <c r="F18" i="1"/>
  <c r="E18" i="1"/>
  <c r="D18" i="1"/>
  <c r="C18" i="1"/>
  <c r="M17" i="1"/>
  <c r="L17" i="1"/>
  <c r="K17" i="1"/>
  <c r="J17" i="1"/>
  <c r="I17" i="1"/>
  <c r="H17" i="1"/>
  <c r="G17" i="1"/>
  <c r="F17" i="1"/>
  <c r="E17" i="1"/>
  <c r="D17" i="1"/>
  <c r="C17" i="1"/>
  <c r="M16" i="1"/>
  <c r="L16" i="1"/>
  <c r="K16" i="1"/>
  <c r="J16" i="1"/>
  <c r="I16" i="1"/>
  <c r="H16" i="1"/>
  <c r="G16" i="1"/>
  <c r="F16" i="1"/>
  <c r="E16" i="1"/>
  <c r="D16" i="1"/>
  <c r="C16" i="1"/>
  <c r="M15" i="1"/>
  <c r="L15" i="1"/>
  <c r="K15" i="1"/>
  <c r="J15" i="1"/>
  <c r="I15" i="1"/>
  <c r="H15" i="1"/>
  <c r="G15" i="1"/>
  <c r="F15" i="1"/>
  <c r="E15" i="1"/>
  <c r="D15" i="1"/>
  <c r="C15" i="1"/>
  <c r="M14" i="1"/>
  <c r="L14" i="1"/>
  <c r="K14" i="1"/>
  <c r="J14" i="1"/>
  <c r="I14" i="1"/>
  <c r="H14" i="1"/>
  <c r="G14" i="1"/>
  <c r="F14" i="1"/>
  <c r="E14" i="1"/>
  <c r="D14" i="1"/>
  <c r="C14" i="1"/>
  <c r="M13" i="1"/>
  <c r="L13" i="1"/>
  <c r="K13" i="1"/>
  <c r="J13" i="1"/>
  <c r="I13" i="1"/>
  <c r="H13" i="1"/>
  <c r="G13" i="1"/>
  <c r="F13" i="1"/>
  <c r="E13" i="1"/>
  <c r="D13" i="1"/>
  <c r="C13" i="1"/>
  <c r="M12" i="1"/>
  <c r="L12" i="1"/>
  <c r="K12" i="1"/>
  <c r="J12" i="1"/>
  <c r="I12" i="1"/>
  <c r="H12" i="1"/>
  <c r="G12" i="1"/>
  <c r="F12" i="1"/>
  <c r="E12" i="1"/>
  <c r="D12" i="1"/>
  <c r="C12" i="1"/>
  <c r="M11" i="1"/>
  <c r="L11" i="1"/>
  <c r="K11" i="1"/>
  <c r="J11" i="1"/>
  <c r="I11" i="1"/>
  <c r="H11" i="1"/>
  <c r="G11" i="1"/>
  <c r="F11" i="1"/>
  <c r="E11" i="1"/>
  <c r="D11" i="1"/>
  <c r="C11" i="1"/>
  <c r="M10" i="1"/>
  <c r="L10" i="1"/>
  <c r="K10" i="1"/>
  <c r="J10" i="1"/>
  <c r="I10" i="1"/>
  <c r="H10" i="1"/>
  <c r="G10" i="1"/>
  <c r="F10" i="1"/>
  <c r="E10" i="1"/>
  <c r="D10" i="1"/>
  <c r="C10" i="1"/>
  <c r="M9" i="1"/>
  <c r="L9" i="1"/>
  <c r="K9" i="1"/>
  <c r="J9" i="1"/>
  <c r="I9" i="1"/>
  <c r="H9" i="1"/>
  <c r="G9" i="1"/>
  <c r="F9" i="1"/>
  <c r="E9" i="1"/>
  <c r="D9" i="1"/>
  <c r="C9" i="1"/>
  <c r="M8" i="1"/>
  <c r="L8" i="1"/>
  <c r="K8" i="1"/>
  <c r="J8" i="1"/>
  <c r="I8" i="1"/>
  <c r="H8" i="1"/>
  <c r="G8" i="1"/>
  <c r="F8" i="1"/>
  <c r="E8" i="1"/>
  <c r="D8" i="1"/>
  <c r="C8" i="1"/>
  <c r="M7" i="1"/>
  <c r="L7" i="1"/>
  <c r="K7" i="1"/>
  <c r="J7" i="1"/>
  <c r="I7" i="1"/>
  <c r="H7" i="1"/>
  <c r="G7" i="1"/>
  <c r="F7" i="1"/>
  <c r="E7" i="1"/>
  <c r="D7" i="1"/>
  <c r="C7" i="1"/>
  <c r="M6" i="1"/>
  <c r="L6" i="1"/>
  <c r="K6" i="1"/>
  <c r="J6" i="1"/>
  <c r="I6" i="1"/>
  <c r="H6" i="1"/>
  <c r="G6" i="1"/>
  <c r="F6" i="1"/>
  <c r="E6" i="1"/>
  <c r="D6" i="1"/>
  <c r="C6" i="1"/>
  <c r="M5" i="1"/>
  <c r="L5" i="1"/>
  <c r="K5" i="1"/>
  <c r="J5" i="1"/>
  <c r="I5" i="1"/>
  <c r="H5" i="1"/>
  <c r="G5" i="1"/>
  <c r="F5" i="1"/>
  <c r="E5" i="1"/>
  <c r="D5" i="1"/>
  <c r="C5" i="1"/>
  <c r="M4" i="1"/>
  <c r="L4" i="1"/>
  <c r="K4" i="1"/>
  <c r="J4" i="1"/>
  <c r="I4" i="1"/>
  <c r="H4" i="1"/>
  <c r="G4" i="1"/>
  <c r="F4" i="1"/>
  <c r="E4" i="1"/>
  <c r="D4" i="1"/>
  <c r="C4" i="1"/>
  <c r="M3" i="1"/>
  <c r="L3" i="1"/>
  <c r="K3" i="1"/>
  <c r="J3" i="1"/>
  <c r="I3" i="1"/>
  <c r="H3" i="1"/>
  <c r="G3" i="1"/>
  <c r="F3" i="1"/>
  <c r="E3" i="1"/>
  <c r="D3" i="1"/>
  <c r="C3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<sst xmlns="http://schemas.openxmlformats.org/spreadsheetml/2006/main" count="289" uniqueCount="193">
  <si>
    <t>SITIO</t>
  </si>
  <si>
    <t>Comunidad</t>
  </si>
  <si>
    <t>AHUYENTAMIENTO DE FAUNA</t>
  </si>
  <si>
    <t>DESPEJE TORRE</t>
  </si>
  <si>
    <t>EXCAVACIÓN</t>
  </si>
  <si>
    <t>SOLADO</t>
  </si>
  <si>
    <t>CIMENTACION</t>
  </si>
  <si>
    <t>ACERO DE REFUERZO</t>
  </si>
  <si>
    <t>CONCRETO</t>
  </si>
  <si>
    <t>RELLENO Y COMPACTACIÓN</t>
  </si>
  <si>
    <t>COOR_X</t>
  </si>
  <si>
    <t>COOR_Y</t>
  </si>
  <si>
    <t>Text</t>
  </si>
  <si>
    <t>T2N</t>
  </si>
  <si>
    <t>Utkap</t>
  </si>
  <si>
    <t>T3</t>
  </si>
  <si>
    <t>T4</t>
  </si>
  <si>
    <t>T5</t>
  </si>
  <si>
    <t>T6</t>
  </si>
  <si>
    <t>T7</t>
  </si>
  <si>
    <t>T8</t>
  </si>
  <si>
    <t>Mashuamana</t>
  </si>
  <si>
    <t>T9</t>
  </si>
  <si>
    <t>Mashuamana Wane</t>
  </si>
  <si>
    <t>T10</t>
  </si>
  <si>
    <t>T11</t>
  </si>
  <si>
    <t>T12</t>
  </si>
  <si>
    <t>T13</t>
  </si>
  <si>
    <t>Kamushipá</t>
  </si>
  <si>
    <t>T14</t>
  </si>
  <si>
    <t>T15</t>
  </si>
  <si>
    <t>T16</t>
  </si>
  <si>
    <t>T17</t>
  </si>
  <si>
    <t>Romana</t>
  </si>
  <si>
    <t>T18</t>
  </si>
  <si>
    <t>T19</t>
  </si>
  <si>
    <t>T20N</t>
  </si>
  <si>
    <t>T21N</t>
  </si>
  <si>
    <t>T22</t>
  </si>
  <si>
    <t>T23</t>
  </si>
  <si>
    <t>T24N</t>
  </si>
  <si>
    <t>T25</t>
  </si>
  <si>
    <t>Kijotchon</t>
  </si>
  <si>
    <t>T26N</t>
  </si>
  <si>
    <t>T27</t>
  </si>
  <si>
    <t>T28N</t>
  </si>
  <si>
    <t>T29N</t>
  </si>
  <si>
    <t>T30N</t>
  </si>
  <si>
    <t>Pajakat</t>
  </si>
  <si>
    <t>T31</t>
  </si>
  <si>
    <t>Amalipa</t>
  </si>
  <si>
    <t>T32</t>
  </si>
  <si>
    <t>Pioreka</t>
  </si>
  <si>
    <t>T33N</t>
  </si>
  <si>
    <t>T34</t>
  </si>
  <si>
    <t>T35N</t>
  </si>
  <si>
    <t>T36</t>
  </si>
  <si>
    <t>T37</t>
  </si>
  <si>
    <t>T38</t>
  </si>
  <si>
    <t>T39</t>
  </si>
  <si>
    <t>T40</t>
  </si>
  <si>
    <t>T41</t>
  </si>
  <si>
    <t>T42N</t>
  </si>
  <si>
    <t>T43</t>
  </si>
  <si>
    <t>Toloira</t>
  </si>
  <si>
    <t>T44N</t>
  </si>
  <si>
    <t>T45N</t>
  </si>
  <si>
    <t>T46</t>
  </si>
  <si>
    <t>Jununtao</t>
  </si>
  <si>
    <t>T47</t>
  </si>
  <si>
    <t>T48</t>
  </si>
  <si>
    <t>T49</t>
  </si>
  <si>
    <t>T50</t>
  </si>
  <si>
    <t>T51</t>
  </si>
  <si>
    <t>T52</t>
  </si>
  <si>
    <t>Sirruma</t>
  </si>
  <si>
    <t>T53</t>
  </si>
  <si>
    <t>T54</t>
  </si>
  <si>
    <t>T55</t>
  </si>
  <si>
    <t>Corralito</t>
  </si>
  <si>
    <t>T56</t>
  </si>
  <si>
    <t>T57</t>
  </si>
  <si>
    <t>T58</t>
  </si>
  <si>
    <t>T59</t>
  </si>
  <si>
    <t>Sabanalarga</t>
  </si>
  <si>
    <t>T60N</t>
  </si>
  <si>
    <t>T62</t>
  </si>
  <si>
    <t>T63</t>
  </si>
  <si>
    <t>T64</t>
  </si>
  <si>
    <t>Siború</t>
  </si>
  <si>
    <t>T65</t>
  </si>
  <si>
    <t>T66</t>
  </si>
  <si>
    <t>T67</t>
  </si>
  <si>
    <t>San Luis</t>
  </si>
  <si>
    <t>T68</t>
  </si>
  <si>
    <t>T69</t>
  </si>
  <si>
    <t>T70N</t>
  </si>
  <si>
    <t>T71</t>
  </si>
  <si>
    <t>Chuluita</t>
  </si>
  <si>
    <t>T72</t>
  </si>
  <si>
    <t>T73</t>
  </si>
  <si>
    <t>T74</t>
  </si>
  <si>
    <t>T75</t>
  </si>
  <si>
    <t>Urraichipa</t>
  </si>
  <si>
    <t>T76</t>
  </si>
  <si>
    <t>T77</t>
  </si>
  <si>
    <t>T78</t>
  </si>
  <si>
    <t>T79N</t>
  </si>
  <si>
    <t>T80</t>
  </si>
  <si>
    <t>Jaipachon</t>
  </si>
  <si>
    <t>T81</t>
  </si>
  <si>
    <t>T82</t>
  </si>
  <si>
    <t>Predio Farallones</t>
  </si>
  <si>
    <t>T83</t>
  </si>
  <si>
    <t>T84</t>
  </si>
  <si>
    <t>T85</t>
  </si>
  <si>
    <t>Predio Cascabeles</t>
  </si>
  <si>
    <t>T86</t>
  </si>
  <si>
    <t>T87</t>
  </si>
  <si>
    <t>T88</t>
  </si>
  <si>
    <t>NO SE TIENE INFORMACIÓN</t>
  </si>
  <si>
    <t>T89</t>
  </si>
  <si>
    <t>T90</t>
  </si>
  <si>
    <t>Predio San Carlos</t>
  </si>
  <si>
    <t>T91</t>
  </si>
  <si>
    <t>T92</t>
  </si>
  <si>
    <t>T93</t>
  </si>
  <si>
    <t>Predio La Unión</t>
  </si>
  <si>
    <t>T94N</t>
  </si>
  <si>
    <t>Predio Apatud</t>
  </si>
  <si>
    <t>T95N</t>
  </si>
  <si>
    <t>T96</t>
  </si>
  <si>
    <t>T97</t>
  </si>
  <si>
    <t>Predio Sinu</t>
  </si>
  <si>
    <t>T98</t>
  </si>
  <si>
    <t>T99</t>
  </si>
  <si>
    <t>T100</t>
  </si>
  <si>
    <t>Guadalajara</t>
  </si>
  <si>
    <t>T101</t>
  </si>
  <si>
    <t>T102</t>
  </si>
  <si>
    <t>T103</t>
  </si>
  <si>
    <t>Predio Plegatos</t>
  </si>
  <si>
    <t>T104N</t>
  </si>
  <si>
    <t>Predio Guasimalito</t>
  </si>
  <si>
    <t>T105</t>
  </si>
  <si>
    <t>T106</t>
  </si>
  <si>
    <t>T107</t>
  </si>
  <si>
    <t>T108V</t>
  </si>
  <si>
    <t>T109V</t>
  </si>
  <si>
    <t>Predio Rancho Nercita</t>
  </si>
  <si>
    <t>T110V</t>
  </si>
  <si>
    <t>T111V</t>
  </si>
  <si>
    <t>T112V</t>
  </si>
  <si>
    <t>Predio Villa Esperanza</t>
  </si>
  <si>
    <t>T113V</t>
  </si>
  <si>
    <t>Predio Miriam</t>
  </si>
  <si>
    <t>T114V</t>
  </si>
  <si>
    <t>T115V</t>
  </si>
  <si>
    <t>T115AV</t>
  </si>
  <si>
    <t>T115BV</t>
  </si>
  <si>
    <t>T116</t>
  </si>
  <si>
    <t>Predio Adaluz</t>
  </si>
  <si>
    <t>T117</t>
  </si>
  <si>
    <t>T118</t>
  </si>
  <si>
    <t>Predio La Inmensidad</t>
  </si>
  <si>
    <t>T119N</t>
  </si>
  <si>
    <t>Predio La Mina</t>
  </si>
  <si>
    <t>T120</t>
  </si>
  <si>
    <t>T121</t>
  </si>
  <si>
    <t>T122</t>
  </si>
  <si>
    <t>Predio Las Perlas</t>
  </si>
  <si>
    <t>T123</t>
  </si>
  <si>
    <t>T124</t>
  </si>
  <si>
    <t>T125</t>
  </si>
  <si>
    <t>Predio Santa Martha</t>
  </si>
  <si>
    <t>T126</t>
  </si>
  <si>
    <t>T127</t>
  </si>
  <si>
    <t>T128</t>
  </si>
  <si>
    <t>Predio Santa Rosa 2</t>
  </si>
  <si>
    <t>T129</t>
  </si>
  <si>
    <t>T130</t>
  </si>
  <si>
    <t>Predio Villa Dolores</t>
  </si>
  <si>
    <t>T131</t>
  </si>
  <si>
    <t>Predio Noa Noa</t>
  </si>
  <si>
    <t>T132</t>
  </si>
  <si>
    <t>T133</t>
  </si>
  <si>
    <t>T134</t>
  </si>
  <si>
    <t>T135N</t>
  </si>
  <si>
    <t>T136</t>
  </si>
  <si>
    <t>YARITUAHA</t>
  </si>
  <si>
    <t>T137N</t>
  </si>
  <si>
    <t>LOS REMEDIOS</t>
  </si>
  <si>
    <t>T138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</si>
</sst>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d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 wrapText="1"/>
    </xf>
    <xf numFmtId="164" fontId="3" fillId="3" borderId="4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9" fontId="4" fillId="2" borderId="5" xfId="0" applyNumberFormat="1" applyFont="1" applyFill="1" applyBorder="1" applyAlignment="1">
      <alignment horizontal="center" vertical="center"/>
    </xf>
    <xf numFmtId="10" fontId="4" fillId="2" borderId="5" xfId="0" applyNumberFormat="1" applyFont="1" applyFill="1" applyBorder="1" applyAlignment="1">
      <alignment horizontal="center" vertical="center"/>
    </xf>
    <xf numFmtId="0" fontId="0" fillId="3" borderId="0" xfId="0" applyFill="1"/>
    <xf numFmtId="0" fontId="5" fillId="2" borderId="5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</cellXfs>
  <cellStyles count="2">
    <cellStyle name="Normal" xfId="0" builtinId="0"/>
    <cellStyle name="Normal 70 4" xfId="1" xr:uid="{B46980B0-59E4-4330-AD13-90857E5E7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petrol-my.sharepoint.com/personal/efrain_laverde_ecopetrol_com_co/Documents/2026/data/Dashboard-Proyecto-Obra/EDP-F-051%20Formato_Reporte_Diario_Proyectos_Construccio&#236;n%2002-09-2026.xlsx" TargetMode="External"/><Relationship Id="rId1" Type="http://schemas.openxmlformats.org/officeDocument/2006/relationships/externalLinkPath" Target="EDP-F-051%20Formato_Reporte_Diario_Proyectos_Construccio&#236;n%2002-09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rol_costos\CONTRATO%20MARCO%20No.%204610006121\02.%20CONTROL%20PROYECTO\HERRAMIENTA%20CONTROL%20DE%20OBRA\CONTROL%20DE%20PROYECTOS%20-%20ISMOCO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ofia_quintero_windpeshi_com_co/Documents/Documentos/1.%20CONSORCIO%20WINDPESHI/2.%20INFORMES/PROGRAMACION%20DIARIA/Base%20de%20datos%20Ecopetrol1.xlsm" TargetMode="External"/><Relationship Id="rId2" Type="http://schemas.openxmlformats.org/officeDocument/2006/relationships/externalLinkPath" Target="https://consorciowindpeshi-my.sharepoint.com/personal/sofia_quintero_windpeshi_com_co/Documents/Documentos/1.%20CONSORCIO%20WINDPESHI/2.%20INFORMES/PROGRAMACION%20DIARIA/Base%20de%20datos%20Ecopetrol1.xlsm" TargetMode="External"/><Relationship Id="rId1" Type="http://schemas.openxmlformats.org/officeDocument/2006/relationships/externalLinkPath" Target="/personal/sofia_quintero_windpeshi_com_co/Documents/Documentos/1.%20CONSORCIO%20WINDPESHI/2.%20INFORMES/PROGRAMACION%20DIARIA/Base%20de%20datos%20Ecopetrol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Recursos"/>
      <sheetName val="HSE"/>
      <sheetName val="Cuadro control diario"/>
      <sheetName val="Control obra"/>
      <sheetName val="GIS"/>
      <sheetName val="Torres"/>
      <sheetName val="Comunidades"/>
      <sheetName val="Hoja1"/>
    </sheetNames>
    <sheetDataSet>
      <sheetData sheetId="0"/>
      <sheetData sheetId="1"/>
      <sheetData sheetId="2"/>
      <sheetData sheetId="3"/>
      <sheetData sheetId="4">
        <row r="7">
          <cell r="AZ7">
            <v>0</v>
          </cell>
          <cell r="CA7">
            <v>0</v>
          </cell>
          <cell r="CN7">
            <v>0</v>
          </cell>
          <cell r="DB7">
            <v>0</v>
          </cell>
          <cell r="DO7">
            <v>0</v>
          </cell>
          <cell r="EB7">
            <v>0</v>
          </cell>
          <cell r="EO7">
            <v>0</v>
          </cell>
        </row>
        <row r="8">
          <cell r="AZ8">
            <v>0</v>
          </cell>
          <cell r="CA8">
            <v>0</v>
          </cell>
          <cell r="CN8">
            <v>0</v>
          </cell>
          <cell r="DB8">
            <v>0</v>
          </cell>
          <cell r="DO8">
            <v>0</v>
          </cell>
          <cell r="EB8">
            <v>0</v>
          </cell>
          <cell r="EO8">
            <v>0</v>
          </cell>
        </row>
        <row r="9">
          <cell r="AZ9">
            <v>0</v>
          </cell>
          <cell r="CA9">
            <v>0</v>
          </cell>
          <cell r="CN9">
            <v>0</v>
          </cell>
          <cell r="DB9">
            <v>0</v>
          </cell>
          <cell r="DO9">
            <v>0</v>
          </cell>
          <cell r="EB9">
            <v>0</v>
          </cell>
          <cell r="EO9">
            <v>0</v>
          </cell>
        </row>
        <row r="10">
          <cell r="AZ10">
            <v>0</v>
          </cell>
          <cell r="CA10">
            <v>0</v>
          </cell>
          <cell r="CN10">
            <v>0</v>
          </cell>
          <cell r="DB10">
            <v>0</v>
          </cell>
          <cell r="DO10">
            <v>0</v>
          </cell>
          <cell r="EB10">
            <v>0</v>
          </cell>
          <cell r="EO10">
            <v>0</v>
          </cell>
        </row>
        <row r="11">
          <cell r="AZ11">
            <v>0</v>
          </cell>
          <cell r="CA11">
            <v>0</v>
          </cell>
          <cell r="CN11">
            <v>0</v>
          </cell>
          <cell r="DB11">
            <v>0</v>
          </cell>
          <cell r="DO11">
            <v>0</v>
          </cell>
          <cell r="EB11">
            <v>0</v>
          </cell>
          <cell r="EO11">
            <v>0</v>
          </cell>
        </row>
        <row r="12">
          <cell r="AZ12">
            <v>0</v>
          </cell>
          <cell r="CA12">
            <v>0</v>
          </cell>
          <cell r="CN12">
            <v>0</v>
          </cell>
          <cell r="DB12">
            <v>0</v>
          </cell>
          <cell r="DO12">
            <v>0</v>
          </cell>
          <cell r="EB12">
            <v>0</v>
          </cell>
          <cell r="EO12">
            <v>0</v>
          </cell>
        </row>
        <row r="13">
          <cell r="AZ13">
            <v>0</v>
          </cell>
          <cell r="CA13">
            <v>0</v>
          </cell>
          <cell r="CN13">
            <v>0</v>
          </cell>
          <cell r="DB13">
            <v>0</v>
          </cell>
          <cell r="DO13">
            <v>0</v>
          </cell>
          <cell r="EB13">
            <v>0</v>
          </cell>
          <cell r="EO13">
            <v>0</v>
          </cell>
        </row>
        <row r="14">
          <cell r="AB14" t="str">
            <v>REALIZADO</v>
          </cell>
          <cell r="AZ14">
            <v>0.4</v>
          </cell>
          <cell r="CA14">
            <v>0</v>
          </cell>
          <cell r="CN14">
            <v>0</v>
          </cell>
          <cell r="DB14">
            <v>0</v>
          </cell>
          <cell r="DO14">
            <v>0</v>
          </cell>
          <cell r="EB14">
            <v>0</v>
          </cell>
          <cell r="EO14">
            <v>0</v>
          </cell>
        </row>
        <row r="15">
          <cell r="AB15" t="str">
            <v>REALIZADO</v>
          </cell>
          <cell r="AZ15">
            <v>1</v>
          </cell>
          <cell r="CA15">
            <v>0</v>
          </cell>
          <cell r="CN15">
            <v>0</v>
          </cell>
          <cell r="DB15">
            <v>0</v>
          </cell>
          <cell r="DO15">
            <v>0</v>
          </cell>
          <cell r="EB15">
            <v>0</v>
          </cell>
          <cell r="EO15">
            <v>0</v>
          </cell>
        </row>
        <row r="16">
          <cell r="AB16" t="str">
            <v>REALIZADO</v>
          </cell>
          <cell r="AZ16">
            <v>1</v>
          </cell>
          <cell r="CA16">
            <v>0</v>
          </cell>
          <cell r="CN16">
            <v>0</v>
          </cell>
          <cell r="DB16">
            <v>0</v>
          </cell>
          <cell r="DO16">
            <v>0</v>
          </cell>
          <cell r="EB16">
            <v>0</v>
          </cell>
          <cell r="EO16">
            <v>0</v>
          </cell>
        </row>
        <row r="17">
          <cell r="AB17" t="str">
            <v>REALIZADO</v>
          </cell>
          <cell r="AZ17">
            <v>1</v>
          </cell>
          <cell r="CA17">
            <v>1</v>
          </cell>
          <cell r="CN17">
            <v>1</v>
          </cell>
          <cell r="DB17">
            <v>0</v>
          </cell>
          <cell r="DO17">
            <v>1</v>
          </cell>
          <cell r="EB17">
            <v>0.12</v>
          </cell>
          <cell r="EO17">
            <v>0</v>
          </cell>
        </row>
        <row r="18">
          <cell r="AB18" t="str">
            <v>REALIZADO</v>
          </cell>
          <cell r="AZ18">
            <v>1</v>
          </cell>
          <cell r="CA18">
            <v>1</v>
          </cell>
          <cell r="CN18">
            <v>1</v>
          </cell>
          <cell r="DB18">
            <v>1</v>
          </cell>
          <cell r="DO18">
            <v>1</v>
          </cell>
          <cell r="EB18">
            <v>1</v>
          </cell>
          <cell r="EO18">
            <v>1</v>
          </cell>
        </row>
        <row r="19">
          <cell r="AB19" t="str">
            <v>REALIZADO</v>
          </cell>
          <cell r="AZ19">
            <v>1</v>
          </cell>
          <cell r="CA19">
            <v>1</v>
          </cell>
          <cell r="CN19">
            <v>1</v>
          </cell>
          <cell r="DB19">
            <v>1</v>
          </cell>
          <cell r="DO19">
            <v>1</v>
          </cell>
          <cell r="EB19">
            <v>1</v>
          </cell>
          <cell r="EO19">
            <v>1</v>
          </cell>
        </row>
        <row r="20">
          <cell r="AB20" t="str">
            <v>REALIZADO</v>
          </cell>
          <cell r="AZ20">
            <v>1</v>
          </cell>
          <cell r="CA20">
            <v>1</v>
          </cell>
          <cell r="CN20">
            <v>1</v>
          </cell>
          <cell r="DB20">
            <v>1</v>
          </cell>
          <cell r="DO20">
            <v>1</v>
          </cell>
          <cell r="EB20">
            <v>1</v>
          </cell>
          <cell r="EO20">
            <v>1</v>
          </cell>
        </row>
        <row r="21">
          <cell r="AB21" t="str">
            <v>REALIZADO</v>
          </cell>
          <cell r="AZ21">
            <v>1</v>
          </cell>
          <cell r="CA21">
            <v>1</v>
          </cell>
          <cell r="CN21">
            <v>1</v>
          </cell>
          <cell r="DB21">
            <v>0</v>
          </cell>
          <cell r="DO21">
            <v>1</v>
          </cell>
          <cell r="EB21">
            <v>1</v>
          </cell>
          <cell r="EO21">
            <v>1</v>
          </cell>
        </row>
        <row r="22">
          <cell r="AB22" t="str">
            <v>REALIZADO</v>
          </cell>
          <cell r="AZ22">
            <v>1</v>
          </cell>
          <cell r="CA22">
            <v>0</v>
          </cell>
          <cell r="CN22">
            <v>0</v>
          </cell>
          <cell r="DB22">
            <v>0</v>
          </cell>
          <cell r="DO22">
            <v>0</v>
          </cell>
          <cell r="EB22">
            <v>0</v>
          </cell>
          <cell r="EO22">
            <v>0</v>
          </cell>
        </row>
        <row r="23">
          <cell r="AB23" t="str">
            <v>REALIZADO</v>
          </cell>
          <cell r="AZ23">
            <v>1</v>
          </cell>
          <cell r="CA23">
            <v>0</v>
          </cell>
          <cell r="CN23">
            <v>0</v>
          </cell>
          <cell r="DB23">
            <v>0</v>
          </cell>
          <cell r="DO23">
            <v>0</v>
          </cell>
          <cell r="EB23">
            <v>0</v>
          </cell>
          <cell r="EO23">
            <v>0</v>
          </cell>
        </row>
        <row r="24">
          <cell r="AB24" t="str">
            <v>REALIZADO</v>
          </cell>
          <cell r="AZ24">
            <v>1</v>
          </cell>
          <cell r="CA24">
            <v>0</v>
          </cell>
          <cell r="CN24">
            <v>0</v>
          </cell>
          <cell r="DB24">
            <v>0</v>
          </cell>
          <cell r="DO24">
            <v>0</v>
          </cell>
          <cell r="EB24">
            <v>0</v>
          </cell>
          <cell r="EO24">
            <v>0</v>
          </cell>
        </row>
        <row r="25">
          <cell r="AB25" t="str">
            <v>REALIZADO</v>
          </cell>
          <cell r="AZ25">
            <v>1</v>
          </cell>
          <cell r="CA25">
            <v>0</v>
          </cell>
          <cell r="CN25">
            <v>0</v>
          </cell>
          <cell r="DB25">
            <v>0</v>
          </cell>
          <cell r="DO25">
            <v>0</v>
          </cell>
          <cell r="EB25">
            <v>0</v>
          </cell>
          <cell r="EO25">
            <v>0</v>
          </cell>
        </row>
        <row r="26">
          <cell r="AB26" t="str">
            <v>REALIZADO</v>
          </cell>
          <cell r="AZ26">
            <v>1</v>
          </cell>
          <cell r="CA26">
            <v>1</v>
          </cell>
          <cell r="CN26">
            <v>1</v>
          </cell>
          <cell r="DB26">
            <v>0</v>
          </cell>
          <cell r="DO26">
            <v>0.92500000000000004</v>
          </cell>
          <cell r="EB26">
            <v>0.55400000000000005</v>
          </cell>
          <cell r="EO26">
            <v>0</v>
          </cell>
        </row>
        <row r="27">
          <cell r="AB27" t="str">
            <v>REALIZADO</v>
          </cell>
          <cell r="AZ27">
            <v>1</v>
          </cell>
          <cell r="CA27">
            <v>1</v>
          </cell>
          <cell r="CN27">
            <v>1</v>
          </cell>
          <cell r="DB27">
            <v>1</v>
          </cell>
          <cell r="DO27">
            <v>1</v>
          </cell>
          <cell r="EB27">
            <v>1</v>
          </cell>
          <cell r="EO27">
            <v>1</v>
          </cell>
        </row>
        <row r="28">
          <cell r="AB28" t="str">
            <v>REALIZADO</v>
          </cell>
          <cell r="AZ28">
            <v>1</v>
          </cell>
          <cell r="CA28">
            <v>1</v>
          </cell>
          <cell r="CN28">
            <v>1</v>
          </cell>
          <cell r="DB28">
            <v>1</v>
          </cell>
          <cell r="DO28">
            <v>0.92500000000000004</v>
          </cell>
          <cell r="EB28">
            <v>1</v>
          </cell>
          <cell r="EO28">
            <v>1</v>
          </cell>
        </row>
        <row r="29">
          <cell r="AB29" t="str">
            <v>REALIZADO</v>
          </cell>
          <cell r="AZ29">
            <v>1</v>
          </cell>
          <cell r="CA29">
            <v>0.7</v>
          </cell>
          <cell r="CN29">
            <v>0.66666666666666663</v>
          </cell>
          <cell r="DB29">
            <v>0</v>
          </cell>
          <cell r="DO29">
            <v>0</v>
          </cell>
          <cell r="EB29">
            <v>0.01</v>
          </cell>
          <cell r="EO29">
            <v>0</v>
          </cell>
        </row>
        <row r="30">
          <cell r="AZ30">
            <v>0</v>
          </cell>
          <cell r="CA30">
            <v>0</v>
          </cell>
          <cell r="CN30">
            <v>0</v>
          </cell>
          <cell r="DB30">
            <v>0</v>
          </cell>
          <cell r="DO30">
            <v>0</v>
          </cell>
          <cell r="EB30">
            <v>0</v>
          </cell>
          <cell r="EO30">
            <v>0</v>
          </cell>
        </row>
        <row r="31">
          <cell r="AZ31">
            <v>0</v>
          </cell>
          <cell r="CA31">
            <v>0</v>
          </cell>
          <cell r="CN31">
            <v>0</v>
          </cell>
          <cell r="DB31">
            <v>0</v>
          </cell>
          <cell r="DO31">
            <v>0</v>
          </cell>
          <cell r="EB31">
            <v>0</v>
          </cell>
          <cell r="EO31">
            <v>0</v>
          </cell>
        </row>
        <row r="32">
          <cell r="AZ32">
            <v>0</v>
          </cell>
          <cell r="CA32">
            <v>0</v>
          </cell>
          <cell r="CN32">
            <v>0</v>
          </cell>
          <cell r="DB32">
            <v>0</v>
          </cell>
          <cell r="DO32">
            <v>0</v>
          </cell>
          <cell r="EB32">
            <v>0</v>
          </cell>
          <cell r="EO32">
            <v>0</v>
          </cell>
        </row>
        <row r="33">
          <cell r="AZ33">
            <v>0</v>
          </cell>
          <cell r="CA33">
            <v>0</v>
          </cell>
          <cell r="CN33">
            <v>0</v>
          </cell>
          <cell r="DB33">
            <v>0</v>
          </cell>
          <cell r="DO33">
            <v>0</v>
          </cell>
          <cell r="EB33">
            <v>0</v>
          </cell>
          <cell r="EO33">
            <v>0</v>
          </cell>
        </row>
        <row r="34">
          <cell r="AZ34">
            <v>0</v>
          </cell>
          <cell r="CA34">
            <v>0</v>
          </cell>
          <cell r="CN34">
            <v>0</v>
          </cell>
          <cell r="DB34">
            <v>0</v>
          </cell>
          <cell r="DO34">
            <v>0</v>
          </cell>
          <cell r="EB34">
            <v>0</v>
          </cell>
          <cell r="EO34">
            <v>0</v>
          </cell>
        </row>
        <row r="35">
          <cell r="AZ35">
            <v>0</v>
          </cell>
          <cell r="CA35">
            <v>0</v>
          </cell>
          <cell r="CN35">
            <v>0</v>
          </cell>
          <cell r="DB35">
            <v>0</v>
          </cell>
          <cell r="DO35">
            <v>0</v>
          </cell>
          <cell r="EB35">
            <v>0</v>
          </cell>
          <cell r="EO35">
            <v>0</v>
          </cell>
        </row>
        <row r="36">
          <cell r="AZ36">
            <v>0</v>
          </cell>
          <cell r="CA36">
            <v>0</v>
          </cell>
          <cell r="CN36">
            <v>0</v>
          </cell>
          <cell r="DB36">
            <v>0</v>
          </cell>
          <cell r="DO36">
            <v>0</v>
          </cell>
          <cell r="EB36">
            <v>0</v>
          </cell>
          <cell r="EO36">
            <v>0</v>
          </cell>
        </row>
        <row r="37">
          <cell r="AZ37">
            <v>0</v>
          </cell>
          <cell r="CA37">
            <v>0</v>
          </cell>
          <cell r="CN37">
            <v>0</v>
          </cell>
          <cell r="DB37">
            <v>0</v>
          </cell>
          <cell r="DO37">
            <v>0</v>
          </cell>
          <cell r="EB37">
            <v>0</v>
          </cell>
          <cell r="EO37">
            <v>0</v>
          </cell>
        </row>
        <row r="38">
          <cell r="AZ38">
            <v>0</v>
          </cell>
          <cell r="CA38">
            <v>0</v>
          </cell>
          <cell r="CN38">
            <v>0</v>
          </cell>
          <cell r="DB38">
            <v>0</v>
          </cell>
          <cell r="DO38">
            <v>0</v>
          </cell>
          <cell r="EB38">
            <v>0</v>
          </cell>
          <cell r="EO38">
            <v>0</v>
          </cell>
        </row>
        <row r="39">
          <cell r="AZ39">
            <v>0</v>
          </cell>
          <cell r="CA39">
            <v>0</v>
          </cell>
          <cell r="CN39">
            <v>0</v>
          </cell>
          <cell r="DB39">
            <v>0</v>
          </cell>
          <cell r="DO39">
            <v>0</v>
          </cell>
          <cell r="EB39">
            <v>0</v>
          </cell>
          <cell r="EO39">
            <v>0</v>
          </cell>
        </row>
        <row r="40">
          <cell r="AZ40">
            <v>0</v>
          </cell>
          <cell r="CA40">
            <v>0</v>
          </cell>
          <cell r="CN40">
            <v>0</v>
          </cell>
          <cell r="DB40">
            <v>0</v>
          </cell>
          <cell r="DO40">
            <v>0</v>
          </cell>
          <cell r="EB40">
            <v>0</v>
          </cell>
          <cell r="EO40">
            <v>0</v>
          </cell>
        </row>
        <row r="41">
          <cell r="AZ41">
            <v>0</v>
          </cell>
          <cell r="CA41">
            <v>0</v>
          </cell>
          <cell r="CN41">
            <v>0</v>
          </cell>
          <cell r="DB41">
            <v>0</v>
          </cell>
          <cell r="DO41">
            <v>0</v>
          </cell>
          <cell r="EB41">
            <v>0</v>
          </cell>
          <cell r="EO41">
            <v>0</v>
          </cell>
        </row>
        <row r="42">
          <cell r="AZ42">
            <v>0.1</v>
          </cell>
          <cell r="CA42">
            <v>0</v>
          </cell>
          <cell r="CN42">
            <v>0</v>
          </cell>
          <cell r="DB42">
            <v>0</v>
          </cell>
          <cell r="DO42">
            <v>0</v>
          </cell>
          <cell r="EB42">
            <v>0</v>
          </cell>
          <cell r="EO42">
            <v>0</v>
          </cell>
        </row>
        <row r="43">
          <cell r="AB43" t="str">
            <v>SI</v>
          </cell>
          <cell r="AZ43">
            <v>1</v>
          </cell>
          <cell r="CA43">
            <v>0</v>
          </cell>
          <cell r="CN43">
            <v>0</v>
          </cell>
          <cell r="DB43">
            <v>0</v>
          </cell>
          <cell r="DO43">
            <v>0</v>
          </cell>
          <cell r="EB43">
            <v>0</v>
          </cell>
          <cell r="EO43">
            <v>0</v>
          </cell>
        </row>
        <row r="44">
          <cell r="AZ44">
            <v>0</v>
          </cell>
          <cell r="CA44">
            <v>0</v>
          </cell>
          <cell r="CN44">
            <v>0</v>
          </cell>
          <cell r="DB44">
            <v>0</v>
          </cell>
          <cell r="DO44">
            <v>0</v>
          </cell>
          <cell r="EB44">
            <v>0</v>
          </cell>
          <cell r="EO44">
            <v>0</v>
          </cell>
        </row>
        <row r="45">
          <cell r="AZ45">
            <v>0</v>
          </cell>
          <cell r="CA45">
            <v>0</v>
          </cell>
          <cell r="CN45">
            <v>0</v>
          </cell>
          <cell r="DB45">
            <v>0</v>
          </cell>
          <cell r="DO45">
            <v>0</v>
          </cell>
          <cell r="EB45">
            <v>0</v>
          </cell>
          <cell r="EO45">
            <v>0</v>
          </cell>
        </row>
        <row r="46">
          <cell r="AZ46">
            <v>0</v>
          </cell>
          <cell r="CA46">
            <v>0</v>
          </cell>
          <cell r="CN46">
            <v>0</v>
          </cell>
          <cell r="DB46">
            <v>0</v>
          </cell>
          <cell r="DO46">
            <v>0</v>
          </cell>
          <cell r="EB46">
            <v>0</v>
          </cell>
          <cell r="EO46">
            <v>0</v>
          </cell>
        </row>
        <row r="47">
          <cell r="AZ47">
            <v>0</v>
          </cell>
          <cell r="CA47">
            <v>0</v>
          </cell>
          <cell r="CN47">
            <v>0</v>
          </cell>
          <cell r="DB47">
            <v>0</v>
          </cell>
          <cell r="DO47">
            <v>0</v>
          </cell>
          <cell r="EB47">
            <v>0</v>
          </cell>
          <cell r="EO47">
            <v>0</v>
          </cell>
        </row>
        <row r="48">
          <cell r="AZ48">
            <v>0</v>
          </cell>
          <cell r="CA48">
            <v>0</v>
          </cell>
          <cell r="CN48">
            <v>0</v>
          </cell>
          <cell r="DB48">
            <v>0</v>
          </cell>
          <cell r="DO48">
            <v>0</v>
          </cell>
          <cell r="EB48">
            <v>0</v>
          </cell>
          <cell r="EO48">
            <v>0</v>
          </cell>
        </row>
        <row r="49">
          <cell r="AZ49">
            <v>0</v>
          </cell>
          <cell r="CA49">
            <v>0</v>
          </cell>
          <cell r="CN49">
            <v>0</v>
          </cell>
          <cell r="DB49">
            <v>0</v>
          </cell>
          <cell r="DO49">
            <v>0</v>
          </cell>
          <cell r="EB49">
            <v>0</v>
          </cell>
          <cell r="EO49">
            <v>0</v>
          </cell>
        </row>
        <row r="50">
          <cell r="AZ50">
            <v>0</v>
          </cell>
          <cell r="CA50">
            <v>0</v>
          </cell>
          <cell r="CN50">
            <v>0</v>
          </cell>
          <cell r="DB50">
            <v>0</v>
          </cell>
          <cell r="DO50">
            <v>0</v>
          </cell>
          <cell r="EB50">
            <v>0</v>
          </cell>
          <cell r="EO50">
            <v>0</v>
          </cell>
        </row>
        <row r="51">
          <cell r="AZ51">
            <v>0</v>
          </cell>
          <cell r="CA51">
            <v>0</v>
          </cell>
          <cell r="CN51">
            <v>0</v>
          </cell>
          <cell r="DB51">
            <v>0</v>
          </cell>
          <cell r="DO51">
            <v>0</v>
          </cell>
          <cell r="EB51">
            <v>0</v>
          </cell>
          <cell r="EO51">
            <v>0</v>
          </cell>
        </row>
        <row r="52">
          <cell r="AZ52">
            <v>0</v>
          </cell>
          <cell r="CA52">
            <v>0</v>
          </cell>
          <cell r="CN52">
            <v>0</v>
          </cell>
          <cell r="DB52">
            <v>0</v>
          </cell>
          <cell r="DO52">
            <v>0</v>
          </cell>
          <cell r="EB52">
            <v>0</v>
          </cell>
          <cell r="EO52">
            <v>0</v>
          </cell>
        </row>
        <row r="53">
          <cell r="AZ53">
            <v>0</v>
          </cell>
          <cell r="CA53">
            <v>0</v>
          </cell>
          <cell r="CN53">
            <v>0</v>
          </cell>
          <cell r="DB53">
            <v>0</v>
          </cell>
          <cell r="DO53">
            <v>0</v>
          </cell>
          <cell r="EB53">
            <v>0</v>
          </cell>
          <cell r="EO53">
            <v>0</v>
          </cell>
        </row>
        <row r="54">
          <cell r="AZ54">
            <v>0</v>
          </cell>
          <cell r="CA54">
            <v>0</v>
          </cell>
          <cell r="CN54">
            <v>0</v>
          </cell>
          <cell r="DB54">
            <v>0</v>
          </cell>
          <cell r="DO54">
            <v>0</v>
          </cell>
          <cell r="EB54">
            <v>0</v>
          </cell>
          <cell r="EO54">
            <v>0</v>
          </cell>
        </row>
        <row r="55">
          <cell r="AZ55">
            <v>0</v>
          </cell>
          <cell r="CA55">
            <v>0</v>
          </cell>
          <cell r="CN55">
            <v>0</v>
          </cell>
          <cell r="DB55">
            <v>0</v>
          </cell>
          <cell r="DO55">
            <v>0</v>
          </cell>
          <cell r="EB55">
            <v>0</v>
          </cell>
          <cell r="EO55">
            <v>0</v>
          </cell>
        </row>
        <row r="56">
          <cell r="AZ56">
            <v>0</v>
          </cell>
          <cell r="CA56">
            <v>0</v>
          </cell>
          <cell r="CN56">
            <v>0</v>
          </cell>
          <cell r="DB56">
            <v>0</v>
          </cell>
          <cell r="DO56">
            <v>0</v>
          </cell>
          <cell r="EB56">
            <v>0</v>
          </cell>
          <cell r="EO56">
            <v>0</v>
          </cell>
        </row>
        <row r="57">
          <cell r="AZ57">
            <v>0</v>
          </cell>
          <cell r="CA57">
            <v>0</v>
          </cell>
          <cell r="CN57">
            <v>0</v>
          </cell>
          <cell r="DB57">
            <v>0</v>
          </cell>
          <cell r="DO57">
            <v>0</v>
          </cell>
          <cell r="EB57">
            <v>0</v>
          </cell>
          <cell r="EO57">
            <v>0</v>
          </cell>
        </row>
        <row r="58">
          <cell r="AZ58">
            <v>0</v>
          </cell>
          <cell r="CA58">
            <v>0</v>
          </cell>
          <cell r="CN58">
            <v>0</v>
          </cell>
          <cell r="DB58">
            <v>0</v>
          </cell>
          <cell r="DO58">
            <v>0</v>
          </cell>
          <cell r="EB58">
            <v>0</v>
          </cell>
          <cell r="EO58">
            <v>0</v>
          </cell>
        </row>
        <row r="59">
          <cell r="AZ59">
            <v>0</v>
          </cell>
          <cell r="CA59">
            <v>0</v>
          </cell>
          <cell r="CN59">
            <v>0</v>
          </cell>
          <cell r="DB59">
            <v>0</v>
          </cell>
          <cell r="DO59">
            <v>0</v>
          </cell>
          <cell r="EB59">
            <v>0</v>
          </cell>
          <cell r="EO59">
            <v>0</v>
          </cell>
        </row>
        <row r="60">
          <cell r="AZ60">
            <v>0</v>
          </cell>
          <cell r="CA60">
            <v>0</v>
          </cell>
          <cell r="CN60">
            <v>0</v>
          </cell>
          <cell r="DB60">
            <v>0</v>
          </cell>
          <cell r="DO60">
            <v>0</v>
          </cell>
          <cell r="EB60">
            <v>0</v>
          </cell>
          <cell r="EO60">
            <v>0</v>
          </cell>
        </row>
        <row r="61">
          <cell r="AZ61">
            <v>0</v>
          </cell>
          <cell r="CA61">
            <v>0</v>
          </cell>
          <cell r="CN61">
            <v>0</v>
          </cell>
          <cell r="DB61">
            <v>0</v>
          </cell>
          <cell r="DO61">
            <v>0</v>
          </cell>
          <cell r="EB61">
            <v>0</v>
          </cell>
          <cell r="EO61">
            <v>0</v>
          </cell>
        </row>
        <row r="62">
          <cell r="AZ62">
            <v>0</v>
          </cell>
          <cell r="CA62">
            <v>0</v>
          </cell>
          <cell r="CN62">
            <v>0</v>
          </cell>
          <cell r="DB62">
            <v>0</v>
          </cell>
          <cell r="DO62">
            <v>0</v>
          </cell>
          <cell r="EB62">
            <v>0</v>
          </cell>
          <cell r="EO62">
            <v>0</v>
          </cell>
        </row>
        <row r="63">
          <cell r="AZ63">
            <v>0</v>
          </cell>
          <cell r="CA63">
            <v>0</v>
          </cell>
          <cell r="CN63">
            <v>0</v>
          </cell>
          <cell r="DB63">
            <v>0</v>
          </cell>
          <cell r="DO63">
            <v>0</v>
          </cell>
          <cell r="EB63">
            <v>0</v>
          </cell>
          <cell r="EO63">
            <v>0</v>
          </cell>
        </row>
        <row r="64">
          <cell r="AZ64">
            <v>0</v>
          </cell>
          <cell r="CA64">
            <v>0</v>
          </cell>
          <cell r="CN64">
            <v>0</v>
          </cell>
          <cell r="DB64">
            <v>0</v>
          </cell>
          <cell r="DO64">
            <v>0</v>
          </cell>
          <cell r="EB64">
            <v>0</v>
          </cell>
          <cell r="EO64">
            <v>0</v>
          </cell>
        </row>
        <row r="65">
          <cell r="AZ65">
            <v>0</v>
          </cell>
          <cell r="CA65">
            <v>0</v>
          </cell>
          <cell r="CN65">
            <v>0</v>
          </cell>
          <cell r="DB65">
            <v>0</v>
          </cell>
          <cell r="DO65">
            <v>0</v>
          </cell>
          <cell r="EB65">
            <v>0</v>
          </cell>
          <cell r="EO65">
            <v>0</v>
          </cell>
        </row>
        <row r="66">
          <cell r="AZ66">
            <v>0</v>
          </cell>
          <cell r="CA66">
            <v>0</v>
          </cell>
          <cell r="CN66">
            <v>0</v>
          </cell>
          <cell r="DB66">
            <v>0</v>
          </cell>
          <cell r="DO66">
            <v>0</v>
          </cell>
          <cell r="EB66">
            <v>0</v>
          </cell>
          <cell r="EO66">
            <v>0</v>
          </cell>
        </row>
        <row r="67">
          <cell r="AZ67">
            <v>0</v>
          </cell>
          <cell r="CA67">
            <v>0</v>
          </cell>
          <cell r="CN67">
            <v>0</v>
          </cell>
          <cell r="DB67">
            <v>0</v>
          </cell>
          <cell r="DO67">
            <v>0</v>
          </cell>
          <cell r="EB67">
            <v>0</v>
          </cell>
          <cell r="EO67">
            <v>0</v>
          </cell>
        </row>
        <row r="68">
          <cell r="AZ68">
            <v>0</v>
          </cell>
          <cell r="CA68">
            <v>0</v>
          </cell>
          <cell r="CN68">
            <v>0</v>
          </cell>
          <cell r="DB68">
            <v>0</v>
          </cell>
          <cell r="DO68">
            <v>0</v>
          </cell>
          <cell r="EB68">
            <v>0</v>
          </cell>
          <cell r="EO68">
            <v>0</v>
          </cell>
        </row>
        <row r="69">
          <cell r="AZ69">
            <v>0</v>
          </cell>
          <cell r="CA69">
            <v>0</v>
          </cell>
          <cell r="CN69">
            <v>0</v>
          </cell>
          <cell r="DB69">
            <v>0</v>
          </cell>
          <cell r="DO69">
            <v>0</v>
          </cell>
          <cell r="EB69">
            <v>0</v>
          </cell>
          <cell r="EO69">
            <v>0</v>
          </cell>
        </row>
        <row r="70">
          <cell r="AZ70">
            <v>0</v>
          </cell>
          <cell r="CA70">
            <v>0</v>
          </cell>
          <cell r="CN70">
            <v>0</v>
          </cell>
          <cell r="DB70">
            <v>0</v>
          </cell>
          <cell r="DO70">
            <v>0</v>
          </cell>
          <cell r="EB70">
            <v>0</v>
          </cell>
          <cell r="EO70">
            <v>0</v>
          </cell>
        </row>
        <row r="71">
          <cell r="AZ71">
            <v>0</v>
          </cell>
          <cell r="CA71">
            <v>0</v>
          </cell>
          <cell r="CN71">
            <v>0</v>
          </cell>
          <cell r="DB71">
            <v>0</v>
          </cell>
          <cell r="DO71">
            <v>0</v>
          </cell>
          <cell r="EB71">
            <v>0</v>
          </cell>
          <cell r="EO71">
            <v>0</v>
          </cell>
        </row>
        <row r="72">
          <cell r="AZ72">
            <v>0</v>
          </cell>
          <cell r="CA72">
            <v>0</v>
          </cell>
          <cell r="CN72">
            <v>0</v>
          </cell>
          <cell r="DB72">
            <v>0</v>
          </cell>
          <cell r="DO72">
            <v>0</v>
          </cell>
          <cell r="EB72">
            <v>0</v>
          </cell>
          <cell r="EO72">
            <v>0</v>
          </cell>
        </row>
        <row r="73">
          <cell r="AZ73">
            <v>0</v>
          </cell>
          <cell r="CA73">
            <v>0</v>
          </cell>
          <cell r="CN73">
            <v>0</v>
          </cell>
          <cell r="DB73">
            <v>0</v>
          </cell>
          <cell r="DO73">
            <v>0</v>
          </cell>
          <cell r="EB73">
            <v>0</v>
          </cell>
          <cell r="EO73">
            <v>0</v>
          </cell>
        </row>
        <row r="74">
          <cell r="AZ74">
            <v>0</v>
          </cell>
          <cell r="CA74">
            <v>0</v>
          </cell>
          <cell r="CN74">
            <v>0</v>
          </cell>
          <cell r="DB74">
            <v>0</v>
          </cell>
          <cell r="DO74">
            <v>0</v>
          </cell>
          <cell r="EB74">
            <v>0</v>
          </cell>
          <cell r="EO74">
            <v>0</v>
          </cell>
        </row>
        <row r="75">
          <cell r="AZ75">
            <v>0</v>
          </cell>
          <cell r="CA75">
            <v>0</v>
          </cell>
          <cell r="CN75">
            <v>0</v>
          </cell>
          <cell r="DB75">
            <v>0</v>
          </cell>
          <cell r="DO75">
            <v>0</v>
          </cell>
          <cell r="EB75">
            <v>0</v>
          </cell>
          <cell r="EO75">
            <v>0</v>
          </cell>
        </row>
        <row r="76">
          <cell r="AZ76">
            <v>0</v>
          </cell>
          <cell r="CA76">
            <v>0</v>
          </cell>
          <cell r="CN76">
            <v>0</v>
          </cell>
          <cell r="DB76">
            <v>0</v>
          </cell>
          <cell r="DO76">
            <v>0</v>
          </cell>
          <cell r="EB76">
            <v>0</v>
          </cell>
          <cell r="EO76">
            <v>0</v>
          </cell>
        </row>
        <row r="77">
          <cell r="AZ77">
            <v>0</v>
          </cell>
          <cell r="CA77">
            <v>0</v>
          </cell>
          <cell r="CN77">
            <v>0</v>
          </cell>
          <cell r="DB77">
            <v>0</v>
          </cell>
          <cell r="DO77">
            <v>0</v>
          </cell>
          <cell r="EB77">
            <v>0</v>
          </cell>
          <cell r="EO77">
            <v>0</v>
          </cell>
        </row>
        <row r="78">
          <cell r="AZ78">
            <v>0</v>
          </cell>
          <cell r="CA78">
            <v>0</v>
          </cell>
          <cell r="CN78">
            <v>0</v>
          </cell>
          <cell r="DB78">
            <v>0</v>
          </cell>
          <cell r="DO78">
            <v>0</v>
          </cell>
          <cell r="EB78">
            <v>0</v>
          </cell>
          <cell r="EO78">
            <v>0</v>
          </cell>
        </row>
        <row r="79">
          <cell r="AZ79">
            <v>0</v>
          </cell>
          <cell r="CA79">
            <v>0</v>
          </cell>
          <cell r="CN79">
            <v>0</v>
          </cell>
          <cell r="DB79">
            <v>0</v>
          </cell>
          <cell r="DO79">
            <v>0</v>
          </cell>
          <cell r="EB79">
            <v>0</v>
          </cell>
          <cell r="EO79">
            <v>0</v>
          </cell>
        </row>
        <row r="80">
          <cell r="AZ80">
            <v>0</v>
          </cell>
          <cell r="CA80">
            <v>0</v>
          </cell>
          <cell r="CN80">
            <v>0</v>
          </cell>
          <cell r="DB80">
            <v>0</v>
          </cell>
          <cell r="DO80">
            <v>0</v>
          </cell>
          <cell r="EB80">
            <v>0</v>
          </cell>
          <cell r="EO80">
            <v>0</v>
          </cell>
        </row>
        <row r="81">
          <cell r="AZ81">
            <v>0</v>
          </cell>
          <cell r="CA81">
            <v>0</v>
          </cell>
          <cell r="CN81">
            <v>0</v>
          </cell>
          <cell r="DB81">
            <v>0</v>
          </cell>
          <cell r="DO81">
            <v>0</v>
          </cell>
          <cell r="EB81">
            <v>0</v>
          </cell>
          <cell r="EO81">
            <v>0</v>
          </cell>
        </row>
        <row r="82">
          <cell r="AZ82">
            <v>0</v>
          </cell>
          <cell r="CA82">
            <v>0</v>
          </cell>
          <cell r="CN82">
            <v>0</v>
          </cell>
          <cell r="DB82">
            <v>0</v>
          </cell>
          <cell r="DO82">
            <v>0</v>
          </cell>
          <cell r="EB82">
            <v>0</v>
          </cell>
          <cell r="EO82">
            <v>0</v>
          </cell>
        </row>
        <row r="83">
          <cell r="AZ83">
            <v>0</v>
          </cell>
          <cell r="CA83">
            <v>0</v>
          </cell>
          <cell r="CN83">
            <v>0</v>
          </cell>
          <cell r="DB83">
            <v>0</v>
          </cell>
          <cell r="DO83">
            <v>0</v>
          </cell>
          <cell r="EB83">
            <v>0</v>
          </cell>
          <cell r="EO83">
            <v>0</v>
          </cell>
        </row>
        <row r="84">
          <cell r="AZ84">
            <v>0</v>
          </cell>
          <cell r="CA84">
            <v>0</v>
          </cell>
          <cell r="CN84">
            <v>0</v>
          </cell>
          <cell r="DB84">
            <v>0</v>
          </cell>
          <cell r="DO84">
            <v>0</v>
          </cell>
          <cell r="EB84">
            <v>0</v>
          </cell>
          <cell r="EO84">
            <v>0</v>
          </cell>
        </row>
        <row r="85">
          <cell r="AZ85">
            <v>0</v>
          </cell>
          <cell r="CA85">
            <v>0</v>
          </cell>
          <cell r="CN85">
            <v>0</v>
          </cell>
          <cell r="DB85">
            <v>0</v>
          </cell>
          <cell r="DO85">
            <v>0</v>
          </cell>
          <cell r="EB85">
            <v>0</v>
          </cell>
          <cell r="EO85">
            <v>0</v>
          </cell>
        </row>
        <row r="86">
          <cell r="AZ86">
            <v>0</v>
          </cell>
          <cell r="CA86">
            <v>0</v>
          </cell>
          <cell r="CN86">
            <v>0</v>
          </cell>
          <cell r="DB86">
            <v>0</v>
          </cell>
          <cell r="DO86">
            <v>0</v>
          </cell>
          <cell r="EB86">
            <v>0</v>
          </cell>
          <cell r="EO86">
            <v>0</v>
          </cell>
        </row>
        <row r="87">
          <cell r="AZ87">
            <v>0</v>
          </cell>
          <cell r="CA87">
            <v>0</v>
          </cell>
          <cell r="CN87">
            <v>0</v>
          </cell>
          <cell r="DB87">
            <v>0</v>
          </cell>
          <cell r="DO87">
            <v>0</v>
          </cell>
          <cell r="EB87">
            <v>0</v>
          </cell>
          <cell r="EO87">
            <v>0</v>
          </cell>
        </row>
        <row r="88">
          <cell r="AZ88">
            <v>0</v>
          </cell>
          <cell r="CA88">
            <v>0</v>
          </cell>
          <cell r="CN88">
            <v>0</v>
          </cell>
          <cell r="DB88">
            <v>0</v>
          </cell>
          <cell r="DO88">
            <v>0</v>
          </cell>
          <cell r="EB88">
            <v>0</v>
          </cell>
          <cell r="EO88">
            <v>0</v>
          </cell>
        </row>
        <row r="89">
          <cell r="AZ89">
            <v>0</v>
          </cell>
          <cell r="CA89">
            <v>0</v>
          </cell>
          <cell r="CN89">
            <v>0</v>
          </cell>
          <cell r="DB89">
            <v>0</v>
          </cell>
          <cell r="DO89">
            <v>0</v>
          </cell>
          <cell r="EB89">
            <v>0</v>
          </cell>
          <cell r="EO89">
            <v>0</v>
          </cell>
        </row>
        <row r="90">
          <cell r="AZ90">
            <v>0</v>
          </cell>
          <cell r="CA90">
            <v>0</v>
          </cell>
          <cell r="CN90">
            <v>0</v>
          </cell>
          <cell r="DB90">
            <v>0</v>
          </cell>
          <cell r="DO90">
            <v>0</v>
          </cell>
          <cell r="EB90">
            <v>0</v>
          </cell>
          <cell r="EO90">
            <v>0</v>
          </cell>
        </row>
        <row r="91">
          <cell r="AZ91">
            <v>0</v>
          </cell>
          <cell r="CA91">
            <v>0</v>
          </cell>
          <cell r="CN91">
            <v>0</v>
          </cell>
          <cell r="DB91">
            <v>0</v>
          </cell>
          <cell r="DO91">
            <v>0</v>
          </cell>
          <cell r="EB91">
            <v>0</v>
          </cell>
          <cell r="EO91">
            <v>0</v>
          </cell>
        </row>
        <row r="92">
          <cell r="AZ92">
            <v>0</v>
          </cell>
          <cell r="CA92">
            <v>0</v>
          </cell>
          <cell r="CN92">
            <v>0</v>
          </cell>
          <cell r="DB92">
            <v>0</v>
          </cell>
          <cell r="DO92">
            <v>0</v>
          </cell>
          <cell r="EB92">
            <v>0</v>
          </cell>
          <cell r="EO92">
            <v>0</v>
          </cell>
        </row>
        <row r="93">
          <cell r="AZ93">
            <v>0</v>
          </cell>
          <cell r="CA93">
            <v>0</v>
          </cell>
          <cell r="CN93">
            <v>0</v>
          </cell>
          <cell r="DB93">
            <v>0</v>
          </cell>
          <cell r="DO93">
            <v>0</v>
          </cell>
          <cell r="EB93">
            <v>0</v>
          </cell>
          <cell r="EO93">
            <v>0</v>
          </cell>
        </row>
        <row r="94">
          <cell r="AZ94">
            <v>0</v>
          </cell>
          <cell r="CA94">
            <v>0</v>
          </cell>
          <cell r="CN94">
            <v>0</v>
          </cell>
          <cell r="DB94">
            <v>0</v>
          </cell>
          <cell r="DO94">
            <v>0</v>
          </cell>
          <cell r="EB94">
            <v>0</v>
          </cell>
          <cell r="EO94">
            <v>0</v>
          </cell>
        </row>
        <row r="95">
          <cell r="AZ95">
            <v>0</v>
          </cell>
          <cell r="CA95">
            <v>0</v>
          </cell>
          <cell r="CN95">
            <v>0</v>
          </cell>
          <cell r="DB95">
            <v>0</v>
          </cell>
          <cell r="DO95">
            <v>0</v>
          </cell>
          <cell r="EB95">
            <v>0</v>
          </cell>
          <cell r="EO95">
            <v>0</v>
          </cell>
        </row>
        <row r="96">
          <cell r="AZ96">
            <v>0</v>
          </cell>
          <cell r="CA96">
            <v>0</v>
          </cell>
          <cell r="CN96">
            <v>0</v>
          </cell>
          <cell r="DB96">
            <v>0</v>
          </cell>
          <cell r="DO96">
            <v>0</v>
          </cell>
          <cell r="EB96">
            <v>0</v>
          </cell>
          <cell r="EO96">
            <v>0</v>
          </cell>
        </row>
        <row r="97">
          <cell r="AZ97">
            <v>0</v>
          </cell>
          <cell r="CA97">
            <v>0</v>
          </cell>
          <cell r="CN97">
            <v>0</v>
          </cell>
          <cell r="DB97">
            <v>0</v>
          </cell>
          <cell r="DO97">
            <v>0</v>
          </cell>
          <cell r="EB97">
            <v>0</v>
          </cell>
          <cell r="EO97">
            <v>0</v>
          </cell>
        </row>
        <row r="98">
          <cell r="AZ98">
            <v>0</v>
          </cell>
          <cell r="CA98">
            <v>0</v>
          </cell>
          <cell r="CN98">
            <v>0</v>
          </cell>
          <cell r="DB98">
            <v>0</v>
          </cell>
          <cell r="DO98">
            <v>0</v>
          </cell>
          <cell r="EB98">
            <v>0</v>
          </cell>
          <cell r="EO98">
            <v>0</v>
          </cell>
        </row>
        <row r="99">
          <cell r="AZ99">
            <v>0</v>
          </cell>
          <cell r="CA99">
            <v>0</v>
          </cell>
          <cell r="CN99">
            <v>0</v>
          </cell>
          <cell r="DB99">
            <v>0</v>
          </cell>
          <cell r="DO99">
            <v>0</v>
          </cell>
          <cell r="EB99">
            <v>0</v>
          </cell>
          <cell r="EO99">
            <v>0</v>
          </cell>
        </row>
        <row r="100">
          <cell r="AZ100">
            <v>0</v>
          </cell>
          <cell r="CA100">
            <v>0</v>
          </cell>
          <cell r="CN100">
            <v>0</v>
          </cell>
          <cell r="DB100">
            <v>0</v>
          </cell>
          <cell r="DO100">
            <v>0</v>
          </cell>
          <cell r="EB100">
            <v>0</v>
          </cell>
          <cell r="EO100">
            <v>0</v>
          </cell>
        </row>
        <row r="101">
          <cell r="AZ101">
            <v>0</v>
          </cell>
          <cell r="CA101">
            <v>0</v>
          </cell>
          <cell r="CN101">
            <v>0</v>
          </cell>
          <cell r="DB101">
            <v>0</v>
          </cell>
          <cell r="DO101">
            <v>0</v>
          </cell>
          <cell r="EB101">
            <v>0</v>
          </cell>
          <cell r="EO101">
            <v>0</v>
          </cell>
        </row>
        <row r="102">
          <cell r="AZ102">
            <v>0</v>
          </cell>
          <cell r="CA102">
            <v>0</v>
          </cell>
          <cell r="CN102">
            <v>0</v>
          </cell>
          <cell r="DB102">
            <v>0</v>
          </cell>
          <cell r="DO102">
            <v>0</v>
          </cell>
          <cell r="EB102">
            <v>0</v>
          </cell>
          <cell r="EO102">
            <v>0</v>
          </cell>
        </row>
        <row r="103">
          <cell r="AZ103">
            <v>0</v>
          </cell>
          <cell r="CA103">
            <v>0</v>
          </cell>
          <cell r="CN103">
            <v>0</v>
          </cell>
          <cell r="DB103">
            <v>0</v>
          </cell>
          <cell r="DO103">
            <v>0</v>
          </cell>
          <cell r="EB103">
            <v>0</v>
          </cell>
          <cell r="EO103">
            <v>0</v>
          </cell>
        </row>
        <row r="104">
          <cell r="AZ104">
            <v>0</v>
          </cell>
          <cell r="CA104">
            <v>0</v>
          </cell>
          <cell r="CN104">
            <v>0</v>
          </cell>
          <cell r="DB104">
            <v>0</v>
          </cell>
          <cell r="DO104">
            <v>0</v>
          </cell>
          <cell r="EB104">
            <v>0</v>
          </cell>
          <cell r="EO104">
            <v>0</v>
          </cell>
        </row>
        <row r="105">
          <cell r="AZ105">
            <v>0</v>
          </cell>
          <cell r="CA105">
            <v>0</v>
          </cell>
          <cell r="CN105">
            <v>0</v>
          </cell>
          <cell r="DB105">
            <v>0</v>
          </cell>
          <cell r="DO105">
            <v>0</v>
          </cell>
          <cell r="EB105">
            <v>0</v>
          </cell>
          <cell r="EO105">
            <v>0</v>
          </cell>
        </row>
        <row r="106">
          <cell r="AZ106">
            <v>0</v>
          </cell>
          <cell r="CA106">
            <v>0</v>
          </cell>
          <cell r="CN106">
            <v>0</v>
          </cell>
          <cell r="DB106">
            <v>0</v>
          </cell>
          <cell r="DO106">
            <v>0</v>
          </cell>
          <cell r="EB106">
            <v>0</v>
          </cell>
          <cell r="EO106">
            <v>0</v>
          </cell>
        </row>
        <row r="107">
          <cell r="AZ107">
            <v>0</v>
          </cell>
          <cell r="CA107">
            <v>0</v>
          </cell>
          <cell r="CN107">
            <v>0</v>
          </cell>
          <cell r="DB107">
            <v>0</v>
          </cell>
          <cell r="DO107">
            <v>0</v>
          </cell>
          <cell r="EB107">
            <v>0</v>
          </cell>
          <cell r="EO107">
            <v>0</v>
          </cell>
        </row>
        <row r="108">
          <cell r="AZ108">
            <v>0</v>
          </cell>
          <cell r="CA108">
            <v>0</v>
          </cell>
          <cell r="CN108">
            <v>0</v>
          </cell>
          <cell r="DB108">
            <v>0</v>
          </cell>
          <cell r="DO108">
            <v>0</v>
          </cell>
          <cell r="EB108">
            <v>0</v>
          </cell>
          <cell r="EO108">
            <v>0</v>
          </cell>
        </row>
        <row r="109">
          <cell r="AZ109">
            <v>0</v>
          </cell>
          <cell r="CA109">
            <v>0</v>
          </cell>
          <cell r="CN109">
            <v>0</v>
          </cell>
          <cell r="DB109">
            <v>0</v>
          </cell>
          <cell r="DO109">
            <v>0</v>
          </cell>
          <cell r="EB109">
            <v>0</v>
          </cell>
          <cell r="EO109">
            <v>0</v>
          </cell>
        </row>
        <row r="110">
          <cell r="AZ110">
            <v>0</v>
          </cell>
          <cell r="CA110">
            <v>0</v>
          </cell>
          <cell r="CN110">
            <v>0</v>
          </cell>
          <cell r="DB110">
            <v>0</v>
          </cell>
          <cell r="DO110">
            <v>0</v>
          </cell>
          <cell r="EB110">
            <v>0</v>
          </cell>
          <cell r="EO110">
            <v>0</v>
          </cell>
        </row>
        <row r="111">
          <cell r="AZ111">
            <v>0</v>
          </cell>
          <cell r="CA111">
            <v>0</v>
          </cell>
          <cell r="CN111">
            <v>0</v>
          </cell>
          <cell r="DB111">
            <v>0</v>
          </cell>
          <cell r="DO111">
            <v>0</v>
          </cell>
          <cell r="EB111">
            <v>0</v>
          </cell>
          <cell r="EO111">
            <v>0</v>
          </cell>
        </row>
        <row r="112">
          <cell r="AZ112">
            <v>0</v>
          </cell>
          <cell r="CA112">
            <v>0</v>
          </cell>
          <cell r="CN112">
            <v>0</v>
          </cell>
          <cell r="DB112">
            <v>0</v>
          </cell>
          <cell r="DO112">
            <v>0</v>
          </cell>
          <cell r="EB112">
            <v>0</v>
          </cell>
          <cell r="EO112">
            <v>0</v>
          </cell>
        </row>
        <row r="113">
          <cell r="AZ113">
            <v>0</v>
          </cell>
          <cell r="CA113">
            <v>0</v>
          </cell>
          <cell r="CN113">
            <v>0</v>
          </cell>
          <cell r="DB113">
            <v>0</v>
          </cell>
          <cell r="DO113">
            <v>0</v>
          </cell>
          <cell r="EB113">
            <v>0</v>
          </cell>
          <cell r="EO113">
            <v>0</v>
          </cell>
        </row>
        <row r="114">
          <cell r="AZ114">
            <v>0</v>
          </cell>
          <cell r="CA114">
            <v>0</v>
          </cell>
          <cell r="CN114">
            <v>0</v>
          </cell>
          <cell r="DB114">
            <v>0</v>
          </cell>
          <cell r="DO114">
            <v>0</v>
          </cell>
          <cell r="EB114">
            <v>0</v>
          </cell>
          <cell r="EO114">
            <v>0</v>
          </cell>
        </row>
        <row r="115">
          <cell r="AZ115">
            <v>0</v>
          </cell>
          <cell r="CA115">
            <v>0</v>
          </cell>
          <cell r="CN115">
            <v>0</v>
          </cell>
          <cell r="DB115">
            <v>0</v>
          </cell>
          <cell r="DO115">
            <v>0</v>
          </cell>
          <cell r="EB115">
            <v>0</v>
          </cell>
          <cell r="EO115">
            <v>0</v>
          </cell>
        </row>
        <row r="116">
          <cell r="AZ116">
            <v>0</v>
          </cell>
          <cell r="CA116">
            <v>0</v>
          </cell>
          <cell r="CN116">
            <v>0</v>
          </cell>
          <cell r="DB116">
            <v>0</v>
          </cell>
          <cell r="DO116">
            <v>0</v>
          </cell>
          <cell r="EB116">
            <v>0</v>
          </cell>
          <cell r="EO116">
            <v>0</v>
          </cell>
        </row>
        <row r="117">
          <cell r="AZ117">
            <v>0</v>
          </cell>
          <cell r="CA117">
            <v>0</v>
          </cell>
          <cell r="CN117">
            <v>0</v>
          </cell>
          <cell r="DB117">
            <v>0</v>
          </cell>
          <cell r="DO117">
            <v>0</v>
          </cell>
          <cell r="EB117">
            <v>0</v>
          </cell>
          <cell r="EO117">
            <v>0</v>
          </cell>
        </row>
        <row r="118">
          <cell r="AZ118">
            <v>0</v>
          </cell>
          <cell r="CA118">
            <v>0</v>
          </cell>
          <cell r="CN118">
            <v>0</v>
          </cell>
          <cell r="DB118">
            <v>0</v>
          </cell>
          <cell r="DO118">
            <v>0</v>
          </cell>
          <cell r="EB118">
            <v>0</v>
          </cell>
          <cell r="EO118">
            <v>0</v>
          </cell>
        </row>
        <row r="119">
          <cell r="AZ119">
            <v>0</v>
          </cell>
          <cell r="CA119">
            <v>0</v>
          </cell>
          <cell r="CN119">
            <v>0</v>
          </cell>
          <cell r="DB119">
            <v>0</v>
          </cell>
          <cell r="DO119">
            <v>0</v>
          </cell>
          <cell r="EB119">
            <v>0</v>
          </cell>
          <cell r="EO119">
            <v>0</v>
          </cell>
        </row>
        <row r="120">
          <cell r="AZ120">
            <v>0</v>
          </cell>
          <cell r="CA120">
            <v>0</v>
          </cell>
          <cell r="CN120">
            <v>0</v>
          </cell>
          <cell r="DB120">
            <v>0</v>
          </cell>
          <cell r="DO120">
            <v>0</v>
          </cell>
          <cell r="EB120">
            <v>0</v>
          </cell>
          <cell r="EO120">
            <v>0</v>
          </cell>
        </row>
        <row r="121">
          <cell r="AZ121">
            <v>0</v>
          </cell>
          <cell r="CA121">
            <v>0</v>
          </cell>
          <cell r="CN121">
            <v>0</v>
          </cell>
          <cell r="DB121">
            <v>0</v>
          </cell>
          <cell r="DO121">
            <v>0</v>
          </cell>
          <cell r="EB121">
            <v>0</v>
          </cell>
          <cell r="EO121">
            <v>0</v>
          </cell>
        </row>
        <row r="122">
          <cell r="AZ122">
            <v>0</v>
          </cell>
          <cell r="CA122">
            <v>0</v>
          </cell>
          <cell r="CN122">
            <v>0</v>
          </cell>
          <cell r="DB122">
            <v>0</v>
          </cell>
          <cell r="DO122">
            <v>0</v>
          </cell>
          <cell r="EB122">
            <v>0</v>
          </cell>
          <cell r="EO122">
            <v>0</v>
          </cell>
        </row>
        <row r="123">
          <cell r="AZ123">
            <v>0</v>
          </cell>
          <cell r="CA123">
            <v>0</v>
          </cell>
          <cell r="CN123">
            <v>0</v>
          </cell>
          <cell r="DB123">
            <v>0</v>
          </cell>
          <cell r="DO123">
            <v>0</v>
          </cell>
          <cell r="EB123">
            <v>0</v>
          </cell>
          <cell r="EO123">
            <v>0</v>
          </cell>
        </row>
        <row r="124">
          <cell r="AZ124">
            <v>0</v>
          </cell>
          <cell r="CA124">
            <v>0</v>
          </cell>
          <cell r="CN124">
            <v>0</v>
          </cell>
          <cell r="DB124">
            <v>0</v>
          </cell>
          <cell r="DO124">
            <v>0</v>
          </cell>
          <cell r="EB124">
            <v>0</v>
          </cell>
          <cell r="EO124">
            <v>0</v>
          </cell>
        </row>
        <row r="125">
          <cell r="AZ125">
            <v>0</v>
          </cell>
          <cell r="CA125">
            <v>0</v>
          </cell>
          <cell r="CN125">
            <v>0</v>
          </cell>
          <cell r="DB125">
            <v>0</v>
          </cell>
          <cell r="DO125">
            <v>0</v>
          </cell>
          <cell r="EB125">
            <v>0</v>
          </cell>
          <cell r="EO125">
            <v>0</v>
          </cell>
        </row>
        <row r="126">
          <cell r="AZ126">
            <v>0</v>
          </cell>
          <cell r="CA126">
            <v>0</v>
          </cell>
          <cell r="CN126">
            <v>0</v>
          </cell>
          <cell r="DB126">
            <v>0</v>
          </cell>
          <cell r="DO126">
            <v>0</v>
          </cell>
          <cell r="EB126">
            <v>0</v>
          </cell>
          <cell r="EO126">
            <v>0</v>
          </cell>
        </row>
        <row r="127">
          <cell r="AZ127">
            <v>0</v>
          </cell>
          <cell r="CA127">
            <v>0</v>
          </cell>
          <cell r="CN127">
            <v>0</v>
          </cell>
          <cell r="DB127">
            <v>0</v>
          </cell>
          <cell r="DO127">
            <v>0</v>
          </cell>
          <cell r="EB127">
            <v>0</v>
          </cell>
          <cell r="EO127">
            <v>0</v>
          </cell>
        </row>
        <row r="128">
          <cell r="AZ128">
            <v>0</v>
          </cell>
          <cell r="CA128">
            <v>0</v>
          </cell>
          <cell r="CN128">
            <v>0</v>
          </cell>
          <cell r="DB128">
            <v>0</v>
          </cell>
          <cell r="DO128">
            <v>0</v>
          </cell>
          <cell r="EB128">
            <v>0</v>
          </cell>
          <cell r="EO128">
            <v>0</v>
          </cell>
        </row>
        <row r="129">
          <cell r="AZ129">
            <v>0</v>
          </cell>
          <cell r="CA129">
            <v>0</v>
          </cell>
          <cell r="CN129">
            <v>0</v>
          </cell>
          <cell r="DB129">
            <v>0</v>
          </cell>
          <cell r="DO129">
            <v>0</v>
          </cell>
          <cell r="EB129">
            <v>0</v>
          </cell>
          <cell r="EO129">
            <v>0</v>
          </cell>
        </row>
        <row r="130">
          <cell r="AZ130">
            <v>0</v>
          </cell>
          <cell r="CA130">
            <v>0</v>
          </cell>
          <cell r="CN130">
            <v>0</v>
          </cell>
          <cell r="DB130">
            <v>0</v>
          </cell>
          <cell r="DO130">
            <v>0</v>
          </cell>
          <cell r="EB130">
            <v>0</v>
          </cell>
          <cell r="EO130">
            <v>0</v>
          </cell>
        </row>
        <row r="131">
          <cell r="AZ131">
            <v>0</v>
          </cell>
          <cell r="CA131">
            <v>0</v>
          </cell>
          <cell r="CN131">
            <v>0</v>
          </cell>
          <cell r="DB131">
            <v>0</v>
          </cell>
          <cell r="DO131">
            <v>0</v>
          </cell>
          <cell r="EB131">
            <v>0</v>
          </cell>
          <cell r="EO131">
            <v>0</v>
          </cell>
        </row>
        <row r="132">
          <cell r="AZ132">
            <v>0</v>
          </cell>
          <cell r="CA132">
            <v>0</v>
          </cell>
          <cell r="CN132">
            <v>0</v>
          </cell>
          <cell r="DB132">
            <v>0</v>
          </cell>
          <cell r="DO132">
            <v>0</v>
          </cell>
          <cell r="EB132">
            <v>0</v>
          </cell>
          <cell r="EO132">
            <v>0</v>
          </cell>
        </row>
        <row r="133">
          <cell r="AZ133">
            <v>0</v>
          </cell>
          <cell r="CA133">
            <v>0</v>
          </cell>
          <cell r="CN133">
            <v>0</v>
          </cell>
          <cell r="DB133">
            <v>0</v>
          </cell>
          <cell r="DO133">
            <v>0</v>
          </cell>
          <cell r="EB133">
            <v>0</v>
          </cell>
          <cell r="EO133">
            <v>0</v>
          </cell>
        </row>
        <row r="134">
          <cell r="AZ134">
            <v>0</v>
          </cell>
          <cell r="CA134">
            <v>0</v>
          </cell>
          <cell r="CN134">
            <v>0</v>
          </cell>
          <cell r="DB134">
            <v>0</v>
          </cell>
          <cell r="DO134">
            <v>0</v>
          </cell>
          <cell r="EB134">
            <v>0</v>
          </cell>
          <cell r="EO134">
            <v>0</v>
          </cell>
        </row>
        <row r="135">
          <cell r="AZ135">
            <v>0</v>
          </cell>
          <cell r="CA135">
            <v>0</v>
          </cell>
          <cell r="CN135">
            <v>0</v>
          </cell>
          <cell r="DB135">
            <v>0</v>
          </cell>
          <cell r="DO135">
            <v>0</v>
          </cell>
          <cell r="EB135">
            <v>0</v>
          </cell>
          <cell r="EO135">
            <v>0</v>
          </cell>
        </row>
        <row r="136">
          <cell r="AZ136">
            <v>0</v>
          </cell>
          <cell r="CA136">
            <v>0</v>
          </cell>
          <cell r="CN136">
            <v>0</v>
          </cell>
          <cell r="DB136">
            <v>0</v>
          </cell>
          <cell r="DO136">
            <v>0</v>
          </cell>
          <cell r="EB136">
            <v>0</v>
          </cell>
          <cell r="EO136">
            <v>0</v>
          </cell>
        </row>
        <row r="137">
          <cell r="AZ137">
            <v>0</v>
          </cell>
          <cell r="CA137">
            <v>0</v>
          </cell>
          <cell r="CN137">
            <v>0</v>
          </cell>
          <cell r="DB137">
            <v>0</v>
          </cell>
          <cell r="DO137">
            <v>0</v>
          </cell>
          <cell r="EB137">
            <v>0</v>
          </cell>
          <cell r="EO137">
            <v>0</v>
          </cell>
        </row>
        <row r="138">
          <cell r="AZ138">
            <v>0</v>
          </cell>
          <cell r="CA138">
            <v>0</v>
          </cell>
          <cell r="CN138">
            <v>0</v>
          </cell>
          <cell r="DB138">
            <v>0</v>
          </cell>
          <cell r="DO138">
            <v>0</v>
          </cell>
          <cell r="EB138">
            <v>0</v>
          </cell>
          <cell r="EO138">
            <v>0</v>
          </cell>
        </row>
        <row r="139">
          <cell r="AZ139">
            <v>0</v>
          </cell>
          <cell r="CA139">
            <v>0</v>
          </cell>
          <cell r="CN139">
            <v>0</v>
          </cell>
          <cell r="DB139">
            <v>0</v>
          </cell>
          <cell r="DO139">
            <v>0</v>
          </cell>
          <cell r="EB139">
            <v>0</v>
          </cell>
          <cell r="EO139">
            <v>0</v>
          </cell>
        </row>
        <row r="140">
          <cell r="AZ140">
            <v>0</v>
          </cell>
          <cell r="CA140">
            <v>0</v>
          </cell>
          <cell r="CN140">
            <v>0</v>
          </cell>
          <cell r="DB140">
            <v>0</v>
          </cell>
          <cell r="DO140">
            <v>0</v>
          </cell>
          <cell r="EB140">
            <v>0</v>
          </cell>
          <cell r="EO140">
            <v>0</v>
          </cell>
        </row>
        <row r="141">
          <cell r="AZ141">
            <v>0</v>
          </cell>
          <cell r="CA141">
            <v>0</v>
          </cell>
          <cell r="CN141">
            <v>0</v>
          </cell>
          <cell r="DB141">
            <v>0</v>
          </cell>
          <cell r="DO141">
            <v>0</v>
          </cell>
          <cell r="EB141">
            <v>0</v>
          </cell>
          <cell r="EO141">
            <v>0</v>
          </cell>
        </row>
        <row r="142">
          <cell r="AZ142">
            <v>0</v>
          </cell>
          <cell r="CA142">
            <v>0</v>
          </cell>
          <cell r="CN142">
            <v>0</v>
          </cell>
          <cell r="DB142">
            <v>0</v>
          </cell>
          <cell r="DO142">
            <v>0</v>
          </cell>
          <cell r="EB142">
            <v>0</v>
          </cell>
          <cell r="EO142">
            <v>0</v>
          </cell>
        </row>
        <row r="143">
          <cell r="AZ143">
            <v>0</v>
          </cell>
          <cell r="CA143">
            <v>0</v>
          </cell>
          <cell r="CN143">
            <v>0</v>
          </cell>
          <cell r="DB143">
            <v>0</v>
          </cell>
          <cell r="DO143">
            <v>0</v>
          </cell>
          <cell r="EB143">
            <v>0</v>
          </cell>
          <cell r="EO143">
            <v>0</v>
          </cell>
        </row>
        <row r="144">
          <cell r="AZ144">
            <v>0</v>
          </cell>
          <cell r="CA144">
            <v>0</v>
          </cell>
          <cell r="CN144">
            <v>0</v>
          </cell>
          <cell r="DB144">
            <v>0</v>
          </cell>
          <cell r="DO144">
            <v>0</v>
          </cell>
          <cell r="EB144">
            <v>0</v>
          </cell>
          <cell r="EO144">
            <v>0</v>
          </cell>
        </row>
      </sheetData>
      <sheetData sheetId="5"/>
      <sheetData sheetId="6">
        <row r="1">
          <cell r="A1" t="str">
            <v>ID_INFRA_PT</v>
          </cell>
          <cell r="B1" t="str">
            <v>COOR_ESTE</v>
          </cell>
          <cell r="C1" t="str">
            <v>COOR_NORTE</v>
          </cell>
          <cell r="D1" t="str">
            <v>Latitud</v>
          </cell>
          <cell r="E1" t="str">
            <v>Longitud</v>
          </cell>
        </row>
        <row r="2">
          <cell r="A2" t="str">
            <v>T1</v>
          </cell>
          <cell r="B2">
            <v>5107301.3289999999</v>
          </cell>
          <cell r="C2">
            <v>2840267.5945000001</v>
          </cell>
          <cell r="D2">
            <v>11.602015</v>
          </cell>
          <cell r="E2">
            <v>-72.015381000000005</v>
          </cell>
        </row>
        <row r="3">
          <cell r="A3" t="str">
            <v>T10</v>
          </cell>
          <cell r="B3">
            <v>5107500.8151000002</v>
          </cell>
          <cell r="C3">
            <v>2837592.5506000002</v>
          </cell>
          <cell r="D3">
            <v>11.577810530000001</v>
          </cell>
          <cell r="E3">
            <v>-72.013635559999997</v>
          </cell>
        </row>
        <row r="4">
          <cell r="A4" t="str">
            <v>T100</v>
          </cell>
          <cell r="B4">
            <v>5088294.5442000004</v>
          </cell>
          <cell r="C4">
            <v>2807506.0954</v>
          </cell>
          <cell r="D4">
            <v>11.30618166</v>
          </cell>
          <cell r="E4">
            <v>-72.190621039999996</v>
          </cell>
        </row>
        <row r="5">
          <cell r="A5" t="str">
            <v>T101</v>
          </cell>
          <cell r="B5">
            <v>5088069.6085999999</v>
          </cell>
          <cell r="C5">
            <v>2807223.1923000002</v>
          </cell>
          <cell r="D5">
            <v>11.303628</v>
          </cell>
          <cell r="E5">
            <v>-72.192689999999999</v>
          </cell>
        </row>
        <row r="6">
          <cell r="A6" t="str">
            <v>T102</v>
          </cell>
          <cell r="B6">
            <v>5087755.3335999995</v>
          </cell>
          <cell r="C6">
            <v>2806813.2231999999</v>
          </cell>
          <cell r="D6">
            <v>11.299927029999999</v>
          </cell>
          <cell r="E6">
            <v>-72.195581009999998</v>
          </cell>
        </row>
        <row r="7">
          <cell r="A7" t="str">
            <v>T103</v>
          </cell>
          <cell r="B7">
            <v>5087467.8481000001</v>
          </cell>
          <cell r="C7">
            <v>2806438.2012999998</v>
          </cell>
          <cell r="D7">
            <v>11.29654152</v>
          </cell>
          <cell r="E7">
            <v>-72.198225530000002</v>
          </cell>
        </row>
        <row r="8">
          <cell r="A8" t="str">
            <v>T104N</v>
          </cell>
          <cell r="B8">
            <v>5087208.0663999999</v>
          </cell>
          <cell r="C8">
            <v>2806099.3213</v>
          </cell>
          <cell r="D8">
            <v>11.29348225</v>
          </cell>
          <cell r="E8">
            <v>-72.200615139999996</v>
          </cell>
        </row>
        <row r="9">
          <cell r="A9" t="str">
            <v>T105</v>
          </cell>
          <cell r="B9">
            <v>5086891.9845000003</v>
          </cell>
          <cell r="C9">
            <v>2805686.9989999998</v>
          </cell>
          <cell r="D9">
            <v>11.289759950000001</v>
          </cell>
          <cell r="E9">
            <v>-72.203522570000004</v>
          </cell>
        </row>
        <row r="10">
          <cell r="A10" t="str">
            <v>T106</v>
          </cell>
          <cell r="B10">
            <v>5086598.3284</v>
          </cell>
          <cell r="C10">
            <v>2805303.9319000002</v>
          </cell>
          <cell r="D10">
            <v>11.286301720000001</v>
          </cell>
          <cell r="E10">
            <v>-72.206223649999998</v>
          </cell>
        </row>
        <row r="11">
          <cell r="A11" t="str">
            <v>T107</v>
          </cell>
          <cell r="B11">
            <v>5086298.7219000002</v>
          </cell>
          <cell r="C11">
            <v>2804913.1050999998</v>
          </cell>
          <cell r="D11">
            <v>11.2827734</v>
          </cell>
          <cell r="E11">
            <v>-72.208979400000004</v>
          </cell>
        </row>
        <row r="12">
          <cell r="A12" t="str">
            <v>T108V</v>
          </cell>
          <cell r="B12">
            <v>5085966.5297999997</v>
          </cell>
          <cell r="C12">
            <v>2804748.6660000002</v>
          </cell>
          <cell r="D12">
            <v>11.281293890000001</v>
          </cell>
          <cell r="E12">
            <v>-72.212028149999995</v>
          </cell>
        </row>
        <row r="13">
          <cell r="A13" t="str">
            <v>T109V</v>
          </cell>
          <cell r="B13">
            <v>5085605.6832999997</v>
          </cell>
          <cell r="C13">
            <v>2804570.0400999999</v>
          </cell>
          <cell r="D13">
            <v>11.279686699999999</v>
          </cell>
          <cell r="E13">
            <v>-72.215339850000007</v>
          </cell>
        </row>
        <row r="14">
          <cell r="A14" t="str">
            <v>T11</v>
          </cell>
          <cell r="B14">
            <v>5107378.2598999999</v>
          </cell>
          <cell r="C14">
            <v>2837306.3054</v>
          </cell>
          <cell r="D14">
            <v>11.575225</v>
          </cell>
          <cell r="E14">
            <v>-72.014769000000001</v>
          </cell>
        </row>
        <row r="15">
          <cell r="A15" t="str">
            <v>T110V</v>
          </cell>
          <cell r="B15">
            <v>5085216.1847999999</v>
          </cell>
          <cell r="C15">
            <v>2804377.2322</v>
          </cell>
          <cell r="D15">
            <v>11.27795186</v>
          </cell>
          <cell r="E15">
            <v>-72.218914459999993</v>
          </cell>
        </row>
        <row r="16">
          <cell r="A16" t="str">
            <v>T111V</v>
          </cell>
          <cell r="B16">
            <v>5084856.5971999997</v>
          </cell>
          <cell r="C16">
            <v>2804199.2303999998</v>
          </cell>
          <cell r="D16">
            <v>11.2763502</v>
          </cell>
          <cell r="E16">
            <v>-72.222214539999996</v>
          </cell>
        </row>
        <row r="17">
          <cell r="A17" t="str">
            <v>T112V</v>
          </cell>
          <cell r="B17">
            <v>5084549.3994000005</v>
          </cell>
          <cell r="C17">
            <v>2804047.1634</v>
          </cell>
          <cell r="D17">
            <v>11.27498187</v>
          </cell>
          <cell r="E17">
            <v>-72.225033780000004</v>
          </cell>
        </row>
        <row r="18">
          <cell r="A18" t="str">
            <v>T113V</v>
          </cell>
          <cell r="B18">
            <v>5084493.2702000001</v>
          </cell>
          <cell r="C18">
            <v>2803670.3473</v>
          </cell>
          <cell r="D18">
            <v>11.271574299999999</v>
          </cell>
          <cell r="E18">
            <v>-72.225557350000003</v>
          </cell>
        </row>
        <row r="19">
          <cell r="A19" t="str">
            <v>T114V</v>
          </cell>
          <cell r="B19">
            <v>5084430.1207999997</v>
          </cell>
          <cell r="C19">
            <v>2803246.4131</v>
          </cell>
          <cell r="D19">
            <v>11.26774063</v>
          </cell>
          <cell r="E19">
            <v>-72.226146380000003</v>
          </cell>
        </row>
        <row r="20">
          <cell r="A20" t="str">
            <v>T115AV</v>
          </cell>
          <cell r="B20">
            <v>5084320.0129000004</v>
          </cell>
          <cell r="C20">
            <v>2802507.2474000002</v>
          </cell>
          <cell r="D20">
            <v>11.261056290000001</v>
          </cell>
          <cell r="E20">
            <v>-72.227173370000003</v>
          </cell>
        </row>
        <row r="21">
          <cell r="A21" t="str">
            <v>T115BV</v>
          </cell>
          <cell r="B21">
            <v>5084253.0338000003</v>
          </cell>
          <cell r="C21">
            <v>2802057.6217</v>
          </cell>
          <cell r="D21">
            <v>11.25699028</v>
          </cell>
          <cell r="E21">
            <v>-72.227798070000006</v>
          </cell>
        </row>
        <row r="22">
          <cell r="A22" t="str">
            <v>T115V</v>
          </cell>
          <cell r="B22">
            <v>5084377.5702</v>
          </cell>
          <cell r="C22">
            <v>2802893.6296999999</v>
          </cell>
          <cell r="D22">
            <v>11.264550379999999</v>
          </cell>
          <cell r="E22">
            <v>-72.226636529999993</v>
          </cell>
        </row>
        <row r="23">
          <cell r="A23" t="str">
            <v>T116</v>
          </cell>
          <cell r="B23">
            <v>5084187.1486999998</v>
          </cell>
          <cell r="C23">
            <v>2801615.3409000002</v>
          </cell>
          <cell r="D23">
            <v>11.252990690000001</v>
          </cell>
          <cell r="E23">
            <v>-72.228412539999994</v>
          </cell>
        </row>
        <row r="24">
          <cell r="A24" t="str">
            <v>T117</v>
          </cell>
          <cell r="B24">
            <v>5083962.0842000004</v>
          </cell>
          <cell r="C24">
            <v>2801156.9597999998</v>
          </cell>
          <cell r="D24">
            <v>11.24884922</v>
          </cell>
          <cell r="E24">
            <v>-72.230486159999998</v>
          </cell>
        </row>
        <row r="25">
          <cell r="A25" t="str">
            <v>T118</v>
          </cell>
          <cell r="B25">
            <v>5083753.9510000004</v>
          </cell>
          <cell r="C25">
            <v>2800733.0619999999</v>
          </cell>
          <cell r="D25">
            <v>11.245019279999999</v>
          </cell>
          <cell r="E25">
            <v>-72.232403739999995</v>
          </cell>
        </row>
        <row r="26">
          <cell r="A26" t="str">
            <v>T119N</v>
          </cell>
          <cell r="B26">
            <v>5083524.9775999999</v>
          </cell>
          <cell r="C26">
            <v>2800266.7245</v>
          </cell>
          <cell r="D26">
            <v>11.240805890000001</v>
          </cell>
          <cell r="E26">
            <v>-72.23451326</v>
          </cell>
        </row>
        <row r="27">
          <cell r="A27" t="str">
            <v>T12</v>
          </cell>
          <cell r="B27">
            <v>5107022.7359999996</v>
          </cell>
          <cell r="C27">
            <v>2837166.3579000002</v>
          </cell>
          <cell r="D27">
            <v>11.57397012</v>
          </cell>
          <cell r="E27">
            <v>-72.018035130000001</v>
          </cell>
        </row>
        <row r="28">
          <cell r="A28" t="str">
            <v>T120</v>
          </cell>
          <cell r="B28">
            <v>5083349.6650999999</v>
          </cell>
          <cell r="C28">
            <v>2799909.6768999998</v>
          </cell>
          <cell r="D28">
            <v>11.23757992</v>
          </cell>
          <cell r="E28">
            <v>-72.236128359999995</v>
          </cell>
        </row>
        <row r="29">
          <cell r="A29" t="str">
            <v>T121</v>
          </cell>
          <cell r="B29">
            <v>5083249.9512</v>
          </cell>
          <cell r="C29">
            <v>2799706.5973</v>
          </cell>
          <cell r="D29">
            <v>11.23574507</v>
          </cell>
          <cell r="E29">
            <v>-72.237046980000002</v>
          </cell>
        </row>
        <row r="30">
          <cell r="A30" t="str">
            <v>T122</v>
          </cell>
          <cell r="B30">
            <v>5083050.5779999997</v>
          </cell>
          <cell r="C30">
            <v>2799300.5480999998</v>
          </cell>
          <cell r="D30">
            <v>11.232076340000001</v>
          </cell>
          <cell r="E30">
            <v>-72.238883670000007</v>
          </cell>
        </row>
        <row r="31">
          <cell r="A31" t="str">
            <v>T123</v>
          </cell>
          <cell r="B31">
            <v>5082905.4106999999</v>
          </cell>
          <cell r="C31">
            <v>2799004.8985000001</v>
          </cell>
          <cell r="D31">
            <v>11.22940509</v>
          </cell>
          <cell r="E31">
            <v>-72.240220969999996</v>
          </cell>
        </row>
        <row r="32">
          <cell r="A32" t="str">
            <v>T124</v>
          </cell>
          <cell r="B32">
            <v>5082731.9137000004</v>
          </cell>
          <cell r="C32">
            <v>2798651.5558000002</v>
          </cell>
          <cell r="D32">
            <v>11.22621256</v>
          </cell>
          <cell r="E32">
            <v>-72.241819219999996</v>
          </cell>
        </row>
        <row r="33">
          <cell r="A33" t="str">
            <v>T125</v>
          </cell>
          <cell r="B33">
            <v>5082551.5152000003</v>
          </cell>
          <cell r="C33">
            <v>2798284.1562000001</v>
          </cell>
          <cell r="D33">
            <v>11.222892999999999</v>
          </cell>
          <cell r="E33">
            <v>-72.243481000000003</v>
          </cell>
        </row>
        <row r="34">
          <cell r="A34" t="str">
            <v>T126</v>
          </cell>
          <cell r="B34">
            <v>5082286.1518999999</v>
          </cell>
          <cell r="C34">
            <v>2797999.7634999999</v>
          </cell>
          <cell r="D34">
            <v>11.220326350000001</v>
          </cell>
          <cell r="E34">
            <v>-72.245919369999996</v>
          </cell>
        </row>
        <row r="35">
          <cell r="A35" t="str">
            <v>T127</v>
          </cell>
          <cell r="B35">
            <v>5081980.7965000002</v>
          </cell>
          <cell r="C35">
            <v>2797672.5118999998</v>
          </cell>
          <cell r="D35">
            <v>11.217372859999999</v>
          </cell>
          <cell r="E35">
            <v>-72.24872517</v>
          </cell>
        </row>
        <row r="36">
          <cell r="A36" t="str">
            <v>T128</v>
          </cell>
          <cell r="B36">
            <v>5081611.3712999998</v>
          </cell>
          <cell r="C36">
            <v>2797276.5976</v>
          </cell>
          <cell r="D36">
            <v>11.21379964</v>
          </cell>
          <cell r="E36">
            <v>-72.2521196</v>
          </cell>
        </row>
        <row r="37">
          <cell r="A37" t="str">
            <v>T129</v>
          </cell>
          <cell r="B37">
            <v>5081345.4572000001</v>
          </cell>
          <cell r="C37">
            <v>2796991.6176999998</v>
          </cell>
          <cell r="D37">
            <v>11.211227600000001</v>
          </cell>
          <cell r="E37">
            <v>-72.254562879999995</v>
          </cell>
        </row>
        <row r="38">
          <cell r="A38" t="str">
            <v>T13</v>
          </cell>
          <cell r="B38">
            <v>5106568.9208000004</v>
          </cell>
          <cell r="C38">
            <v>2836987.7204</v>
          </cell>
          <cell r="D38">
            <v>11.57236827</v>
          </cell>
          <cell r="E38">
            <v>-72.022204209999998</v>
          </cell>
        </row>
        <row r="39">
          <cell r="A39" t="str">
            <v>T130</v>
          </cell>
          <cell r="B39">
            <v>5081094.6843999997</v>
          </cell>
          <cell r="C39">
            <v>2796722.8657</v>
          </cell>
          <cell r="D39">
            <v>11.208802</v>
          </cell>
          <cell r="E39">
            <v>-72.256867</v>
          </cell>
        </row>
        <row r="40">
          <cell r="A40" t="str">
            <v>T131</v>
          </cell>
          <cell r="B40">
            <v>5080770.9197000004</v>
          </cell>
          <cell r="C40">
            <v>2796342.2513000001</v>
          </cell>
          <cell r="D40">
            <v>11.20536605</v>
          </cell>
          <cell r="E40">
            <v>-72.259842489999997</v>
          </cell>
        </row>
        <row r="41">
          <cell r="A41" t="str">
            <v>T132</v>
          </cell>
          <cell r="B41">
            <v>5080475.8508000001</v>
          </cell>
          <cell r="C41">
            <v>2795995.3727000002</v>
          </cell>
          <cell r="D41">
            <v>11.20223461</v>
          </cell>
          <cell r="E41">
            <v>-72.262554199999997</v>
          </cell>
        </row>
        <row r="42">
          <cell r="A42" t="str">
            <v>T133</v>
          </cell>
          <cell r="B42">
            <v>5080132.6742000002</v>
          </cell>
          <cell r="C42">
            <v>2795591.9408</v>
          </cell>
          <cell r="D42">
            <v>11.19859261</v>
          </cell>
          <cell r="E42">
            <v>-72.265707939999999</v>
          </cell>
        </row>
        <row r="43">
          <cell r="A43" t="str">
            <v>T134</v>
          </cell>
          <cell r="B43">
            <v>5079851.9369999999</v>
          </cell>
          <cell r="C43">
            <v>2795261.9127000002</v>
          </cell>
          <cell r="D43">
            <v>11.195613229999999</v>
          </cell>
          <cell r="E43">
            <v>-72.268287819999998</v>
          </cell>
        </row>
        <row r="44">
          <cell r="A44" t="str">
            <v>T135N</v>
          </cell>
          <cell r="B44">
            <v>5079491.9680000003</v>
          </cell>
          <cell r="C44">
            <v>2794838.7448999998</v>
          </cell>
          <cell r="D44">
            <v>11.19179299</v>
          </cell>
          <cell r="E44">
            <v>-72.271595730000001</v>
          </cell>
        </row>
        <row r="45">
          <cell r="A45" t="str">
            <v>T136</v>
          </cell>
          <cell r="B45">
            <v>5079207.0948999999</v>
          </cell>
          <cell r="C45">
            <v>2794503.8565000002</v>
          </cell>
          <cell r="D45">
            <v>11.188769669999999</v>
          </cell>
          <cell r="E45">
            <v>-72.274213489999994</v>
          </cell>
        </row>
        <row r="46">
          <cell r="A46" t="str">
            <v>T137N</v>
          </cell>
          <cell r="B46">
            <v>5078881.1051000003</v>
          </cell>
          <cell r="C46">
            <v>2794120.6354</v>
          </cell>
          <cell r="D46">
            <v>11.18530999</v>
          </cell>
          <cell r="E46">
            <v>-72.277209010000007</v>
          </cell>
        </row>
        <row r="47">
          <cell r="A47" t="str">
            <v>T138</v>
          </cell>
          <cell r="B47">
            <v>5078704.1513</v>
          </cell>
          <cell r="C47">
            <v>2793912.6159999999</v>
          </cell>
          <cell r="D47">
            <v>11.183431990000001</v>
          </cell>
          <cell r="E47">
            <v>-72.278835009999995</v>
          </cell>
        </row>
        <row r="48">
          <cell r="A48" t="str">
            <v>T14</v>
          </cell>
          <cell r="B48">
            <v>5106107.8433999997</v>
          </cell>
          <cell r="C48">
            <v>2836806.2241000002</v>
          </cell>
          <cell r="D48">
            <v>11.570740710000001</v>
          </cell>
          <cell r="E48">
            <v>-72.026439949999997</v>
          </cell>
        </row>
        <row r="49">
          <cell r="A49" t="str">
            <v>T15</v>
          </cell>
          <cell r="B49">
            <v>5105668.9938000003</v>
          </cell>
          <cell r="C49">
            <v>2836633.4775999999</v>
          </cell>
          <cell r="D49">
            <v>11.569191549999999</v>
          </cell>
          <cell r="E49">
            <v>-72.030471460000001</v>
          </cell>
        </row>
        <row r="50">
          <cell r="A50" t="str">
            <v>T16</v>
          </cell>
          <cell r="B50">
            <v>5105223.6363000004</v>
          </cell>
          <cell r="C50">
            <v>2836458.1710000001</v>
          </cell>
          <cell r="D50">
            <v>11.567619369999999</v>
          </cell>
          <cell r="E50">
            <v>-72.034562710000003</v>
          </cell>
        </row>
        <row r="51">
          <cell r="A51" t="str">
            <v>T17</v>
          </cell>
          <cell r="B51">
            <v>5104816.7687999997</v>
          </cell>
          <cell r="C51">
            <v>2836298.0145</v>
          </cell>
          <cell r="D51">
            <v>11.56618301</v>
          </cell>
          <cell r="E51">
            <v>-72.038300340000006</v>
          </cell>
        </row>
        <row r="52">
          <cell r="A52" t="str">
            <v>T18</v>
          </cell>
          <cell r="B52">
            <v>5104392.4288999997</v>
          </cell>
          <cell r="C52">
            <v>2836130.9815000002</v>
          </cell>
          <cell r="D52">
            <v>11.564684919999999</v>
          </cell>
          <cell r="E52">
            <v>-72.042198429999999</v>
          </cell>
        </row>
        <row r="53">
          <cell r="A53" t="str">
            <v>T19</v>
          </cell>
          <cell r="B53">
            <v>5104026.1037999997</v>
          </cell>
          <cell r="C53">
            <v>2835986.7848999999</v>
          </cell>
          <cell r="D53">
            <v>11.563391599999999</v>
          </cell>
          <cell r="E53">
            <v>-72.045563560000005</v>
          </cell>
        </row>
        <row r="54">
          <cell r="A54" t="str">
            <v>T20N</v>
          </cell>
          <cell r="B54">
            <v>5103617.01</v>
          </cell>
          <cell r="C54">
            <v>2835825.7541999999</v>
          </cell>
          <cell r="D54">
            <v>11.561947249999999</v>
          </cell>
          <cell r="E54">
            <v>-72.049321539999994</v>
          </cell>
        </row>
        <row r="55">
          <cell r="A55" t="str">
            <v>T21N</v>
          </cell>
          <cell r="B55">
            <v>5103356.6789999995</v>
          </cell>
          <cell r="C55">
            <v>2835723.2804</v>
          </cell>
          <cell r="D55">
            <v>11.561028090000001</v>
          </cell>
          <cell r="E55">
            <v>-72.051712949999995</v>
          </cell>
        </row>
        <row r="56">
          <cell r="A56" t="str">
            <v>T22</v>
          </cell>
          <cell r="B56">
            <v>5102904.3520999998</v>
          </cell>
          <cell r="C56">
            <v>2835545.2322</v>
          </cell>
          <cell r="D56">
            <v>11.559431</v>
          </cell>
          <cell r="E56">
            <v>-72.055868000000004</v>
          </cell>
        </row>
        <row r="57">
          <cell r="A57" t="str">
            <v>T23</v>
          </cell>
          <cell r="B57">
            <v>5102549.9583000001</v>
          </cell>
          <cell r="C57">
            <v>2835352.0896999999</v>
          </cell>
          <cell r="D57">
            <v>11.55769439</v>
          </cell>
          <cell r="E57">
            <v>-72.059125039999998</v>
          </cell>
        </row>
        <row r="58">
          <cell r="A58" t="str">
            <v>T24N</v>
          </cell>
          <cell r="B58">
            <v>5102155.5323999999</v>
          </cell>
          <cell r="C58">
            <v>2835137.1299000001</v>
          </cell>
          <cell r="D58">
            <v>11.555761560000001</v>
          </cell>
          <cell r="E58">
            <v>-72.062749940000003</v>
          </cell>
        </row>
        <row r="59">
          <cell r="A59" t="str">
            <v>T25</v>
          </cell>
          <cell r="B59">
            <v>5101739.3172000004</v>
          </cell>
          <cell r="C59">
            <v>2834910.2958</v>
          </cell>
          <cell r="D59">
            <v>11.553721919999999</v>
          </cell>
          <cell r="E59">
            <v>-72.066575040000004</v>
          </cell>
        </row>
        <row r="60">
          <cell r="A60" t="str">
            <v>T26N</v>
          </cell>
          <cell r="B60">
            <v>5101450.4376999997</v>
          </cell>
          <cell r="C60">
            <v>2834752.8599</v>
          </cell>
          <cell r="D60">
            <v>11.552306250000001</v>
          </cell>
          <cell r="E60">
            <v>-72.069229870000001</v>
          </cell>
        </row>
        <row r="61">
          <cell r="A61" t="str">
            <v>T27</v>
          </cell>
          <cell r="B61">
            <v>5100918.9082000004</v>
          </cell>
          <cell r="C61">
            <v>2834463.1812</v>
          </cell>
          <cell r="D61">
            <v>11.549701389999999</v>
          </cell>
          <cell r="E61">
            <v>-72.074114609999995</v>
          </cell>
        </row>
        <row r="62">
          <cell r="A62" t="str">
            <v>T28N</v>
          </cell>
          <cell r="B62">
            <v>5100421.0136000002</v>
          </cell>
          <cell r="C62">
            <v>2834191.8355</v>
          </cell>
          <cell r="D62">
            <v>11.54726131</v>
          </cell>
          <cell r="E62">
            <v>-72.078690170000002</v>
          </cell>
        </row>
        <row r="63">
          <cell r="A63" t="str">
            <v>T29N</v>
          </cell>
          <cell r="B63">
            <v>5100047.2644999996</v>
          </cell>
          <cell r="C63">
            <v>2833988.1474000001</v>
          </cell>
          <cell r="D63">
            <v>11.54542958</v>
          </cell>
          <cell r="E63">
            <v>-72.082124800000003</v>
          </cell>
        </row>
        <row r="64">
          <cell r="A64" t="str">
            <v>T2N</v>
          </cell>
          <cell r="B64">
            <v>5107351.6246999996</v>
          </cell>
          <cell r="C64">
            <v>2840267.4282999998</v>
          </cell>
          <cell r="D64">
            <v>11.602011920000001</v>
          </cell>
          <cell r="E64">
            <v>-72.01491953</v>
          </cell>
        </row>
        <row r="65">
          <cell r="A65" t="str">
            <v>T3</v>
          </cell>
          <cell r="B65">
            <v>5107730.9263000004</v>
          </cell>
          <cell r="C65">
            <v>2840100.6732000001</v>
          </cell>
          <cell r="D65">
            <v>11.600491590000001</v>
          </cell>
          <cell r="E65">
            <v>-72.011444650000001</v>
          </cell>
        </row>
        <row r="66">
          <cell r="A66" t="str">
            <v>T30N</v>
          </cell>
          <cell r="B66">
            <v>5099756.3886000002</v>
          </cell>
          <cell r="C66">
            <v>2833829.6247</v>
          </cell>
          <cell r="D66">
            <v>11.54400399</v>
          </cell>
          <cell r="E66">
            <v>-72.084797829999999</v>
          </cell>
        </row>
        <row r="67">
          <cell r="A67" t="str">
            <v>T31</v>
          </cell>
          <cell r="B67">
            <v>5099342.2011000002</v>
          </cell>
          <cell r="C67">
            <v>2833603.8988999999</v>
          </cell>
          <cell r="D67">
            <v>11.541974</v>
          </cell>
          <cell r="E67">
            <v>-72.088604000000004</v>
          </cell>
        </row>
        <row r="68">
          <cell r="A68" t="str">
            <v>T32</v>
          </cell>
          <cell r="B68">
            <v>5099143.4013999999</v>
          </cell>
          <cell r="C68">
            <v>2833146.8300999999</v>
          </cell>
          <cell r="D68">
            <v>11.537845000000001</v>
          </cell>
          <cell r="E68">
            <v>-72.090440999999998</v>
          </cell>
        </row>
        <row r="69">
          <cell r="A69" t="str">
            <v>T33N</v>
          </cell>
          <cell r="B69">
            <v>5098636.2861000001</v>
          </cell>
          <cell r="C69">
            <v>2832877.2648999998</v>
          </cell>
          <cell r="D69">
            <v>11.535420999999999</v>
          </cell>
          <cell r="E69">
            <v>-72.095100770000002</v>
          </cell>
        </row>
        <row r="70">
          <cell r="A70" t="str">
            <v>T34</v>
          </cell>
          <cell r="B70">
            <v>5098295.0798000004</v>
          </cell>
          <cell r="C70">
            <v>2832695.8916000002</v>
          </cell>
          <cell r="D70">
            <v>11.53379</v>
          </cell>
          <cell r="E70">
            <v>-72.098236</v>
          </cell>
        </row>
        <row r="71">
          <cell r="A71" t="str">
            <v>T35N</v>
          </cell>
          <cell r="B71">
            <v>5097941.5621999996</v>
          </cell>
          <cell r="C71">
            <v>2832444.767</v>
          </cell>
          <cell r="D71">
            <v>11.53152832</v>
          </cell>
          <cell r="E71">
            <v>-72.101486129999998</v>
          </cell>
        </row>
        <row r="72">
          <cell r="A72" t="str">
            <v>T36</v>
          </cell>
          <cell r="B72">
            <v>5097579.0821000002</v>
          </cell>
          <cell r="C72">
            <v>2832187.2763999999</v>
          </cell>
          <cell r="D72">
            <v>11.52920928</v>
          </cell>
          <cell r="E72">
            <v>-72.104818609999995</v>
          </cell>
        </row>
        <row r="73">
          <cell r="A73" t="str">
            <v>T37</v>
          </cell>
          <cell r="B73">
            <v>5097173.6880000001</v>
          </cell>
          <cell r="C73">
            <v>2831899.3026000001</v>
          </cell>
          <cell r="D73">
            <v>11.526615639999999</v>
          </cell>
          <cell r="E73">
            <v>-72.108545559999996</v>
          </cell>
        </row>
        <row r="74">
          <cell r="A74" t="str">
            <v>T38</v>
          </cell>
          <cell r="B74">
            <v>5096802.9546999997</v>
          </cell>
          <cell r="C74">
            <v>2831635.9504999998</v>
          </cell>
          <cell r="D74">
            <v>11.5242437</v>
          </cell>
          <cell r="E74">
            <v>-72.111953799999995</v>
          </cell>
        </row>
        <row r="75">
          <cell r="A75" t="str">
            <v>T39</v>
          </cell>
          <cell r="B75">
            <v>5096783.4352000002</v>
          </cell>
          <cell r="C75">
            <v>2831282.6020999998</v>
          </cell>
          <cell r="D75">
            <v>11.52104778</v>
          </cell>
          <cell r="E75">
            <v>-72.112142879999993</v>
          </cell>
        </row>
        <row r="76">
          <cell r="A76" t="str">
            <v>T4</v>
          </cell>
          <cell r="B76">
            <v>5108056.3926999997</v>
          </cell>
          <cell r="C76">
            <v>2839957.5860000001</v>
          </cell>
          <cell r="D76">
            <v>11.599187000000001</v>
          </cell>
          <cell r="E76">
            <v>-72.008463000000006</v>
          </cell>
        </row>
        <row r="77">
          <cell r="A77" t="str">
            <v>T40</v>
          </cell>
          <cell r="B77">
            <v>5096758.6343999999</v>
          </cell>
          <cell r="C77">
            <v>2830833.6658000001</v>
          </cell>
          <cell r="D77">
            <v>11.5169873</v>
          </cell>
          <cell r="E77">
            <v>-72.112383120000004</v>
          </cell>
        </row>
        <row r="78">
          <cell r="A78" t="str">
            <v>T41</v>
          </cell>
          <cell r="B78">
            <v>5096731.6288999999</v>
          </cell>
          <cell r="C78">
            <v>2830344.8235999998</v>
          </cell>
          <cell r="D78">
            <v>11.51256588</v>
          </cell>
          <cell r="E78">
            <v>-72.112644700000004</v>
          </cell>
        </row>
        <row r="79">
          <cell r="A79" t="str">
            <v>T42N</v>
          </cell>
          <cell r="B79">
            <v>5096711.7319</v>
          </cell>
          <cell r="C79">
            <v>2829984.6765999999</v>
          </cell>
          <cell r="D79">
            <v>11.509308470000001</v>
          </cell>
          <cell r="E79">
            <v>-72.112837409999997</v>
          </cell>
        </row>
        <row r="80">
          <cell r="A80" t="str">
            <v>T43</v>
          </cell>
          <cell r="B80">
            <v>5096683.0691</v>
          </cell>
          <cell r="C80">
            <v>2829465.9060999998</v>
          </cell>
          <cell r="D80">
            <v>11.504616349999999</v>
          </cell>
          <cell r="E80">
            <v>-72.113115019999995</v>
          </cell>
        </row>
        <row r="81">
          <cell r="A81" t="str">
            <v>T44N</v>
          </cell>
          <cell r="B81">
            <v>5096658.9263000004</v>
          </cell>
          <cell r="C81">
            <v>2829028.9408999998</v>
          </cell>
          <cell r="D81">
            <v>11.50066414</v>
          </cell>
          <cell r="E81">
            <v>-72.113348830000007</v>
          </cell>
        </row>
        <row r="82">
          <cell r="A82" t="str">
            <v>T45N</v>
          </cell>
          <cell r="B82">
            <v>5096630.9232999999</v>
          </cell>
          <cell r="C82">
            <v>2828522.1422999999</v>
          </cell>
          <cell r="D82">
            <v>11.496080299999999</v>
          </cell>
          <cell r="E82">
            <v>-72.113620019999999</v>
          </cell>
        </row>
        <row r="83">
          <cell r="A83" t="str">
            <v>T46</v>
          </cell>
          <cell r="B83">
            <v>5096607.4397999998</v>
          </cell>
          <cell r="C83">
            <v>2828097.1490000002</v>
          </cell>
          <cell r="D83">
            <v>11.492236370000001</v>
          </cell>
          <cell r="E83">
            <v>-72.113847430000007</v>
          </cell>
        </row>
        <row r="84">
          <cell r="A84" t="str">
            <v>T47</v>
          </cell>
          <cell r="B84">
            <v>5096589.2580000004</v>
          </cell>
          <cell r="C84">
            <v>2827768.1214000001</v>
          </cell>
          <cell r="D84">
            <v>11.48926041</v>
          </cell>
          <cell r="E84">
            <v>-72.114023489999994</v>
          </cell>
        </row>
        <row r="85">
          <cell r="A85" t="str">
            <v>T48</v>
          </cell>
          <cell r="B85">
            <v>5096568.2971999999</v>
          </cell>
          <cell r="C85">
            <v>2827388.8286000001</v>
          </cell>
          <cell r="D85">
            <v>11.485829819999999</v>
          </cell>
          <cell r="E85">
            <v>-72.114226450000004</v>
          </cell>
        </row>
        <row r="86">
          <cell r="A86" t="str">
            <v>T49</v>
          </cell>
          <cell r="B86">
            <v>5096543.9839000003</v>
          </cell>
          <cell r="C86">
            <v>2826948.8713000002</v>
          </cell>
          <cell r="D86">
            <v>11.481850530000001</v>
          </cell>
          <cell r="E86">
            <v>-72.114461860000006</v>
          </cell>
        </row>
        <row r="87">
          <cell r="A87" t="str">
            <v>T5</v>
          </cell>
          <cell r="B87">
            <v>5108135.1651999997</v>
          </cell>
          <cell r="C87">
            <v>2839681.1370999999</v>
          </cell>
          <cell r="D87">
            <v>11.59668379</v>
          </cell>
          <cell r="E87">
            <v>-72.007749079999996</v>
          </cell>
        </row>
        <row r="88">
          <cell r="A88" t="str">
            <v>T50</v>
          </cell>
          <cell r="B88">
            <v>5096516.9578</v>
          </cell>
          <cell r="C88">
            <v>2826459.8453000002</v>
          </cell>
          <cell r="D88">
            <v>11.477427430000001</v>
          </cell>
          <cell r="E88">
            <v>-72.114723530000006</v>
          </cell>
        </row>
        <row r="89">
          <cell r="A89" t="str">
            <v>T51</v>
          </cell>
          <cell r="B89">
            <v>5096491.0537999999</v>
          </cell>
          <cell r="C89">
            <v>2825991.1422000001</v>
          </cell>
          <cell r="D89">
            <v>11.47318815</v>
          </cell>
          <cell r="E89">
            <v>-72.114974320000002</v>
          </cell>
        </row>
        <row r="90">
          <cell r="A90" t="str">
            <v>T52</v>
          </cell>
          <cell r="B90">
            <v>5096464.6385000004</v>
          </cell>
          <cell r="C90">
            <v>2825513.2234999998</v>
          </cell>
          <cell r="D90">
            <v>11.468865510000001</v>
          </cell>
          <cell r="E90">
            <v>-72.11523004</v>
          </cell>
        </row>
        <row r="91">
          <cell r="A91" t="str">
            <v>T53</v>
          </cell>
          <cell r="B91">
            <v>5096429.3134000003</v>
          </cell>
          <cell r="C91">
            <v>2824874.1208000001</v>
          </cell>
          <cell r="D91">
            <v>11.463085</v>
          </cell>
          <cell r="E91">
            <v>-72.115572</v>
          </cell>
        </row>
        <row r="92">
          <cell r="A92" t="str">
            <v>T54</v>
          </cell>
          <cell r="B92">
            <v>5096404.9806000004</v>
          </cell>
          <cell r="C92">
            <v>2824371.0410000002</v>
          </cell>
          <cell r="D92">
            <v>11.45853468</v>
          </cell>
          <cell r="E92">
            <v>-72.115809310000003</v>
          </cell>
        </row>
        <row r="93">
          <cell r="A93" t="str">
            <v>T55</v>
          </cell>
          <cell r="B93">
            <v>5096382.0657000002</v>
          </cell>
          <cell r="C93">
            <v>2823897.2866000002</v>
          </cell>
          <cell r="D93">
            <v>11.45424961</v>
          </cell>
          <cell r="E93">
            <v>-72.116032770000004</v>
          </cell>
        </row>
        <row r="94">
          <cell r="A94" t="str">
            <v>T56</v>
          </cell>
          <cell r="B94">
            <v>5096361.3064000001</v>
          </cell>
          <cell r="C94">
            <v>2823468.1461</v>
          </cell>
          <cell r="D94">
            <v>11.450368060000001</v>
          </cell>
          <cell r="E94">
            <v>-72.116235200000006</v>
          </cell>
        </row>
        <row r="95">
          <cell r="A95" t="str">
            <v>T57</v>
          </cell>
          <cell r="B95">
            <v>5096341.2945999997</v>
          </cell>
          <cell r="C95">
            <v>2823054.4569000001</v>
          </cell>
          <cell r="D95">
            <v>11.446626269999999</v>
          </cell>
          <cell r="E95">
            <v>-72.116430339999994</v>
          </cell>
        </row>
        <row r="96">
          <cell r="A96" t="str">
            <v>T58</v>
          </cell>
          <cell r="B96">
            <v>5096321.9853999997</v>
          </cell>
          <cell r="C96">
            <v>2822655.3144999999</v>
          </cell>
          <cell r="D96">
            <v>11.44301606</v>
          </cell>
          <cell r="E96">
            <v>-72.116618610000003</v>
          </cell>
        </row>
        <row r="97">
          <cell r="A97" t="str">
            <v>T59</v>
          </cell>
          <cell r="B97">
            <v>5096308.9467000002</v>
          </cell>
          <cell r="C97">
            <v>2822385.8043</v>
          </cell>
          <cell r="D97">
            <v>11.440578349999999</v>
          </cell>
          <cell r="E97">
            <v>-72.116745739999999</v>
          </cell>
        </row>
        <row r="98">
          <cell r="A98" t="str">
            <v>T6</v>
          </cell>
          <cell r="B98">
            <v>5108239.0040999996</v>
          </cell>
          <cell r="C98">
            <v>2839316.7149999999</v>
          </cell>
          <cell r="D98">
            <v>11.593384</v>
          </cell>
          <cell r="E98">
            <v>-72.006808000000007</v>
          </cell>
        </row>
        <row r="99">
          <cell r="A99" t="str">
            <v>T60N</v>
          </cell>
          <cell r="B99">
            <v>5096282.9552999996</v>
          </cell>
          <cell r="C99">
            <v>2821848.5643000002</v>
          </cell>
          <cell r="D99">
            <v>11.435719049999999</v>
          </cell>
          <cell r="E99">
            <v>-72.116999140000004</v>
          </cell>
        </row>
        <row r="100">
          <cell r="A100" t="str">
            <v>T62</v>
          </cell>
          <cell r="B100">
            <v>5096254.8196999999</v>
          </cell>
          <cell r="C100">
            <v>2821267.0595</v>
          </cell>
          <cell r="D100">
            <v>11.430459369999999</v>
          </cell>
          <cell r="E100">
            <v>-72.117273440000005</v>
          </cell>
        </row>
        <row r="101">
          <cell r="A101" t="str">
            <v>T63</v>
          </cell>
          <cell r="B101">
            <v>5096236.9528000001</v>
          </cell>
          <cell r="C101">
            <v>2820897.8034999999</v>
          </cell>
          <cell r="D101">
            <v>11.427119469999999</v>
          </cell>
          <cell r="E101">
            <v>-72.117447609999999</v>
          </cell>
        </row>
        <row r="102">
          <cell r="A102" t="str">
            <v>T64</v>
          </cell>
          <cell r="B102">
            <v>5096214.5388000002</v>
          </cell>
          <cell r="C102">
            <v>2820434.5987</v>
          </cell>
          <cell r="D102">
            <v>11.4229298</v>
          </cell>
          <cell r="E102">
            <v>-72.117666099999994</v>
          </cell>
        </row>
        <row r="103">
          <cell r="A103" t="str">
            <v>T65</v>
          </cell>
          <cell r="B103">
            <v>5096011.2297</v>
          </cell>
          <cell r="C103">
            <v>2820049.7516000001</v>
          </cell>
          <cell r="D103">
            <v>11.41945396</v>
          </cell>
          <cell r="E103">
            <v>-72.119541130000002</v>
          </cell>
        </row>
        <row r="104">
          <cell r="A104" t="str">
            <v>T66</v>
          </cell>
          <cell r="B104">
            <v>5095803.7401000001</v>
          </cell>
          <cell r="C104">
            <v>2819656.9931000001</v>
          </cell>
          <cell r="D104">
            <v>11.41590665</v>
          </cell>
          <cell r="E104">
            <v>-72.121454670000006</v>
          </cell>
        </row>
        <row r="105">
          <cell r="A105" t="str">
            <v>T67</v>
          </cell>
          <cell r="B105">
            <v>5095593.0132999998</v>
          </cell>
          <cell r="C105">
            <v>2819258.1090000002</v>
          </cell>
          <cell r="D105">
            <v>11.412304000000001</v>
          </cell>
          <cell r="E105">
            <v>-72.123397999999995</v>
          </cell>
        </row>
        <row r="106">
          <cell r="A106" t="str">
            <v>T68</v>
          </cell>
          <cell r="B106">
            <v>5095416.1014999999</v>
          </cell>
          <cell r="C106">
            <v>2818867.5805000002</v>
          </cell>
          <cell r="D106">
            <v>11.408776</v>
          </cell>
          <cell r="E106">
            <v>-72.125031000000007</v>
          </cell>
        </row>
        <row r="107">
          <cell r="A107" t="str">
            <v>T69</v>
          </cell>
          <cell r="B107">
            <v>5095081.1939000003</v>
          </cell>
          <cell r="C107">
            <v>2818572.9709000001</v>
          </cell>
          <cell r="D107">
            <v>11.40612</v>
          </cell>
          <cell r="E107">
            <v>-72.128110000000007</v>
          </cell>
        </row>
        <row r="108">
          <cell r="A108" t="str">
            <v>T7</v>
          </cell>
          <cell r="B108">
            <v>5108048.6529999999</v>
          </cell>
          <cell r="C108">
            <v>2838872.1124999998</v>
          </cell>
          <cell r="D108">
            <v>11.589368159999999</v>
          </cell>
          <cell r="E108">
            <v>-72.008568650000001</v>
          </cell>
        </row>
        <row r="109">
          <cell r="A109" t="str">
            <v>T70N</v>
          </cell>
          <cell r="B109">
            <v>5094873.7555</v>
          </cell>
          <cell r="C109">
            <v>2818253.6812</v>
          </cell>
          <cell r="D109">
            <v>11.403237239999999</v>
          </cell>
          <cell r="E109">
            <v>-72.130020830000007</v>
          </cell>
        </row>
        <row r="110">
          <cell r="A110" t="str">
            <v>T71</v>
          </cell>
          <cell r="B110">
            <v>5094645.2435999997</v>
          </cell>
          <cell r="C110">
            <v>2817901.9583000001</v>
          </cell>
          <cell r="D110">
            <v>11.400061640000001</v>
          </cell>
          <cell r="E110">
            <v>-72.13212575</v>
          </cell>
        </row>
        <row r="111">
          <cell r="A111" t="str">
            <v>T72</v>
          </cell>
          <cell r="B111">
            <v>5094455.0124000004</v>
          </cell>
          <cell r="C111">
            <v>2817609.1562000001</v>
          </cell>
          <cell r="D111">
            <v>11.397418</v>
          </cell>
          <cell r="E111">
            <v>-72.133877999999996</v>
          </cell>
        </row>
        <row r="112">
          <cell r="A112" t="str">
            <v>T73</v>
          </cell>
          <cell r="B112">
            <v>5094220.37</v>
          </cell>
          <cell r="C112">
            <v>2817295.4024999999</v>
          </cell>
          <cell r="D112">
            <v>11.394586</v>
          </cell>
          <cell r="E112">
            <v>-72.136037999999999</v>
          </cell>
        </row>
        <row r="113">
          <cell r="A113" t="str">
            <v>T74</v>
          </cell>
          <cell r="B113">
            <v>5094107.0235000001</v>
          </cell>
          <cell r="C113">
            <v>2816865.0575000001</v>
          </cell>
          <cell r="D113">
            <v>11.390696</v>
          </cell>
          <cell r="E113">
            <v>-72.137089000000003</v>
          </cell>
        </row>
        <row r="114">
          <cell r="A114" t="str">
            <v>T75</v>
          </cell>
          <cell r="B114">
            <v>5093768.2643999998</v>
          </cell>
          <cell r="C114">
            <v>2816415.1296999999</v>
          </cell>
          <cell r="D114">
            <v>11.38663489</v>
          </cell>
          <cell r="E114">
            <v>-72.140207219999994</v>
          </cell>
        </row>
        <row r="115">
          <cell r="A115" t="str">
            <v>T76</v>
          </cell>
          <cell r="B115">
            <v>5093620.6090000002</v>
          </cell>
          <cell r="C115">
            <v>2816097.6074000001</v>
          </cell>
          <cell r="D115">
            <v>11.383766420000001</v>
          </cell>
          <cell r="E115">
            <v>-72.141569619999999</v>
          </cell>
        </row>
        <row r="116">
          <cell r="A116" t="str">
            <v>T77</v>
          </cell>
          <cell r="B116">
            <v>5093382.6271000002</v>
          </cell>
          <cell r="C116">
            <v>2815722.1296000001</v>
          </cell>
          <cell r="D116">
            <v>11.38037606</v>
          </cell>
          <cell r="E116">
            <v>-72.143761720000001</v>
          </cell>
        </row>
        <row r="117">
          <cell r="A117" t="str">
            <v>T78</v>
          </cell>
          <cell r="B117">
            <v>5093178.71</v>
          </cell>
          <cell r="C117">
            <v>2815400.3991999999</v>
          </cell>
          <cell r="D117">
            <v>11.377471</v>
          </cell>
          <cell r="E117">
            <v>-72.14564</v>
          </cell>
        </row>
        <row r="118">
          <cell r="A118" t="str">
            <v>T79N</v>
          </cell>
          <cell r="B118">
            <v>5093029.5131000001</v>
          </cell>
          <cell r="C118">
            <v>2815080.1058</v>
          </cell>
          <cell r="D118">
            <v>11.37457747</v>
          </cell>
          <cell r="E118">
            <v>-72.14701651</v>
          </cell>
        </row>
        <row r="119">
          <cell r="A119" t="str">
            <v>T8</v>
          </cell>
          <cell r="B119">
            <v>5107873.0317000002</v>
          </cell>
          <cell r="C119">
            <v>2838461.9191000001</v>
          </cell>
          <cell r="D119">
            <v>11.58566311</v>
          </cell>
          <cell r="E119">
            <v>-72.010193009999995</v>
          </cell>
        </row>
        <row r="120">
          <cell r="A120" t="str">
            <v>T80</v>
          </cell>
          <cell r="B120">
            <v>5092870.2898000004</v>
          </cell>
          <cell r="C120">
            <v>2814738.2884999998</v>
          </cell>
          <cell r="D120">
            <v>11.371489479999999</v>
          </cell>
          <cell r="E120">
            <v>-72.148485500000007</v>
          </cell>
        </row>
        <row r="121">
          <cell r="A121" t="str">
            <v>T81</v>
          </cell>
          <cell r="B121">
            <v>5092694.7477000002</v>
          </cell>
          <cell r="C121">
            <v>2814361.4393000002</v>
          </cell>
          <cell r="D121">
            <v>11.368085000000001</v>
          </cell>
          <cell r="E121">
            <v>-72.150104999999996</v>
          </cell>
        </row>
        <row r="122">
          <cell r="A122" t="str">
            <v>T82</v>
          </cell>
          <cell r="B122">
            <v>5092534.9210000001</v>
          </cell>
          <cell r="C122">
            <v>2814020.2118000002</v>
          </cell>
          <cell r="D122">
            <v>11.36500234</v>
          </cell>
          <cell r="E122">
            <v>-72.151579429999998</v>
          </cell>
        </row>
        <row r="123">
          <cell r="A123" t="str">
            <v>T83</v>
          </cell>
          <cell r="B123">
            <v>5092342.8446000004</v>
          </cell>
          <cell r="C123">
            <v>2813610.1356000002</v>
          </cell>
          <cell r="D123">
            <v>11.361297690000001</v>
          </cell>
          <cell r="E123">
            <v>-72.153351319999999</v>
          </cell>
        </row>
        <row r="124">
          <cell r="A124" t="str">
            <v>T84</v>
          </cell>
          <cell r="B124">
            <v>5092151.4039000003</v>
          </cell>
          <cell r="C124">
            <v>2813201.4172</v>
          </cell>
          <cell r="D124">
            <v>11.35760528</v>
          </cell>
          <cell r="E124">
            <v>-72.155117300000001</v>
          </cell>
        </row>
        <row r="125">
          <cell r="A125" t="str">
            <v>T85</v>
          </cell>
          <cell r="B125">
            <v>5091932.7537000002</v>
          </cell>
          <cell r="C125">
            <v>2812734.6118999999</v>
          </cell>
          <cell r="D125">
            <v>11.3533881</v>
          </cell>
          <cell r="E125">
            <v>-72.157134229999997</v>
          </cell>
        </row>
        <row r="126">
          <cell r="A126" t="str">
            <v>T86</v>
          </cell>
          <cell r="B126">
            <v>5091750.8372</v>
          </cell>
          <cell r="C126">
            <v>2812346.2330999998</v>
          </cell>
          <cell r="D126">
            <v>11.349879420000001</v>
          </cell>
          <cell r="E126">
            <v>-72.158812249999997</v>
          </cell>
        </row>
        <row r="127">
          <cell r="A127" t="str">
            <v>T87</v>
          </cell>
          <cell r="B127">
            <v>5091583.6330000004</v>
          </cell>
          <cell r="C127">
            <v>2811989.2634999999</v>
          </cell>
          <cell r="D127">
            <v>11.34665448</v>
          </cell>
          <cell r="E127">
            <v>-72.160354530000006</v>
          </cell>
        </row>
        <row r="128">
          <cell r="A128" t="str">
            <v>T88</v>
          </cell>
          <cell r="B128">
            <v>5091372.4488000004</v>
          </cell>
          <cell r="C128">
            <v>2811538.4048000001</v>
          </cell>
          <cell r="D128">
            <v>11.342581320000001</v>
          </cell>
          <cell r="E128">
            <v>-72.162302429999997</v>
          </cell>
        </row>
        <row r="129">
          <cell r="A129" t="str">
            <v>T89</v>
          </cell>
          <cell r="B129">
            <v>5091206.8306999998</v>
          </cell>
          <cell r="C129">
            <v>2811184.8273</v>
          </cell>
          <cell r="D129">
            <v>11.339387</v>
          </cell>
          <cell r="E129">
            <v>-72.163830000000004</v>
          </cell>
        </row>
        <row r="130">
          <cell r="A130" t="str">
            <v>T9</v>
          </cell>
          <cell r="B130">
            <v>5107693.7313999999</v>
          </cell>
          <cell r="C130">
            <v>2838043.1342000002</v>
          </cell>
          <cell r="D130">
            <v>11.581880440000001</v>
          </cell>
          <cell r="E130">
            <v>-72.011851340000007</v>
          </cell>
        </row>
        <row r="131">
          <cell r="A131" t="str">
            <v>T90</v>
          </cell>
          <cell r="B131">
            <v>5090959.4166999999</v>
          </cell>
          <cell r="C131">
            <v>2810869.4219</v>
          </cell>
          <cell r="D131">
            <v>11.33654011</v>
          </cell>
          <cell r="E131">
            <v>-72.166106350000007</v>
          </cell>
        </row>
        <row r="132">
          <cell r="A132" t="str">
            <v>T91</v>
          </cell>
          <cell r="B132">
            <v>5090683.1529000001</v>
          </cell>
          <cell r="C132">
            <v>2810517.2401999999</v>
          </cell>
          <cell r="D132">
            <v>11.333361249999999</v>
          </cell>
          <cell r="E132">
            <v>-72.168648099999999</v>
          </cell>
        </row>
        <row r="133">
          <cell r="A133" t="str">
            <v>T92</v>
          </cell>
          <cell r="B133">
            <v>5090497.625</v>
          </cell>
          <cell r="C133">
            <v>2810280.7305000001</v>
          </cell>
          <cell r="D133">
            <v>11.331226450000001</v>
          </cell>
          <cell r="E133">
            <v>-72.170355000000001</v>
          </cell>
        </row>
        <row r="134">
          <cell r="A134" t="str">
            <v>T93</v>
          </cell>
          <cell r="B134">
            <v>5090277.6264000004</v>
          </cell>
          <cell r="C134">
            <v>2810000.2774</v>
          </cell>
          <cell r="D134">
            <v>11.328695</v>
          </cell>
          <cell r="E134">
            <v>-72.172379000000006</v>
          </cell>
        </row>
        <row r="135">
          <cell r="A135" t="str">
            <v>T94N</v>
          </cell>
          <cell r="B135">
            <v>5090034.1875</v>
          </cell>
          <cell r="C135">
            <v>2809694.0924</v>
          </cell>
          <cell r="D135">
            <v>11.32593134</v>
          </cell>
          <cell r="E135">
            <v>-72.174618510000002</v>
          </cell>
        </row>
        <row r="136">
          <cell r="A136" t="str">
            <v>T95N</v>
          </cell>
          <cell r="B136">
            <v>5089796.7395000001</v>
          </cell>
          <cell r="C136">
            <v>2809395.4452</v>
          </cell>
          <cell r="D136">
            <v>11.3232357</v>
          </cell>
          <cell r="E136">
            <v>-72.176802870000003</v>
          </cell>
        </row>
        <row r="137">
          <cell r="A137" t="str">
            <v>T96</v>
          </cell>
          <cell r="B137">
            <v>5089479.6223999998</v>
          </cell>
          <cell r="C137">
            <v>2808996.5965</v>
          </cell>
          <cell r="D137">
            <v>11.319635590000001</v>
          </cell>
          <cell r="E137">
            <v>-72.17972005</v>
          </cell>
        </row>
        <row r="138">
          <cell r="A138" t="str">
            <v>T97</v>
          </cell>
          <cell r="B138">
            <v>5089172.4550000001</v>
          </cell>
          <cell r="C138">
            <v>2808610.2620000001</v>
          </cell>
          <cell r="D138">
            <v>11.31614841</v>
          </cell>
          <cell r="E138">
            <v>-72.182545640000001</v>
          </cell>
        </row>
        <row r="139">
          <cell r="A139" t="str">
            <v>T98</v>
          </cell>
          <cell r="B139">
            <v>5088872.7479999997</v>
          </cell>
          <cell r="C139">
            <v>2808233.3138000001</v>
          </cell>
          <cell r="D139">
            <v>11.312745919999999</v>
          </cell>
          <cell r="E139">
            <v>-72.185302539999995</v>
          </cell>
        </row>
        <row r="140">
          <cell r="A140" t="str">
            <v>T99</v>
          </cell>
          <cell r="B140">
            <v>5088557.9338999996</v>
          </cell>
          <cell r="C140">
            <v>2807837.3656000001</v>
          </cell>
          <cell r="D140">
            <v>11.309171900000001</v>
          </cell>
          <cell r="E140">
            <v>-72.188198330000006</v>
          </cell>
        </row>
      </sheetData>
      <sheetData sheetId="7">
        <row r="1">
          <cell r="A1" t="str">
            <v>Name</v>
          </cell>
          <cell r="B1" t="str">
            <v>Lat</v>
          </cell>
          <cell r="C1" t="str">
            <v>Longitud</v>
          </cell>
          <cell r="D1" t="str">
            <v>Listado59</v>
          </cell>
          <cell r="E1" t="str">
            <v>Listado30</v>
          </cell>
        </row>
        <row r="2">
          <cell r="A2" t="str">
            <v>Amalipa</v>
          </cell>
          <cell r="B2">
            <v>11.530183779094401</v>
          </cell>
          <cell r="C2">
            <v>-72.074602999999996</v>
          </cell>
          <cell r="D2" t="str">
            <v>&lt;Null&gt;</v>
          </cell>
          <cell r="E2" t="str">
            <v>&lt;Null&gt;</v>
          </cell>
        </row>
        <row r="3">
          <cell r="A3" t="str">
            <v>Area por definir</v>
          </cell>
          <cell r="B3" t="str">
            <v>&lt;Null&gt;</v>
          </cell>
          <cell r="C3" t="str">
            <v>&lt;Null&gt;</v>
          </cell>
          <cell r="D3" t="str">
            <v>&lt;Null&gt;</v>
          </cell>
          <cell r="E3" t="str">
            <v>&lt;Null&gt;</v>
          </cell>
        </row>
        <row r="4">
          <cell r="A4" t="str">
            <v>Aritepchon</v>
          </cell>
          <cell r="B4">
            <v>11.6016165985329</v>
          </cell>
          <cell r="C4">
            <v>-72.101872</v>
          </cell>
          <cell r="D4">
            <v>1</v>
          </cell>
          <cell r="E4">
            <v>1</v>
          </cell>
        </row>
        <row r="5">
          <cell r="A5" t="str">
            <v>Aritepchon-Manzanita</v>
          </cell>
          <cell r="B5">
            <v>11.605157379807499</v>
          </cell>
          <cell r="C5">
            <v>-72.107226999999995</v>
          </cell>
          <cell r="D5">
            <v>1</v>
          </cell>
          <cell r="E5">
            <v>1</v>
          </cell>
        </row>
        <row r="6">
          <cell r="A6" t="str">
            <v>Cadenachon</v>
          </cell>
          <cell r="B6">
            <v>11.6930558592647</v>
          </cell>
          <cell r="C6">
            <v>-72.285319000000001</v>
          </cell>
          <cell r="D6" t="str">
            <v>&lt;Null&gt;</v>
          </cell>
          <cell r="E6" t="str">
            <v>&lt;Null&gt;</v>
          </cell>
        </row>
        <row r="7">
          <cell r="A7" t="str">
            <v>Cañaveral</v>
          </cell>
          <cell r="B7">
            <v>11.601182125199699</v>
          </cell>
          <cell r="C7">
            <v>-72.034687000000005</v>
          </cell>
          <cell r="D7" t="str">
            <v>&lt;Null&gt;</v>
          </cell>
          <cell r="E7" t="str">
            <v>&lt;Null&gt;</v>
          </cell>
        </row>
        <row r="8">
          <cell r="A8" t="str">
            <v>Toloira</v>
          </cell>
          <cell r="B8">
            <v>11.4950691800142</v>
          </cell>
          <cell r="C8">
            <v>-72.161250999999993</v>
          </cell>
          <cell r="D8" t="str">
            <v>&lt;Null&gt;</v>
          </cell>
          <cell r="E8" t="str">
            <v>&lt;Null&gt;</v>
          </cell>
        </row>
        <row r="9">
          <cell r="A9" t="str">
            <v>Chichankat</v>
          </cell>
          <cell r="B9">
            <v>11.6905920000018</v>
          </cell>
          <cell r="C9">
            <v>-72.234716000000006</v>
          </cell>
          <cell r="D9" t="str">
            <v>&lt;Null&gt;</v>
          </cell>
          <cell r="E9" t="str">
            <v>&lt;Null&gt;</v>
          </cell>
        </row>
        <row r="10">
          <cell r="A10" t="str">
            <v>Chuluita</v>
          </cell>
          <cell r="B10">
            <v>11.3851465603581</v>
          </cell>
          <cell r="C10">
            <v>-72.130442000000002</v>
          </cell>
          <cell r="D10" t="str">
            <v>&lt;Null&gt;</v>
          </cell>
          <cell r="E10" t="str">
            <v>&lt;Null&gt;</v>
          </cell>
        </row>
        <row r="11">
          <cell r="A11" t="str">
            <v>Corralito</v>
          </cell>
          <cell r="B11">
            <v>11.4570069220647</v>
          </cell>
          <cell r="C11">
            <v>-72.140485999999996</v>
          </cell>
          <cell r="D11" t="str">
            <v>&lt;Null&gt;</v>
          </cell>
          <cell r="E11" t="str">
            <v>&lt;Null&gt;</v>
          </cell>
        </row>
        <row r="12">
          <cell r="A12" t="str">
            <v>Flor de la Frontera</v>
          </cell>
          <cell r="B12">
            <v>11.565019184239</v>
          </cell>
          <cell r="C12">
            <v>-72.016558000000003</v>
          </cell>
          <cell r="D12" t="str">
            <v>&lt;Null&gt;</v>
          </cell>
          <cell r="E12" t="str">
            <v>&lt;Null&gt;</v>
          </cell>
        </row>
        <row r="13">
          <cell r="A13" t="str">
            <v>Franelamana</v>
          </cell>
          <cell r="B13" t="str">
            <v>&lt;Null&gt;</v>
          </cell>
          <cell r="C13" t="str">
            <v>&lt;Null&gt;</v>
          </cell>
          <cell r="D13" t="str">
            <v>&lt;Null&gt;</v>
          </cell>
          <cell r="E13" t="str">
            <v>&lt;Null&gt;</v>
          </cell>
        </row>
        <row r="14">
          <cell r="A14" t="str">
            <v>Guadalajara</v>
          </cell>
          <cell r="B14">
            <v>11.3007250000182</v>
          </cell>
          <cell r="C14">
            <v>-72.193680000000001</v>
          </cell>
          <cell r="D14" t="str">
            <v>&lt;Null&gt;</v>
          </cell>
          <cell r="E14" t="str">
            <v>&lt;Null&gt;</v>
          </cell>
        </row>
        <row r="15">
          <cell r="A15" t="str">
            <v>Ipashirain</v>
          </cell>
          <cell r="B15" t="str">
            <v>&lt;Null&gt;</v>
          </cell>
          <cell r="C15" t="str">
            <v>&lt;Null&gt;</v>
          </cell>
          <cell r="D15">
            <v>2</v>
          </cell>
          <cell r="E15" t="str">
            <v>&lt;Null&gt;</v>
          </cell>
        </row>
        <row r="16">
          <cell r="A16" t="str">
            <v>Irruishirra</v>
          </cell>
          <cell r="B16" t="str">
            <v>&lt;Null&gt;</v>
          </cell>
          <cell r="C16" t="str">
            <v>&lt;Null&gt;</v>
          </cell>
          <cell r="D16" t="str">
            <v>&lt;Null&gt;</v>
          </cell>
          <cell r="E16" t="str">
            <v>&lt;Null&gt;</v>
          </cell>
        </row>
        <row r="17">
          <cell r="A17" t="str">
            <v>Itrashi</v>
          </cell>
          <cell r="B17" t="str">
            <v>&lt;Null&gt;</v>
          </cell>
          <cell r="C17" t="str">
            <v>&lt;Null&gt;</v>
          </cell>
          <cell r="D17" t="str">
            <v>&lt;Null&gt;</v>
          </cell>
          <cell r="E17" t="str">
            <v>&lt;Null&gt;</v>
          </cell>
        </row>
        <row r="18">
          <cell r="A18" t="str">
            <v>Jaika Kalinchon</v>
          </cell>
          <cell r="B18">
            <v>11.644268538610399</v>
          </cell>
          <cell r="C18">
            <v>-72.023225999999994</v>
          </cell>
          <cell r="D18" t="str">
            <v>&lt;Null&gt;</v>
          </cell>
          <cell r="E18" t="str">
            <v>&lt;Null&gt;</v>
          </cell>
        </row>
        <row r="19">
          <cell r="A19" t="str">
            <v>Jaipachon</v>
          </cell>
          <cell r="B19">
            <v>11.3724081580699</v>
          </cell>
          <cell r="C19">
            <v>-72.150279999999995</v>
          </cell>
          <cell r="D19" t="str">
            <v>&lt;Null&gt;</v>
          </cell>
          <cell r="E19" t="str">
            <v>&lt;Null&gt;</v>
          </cell>
        </row>
        <row r="20">
          <cell r="A20" t="str">
            <v>Jamucherra</v>
          </cell>
          <cell r="B20">
            <v>11.640127530680701</v>
          </cell>
          <cell r="C20">
            <v>-72.003431000000006</v>
          </cell>
          <cell r="D20" t="str">
            <v>&lt;Null&gt;</v>
          </cell>
          <cell r="E20" t="str">
            <v>&lt;Null&gt;</v>
          </cell>
        </row>
        <row r="21">
          <cell r="A21" t="str">
            <v>Jasaichon</v>
          </cell>
          <cell r="B21">
            <v>11.6901388887918</v>
          </cell>
          <cell r="C21">
            <v>-72.276694000000006</v>
          </cell>
          <cell r="D21">
            <v>1</v>
          </cell>
          <cell r="E21">
            <v>1</v>
          </cell>
        </row>
        <row r="22">
          <cell r="A22" t="str">
            <v>Jasaimana</v>
          </cell>
          <cell r="B22" t="str">
            <v>&lt;Null&gt;</v>
          </cell>
          <cell r="C22" t="str">
            <v>&lt;Null&gt;</v>
          </cell>
          <cell r="D22">
            <v>2</v>
          </cell>
          <cell r="E22" t="str">
            <v>&lt;Null&gt;</v>
          </cell>
        </row>
        <row r="23">
          <cell r="A23" t="str">
            <v>Jemechi / Jemema</v>
          </cell>
          <cell r="B23">
            <v>11.6463678030825</v>
          </cell>
          <cell r="C23">
            <v>-72.179901999999998</v>
          </cell>
          <cell r="D23">
            <v>1</v>
          </cell>
          <cell r="E23">
            <v>1</v>
          </cell>
        </row>
        <row r="24">
          <cell r="A24" t="str">
            <v>Jololo</v>
          </cell>
          <cell r="B24">
            <v>11.6999619996918</v>
          </cell>
          <cell r="C24">
            <v>-72.234851000000006</v>
          </cell>
          <cell r="D24">
            <v>1</v>
          </cell>
          <cell r="E24">
            <v>1</v>
          </cell>
        </row>
        <row r="25">
          <cell r="A25" t="str">
            <v>Joloushen</v>
          </cell>
          <cell r="B25">
            <v>11.6795192866684</v>
          </cell>
          <cell r="C25">
            <v>-72.217161000000004</v>
          </cell>
          <cell r="D25">
            <v>2</v>
          </cell>
          <cell r="E25" t="str">
            <v>&lt;Null&gt;</v>
          </cell>
        </row>
        <row r="26">
          <cell r="A26" t="str">
            <v>Julapa - Romana</v>
          </cell>
          <cell r="B26">
            <v>11.5830204777288</v>
          </cell>
          <cell r="C26">
            <v>-72.060963999999998</v>
          </cell>
          <cell r="D26" t="str">
            <v>&lt;Null&gt;</v>
          </cell>
          <cell r="E26" t="str">
            <v>&lt;Null&gt;</v>
          </cell>
        </row>
        <row r="27">
          <cell r="A27" t="str">
            <v>Jununtao</v>
          </cell>
          <cell r="B27">
            <v>11.4819195731097</v>
          </cell>
          <cell r="C27">
            <v>-72.124098000000004</v>
          </cell>
          <cell r="D27" t="str">
            <v>&lt;Null&gt;</v>
          </cell>
          <cell r="E27" t="str">
            <v>&lt;Null&gt;</v>
          </cell>
        </row>
        <row r="28">
          <cell r="A28" t="str">
            <v>Jurula Paraiso</v>
          </cell>
          <cell r="B28">
            <v>11.6408425971496</v>
          </cell>
          <cell r="C28">
            <v>-72.129745</v>
          </cell>
          <cell r="D28" t="str">
            <v>&lt;Null&gt;</v>
          </cell>
          <cell r="E28" t="str">
            <v>&lt;Null&gt;</v>
          </cell>
        </row>
        <row r="29">
          <cell r="A29" t="str">
            <v>Kaatsuo</v>
          </cell>
          <cell r="B29" t="str">
            <v>&lt;Null&gt;</v>
          </cell>
          <cell r="C29" t="str">
            <v>&lt;Null&gt;</v>
          </cell>
          <cell r="D29" t="str">
            <v>&lt;Null&gt;</v>
          </cell>
          <cell r="E29" t="str">
            <v>&lt;Null&gt;</v>
          </cell>
        </row>
        <row r="30">
          <cell r="A30" t="str">
            <v>Kaichirin</v>
          </cell>
          <cell r="B30">
            <v>11.5938771694195</v>
          </cell>
          <cell r="C30">
            <v>-72.097064000000003</v>
          </cell>
          <cell r="D30">
            <v>1</v>
          </cell>
          <cell r="E30">
            <v>1</v>
          </cell>
        </row>
        <row r="31">
          <cell r="A31" t="str">
            <v>Kalinchon</v>
          </cell>
          <cell r="B31">
            <v>11.613603432223901</v>
          </cell>
          <cell r="C31">
            <v>-72.024181999999996</v>
          </cell>
          <cell r="D31" t="str">
            <v>&lt;Null&gt;</v>
          </cell>
          <cell r="E31" t="str">
            <v>&lt;Null&gt;</v>
          </cell>
        </row>
        <row r="32">
          <cell r="A32" t="str">
            <v>Kamushipá</v>
          </cell>
          <cell r="B32">
            <v>11.5657927921044</v>
          </cell>
          <cell r="C32">
            <v>-72.027555000000007</v>
          </cell>
          <cell r="D32" t="str">
            <v>&lt;Null&gt;</v>
          </cell>
          <cell r="E32" t="str">
            <v>&lt;Null&gt;</v>
          </cell>
        </row>
        <row r="33">
          <cell r="A33" t="str">
            <v>Karraisirra</v>
          </cell>
          <cell r="B33">
            <v>11.697295999998</v>
          </cell>
          <cell r="C33">
            <v>-72.250157999999999</v>
          </cell>
          <cell r="D33">
            <v>2</v>
          </cell>
          <cell r="E33" t="str">
            <v>&lt;Null&gt;</v>
          </cell>
        </row>
        <row r="34">
          <cell r="A34" t="str">
            <v>Kijotchon</v>
          </cell>
          <cell r="B34">
            <v>11.5483036519131</v>
          </cell>
          <cell r="C34">
            <v>-72.079757000000001</v>
          </cell>
          <cell r="D34">
            <v>1</v>
          </cell>
          <cell r="E34">
            <v>1</v>
          </cell>
        </row>
        <row r="35">
          <cell r="A35" t="str">
            <v>Kurrarirain</v>
          </cell>
          <cell r="B35">
            <v>11.602321538144301</v>
          </cell>
          <cell r="C35">
            <v>-72.077218999999999</v>
          </cell>
          <cell r="D35">
            <v>1</v>
          </cell>
          <cell r="E35" t="str">
            <v>&lt;Null&gt;</v>
          </cell>
        </row>
        <row r="36">
          <cell r="A36" t="str">
            <v>Kurrura</v>
          </cell>
          <cell r="B36">
            <v>11.6439084041016</v>
          </cell>
          <cell r="C36">
            <v>-72.121718999999999</v>
          </cell>
          <cell r="D36" t="str">
            <v>&lt;Null&gt;</v>
          </cell>
          <cell r="E36" t="str">
            <v>&lt;Null&gt;</v>
          </cell>
        </row>
        <row r="37">
          <cell r="A37" t="str">
            <v>Mashuamana Wane</v>
          </cell>
          <cell r="B37">
            <v>11.5841090531018</v>
          </cell>
          <cell r="C37">
            <v>-72.021310999999997</v>
          </cell>
          <cell r="D37" t="str">
            <v>&lt;Null&gt;</v>
          </cell>
          <cell r="E37" t="str">
            <v>&lt;Null&gt;</v>
          </cell>
        </row>
        <row r="38">
          <cell r="A38" t="str">
            <v>Majayut</v>
          </cell>
          <cell r="B38">
            <v>11.6064173761742</v>
          </cell>
          <cell r="C38">
            <v>-72.124379000000005</v>
          </cell>
          <cell r="D38">
            <v>1</v>
          </cell>
          <cell r="E38">
            <v>1</v>
          </cell>
        </row>
        <row r="39">
          <cell r="A39" t="str">
            <v>Manantial de Vida</v>
          </cell>
          <cell r="B39">
            <v>11.6744251475886</v>
          </cell>
          <cell r="C39">
            <v>-72.207099999999997</v>
          </cell>
          <cell r="D39">
            <v>2</v>
          </cell>
          <cell r="E39" t="str">
            <v>&lt;Null&gt;</v>
          </cell>
        </row>
        <row r="40">
          <cell r="A40" t="str">
            <v>Mannachon</v>
          </cell>
          <cell r="B40">
            <v>11.674361110433299</v>
          </cell>
          <cell r="C40">
            <v>-72.229360999999997</v>
          </cell>
          <cell r="D40" t="str">
            <v>&lt;Null&gt;</v>
          </cell>
          <cell r="E40" t="str">
            <v>&lt;Null&gt;</v>
          </cell>
        </row>
        <row r="41">
          <cell r="A41" t="str">
            <v>Mannapaz</v>
          </cell>
          <cell r="B41">
            <v>11.619286241233301</v>
          </cell>
          <cell r="C41">
            <v>-72.094156999999996</v>
          </cell>
          <cell r="D41">
            <v>1</v>
          </cell>
          <cell r="E41">
            <v>1</v>
          </cell>
        </row>
        <row r="42">
          <cell r="A42" t="str">
            <v>Mantapa</v>
          </cell>
          <cell r="B42">
            <v>11.63946762534</v>
          </cell>
          <cell r="C42">
            <v>-72.164800999999997</v>
          </cell>
          <cell r="D42">
            <v>1</v>
          </cell>
          <cell r="E42">
            <v>1</v>
          </cell>
        </row>
        <row r="43">
          <cell r="A43" t="str">
            <v>Mantara</v>
          </cell>
          <cell r="B43">
            <v>11.645555554886</v>
          </cell>
          <cell r="C43">
            <v>-72.172583000000003</v>
          </cell>
          <cell r="D43">
            <v>1</v>
          </cell>
          <cell r="E43">
            <v>1</v>
          </cell>
        </row>
        <row r="44">
          <cell r="A44" t="str">
            <v>Manzanita</v>
          </cell>
          <cell r="B44">
            <v>11.601812334746599</v>
          </cell>
          <cell r="C44">
            <v>-72.108333999999999</v>
          </cell>
          <cell r="D44">
            <v>1</v>
          </cell>
          <cell r="E44">
            <v>1</v>
          </cell>
        </row>
        <row r="45">
          <cell r="A45" t="str">
            <v>Mapuain</v>
          </cell>
          <cell r="B45">
            <v>11.5161938891091</v>
          </cell>
          <cell r="C45">
            <v>-72.168166999999997</v>
          </cell>
          <cell r="D45">
            <v>2</v>
          </cell>
          <cell r="E45" t="str">
            <v>&lt;Null&gt;</v>
          </cell>
        </row>
        <row r="46">
          <cell r="A46" t="str">
            <v>Masamana</v>
          </cell>
          <cell r="B46">
            <v>11.6605279999981</v>
          </cell>
          <cell r="C46">
            <v>-72.170833000000002</v>
          </cell>
          <cell r="D46">
            <v>1</v>
          </cell>
          <cell r="E46">
            <v>1</v>
          </cell>
        </row>
        <row r="47">
          <cell r="A47" t="str">
            <v>Mashuamana</v>
          </cell>
          <cell r="B47">
            <v>11.5856104876624</v>
          </cell>
          <cell r="C47">
            <v>-72.010722999999999</v>
          </cell>
          <cell r="D47" t="str">
            <v>&lt;Null&gt;</v>
          </cell>
          <cell r="E47" t="str">
            <v>&lt;Null&gt;</v>
          </cell>
        </row>
        <row r="48">
          <cell r="A48" t="str">
            <v>Matajuna</v>
          </cell>
          <cell r="B48">
            <v>11.644624141209601</v>
          </cell>
          <cell r="C48">
            <v>-71.973293999999996</v>
          </cell>
          <cell r="D48" t="str">
            <v>&lt;Null&gt;</v>
          </cell>
          <cell r="E48" t="str">
            <v>&lt;Null&gt;</v>
          </cell>
        </row>
        <row r="49">
          <cell r="A49" t="str">
            <v>Matnajuyaii</v>
          </cell>
          <cell r="B49">
            <v>11.636772600228801</v>
          </cell>
          <cell r="C49">
            <v>-71.991269000000003</v>
          </cell>
          <cell r="D49" t="str">
            <v>&lt;Null&gt;</v>
          </cell>
          <cell r="E49" t="str">
            <v>&lt;Null&gt;</v>
          </cell>
        </row>
        <row r="50">
          <cell r="A50" t="str">
            <v>Matnashon</v>
          </cell>
          <cell r="B50">
            <v>11.6805270734234</v>
          </cell>
          <cell r="C50">
            <v>-72.238301000000007</v>
          </cell>
          <cell r="D50">
            <v>2</v>
          </cell>
          <cell r="E50" t="str">
            <v>&lt;Null&gt;</v>
          </cell>
        </row>
        <row r="51">
          <cell r="A51" t="str">
            <v>Media Luna</v>
          </cell>
          <cell r="B51">
            <v>11.663555999672299</v>
          </cell>
          <cell r="C51">
            <v>-72.181873999999993</v>
          </cell>
          <cell r="D51">
            <v>1</v>
          </cell>
          <cell r="E51">
            <v>1</v>
          </cell>
        </row>
        <row r="52">
          <cell r="A52" t="str">
            <v>Montermon</v>
          </cell>
          <cell r="B52">
            <v>11.668028056081599</v>
          </cell>
          <cell r="C52">
            <v>-72.176111000000006</v>
          </cell>
          <cell r="D52">
            <v>2</v>
          </cell>
          <cell r="E52" t="str">
            <v>&lt;Null&gt;</v>
          </cell>
        </row>
        <row r="53">
          <cell r="A53" t="str">
            <v>Olopa</v>
          </cell>
          <cell r="B53">
            <v>11.669171999818801</v>
          </cell>
          <cell r="C53">
            <v>-72.223990000000001</v>
          </cell>
          <cell r="D53" t="str">
            <v>&lt;Null&gt;</v>
          </cell>
          <cell r="E53" t="str">
            <v>&lt;Null&gt;</v>
          </cell>
        </row>
        <row r="54">
          <cell r="A54" t="str">
            <v>Ousinalu</v>
          </cell>
          <cell r="B54">
            <v>11.6931361108748</v>
          </cell>
          <cell r="C54">
            <v>-72.158743000000001</v>
          </cell>
          <cell r="D54">
            <v>2</v>
          </cell>
          <cell r="E54" t="str">
            <v>&lt;Null&gt;</v>
          </cell>
        </row>
        <row r="55">
          <cell r="A55" t="str">
            <v>Pajakat</v>
          </cell>
          <cell r="B55">
            <v>11.548470766214001</v>
          </cell>
          <cell r="C55">
            <v>-72.094370999999995</v>
          </cell>
          <cell r="D55">
            <v>2</v>
          </cell>
          <cell r="E55" t="str">
            <v>&lt;Null&gt;</v>
          </cell>
        </row>
        <row r="56">
          <cell r="A56" t="str">
            <v>Pájaro</v>
          </cell>
          <cell r="B56">
            <v>11.608528000418699</v>
          </cell>
          <cell r="C56">
            <v>-72.088306000000003</v>
          </cell>
          <cell r="D56">
            <v>1</v>
          </cell>
          <cell r="E56">
            <v>1</v>
          </cell>
        </row>
        <row r="57">
          <cell r="A57" t="str">
            <v>Pájaro-2 / Isashi</v>
          </cell>
          <cell r="B57">
            <v>11.6096111112979</v>
          </cell>
          <cell r="C57">
            <v>-72.089583000000005</v>
          </cell>
          <cell r="D57">
            <v>1</v>
          </cell>
          <cell r="E57">
            <v>1</v>
          </cell>
        </row>
        <row r="58">
          <cell r="A58" t="str">
            <v>Palishiteimana</v>
          </cell>
          <cell r="B58">
            <v>11.693547000223999</v>
          </cell>
          <cell r="C58">
            <v>-72.262680000000003</v>
          </cell>
          <cell r="D58">
            <v>1</v>
          </cell>
          <cell r="E58">
            <v>1</v>
          </cell>
        </row>
        <row r="59">
          <cell r="A59" t="str">
            <v>Paliyawain</v>
          </cell>
          <cell r="B59">
            <v>11.6283714184753</v>
          </cell>
          <cell r="C59">
            <v>-71.993364</v>
          </cell>
          <cell r="D59" t="str">
            <v>&lt;Null&gt;</v>
          </cell>
          <cell r="E59" t="str">
            <v>&lt;Null&gt;</v>
          </cell>
        </row>
        <row r="60">
          <cell r="A60" t="str">
            <v>Patajatamana</v>
          </cell>
          <cell r="B60">
            <v>11.6157171960557</v>
          </cell>
          <cell r="C60">
            <v>-71.998277999999999</v>
          </cell>
          <cell r="D60" t="str">
            <v>&lt;Null&gt;</v>
          </cell>
          <cell r="E60" t="str">
            <v>&lt;Null&gt;</v>
          </cell>
        </row>
        <row r="61">
          <cell r="A61" t="str">
            <v>Petsuapa</v>
          </cell>
          <cell r="B61">
            <v>11.7017450518707</v>
          </cell>
          <cell r="C61">
            <v>-72.259666999999993</v>
          </cell>
          <cell r="D61">
            <v>1</v>
          </cell>
          <cell r="E61">
            <v>1</v>
          </cell>
        </row>
        <row r="62">
          <cell r="A62" t="str">
            <v>Petsupa</v>
          </cell>
          <cell r="B62">
            <v>11.703111111039499</v>
          </cell>
          <cell r="C62">
            <v>-72.266555999999994</v>
          </cell>
          <cell r="D62">
            <v>1</v>
          </cell>
          <cell r="E62">
            <v>1</v>
          </cell>
        </row>
        <row r="63">
          <cell r="A63" t="str">
            <v>Pioreka</v>
          </cell>
          <cell r="B63">
            <v>11.526549531168699</v>
          </cell>
          <cell r="C63">
            <v>-72.102171999999996</v>
          </cell>
          <cell r="D63" t="str">
            <v>&lt;Null&gt;</v>
          </cell>
          <cell r="E63" t="str">
            <v>&lt;Null&gt;</v>
          </cell>
        </row>
        <row r="64">
          <cell r="A64" t="str">
            <v>Pololima</v>
          </cell>
          <cell r="B64">
            <v>11.632073360837101</v>
          </cell>
          <cell r="C64">
            <v>-72.104772999999994</v>
          </cell>
          <cell r="D64">
            <v>1</v>
          </cell>
          <cell r="E64">
            <v>1</v>
          </cell>
        </row>
        <row r="65">
          <cell r="A65" t="str">
            <v>Potcho /Potchi</v>
          </cell>
          <cell r="B65">
            <v>11.6562222224444</v>
          </cell>
          <cell r="C65">
            <v>-72.181805999999995</v>
          </cell>
          <cell r="D65">
            <v>1</v>
          </cell>
          <cell r="E65">
            <v>1</v>
          </cell>
        </row>
        <row r="66">
          <cell r="A66" t="str">
            <v>Poulaput</v>
          </cell>
          <cell r="B66">
            <v>11.682055999633</v>
          </cell>
          <cell r="C66">
            <v>-72.246499999999997</v>
          </cell>
          <cell r="D66">
            <v>2</v>
          </cell>
          <cell r="E66" t="str">
            <v>&lt;Null&gt;</v>
          </cell>
        </row>
        <row r="67">
          <cell r="A67" t="str">
            <v>Romana</v>
          </cell>
          <cell r="B67">
            <v>11.557786838411401</v>
          </cell>
          <cell r="C67">
            <v>-72.056010000000001</v>
          </cell>
          <cell r="D67">
            <v>1</v>
          </cell>
          <cell r="E67">
            <v>1</v>
          </cell>
        </row>
        <row r="68">
          <cell r="A68" t="str">
            <v>Sabanalarga</v>
          </cell>
          <cell r="B68">
            <v>11.426715211135701</v>
          </cell>
          <cell r="C68">
            <v>-72.123739999999998</v>
          </cell>
          <cell r="D68" t="str">
            <v>&lt;Null&gt;</v>
          </cell>
          <cell r="E68" t="str">
            <v>&lt;Null&gt;</v>
          </cell>
        </row>
        <row r="69">
          <cell r="A69" t="str">
            <v>San Luis</v>
          </cell>
          <cell r="B69">
            <v>11.401883678054901</v>
          </cell>
          <cell r="C69">
            <v>-72.125714000000002</v>
          </cell>
          <cell r="D69" t="str">
            <v>&lt;Null&gt;</v>
          </cell>
          <cell r="E69" t="str">
            <v>&lt;Null&gt;</v>
          </cell>
        </row>
        <row r="70">
          <cell r="A70" t="str">
            <v>Santa Lucia</v>
          </cell>
          <cell r="B70">
            <v>11.315581426317699</v>
          </cell>
          <cell r="C70">
            <v>-72.194756999999996</v>
          </cell>
          <cell r="D70" t="str">
            <v>&lt;Null&gt;</v>
          </cell>
          <cell r="E70" t="str">
            <v>&lt;Null&gt;</v>
          </cell>
        </row>
        <row r="71">
          <cell r="A71" t="str">
            <v>Siború</v>
          </cell>
          <cell r="B71">
            <v>11.4145047330955</v>
          </cell>
          <cell r="C71">
            <v>-72.131932000000006</v>
          </cell>
          <cell r="D71" t="str">
            <v>&lt;Null&gt;</v>
          </cell>
          <cell r="E71" t="str">
            <v>&lt;Null&gt;</v>
          </cell>
        </row>
        <row r="72">
          <cell r="A72" t="str">
            <v>Siboru x 3</v>
          </cell>
          <cell r="B72" t="str">
            <v>&lt;Null&gt;</v>
          </cell>
          <cell r="C72" t="str">
            <v>&lt;Null&gt;</v>
          </cell>
          <cell r="D72" t="str">
            <v>&lt;Null&gt;</v>
          </cell>
          <cell r="E72" t="str">
            <v>&lt;Null&gt;</v>
          </cell>
        </row>
        <row r="73">
          <cell r="A73" t="str">
            <v>Sirruma</v>
          </cell>
          <cell r="B73">
            <v>11.469904629776901</v>
          </cell>
          <cell r="C73">
            <v>-72.109347999999997</v>
          </cell>
          <cell r="D73" t="str">
            <v>&lt;Null&gt;</v>
          </cell>
          <cell r="E73" t="str">
            <v>&lt;Null&gt;</v>
          </cell>
        </row>
        <row r="74">
          <cell r="A74" t="str">
            <v>Suchiwaralu</v>
          </cell>
          <cell r="B74">
            <v>11.6916000002371</v>
          </cell>
          <cell r="C74">
            <v>-72.2577</v>
          </cell>
          <cell r="D74">
            <v>1</v>
          </cell>
          <cell r="E74" t="str">
            <v>&lt;Null&gt;</v>
          </cell>
        </row>
        <row r="75">
          <cell r="A75" t="str">
            <v>Tewou</v>
          </cell>
          <cell r="B75">
            <v>11.616074906379501</v>
          </cell>
          <cell r="C75">
            <v>-72.143938000000006</v>
          </cell>
          <cell r="D75">
            <v>1</v>
          </cell>
          <cell r="E75">
            <v>1</v>
          </cell>
        </row>
        <row r="76">
          <cell r="A76" t="str">
            <v>Uraichirap</v>
          </cell>
          <cell r="B76" t="str">
            <v>&lt;Null&gt;</v>
          </cell>
          <cell r="C76" t="str">
            <v>&lt;Null&gt;</v>
          </cell>
          <cell r="D76" t="str">
            <v>&lt;Null&gt;</v>
          </cell>
          <cell r="E76" t="str">
            <v>&lt;Null&gt;</v>
          </cell>
        </row>
        <row r="77">
          <cell r="A77" t="str">
            <v>Urraichipa</v>
          </cell>
          <cell r="B77">
            <v>11.374010910438599</v>
          </cell>
          <cell r="C77">
            <v>-72.150831999999994</v>
          </cell>
          <cell r="D77" t="str">
            <v>&lt;Null&gt;</v>
          </cell>
          <cell r="E77" t="str">
            <v>&lt;Null&gt;</v>
          </cell>
        </row>
        <row r="78">
          <cell r="A78" t="str">
            <v>Utkap</v>
          </cell>
          <cell r="B78">
            <v>11.601700422233799</v>
          </cell>
          <cell r="C78">
            <v>-72.006276</v>
          </cell>
          <cell r="D78" t="str">
            <v>&lt;Null&gt;</v>
          </cell>
          <cell r="E78" t="str">
            <v>&lt;Null&gt;</v>
          </cell>
        </row>
        <row r="79">
          <cell r="A79" t="str">
            <v>Walakali II</v>
          </cell>
          <cell r="B79">
            <v>11.682106000056001</v>
          </cell>
          <cell r="C79">
            <v>-72.220811999999995</v>
          </cell>
          <cell r="D79">
            <v>2</v>
          </cell>
          <cell r="E79" t="str">
            <v>&lt;Null&gt;</v>
          </cell>
        </row>
        <row r="80">
          <cell r="A80" t="str">
            <v>Walakaly I</v>
          </cell>
          <cell r="B80">
            <v>11.685966999663099</v>
          </cell>
          <cell r="C80">
            <v>-72.225148000000004</v>
          </cell>
          <cell r="D80">
            <v>2</v>
          </cell>
          <cell r="E80" t="str">
            <v>&lt;Null&gt;</v>
          </cell>
        </row>
        <row r="81">
          <cell r="A81" t="str">
            <v>Walawalao</v>
          </cell>
          <cell r="B81">
            <v>11.6637550003821</v>
          </cell>
          <cell r="C81">
            <v>-72.183299000000005</v>
          </cell>
          <cell r="D81">
            <v>1</v>
          </cell>
          <cell r="E81" t="str">
            <v>&lt;Null&gt;</v>
          </cell>
        </row>
        <row r="82">
          <cell r="A82" t="str">
            <v>Walijio</v>
          </cell>
          <cell r="B82">
            <v>11.703166665635401</v>
          </cell>
          <cell r="C82">
            <v>-72.260193999999998</v>
          </cell>
          <cell r="D82">
            <v>1</v>
          </cell>
          <cell r="E82">
            <v>1</v>
          </cell>
        </row>
        <row r="83">
          <cell r="A83" t="str">
            <v>Wimpeshi</v>
          </cell>
          <cell r="B83">
            <v>11.5535035201403</v>
          </cell>
          <cell r="C83">
            <v>-72.034527999999995</v>
          </cell>
          <cell r="D83" t="str">
            <v>&lt;Null&gt;</v>
          </cell>
          <cell r="E83" t="str">
            <v>&lt;Null&gt;</v>
          </cell>
        </row>
        <row r="84">
          <cell r="A84" t="str">
            <v>Yatapchi</v>
          </cell>
          <cell r="B84">
            <v>11.620946595197299</v>
          </cell>
          <cell r="C84">
            <v>-72.114694</v>
          </cell>
          <cell r="D84" t="str">
            <v>&lt;Null&gt;</v>
          </cell>
          <cell r="E84" t="str">
            <v>&lt;Null&gt;</v>
          </cell>
        </row>
        <row r="85">
          <cell r="A85" t="str">
            <v>Yatashi</v>
          </cell>
          <cell r="B85">
            <v>11.614548985349501</v>
          </cell>
          <cell r="C85">
            <v>-72.106058000000004</v>
          </cell>
          <cell r="D85">
            <v>1</v>
          </cell>
          <cell r="E85">
            <v>1</v>
          </cell>
        </row>
        <row r="86">
          <cell r="A86" t="str">
            <v>Yolujapien</v>
          </cell>
          <cell r="B86">
            <v>11.829956944385801</v>
          </cell>
          <cell r="C86">
            <v>-72.309505999999999</v>
          </cell>
          <cell r="D86">
            <v>2</v>
          </cell>
          <cell r="E86" t="str">
            <v>&lt;Null&gt;</v>
          </cell>
        </row>
        <row r="87">
          <cell r="A87" t="str">
            <v>Yotojoroin</v>
          </cell>
          <cell r="B87">
            <v>11.5926479512861</v>
          </cell>
          <cell r="C87">
            <v>-72.026133999999999</v>
          </cell>
          <cell r="D87" t="str">
            <v>&lt;Null&gt;</v>
          </cell>
          <cell r="E87" t="str">
            <v>&lt;Null&gt;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OTs"/>
      <sheetName val="BORRADOR OT-XX"/>
      <sheetName val="LINEA FLOT-FLOI"/>
      <sheetName val="CALENDARIO PIEDEMONTE"/>
      <sheetName val="CALENDARIO"/>
      <sheetName val="COD"/>
      <sheetName val="APU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no de Obra"/>
      <sheetName val="Instructivo"/>
      <sheetName val="Organización"/>
      <sheetName val="Rec"/>
      <sheetName val="Diar"/>
      <sheetName val="Recursos"/>
      <sheetName val="Diario"/>
      <sheetName val="Hoja1"/>
      <sheetName val="Hoja2"/>
      <sheetName val="Hoja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J3" t="str">
            <v>Perforación</v>
          </cell>
          <cell r="BK3" t="str">
            <v>ANTIOQUIAMedellín</v>
          </cell>
        </row>
        <row r="4">
          <cell r="AJ4" t="str">
            <v>Well service</v>
          </cell>
          <cell r="BK4" t="str">
            <v>BOGOTÁBogotá</v>
          </cell>
        </row>
        <row r="5">
          <cell r="M5" t="str">
            <v>N/A</v>
          </cell>
          <cell r="AJ5" t="str">
            <v>Workover</v>
          </cell>
          <cell r="BK5" t="str">
            <v>BOLÍVARCartagena</v>
          </cell>
        </row>
        <row r="6">
          <cell r="BK6" t="str">
            <v>CALDASManizales</v>
          </cell>
        </row>
        <row r="7">
          <cell r="BK7" t="str">
            <v>CUNDINAMARCASibaté</v>
          </cell>
        </row>
        <row r="8">
          <cell r="BK8" t="str">
            <v>MAGDALENASantaMarta</v>
          </cell>
        </row>
        <row r="9">
          <cell r="BK9" t="str">
            <v>NORTEDESANTANDERCúcuta</v>
          </cell>
        </row>
        <row r="10">
          <cell r="BK10" t="str">
            <v>SANTANDERBarrancabermeja</v>
          </cell>
        </row>
        <row r="11">
          <cell r="BK11" t="str">
            <v>SANTANDERBucaramanga</v>
          </cell>
        </row>
        <row r="12">
          <cell r="BK12" t="str">
            <v>SANTANDERPiedecuesta</v>
          </cell>
        </row>
        <row r="13">
          <cell r="BK13" t="str">
            <v>VALLEDELCAUCACalí</v>
          </cell>
        </row>
        <row r="14">
          <cell r="BK14" t="str">
            <v>VALLEDELCAUCAPalmira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AEDF-0F74-4264-BAB8-4C87A2B9CCEB}">
  <dimension ref="A1:M139"/>
  <sheetViews>
    <sheetView tabSelected="1" workbookViewId="0">
      <selection activeCell="M8" sqref="M8"/>
    </sheetView>
  </sheetViews>
  <sheetFormatPr baseColWidth="10" defaultRowHeight="12.75" x14ac:dyDescent="0.2"/>
  <cols>
    <col min="1" max="1" width="7.5703125" style="11" bestFit="1" customWidth="1"/>
    <col min="2" max="2" width="26.5703125" style="11" bestFit="1" customWidth="1"/>
    <col min="3" max="3" width="28.28515625" style="12" bestFit="1" customWidth="1"/>
    <col min="4" max="4" width="16.28515625" style="12" bestFit="1" customWidth="1"/>
    <col min="5" max="5" width="13.140625" style="11" bestFit="1" customWidth="1"/>
    <col min="6" max="6" width="8.85546875" style="11" bestFit="1" customWidth="1"/>
    <col min="7" max="7" width="13.85546875" style="11" bestFit="1" customWidth="1"/>
    <col min="8" max="8" width="20.85546875" style="11" bestFit="1" customWidth="1"/>
    <col min="9" max="9" width="11.28515625" style="11" bestFit="1" customWidth="1"/>
    <col min="10" max="10" width="27.42578125" style="11" bestFit="1" customWidth="1"/>
    <col min="11" max="12" width="12" style="9" bestFit="1" customWidth="1"/>
    <col min="13" max="13" width="17.7109375" style="9" bestFit="1" customWidth="1"/>
  </cols>
  <sheetData>
    <row r="1" spans="1:13" ht="12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 t="s">
        <v>13</v>
      </c>
      <c r="B2" s="6" t="s">
        <v>14</v>
      </c>
      <c r="C2" s="7" t="str">
        <f>IF(+'[1]Control obra'!AB7&gt;0,"SI","NO")</f>
        <v>NO</v>
      </c>
      <c r="D2" s="7">
        <f>+'[1]Control obra'!AZ7</f>
        <v>0</v>
      </c>
      <c r="E2" s="7">
        <f>+'[1]Control obra'!CA7</f>
        <v>0</v>
      </c>
      <c r="F2" s="7">
        <f>+'[1]Control obra'!CN7</f>
        <v>0</v>
      </c>
      <c r="G2" s="8">
        <f>+'[1]Control obra'!DB7</f>
        <v>0</v>
      </c>
      <c r="H2" s="7">
        <f>+'[1]Control obra'!DO7</f>
        <v>0</v>
      </c>
      <c r="I2" s="7">
        <f>+'[1]Control obra'!EB7</f>
        <v>0</v>
      </c>
      <c r="J2" s="7">
        <f>+'[1]Control obra'!EO7</f>
        <v>0</v>
      </c>
      <c r="K2" s="9">
        <f>+VLOOKUP(A2,[1]Torres!A:E,2,)</f>
        <v>5107351.6246999996</v>
      </c>
      <c r="L2" s="9">
        <f>+VLOOKUP(A2,[1]Torres!A:E,3,)</f>
        <v>2840267.4282999998</v>
      </c>
      <c r="M2" s="9" t="str">
        <f>VLOOKUP(GIS!B2,[1]Comunidades!A:E,1,FALSE)</f>
        <v>Utkap</v>
      </c>
    </row>
    <row r="3" spans="1:13" x14ac:dyDescent="0.2">
      <c r="A3" t="s">
        <v>15</v>
      </c>
      <c r="B3" s="6" t="s">
        <v>14</v>
      </c>
      <c r="C3" s="7" t="str">
        <f>IF(+'[1]Control obra'!AB8&gt;0,"SI","NO")</f>
        <v>NO</v>
      </c>
      <c r="D3" s="7">
        <f>+'[1]Control obra'!AZ8</f>
        <v>0</v>
      </c>
      <c r="E3" s="7">
        <f>+'[1]Control obra'!CA8</f>
        <v>0</v>
      </c>
      <c r="F3" s="7">
        <f>+'[1]Control obra'!CN8</f>
        <v>0</v>
      </c>
      <c r="G3" s="8">
        <f>+'[1]Control obra'!DB8</f>
        <v>0</v>
      </c>
      <c r="H3" s="7">
        <f>+'[1]Control obra'!DO8</f>
        <v>0</v>
      </c>
      <c r="I3" s="7">
        <f>+'[1]Control obra'!EB8</f>
        <v>0</v>
      </c>
      <c r="J3" s="7">
        <f>+'[1]Control obra'!EO8</f>
        <v>0</v>
      </c>
      <c r="K3" s="9">
        <f>+VLOOKUP(A3,[1]Torres!A:E,2,)</f>
        <v>5107730.9263000004</v>
      </c>
      <c r="L3" s="9">
        <f>+VLOOKUP(A3,[1]Torres!A:E,3,)</f>
        <v>2840100.6732000001</v>
      </c>
      <c r="M3" s="9" t="str">
        <f>VLOOKUP(GIS!B3,[1]Comunidades!A:E,1,FALSE)</f>
        <v>Utkap</v>
      </c>
    </row>
    <row r="4" spans="1:13" x14ac:dyDescent="0.2">
      <c r="A4" t="s">
        <v>16</v>
      </c>
      <c r="B4" s="6" t="s">
        <v>14</v>
      </c>
      <c r="C4" s="7" t="str">
        <f>IF(+'[1]Control obra'!AB9&gt;0,"SI","NO")</f>
        <v>NO</v>
      </c>
      <c r="D4" s="7">
        <f>+'[1]Control obra'!AZ9</f>
        <v>0</v>
      </c>
      <c r="E4" s="7">
        <f>+'[1]Control obra'!CA9</f>
        <v>0</v>
      </c>
      <c r="F4" s="7">
        <f>+'[1]Control obra'!CN9</f>
        <v>0</v>
      </c>
      <c r="G4" s="8">
        <f>+'[1]Control obra'!DB9</f>
        <v>0</v>
      </c>
      <c r="H4" s="7">
        <f>+'[1]Control obra'!DO9</f>
        <v>0</v>
      </c>
      <c r="I4" s="7">
        <f>+'[1]Control obra'!EB9</f>
        <v>0</v>
      </c>
      <c r="J4" s="7">
        <f>+'[1]Control obra'!EO9</f>
        <v>0</v>
      </c>
      <c r="K4" s="9">
        <f>+VLOOKUP(A4,[1]Torres!A:E,2,)</f>
        <v>5108056.3926999997</v>
      </c>
      <c r="L4" s="9">
        <f>+VLOOKUP(A4,[1]Torres!A:E,3,)</f>
        <v>2839957.5860000001</v>
      </c>
      <c r="M4" s="9" t="str">
        <f>VLOOKUP(GIS!B4,[1]Comunidades!A:E,1,FALSE)</f>
        <v>Utkap</v>
      </c>
    </row>
    <row r="5" spans="1:13" x14ac:dyDescent="0.2">
      <c r="A5" t="s">
        <v>17</v>
      </c>
      <c r="B5" s="6" t="s">
        <v>14</v>
      </c>
      <c r="C5" s="7" t="str">
        <f>IF(+'[1]Control obra'!AB10&gt;0,"SI","NO")</f>
        <v>NO</v>
      </c>
      <c r="D5" s="7">
        <f>+'[1]Control obra'!AZ10</f>
        <v>0</v>
      </c>
      <c r="E5" s="7">
        <f>+'[1]Control obra'!CA10</f>
        <v>0</v>
      </c>
      <c r="F5" s="7">
        <f>+'[1]Control obra'!CN10</f>
        <v>0</v>
      </c>
      <c r="G5" s="8">
        <f>+'[1]Control obra'!DB10</f>
        <v>0</v>
      </c>
      <c r="H5" s="7">
        <f>+'[1]Control obra'!DO10</f>
        <v>0</v>
      </c>
      <c r="I5" s="7">
        <f>+'[1]Control obra'!EB10</f>
        <v>0</v>
      </c>
      <c r="J5" s="7">
        <f>+'[1]Control obra'!EO10</f>
        <v>0</v>
      </c>
      <c r="K5" s="9">
        <f>+VLOOKUP(A5,[1]Torres!A:E,2,)</f>
        <v>5108135.1651999997</v>
      </c>
      <c r="L5" s="9">
        <f>+VLOOKUP(A5,[1]Torres!A:E,3,)</f>
        <v>2839681.1370999999</v>
      </c>
      <c r="M5" s="9" t="str">
        <f>VLOOKUP(GIS!B5,[1]Comunidades!A:E,1,FALSE)</f>
        <v>Utkap</v>
      </c>
    </row>
    <row r="6" spans="1:13" x14ac:dyDescent="0.2">
      <c r="A6" t="s">
        <v>18</v>
      </c>
      <c r="B6" s="6" t="s">
        <v>14</v>
      </c>
      <c r="C6" s="7" t="str">
        <f>IF(+'[1]Control obra'!AB11&gt;0,"SI","NO")</f>
        <v>NO</v>
      </c>
      <c r="D6" s="7">
        <f>+'[1]Control obra'!AZ11</f>
        <v>0</v>
      </c>
      <c r="E6" s="7">
        <f>+'[1]Control obra'!CA11</f>
        <v>0</v>
      </c>
      <c r="F6" s="7">
        <f>+'[1]Control obra'!CN11</f>
        <v>0</v>
      </c>
      <c r="G6" s="8">
        <f>+'[1]Control obra'!DB11</f>
        <v>0</v>
      </c>
      <c r="H6" s="7">
        <f>+'[1]Control obra'!DO11</f>
        <v>0</v>
      </c>
      <c r="I6" s="7">
        <f>+'[1]Control obra'!EB11</f>
        <v>0</v>
      </c>
      <c r="J6" s="7">
        <f>+'[1]Control obra'!EO11</f>
        <v>0</v>
      </c>
      <c r="K6" s="9">
        <f>+VLOOKUP(A6,[1]Torres!A:E,2,)</f>
        <v>5108239.0040999996</v>
      </c>
      <c r="L6" s="9">
        <f>+VLOOKUP(A6,[1]Torres!A:E,3,)</f>
        <v>2839316.7149999999</v>
      </c>
      <c r="M6" s="9" t="str">
        <f>VLOOKUP(GIS!B6,[1]Comunidades!A:E,1,FALSE)</f>
        <v>Utkap</v>
      </c>
    </row>
    <row r="7" spans="1:13" x14ac:dyDescent="0.2">
      <c r="A7" t="s">
        <v>19</v>
      </c>
      <c r="B7" s="6" t="s">
        <v>14</v>
      </c>
      <c r="C7" s="7" t="str">
        <f>IF(+'[1]Control obra'!AB12&gt;0,"SI","NO")</f>
        <v>NO</v>
      </c>
      <c r="D7" s="7">
        <f>+'[1]Control obra'!AZ12</f>
        <v>0</v>
      </c>
      <c r="E7" s="7">
        <f>+'[1]Control obra'!CA12</f>
        <v>0</v>
      </c>
      <c r="F7" s="7">
        <f>+'[1]Control obra'!CN12</f>
        <v>0</v>
      </c>
      <c r="G7" s="8">
        <f>+'[1]Control obra'!DB12</f>
        <v>0</v>
      </c>
      <c r="H7" s="7">
        <f>+'[1]Control obra'!DO12</f>
        <v>0</v>
      </c>
      <c r="I7" s="7">
        <f>+'[1]Control obra'!EB12</f>
        <v>0</v>
      </c>
      <c r="J7" s="7">
        <f>+'[1]Control obra'!EO12</f>
        <v>0</v>
      </c>
      <c r="K7" s="9">
        <f>+VLOOKUP(A7,[1]Torres!A:E,2,)</f>
        <v>5108048.6529999999</v>
      </c>
      <c r="L7" s="9">
        <f>+VLOOKUP(A7,[1]Torres!A:E,3,)</f>
        <v>2838872.1124999998</v>
      </c>
      <c r="M7" s="9" t="str">
        <f>VLOOKUP(GIS!B7,[1]Comunidades!A:E,1,FALSE)</f>
        <v>Utkap</v>
      </c>
    </row>
    <row r="8" spans="1:13" x14ac:dyDescent="0.2">
      <c r="A8" t="s">
        <v>20</v>
      </c>
      <c r="B8" s="6" t="s">
        <v>21</v>
      </c>
      <c r="C8" s="7" t="str">
        <f>IF(+'[1]Control obra'!AB13&gt;0,"SI","NO")</f>
        <v>NO</v>
      </c>
      <c r="D8" s="7">
        <f>+'[1]Control obra'!AZ13</f>
        <v>0</v>
      </c>
      <c r="E8" s="7">
        <f>+'[1]Control obra'!CA13</f>
        <v>0</v>
      </c>
      <c r="F8" s="7">
        <f>+'[1]Control obra'!CN13</f>
        <v>0</v>
      </c>
      <c r="G8" s="8">
        <f>+'[1]Control obra'!DB13</f>
        <v>0</v>
      </c>
      <c r="H8" s="7">
        <f>+'[1]Control obra'!DO13</f>
        <v>0</v>
      </c>
      <c r="I8" s="7">
        <f>+'[1]Control obra'!EB13</f>
        <v>0</v>
      </c>
      <c r="J8" s="7">
        <f>+'[1]Control obra'!EO13</f>
        <v>0</v>
      </c>
      <c r="K8" s="9">
        <f>+VLOOKUP(A8,[1]Torres!A:E,2,)</f>
        <v>5107873.0317000002</v>
      </c>
      <c r="L8" s="9">
        <f>+VLOOKUP(A8,[1]Torres!A:E,3,)</f>
        <v>2838461.9191000001</v>
      </c>
      <c r="M8" s="9" t="str">
        <f>VLOOKUP(GIS!B8,[1]Comunidades!A:E,1,FALSE)</f>
        <v>Mashuamana</v>
      </c>
    </row>
    <row r="9" spans="1:13" x14ac:dyDescent="0.2">
      <c r="A9" t="s">
        <v>22</v>
      </c>
      <c r="B9" s="6" t="s">
        <v>23</v>
      </c>
      <c r="C9" s="7" t="str">
        <f>IF(+'[1]Control obra'!AB14&gt;0,"SI","NO")</f>
        <v>SI</v>
      </c>
      <c r="D9" s="7">
        <f>+'[1]Control obra'!AZ14</f>
        <v>0.4</v>
      </c>
      <c r="E9" s="7">
        <f>+'[1]Control obra'!CA14</f>
        <v>0</v>
      </c>
      <c r="F9" s="7">
        <f>+'[1]Control obra'!CN14</f>
        <v>0</v>
      </c>
      <c r="G9" s="8">
        <f>+'[1]Control obra'!DB14</f>
        <v>0</v>
      </c>
      <c r="H9" s="7">
        <f>+'[1]Control obra'!DO14</f>
        <v>0</v>
      </c>
      <c r="I9" s="7">
        <f>+'[1]Control obra'!EB14</f>
        <v>0</v>
      </c>
      <c r="J9" s="7">
        <f>+'[1]Control obra'!EO14</f>
        <v>0</v>
      </c>
      <c r="K9" s="9">
        <f>+VLOOKUP(A9,[1]Torres!A:E,2,)</f>
        <v>5107693.7313999999</v>
      </c>
      <c r="L9" s="9">
        <f>+VLOOKUP(A9,[1]Torres!A:E,3,)</f>
        <v>2838043.1342000002</v>
      </c>
      <c r="M9" s="9" t="str">
        <f>VLOOKUP(GIS!B9,[1]Comunidades!A:E,1,FALSE)</f>
        <v>Mashuamana Wane</v>
      </c>
    </row>
    <row r="10" spans="1:13" x14ac:dyDescent="0.2">
      <c r="A10" t="s">
        <v>24</v>
      </c>
      <c r="B10" s="6" t="s">
        <v>23</v>
      </c>
      <c r="C10" s="7" t="str">
        <f>IF(+'[1]Control obra'!AB15&gt;0,"SI","NO")</f>
        <v>SI</v>
      </c>
      <c r="D10" s="7">
        <f>+'[1]Control obra'!AZ15</f>
        <v>1</v>
      </c>
      <c r="E10" s="7">
        <f>+'[1]Control obra'!CA15</f>
        <v>0</v>
      </c>
      <c r="F10" s="7">
        <f>+'[1]Control obra'!CN15</f>
        <v>0</v>
      </c>
      <c r="G10" s="8">
        <f>+'[1]Control obra'!DB15</f>
        <v>0</v>
      </c>
      <c r="H10" s="7">
        <f>+'[1]Control obra'!DO15</f>
        <v>0</v>
      </c>
      <c r="I10" s="7">
        <f>+'[1]Control obra'!EB15</f>
        <v>0</v>
      </c>
      <c r="J10" s="7">
        <f>+'[1]Control obra'!EO15</f>
        <v>0</v>
      </c>
      <c r="K10" s="9">
        <f>+VLOOKUP(A10,[1]Torres!A:E,2,)</f>
        <v>5107500.8151000002</v>
      </c>
      <c r="L10" s="9">
        <f>+VLOOKUP(A10,[1]Torres!A:E,3,)</f>
        <v>2837592.5506000002</v>
      </c>
      <c r="M10" s="9" t="str">
        <f>VLOOKUP(GIS!B10,[1]Comunidades!A:E,1,FALSE)</f>
        <v>Mashuamana Wane</v>
      </c>
    </row>
    <row r="11" spans="1:13" x14ac:dyDescent="0.2">
      <c r="A11" t="s">
        <v>25</v>
      </c>
      <c r="B11" s="6" t="s">
        <v>23</v>
      </c>
      <c r="C11" s="7" t="str">
        <f>IF(+'[1]Control obra'!AB16&gt;0,"SI","NO")</f>
        <v>SI</v>
      </c>
      <c r="D11" s="7">
        <f>+'[1]Control obra'!AZ16</f>
        <v>1</v>
      </c>
      <c r="E11" s="7">
        <f>+'[1]Control obra'!CA16</f>
        <v>0</v>
      </c>
      <c r="F11" s="7">
        <f>+'[1]Control obra'!CN16</f>
        <v>0</v>
      </c>
      <c r="G11" s="8">
        <f>+'[1]Control obra'!DB16</f>
        <v>0</v>
      </c>
      <c r="H11" s="7">
        <f>+'[1]Control obra'!DO16</f>
        <v>0</v>
      </c>
      <c r="I11" s="7">
        <f>+'[1]Control obra'!EB16</f>
        <v>0</v>
      </c>
      <c r="J11" s="7">
        <f>+'[1]Control obra'!EO16</f>
        <v>0</v>
      </c>
      <c r="K11" s="9">
        <f>+VLOOKUP(A11,[1]Torres!A:E,2,)</f>
        <v>5107378.2598999999</v>
      </c>
      <c r="L11" s="9">
        <f>+VLOOKUP(A11,[1]Torres!A:E,3,)</f>
        <v>2837306.3054</v>
      </c>
      <c r="M11" s="9" t="str">
        <f>VLOOKUP(GIS!B11,[1]Comunidades!A:E,1,FALSE)</f>
        <v>Mashuamana Wane</v>
      </c>
    </row>
    <row r="12" spans="1:13" x14ac:dyDescent="0.2">
      <c r="A12" t="s">
        <v>26</v>
      </c>
      <c r="B12" s="6" t="s">
        <v>23</v>
      </c>
      <c r="C12" s="7" t="str">
        <f>IF(+'[1]Control obra'!AB17&gt;0,"SI","NO")</f>
        <v>SI</v>
      </c>
      <c r="D12" s="7">
        <f>+'[1]Control obra'!AZ17</f>
        <v>1</v>
      </c>
      <c r="E12" s="7">
        <f>+'[1]Control obra'!CA17</f>
        <v>1</v>
      </c>
      <c r="F12" s="7">
        <f>+'[1]Control obra'!CN17</f>
        <v>1</v>
      </c>
      <c r="G12" s="8">
        <f>+'[1]Control obra'!DB17</f>
        <v>0</v>
      </c>
      <c r="H12" s="7">
        <f>+'[1]Control obra'!DO17</f>
        <v>1</v>
      </c>
      <c r="I12" s="7">
        <f>+'[1]Control obra'!EB17</f>
        <v>0.12</v>
      </c>
      <c r="J12" s="7">
        <f>+'[1]Control obra'!EO17</f>
        <v>0</v>
      </c>
      <c r="K12" s="9">
        <f>+VLOOKUP(A12,[1]Torres!A:E,2,)</f>
        <v>5107022.7359999996</v>
      </c>
      <c r="L12" s="9">
        <f>+VLOOKUP(A12,[1]Torres!A:E,3,)</f>
        <v>2837166.3579000002</v>
      </c>
      <c r="M12" s="9" t="str">
        <f>VLOOKUP(GIS!B12,[1]Comunidades!A:E,1,FALSE)</f>
        <v>Mashuamana Wane</v>
      </c>
    </row>
    <row r="13" spans="1:13" x14ac:dyDescent="0.2">
      <c r="A13" t="s">
        <v>27</v>
      </c>
      <c r="B13" s="6" t="s">
        <v>28</v>
      </c>
      <c r="C13" s="7" t="str">
        <f>IF(+'[1]Control obra'!AB18&gt;0,"SI","NO")</f>
        <v>SI</v>
      </c>
      <c r="D13" s="7">
        <f>+'[1]Control obra'!AZ18</f>
        <v>1</v>
      </c>
      <c r="E13" s="7">
        <f>+'[1]Control obra'!CA18</f>
        <v>1</v>
      </c>
      <c r="F13" s="7">
        <f>+'[1]Control obra'!CN18</f>
        <v>1</v>
      </c>
      <c r="G13" s="8">
        <f>+'[1]Control obra'!DB18</f>
        <v>1</v>
      </c>
      <c r="H13" s="7">
        <f>+'[1]Control obra'!DO18</f>
        <v>1</v>
      </c>
      <c r="I13" s="7">
        <f>+'[1]Control obra'!EB18</f>
        <v>1</v>
      </c>
      <c r="J13" s="7">
        <f>+'[1]Control obra'!EO18</f>
        <v>1</v>
      </c>
      <c r="K13" s="9">
        <f>+VLOOKUP(A13,[1]Torres!A:E,2,)</f>
        <v>5106568.9208000004</v>
      </c>
      <c r="L13" s="9">
        <f>+VLOOKUP(A13,[1]Torres!A:E,3,)</f>
        <v>2836987.7204</v>
      </c>
      <c r="M13" s="9" t="str">
        <f>VLOOKUP(GIS!B13,[1]Comunidades!A:E,1,FALSE)</f>
        <v>Kamushipá</v>
      </c>
    </row>
    <row r="14" spans="1:13" x14ac:dyDescent="0.2">
      <c r="A14" t="s">
        <v>29</v>
      </c>
      <c r="B14" s="6" t="s">
        <v>28</v>
      </c>
      <c r="C14" s="7" t="str">
        <f>IF(+'[1]Control obra'!AB19&gt;0,"SI","NO")</f>
        <v>SI</v>
      </c>
      <c r="D14" s="7">
        <f>+'[1]Control obra'!AZ19</f>
        <v>1</v>
      </c>
      <c r="E14" s="7">
        <f>+'[1]Control obra'!CA19</f>
        <v>1</v>
      </c>
      <c r="F14" s="7">
        <f>+'[1]Control obra'!CN19</f>
        <v>1</v>
      </c>
      <c r="G14" s="8">
        <f>+'[1]Control obra'!DB19</f>
        <v>1</v>
      </c>
      <c r="H14" s="7">
        <f>+'[1]Control obra'!DO19</f>
        <v>1</v>
      </c>
      <c r="I14" s="7">
        <f>+'[1]Control obra'!EB19</f>
        <v>1</v>
      </c>
      <c r="J14" s="7">
        <f>+'[1]Control obra'!EO19</f>
        <v>1</v>
      </c>
      <c r="K14" s="9">
        <f>+VLOOKUP(A14,[1]Torres!A:E,2,)</f>
        <v>5106107.8433999997</v>
      </c>
      <c r="L14" s="9">
        <f>+VLOOKUP(A14,[1]Torres!A:E,3,)</f>
        <v>2836806.2241000002</v>
      </c>
      <c r="M14" s="9" t="str">
        <f>VLOOKUP(GIS!B14,[1]Comunidades!A:E,1,FALSE)</f>
        <v>Kamushipá</v>
      </c>
    </row>
    <row r="15" spans="1:13" x14ac:dyDescent="0.2">
      <c r="A15" t="s">
        <v>30</v>
      </c>
      <c r="B15" s="6" t="s">
        <v>28</v>
      </c>
      <c r="C15" s="7" t="str">
        <f>IF(+'[1]Control obra'!AB20&gt;0,"SI","NO")</f>
        <v>SI</v>
      </c>
      <c r="D15" s="7">
        <f>+'[1]Control obra'!AZ20</f>
        <v>1</v>
      </c>
      <c r="E15" s="7">
        <f>+'[1]Control obra'!CA20</f>
        <v>1</v>
      </c>
      <c r="F15" s="7">
        <f>+'[1]Control obra'!CN20</f>
        <v>1</v>
      </c>
      <c r="G15" s="8">
        <f>+'[1]Control obra'!DB20</f>
        <v>1</v>
      </c>
      <c r="H15" s="7">
        <f>+'[1]Control obra'!DO20</f>
        <v>1</v>
      </c>
      <c r="I15" s="7">
        <f>+'[1]Control obra'!EB20</f>
        <v>1</v>
      </c>
      <c r="J15" s="7">
        <f>+'[1]Control obra'!EO20</f>
        <v>1</v>
      </c>
      <c r="K15" s="9">
        <f>+VLOOKUP(A15,[1]Torres!A:E,2,)</f>
        <v>5105668.9938000003</v>
      </c>
      <c r="L15" s="9">
        <f>+VLOOKUP(A15,[1]Torres!A:E,3,)</f>
        <v>2836633.4775999999</v>
      </c>
      <c r="M15" s="9" t="str">
        <f>VLOOKUP(GIS!B15,[1]Comunidades!A:E,1,FALSE)</f>
        <v>Kamushipá</v>
      </c>
    </row>
    <row r="16" spans="1:13" x14ac:dyDescent="0.2">
      <c r="A16" t="s">
        <v>31</v>
      </c>
      <c r="B16" s="6" t="s">
        <v>28</v>
      </c>
      <c r="C16" s="7" t="str">
        <f>IF(+'[1]Control obra'!AB21&gt;0,"SI","NO")</f>
        <v>SI</v>
      </c>
      <c r="D16" s="7">
        <f>+'[1]Control obra'!AZ21</f>
        <v>1</v>
      </c>
      <c r="E16" s="7">
        <f>+'[1]Control obra'!CA21</f>
        <v>1</v>
      </c>
      <c r="F16" s="7">
        <f>+'[1]Control obra'!CN21</f>
        <v>1</v>
      </c>
      <c r="G16" s="8">
        <f>+'[1]Control obra'!DB21</f>
        <v>0</v>
      </c>
      <c r="H16" s="7">
        <f>+'[1]Control obra'!DO21</f>
        <v>1</v>
      </c>
      <c r="I16" s="7">
        <f>+'[1]Control obra'!EB21</f>
        <v>1</v>
      </c>
      <c r="J16" s="7">
        <f>+'[1]Control obra'!EO21</f>
        <v>1</v>
      </c>
      <c r="K16" s="9">
        <f>+VLOOKUP(A16,[1]Torres!A:E,2,)</f>
        <v>5105223.6363000004</v>
      </c>
      <c r="L16" s="9">
        <f>+VLOOKUP(A16,[1]Torres!A:E,3,)</f>
        <v>2836458.1710000001</v>
      </c>
      <c r="M16" s="9" t="str">
        <f>VLOOKUP(GIS!B16,[1]Comunidades!A:E,1,FALSE)</f>
        <v>Kamushipá</v>
      </c>
    </row>
    <row r="17" spans="1:13" x14ac:dyDescent="0.2">
      <c r="A17" t="s">
        <v>32</v>
      </c>
      <c r="B17" s="6" t="s">
        <v>33</v>
      </c>
      <c r="C17" s="7" t="str">
        <f>IF(+'[1]Control obra'!AB22&gt;0,"SI","NO")</f>
        <v>SI</v>
      </c>
      <c r="D17" s="7">
        <f>+'[1]Control obra'!AZ22</f>
        <v>1</v>
      </c>
      <c r="E17" s="7">
        <f>+'[1]Control obra'!CA22</f>
        <v>0</v>
      </c>
      <c r="F17" s="7">
        <f>+'[1]Control obra'!CN22</f>
        <v>0</v>
      </c>
      <c r="G17" s="8">
        <f>+'[1]Control obra'!DB22</f>
        <v>0</v>
      </c>
      <c r="H17" s="7">
        <f>+'[1]Control obra'!DO22</f>
        <v>0</v>
      </c>
      <c r="I17" s="7">
        <f>+'[1]Control obra'!EB22</f>
        <v>0</v>
      </c>
      <c r="J17" s="7">
        <f>+'[1]Control obra'!EO22</f>
        <v>0</v>
      </c>
      <c r="K17" s="9">
        <f>+VLOOKUP(A17,[1]Torres!A:E,2,)</f>
        <v>5104816.7687999997</v>
      </c>
      <c r="L17" s="9">
        <f>+VLOOKUP(A17,[1]Torres!A:E,3,)</f>
        <v>2836298.0145</v>
      </c>
      <c r="M17" s="9" t="str">
        <f>VLOOKUP(GIS!B17,[1]Comunidades!A:E,1,FALSE)</f>
        <v>Romana</v>
      </c>
    </row>
    <row r="18" spans="1:13" x14ac:dyDescent="0.2">
      <c r="A18" t="s">
        <v>34</v>
      </c>
      <c r="B18" s="6" t="s">
        <v>33</v>
      </c>
      <c r="C18" s="7" t="str">
        <f>IF(+'[1]Control obra'!AB23&gt;0,"SI","NO")</f>
        <v>SI</v>
      </c>
      <c r="D18" s="7">
        <f>+'[1]Control obra'!AZ23</f>
        <v>1</v>
      </c>
      <c r="E18" s="7">
        <f>+'[1]Control obra'!CA23</f>
        <v>0</v>
      </c>
      <c r="F18" s="7">
        <f>+'[1]Control obra'!CN23</f>
        <v>0</v>
      </c>
      <c r="G18" s="8">
        <f>+'[1]Control obra'!DB23</f>
        <v>0</v>
      </c>
      <c r="H18" s="7">
        <f>+'[1]Control obra'!DO23</f>
        <v>0</v>
      </c>
      <c r="I18" s="7">
        <f>+'[1]Control obra'!EB23</f>
        <v>0</v>
      </c>
      <c r="J18" s="7">
        <f>+'[1]Control obra'!EO23</f>
        <v>0</v>
      </c>
      <c r="K18" s="9">
        <f>+VLOOKUP(A18,[1]Torres!A:E,2,)</f>
        <v>5104392.4288999997</v>
      </c>
      <c r="L18" s="9">
        <f>+VLOOKUP(A18,[1]Torres!A:E,3,)</f>
        <v>2836130.9815000002</v>
      </c>
      <c r="M18" s="9" t="str">
        <f>VLOOKUP(GIS!B18,[1]Comunidades!A:E,1,FALSE)</f>
        <v>Romana</v>
      </c>
    </row>
    <row r="19" spans="1:13" x14ac:dyDescent="0.2">
      <c r="A19" t="s">
        <v>35</v>
      </c>
      <c r="B19" s="6" t="s">
        <v>33</v>
      </c>
      <c r="C19" s="7" t="str">
        <f>IF(+'[1]Control obra'!AB24&gt;0,"SI","NO")</f>
        <v>SI</v>
      </c>
      <c r="D19" s="7">
        <f>+'[1]Control obra'!AZ24</f>
        <v>1</v>
      </c>
      <c r="E19" s="7">
        <f>+'[1]Control obra'!CA24</f>
        <v>0</v>
      </c>
      <c r="F19" s="7">
        <f>+'[1]Control obra'!CN24</f>
        <v>0</v>
      </c>
      <c r="G19" s="8">
        <f>+'[1]Control obra'!DB24</f>
        <v>0</v>
      </c>
      <c r="H19" s="7">
        <f>+'[1]Control obra'!DO24</f>
        <v>0</v>
      </c>
      <c r="I19" s="7">
        <f>+'[1]Control obra'!EB24</f>
        <v>0</v>
      </c>
      <c r="J19" s="7">
        <f>+'[1]Control obra'!EO24</f>
        <v>0</v>
      </c>
      <c r="K19" s="9">
        <f>+VLOOKUP(A19,[1]Torres!A:E,2,)</f>
        <v>5104026.1037999997</v>
      </c>
      <c r="L19" s="9">
        <f>+VLOOKUP(A19,[1]Torres!A:E,3,)</f>
        <v>2835986.7848999999</v>
      </c>
      <c r="M19" s="9" t="str">
        <f>VLOOKUP(GIS!B19,[1]Comunidades!A:E,1,FALSE)</f>
        <v>Romana</v>
      </c>
    </row>
    <row r="20" spans="1:13" x14ac:dyDescent="0.2">
      <c r="A20" t="s">
        <v>36</v>
      </c>
      <c r="B20" s="6" t="s">
        <v>33</v>
      </c>
      <c r="C20" s="7" t="str">
        <f>IF(+'[1]Control obra'!AB25&gt;0,"SI","NO")</f>
        <v>SI</v>
      </c>
      <c r="D20" s="7">
        <f>+'[1]Control obra'!AZ25</f>
        <v>1</v>
      </c>
      <c r="E20" s="7">
        <f>+'[1]Control obra'!CA25</f>
        <v>0</v>
      </c>
      <c r="F20" s="7">
        <f>+'[1]Control obra'!CN25</f>
        <v>0</v>
      </c>
      <c r="G20" s="8">
        <f>+'[1]Control obra'!DB25</f>
        <v>0</v>
      </c>
      <c r="H20" s="7">
        <f>+'[1]Control obra'!DO25</f>
        <v>0</v>
      </c>
      <c r="I20" s="7">
        <f>+'[1]Control obra'!EB25</f>
        <v>0</v>
      </c>
      <c r="J20" s="7">
        <f>+'[1]Control obra'!EO25</f>
        <v>0</v>
      </c>
      <c r="K20" s="9">
        <f>+VLOOKUP(A20,[1]Torres!A:E,2,)</f>
        <v>5103617.01</v>
      </c>
      <c r="L20" s="9">
        <f>+VLOOKUP(A20,[1]Torres!A:E,3,)</f>
        <v>2835825.7541999999</v>
      </c>
      <c r="M20" s="9" t="str">
        <f>VLOOKUP(GIS!B20,[1]Comunidades!A:E,1,FALSE)</f>
        <v>Romana</v>
      </c>
    </row>
    <row r="21" spans="1:13" x14ac:dyDescent="0.2">
      <c r="A21" t="s">
        <v>37</v>
      </c>
      <c r="B21" s="6" t="s">
        <v>33</v>
      </c>
      <c r="C21" s="7" t="str">
        <f>IF(+'[1]Control obra'!AB26&gt;0,"SI","NO")</f>
        <v>SI</v>
      </c>
      <c r="D21" s="7">
        <f>+'[1]Control obra'!AZ26</f>
        <v>1</v>
      </c>
      <c r="E21" s="7">
        <f>+'[1]Control obra'!CA26</f>
        <v>1</v>
      </c>
      <c r="F21" s="7">
        <f>+'[1]Control obra'!CN26</f>
        <v>1</v>
      </c>
      <c r="G21" s="8">
        <f>+'[1]Control obra'!DB26</f>
        <v>0</v>
      </c>
      <c r="H21" s="7">
        <f>+'[1]Control obra'!DO26</f>
        <v>0.92500000000000004</v>
      </c>
      <c r="I21" s="7">
        <f>+'[1]Control obra'!EB26</f>
        <v>0.55400000000000005</v>
      </c>
      <c r="J21" s="7">
        <f>+'[1]Control obra'!EO26</f>
        <v>0</v>
      </c>
      <c r="K21" s="9">
        <f>+VLOOKUP(A21,[1]Torres!A:E,2,)</f>
        <v>5103356.6789999995</v>
      </c>
      <c r="L21" s="9">
        <f>+VLOOKUP(A21,[1]Torres!A:E,3,)</f>
        <v>2835723.2804</v>
      </c>
      <c r="M21" s="9" t="str">
        <f>VLOOKUP(GIS!B21,[1]Comunidades!A:E,1,FALSE)</f>
        <v>Romana</v>
      </c>
    </row>
    <row r="22" spans="1:13" x14ac:dyDescent="0.2">
      <c r="A22" t="s">
        <v>38</v>
      </c>
      <c r="B22" s="6" t="s">
        <v>33</v>
      </c>
      <c r="C22" s="7" t="str">
        <f>IF(+'[1]Control obra'!AB27&gt;0,"SI","NO")</f>
        <v>SI</v>
      </c>
      <c r="D22" s="7">
        <f>+'[1]Control obra'!AZ27</f>
        <v>1</v>
      </c>
      <c r="E22" s="7">
        <f>+'[1]Control obra'!CA27</f>
        <v>1</v>
      </c>
      <c r="F22" s="7">
        <f>+'[1]Control obra'!CN27</f>
        <v>1</v>
      </c>
      <c r="G22" s="8">
        <f>+'[1]Control obra'!DB27</f>
        <v>1</v>
      </c>
      <c r="H22" s="7">
        <f>+'[1]Control obra'!DO27</f>
        <v>1</v>
      </c>
      <c r="I22" s="7">
        <f>+'[1]Control obra'!EB27</f>
        <v>1</v>
      </c>
      <c r="J22" s="7">
        <f>+'[1]Control obra'!EO27</f>
        <v>1</v>
      </c>
      <c r="K22" s="9">
        <f>+VLOOKUP(A22,[1]Torres!A:E,2,)</f>
        <v>5102904.3520999998</v>
      </c>
      <c r="L22" s="9">
        <f>+VLOOKUP(A22,[1]Torres!A:E,3,)</f>
        <v>2835545.2322</v>
      </c>
      <c r="M22" s="9" t="str">
        <f>VLOOKUP(GIS!B22,[1]Comunidades!A:E,1,FALSE)</f>
        <v>Romana</v>
      </c>
    </row>
    <row r="23" spans="1:13" x14ac:dyDescent="0.2">
      <c r="A23" t="s">
        <v>39</v>
      </c>
      <c r="B23" s="6" t="s">
        <v>33</v>
      </c>
      <c r="C23" s="7" t="str">
        <f>IF(+'[1]Control obra'!AB28&gt;0,"SI","NO")</f>
        <v>SI</v>
      </c>
      <c r="D23" s="7">
        <f>+'[1]Control obra'!AZ28</f>
        <v>1</v>
      </c>
      <c r="E23" s="7">
        <f>+'[1]Control obra'!CA28</f>
        <v>1</v>
      </c>
      <c r="F23" s="7">
        <f>+'[1]Control obra'!CN28</f>
        <v>1</v>
      </c>
      <c r="G23" s="8">
        <f>+'[1]Control obra'!DB28</f>
        <v>1</v>
      </c>
      <c r="H23" s="7">
        <f>+'[1]Control obra'!DO28</f>
        <v>0.92500000000000004</v>
      </c>
      <c r="I23" s="7">
        <f>+'[1]Control obra'!EB28</f>
        <v>1</v>
      </c>
      <c r="J23" s="7">
        <f>+'[1]Control obra'!EO28</f>
        <v>1</v>
      </c>
      <c r="K23" s="9">
        <f>+VLOOKUP(A23,[1]Torres!A:E,2,)</f>
        <v>5102549.9583000001</v>
      </c>
      <c r="L23" s="9">
        <f>+VLOOKUP(A23,[1]Torres!A:E,3,)</f>
        <v>2835352.0896999999</v>
      </c>
      <c r="M23" s="9" t="str">
        <f>VLOOKUP(GIS!B23,[1]Comunidades!A:E,1,FALSE)</f>
        <v>Romana</v>
      </c>
    </row>
    <row r="24" spans="1:13" x14ac:dyDescent="0.2">
      <c r="A24" t="s">
        <v>40</v>
      </c>
      <c r="B24" s="6" t="s">
        <v>33</v>
      </c>
      <c r="C24" s="7" t="str">
        <f>IF(+'[1]Control obra'!AB29&gt;0,"SI","NO")</f>
        <v>SI</v>
      </c>
      <c r="D24" s="7">
        <f>+'[1]Control obra'!AZ29</f>
        <v>1</v>
      </c>
      <c r="E24" s="7">
        <f>+'[1]Control obra'!CA29</f>
        <v>0.7</v>
      </c>
      <c r="F24" s="7">
        <f>+'[1]Control obra'!CN29</f>
        <v>0.66666666666666663</v>
      </c>
      <c r="G24" s="8">
        <f>+'[1]Control obra'!DB29</f>
        <v>0</v>
      </c>
      <c r="H24" s="7">
        <f>+'[1]Control obra'!DO29</f>
        <v>0</v>
      </c>
      <c r="I24" s="7">
        <f>+'[1]Control obra'!EB29</f>
        <v>0.01</v>
      </c>
      <c r="J24" s="7">
        <f>+'[1]Control obra'!EO29</f>
        <v>0</v>
      </c>
      <c r="K24" s="9">
        <f>+VLOOKUP(A24,[1]Torres!A:E,2,)</f>
        <v>5102155.5323999999</v>
      </c>
      <c r="L24" s="9">
        <f>+VLOOKUP(A24,[1]Torres!A:E,3,)</f>
        <v>2835137.1299000001</v>
      </c>
      <c r="M24" s="9" t="str">
        <f>VLOOKUP(GIS!B24,[1]Comunidades!A:E,1,FALSE)</f>
        <v>Romana</v>
      </c>
    </row>
    <row r="25" spans="1:13" x14ac:dyDescent="0.2">
      <c r="A25" t="s">
        <v>41</v>
      </c>
      <c r="B25" s="6" t="s">
        <v>42</v>
      </c>
      <c r="C25" s="7" t="str">
        <f>IF(+'[1]Control obra'!AB30&gt;0,"SI","NO")</f>
        <v>NO</v>
      </c>
      <c r="D25" s="7">
        <f>+'[1]Control obra'!AZ30</f>
        <v>0</v>
      </c>
      <c r="E25" s="7">
        <f>+'[1]Control obra'!CA30</f>
        <v>0</v>
      </c>
      <c r="F25" s="7">
        <f>+'[1]Control obra'!CN30</f>
        <v>0</v>
      </c>
      <c r="G25" s="8">
        <f>+'[1]Control obra'!DB30</f>
        <v>0</v>
      </c>
      <c r="H25" s="7">
        <f>+'[1]Control obra'!DO30</f>
        <v>0</v>
      </c>
      <c r="I25" s="7">
        <f>+'[1]Control obra'!EB30</f>
        <v>0</v>
      </c>
      <c r="J25" s="7">
        <f>+'[1]Control obra'!EO30</f>
        <v>0</v>
      </c>
      <c r="K25" s="9">
        <f>+VLOOKUP(A25,[1]Torres!A:E,2,)</f>
        <v>5101739.3172000004</v>
      </c>
      <c r="L25" s="9">
        <f>+VLOOKUP(A25,[1]Torres!A:E,3,)</f>
        <v>2834910.2958</v>
      </c>
      <c r="M25" s="9" t="str">
        <f>VLOOKUP(GIS!B25,[1]Comunidades!A:E,1,FALSE)</f>
        <v>Kijotchon</v>
      </c>
    </row>
    <row r="26" spans="1:13" x14ac:dyDescent="0.2">
      <c r="A26" t="s">
        <v>43</v>
      </c>
      <c r="B26" s="6" t="s">
        <v>42</v>
      </c>
      <c r="C26" s="7" t="str">
        <f>IF(+'[1]Control obra'!AB31&gt;0,"SI","NO")</f>
        <v>NO</v>
      </c>
      <c r="D26" s="7">
        <f>+'[1]Control obra'!AZ31</f>
        <v>0</v>
      </c>
      <c r="E26" s="7">
        <f>+'[1]Control obra'!CA31</f>
        <v>0</v>
      </c>
      <c r="F26" s="7">
        <f>+'[1]Control obra'!CN31</f>
        <v>0</v>
      </c>
      <c r="G26" s="8">
        <f>+'[1]Control obra'!DB31</f>
        <v>0</v>
      </c>
      <c r="H26" s="7">
        <f>+'[1]Control obra'!DO31</f>
        <v>0</v>
      </c>
      <c r="I26" s="7">
        <f>+'[1]Control obra'!EB31</f>
        <v>0</v>
      </c>
      <c r="J26" s="7">
        <f>+'[1]Control obra'!EO31</f>
        <v>0</v>
      </c>
      <c r="K26" s="9">
        <f>+VLOOKUP(A26,[1]Torres!A:E,2,)</f>
        <v>5101450.4376999997</v>
      </c>
      <c r="L26" s="9">
        <f>+VLOOKUP(A26,[1]Torres!A:E,3,)</f>
        <v>2834752.8599</v>
      </c>
      <c r="M26" s="9" t="str">
        <f>VLOOKUP(GIS!B26,[1]Comunidades!A:E,1,FALSE)</f>
        <v>Kijotchon</v>
      </c>
    </row>
    <row r="27" spans="1:13" x14ac:dyDescent="0.2">
      <c r="A27" t="s">
        <v>44</v>
      </c>
      <c r="B27" s="6" t="s">
        <v>42</v>
      </c>
      <c r="C27" s="7" t="str">
        <f>IF(+'[1]Control obra'!AB32&gt;0,"SI","NO")</f>
        <v>NO</v>
      </c>
      <c r="D27" s="7">
        <f>+'[1]Control obra'!AZ32</f>
        <v>0</v>
      </c>
      <c r="E27" s="7">
        <f>+'[1]Control obra'!CA32</f>
        <v>0</v>
      </c>
      <c r="F27" s="7">
        <f>+'[1]Control obra'!CN32</f>
        <v>0</v>
      </c>
      <c r="G27" s="8">
        <f>+'[1]Control obra'!DB32</f>
        <v>0</v>
      </c>
      <c r="H27" s="7">
        <f>+'[1]Control obra'!DO32</f>
        <v>0</v>
      </c>
      <c r="I27" s="7">
        <f>+'[1]Control obra'!EB32</f>
        <v>0</v>
      </c>
      <c r="J27" s="7">
        <f>+'[1]Control obra'!EO32</f>
        <v>0</v>
      </c>
      <c r="K27" s="9">
        <f>+VLOOKUP(A27,[1]Torres!A:E,2,)</f>
        <v>5100918.9082000004</v>
      </c>
      <c r="L27" s="9">
        <f>+VLOOKUP(A27,[1]Torres!A:E,3,)</f>
        <v>2834463.1812</v>
      </c>
      <c r="M27" s="9" t="str">
        <f>VLOOKUP(GIS!B27,[1]Comunidades!A:E,1,FALSE)</f>
        <v>Kijotchon</v>
      </c>
    </row>
    <row r="28" spans="1:13" x14ac:dyDescent="0.2">
      <c r="A28" t="s">
        <v>45</v>
      </c>
      <c r="B28" s="6" t="s">
        <v>42</v>
      </c>
      <c r="C28" s="7" t="str">
        <f>IF(+'[1]Control obra'!AB33&gt;0,"SI","NO")</f>
        <v>NO</v>
      </c>
      <c r="D28" s="7">
        <f>+'[1]Control obra'!AZ33</f>
        <v>0</v>
      </c>
      <c r="E28" s="7">
        <f>+'[1]Control obra'!CA33</f>
        <v>0</v>
      </c>
      <c r="F28" s="7">
        <f>+'[1]Control obra'!CN33</f>
        <v>0</v>
      </c>
      <c r="G28" s="8">
        <f>+'[1]Control obra'!DB33</f>
        <v>0</v>
      </c>
      <c r="H28" s="7">
        <f>+'[1]Control obra'!DO33</f>
        <v>0</v>
      </c>
      <c r="I28" s="7">
        <f>+'[1]Control obra'!EB33</f>
        <v>0</v>
      </c>
      <c r="J28" s="7">
        <f>+'[1]Control obra'!EO33</f>
        <v>0</v>
      </c>
      <c r="K28" s="9">
        <f>+VLOOKUP(A28,[1]Torres!A:E,2,)</f>
        <v>5100421.0136000002</v>
      </c>
      <c r="L28" s="9">
        <f>+VLOOKUP(A28,[1]Torres!A:E,3,)</f>
        <v>2834191.8355</v>
      </c>
      <c r="M28" s="9" t="str">
        <f>VLOOKUP(GIS!B28,[1]Comunidades!A:E,1,FALSE)</f>
        <v>Kijotchon</v>
      </c>
    </row>
    <row r="29" spans="1:13" x14ac:dyDescent="0.2">
      <c r="A29" t="s">
        <v>46</v>
      </c>
      <c r="B29" s="6" t="s">
        <v>42</v>
      </c>
      <c r="C29" s="7" t="str">
        <f>IF(+'[1]Control obra'!AB34&gt;0,"SI","NO")</f>
        <v>NO</v>
      </c>
      <c r="D29" s="7">
        <f>+'[1]Control obra'!AZ34</f>
        <v>0</v>
      </c>
      <c r="E29" s="7">
        <f>+'[1]Control obra'!CA34</f>
        <v>0</v>
      </c>
      <c r="F29" s="7">
        <f>+'[1]Control obra'!CN34</f>
        <v>0</v>
      </c>
      <c r="G29" s="8">
        <f>+'[1]Control obra'!DB34</f>
        <v>0</v>
      </c>
      <c r="H29" s="7">
        <f>+'[1]Control obra'!DO34</f>
        <v>0</v>
      </c>
      <c r="I29" s="7">
        <f>+'[1]Control obra'!EB34</f>
        <v>0</v>
      </c>
      <c r="J29" s="7">
        <f>+'[1]Control obra'!EO34</f>
        <v>0</v>
      </c>
      <c r="K29" s="9">
        <f>+VLOOKUP(A29,[1]Torres!A:E,2,)</f>
        <v>5100047.2644999996</v>
      </c>
      <c r="L29" s="9">
        <f>+VLOOKUP(A29,[1]Torres!A:E,3,)</f>
        <v>2833988.1474000001</v>
      </c>
      <c r="M29" s="9" t="str">
        <f>VLOOKUP(GIS!B29,[1]Comunidades!A:E,1,FALSE)</f>
        <v>Kijotchon</v>
      </c>
    </row>
    <row r="30" spans="1:13" x14ac:dyDescent="0.2">
      <c r="A30" t="s">
        <v>47</v>
      </c>
      <c r="B30" s="6" t="s">
        <v>48</v>
      </c>
      <c r="C30" s="7" t="str">
        <f>IF(+'[1]Control obra'!AB35&gt;0,"SI","NO")</f>
        <v>NO</v>
      </c>
      <c r="D30" s="7">
        <f>+'[1]Control obra'!AZ35</f>
        <v>0</v>
      </c>
      <c r="E30" s="7">
        <f>+'[1]Control obra'!CA35</f>
        <v>0</v>
      </c>
      <c r="F30" s="7">
        <f>+'[1]Control obra'!CN35</f>
        <v>0</v>
      </c>
      <c r="G30" s="8">
        <f>+'[1]Control obra'!DB35</f>
        <v>0</v>
      </c>
      <c r="H30" s="7">
        <f>+'[1]Control obra'!DO35</f>
        <v>0</v>
      </c>
      <c r="I30" s="7">
        <f>+'[1]Control obra'!EB35</f>
        <v>0</v>
      </c>
      <c r="J30" s="7">
        <f>+'[1]Control obra'!EO35</f>
        <v>0</v>
      </c>
      <c r="K30" s="9">
        <f>+VLOOKUP(A30,[1]Torres!A:E,2,)</f>
        <v>5099756.3886000002</v>
      </c>
      <c r="L30" s="9">
        <f>+VLOOKUP(A30,[1]Torres!A:E,3,)</f>
        <v>2833829.6247</v>
      </c>
      <c r="M30" s="9" t="str">
        <f>VLOOKUP(GIS!B30,[1]Comunidades!A:E,1,FALSE)</f>
        <v>Pajakat</v>
      </c>
    </row>
    <row r="31" spans="1:13" x14ac:dyDescent="0.2">
      <c r="A31" t="s">
        <v>49</v>
      </c>
      <c r="B31" s="6" t="s">
        <v>50</v>
      </c>
      <c r="C31" s="7" t="str">
        <f>IF(+'[1]Control obra'!AB36&gt;0,"SI","NO")</f>
        <v>NO</v>
      </c>
      <c r="D31" s="7">
        <f>+'[1]Control obra'!AZ36</f>
        <v>0</v>
      </c>
      <c r="E31" s="7">
        <f>+'[1]Control obra'!CA36</f>
        <v>0</v>
      </c>
      <c r="F31" s="7">
        <f>+'[1]Control obra'!CN36</f>
        <v>0</v>
      </c>
      <c r="G31" s="8">
        <f>+'[1]Control obra'!DB36</f>
        <v>0</v>
      </c>
      <c r="H31" s="7">
        <f>+'[1]Control obra'!DO36</f>
        <v>0</v>
      </c>
      <c r="I31" s="7">
        <f>+'[1]Control obra'!EB36</f>
        <v>0</v>
      </c>
      <c r="J31" s="7">
        <f>+'[1]Control obra'!EO36</f>
        <v>0</v>
      </c>
      <c r="K31" s="9">
        <f>+VLOOKUP(A31,[1]Torres!A:E,2,)</f>
        <v>5099342.2011000002</v>
      </c>
      <c r="L31" s="9">
        <f>+VLOOKUP(A31,[1]Torres!A:E,3,)</f>
        <v>2833603.8988999999</v>
      </c>
      <c r="M31" s="9" t="str">
        <f>VLOOKUP(GIS!B31,[1]Comunidades!A:E,1,FALSE)</f>
        <v>Amalipa</v>
      </c>
    </row>
    <row r="32" spans="1:13" x14ac:dyDescent="0.2">
      <c r="A32" t="s">
        <v>51</v>
      </c>
      <c r="B32" s="6" t="s">
        <v>52</v>
      </c>
      <c r="C32" s="7" t="str">
        <f>IF(+'[1]Control obra'!AB37&gt;0,"SI","NO")</f>
        <v>NO</v>
      </c>
      <c r="D32" s="7">
        <f>+'[1]Control obra'!AZ37</f>
        <v>0</v>
      </c>
      <c r="E32" s="7">
        <f>+'[1]Control obra'!CA37</f>
        <v>0</v>
      </c>
      <c r="F32" s="7">
        <f>+'[1]Control obra'!CN37</f>
        <v>0</v>
      </c>
      <c r="G32" s="8">
        <f>+'[1]Control obra'!DB37</f>
        <v>0</v>
      </c>
      <c r="H32" s="7">
        <f>+'[1]Control obra'!DO37</f>
        <v>0</v>
      </c>
      <c r="I32" s="7">
        <f>+'[1]Control obra'!EB37</f>
        <v>0</v>
      </c>
      <c r="J32" s="7">
        <f>+'[1]Control obra'!EO37</f>
        <v>0</v>
      </c>
      <c r="K32" s="9">
        <f>+VLOOKUP(A32,[1]Torres!A:E,2,)</f>
        <v>5099143.4013999999</v>
      </c>
      <c r="L32" s="9">
        <f>+VLOOKUP(A32,[1]Torres!A:E,3,)</f>
        <v>2833146.8300999999</v>
      </c>
      <c r="M32" s="9" t="str">
        <f>VLOOKUP(GIS!B32,[1]Comunidades!A:E,1,FALSE)</f>
        <v>Pioreka</v>
      </c>
    </row>
    <row r="33" spans="1:13" x14ac:dyDescent="0.2">
      <c r="A33" t="s">
        <v>53</v>
      </c>
      <c r="B33" s="6" t="s">
        <v>52</v>
      </c>
      <c r="C33" s="7" t="str">
        <f>IF(+'[1]Control obra'!AB38&gt;0,"SI","NO")</f>
        <v>NO</v>
      </c>
      <c r="D33" s="7">
        <f>+'[1]Control obra'!AZ38</f>
        <v>0</v>
      </c>
      <c r="E33" s="7">
        <f>+'[1]Control obra'!CA38</f>
        <v>0</v>
      </c>
      <c r="F33" s="7">
        <f>+'[1]Control obra'!CN38</f>
        <v>0</v>
      </c>
      <c r="G33" s="8">
        <f>+'[1]Control obra'!DB38</f>
        <v>0</v>
      </c>
      <c r="H33" s="7">
        <f>+'[1]Control obra'!DO38</f>
        <v>0</v>
      </c>
      <c r="I33" s="7">
        <f>+'[1]Control obra'!EB38</f>
        <v>0</v>
      </c>
      <c r="J33" s="7">
        <f>+'[1]Control obra'!EO38</f>
        <v>0</v>
      </c>
      <c r="K33" s="9">
        <f>+VLOOKUP(A33,[1]Torres!A:E,2,)</f>
        <v>5098636.2861000001</v>
      </c>
      <c r="L33" s="9">
        <f>+VLOOKUP(A33,[1]Torres!A:E,3,)</f>
        <v>2832877.2648999998</v>
      </c>
      <c r="M33" s="9" t="str">
        <f>VLOOKUP(GIS!B33,[1]Comunidades!A:E,1,FALSE)</f>
        <v>Pioreka</v>
      </c>
    </row>
    <row r="34" spans="1:13" x14ac:dyDescent="0.2">
      <c r="A34" t="s">
        <v>54</v>
      </c>
      <c r="B34" s="6" t="s">
        <v>52</v>
      </c>
      <c r="C34" s="7" t="str">
        <f>IF(+'[1]Control obra'!AB39&gt;0,"SI","NO")</f>
        <v>NO</v>
      </c>
      <c r="D34" s="7">
        <f>+'[1]Control obra'!AZ39</f>
        <v>0</v>
      </c>
      <c r="E34" s="7">
        <f>+'[1]Control obra'!CA39</f>
        <v>0</v>
      </c>
      <c r="F34" s="7">
        <f>+'[1]Control obra'!CN39</f>
        <v>0</v>
      </c>
      <c r="G34" s="8">
        <f>+'[1]Control obra'!DB39</f>
        <v>0</v>
      </c>
      <c r="H34" s="7">
        <f>+'[1]Control obra'!DO39</f>
        <v>0</v>
      </c>
      <c r="I34" s="7">
        <f>+'[1]Control obra'!EB39</f>
        <v>0</v>
      </c>
      <c r="J34" s="7">
        <f>+'[1]Control obra'!EO39</f>
        <v>0</v>
      </c>
      <c r="K34" s="9">
        <f>+VLOOKUP(A34,[1]Torres!A:E,2,)</f>
        <v>5098295.0798000004</v>
      </c>
      <c r="L34" s="9">
        <f>+VLOOKUP(A34,[1]Torres!A:E,3,)</f>
        <v>2832695.8916000002</v>
      </c>
      <c r="M34" s="9" t="str">
        <f>VLOOKUP(GIS!B34,[1]Comunidades!A:E,1,FALSE)</f>
        <v>Pioreka</v>
      </c>
    </row>
    <row r="35" spans="1:13" x14ac:dyDescent="0.2">
      <c r="A35" t="s">
        <v>55</v>
      </c>
      <c r="B35" s="6" t="s">
        <v>52</v>
      </c>
      <c r="C35" s="7" t="str">
        <f>IF(+'[1]Control obra'!AB40&gt;0,"SI","NO")</f>
        <v>NO</v>
      </c>
      <c r="D35" s="7">
        <f>+'[1]Control obra'!AZ40</f>
        <v>0</v>
      </c>
      <c r="E35" s="7">
        <f>+'[1]Control obra'!CA40</f>
        <v>0</v>
      </c>
      <c r="F35" s="7">
        <f>+'[1]Control obra'!CN40</f>
        <v>0</v>
      </c>
      <c r="G35" s="8">
        <f>+'[1]Control obra'!DB40</f>
        <v>0</v>
      </c>
      <c r="H35" s="7">
        <f>+'[1]Control obra'!DO40</f>
        <v>0</v>
      </c>
      <c r="I35" s="7">
        <f>+'[1]Control obra'!EB40</f>
        <v>0</v>
      </c>
      <c r="J35" s="7">
        <f>+'[1]Control obra'!EO40</f>
        <v>0</v>
      </c>
      <c r="K35" s="9">
        <f>+VLOOKUP(A35,[1]Torres!A:E,2,)</f>
        <v>5097941.5621999996</v>
      </c>
      <c r="L35" s="9">
        <f>+VLOOKUP(A35,[1]Torres!A:E,3,)</f>
        <v>2832444.767</v>
      </c>
      <c r="M35" s="9" t="str">
        <f>VLOOKUP(GIS!B35,[1]Comunidades!A:E,1,FALSE)</f>
        <v>Pioreka</v>
      </c>
    </row>
    <row r="36" spans="1:13" x14ac:dyDescent="0.2">
      <c r="A36" t="s">
        <v>56</v>
      </c>
      <c r="B36" s="6" t="s">
        <v>52</v>
      </c>
      <c r="C36" s="7" t="str">
        <f>IF(+'[1]Control obra'!AB41&gt;0,"SI","NO")</f>
        <v>NO</v>
      </c>
      <c r="D36" s="7">
        <f>+'[1]Control obra'!AZ41</f>
        <v>0</v>
      </c>
      <c r="E36" s="7">
        <f>+'[1]Control obra'!CA41</f>
        <v>0</v>
      </c>
      <c r="F36" s="7">
        <f>+'[1]Control obra'!CN41</f>
        <v>0</v>
      </c>
      <c r="G36" s="8">
        <f>+'[1]Control obra'!DB41</f>
        <v>0</v>
      </c>
      <c r="H36" s="7">
        <f>+'[1]Control obra'!DO41</f>
        <v>0</v>
      </c>
      <c r="I36" s="7">
        <f>+'[1]Control obra'!EB41</f>
        <v>0</v>
      </c>
      <c r="J36" s="7">
        <f>+'[1]Control obra'!EO41</f>
        <v>0</v>
      </c>
      <c r="K36" s="9">
        <f>+VLOOKUP(A36,[1]Torres!A:E,2,)</f>
        <v>5097579.0821000002</v>
      </c>
      <c r="L36" s="9">
        <f>+VLOOKUP(A36,[1]Torres!A:E,3,)</f>
        <v>2832187.2763999999</v>
      </c>
      <c r="M36" s="9" t="str">
        <f>VLOOKUP(GIS!B36,[1]Comunidades!A:E,1,FALSE)</f>
        <v>Pioreka</v>
      </c>
    </row>
    <row r="37" spans="1:13" x14ac:dyDescent="0.2">
      <c r="A37" t="s">
        <v>57</v>
      </c>
      <c r="B37" s="6" t="s">
        <v>52</v>
      </c>
      <c r="C37" s="7" t="str">
        <f>IF(+'[1]Control obra'!AB42&gt;0,"SI","NO")</f>
        <v>NO</v>
      </c>
      <c r="D37" s="7">
        <f>+'[1]Control obra'!AZ42</f>
        <v>0.1</v>
      </c>
      <c r="E37" s="7">
        <f>+'[1]Control obra'!CA42</f>
        <v>0</v>
      </c>
      <c r="F37" s="7">
        <f>+'[1]Control obra'!CN42</f>
        <v>0</v>
      </c>
      <c r="G37" s="8">
        <f>+'[1]Control obra'!DB42</f>
        <v>0</v>
      </c>
      <c r="H37" s="7">
        <f>+'[1]Control obra'!DO42</f>
        <v>0</v>
      </c>
      <c r="I37" s="7">
        <f>+'[1]Control obra'!EB42</f>
        <v>0</v>
      </c>
      <c r="J37" s="7">
        <f>+'[1]Control obra'!EO42</f>
        <v>0</v>
      </c>
      <c r="K37" s="9">
        <f>+VLOOKUP(A37,[1]Torres!A:E,2,)</f>
        <v>5097173.6880000001</v>
      </c>
      <c r="L37" s="9">
        <f>+VLOOKUP(A37,[1]Torres!A:E,3,)</f>
        <v>2831899.3026000001</v>
      </c>
      <c r="M37" s="9" t="str">
        <f>VLOOKUP(GIS!B37,[1]Comunidades!A:E,1,FALSE)</f>
        <v>Pioreka</v>
      </c>
    </row>
    <row r="38" spans="1:13" x14ac:dyDescent="0.2">
      <c r="A38" t="s">
        <v>58</v>
      </c>
      <c r="B38" s="6" t="s">
        <v>52</v>
      </c>
      <c r="C38" s="7" t="str">
        <f>IF(+'[1]Control obra'!AB43&gt;0,"SI","NO")</f>
        <v>SI</v>
      </c>
      <c r="D38" s="7">
        <f>+'[1]Control obra'!AZ43</f>
        <v>1</v>
      </c>
      <c r="E38" s="7">
        <f>+'[1]Control obra'!CA43</f>
        <v>0</v>
      </c>
      <c r="F38" s="7">
        <f>+'[1]Control obra'!CN43</f>
        <v>0</v>
      </c>
      <c r="G38" s="8">
        <f>+'[1]Control obra'!DB43</f>
        <v>0</v>
      </c>
      <c r="H38" s="7">
        <f>+'[1]Control obra'!DO43</f>
        <v>0</v>
      </c>
      <c r="I38" s="7">
        <f>+'[1]Control obra'!EB43</f>
        <v>0</v>
      </c>
      <c r="J38" s="7">
        <f>+'[1]Control obra'!EO43</f>
        <v>0</v>
      </c>
      <c r="K38" s="9">
        <f>+VLOOKUP(A38,[1]Torres!A:E,2,)</f>
        <v>5096802.9546999997</v>
      </c>
      <c r="L38" s="9">
        <f>+VLOOKUP(A38,[1]Torres!A:E,3,)</f>
        <v>2831635.9504999998</v>
      </c>
      <c r="M38" s="9" t="str">
        <f>VLOOKUP(GIS!B38,[1]Comunidades!A:E,1,FALSE)</f>
        <v>Pioreka</v>
      </c>
    </row>
    <row r="39" spans="1:13" x14ac:dyDescent="0.2">
      <c r="A39" t="s">
        <v>59</v>
      </c>
      <c r="B39" s="6" t="s">
        <v>52</v>
      </c>
      <c r="C39" s="7" t="str">
        <f>IF(+'[1]Control obra'!AB44&gt;0,"SI","NO")</f>
        <v>NO</v>
      </c>
      <c r="D39" s="7">
        <f>+'[1]Control obra'!AZ44</f>
        <v>0</v>
      </c>
      <c r="E39" s="7">
        <f>+'[1]Control obra'!CA44</f>
        <v>0</v>
      </c>
      <c r="F39" s="7">
        <f>+'[1]Control obra'!CN44</f>
        <v>0</v>
      </c>
      <c r="G39" s="8">
        <f>+'[1]Control obra'!DB44</f>
        <v>0</v>
      </c>
      <c r="H39" s="7">
        <f>+'[1]Control obra'!DO44</f>
        <v>0</v>
      </c>
      <c r="I39" s="7">
        <f>+'[1]Control obra'!EB44</f>
        <v>0</v>
      </c>
      <c r="J39" s="7">
        <f>+'[1]Control obra'!EO44</f>
        <v>0</v>
      </c>
      <c r="K39" s="9">
        <f>+VLOOKUP(A39,[1]Torres!A:E,2,)</f>
        <v>5096783.4352000002</v>
      </c>
      <c r="L39" s="9">
        <f>+VLOOKUP(A39,[1]Torres!A:E,3,)</f>
        <v>2831282.6020999998</v>
      </c>
      <c r="M39" s="9" t="str">
        <f>VLOOKUP(GIS!B39,[1]Comunidades!A:E,1,FALSE)</f>
        <v>Pioreka</v>
      </c>
    </row>
    <row r="40" spans="1:13" x14ac:dyDescent="0.2">
      <c r="A40" t="s">
        <v>60</v>
      </c>
      <c r="B40" s="6" t="s">
        <v>52</v>
      </c>
      <c r="C40" s="7" t="str">
        <f>IF(+'[1]Control obra'!AB45&gt;0,"SI","NO")</f>
        <v>NO</v>
      </c>
      <c r="D40" s="7">
        <f>+'[1]Control obra'!AZ45</f>
        <v>0</v>
      </c>
      <c r="E40" s="7">
        <f>+'[1]Control obra'!CA45</f>
        <v>0</v>
      </c>
      <c r="F40" s="7">
        <f>+'[1]Control obra'!CN45</f>
        <v>0</v>
      </c>
      <c r="G40" s="8">
        <f>+'[1]Control obra'!DB45</f>
        <v>0</v>
      </c>
      <c r="H40" s="7">
        <f>+'[1]Control obra'!DO45</f>
        <v>0</v>
      </c>
      <c r="I40" s="7">
        <f>+'[1]Control obra'!EB45</f>
        <v>0</v>
      </c>
      <c r="J40" s="7">
        <f>+'[1]Control obra'!EO45</f>
        <v>0</v>
      </c>
      <c r="K40" s="9">
        <f>+VLOOKUP(A40,[1]Torres!A:E,2,)</f>
        <v>5096758.6343999999</v>
      </c>
      <c r="L40" s="9">
        <f>+VLOOKUP(A40,[1]Torres!A:E,3,)</f>
        <v>2830833.6658000001</v>
      </c>
      <c r="M40" s="9" t="str">
        <f>VLOOKUP(GIS!B40,[1]Comunidades!A:E,1,FALSE)</f>
        <v>Pioreka</v>
      </c>
    </row>
    <row r="41" spans="1:13" x14ac:dyDescent="0.2">
      <c r="A41" t="s">
        <v>61</v>
      </c>
      <c r="B41" s="6" t="s">
        <v>52</v>
      </c>
      <c r="C41" s="7" t="str">
        <f>IF(+'[1]Control obra'!AB46&gt;0,"SI","NO")</f>
        <v>NO</v>
      </c>
      <c r="D41" s="7">
        <f>+'[1]Control obra'!AZ46</f>
        <v>0</v>
      </c>
      <c r="E41" s="7">
        <f>+'[1]Control obra'!CA46</f>
        <v>0</v>
      </c>
      <c r="F41" s="7">
        <f>+'[1]Control obra'!CN46</f>
        <v>0</v>
      </c>
      <c r="G41" s="8">
        <f>+'[1]Control obra'!DB46</f>
        <v>0</v>
      </c>
      <c r="H41" s="7">
        <f>+'[1]Control obra'!DO46</f>
        <v>0</v>
      </c>
      <c r="I41" s="7">
        <f>+'[1]Control obra'!EB46</f>
        <v>0</v>
      </c>
      <c r="J41" s="7">
        <f>+'[1]Control obra'!EO46</f>
        <v>0</v>
      </c>
      <c r="K41" s="9">
        <f>+VLOOKUP(A41,[1]Torres!A:E,2,)</f>
        <v>5096731.6288999999</v>
      </c>
      <c r="L41" s="9">
        <f>+VLOOKUP(A41,[1]Torres!A:E,3,)</f>
        <v>2830344.8235999998</v>
      </c>
      <c r="M41" s="9" t="str">
        <f>VLOOKUP(GIS!B41,[1]Comunidades!A:E,1,FALSE)</f>
        <v>Pioreka</v>
      </c>
    </row>
    <row r="42" spans="1:13" x14ac:dyDescent="0.2">
      <c r="A42" t="s">
        <v>62</v>
      </c>
      <c r="B42" s="6" t="s">
        <v>52</v>
      </c>
      <c r="C42" s="7" t="str">
        <f>IF(+'[1]Control obra'!AB47&gt;0,"SI","NO")</f>
        <v>NO</v>
      </c>
      <c r="D42" s="7">
        <f>+'[1]Control obra'!AZ47</f>
        <v>0</v>
      </c>
      <c r="E42" s="7">
        <f>+'[1]Control obra'!CA47</f>
        <v>0</v>
      </c>
      <c r="F42" s="7">
        <f>+'[1]Control obra'!CN47</f>
        <v>0</v>
      </c>
      <c r="G42" s="8">
        <f>+'[1]Control obra'!DB47</f>
        <v>0</v>
      </c>
      <c r="H42" s="7">
        <f>+'[1]Control obra'!DO47</f>
        <v>0</v>
      </c>
      <c r="I42" s="7">
        <f>+'[1]Control obra'!EB47</f>
        <v>0</v>
      </c>
      <c r="J42" s="7">
        <f>+'[1]Control obra'!EO47</f>
        <v>0</v>
      </c>
      <c r="K42" s="9">
        <f>+VLOOKUP(A42,[1]Torres!A:E,2,)</f>
        <v>5096711.7319</v>
      </c>
      <c r="L42" s="9">
        <f>+VLOOKUP(A42,[1]Torres!A:E,3,)</f>
        <v>2829984.6765999999</v>
      </c>
      <c r="M42" s="9" t="str">
        <f>VLOOKUP(GIS!B42,[1]Comunidades!A:E,1,FALSE)</f>
        <v>Pioreka</v>
      </c>
    </row>
    <row r="43" spans="1:13" x14ac:dyDescent="0.2">
      <c r="A43" t="s">
        <v>63</v>
      </c>
      <c r="B43" s="6" t="s">
        <v>64</v>
      </c>
      <c r="C43" s="7" t="str">
        <f>IF(+'[1]Control obra'!AB48&gt;0,"SI","NO")</f>
        <v>NO</v>
      </c>
      <c r="D43" s="7">
        <f>+'[1]Control obra'!AZ48</f>
        <v>0</v>
      </c>
      <c r="E43" s="7">
        <f>+'[1]Control obra'!CA48</f>
        <v>0</v>
      </c>
      <c r="F43" s="7">
        <f>+'[1]Control obra'!CN48</f>
        <v>0</v>
      </c>
      <c r="G43" s="8">
        <f>+'[1]Control obra'!DB48</f>
        <v>0</v>
      </c>
      <c r="H43" s="7">
        <f>+'[1]Control obra'!DO48</f>
        <v>0</v>
      </c>
      <c r="I43" s="7">
        <f>+'[1]Control obra'!EB48</f>
        <v>0</v>
      </c>
      <c r="J43" s="7">
        <f>+'[1]Control obra'!EO48</f>
        <v>0</v>
      </c>
      <c r="K43" s="9">
        <f>+VLOOKUP(A43,[1]Torres!A:E,2,)</f>
        <v>5096683.0691</v>
      </c>
      <c r="L43" s="9">
        <f>+VLOOKUP(A43,[1]Torres!A:E,3,)</f>
        <v>2829465.9060999998</v>
      </c>
      <c r="M43" s="9" t="str">
        <f>VLOOKUP(GIS!B43,[1]Comunidades!A:E,1,FALSE)</f>
        <v>Toloira</v>
      </c>
    </row>
    <row r="44" spans="1:13" x14ac:dyDescent="0.2">
      <c r="A44" t="s">
        <v>65</v>
      </c>
      <c r="B44" s="6" t="s">
        <v>64</v>
      </c>
      <c r="C44" s="7" t="str">
        <f>IF(+'[1]Control obra'!AB49&gt;0,"SI","NO")</f>
        <v>NO</v>
      </c>
      <c r="D44" s="7">
        <f>+'[1]Control obra'!AZ49</f>
        <v>0</v>
      </c>
      <c r="E44" s="7">
        <f>+'[1]Control obra'!CA49</f>
        <v>0</v>
      </c>
      <c r="F44" s="7">
        <f>+'[1]Control obra'!CN49</f>
        <v>0</v>
      </c>
      <c r="G44" s="8">
        <f>+'[1]Control obra'!DB49</f>
        <v>0</v>
      </c>
      <c r="H44" s="7">
        <f>+'[1]Control obra'!DO49</f>
        <v>0</v>
      </c>
      <c r="I44" s="7">
        <f>+'[1]Control obra'!EB49</f>
        <v>0</v>
      </c>
      <c r="J44" s="7">
        <f>+'[1]Control obra'!EO49</f>
        <v>0</v>
      </c>
      <c r="K44" s="9">
        <f>+VLOOKUP(A44,[1]Torres!A:E,2,)</f>
        <v>5096658.9263000004</v>
      </c>
      <c r="L44" s="9">
        <f>+VLOOKUP(A44,[1]Torres!A:E,3,)</f>
        <v>2829028.9408999998</v>
      </c>
      <c r="M44" s="9" t="str">
        <f>VLOOKUP(GIS!B44,[1]Comunidades!A:E,1,FALSE)</f>
        <v>Toloira</v>
      </c>
    </row>
    <row r="45" spans="1:13" x14ac:dyDescent="0.2">
      <c r="A45" t="s">
        <v>66</v>
      </c>
      <c r="B45" s="6" t="s">
        <v>64</v>
      </c>
      <c r="C45" s="7" t="str">
        <f>IF(+'[1]Control obra'!AB50&gt;0,"SI","NO")</f>
        <v>NO</v>
      </c>
      <c r="D45" s="7">
        <f>+'[1]Control obra'!AZ50</f>
        <v>0</v>
      </c>
      <c r="E45" s="7">
        <f>+'[1]Control obra'!CA50</f>
        <v>0</v>
      </c>
      <c r="F45" s="7">
        <f>+'[1]Control obra'!CN50</f>
        <v>0</v>
      </c>
      <c r="G45" s="8">
        <f>+'[1]Control obra'!DB50</f>
        <v>0</v>
      </c>
      <c r="H45" s="7">
        <f>+'[1]Control obra'!DO50</f>
        <v>0</v>
      </c>
      <c r="I45" s="7">
        <f>+'[1]Control obra'!EB50</f>
        <v>0</v>
      </c>
      <c r="J45" s="7">
        <f>+'[1]Control obra'!EO50</f>
        <v>0</v>
      </c>
      <c r="K45" s="9">
        <f>+VLOOKUP(A45,[1]Torres!A:E,2,)</f>
        <v>5096630.9232999999</v>
      </c>
      <c r="L45" s="9">
        <f>+VLOOKUP(A45,[1]Torres!A:E,3,)</f>
        <v>2828522.1422999999</v>
      </c>
      <c r="M45" s="9" t="str">
        <f>VLOOKUP(GIS!B45,[1]Comunidades!A:E,1,FALSE)</f>
        <v>Toloira</v>
      </c>
    </row>
    <row r="46" spans="1:13" x14ac:dyDescent="0.2">
      <c r="A46" t="s">
        <v>67</v>
      </c>
      <c r="B46" s="6" t="s">
        <v>68</v>
      </c>
      <c r="C46" s="7" t="str">
        <f>IF(+'[1]Control obra'!AB51&gt;0,"SI","NO")</f>
        <v>NO</v>
      </c>
      <c r="D46" s="7">
        <f>+'[1]Control obra'!AZ51</f>
        <v>0</v>
      </c>
      <c r="E46" s="7">
        <f>+'[1]Control obra'!CA51</f>
        <v>0</v>
      </c>
      <c r="F46" s="7">
        <f>+'[1]Control obra'!CN51</f>
        <v>0</v>
      </c>
      <c r="G46" s="8">
        <f>+'[1]Control obra'!DB51</f>
        <v>0</v>
      </c>
      <c r="H46" s="7">
        <f>+'[1]Control obra'!DO51</f>
        <v>0</v>
      </c>
      <c r="I46" s="7">
        <f>+'[1]Control obra'!EB51</f>
        <v>0</v>
      </c>
      <c r="J46" s="7">
        <f>+'[1]Control obra'!EO51</f>
        <v>0</v>
      </c>
      <c r="K46" s="9">
        <f>+VLOOKUP(A46,[1]Torres!A:E,2,)</f>
        <v>5096607.4397999998</v>
      </c>
      <c r="L46" s="9">
        <f>+VLOOKUP(A46,[1]Torres!A:E,3,)</f>
        <v>2828097.1490000002</v>
      </c>
      <c r="M46" s="9" t="str">
        <f>VLOOKUP(GIS!B46,[1]Comunidades!A:E,1,FALSE)</f>
        <v>Jununtao</v>
      </c>
    </row>
    <row r="47" spans="1:13" x14ac:dyDescent="0.2">
      <c r="A47" t="s">
        <v>69</v>
      </c>
      <c r="B47" s="6" t="s">
        <v>68</v>
      </c>
      <c r="C47" s="7" t="str">
        <f>IF(+'[1]Control obra'!AB52&gt;0,"SI","NO")</f>
        <v>NO</v>
      </c>
      <c r="D47" s="7">
        <f>+'[1]Control obra'!AZ52</f>
        <v>0</v>
      </c>
      <c r="E47" s="7">
        <f>+'[1]Control obra'!CA52</f>
        <v>0</v>
      </c>
      <c r="F47" s="7">
        <f>+'[1]Control obra'!CN52</f>
        <v>0</v>
      </c>
      <c r="G47" s="8">
        <f>+'[1]Control obra'!DB52</f>
        <v>0</v>
      </c>
      <c r="H47" s="7">
        <f>+'[1]Control obra'!DO52</f>
        <v>0</v>
      </c>
      <c r="I47" s="7">
        <f>+'[1]Control obra'!EB52</f>
        <v>0</v>
      </c>
      <c r="J47" s="7">
        <f>+'[1]Control obra'!EO52</f>
        <v>0</v>
      </c>
      <c r="K47" s="9">
        <f>+VLOOKUP(A47,[1]Torres!A:E,2,)</f>
        <v>5096589.2580000004</v>
      </c>
      <c r="L47" s="9">
        <f>+VLOOKUP(A47,[1]Torres!A:E,3,)</f>
        <v>2827768.1214000001</v>
      </c>
      <c r="M47" s="9" t="str">
        <f>VLOOKUP(GIS!B47,[1]Comunidades!A:E,1,FALSE)</f>
        <v>Jununtao</v>
      </c>
    </row>
    <row r="48" spans="1:13" x14ac:dyDescent="0.2">
      <c r="A48" t="s">
        <v>70</v>
      </c>
      <c r="B48" s="6" t="s">
        <v>68</v>
      </c>
      <c r="C48" s="7" t="str">
        <f>IF(+'[1]Control obra'!AB53&gt;0,"SI","NO")</f>
        <v>NO</v>
      </c>
      <c r="D48" s="7">
        <f>+'[1]Control obra'!AZ53</f>
        <v>0</v>
      </c>
      <c r="E48" s="7">
        <f>+'[1]Control obra'!CA53</f>
        <v>0</v>
      </c>
      <c r="F48" s="7">
        <f>+'[1]Control obra'!CN53</f>
        <v>0</v>
      </c>
      <c r="G48" s="8">
        <f>+'[1]Control obra'!DB53</f>
        <v>0</v>
      </c>
      <c r="H48" s="7">
        <f>+'[1]Control obra'!DO53</f>
        <v>0</v>
      </c>
      <c r="I48" s="7">
        <f>+'[1]Control obra'!EB53</f>
        <v>0</v>
      </c>
      <c r="J48" s="7">
        <f>+'[1]Control obra'!EO53</f>
        <v>0</v>
      </c>
      <c r="K48" s="9">
        <f>+VLOOKUP(A48,[1]Torres!A:E,2,)</f>
        <v>5096568.2971999999</v>
      </c>
      <c r="L48" s="9">
        <f>+VLOOKUP(A48,[1]Torres!A:E,3,)</f>
        <v>2827388.8286000001</v>
      </c>
      <c r="M48" s="9" t="str">
        <f>VLOOKUP(GIS!B48,[1]Comunidades!A:E,1,FALSE)</f>
        <v>Jununtao</v>
      </c>
    </row>
    <row r="49" spans="1:13" x14ac:dyDescent="0.2">
      <c r="A49" t="s">
        <v>71</v>
      </c>
      <c r="B49" s="6" t="s">
        <v>68</v>
      </c>
      <c r="C49" s="7" t="str">
        <f>IF(+'[1]Control obra'!AB54&gt;0,"SI","NO")</f>
        <v>NO</v>
      </c>
      <c r="D49" s="7">
        <f>+'[1]Control obra'!AZ54</f>
        <v>0</v>
      </c>
      <c r="E49" s="7">
        <f>+'[1]Control obra'!CA54</f>
        <v>0</v>
      </c>
      <c r="F49" s="7">
        <f>+'[1]Control obra'!CN54</f>
        <v>0</v>
      </c>
      <c r="G49" s="8">
        <f>+'[1]Control obra'!DB54</f>
        <v>0</v>
      </c>
      <c r="H49" s="7">
        <f>+'[1]Control obra'!DO54</f>
        <v>0</v>
      </c>
      <c r="I49" s="7">
        <f>+'[1]Control obra'!EB54</f>
        <v>0</v>
      </c>
      <c r="J49" s="7">
        <f>+'[1]Control obra'!EO54</f>
        <v>0</v>
      </c>
      <c r="K49" s="9">
        <f>+VLOOKUP(A49,[1]Torres!A:E,2,)</f>
        <v>5096543.9839000003</v>
      </c>
      <c r="L49" s="9">
        <f>+VLOOKUP(A49,[1]Torres!A:E,3,)</f>
        <v>2826948.8713000002</v>
      </c>
      <c r="M49" s="9" t="str">
        <f>VLOOKUP(GIS!B49,[1]Comunidades!A:E,1,FALSE)</f>
        <v>Jununtao</v>
      </c>
    </row>
    <row r="50" spans="1:13" x14ac:dyDescent="0.2">
      <c r="A50" t="s">
        <v>72</v>
      </c>
      <c r="B50" s="6" t="s">
        <v>68</v>
      </c>
      <c r="C50" s="7" t="str">
        <f>IF(+'[1]Control obra'!AB55&gt;0,"SI","NO")</f>
        <v>NO</v>
      </c>
      <c r="D50" s="7">
        <f>+'[1]Control obra'!AZ55</f>
        <v>0</v>
      </c>
      <c r="E50" s="7">
        <f>+'[1]Control obra'!CA55</f>
        <v>0</v>
      </c>
      <c r="F50" s="7">
        <f>+'[1]Control obra'!CN55</f>
        <v>0</v>
      </c>
      <c r="G50" s="8">
        <f>+'[1]Control obra'!DB55</f>
        <v>0</v>
      </c>
      <c r="H50" s="7">
        <f>+'[1]Control obra'!DO55</f>
        <v>0</v>
      </c>
      <c r="I50" s="7">
        <f>+'[1]Control obra'!EB55</f>
        <v>0</v>
      </c>
      <c r="J50" s="7">
        <f>+'[1]Control obra'!EO55</f>
        <v>0</v>
      </c>
      <c r="K50" s="9">
        <f>+VLOOKUP(A50,[1]Torres!A:E,2,)</f>
        <v>5096516.9578</v>
      </c>
      <c r="L50" s="9">
        <f>+VLOOKUP(A50,[1]Torres!A:E,3,)</f>
        <v>2826459.8453000002</v>
      </c>
      <c r="M50" s="9" t="str">
        <f>VLOOKUP(GIS!B50,[1]Comunidades!A:E,1,FALSE)</f>
        <v>Jununtao</v>
      </c>
    </row>
    <row r="51" spans="1:13" x14ac:dyDescent="0.2">
      <c r="A51" t="s">
        <v>73</v>
      </c>
      <c r="B51" s="6" t="s">
        <v>68</v>
      </c>
      <c r="C51" s="7" t="str">
        <f>IF(+'[1]Control obra'!AB56&gt;0,"SI","NO")</f>
        <v>NO</v>
      </c>
      <c r="D51" s="7">
        <f>+'[1]Control obra'!AZ56</f>
        <v>0</v>
      </c>
      <c r="E51" s="7">
        <f>+'[1]Control obra'!CA56</f>
        <v>0</v>
      </c>
      <c r="F51" s="7">
        <f>+'[1]Control obra'!CN56</f>
        <v>0</v>
      </c>
      <c r="G51" s="8">
        <f>+'[1]Control obra'!DB56</f>
        <v>0</v>
      </c>
      <c r="H51" s="7">
        <f>+'[1]Control obra'!DO56</f>
        <v>0</v>
      </c>
      <c r="I51" s="7">
        <f>+'[1]Control obra'!EB56</f>
        <v>0</v>
      </c>
      <c r="J51" s="7">
        <f>+'[1]Control obra'!EO56</f>
        <v>0</v>
      </c>
      <c r="K51" s="9">
        <f>+VLOOKUP(A51,[1]Torres!A:E,2,)</f>
        <v>5096491.0537999999</v>
      </c>
      <c r="L51" s="9">
        <f>+VLOOKUP(A51,[1]Torres!A:E,3,)</f>
        <v>2825991.1422000001</v>
      </c>
      <c r="M51" s="9" t="str">
        <f>VLOOKUP(GIS!B51,[1]Comunidades!A:E,1,FALSE)</f>
        <v>Jununtao</v>
      </c>
    </row>
    <row r="52" spans="1:13" x14ac:dyDescent="0.2">
      <c r="A52" t="s">
        <v>74</v>
      </c>
      <c r="B52" s="6" t="s">
        <v>75</v>
      </c>
      <c r="C52" s="7" t="str">
        <f>IF(+'[1]Control obra'!AB57&gt;0,"SI","NO")</f>
        <v>NO</v>
      </c>
      <c r="D52" s="7">
        <f>+'[1]Control obra'!AZ57</f>
        <v>0</v>
      </c>
      <c r="E52" s="7">
        <f>+'[1]Control obra'!CA57</f>
        <v>0</v>
      </c>
      <c r="F52" s="7">
        <f>+'[1]Control obra'!CN57</f>
        <v>0</v>
      </c>
      <c r="G52" s="8">
        <f>+'[1]Control obra'!DB57</f>
        <v>0</v>
      </c>
      <c r="H52" s="7">
        <f>+'[1]Control obra'!DO57</f>
        <v>0</v>
      </c>
      <c r="I52" s="7">
        <f>+'[1]Control obra'!EB57</f>
        <v>0</v>
      </c>
      <c r="J52" s="7">
        <f>+'[1]Control obra'!EO57</f>
        <v>0</v>
      </c>
      <c r="K52" s="9">
        <f>+VLOOKUP(A52,[1]Torres!A:E,2,)</f>
        <v>5096464.6385000004</v>
      </c>
      <c r="L52" s="9">
        <f>+VLOOKUP(A52,[1]Torres!A:E,3,)</f>
        <v>2825513.2234999998</v>
      </c>
      <c r="M52" s="9" t="str">
        <f>VLOOKUP(GIS!B52,[1]Comunidades!A:E,1,FALSE)</f>
        <v>Sirruma</v>
      </c>
    </row>
    <row r="53" spans="1:13" x14ac:dyDescent="0.2">
      <c r="A53" t="s">
        <v>76</v>
      </c>
      <c r="B53" s="6" t="s">
        <v>75</v>
      </c>
      <c r="C53" s="7" t="str">
        <f>IF(+'[1]Control obra'!AB58&gt;0,"SI","NO")</f>
        <v>NO</v>
      </c>
      <c r="D53" s="7">
        <f>+'[1]Control obra'!AZ58</f>
        <v>0</v>
      </c>
      <c r="E53" s="7">
        <f>+'[1]Control obra'!CA58</f>
        <v>0</v>
      </c>
      <c r="F53" s="7">
        <f>+'[1]Control obra'!CN58</f>
        <v>0</v>
      </c>
      <c r="G53" s="8">
        <f>+'[1]Control obra'!DB58</f>
        <v>0</v>
      </c>
      <c r="H53" s="7">
        <f>+'[1]Control obra'!DO58</f>
        <v>0</v>
      </c>
      <c r="I53" s="7">
        <f>+'[1]Control obra'!EB58</f>
        <v>0</v>
      </c>
      <c r="J53" s="7">
        <f>+'[1]Control obra'!EO58</f>
        <v>0</v>
      </c>
      <c r="K53" s="9">
        <f>+VLOOKUP(A53,[1]Torres!A:E,2,)</f>
        <v>5096429.3134000003</v>
      </c>
      <c r="L53" s="9">
        <f>+VLOOKUP(A53,[1]Torres!A:E,3,)</f>
        <v>2824874.1208000001</v>
      </c>
      <c r="M53" s="9" t="str">
        <f>VLOOKUP(GIS!B53,[1]Comunidades!A:E,1,FALSE)</f>
        <v>Sirruma</v>
      </c>
    </row>
    <row r="54" spans="1:13" x14ac:dyDescent="0.2">
      <c r="A54" t="s">
        <v>77</v>
      </c>
      <c r="B54" s="6" t="s">
        <v>75</v>
      </c>
      <c r="C54" s="7" t="str">
        <f>IF(+'[1]Control obra'!AB59&gt;0,"SI","NO")</f>
        <v>NO</v>
      </c>
      <c r="D54" s="7">
        <f>+'[1]Control obra'!AZ59</f>
        <v>0</v>
      </c>
      <c r="E54" s="7">
        <f>+'[1]Control obra'!CA59</f>
        <v>0</v>
      </c>
      <c r="F54" s="7">
        <f>+'[1]Control obra'!CN59</f>
        <v>0</v>
      </c>
      <c r="G54" s="8">
        <f>+'[1]Control obra'!DB59</f>
        <v>0</v>
      </c>
      <c r="H54" s="7">
        <f>+'[1]Control obra'!DO59</f>
        <v>0</v>
      </c>
      <c r="I54" s="7">
        <f>+'[1]Control obra'!EB59</f>
        <v>0</v>
      </c>
      <c r="J54" s="7">
        <f>+'[1]Control obra'!EO59</f>
        <v>0</v>
      </c>
      <c r="K54" s="9">
        <f>+VLOOKUP(A54,[1]Torres!A:E,2,)</f>
        <v>5096404.9806000004</v>
      </c>
      <c r="L54" s="9">
        <f>+VLOOKUP(A54,[1]Torres!A:E,3,)</f>
        <v>2824371.0410000002</v>
      </c>
      <c r="M54" s="9" t="str">
        <f>VLOOKUP(GIS!B54,[1]Comunidades!A:E,1,FALSE)</f>
        <v>Sirruma</v>
      </c>
    </row>
    <row r="55" spans="1:13" x14ac:dyDescent="0.2">
      <c r="A55" t="s">
        <v>78</v>
      </c>
      <c r="B55" s="6" t="s">
        <v>79</v>
      </c>
      <c r="C55" s="7" t="str">
        <f>IF(+'[1]Control obra'!AB60&gt;0,"SI","NO")</f>
        <v>NO</v>
      </c>
      <c r="D55" s="7">
        <f>+'[1]Control obra'!AZ60</f>
        <v>0</v>
      </c>
      <c r="E55" s="7">
        <f>+'[1]Control obra'!CA60</f>
        <v>0</v>
      </c>
      <c r="F55" s="7">
        <f>+'[1]Control obra'!CN60</f>
        <v>0</v>
      </c>
      <c r="G55" s="8">
        <f>+'[1]Control obra'!DB60</f>
        <v>0</v>
      </c>
      <c r="H55" s="7">
        <f>+'[1]Control obra'!DO60</f>
        <v>0</v>
      </c>
      <c r="I55" s="7">
        <f>+'[1]Control obra'!EB60</f>
        <v>0</v>
      </c>
      <c r="J55" s="7">
        <f>+'[1]Control obra'!EO60</f>
        <v>0</v>
      </c>
      <c r="K55" s="9">
        <f>+VLOOKUP(A55,[1]Torres!A:E,2,)</f>
        <v>5096382.0657000002</v>
      </c>
      <c r="L55" s="9">
        <f>+VLOOKUP(A55,[1]Torres!A:E,3,)</f>
        <v>2823897.2866000002</v>
      </c>
      <c r="M55" s="9" t="str">
        <f>VLOOKUP(GIS!B55,[1]Comunidades!A:E,1,FALSE)</f>
        <v>Corralito</v>
      </c>
    </row>
    <row r="56" spans="1:13" x14ac:dyDescent="0.2">
      <c r="A56" t="s">
        <v>80</v>
      </c>
      <c r="B56" s="6" t="s">
        <v>79</v>
      </c>
      <c r="C56" s="7" t="str">
        <f>IF(+'[1]Control obra'!AB61&gt;0,"SI","NO")</f>
        <v>NO</v>
      </c>
      <c r="D56" s="7">
        <f>+'[1]Control obra'!AZ61</f>
        <v>0</v>
      </c>
      <c r="E56" s="7">
        <f>+'[1]Control obra'!CA61</f>
        <v>0</v>
      </c>
      <c r="F56" s="7">
        <f>+'[1]Control obra'!CN61</f>
        <v>0</v>
      </c>
      <c r="G56" s="8">
        <f>+'[1]Control obra'!DB61</f>
        <v>0</v>
      </c>
      <c r="H56" s="7">
        <f>+'[1]Control obra'!DO61</f>
        <v>0</v>
      </c>
      <c r="I56" s="7">
        <f>+'[1]Control obra'!EB61</f>
        <v>0</v>
      </c>
      <c r="J56" s="7">
        <f>+'[1]Control obra'!EO61</f>
        <v>0</v>
      </c>
      <c r="K56" s="9">
        <f>+VLOOKUP(A56,[1]Torres!A:E,2,)</f>
        <v>5096361.3064000001</v>
      </c>
      <c r="L56" s="9">
        <f>+VLOOKUP(A56,[1]Torres!A:E,3,)</f>
        <v>2823468.1461</v>
      </c>
      <c r="M56" s="9" t="str">
        <f>VLOOKUP(GIS!B56,[1]Comunidades!A:E,1,FALSE)</f>
        <v>Corralito</v>
      </c>
    </row>
    <row r="57" spans="1:13" x14ac:dyDescent="0.2">
      <c r="A57" t="s">
        <v>81</v>
      </c>
      <c r="B57" s="6" t="s">
        <v>79</v>
      </c>
      <c r="C57" s="7" t="str">
        <f>IF(+'[1]Control obra'!AB62&gt;0,"SI","NO")</f>
        <v>NO</v>
      </c>
      <c r="D57" s="7">
        <f>+'[1]Control obra'!AZ62</f>
        <v>0</v>
      </c>
      <c r="E57" s="7">
        <f>+'[1]Control obra'!CA62</f>
        <v>0</v>
      </c>
      <c r="F57" s="7">
        <f>+'[1]Control obra'!CN62</f>
        <v>0</v>
      </c>
      <c r="G57" s="8">
        <f>+'[1]Control obra'!DB62</f>
        <v>0</v>
      </c>
      <c r="H57" s="7">
        <f>+'[1]Control obra'!DO62</f>
        <v>0</v>
      </c>
      <c r="I57" s="7">
        <f>+'[1]Control obra'!EB62</f>
        <v>0</v>
      </c>
      <c r="J57" s="7">
        <f>+'[1]Control obra'!EO62</f>
        <v>0</v>
      </c>
      <c r="K57" s="9">
        <f>+VLOOKUP(A57,[1]Torres!A:E,2,)</f>
        <v>5096341.2945999997</v>
      </c>
      <c r="L57" s="9">
        <f>+VLOOKUP(A57,[1]Torres!A:E,3,)</f>
        <v>2823054.4569000001</v>
      </c>
      <c r="M57" s="9" t="str">
        <f>VLOOKUP(GIS!B57,[1]Comunidades!A:E,1,FALSE)</f>
        <v>Corralito</v>
      </c>
    </row>
    <row r="58" spans="1:13" x14ac:dyDescent="0.2">
      <c r="A58" t="s">
        <v>82</v>
      </c>
      <c r="B58" s="6" t="s">
        <v>79</v>
      </c>
      <c r="C58" s="7" t="str">
        <f>IF(+'[1]Control obra'!AB63&gt;0,"SI","NO")</f>
        <v>NO</v>
      </c>
      <c r="D58" s="7">
        <f>+'[1]Control obra'!AZ63</f>
        <v>0</v>
      </c>
      <c r="E58" s="7">
        <f>+'[1]Control obra'!CA63</f>
        <v>0</v>
      </c>
      <c r="F58" s="7">
        <f>+'[1]Control obra'!CN63</f>
        <v>0</v>
      </c>
      <c r="G58" s="8">
        <f>+'[1]Control obra'!DB63</f>
        <v>0</v>
      </c>
      <c r="H58" s="7">
        <f>+'[1]Control obra'!DO63</f>
        <v>0</v>
      </c>
      <c r="I58" s="7">
        <f>+'[1]Control obra'!EB63</f>
        <v>0</v>
      </c>
      <c r="J58" s="7">
        <f>+'[1]Control obra'!EO63</f>
        <v>0</v>
      </c>
      <c r="K58" s="9">
        <f>+VLOOKUP(A58,[1]Torres!A:E,2,)</f>
        <v>5096321.9853999997</v>
      </c>
      <c r="L58" s="9">
        <f>+VLOOKUP(A58,[1]Torres!A:E,3,)</f>
        <v>2822655.3144999999</v>
      </c>
      <c r="M58" s="9" t="str">
        <f>VLOOKUP(GIS!B58,[1]Comunidades!A:E,1,FALSE)</f>
        <v>Corralito</v>
      </c>
    </row>
    <row r="59" spans="1:13" x14ac:dyDescent="0.2">
      <c r="A59" t="s">
        <v>83</v>
      </c>
      <c r="B59" s="6" t="s">
        <v>84</v>
      </c>
      <c r="C59" s="7" t="str">
        <f>IF(+'[1]Control obra'!AB64&gt;0,"SI","NO")</f>
        <v>NO</v>
      </c>
      <c r="D59" s="7">
        <f>+'[1]Control obra'!AZ64</f>
        <v>0</v>
      </c>
      <c r="E59" s="7">
        <f>+'[1]Control obra'!CA64</f>
        <v>0</v>
      </c>
      <c r="F59" s="7">
        <f>+'[1]Control obra'!CN64</f>
        <v>0</v>
      </c>
      <c r="G59" s="8">
        <f>+'[1]Control obra'!DB64</f>
        <v>0</v>
      </c>
      <c r="H59" s="7">
        <f>+'[1]Control obra'!DO64</f>
        <v>0</v>
      </c>
      <c r="I59" s="7">
        <f>+'[1]Control obra'!EB64</f>
        <v>0</v>
      </c>
      <c r="J59" s="7">
        <f>+'[1]Control obra'!EO64</f>
        <v>0</v>
      </c>
      <c r="K59" s="9">
        <f>+VLOOKUP(A59,[1]Torres!A:E,2,)</f>
        <v>5096308.9467000002</v>
      </c>
      <c r="L59" s="9">
        <f>+VLOOKUP(A59,[1]Torres!A:E,3,)</f>
        <v>2822385.8043</v>
      </c>
      <c r="M59" s="9" t="str">
        <f>VLOOKUP(GIS!B59,[1]Comunidades!A:E,1,FALSE)</f>
        <v>Sabanalarga</v>
      </c>
    </row>
    <row r="60" spans="1:13" x14ac:dyDescent="0.2">
      <c r="A60" t="s">
        <v>85</v>
      </c>
      <c r="B60" s="6" t="s">
        <v>84</v>
      </c>
      <c r="C60" s="7" t="str">
        <f>IF(+'[1]Control obra'!AB65&gt;0,"SI","NO")</f>
        <v>NO</v>
      </c>
      <c r="D60" s="7">
        <f>+'[1]Control obra'!AZ65</f>
        <v>0</v>
      </c>
      <c r="E60" s="7">
        <f>+'[1]Control obra'!CA65</f>
        <v>0</v>
      </c>
      <c r="F60" s="7">
        <f>+'[1]Control obra'!CN65</f>
        <v>0</v>
      </c>
      <c r="G60" s="8">
        <f>+'[1]Control obra'!DB65</f>
        <v>0</v>
      </c>
      <c r="H60" s="7">
        <f>+'[1]Control obra'!DO65</f>
        <v>0</v>
      </c>
      <c r="I60" s="7">
        <f>+'[1]Control obra'!EB65</f>
        <v>0</v>
      </c>
      <c r="J60" s="7">
        <f>+'[1]Control obra'!EO65</f>
        <v>0</v>
      </c>
      <c r="K60" s="9">
        <f>+VLOOKUP(A60,[1]Torres!A:E,2,)</f>
        <v>5096282.9552999996</v>
      </c>
      <c r="L60" s="9">
        <f>+VLOOKUP(A60,[1]Torres!A:E,3,)</f>
        <v>2821848.5643000002</v>
      </c>
      <c r="M60" s="9" t="str">
        <f>VLOOKUP(GIS!B60,[1]Comunidades!A:E,1,FALSE)</f>
        <v>Sabanalarga</v>
      </c>
    </row>
    <row r="61" spans="1:13" x14ac:dyDescent="0.2">
      <c r="A61" t="s">
        <v>86</v>
      </c>
      <c r="B61" s="6" t="s">
        <v>84</v>
      </c>
      <c r="C61" s="7" t="str">
        <f>IF(+'[1]Control obra'!AB66&gt;0,"SI","NO")</f>
        <v>NO</v>
      </c>
      <c r="D61" s="7">
        <f>+'[1]Control obra'!AZ66</f>
        <v>0</v>
      </c>
      <c r="E61" s="7">
        <f>+'[1]Control obra'!CA66</f>
        <v>0</v>
      </c>
      <c r="F61" s="7">
        <f>+'[1]Control obra'!CN66</f>
        <v>0</v>
      </c>
      <c r="G61" s="8">
        <f>+'[1]Control obra'!DB66</f>
        <v>0</v>
      </c>
      <c r="H61" s="7">
        <f>+'[1]Control obra'!DO66</f>
        <v>0</v>
      </c>
      <c r="I61" s="7">
        <f>+'[1]Control obra'!EB66</f>
        <v>0</v>
      </c>
      <c r="J61" s="7">
        <f>+'[1]Control obra'!EO66</f>
        <v>0</v>
      </c>
      <c r="K61" s="9">
        <f>+VLOOKUP(A61,[1]Torres!A:E,2,)</f>
        <v>5096254.8196999999</v>
      </c>
      <c r="L61" s="9">
        <f>+VLOOKUP(A61,[1]Torres!A:E,3,)</f>
        <v>2821267.0595</v>
      </c>
      <c r="M61" s="9" t="str">
        <f>VLOOKUP(GIS!B61,[1]Comunidades!A:E,1,FALSE)</f>
        <v>Sabanalarga</v>
      </c>
    </row>
    <row r="62" spans="1:13" x14ac:dyDescent="0.2">
      <c r="A62" t="s">
        <v>87</v>
      </c>
      <c r="B62" s="6" t="s">
        <v>84</v>
      </c>
      <c r="C62" s="7" t="str">
        <f>IF(+'[1]Control obra'!AB67&gt;0,"SI","NO")</f>
        <v>NO</v>
      </c>
      <c r="D62" s="7">
        <f>+'[1]Control obra'!AZ67</f>
        <v>0</v>
      </c>
      <c r="E62" s="7">
        <f>+'[1]Control obra'!CA67</f>
        <v>0</v>
      </c>
      <c r="F62" s="7">
        <f>+'[1]Control obra'!CN67</f>
        <v>0</v>
      </c>
      <c r="G62" s="8">
        <f>+'[1]Control obra'!DB67</f>
        <v>0</v>
      </c>
      <c r="H62" s="7">
        <f>+'[1]Control obra'!DO67</f>
        <v>0</v>
      </c>
      <c r="I62" s="7">
        <f>+'[1]Control obra'!EB67</f>
        <v>0</v>
      </c>
      <c r="J62" s="7">
        <f>+'[1]Control obra'!EO67</f>
        <v>0</v>
      </c>
      <c r="K62" s="9">
        <f>+VLOOKUP(A62,[1]Torres!A:E,2,)</f>
        <v>5096236.9528000001</v>
      </c>
      <c r="L62" s="9">
        <f>+VLOOKUP(A62,[1]Torres!A:E,3,)</f>
        <v>2820897.8034999999</v>
      </c>
      <c r="M62" s="9" t="str">
        <f>VLOOKUP(GIS!B62,[1]Comunidades!A:E,1,FALSE)</f>
        <v>Sabanalarga</v>
      </c>
    </row>
    <row r="63" spans="1:13" x14ac:dyDescent="0.2">
      <c r="A63" t="s">
        <v>88</v>
      </c>
      <c r="B63" s="6" t="s">
        <v>89</v>
      </c>
      <c r="C63" s="7" t="str">
        <f>IF(+'[1]Control obra'!AB68&gt;0,"SI","NO")</f>
        <v>NO</v>
      </c>
      <c r="D63" s="7">
        <f>+'[1]Control obra'!AZ68</f>
        <v>0</v>
      </c>
      <c r="E63" s="7">
        <f>+'[1]Control obra'!CA68</f>
        <v>0</v>
      </c>
      <c r="F63" s="7">
        <f>+'[1]Control obra'!CN68</f>
        <v>0</v>
      </c>
      <c r="G63" s="8">
        <f>+'[1]Control obra'!DB68</f>
        <v>0</v>
      </c>
      <c r="H63" s="7">
        <f>+'[1]Control obra'!DO68</f>
        <v>0</v>
      </c>
      <c r="I63" s="7">
        <f>+'[1]Control obra'!EB68</f>
        <v>0</v>
      </c>
      <c r="J63" s="7">
        <f>+'[1]Control obra'!EO68</f>
        <v>0</v>
      </c>
      <c r="K63" s="9">
        <f>+VLOOKUP(A63,[1]Torres!A:E,2,)</f>
        <v>5096214.5388000002</v>
      </c>
      <c r="L63" s="9">
        <f>+VLOOKUP(A63,[1]Torres!A:E,3,)</f>
        <v>2820434.5987</v>
      </c>
      <c r="M63" s="9" t="str">
        <f>VLOOKUP(GIS!B63,[1]Comunidades!A:E,1,FALSE)</f>
        <v>Siború</v>
      </c>
    </row>
    <row r="64" spans="1:13" x14ac:dyDescent="0.2">
      <c r="A64" t="s">
        <v>90</v>
      </c>
      <c r="B64" s="6" t="s">
        <v>89</v>
      </c>
      <c r="C64" s="7" t="str">
        <f>IF(+'[1]Control obra'!AB69&gt;0,"SI","NO")</f>
        <v>NO</v>
      </c>
      <c r="D64" s="7">
        <f>+'[1]Control obra'!AZ69</f>
        <v>0</v>
      </c>
      <c r="E64" s="7">
        <f>+'[1]Control obra'!CA69</f>
        <v>0</v>
      </c>
      <c r="F64" s="7">
        <f>+'[1]Control obra'!CN69</f>
        <v>0</v>
      </c>
      <c r="G64" s="8">
        <f>+'[1]Control obra'!DB69</f>
        <v>0</v>
      </c>
      <c r="H64" s="7">
        <f>+'[1]Control obra'!DO69</f>
        <v>0</v>
      </c>
      <c r="I64" s="7">
        <f>+'[1]Control obra'!EB69</f>
        <v>0</v>
      </c>
      <c r="J64" s="7">
        <f>+'[1]Control obra'!EO69</f>
        <v>0</v>
      </c>
      <c r="K64" s="9">
        <f>+VLOOKUP(A64,[1]Torres!A:E,2,)</f>
        <v>5096011.2297</v>
      </c>
      <c r="L64" s="9">
        <f>+VLOOKUP(A64,[1]Torres!A:E,3,)</f>
        <v>2820049.7516000001</v>
      </c>
      <c r="M64" s="9" t="str">
        <f>VLOOKUP(GIS!B64,[1]Comunidades!A:E,1,FALSE)</f>
        <v>Siború</v>
      </c>
    </row>
    <row r="65" spans="1:13" x14ac:dyDescent="0.2">
      <c r="A65" t="s">
        <v>91</v>
      </c>
      <c r="B65" s="6" t="s">
        <v>89</v>
      </c>
      <c r="C65" s="7" t="str">
        <f>IF(+'[1]Control obra'!AB70&gt;0,"SI","NO")</f>
        <v>NO</v>
      </c>
      <c r="D65" s="7">
        <f>+'[1]Control obra'!AZ70</f>
        <v>0</v>
      </c>
      <c r="E65" s="7">
        <f>+'[1]Control obra'!CA70</f>
        <v>0</v>
      </c>
      <c r="F65" s="7">
        <f>+'[1]Control obra'!CN70</f>
        <v>0</v>
      </c>
      <c r="G65" s="8">
        <f>+'[1]Control obra'!DB70</f>
        <v>0</v>
      </c>
      <c r="H65" s="7">
        <f>+'[1]Control obra'!DO70</f>
        <v>0</v>
      </c>
      <c r="I65" s="7">
        <f>+'[1]Control obra'!EB70</f>
        <v>0</v>
      </c>
      <c r="J65" s="7">
        <f>+'[1]Control obra'!EO70</f>
        <v>0</v>
      </c>
      <c r="K65" s="9">
        <f>+VLOOKUP(A65,[1]Torres!A:E,2,)</f>
        <v>5095803.7401000001</v>
      </c>
      <c r="L65" s="9">
        <f>+VLOOKUP(A65,[1]Torres!A:E,3,)</f>
        <v>2819656.9931000001</v>
      </c>
      <c r="M65" s="9" t="str">
        <f>VLOOKUP(GIS!B65,[1]Comunidades!A:E,1,FALSE)</f>
        <v>Siború</v>
      </c>
    </row>
    <row r="66" spans="1:13" x14ac:dyDescent="0.2">
      <c r="A66" t="s">
        <v>92</v>
      </c>
      <c r="B66" s="6" t="s">
        <v>93</v>
      </c>
      <c r="C66" s="7" t="str">
        <f>IF(+'[1]Control obra'!AB71&gt;0,"SI","NO")</f>
        <v>NO</v>
      </c>
      <c r="D66" s="7">
        <f>+'[1]Control obra'!AZ71</f>
        <v>0</v>
      </c>
      <c r="E66" s="7">
        <f>+'[1]Control obra'!CA71</f>
        <v>0</v>
      </c>
      <c r="F66" s="7">
        <f>+'[1]Control obra'!CN71</f>
        <v>0</v>
      </c>
      <c r="G66" s="8">
        <f>+'[1]Control obra'!DB71</f>
        <v>0</v>
      </c>
      <c r="H66" s="7">
        <f>+'[1]Control obra'!DO71</f>
        <v>0</v>
      </c>
      <c r="I66" s="7">
        <f>+'[1]Control obra'!EB71</f>
        <v>0</v>
      </c>
      <c r="J66" s="7">
        <f>+'[1]Control obra'!EO71</f>
        <v>0</v>
      </c>
      <c r="K66" s="9">
        <f>+VLOOKUP(A66,[1]Torres!A:E,2,)</f>
        <v>5095593.0132999998</v>
      </c>
      <c r="L66" s="9">
        <f>+VLOOKUP(A66,[1]Torres!A:E,3,)</f>
        <v>2819258.1090000002</v>
      </c>
      <c r="M66" s="9" t="str">
        <f>VLOOKUP(GIS!B66,[1]Comunidades!A:E,1,FALSE)</f>
        <v>San Luis</v>
      </c>
    </row>
    <row r="67" spans="1:13" x14ac:dyDescent="0.2">
      <c r="A67" t="s">
        <v>94</v>
      </c>
      <c r="B67" s="6" t="s">
        <v>93</v>
      </c>
      <c r="C67" s="7" t="str">
        <f>IF(+'[1]Control obra'!AB72&gt;0,"SI","NO")</f>
        <v>NO</v>
      </c>
      <c r="D67" s="7">
        <f>+'[1]Control obra'!AZ72</f>
        <v>0</v>
      </c>
      <c r="E67" s="7">
        <f>+'[1]Control obra'!CA72</f>
        <v>0</v>
      </c>
      <c r="F67" s="7">
        <f>+'[1]Control obra'!CN72</f>
        <v>0</v>
      </c>
      <c r="G67" s="8">
        <f>+'[1]Control obra'!DB72</f>
        <v>0</v>
      </c>
      <c r="H67" s="7">
        <f>+'[1]Control obra'!DO72</f>
        <v>0</v>
      </c>
      <c r="I67" s="7">
        <f>+'[1]Control obra'!EB72</f>
        <v>0</v>
      </c>
      <c r="J67" s="7">
        <f>+'[1]Control obra'!EO72</f>
        <v>0</v>
      </c>
      <c r="K67" s="9">
        <f>+VLOOKUP(A67,[1]Torres!A:E,2,)</f>
        <v>5095416.1014999999</v>
      </c>
      <c r="L67" s="9">
        <f>+VLOOKUP(A67,[1]Torres!A:E,3,)</f>
        <v>2818867.5805000002</v>
      </c>
      <c r="M67" s="9" t="str">
        <f>VLOOKUP(GIS!B67,[1]Comunidades!A:E,1,FALSE)</f>
        <v>San Luis</v>
      </c>
    </row>
    <row r="68" spans="1:13" x14ac:dyDescent="0.2">
      <c r="A68" t="s">
        <v>95</v>
      </c>
      <c r="B68" s="6" t="s">
        <v>93</v>
      </c>
      <c r="C68" s="7" t="str">
        <f>IF(+'[1]Control obra'!AB73&gt;0,"SI","NO")</f>
        <v>NO</v>
      </c>
      <c r="D68" s="7">
        <f>+'[1]Control obra'!AZ73</f>
        <v>0</v>
      </c>
      <c r="E68" s="7">
        <f>+'[1]Control obra'!CA73</f>
        <v>0</v>
      </c>
      <c r="F68" s="7">
        <f>+'[1]Control obra'!CN73</f>
        <v>0</v>
      </c>
      <c r="G68" s="8">
        <f>+'[1]Control obra'!DB73</f>
        <v>0</v>
      </c>
      <c r="H68" s="7">
        <f>+'[1]Control obra'!DO73</f>
        <v>0</v>
      </c>
      <c r="I68" s="7">
        <f>+'[1]Control obra'!EB73</f>
        <v>0</v>
      </c>
      <c r="J68" s="7">
        <f>+'[1]Control obra'!EO73</f>
        <v>0</v>
      </c>
      <c r="K68" s="9">
        <f>+VLOOKUP(A68,[1]Torres!A:E,2,)</f>
        <v>5095081.1939000003</v>
      </c>
      <c r="L68" s="9">
        <f>+VLOOKUP(A68,[1]Torres!A:E,3,)</f>
        <v>2818572.9709000001</v>
      </c>
      <c r="M68" s="9" t="str">
        <f>VLOOKUP(GIS!B68,[1]Comunidades!A:E,1,FALSE)</f>
        <v>San Luis</v>
      </c>
    </row>
    <row r="69" spans="1:13" x14ac:dyDescent="0.2">
      <c r="A69" t="s">
        <v>96</v>
      </c>
      <c r="B69" s="6" t="s">
        <v>93</v>
      </c>
      <c r="C69" s="7" t="str">
        <f>IF(+'[1]Control obra'!AB74&gt;0,"SI","NO")</f>
        <v>NO</v>
      </c>
      <c r="D69" s="7">
        <f>+'[1]Control obra'!AZ74</f>
        <v>0</v>
      </c>
      <c r="E69" s="7">
        <f>+'[1]Control obra'!CA74</f>
        <v>0</v>
      </c>
      <c r="F69" s="7">
        <f>+'[1]Control obra'!CN74</f>
        <v>0</v>
      </c>
      <c r="G69" s="8">
        <f>+'[1]Control obra'!DB74</f>
        <v>0</v>
      </c>
      <c r="H69" s="7">
        <f>+'[1]Control obra'!DO74</f>
        <v>0</v>
      </c>
      <c r="I69" s="7">
        <f>+'[1]Control obra'!EB74</f>
        <v>0</v>
      </c>
      <c r="J69" s="7">
        <f>+'[1]Control obra'!EO74</f>
        <v>0</v>
      </c>
      <c r="K69" s="9">
        <f>+VLOOKUP(A69,[1]Torres!A:E,2,)</f>
        <v>5094873.7555</v>
      </c>
      <c r="L69" s="9">
        <f>+VLOOKUP(A69,[1]Torres!A:E,3,)</f>
        <v>2818253.6812</v>
      </c>
      <c r="M69" s="9" t="str">
        <f>VLOOKUP(GIS!B69,[1]Comunidades!A:E,1,FALSE)</f>
        <v>San Luis</v>
      </c>
    </row>
    <row r="70" spans="1:13" x14ac:dyDescent="0.2">
      <c r="A70" t="s">
        <v>97</v>
      </c>
      <c r="B70" s="6" t="s">
        <v>98</v>
      </c>
      <c r="C70" s="7" t="str">
        <f>IF(+'[1]Control obra'!AB75&gt;0,"SI","NO")</f>
        <v>NO</v>
      </c>
      <c r="D70" s="7">
        <f>+'[1]Control obra'!AZ75</f>
        <v>0</v>
      </c>
      <c r="E70" s="7">
        <f>+'[1]Control obra'!CA75</f>
        <v>0</v>
      </c>
      <c r="F70" s="7">
        <f>+'[1]Control obra'!CN75</f>
        <v>0</v>
      </c>
      <c r="G70" s="8">
        <f>+'[1]Control obra'!DB75</f>
        <v>0</v>
      </c>
      <c r="H70" s="7">
        <f>+'[1]Control obra'!DO75</f>
        <v>0</v>
      </c>
      <c r="I70" s="7">
        <f>+'[1]Control obra'!EB75</f>
        <v>0</v>
      </c>
      <c r="J70" s="7">
        <f>+'[1]Control obra'!EO75</f>
        <v>0</v>
      </c>
      <c r="K70" s="9">
        <f>+VLOOKUP(A70,[1]Torres!A:E,2,)</f>
        <v>5094645.2435999997</v>
      </c>
      <c r="L70" s="9">
        <f>+VLOOKUP(A70,[1]Torres!A:E,3,)</f>
        <v>2817901.9583000001</v>
      </c>
      <c r="M70" s="9" t="str">
        <f>VLOOKUP(GIS!B70,[1]Comunidades!A:E,1,FALSE)</f>
        <v>Chuluita</v>
      </c>
    </row>
    <row r="71" spans="1:13" x14ac:dyDescent="0.2">
      <c r="A71" t="s">
        <v>99</v>
      </c>
      <c r="B71" s="6" t="s">
        <v>98</v>
      </c>
      <c r="C71" s="7" t="str">
        <f>IF(+'[1]Control obra'!AB76&gt;0,"SI","NO")</f>
        <v>NO</v>
      </c>
      <c r="D71" s="7">
        <f>+'[1]Control obra'!AZ76</f>
        <v>0</v>
      </c>
      <c r="E71" s="7">
        <f>+'[1]Control obra'!CA76</f>
        <v>0</v>
      </c>
      <c r="F71" s="7">
        <f>+'[1]Control obra'!CN76</f>
        <v>0</v>
      </c>
      <c r="G71" s="8">
        <f>+'[1]Control obra'!DB76</f>
        <v>0</v>
      </c>
      <c r="H71" s="7">
        <f>+'[1]Control obra'!DO76</f>
        <v>0</v>
      </c>
      <c r="I71" s="7">
        <f>+'[1]Control obra'!EB76</f>
        <v>0</v>
      </c>
      <c r="J71" s="7">
        <f>+'[1]Control obra'!EO76</f>
        <v>0</v>
      </c>
      <c r="K71" s="9">
        <f>+VLOOKUP(A71,[1]Torres!A:E,2,)</f>
        <v>5094455.0124000004</v>
      </c>
      <c r="L71" s="9">
        <f>+VLOOKUP(A71,[1]Torres!A:E,3,)</f>
        <v>2817609.1562000001</v>
      </c>
      <c r="M71" s="9" t="str">
        <f>VLOOKUP(GIS!B71,[1]Comunidades!A:E,1,FALSE)</f>
        <v>Chuluita</v>
      </c>
    </row>
    <row r="72" spans="1:13" x14ac:dyDescent="0.2">
      <c r="A72" t="s">
        <v>100</v>
      </c>
      <c r="B72" s="6" t="s">
        <v>98</v>
      </c>
      <c r="C72" s="7" t="str">
        <f>IF(+'[1]Control obra'!AB77&gt;0,"SI","NO")</f>
        <v>NO</v>
      </c>
      <c r="D72" s="7">
        <f>+'[1]Control obra'!AZ77</f>
        <v>0</v>
      </c>
      <c r="E72" s="7">
        <f>+'[1]Control obra'!CA77</f>
        <v>0</v>
      </c>
      <c r="F72" s="7">
        <f>+'[1]Control obra'!CN77</f>
        <v>0</v>
      </c>
      <c r="G72" s="8">
        <f>+'[1]Control obra'!DB77</f>
        <v>0</v>
      </c>
      <c r="H72" s="7">
        <f>+'[1]Control obra'!DO77</f>
        <v>0</v>
      </c>
      <c r="I72" s="7">
        <f>+'[1]Control obra'!EB77</f>
        <v>0</v>
      </c>
      <c r="J72" s="7">
        <f>+'[1]Control obra'!EO77</f>
        <v>0</v>
      </c>
      <c r="K72" s="9">
        <f>+VLOOKUP(A72,[1]Torres!A:E,2,)</f>
        <v>5094220.37</v>
      </c>
      <c r="L72" s="9">
        <f>+VLOOKUP(A72,[1]Torres!A:E,3,)</f>
        <v>2817295.4024999999</v>
      </c>
      <c r="M72" s="9" t="str">
        <f>VLOOKUP(GIS!B72,[1]Comunidades!A:E,1,FALSE)</f>
        <v>Chuluita</v>
      </c>
    </row>
    <row r="73" spans="1:13" x14ac:dyDescent="0.2">
      <c r="A73" t="s">
        <v>101</v>
      </c>
      <c r="B73" s="6" t="s">
        <v>98</v>
      </c>
      <c r="C73" s="7" t="str">
        <f>IF(+'[1]Control obra'!AB78&gt;0,"SI","NO")</f>
        <v>NO</v>
      </c>
      <c r="D73" s="7">
        <f>+'[1]Control obra'!AZ78</f>
        <v>0</v>
      </c>
      <c r="E73" s="7">
        <f>+'[1]Control obra'!CA78</f>
        <v>0</v>
      </c>
      <c r="F73" s="7">
        <f>+'[1]Control obra'!CN78</f>
        <v>0</v>
      </c>
      <c r="G73" s="8">
        <f>+'[1]Control obra'!DB78</f>
        <v>0</v>
      </c>
      <c r="H73" s="7">
        <f>+'[1]Control obra'!DO78</f>
        <v>0</v>
      </c>
      <c r="I73" s="7">
        <f>+'[1]Control obra'!EB78</f>
        <v>0</v>
      </c>
      <c r="J73" s="7">
        <f>+'[1]Control obra'!EO78</f>
        <v>0</v>
      </c>
      <c r="K73" s="9">
        <f>+VLOOKUP(A73,[1]Torres!A:E,2,)</f>
        <v>5094107.0235000001</v>
      </c>
      <c r="L73" s="9">
        <f>+VLOOKUP(A73,[1]Torres!A:E,3,)</f>
        <v>2816865.0575000001</v>
      </c>
      <c r="M73" s="9" t="str">
        <f>VLOOKUP(GIS!B73,[1]Comunidades!A:E,1,FALSE)</f>
        <v>Chuluita</v>
      </c>
    </row>
    <row r="74" spans="1:13" x14ac:dyDescent="0.2">
      <c r="A74" t="s">
        <v>102</v>
      </c>
      <c r="B74" s="6" t="s">
        <v>103</v>
      </c>
      <c r="C74" s="7" t="str">
        <f>IF(+'[1]Control obra'!AB79&gt;0,"SI","NO")</f>
        <v>NO</v>
      </c>
      <c r="D74" s="7">
        <f>+'[1]Control obra'!AZ79</f>
        <v>0</v>
      </c>
      <c r="E74" s="7">
        <f>+'[1]Control obra'!CA79</f>
        <v>0</v>
      </c>
      <c r="F74" s="7">
        <f>+'[1]Control obra'!CN79</f>
        <v>0</v>
      </c>
      <c r="G74" s="8">
        <f>+'[1]Control obra'!DB79</f>
        <v>0</v>
      </c>
      <c r="H74" s="7">
        <f>+'[1]Control obra'!DO79</f>
        <v>0</v>
      </c>
      <c r="I74" s="7">
        <f>+'[1]Control obra'!EB79</f>
        <v>0</v>
      </c>
      <c r="J74" s="7">
        <f>+'[1]Control obra'!EO79</f>
        <v>0</v>
      </c>
      <c r="K74" s="9">
        <f>+VLOOKUP(A74,[1]Torres!A:E,2,)</f>
        <v>5093768.2643999998</v>
      </c>
      <c r="L74" s="9">
        <f>+VLOOKUP(A74,[1]Torres!A:E,3,)</f>
        <v>2816415.1296999999</v>
      </c>
      <c r="M74" s="9" t="str">
        <f>VLOOKUP(GIS!B74,[1]Comunidades!A:E,1,FALSE)</f>
        <v>Urraichipa</v>
      </c>
    </row>
    <row r="75" spans="1:13" x14ac:dyDescent="0.2">
      <c r="A75" t="s">
        <v>104</v>
      </c>
      <c r="B75" s="6" t="s">
        <v>103</v>
      </c>
      <c r="C75" s="7" t="str">
        <f>IF(+'[1]Control obra'!AB80&gt;0,"SI","NO")</f>
        <v>NO</v>
      </c>
      <c r="D75" s="7">
        <f>+'[1]Control obra'!AZ80</f>
        <v>0</v>
      </c>
      <c r="E75" s="7">
        <f>+'[1]Control obra'!CA80</f>
        <v>0</v>
      </c>
      <c r="F75" s="7">
        <f>+'[1]Control obra'!CN80</f>
        <v>0</v>
      </c>
      <c r="G75" s="8">
        <f>+'[1]Control obra'!DB80</f>
        <v>0</v>
      </c>
      <c r="H75" s="7">
        <f>+'[1]Control obra'!DO80</f>
        <v>0</v>
      </c>
      <c r="I75" s="7">
        <f>+'[1]Control obra'!EB80</f>
        <v>0</v>
      </c>
      <c r="J75" s="7">
        <f>+'[1]Control obra'!EO80</f>
        <v>0</v>
      </c>
      <c r="K75" s="9">
        <f>+VLOOKUP(A75,[1]Torres!A:E,2,)</f>
        <v>5093620.6090000002</v>
      </c>
      <c r="L75" s="9">
        <f>+VLOOKUP(A75,[1]Torres!A:E,3,)</f>
        <v>2816097.6074000001</v>
      </c>
      <c r="M75" s="9" t="str">
        <f>VLOOKUP(GIS!B75,[1]Comunidades!A:E,1,FALSE)</f>
        <v>Urraichipa</v>
      </c>
    </row>
    <row r="76" spans="1:13" x14ac:dyDescent="0.2">
      <c r="A76" t="s">
        <v>105</v>
      </c>
      <c r="B76" s="6" t="s">
        <v>103</v>
      </c>
      <c r="C76" s="7" t="str">
        <f>IF(+'[1]Control obra'!AB81&gt;0,"SI","NO")</f>
        <v>NO</v>
      </c>
      <c r="D76" s="7">
        <f>+'[1]Control obra'!AZ81</f>
        <v>0</v>
      </c>
      <c r="E76" s="7">
        <f>+'[1]Control obra'!CA81</f>
        <v>0</v>
      </c>
      <c r="F76" s="7">
        <f>+'[1]Control obra'!CN81</f>
        <v>0</v>
      </c>
      <c r="G76" s="8">
        <f>+'[1]Control obra'!DB81</f>
        <v>0</v>
      </c>
      <c r="H76" s="7">
        <f>+'[1]Control obra'!DO81</f>
        <v>0</v>
      </c>
      <c r="I76" s="7">
        <f>+'[1]Control obra'!EB81</f>
        <v>0</v>
      </c>
      <c r="J76" s="7">
        <f>+'[1]Control obra'!EO81</f>
        <v>0</v>
      </c>
      <c r="K76" s="9">
        <f>+VLOOKUP(A76,[1]Torres!A:E,2,)</f>
        <v>5093382.6271000002</v>
      </c>
      <c r="L76" s="9">
        <f>+VLOOKUP(A76,[1]Torres!A:E,3,)</f>
        <v>2815722.1296000001</v>
      </c>
      <c r="M76" s="9" t="str">
        <f>VLOOKUP(GIS!B76,[1]Comunidades!A:E,1,FALSE)</f>
        <v>Urraichipa</v>
      </c>
    </row>
    <row r="77" spans="1:13" x14ac:dyDescent="0.2">
      <c r="A77" t="s">
        <v>106</v>
      </c>
      <c r="B77" s="6" t="s">
        <v>103</v>
      </c>
      <c r="C77" s="7" t="str">
        <f>IF(+'[1]Control obra'!AB82&gt;0,"SI","NO")</f>
        <v>NO</v>
      </c>
      <c r="D77" s="7">
        <f>+'[1]Control obra'!AZ82</f>
        <v>0</v>
      </c>
      <c r="E77" s="7">
        <f>+'[1]Control obra'!CA82</f>
        <v>0</v>
      </c>
      <c r="F77" s="7">
        <f>+'[1]Control obra'!CN82</f>
        <v>0</v>
      </c>
      <c r="G77" s="8">
        <f>+'[1]Control obra'!DB82</f>
        <v>0</v>
      </c>
      <c r="H77" s="7">
        <f>+'[1]Control obra'!DO82</f>
        <v>0</v>
      </c>
      <c r="I77" s="7">
        <f>+'[1]Control obra'!EB82</f>
        <v>0</v>
      </c>
      <c r="J77" s="7">
        <f>+'[1]Control obra'!EO82</f>
        <v>0</v>
      </c>
      <c r="K77" s="9">
        <f>+VLOOKUP(A77,[1]Torres!A:E,2,)</f>
        <v>5093178.71</v>
      </c>
      <c r="L77" s="9">
        <f>+VLOOKUP(A77,[1]Torres!A:E,3,)</f>
        <v>2815400.3991999999</v>
      </c>
      <c r="M77" s="9" t="str">
        <f>VLOOKUP(GIS!B77,[1]Comunidades!A:E,1,FALSE)</f>
        <v>Urraichipa</v>
      </c>
    </row>
    <row r="78" spans="1:13" x14ac:dyDescent="0.2">
      <c r="A78" t="s">
        <v>107</v>
      </c>
      <c r="B78" s="6" t="s">
        <v>103</v>
      </c>
      <c r="C78" s="7" t="str">
        <f>IF(+'[1]Control obra'!AB83&gt;0,"SI","NO")</f>
        <v>NO</v>
      </c>
      <c r="D78" s="7">
        <f>+'[1]Control obra'!AZ83</f>
        <v>0</v>
      </c>
      <c r="E78" s="7">
        <f>+'[1]Control obra'!CA83</f>
        <v>0</v>
      </c>
      <c r="F78" s="7">
        <f>+'[1]Control obra'!CN83</f>
        <v>0</v>
      </c>
      <c r="G78" s="8">
        <f>+'[1]Control obra'!DB83</f>
        <v>0</v>
      </c>
      <c r="H78" s="7">
        <f>+'[1]Control obra'!DO83</f>
        <v>0</v>
      </c>
      <c r="I78" s="7">
        <f>+'[1]Control obra'!EB83</f>
        <v>0</v>
      </c>
      <c r="J78" s="7">
        <f>+'[1]Control obra'!EO83</f>
        <v>0</v>
      </c>
      <c r="K78" s="9">
        <f>+VLOOKUP(A78,[1]Torres!A:E,2,)</f>
        <v>5093029.5131000001</v>
      </c>
      <c r="L78" s="9">
        <f>+VLOOKUP(A78,[1]Torres!A:E,3,)</f>
        <v>2815080.1058</v>
      </c>
      <c r="M78" s="9" t="str">
        <f>VLOOKUP(GIS!B78,[1]Comunidades!A:E,1,FALSE)</f>
        <v>Urraichipa</v>
      </c>
    </row>
    <row r="79" spans="1:13" x14ac:dyDescent="0.2">
      <c r="A79" t="s">
        <v>108</v>
      </c>
      <c r="B79" s="6" t="s">
        <v>109</v>
      </c>
      <c r="C79" s="7" t="str">
        <f>IF(+'[1]Control obra'!AB84&gt;0,"SI","NO")</f>
        <v>NO</v>
      </c>
      <c r="D79" s="7">
        <f>+'[1]Control obra'!AZ84</f>
        <v>0</v>
      </c>
      <c r="E79" s="7">
        <f>+'[1]Control obra'!CA84</f>
        <v>0</v>
      </c>
      <c r="F79" s="7">
        <f>+'[1]Control obra'!CN84</f>
        <v>0</v>
      </c>
      <c r="G79" s="8">
        <f>+'[1]Control obra'!DB84</f>
        <v>0</v>
      </c>
      <c r="H79" s="7">
        <f>+'[1]Control obra'!DO84</f>
        <v>0</v>
      </c>
      <c r="I79" s="7">
        <f>+'[1]Control obra'!EB84</f>
        <v>0</v>
      </c>
      <c r="J79" s="7">
        <f>+'[1]Control obra'!EO84</f>
        <v>0</v>
      </c>
      <c r="K79" s="9">
        <f>+VLOOKUP(A79,[1]Torres!A:E,2,)</f>
        <v>5092870.2898000004</v>
      </c>
      <c r="L79" s="9">
        <f>+VLOOKUP(A79,[1]Torres!A:E,3,)</f>
        <v>2814738.2884999998</v>
      </c>
      <c r="M79" s="9" t="str">
        <f>VLOOKUP(GIS!B79,[1]Comunidades!A:E,1,FALSE)</f>
        <v>Jaipachon</v>
      </c>
    </row>
    <row r="80" spans="1:13" x14ac:dyDescent="0.2">
      <c r="A80" t="s">
        <v>110</v>
      </c>
      <c r="B80" s="6" t="s">
        <v>109</v>
      </c>
      <c r="C80" s="7" t="str">
        <f>IF(+'[1]Control obra'!AB85&gt;0,"SI","NO")</f>
        <v>NO</v>
      </c>
      <c r="D80" s="7">
        <f>+'[1]Control obra'!AZ85</f>
        <v>0</v>
      </c>
      <c r="E80" s="7">
        <f>+'[1]Control obra'!CA85</f>
        <v>0</v>
      </c>
      <c r="F80" s="7">
        <f>+'[1]Control obra'!CN85</f>
        <v>0</v>
      </c>
      <c r="G80" s="8">
        <f>+'[1]Control obra'!DB85</f>
        <v>0</v>
      </c>
      <c r="H80" s="7">
        <f>+'[1]Control obra'!DO85</f>
        <v>0</v>
      </c>
      <c r="I80" s="7">
        <f>+'[1]Control obra'!EB85</f>
        <v>0</v>
      </c>
      <c r="J80" s="7">
        <f>+'[1]Control obra'!EO85</f>
        <v>0</v>
      </c>
      <c r="K80" s="9">
        <f>+VLOOKUP(A80,[1]Torres!A:E,2,)</f>
        <v>5092694.7477000002</v>
      </c>
      <c r="L80" s="9">
        <f>+VLOOKUP(A80,[1]Torres!A:E,3,)</f>
        <v>2814361.4393000002</v>
      </c>
      <c r="M80" s="9" t="str">
        <f>VLOOKUP(GIS!B80,[1]Comunidades!A:E,1,FALSE)</f>
        <v>Jaipachon</v>
      </c>
    </row>
    <row r="81" spans="1:13" x14ac:dyDescent="0.2">
      <c r="A81" t="s">
        <v>111</v>
      </c>
      <c r="B81" s="10" t="s">
        <v>112</v>
      </c>
      <c r="C81" s="7" t="str">
        <f>IF(+'[1]Control obra'!AB86&gt;0,"SI","NO")</f>
        <v>NO</v>
      </c>
      <c r="D81" s="7">
        <f>+'[1]Control obra'!AZ86</f>
        <v>0</v>
      </c>
      <c r="E81" s="7">
        <f>+'[1]Control obra'!CA86</f>
        <v>0</v>
      </c>
      <c r="F81" s="7">
        <f>+'[1]Control obra'!CN86</f>
        <v>0</v>
      </c>
      <c r="G81" s="8">
        <f>+'[1]Control obra'!DB86</f>
        <v>0</v>
      </c>
      <c r="H81" s="7">
        <f>+'[1]Control obra'!DO86</f>
        <v>0</v>
      </c>
      <c r="I81" s="7">
        <f>+'[1]Control obra'!EB86</f>
        <v>0</v>
      </c>
      <c r="J81" s="7">
        <f>+'[1]Control obra'!EO86</f>
        <v>0</v>
      </c>
      <c r="K81" s="9">
        <f>+VLOOKUP(A81,[1]Torres!A:E,2,)</f>
        <v>5092534.9210000001</v>
      </c>
      <c r="L81" s="9">
        <f>+VLOOKUP(A81,[1]Torres!A:E,3,)</f>
        <v>2814020.2118000002</v>
      </c>
      <c r="M81" s="9" t="e">
        <f>VLOOKUP(GIS!B81,[1]Comunidades!A:E,1,FALSE)</f>
        <v>#N/A</v>
      </c>
    </row>
    <row r="82" spans="1:13" x14ac:dyDescent="0.2">
      <c r="A82" t="s">
        <v>113</v>
      </c>
      <c r="B82" s="10" t="s">
        <v>112</v>
      </c>
      <c r="C82" s="7" t="str">
        <f>IF(+'[1]Control obra'!AB87&gt;0,"SI","NO")</f>
        <v>NO</v>
      </c>
      <c r="D82" s="7">
        <f>+'[1]Control obra'!AZ87</f>
        <v>0</v>
      </c>
      <c r="E82" s="7">
        <f>+'[1]Control obra'!CA87</f>
        <v>0</v>
      </c>
      <c r="F82" s="7">
        <f>+'[1]Control obra'!CN87</f>
        <v>0</v>
      </c>
      <c r="G82" s="8">
        <f>+'[1]Control obra'!DB87</f>
        <v>0</v>
      </c>
      <c r="H82" s="7">
        <f>+'[1]Control obra'!DO87</f>
        <v>0</v>
      </c>
      <c r="I82" s="7">
        <f>+'[1]Control obra'!EB87</f>
        <v>0</v>
      </c>
      <c r="J82" s="7">
        <f>+'[1]Control obra'!EO87</f>
        <v>0</v>
      </c>
      <c r="K82" s="9">
        <f>+VLOOKUP(A82,[1]Torres!A:E,2,)</f>
        <v>5092342.8446000004</v>
      </c>
      <c r="L82" s="9">
        <f>+VLOOKUP(A82,[1]Torres!A:E,3,)</f>
        <v>2813610.1356000002</v>
      </c>
      <c r="M82" s="9" t="e">
        <f>VLOOKUP(GIS!B82,[1]Comunidades!A:E,1,FALSE)</f>
        <v>#N/A</v>
      </c>
    </row>
    <row r="83" spans="1:13" x14ac:dyDescent="0.2">
      <c r="A83" t="s">
        <v>114</v>
      </c>
      <c r="B83" s="10" t="s">
        <v>112</v>
      </c>
      <c r="C83" s="7" t="str">
        <f>IF(+'[1]Control obra'!AB88&gt;0,"SI","NO")</f>
        <v>NO</v>
      </c>
      <c r="D83" s="7">
        <f>+'[1]Control obra'!AZ88</f>
        <v>0</v>
      </c>
      <c r="E83" s="7">
        <f>+'[1]Control obra'!CA88</f>
        <v>0</v>
      </c>
      <c r="F83" s="7">
        <f>+'[1]Control obra'!CN88</f>
        <v>0</v>
      </c>
      <c r="G83" s="8">
        <f>+'[1]Control obra'!DB88</f>
        <v>0</v>
      </c>
      <c r="H83" s="7">
        <f>+'[1]Control obra'!DO88</f>
        <v>0</v>
      </c>
      <c r="I83" s="7">
        <f>+'[1]Control obra'!EB88</f>
        <v>0</v>
      </c>
      <c r="J83" s="7">
        <f>+'[1]Control obra'!EO88</f>
        <v>0</v>
      </c>
      <c r="K83" s="9">
        <f>+VLOOKUP(A83,[1]Torres!A:E,2,)</f>
        <v>5092151.4039000003</v>
      </c>
      <c r="L83" s="9">
        <f>+VLOOKUP(A83,[1]Torres!A:E,3,)</f>
        <v>2813201.4172</v>
      </c>
      <c r="M83" s="9" t="e">
        <f>VLOOKUP(GIS!B83,[1]Comunidades!A:E,1,FALSE)</f>
        <v>#N/A</v>
      </c>
    </row>
    <row r="84" spans="1:13" x14ac:dyDescent="0.2">
      <c r="A84" t="s">
        <v>115</v>
      </c>
      <c r="B84" s="10" t="s">
        <v>116</v>
      </c>
      <c r="C84" s="7" t="str">
        <f>IF(+'[1]Control obra'!AB89&gt;0,"SI","NO")</f>
        <v>NO</v>
      </c>
      <c r="D84" s="7">
        <f>+'[1]Control obra'!AZ89</f>
        <v>0</v>
      </c>
      <c r="E84" s="7">
        <f>+'[1]Control obra'!CA89</f>
        <v>0</v>
      </c>
      <c r="F84" s="7">
        <f>+'[1]Control obra'!CN89</f>
        <v>0</v>
      </c>
      <c r="G84" s="8">
        <f>+'[1]Control obra'!DB89</f>
        <v>0</v>
      </c>
      <c r="H84" s="7">
        <f>+'[1]Control obra'!DO89</f>
        <v>0</v>
      </c>
      <c r="I84" s="7">
        <f>+'[1]Control obra'!EB89</f>
        <v>0</v>
      </c>
      <c r="J84" s="7">
        <f>+'[1]Control obra'!EO89</f>
        <v>0</v>
      </c>
      <c r="K84" s="9">
        <f>+VLOOKUP(A84,[1]Torres!A:E,2,)</f>
        <v>5091932.7537000002</v>
      </c>
      <c r="L84" s="9">
        <f>+VLOOKUP(A84,[1]Torres!A:E,3,)</f>
        <v>2812734.6118999999</v>
      </c>
      <c r="M84" s="9" t="e">
        <f>VLOOKUP(GIS!B84,[1]Comunidades!A:E,1,FALSE)</f>
        <v>#N/A</v>
      </c>
    </row>
    <row r="85" spans="1:13" x14ac:dyDescent="0.2">
      <c r="A85" t="s">
        <v>117</v>
      </c>
      <c r="B85" s="10" t="s">
        <v>116</v>
      </c>
      <c r="C85" s="7" t="str">
        <f>IF(+'[1]Control obra'!AB90&gt;0,"SI","NO")</f>
        <v>NO</v>
      </c>
      <c r="D85" s="7">
        <f>+'[1]Control obra'!AZ90</f>
        <v>0</v>
      </c>
      <c r="E85" s="7">
        <f>+'[1]Control obra'!CA90</f>
        <v>0</v>
      </c>
      <c r="F85" s="7">
        <f>+'[1]Control obra'!CN90</f>
        <v>0</v>
      </c>
      <c r="G85" s="8">
        <f>+'[1]Control obra'!DB90</f>
        <v>0</v>
      </c>
      <c r="H85" s="7">
        <f>+'[1]Control obra'!DO90</f>
        <v>0</v>
      </c>
      <c r="I85" s="7">
        <f>+'[1]Control obra'!EB90</f>
        <v>0</v>
      </c>
      <c r="J85" s="7">
        <f>+'[1]Control obra'!EO90</f>
        <v>0</v>
      </c>
      <c r="K85" s="9">
        <f>+VLOOKUP(A85,[1]Torres!A:E,2,)</f>
        <v>5091750.8372</v>
      </c>
      <c r="L85" s="9">
        <f>+VLOOKUP(A85,[1]Torres!A:E,3,)</f>
        <v>2812346.2330999998</v>
      </c>
      <c r="M85" s="9" t="e">
        <f>VLOOKUP(GIS!B85,[1]Comunidades!A:E,1,FALSE)</f>
        <v>#N/A</v>
      </c>
    </row>
    <row r="86" spans="1:13" x14ac:dyDescent="0.2">
      <c r="A86" t="s">
        <v>118</v>
      </c>
      <c r="B86" s="10" t="s">
        <v>116</v>
      </c>
      <c r="C86" s="7" t="str">
        <f>IF(+'[1]Control obra'!AB91&gt;0,"SI","NO")</f>
        <v>NO</v>
      </c>
      <c r="D86" s="7">
        <f>+'[1]Control obra'!AZ91</f>
        <v>0</v>
      </c>
      <c r="E86" s="7">
        <f>+'[1]Control obra'!CA91</f>
        <v>0</v>
      </c>
      <c r="F86" s="7">
        <f>+'[1]Control obra'!CN91</f>
        <v>0</v>
      </c>
      <c r="G86" s="8">
        <f>+'[1]Control obra'!DB91</f>
        <v>0</v>
      </c>
      <c r="H86" s="7">
        <f>+'[1]Control obra'!DO91</f>
        <v>0</v>
      </c>
      <c r="I86" s="7">
        <f>+'[1]Control obra'!EB91</f>
        <v>0</v>
      </c>
      <c r="J86" s="7">
        <f>+'[1]Control obra'!EO91</f>
        <v>0</v>
      </c>
      <c r="K86" s="9">
        <f>+VLOOKUP(A86,[1]Torres!A:E,2,)</f>
        <v>5091583.6330000004</v>
      </c>
      <c r="L86" s="9">
        <f>+VLOOKUP(A86,[1]Torres!A:E,3,)</f>
        <v>2811989.2634999999</v>
      </c>
      <c r="M86" s="9" t="e">
        <f>VLOOKUP(GIS!B86,[1]Comunidades!A:E,1,FALSE)</f>
        <v>#N/A</v>
      </c>
    </row>
    <row r="87" spans="1:13" x14ac:dyDescent="0.2">
      <c r="A87" t="s">
        <v>119</v>
      </c>
      <c r="B87" s="10" t="s">
        <v>120</v>
      </c>
      <c r="C87" s="7" t="str">
        <f>IF(+'[1]Control obra'!AB92&gt;0,"SI","NO")</f>
        <v>NO</v>
      </c>
      <c r="D87" s="7">
        <f>+'[1]Control obra'!AZ92</f>
        <v>0</v>
      </c>
      <c r="E87" s="7">
        <f>+'[1]Control obra'!CA92</f>
        <v>0</v>
      </c>
      <c r="F87" s="7">
        <f>+'[1]Control obra'!CN92</f>
        <v>0</v>
      </c>
      <c r="G87" s="8">
        <f>+'[1]Control obra'!DB92</f>
        <v>0</v>
      </c>
      <c r="H87" s="7">
        <f>+'[1]Control obra'!DO92</f>
        <v>0</v>
      </c>
      <c r="I87" s="7">
        <f>+'[1]Control obra'!EB92</f>
        <v>0</v>
      </c>
      <c r="J87" s="7">
        <f>+'[1]Control obra'!EO92</f>
        <v>0</v>
      </c>
      <c r="K87" s="9">
        <f>+VLOOKUP(A87,[1]Torres!A:E,2,)</f>
        <v>5091372.4488000004</v>
      </c>
      <c r="L87" s="9">
        <f>+VLOOKUP(A87,[1]Torres!A:E,3,)</f>
        <v>2811538.4048000001</v>
      </c>
      <c r="M87" s="9" t="e">
        <f>VLOOKUP(GIS!B87,[1]Comunidades!A:E,1,FALSE)</f>
        <v>#N/A</v>
      </c>
    </row>
    <row r="88" spans="1:13" x14ac:dyDescent="0.2">
      <c r="A88" t="s">
        <v>121</v>
      </c>
      <c r="B88" s="10" t="s">
        <v>120</v>
      </c>
      <c r="C88" s="7" t="str">
        <f>IF(+'[1]Control obra'!AB93&gt;0,"SI","NO")</f>
        <v>NO</v>
      </c>
      <c r="D88" s="7">
        <f>+'[1]Control obra'!AZ93</f>
        <v>0</v>
      </c>
      <c r="E88" s="7">
        <f>+'[1]Control obra'!CA93</f>
        <v>0</v>
      </c>
      <c r="F88" s="7">
        <f>+'[1]Control obra'!CN93</f>
        <v>0</v>
      </c>
      <c r="G88" s="8">
        <f>+'[1]Control obra'!DB93</f>
        <v>0</v>
      </c>
      <c r="H88" s="7">
        <f>+'[1]Control obra'!DO93</f>
        <v>0</v>
      </c>
      <c r="I88" s="7">
        <f>+'[1]Control obra'!EB93</f>
        <v>0</v>
      </c>
      <c r="J88" s="7">
        <f>+'[1]Control obra'!EO93</f>
        <v>0</v>
      </c>
      <c r="K88" s="9">
        <f>+VLOOKUP(A88,[1]Torres!A:E,2,)</f>
        <v>5091206.8306999998</v>
      </c>
      <c r="L88" s="9">
        <f>+VLOOKUP(A88,[1]Torres!A:E,3,)</f>
        <v>2811184.8273</v>
      </c>
      <c r="M88" s="9" t="e">
        <f>VLOOKUP(GIS!B88,[1]Comunidades!A:E,1,FALSE)</f>
        <v>#N/A</v>
      </c>
    </row>
    <row r="89" spans="1:13" x14ac:dyDescent="0.2">
      <c r="A89" t="s">
        <v>122</v>
      </c>
      <c r="B89" s="10" t="s">
        <v>123</v>
      </c>
      <c r="C89" s="7" t="str">
        <f>IF(+'[1]Control obra'!AB94&gt;0,"SI","NO")</f>
        <v>NO</v>
      </c>
      <c r="D89" s="7">
        <f>+'[1]Control obra'!AZ94</f>
        <v>0</v>
      </c>
      <c r="E89" s="7">
        <f>+'[1]Control obra'!CA94</f>
        <v>0</v>
      </c>
      <c r="F89" s="7">
        <f>+'[1]Control obra'!CN94</f>
        <v>0</v>
      </c>
      <c r="G89" s="8">
        <f>+'[1]Control obra'!DB94</f>
        <v>0</v>
      </c>
      <c r="H89" s="7">
        <f>+'[1]Control obra'!DO94</f>
        <v>0</v>
      </c>
      <c r="I89" s="7">
        <f>+'[1]Control obra'!EB94</f>
        <v>0</v>
      </c>
      <c r="J89" s="7">
        <f>+'[1]Control obra'!EO94</f>
        <v>0</v>
      </c>
      <c r="K89" s="9">
        <f>+VLOOKUP(A89,[1]Torres!A:E,2,)</f>
        <v>5090959.4166999999</v>
      </c>
      <c r="L89" s="9">
        <f>+VLOOKUP(A89,[1]Torres!A:E,3,)</f>
        <v>2810869.4219</v>
      </c>
      <c r="M89" s="9" t="e">
        <f>VLOOKUP(GIS!B89,[1]Comunidades!A:E,1,FALSE)</f>
        <v>#N/A</v>
      </c>
    </row>
    <row r="90" spans="1:13" x14ac:dyDescent="0.2">
      <c r="A90" t="s">
        <v>124</v>
      </c>
      <c r="B90" s="10" t="s">
        <v>123</v>
      </c>
      <c r="C90" s="7" t="str">
        <f>IF(+'[1]Control obra'!AB95&gt;0,"SI","NO")</f>
        <v>NO</v>
      </c>
      <c r="D90" s="7">
        <f>+'[1]Control obra'!AZ95</f>
        <v>0</v>
      </c>
      <c r="E90" s="7">
        <f>+'[1]Control obra'!CA95</f>
        <v>0</v>
      </c>
      <c r="F90" s="7">
        <f>+'[1]Control obra'!CN95</f>
        <v>0</v>
      </c>
      <c r="G90" s="8">
        <f>+'[1]Control obra'!DB95</f>
        <v>0</v>
      </c>
      <c r="H90" s="7">
        <f>+'[1]Control obra'!DO95</f>
        <v>0</v>
      </c>
      <c r="I90" s="7">
        <f>+'[1]Control obra'!EB95</f>
        <v>0</v>
      </c>
      <c r="J90" s="7">
        <f>+'[1]Control obra'!EO95</f>
        <v>0</v>
      </c>
      <c r="K90" s="9">
        <f>+VLOOKUP(A90,[1]Torres!A:E,2,)</f>
        <v>5090683.1529000001</v>
      </c>
      <c r="L90" s="9">
        <f>+VLOOKUP(A90,[1]Torres!A:E,3,)</f>
        <v>2810517.2401999999</v>
      </c>
      <c r="M90" s="9" t="e">
        <f>VLOOKUP(GIS!B90,[1]Comunidades!A:E,1,FALSE)</f>
        <v>#N/A</v>
      </c>
    </row>
    <row r="91" spans="1:13" x14ac:dyDescent="0.2">
      <c r="A91" t="s">
        <v>125</v>
      </c>
      <c r="B91" s="10" t="s">
        <v>123</v>
      </c>
      <c r="C91" s="7" t="str">
        <f>IF(+'[1]Control obra'!AB96&gt;0,"SI","NO")</f>
        <v>NO</v>
      </c>
      <c r="D91" s="7">
        <f>+'[1]Control obra'!AZ96</f>
        <v>0</v>
      </c>
      <c r="E91" s="7">
        <f>+'[1]Control obra'!CA96</f>
        <v>0</v>
      </c>
      <c r="F91" s="7">
        <f>+'[1]Control obra'!CN96</f>
        <v>0</v>
      </c>
      <c r="G91" s="8">
        <f>+'[1]Control obra'!DB96</f>
        <v>0</v>
      </c>
      <c r="H91" s="7">
        <f>+'[1]Control obra'!DO96</f>
        <v>0</v>
      </c>
      <c r="I91" s="7">
        <f>+'[1]Control obra'!EB96</f>
        <v>0</v>
      </c>
      <c r="J91" s="7">
        <f>+'[1]Control obra'!EO96</f>
        <v>0</v>
      </c>
      <c r="K91" s="9">
        <f>+VLOOKUP(A91,[1]Torres!A:E,2,)</f>
        <v>5090497.625</v>
      </c>
      <c r="L91" s="9">
        <f>+VLOOKUP(A91,[1]Torres!A:E,3,)</f>
        <v>2810280.7305000001</v>
      </c>
      <c r="M91" s="9" t="e">
        <f>VLOOKUP(GIS!B91,[1]Comunidades!A:E,1,FALSE)</f>
        <v>#N/A</v>
      </c>
    </row>
    <row r="92" spans="1:13" x14ac:dyDescent="0.2">
      <c r="A92" t="s">
        <v>126</v>
      </c>
      <c r="B92" s="10" t="s">
        <v>127</v>
      </c>
      <c r="C92" s="7" t="str">
        <f>IF(+'[1]Control obra'!AB97&gt;0,"SI","NO")</f>
        <v>NO</v>
      </c>
      <c r="D92" s="7">
        <f>+'[1]Control obra'!AZ97</f>
        <v>0</v>
      </c>
      <c r="E92" s="7">
        <f>+'[1]Control obra'!CA97</f>
        <v>0</v>
      </c>
      <c r="F92" s="7">
        <f>+'[1]Control obra'!CN97</f>
        <v>0</v>
      </c>
      <c r="G92" s="8">
        <f>+'[1]Control obra'!DB97</f>
        <v>0</v>
      </c>
      <c r="H92" s="7">
        <f>+'[1]Control obra'!DO97</f>
        <v>0</v>
      </c>
      <c r="I92" s="7">
        <f>+'[1]Control obra'!EB97</f>
        <v>0</v>
      </c>
      <c r="J92" s="7">
        <f>+'[1]Control obra'!EO97</f>
        <v>0</v>
      </c>
      <c r="K92" s="9">
        <f>+VLOOKUP(A92,[1]Torres!A:E,2,)</f>
        <v>5090277.6264000004</v>
      </c>
      <c r="L92" s="9">
        <f>+VLOOKUP(A92,[1]Torres!A:E,3,)</f>
        <v>2810000.2774</v>
      </c>
      <c r="M92" s="9" t="e">
        <f>VLOOKUP(GIS!B92,[1]Comunidades!A:E,1,FALSE)</f>
        <v>#N/A</v>
      </c>
    </row>
    <row r="93" spans="1:13" x14ac:dyDescent="0.2">
      <c r="A93" t="s">
        <v>128</v>
      </c>
      <c r="B93" s="10" t="s">
        <v>129</v>
      </c>
      <c r="C93" s="7" t="str">
        <f>IF(+'[1]Control obra'!AB98&gt;0,"SI","NO")</f>
        <v>NO</v>
      </c>
      <c r="D93" s="7">
        <f>+'[1]Control obra'!AZ98</f>
        <v>0</v>
      </c>
      <c r="E93" s="7">
        <f>+'[1]Control obra'!CA98</f>
        <v>0</v>
      </c>
      <c r="F93" s="7">
        <f>+'[1]Control obra'!CN98</f>
        <v>0</v>
      </c>
      <c r="G93" s="8">
        <f>+'[1]Control obra'!DB98</f>
        <v>0</v>
      </c>
      <c r="H93" s="7">
        <f>+'[1]Control obra'!DO98</f>
        <v>0</v>
      </c>
      <c r="I93" s="7">
        <f>+'[1]Control obra'!EB98</f>
        <v>0</v>
      </c>
      <c r="J93" s="7">
        <f>+'[1]Control obra'!EO98</f>
        <v>0</v>
      </c>
      <c r="K93" s="9">
        <f>+VLOOKUP(A93,[1]Torres!A:E,2,)</f>
        <v>5090034.1875</v>
      </c>
      <c r="L93" s="9">
        <f>+VLOOKUP(A93,[1]Torres!A:E,3,)</f>
        <v>2809694.0924</v>
      </c>
      <c r="M93" s="9" t="e">
        <f>VLOOKUP(GIS!B93,[1]Comunidades!A:E,1,FALSE)</f>
        <v>#N/A</v>
      </c>
    </row>
    <row r="94" spans="1:13" x14ac:dyDescent="0.2">
      <c r="A94" t="s">
        <v>130</v>
      </c>
      <c r="B94" s="10" t="s">
        <v>129</v>
      </c>
      <c r="C94" s="7" t="str">
        <f>IF(+'[1]Control obra'!AB99&gt;0,"SI","NO")</f>
        <v>NO</v>
      </c>
      <c r="D94" s="7">
        <f>+'[1]Control obra'!AZ99</f>
        <v>0</v>
      </c>
      <c r="E94" s="7">
        <f>+'[1]Control obra'!CA99</f>
        <v>0</v>
      </c>
      <c r="F94" s="7">
        <f>+'[1]Control obra'!CN99</f>
        <v>0</v>
      </c>
      <c r="G94" s="8">
        <f>+'[1]Control obra'!DB99</f>
        <v>0</v>
      </c>
      <c r="H94" s="7">
        <f>+'[1]Control obra'!DO99</f>
        <v>0</v>
      </c>
      <c r="I94" s="7">
        <f>+'[1]Control obra'!EB99</f>
        <v>0</v>
      </c>
      <c r="J94" s="7">
        <f>+'[1]Control obra'!EO99</f>
        <v>0</v>
      </c>
      <c r="K94" s="9">
        <f>+VLOOKUP(A94,[1]Torres!A:E,2,)</f>
        <v>5089796.7395000001</v>
      </c>
      <c r="L94" s="9">
        <f>+VLOOKUP(A94,[1]Torres!A:E,3,)</f>
        <v>2809395.4452</v>
      </c>
      <c r="M94" s="9" t="e">
        <f>VLOOKUP(GIS!B94,[1]Comunidades!A:E,1,FALSE)</f>
        <v>#N/A</v>
      </c>
    </row>
    <row r="95" spans="1:13" x14ac:dyDescent="0.2">
      <c r="A95" t="s">
        <v>131</v>
      </c>
      <c r="B95" s="10" t="s">
        <v>129</v>
      </c>
      <c r="C95" s="7" t="str">
        <f>IF(+'[1]Control obra'!AB100&gt;0,"SI","NO")</f>
        <v>NO</v>
      </c>
      <c r="D95" s="7">
        <f>+'[1]Control obra'!AZ100</f>
        <v>0</v>
      </c>
      <c r="E95" s="7">
        <f>+'[1]Control obra'!CA100</f>
        <v>0</v>
      </c>
      <c r="F95" s="7">
        <f>+'[1]Control obra'!CN100</f>
        <v>0</v>
      </c>
      <c r="G95" s="8">
        <f>+'[1]Control obra'!DB100</f>
        <v>0</v>
      </c>
      <c r="H95" s="7">
        <f>+'[1]Control obra'!DO100</f>
        <v>0</v>
      </c>
      <c r="I95" s="7">
        <f>+'[1]Control obra'!EB100</f>
        <v>0</v>
      </c>
      <c r="J95" s="7">
        <f>+'[1]Control obra'!EO100</f>
        <v>0</v>
      </c>
      <c r="K95" s="9">
        <f>+VLOOKUP(A95,[1]Torres!A:E,2,)</f>
        <v>5089479.6223999998</v>
      </c>
      <c r="L95" s="9">
        <f>+VLOOKUP(A95,[1]Torres!A:E,3,)</f>
        <v>2808996.5965</v>
      </c>
      <c r="M95" s="9" t="e">
        <f>VLOOKUP(GIS!B95,[1]Comunidades!A:E,1,FALSE)</f>
        <v>#N/A</v>
      </c>
    </row>
    <row r="96" spans="1:13" x14ac:dyDescent="0.2">
      <c r="A96" t="s">
        <v>132</v>
      </c>
      <c r="B96" s="10" t="s">
        <v>133</v>
      </c>
      <c r="C96" s="7" t="str">
        <f>IF(+'[1]Control obra'!AB101&gt;0,"SI","NO")</f>
        <v>NO</v>
      </c>
      <c r="D96" s="7">
        <f>+'[1]Control obra'!AZ101</f>
        <v>0</v>
      </c>
      <c r="E96" s="7">
        <f>+'[1]Control obra'!CA101</f>
        <v>0</v>
      </c>
      <c r="F96" s="7">
        <f>+'[1]Control obra'!CN101</f>
        <v>0</v>
      </c>
      <c r="G96" s="8">
        <f>+'[1]Control obra'!DB101</f>
        <v>0</v>
      </c>
      <c r="H96" s="7">
        <f>+'[1]Control obra'!DO101</f>
        <v>0</v>
      </c>
      <c r="I96" s="7">
        <f>+'[1]Control obra'!EB101</f>
        <v>0</v>
      </c>
      <c r="J96" s="7">
        <f>+'[1]Control obra'!EO101</f>
        <v>0</v>
      </c>
      <c r="K96" s="9">
        <f>+VLOOKUP(A96,[1]Torres!A:E,2,)</f>
        <v>5089172.4550000001</v>
      </c>
      <c r="L96" s="9">
        <f>+VLOOKUP(A96,[1]Torres!A:E,3,)</f>
        <v>2808610.2620000001</v>
      </c>
      <c r="M96" s="9" t="e">
        <f>VLOOKUP(GIS!B96,[1]Comunidades!A:E,1,FALSE)</f>
        <v>#N/A</v>
      </c>
    </row>
    <row r="97" spans="1:13" x14ac:dyDescent="0.2">
      <c r="A97" t="s">
        <v>134</v>
      </c>
      <c r="B97" s="10" t="s">
        <v>133</v>
      </c>
      <c r="C97" s="7" t="str">
        <f>IF(+'[1]Control obra'!AB102&gt;0,"SI","NO")</f>
        <v>NO</v>
      </c>
      <c r="D97" s="7">
        <f>+'[1]Control obra'!AZ102</f>
        <v>0</v>
      </c>
      <c r="E97" s="7">
        <f>+'[1]Control obra'!CA102</f>
        <v>0</v>
      </c>
      <c r="F97" s="7">
        <f>+'[1]Control obra'!CN102</f>
        <v>0</v>
      </c>
      <c r="G97" s="8">
        <f>+'[1]Control obra'!DB102</f>
        <v>0</v>
      </c>
      <c r="H97" s="7">
        <f>+'[1]Control obra'!DO102</f>
        <v>0</v>
      </c>
      <c r="I97" s="7">
        <f>+'[1]Control obra'!EB102</f>
        <v>0</v>
      </c>
      <c r="J97" s="7">
        <f>+'[1]Control obra'!EO102</f>
        <v>0</v>
      </c>
      <c r="K97" s="9">
        <f>+VLOOKUP(A97,[1]Torres!A:E,2,)</f>
        <v>5088872.7479999997</v>
      </c>
      <c r="L97" s="9">
        <f>+VLOOKUP(A97,[1]Torres!A:E,3,)</f>
        <v>2808233.3138000001</v>
      </c>
      <c r="M97" s="9" t="e">
        <f>VLOOKUP(GIS!B97,[1]Comunidades!A:E,1,FALSE)</f>
        <v>#N/A</v>
      </c>
    </row>
    <row r="98" spans="1:13" x14ac:dyDescent="0.2">
      <c r="A98" t="s">
        <v>135</v>
      </c>
      <c r="B98" s="10" t="s">
        <v>133</v>
      </c>
      <c r="C98" s="7" t="str">
        <f>IF(+'[1]Control obra'!AB103&gt;0,"SI","NO")</f>
        <v>NO</v>
      </c>
      <c r="D98" s="7">
        <f>+'[1]Control obra'!AZ103</f>
        <v>0</v>
      </c>
      <c r="E98" s="7">
        <f>+'[1]Control obra'!CA103</f>
        <v>0</v>
      </c>
      <c r="F98" s="7">
        <f>+'[1]Control obra'!CN103</f>
        <v>0</v>
      </c>
      <c r="G98" s="8">
        <f>+'[1]Control obra'!DB103</f>
        <v>0</v>
      </c>
      <c r="H98" s="7">
        <f>+'[1]Control obra'!DO103</f>
        <v>0</v>
      </c>
      <c r="I98" s="7">
        <f>+'[1]Control obra'!EB103</f>
        <v>0</v>
      </c>
      <c r="J98" s="7">
        <f>+'[1]Control obra'!EO103</f>
        <v>0</v>
      </c>
      <c r="K98" s="9">
        <f>+VLOOKUP(A98,[1]Torres!A:E,2,)</f>
        <v>5088557.9338999996</v>
      </c>
      <c r="L98" s="9">
        <f>+VLOOKUP(A98,[1]Torres!A:E,3,)</f>
        <v>2807837.3656000001</v>
      </c>
      <c r="M98" s="9" t="e">
        <f>VLOOKUP(GIS!B98,[1]Comunidades!A:E,1,FALSE)</f>
        <v>#N/A</v>
      </c>
    </row>
    <row r="99" spans="1:13" x14ac:dyDescent="0.2">
      <c r="A99" t="s">
        <v>136</v>
      </c>
      <c r="B99" s="10" t="s">
        <v>137</v>
      </c>
      <c r="C99" s="7" t="str">
        <f>IF(+'[1]Control obra'!AB104&gt;0,"SI","NO")</f>
        <v>NO</v>
      </c>
      <c r="D99" s="7">
        <f>+'[1]Control obra'!AZ104</f>
        <v>0</v>
      </c>
      <c r="E99" s="7">
        <f>+'[1]Control obra'!CA104</f>
        <v>0</v>
      </c>
      <c r="F99" s="7">
        <f>+'[1]Control obra'!CN104</f>
        <v>0</v>
      </c>
      <c r="G99" s="8">
        <f>+'[1]Control obra'!DB104</f>
        <v>0</v>
      </c>
      <c r="H99" s="7">
        <f>+'[1]Control obra'!DO104</f>
        <v>0</v>
      </c>
      <c r="I99" s="7">
        <f>+'[1]Control obra'!EB104</f>
        <v>0</v>
      </c>
      <c r="J99" s="7">
        <f>+'[1]Control obra'!EO104</f>
        <v>0</v>
      </c>
      <c r="K99" s="9">
        <f>+VLOOKUP(A99,[1]Torres!A:E,2,)</f>
        <v>5088294.5442000004</v>
      </c>
      <c r="L99" s="9">
        <f>+VLOOKUP(A99,[1]Torres!A:E,3,)</f>
        <v>2807506.0954</v>
      </c>
      <c r="M99" s="9" t="str">
        <f>VLOOKUP(GIS!B99,[1]Comunidades!A:E,1,FALSE)</f>
        <v>Guadalajara</v>
      </c>
    </row>
    <row r="100" spans="1:13" x14ac:dyDescent="0.2">
      <c r="A100" t="s">
        <v>138</v>
      </c>
      <c r="B100" s="10" t="s">
        <v>137</v>
      </c>
      <c r="C100" s="7" t="str">
        <f>IF(+'[1]Control obra'!AB105&gt;0,"SI","NO")</f>
        <v>NO</v>
      </c>
      <c r="D100" s="7">
        <f>+'[1]Control obra'!AZ105</f>
        <v>0</v>
      </c>
      <c r="E100" s="7">
        <f>+'[1]Control obra'!CA105</f>
        <v>0</v>
      </c>
      <c r="F100" s="7">
        <f>+'[1]Control obra'!CN105</f>
        <v>0</v>
      </c>
      <c r="G100" s="8">
        <f>+'[1]Control obra'!DB105</f>
        <v>0</v>
      </c>
      <c r="H100" s="7">
        <f>+'[1]Control obra'!DO105</f>
        <v>0</v>
      </c>
      <c r="I100" s="7">
        <f>+'[1]Control obra'!EB105</f>
        <v>0</v>
      </c>
      <c r="J100" s="7">
        <f>+'[1]Control obra'!EO105</f>
        <v>0</v>
      </c>
      <c r="K100" s="9">
        <f>+VLOOKUP(A100,[1]Torres!A:E,2,)</f>
        <v>5088069.6085999999</v>
      </c>
      <c r="L100" s="9">
        <f>+VLOOKUP(A100,[1]Torres!A:E,3,)</f>
        <v>2807223.1923000002</v>
      </c>
      <c r="M100" s="9" t="str">
        <f>VLOOKUP(GIS!B100,[1]Comunidades!A:E,1,FALSE)</f>
        <v>Guadalajara</v>
      </c>
    </row>
    <row r="101" spans="1:13" x14ac:dyDescent="0.2">
      <c r="A101" t="s">
        <v>139</v>
      </c>
      <c r="B101" s="10" t="s">
        <v>137</v>
      </c>
      <c r="C101" s="7" t="str">
        <f>IF(+'[1]Control obra'!AB106&gt;0,"SI","NO")</f>
        <v>NO</v>
      </c>
      <c r="D101" s="7">
        <f>+'[1]Control obra'!AZ106</f>
        <v>0</v>
      </c>
      <c r="E101" s="7">
        <f>+'[1]Control obra'!CA106</f>
        <v>0</v>
      </c>
      <c r="F101" s="7">
        <f>+'[1]Control obra'!CN106</f>
        <v>0</v>
      </c>
      <c r="G101" s="8">
        <f>+'[1]Control obra'!DB106</f>
        <v>0</v>
      </c>
      <c r="H101" s="7">
        <f>+'[1]Control obra'!DO106</f>
        <v>0</v>
      </c>
      <c r="I101" s="7">
        <f>+'[1]Control obra'!EB106</f>
        <v>0</v>
      </c>
      <c r="J101" s="7">
        <f>+'[1]Control obra'!EO106</f>
        <v>0</v>
      </c>
      <c r="K101" s="9">
        <f>+VLOOKUP(A101,[1]Torres!A:E,2,)</f>
        <v>5087755.3335999995</v>
      </c>
      <c r="L101" s="9">
        <f>+VLOOKUP(A101,[1]Torres!A:E,3,)</f>
        <v>2806813.2231999999</v>
      </c>
      <c r="M101" s="9" t="str">
        <f>VLOOKUP(GIS!B101,[1]Comunidades!A:E,1,FALSE)</f>
        <v>Guadalajara</v>
      </c>
    </row>
    <row r="102" spans="1:13" x14ac:dyDescent="0.2">
      <c r="A102" t="s">
        <v>140</v>
      </c>
      <c r="B102" s="10" t="s">
        <v>141</v>
      </c>
      <c r="C102" s="7" t="str">
        <f>IF(+'[1]Control obra'!AB107&gt;0,"SI","NO")</f>
        <v>NO</v>
      </c>
      <c r="D102" s="7">
        <f>+'[1]Control obra'!AZ107</f>
        <v>0</v>
      </c>
      <c r="E102" s="7">
        <f>+'[1]Control obra'!CA107</f>
        <v>0</v>
      </c>
      <c r="F102" s="7">
        <f>+'[1]Control obra'!CN107</f>
        <v>0</v>
      </c>
      <c r="G102" s="8">
        <f>+'[1]Control obra'!DB107</f>
        <v>0</v>
      </c>
      <c r="H102" s="7">
        <f>+'[1]Control obra'!DO107</f>
        <v>0</v>
      </c>
      <c r="I102" s="7">
        <f>+'[1]Control obra'!EB107</f>
        <v>0</v>
      </c>
      <c r="J102" s="7">
        <f>+'[1]Control obra'!EO107</f>
        <v>0</v>
      </c>
      <c r="K102" s="9">
        <f>+VLOOKUP(A102,[1]Torres!A:E,2,)</f>
        <v>5087467.8481000001</v>
      </c>
      <c r="L102" s="9">
        <f>+VLOOKUP(A102,[1]Torres!A:E,3,)</f>
        <v>2806438.2012999998</v>
      </c>
      <c r="M102" s="9" t="e">
        <f>VLOOKUP(GIS!B102,[1]Comunidades!A:E,1,FALSE)</f>
        <v>#N/A</v>
      </c>
    </row>
    <row r="103" spans="1:13" x14ac:dyDescent="0.2">
      <c r="A103" t="s">
        <v>142</v>
      </c>
      <c r="B103" s="10" t="s">
        <v>143</v>
      </c>
      <c r="C103" s="7" t="str">
        <f>IF(+'[1]Control obra'!AB108&gt;0,"SI","NO")</f>
        <v>NO</v>
      </c>
      <c r="D103" s="7">
        <f>+'[1]Control obra'!AZ108</f>
        <v>0</v>
      </c>
      <c r="E103" s="7">
        <f>+'[1]Control obra'!CA108</f>
        <v>0</v>
      </c>
      <c r="F103" s="7">
        <f>+'[1]Control obra'!CN108</f>
        <v>0</v>
      </c>
      <c r="G103" s="8">
        <f>+'[1]Control obra'!DB108</f>
        <v>0</v>
      </c>
      <c r="H103" s="7">
        <f>+'[1]Control obra'!DO108</f>
        <v>0</v>
      </c>
      <c r="I103" s="7">
        <f>+'[1]Control obra'!EB108</f>
        <v>0</v>
      </c>
      <c r="J103" s="7">
        <f>+'[1]Control obra'!EO108</f>
        <v>0</v>
      </c>
      <c r="K103" s="9">
        <f>+VLOOKUP(A103,[1]Torres!A:E,2,)</f>
        <v>5087208.0663999999</v>
      </c>
      <c r="L103" s="9">
        <f>+VLOOKUP(A103,[1]Torres!A:E,3,)</f>
        <v>2806099.3213</v>
      </c>
      <c r="M103" s="9" t="e">
        <f>VLOOKUP(GIS!B103,[1]Comunidades!A:E,1,FALSE)</f>
        <v>#N/A</v>
      </c>
    </row>
    <row r="104" spans="1:13" x14ac:dyDescent="0.2">
      <c r="A104" t="s">
        <v>144</v>
      </c>
      <c r="B104" s="10" t="s">
        <v>143</v>
      </c>
      <c r="C104" s="7" t="str">
        <f>IF(+'[1]Control obra'!AB109&gt;0,"SI","NO")</f>
        <v>NO</v>
      </c>
      <c r="D104" s="7">
        <f>+'[1]Control obra'!AZ109</f>
        <v>0</v>
      </c>
      <c r="E104" s="7">
        <f>+'[1]Control obra'!CA109</f>
        <v>0</v>
      </c>
      <c r="F104" s="7">
        <f>+'[1]Control obra'!CN109</f>
        <v>0</v>
      </c>
      <c r="G104" s="8">
        <f>+'[1]Control obra'!DB109</f>
        <v>0</v>
      </c>
      <c r="H104" s="7">
        <f>+'[1]Control obra'!DO109</f>
        <v>0</v>
      </c>
      <c r="I104" s="7">
        <f>+'[1]Control obra'!EB109</f>
        <v>0</v>
      </c>
      <c r="J104" s="7">
        <f>+'[1]Control obra'!EO109</f>
        <v>0</v>
      </c>
      <c r="K104" s="9">
        <f>+VLOOKUP(A104,[1]Torres!A:E,2,)</f>
        <v>5086891.9845000003</v>
      </c>
      <c r="L104" s="9">
        <f>+VLOOKUP(A104,[1]Torres!A:E,3,)</f>
        <v>2805686.9989999998</v>
      </c>
      <c r="M104" s="9" t="e">
        <f>VLOOKUP(GIS!B104,[1]Comunidades!A:E,1,FALSE)</f>
        <v>#N/A</v>
      </c>
    </row>
    <row r="105" spans="1:13" x14ac:dyDescent="0.2">
      <c r="A105" t="s">
        <v>145</v>
      </c>
      <c r="B105" s="10" t="s">
        <v>143</v>
      </c>
      <c r="C105" s="7" t="str">
        <f>IF(+'[1]Control obra'!AB110&gt;0,"SI","NO")</f>
        <v>NO</v>
      </c>
      <c r="D105" s="7">
        <f>+'[1]Control obra'!AZ110</f>
        <v>0</v>
      </c>
      <c r="E105" s="7">
        <f>+'[1]Control obra'!CA110</f>
        <v>0</v>
      </c>
      <c r="F105" s="7">
        <f>+'[1]Control obra'!CN110</f>
        <v>0</v>
      </c>
      <c r="G105" s="8">
        <f>+'[1]Control obra'!DB110</f>
        <v>0</v>
      </c>
      <c r="H105" s="7">
        <f>+'[1]Control obra'!DO110</f>
        <v>0</v>
      </c>
      <c r="I105" s="7">
        <f>+'[1]Control obra'!EB110</f>
        <v>0</v>
      </c>
      <c r="J105" s="7">
        <f>+'[1]Control obra'!EO110</f>
        <v>0</v>
      </c>
      <c r="K105" s="9">
        <f>+VLOOKUP(A105,[1]Torres!A:E,2,)</f>
        <v>5086598.3284</v>
      </c>
      <c r="L105" s="9">
        <f>+VLOOKUP(A105,[1]Torres!A:E,3,)</f>
        <v>2805303.9319000002</v>
      </c>
      <c r="M105" s="9" t="e">
        <f>VLOOKUP(GIS!B105,[1]Comunidades!A:E,1,FALSE)</f>
        <v>#N/A</v>
      </c>
    </row>
    <row r="106" spans="1:13" x14ac:dyDescent="0.2">
      <c r="A106" t="s">
        <v>146</v>
      </c>
      <c r="B106" s="10" t="s">
        <v>143</v>
      </c>
      <c r="C106" s="7" t="str">
        <f>IF(+'[1]Control obra'!AB111&gt;0,"SI","NO")</f>
        <v>NO</v>
      </c>
      <c r="D106" s="7">
        <f>+'[1]Control obra'!AZ111</f>
        <v>0</v>
      </c>
      <c r="E106" s="7">
        <f>+'[1]Control obra'!CA111</f>
        <v>0</v>
      </c>
      <c r="F106" s="7">
        <f>+'[1]Control obra'!CN111</f>
        <v>0</v>
      </c>
      <c r="G106" s="8">
        <f>+'[1]Control obra'!DB111</f>
        <v>0</v>
      </c>
      <c r="H106" s="7">
        <f>+'[1]Control obra'!DO111</f>
        <v>0</v>
      </c>
      <c r="I106" s="7">
        <f>+'[1]Control obra'!EB111</f>
        <v>0</v>
      </c>
      <c r="J106" s="7">
        <f>+'[1]Control obra'!EO111</f>
        <v>0</v>
      </c>
      <c r="K106" s="9">
        <f>+VLOOKUP(A106,[1]Torres!A:E,2,)</f>
        <v>5086298.7219000002</v>
      </c>
      <c r="L106" s="9">
        <f>+VLOOKUP(A106,[1]Torres!A:E,3,)</f>
        <v>2804913.1050999998</v>
      </c>
      <c r="M106" s="9" t="e">
        <f>VLOOKUP(GIS!B106,[1]Comunidades!A:E,1,FALSE)</f>
        <v>#N/A</v>
      </c>
    </row>
    <row r="107" spans="1:13" x14ac:dyDescent="0.2">
      <c r="A107" t="s">
        <v>147</v>
      </c>
      <c r="B107" s="10" t="s">
        <v>143</v>
      </c>
      <c r="C107" s="7" t="str">
        <f>IF(+'[1]Control obra'!AB112&gt;0,"SI","NO")</f>
        <v>NO</v>
      </c>
      <c r="D107" s="7">
        <f>+'[1]Control obra'!AZ112</f>
        <v>0</v>
      </c>
      <c r="E107" s="7">
        <f>+'[1]Control obra'!CA112</f>
        <v>0</v>
      </c>
      <c r="F107" s="7">
        <f>+'[1]Control obra'!CN112</f>
        <v>0</v>
      </c>
      <c r="G107" s="8">
        <f>+'[1]Control obra'!DB112</f>
        <v>0</v>
      </c>
      <c r="H107" s="7">
        <f>+'[1]Control obra'!DO112</f>
        <v>0</v>
      </c>
      <c r="I107" s="7">
        <f>+'[1]Control obra'!EB112</f>
        <v>0</v>
      </c>
      <c r="J107" s="7">
        <f>+'[1]Control obra'!EO112</f>
        <v>0</v>
      </c>
      <c r="K107" s="9">
        <f>+VLOOKUP(A107,[1]Torres!A:E,2,)</f>
        <v>5085966.5297999997</v>
      </c>
      <c r="L107" s="9">
        <f>+VLOOKUP(A107,[1]Torres!A:E,3,)</f>
        <v>2804748.6660000002</v>
      </c>
      <c r="M107" s="9" t="e">
        <f>VLOOKUP(GIS!B107,[1]Comunidades!A:E,1,FALSE)</f>
        <v>#N/A</v>
      </c>
    </row>
    <row r="108" spans="1:13" x14ac:dyDescent="0.2">
      <c r="A108" t="s">
        <v>148</v>
      </c>
      <c r="B108" s="10" t="s">
        <v>149</v>
      </c>
      <c r="C108" s="7" t="str">
        <f>IF(+'[1]Control obra'!AB113&gt;0,"SI","NO")</f>
        <v>NO</v>
      </c>
      <c r="D108" s="7">
        <f>+'[1]Control obra'!AZ113</f>
        <v>0</v>
      </c>
      <c r="E108" s="7">
        <f>+'[1]Control obra'!CA113</f>
        <v>0</v>
      </c>
      <c r="F108" s="7">
        <f>+'[1]Control obra'!CN113</f>
        <v>0</v>
      </c>
      <c r="G108" s="8">
        <f>+'[1]Control obra'!DB113</f>
        <v>0</v>
      </c>
      <c r="H108" s="7">
        <f>+'[1]Control obra'!DO113</f>
        <v>0</v>
      </c>
      <c r="I108" s="7">
        <f>+'[1]Control obra'!EB113</f>
        <v>0</v>
      </c>
      <c r="J108" s="7">
        <f>+'[1]Control obra'!EO113</f>
        <v>0</v>
      </c>
      <c r="K108" s="9">
        <f>+VLOOKUP(A108,[1]Torres!A:E,2,)</f>
        <v>5085605.6832999997</v>
      </c>
      <c r="L108" s="9">
        <f>+VLOOKUP(A108,[1]Torres!A:E,3,)</f>
        <v>2804570.0400999999</v>
      </c>
      <c r="M108" s="9" t="e">
        <f>VLOOKUP(GIS!B108,[1]Comunidades!A:E,1,FALSE)</f>
        <v>#N/A</v>
      </c>
    </row>
    <row r="109" spans="1:13" x14ac:dyDescent="0.2">
      <c r="A109" t="s">
        <v>150</v>
      </c>
      <c r="B109" s="10" t="s">
        <v>149</v>
      </c>
      <c r="C109" s="7" t="str">
        <f>IF(+'[1]Control obra'!AB114&gt;0,"SI","NO")</f>
        <v>NO</v>
      </c>
      <c r="D109" s="7">
        <f>+'[1]Control obra'!AZ114</f>
        <v>0</v>
      </c>
      <c r="E109" s="7">
        <f>+'[1]Control obra'!CA114</f>
        <v>0</v>
      </c>
      <c r="F109" s="7">
        <f>+'[1]Control obra'!CN114</f>
        <v>0</v>
      </c>
      <c r="G109" s="8">
        <f>+'[1]Control obra'!DB114</f>
        <v>0</v>
      </c>
      <c r="H109" s="7">
        <f>+'[1]Control obra'!DO114</f>
        <v>0</v>
      </c>
      <c r="I109" s="7">
        <f>+'[1]Control obra'!EB114</f>
        <v>0</v>
      </c>
      <c r="J109" s="7">
        <f>+'[1]Control obra'!EO114</f>
        <v>0</v>
      </c>
      <c r="K109" s="9">
        <f>+VLOOKUP(A109,[1]Torres!A:E,2,)</f>
        <v>5085216.1847999999</v>
      </c>
      <c r="L109" s="9">
        <f>+VLOOKUP(A109,[1]Torres!A:E,3,)</f>
        <v>2804377.2322</v>
      </c>
      <c r="M109" s="9" t="e">
        <f>VLOOKUP(GIS!B109,[1]Comunidades!A:E,1,FALSE)</f>
        <v>#N/A</v>
      </c>
    </row>
    <row r="110" spans="1:13" x14ac:dyDescent="0.2">
      <c r="A110" t="s">
        <v>151</v>
      </c>
      <c r="B110" s="10" t="s">
        <v>149</v>
      </c>
      <c r="C110" s="7" t="str">
        <f>IF(+'[1]Control obra'!AB115&gt;0,"SI","NO")</f>
        <v>NO</v>
      </c>
      <c r="D110" s="7">
        <f>+'[1]Control obra'!AZ115</f>
        <v>0</v>
      </c>
      <c r="E110" s="7">
        <f>+'[1]Control obra'!CA115</f>
        <v>0</v>
      </c>
      <c r="F110" s="7">
        <f>+'[1]Control obra'!CN115</f>
        <v>0</v>
      </c>
      <c r="G110" s="8">
        <f>+'[1]Control obra'!DB115</f>
        <v>0</v>
      </c>
      <c r="H110" s="7">
        <f>+'[1]Control obra'!DO115</f>
        <v>0</v>
      </c>
      <c r="I110" s="7">
        <f>+'[1]Control obra'!EB115</f>
        <v>0</v>
      </c>
      <c r="J110" s="7">
        <f>+'[1]Control obra'!EO115</f>
        <v>0</v>
      </c>
      <c r="K110" s="9">
        <f>+VLOOKUP(A110,[1]Torres!A:E,2,)</f>
        <v>5084856.5971999997</v>
      </c>
      <c r="L110" s="9">
        <f>+VLOOKUP(A110,[1]Torres!A:E,3,)</f>
        <v>2804199.2303999998</v>
      </c>
      <c r="M110" s="9" t="e">
        <f>VLOOKUP(GIS!B110,[1]Comunidades!A:E,1,FALSE)</f>
        <v>#N/A</v>
      </c>
    </row>
    <row r="111" spans="1:13" x14ac:dyDescent="0.2">
      <c r="A111" t="s">
        <v>152</v>
      </c>
      <c r="B111" s="10" t="s">
        <v>153</v>
      </c>
      <c r="C111" s="7" t="str">
        <f>IF(+'[1]Control obra'!AB116&gt;0,"SI","NO")</f>
        <v>NO</v>
      </c>
      <c r="D111" s="7">
        <f>+'[1]Control obra'!AZ116</f>
        <v>0</v>
      </c>
      <c r="E111" s="7">
        <f>+'[1]Control obra'!CA116</f>
        <v>0</v>
      </c>
      <c r="F111" s="7">
        <f>+'[1]Control obra'!CN116</f>
        <v>0</v>
      </c>
      <c r="G111" s="8">
        <f>+'[1]Control obra'!DB116</f>
        <v>0</v>
      </c>
      <c r="H111" s="7">
        <f>+'[1]Control obra'!DO116</f>
        <v>0</v>
      </c>
      <c r="I111" s="7">
        <f>+'[1]Control obra'!EB116</f>
        <v>0</v>
      </c>
      <c r="J111" s="7">
        <f>+'[1]Control obra'!EO116</f>
        <v>0</v>
      </c>
      <c r="K111" s="9">
        <f>+VLOOKUP(A111,[1]Torres!A:E,2,)</f>
        <v>5084549.3994000005</v>
      </c>
      <c r="L111" s="9">
        <f>+VLOOKUP(A111,[1]Torres!A:E,3,)</f>
        <v>2804047.1634</v>
      </c>
      <c r="M111" s="9" t="e">
        <f>VLOOKUP(GIS!B111,[1]Comunidades!A:E,1,FALSE)</f>
        <v>#N/A</v>
      </c>
    </row>
    <row r="112" spans="1:13" x14ac:dyDescent="0.2">
      <c r="A112" t="s">
        <v>154</v>
      </c>
      <c r="B112" s="10" t="s">
        <v>155</v>
      </c>
      <c r="C112" s="7" t="str">
        <f>IF(+'[1]Control obra'!AB117&gt;0,"SI","NO")</f>
        <v>NO</v>
      </c>
      <c r="D112" s="7">
        <f>+'[1]Control obra'!AZ117</f>
        <v>0</v>
      </c>
      <c r="E112" s="7">
        <f>+'[1]Control obra'!CA117</f>
        <v>0</v>
      </c>
      <c r="F112" s="7">
        <f>+'[1]Control obra'!CN117</f>
        <v>0</v>
      </c>
      <c r="G112" s="8">
        <f>+'[1]Control obra'!DB117</f>
        <v>0</v>
      </c>
      <c r="H112" s="7">
        <f>+'[1]Control obra'!DO117</f>
        <v>0</v>
      </c>
      <c r="I112" s="7">
        <f>+'[1]Control obra'!EB117</f>
        <v>0</v>
      </c>
      <c r="J112" s="7">
        <f>+'[1]Control obra'!EO117</f>
        <v>0</v>
      </c>
      <c r="K112" s="9">
        <f>+VLOOKUP(A112,[1]Torres!A:E,2,)</f>
        <v>5084493.2702000001</v>
      </c>
      <c r="L112" s="9">
        <f>+VLOOKUP(A112,[1]Torres!A:E,3,)</f>
        <v>2803670.3473</v>
      </c>
      <c r="M112" s="9" t="e">
        <f>VLOOKUP(GIS!B112,[1]Comunidades!A:E,1,FALSE)</f>
        <v>#N/A</v>
      </c>
    </row>
    <row r="113" spans="1:13" x14ac:dyDescent="0.2">
      <c r="A113" t="s">
        <v>156</v>
      </c>
      <c r="B113" s="10" t="s">
        <v>155</v>
      </c>
      <c r="C113" s="7" t="str">
        <f>IF(+'[1]Control obra'!AB118&gt;0,"SI","NO")</f>
        <v>NO</v>
      </c>
      <c r="D113" s="7">
        <f>+'[1]Control obra'!AZ118</f>
        <v>0</v>
      </c>
      <c r="E113" s="7">
        <f>+'[1]Control obra'!CA118</f>
        <v>0</v>
      </c>
      <c r="F113" s="7">
        <f>+'[1]Control obra'!CN118</f>
        <v>0</v>
      </c>
      <c r="G113" s="8">
        <f>+'[1]Control obra'!DB118</f>
        <v>0</v>
      </c>
      <c r="H113" s="7">
        <f>+'[1]Control obra'!DO118</f>
        <v>0</v>
      </c>
      <c r="I113" s="7">
        <f>+'[1]Control obra'!EB118</f>
        <v>0</v>
      </c>
      <c r="J113" s="7">
        <f>+'[1]Control obra'!EO118</f>
        <v>0</v>
      </c>
      <c r="K113" s="9">
        <f>+VLOOKUP(A113,[1]Torres!A:E,2,)</f>
        <v>5084430.1207999997</v>
      </c>
      <c r="L113" s="9">
        <f>+VLOOKUP(A113,[1]Torres!A:E,3,)</f>
        <v>2803246.4131</v>
      </c>
      <c r="M113" s="9" t="e">
        <f>VLOOKUP(GIS!B113,[1]Comunidades!A:E,1,FALSE)</f>
        <v>#N/A</v>
      </c>
    </row>
    <row r="114" spans="1:13" x14ac:dyDescent="0.2">
      <c r="A114" t="s">
        <v>157</v>
      </c>
      <c r="B114" s="10" t="s">
        <v>155</v>
      </c>
      <c r="C114" s="7" t="str">
        <f>IF(+'[1]Control obra'!AB119&gt;0,"SI","NO")</f>
        <v>NO</v>
      </c>
      <c r="D114" s="7">
        <f>+'[1]Control obra'!AZ119</f>
        <v>0</v>
      </c>
      <c r="E114" s="7">
        <f>+'[1]Control obra'!CA119</f>
        <v>0</v>
      </c>
      <c r="F114" s="7">
        <f>+'[1]Control obra'!CN119</f>
        <v>0</v>
      </c>
      <c r="G114" s="8">
        <f>+'[1]Control obra'!DB119</f>
        <v>0</v>
      </c>
      <c r="H114" s="7">
        <f>+'[1]Control obra'!DO119</f>
        <v>0</v>
      </c>
      <c r="I114" s="7">
        <f>+'[1]Control obra'!EB119</f>
        <v>0</v>
      </c>
      <c r="J114" s="7">
        <f>+'[1]Control obra'!EO119</f>
        <v>0</v>
      </c>
      <c r="K114" s="9">
        <f>+VLOOKUP(A114,[1]Torres!A:E,2,)</f>
        <v>5084377.5702</v>
      </c>
      <c r="L114" s="9">
        <f>+VLOOKUP(A114,[1]Torres!A:E,3,)</f>
        <v>2802893.6296999999</v>
      </c>
      <c r="M114" s="9" t="e">
        <f>VLOOKUP(GIS!B114,[1]Comunidades!A:E,1,FALSE)</f>
        <v>#N/A</v>
      </c>
    </row>
    <row r="115" spans="1:13" x14ac:dyDescent="0.2">
      <c r="A115" t="s">
        <v>158</v>
      </c>
      <c r="B115" s="10" t="s">
        <v>155</v>
      </c>
      <c r="C115" s="7" t="str">
        <f>IF(+'[1]Control obra'!AB120&gt;0,"SI","NO")</f>
        <v>NO</v>
      </c>
      <c r="D115" s="7">
        <f>+'[1]Control obra'!AZ120</f>
        <v>0</v>
      </c>
      <c r="E115" s="7">
        <f>+'[1]Control obra'!CA120</f>
        <v>0</v>
      </c>
      <c r="F115" s="7">
        <f>+'[1]Control obra'!CN120</f>
        <v>0</v>
      </c>
      <c r="G115" s="8">
        <f>+'[1]Control obra'!DB120</f>
        <v>0</v>
      </c>
      <c r="H115" s="7">
        <f>+'[1]Control obra'!DO120</f>
        <v>0</v>
      </c>
      <c r="I115" s="7">
        <f>+'[1]Control obra'!EB120</f>
        <v>0</v>
      </c>
      <c r="J115" s="7">
        <f>+'[1]Control obra'!EO120</f>
        <v>0</v>
      </c>
      <c r="K115" s="9">
        <f>+VLOOKUP(A115,[1]Torres!A:E,2,)</f>
        <v>5084320.0129000004</v>
      </c>
      <c r="L115" s="9">
        <f>+VLOOKUP(A115,[1]Torres!A:E,3,)</f>
        <v>2802507.2474000002</v>
      </c>
      <c r="M115" s="9" t="e">
        <f>VLOOKUP(GIS!B115,[1]Comunidades!A:E,1,FALSE)</f>
        <v>#N/A</v>
      </c>
    </row>
    <row r="116" spans="1:13" x14ac:dyDescent="0.2">
      <c r="A116" t="s">
        <v>159</v>
      </c>
      <c r="B116" s="10" t="s">
        <v>155</v>
      </c>
      <c r="C116" s="7" t="str">
        <f>IF(+'[1]Control obra'!AB121&gt;0,"SI","NO")</f>
        <v>NO</v>
      </c>
      <c r="D116" s="7">
        <f>+'[1]Control obra'!AZ121</f>
        <v>0</v>
      </c>
      <c r="E116" s="7">
        <f>+'[1]Control obra'!CA121</f>
        <v>0</v>
      </c>
      <c r="F116" s="7">
        <f>+'[1]Control obra'!CN121</f>
        <v>0</v>
      </c>
      <c r="G116" s="8">
        <f>+'[1]Control obra'!DB121</f>
        <v>0</v>
      </c>
      <c r="H116" s="7">
        <f>+'[1]Control obra'!DO121</f>
        <v>0</v>
      </c>
      <c r="I116" s="7">
        <f>+'[1]Control obra'!EB121</f>
        <v>0</v>
      </c>
      <c r="J116" s="7">
        <f>+'[1]Control obra'!EO121</f>
        <v>0</v>
      </c>
      <c r="K116" s="9">
        <f>+VLOOKUP(A116,[1]Torres!A:E,2,)</f>
        <v>5084253.0338000003</v>
      </c>
      <c r="L116" s="9">
        <f>+VLOOKUP(A116,[1]Torres!A:E,3,)</f>
        <v>2802057.6217</v>
      </c>
      <c r="M116" s="9" t="e">
        <f>VLOOKUP(GIS!B116,[1]Comunidades!A:E,1,FALSE)</f>
        <v>#N/A</v>
      </c>
    </row>
    <row r="117" spans="1:13" x14ac:dyDescent="0.2">
      <c r="A117" t="s">
        <v>160</v>
      </c>
      <c r="B117" s="10" t="s">
        <v>161</v>
      </c>
      <c r="C117" s="7" t="str">
        <f>IF(+'[1]Control obra'!AB122&gt;0,"SI","NO")</f>
        <v>NO</v>
      </c>
      <c r="D117" s="7">
        <f>+'[1]Control obra'!AZ122</f>
        <v>0</v>
      </c>
      <c r="E117" s="7">
        <f>+'[1]Control obra'!CA122</f>
        <v>0</v>
      </c>
      <c r="F117" s="7">
        <f>+'[1]Control obra'!CN122</f>
        <v>0</v>
      </c>
      <c r="G117" s="8">
        <f>+'[1]Control obra'!DB122</f>
        <v>0</v>
      </c>
      <c r="H117" s="7">
        <f>+'[1]Control obra'!DO122</f>
        <v>0</v>
      </c>
      <c r="I117" s="7">
        <f>+'[1]Control obra'!EB122</f>
        <v>0</v>
      </c>
      <c r="J117" s="7">
        <f>+'[1]Control obra'!EO122</f>
        <v>0</v>
      </c>
      <c r="K117" s="9">
        <f>+VLOOKUP(A117,[1]Torres!A:E,2,)</f>
        <v>5084187.1486999998</v>
      </c>
      <c r="L117" s="9">
        <f>+VLOOKUP(A117,[1]Torres!A:E,3,)</f>
        <v>2801615.3409000002</v>
      </c>
      <c r="M117" s="9" t="e">
        <f>VLOOKUP(GIS!B117,[1]Comunidades!A:E,1,FALSE)</f>
        <v>#N/A</v>
      </c>
    </row>
    <row r="118" spans="1:13" x14ac:dyDescent="0.2">
      <c r="A118" t="s">
        <v>162</v>
      </c>
      <c r="B118" s="10" t="s">
        <v>161</v>
      </c>
      <c r="C118" s="7" t="str">
        <f>IF(+'[1]Control obra'!AB123&gt;0,"SI","NO")</f>
        <v>NO</v>
      </c>
      <c r="D118" s="7">
        <f>+'[1]Control obra'!AZ123</f>
        <v>0</v>
      </c>
      <c r="E118" s="7">
        <f>+'[1]Control obra'!CA123</f>
        <v>0</v>
      </c>
      <c r="F118" s="7">
        <f>+'[1]Control obra'!CN123</f>
        <v>0</v>
      </c>
      <c r="G118" s="8">
        <f>+'[1]Control obra'!DB123</f>
        <v>0</v>
      </c>
      <c r="H118" s="7">
        <f>+'[1]Control obra'!DO123</f>
        <v>0</v>
      </c>
      <c r="I118" s="7">
        <f>+'[1]Control obra'!EB123</f>
        <v>0</v>
      </c>
      <c r="J118" s="7">
        <f>+'[1]Control obra'!EO123</f>
        <v>0</v>
      </c>
      <c r="K118" s="9">
        <f>+VLOOKUP(A118,[1]Torres!A:E,2,)</f>
        <v>5083962.0842000004</v>
      </c>
      <c r="L118" s="9">
        <f>+VLOOKUP(A118,[1]Torres!A:E,3,)</f>
        <v>2801156.9597999998</v>
      </c>
      <c r="M118" s="9" t="e">
        <f>VLOOKUP(GIS!B118,[1]Comunidades!A:E,1,FALSE)</f>
        <v>#N/A</v>
      </c>
    </row>
    <row r="119" spans="1:13" x14ac:dyDescent="0.2">
      <c r="A119" t="s">
        <v>163</v>
      </c>
      <c r="B119" s="10" t="s">
        <v>164</v>
      </c>
      <c r="C119" s="7" t="str">
        <f>IF(+'[1]Control obra'!AB124&gt;0,"SI","NO")</f>
        <v>NO</v>
      </c>
      <c r="D119" s="7">
        <f>+'[1]Control obra'!AZ124</f>
        <v>0</v>
      </c>
      <c r="E119" s="7">
        <f>+'[1]Control obra'!CA124</f>
        <v>0</v>
      </c>
      <c r="F119" s="7">
        <f>+'[1]Control obra'!CN124</f>
        <v>0</v>
      </c>
      <c r="G119" s="8">
        <f>+'[1]Control obra'!DB124</f>
        <v>0</v>
      </c>
      <c r="H119" s="7">
        <f>+'[1]Control obra'!DO124</f>
        <v>0</v>
      </c>
      <c r="I119" s="7">
        <f>+'[1]Control obra'!EB124</f>
        <v>0</v>
      </c>
      <c r="J119" s="7">
        <f>+'[1]Control obra'!EO124</f>
        <v>0</v>
      </c>
      <c r="K119" s="9">
        <f>+VLOOKUP(A119,[1]Torres!A:E,2,)</f>
        <v>5083753.9510000004</v>
      </c>
      <c r="L119" s="9">
        <f>+VLOOKUP(A119,[1]Torres!A:E,3,)</f>
        <v>2800733.0619999999</v>
      </c>
      <c r="M119" s="9" t="e">
        <f>VLOOKUP(GIS!B119,[1]Comunidades!A:E,1,FALSE)</f>
        <v>#N/A</v>
      </c>
    </row>
    <row r="120" spans="1:13" x14ac:dyDescent="0.2">
      <c r="A120" t="s">
        <v>165</v>
      </c>
      <c r="B120" s="10" t="s">
        <v>166</v>
      </c>
      <c r="C120" s="7" t="str">
        <f>IF(+'[1]Control obra'!AB125&gt;0,"SI","NO")</f>
        <v>NO</v>
      </c>
      <c r="D120" s="7">
        <f>+'[1]Control obra'!AZ125</f>
        <v>0</v>
      </c>
      <c r="E120" s="7">
        <f>+'[1]Control obra'!CA125</f>
        <v>0</v>
      </c>
      <c r="F120" s="7">
        <f>+'[1]Control obra'!CN125</f>
        <v>0</v>
      </c>
      <c r="G120" s="8">
        <f>+'[1]Control obra'!DB125</f>
        <v>0</v>
      </c>
      <c r="H120" s="7">
        <f>+'[1]Control obra'!DO125</f>
        <v>0</v>
      </c>
      <c r="I120" s="7">
        <f>+'[1]Control obra'!EB125</f>
        <v>0</v>
      </c>
      <c r="J120" s="7">
        <f>+'[1]Control obra'!EO125</f>
        <v>0</v>
      </c>
      <c r="K120" s="9">
        <f>+VLOOKUP(A120,[1]Torres!A:E,2,)</f>
        <v>5083524.9775999999</v>
      </c>
      <c r="L120" s="9">
        <f>+VLOOKUP(A120,[1]Torres!A:E,3,)</f>
        <v>2800266.7245</v>
      </c>
      <c r="M120" s="9" t="e">
        <f>VLOOKUP(GIS!B120,[1]Comunidades!A:E,1,FALSE)</f>
        <v>#N/A</v>
      </c>
    </row>
    <row r="121" spans="1:13" x14ac:dyDescent="0.2">
      <c r="A121" t="s">
        <v>167</v>
      </c>
      <c r="B121" s="10" t="s">
        <v>166</v>
      </c>
      <c r="C121" s="7" t="str">
        <f>IF(+'[1]Control obra'!AB126&gt;0,"SI","NO")</f>
        <v>NO</v>
      </c>
      <c r="D121" s="7">
        <f>+'[1]Control obra'!AZ126</f>
        <v>0</v>
      </c>
      <c r="E121" s="7">
        <f>+'[1]Control obra'!CA126</f>
        <v>0</v>
      </c>
      <c r="F121" s="7">
        <f>+'[1]Control obra'!CN126</f>
        <v>0</v>
      </c>
      <c r="G121" s="8">
        <f>+'[1]Control obra'!DB126</f>
        <v>0</v>
      </c>
      <c r="H121" s="7">
        <f>+'[1]Control obra'!DO126</f>
        <v>0</v>
      </c>
      <c r="I121" s="7">
        <f>+'[1]Control obra'!EB126</f>
        <v>0</v>
      </c>
      <c r="J121" s="7">
        <f>+'[1]Control obra'!EO126</f>
        <v>0</v>
      </c>
      <c r="K121" s="9">
        <f>+VLOOKUP(A121,[1]Torres!A:E,2,)</f>
        <v>5083349.6650999999</v>
      </c>
      <c r="L121" s="9">
        <f>+VLOOKUP(A121,[1]Torres!A:E,3,)</f>
        <v>2799909.6768999998</v>
      </c>
      <c r="M121" s="9" t="e">
        <f>VLOOKUP(GIS!B121,[1]Comunidades!A:E,1,FALSE)</f>
        <v>#N/A</v>
      </c>
    </row>
    <row r="122" spans="1:13" x14ac:dyDescent="0.2">
      <c r="A122" t="s">
        <v>168</v>
      </c>
      <c r="B122" s="10" t="s">
        <v>166</v>
      </c>
      <c r="C122" s="7" t="str">
        <f>IF(+'[1]Control obra'!AB127&gt;0,"SI","NO")</f>
        <v>NO</v>
      </c>
      <c r="D122" s="7">
        <f>+'[1]Control obra'!AZ127</f>
        <v>0</v>
      </c>
      <c r="E122" s="7">
        <f>+'[1]Control obra'!CA127</f>
        <v>0</v>
      </c>
      <c r="F122" s="7">
        <f>+'[1]Control obra'!CN127</f>
        <v>0</v>
      </c>
      <c r="G122" s="8">
        <f>+'[1]Control obra'!DB127</f>
        <v>0</v>
      </c>
      <c r="H122" s="7">
        <f>+'[1]Control obra'!DO127</f>
        <v>0</v>
      </c>
      <c r="I122" s="7">
        <f>+'[1]Control obra'!EB127</f>
        <v>0</v>
      </c>
      <c r="J122" s="7">
        <f>+'[1]Control obra'!EO127</f>
        <v>0</v>
      </c>
      <c r="K122" s="9">
        <f>+VLOOKUP(A122,[1]Torres!A:E,2,)</f>
        <v>5083249.9512</v>
      </c>
      <c r="L122" s="9">
        <f>+VLOOKUP(A122,[1]Torres!A:E,3,)</f>
        <v>2799706.5973</v>
      </c>
      <c r="M122" s="9" t="e">
        <f>VLOOKUP(GIS!B122,[1]Comunidades!A:E,1,FALSE)</f>
        <v>#N/A</v>
      </c>
    </row>
    <row r="123" spans="1:13" x14ac:dyDescent="0.2">
      <c r="A123" t="s">
        <v>169</v>
      </c>
      <c r="B123" s="10" t="s">
        <v>170</v>
      </c>
      <c r="C123" s="7" t="str">
        <f>IF(+'[1]Control obra'!AB128&gt;0,"SI","NO")</f>
        <v>NO</v>
      </c>
      <c r="D123" s="7">
        <f>+'[1]Control obra'!AZ128</f>
        <v>0</v>
      </c>
      <c r="E123" s="7">
        <f>+'[1]Control obra'!CA128</f>
        <v>0</v>
      </c>
      <c r="F123" s="7">
        <f>+'[1]Control obra'!CN128</f>
        <v>0</v>
      </c>
      <c r="G123" s="8">
        <f>+'[1]Control obra'!DB128</f>
        <v>0</v>
      </c>
      <c r="H123" s="7">
        <f>+'[1]Control obra'!DO128</f>
        <v>0</v>
      </c>
      <c r="I123" s="7">
        <f>+'[1]Control obra'!EB128</f>
        <v>0</v>
      </c>
      <c r="J123" s="7">
        <f>+'[1]Control obra'!EO128</f>
        <v>0</v>
      </c>
      <c r="K123" s="9">
        <f>+VLOOKUP(A123,[1]Torres!A:E,2,)</f>
        <v>5083050.5779999997</v>
      </c>
      <c r="L123" s="9">
        <f>+VLOOKUP(A123,[1]Torres!A:E,3,)</f>
        <v>2799300.5480999998</v>
      </c>
      <c r="M123" s="9" t="e">
        <f>VLOOKUP(GIS!B123,[1]Comunidades!A:E,1,FALSE)</f>
        <v>#N/A</v>
      </c>
    </row>
    <row r="124" spans="1:13" x14ac:dyDescent="0.2">
      <c r="A124" t="s">
        <v>171</v>
      </c>
      <c r="B124" s="10" t="s">
        <v>170</v>
      </c>
      <c r="C124" s="7" t="str">
        <f>IF(+'[1]Control obra'!AB129&gt;0,"SI","NO")</f>
        <v>NO</v>
      </c>
      <c r="D124" s="7">
        <f>+'[1]Control obra'!AZ129</f>
        <v>0</v>
      </c>
      <c r="E124" s="7">
        <f>+'[1]Control obra'!CA129</f>
        <v>0</v>
      </c>
      <c r="F124" s="7">
        <f>+'[1]Control obra'!CN129</f>
        <v>0</v>
      </c>
      <c r="G124" s="8">
        <f>+'[1]Control obra'!DB129</f>
        <v>0</v>
      </c>
      <c r="H124" s="7">
        <f>+'[1]Control obra'!DO129</f>
        <v>0</v>
      </c>
      <c r="I124" s="7">
        <f>+'[1]Control obra'!EB129</f>
        <v>0</v>
      </c>
      <c r="J124" s="7">
        <f>+'[1]Control obra'!EO129</f>
        <v>0</v>
      </c>
      <c r="K124" s="9">
        <f>+VLOOKUP(A124,[1]Torres!A:E,2,)</f>
        <v>5082905.4106999999</v>
      </c>
      <c r="L124" s="9">
        <f>+VLOOKUP(A124,[1]Torres!A:E,3,)</f>
        <v>2799004.8985000001</v>
      </c>
      <c r="M124" s="9" t="e">
        <f>VLOOKUP(GIS!B124,[1]Comunidades!A:E,1,FALSE)</f>
        <v>#N/A</v>
      </c>
    </row>
    <row r="125" spans="1:13" x14ac:dyDescent="0.2">
      <c r="A125" t="s">
        <v>172</v>
      </c>
      <c r="B125" s="10" t="s">
        <v>170</v>
      </c>
      <c r="C125" s="7" t="str">
        <f>IF(+'[1]Control obra'!AB130&gt;0,"SI","NO")</f>
        <v>NO</v>
      </c>
      <c r="D125" s="7">
        <f>+'[1]Control obra'!AZ130</f>
        <v>0</v>
      </c>
      <c r="E125" s="7">
        <f>+'[1]Control obra'!CA130</f>
        <v>0</v>
      </c>
      <c r="F125" s="7">
        <f>+'[1]Control obra'!CN130</f>
        <v>0</v>
      </c>
      <c r="G125" s="8">
        <f>+'[1]Control obra'!DB130</f>
        <v>0</v>
      </c>
      <c r="H125" s="7">
        <f>+'[1]Control obra'!DO130</f>
        <v>0</v>
      </c>
      <c r="I125" s="7">
        <f>+'[1]Control obra'!EB130</f>
        <v>0</v>
      </c>
      <c r="J125" s="7">
        <f>+'[1]Control obra'!EO130</f>
        <v>0</v>
      </c>
      <c r="K125" s="9">
        <f>+VLOOKUP(A125,[1]Torres!A:E,2,)</f>
        <v>5082731.9137000004</v>
      </c>
      <c r="L125" s="9">
        <f>+VLOOKUP(A125,[1]Torres!A:E,3,)</f>
        <v>2798651.5558000002</v>
      </c>
      <c r="M125" s="9" t="e">
        <f>VLOOKUP(GIS!B125,[1]Comunidades!A:E,1,FALSE)</f>
        <v>#N/A</v>
      </c>
    </row>
    <row r="126" spans="1:13" x14ac:dyDescent="0.2">
      <c r="A126" t="s">
        <v>173</v>
      </c>
      <c r="B126" s="10" t="s">
        <v>174</v>
      </c>
      <c r="C126" s="7" t="str">
        <f>IF(+'[1]Control obra'!AB131&gt;0,"SI","NO")</f>
        <v>NO</v>
      </c>
      <c r="D126" s="7">
        <f>+'[1]Control obra'!AZ131</f>
        <v>0</v>
      </c>
      <c r="E126" s="7">
        <f>+'[1]Control obra'!CA131</f>
        <v>0</v>
      </c>
      <c r="F126" s="7">
        <f>+'[1]Control obra'!CN131</f>
        <v>0</v>
      </c>
      <c r="G126" s="8">
        <f>+'[1]Control obra'!DB131</f>
        <v>0</v>
      </c>
      <c r="H126" s="7">
        <f>+'[1]Control obra'!DO131</f>
        <v>0</v>
      </c>
      <c r="I126" s="7">
        <f>+'[1]Control obra'!EB131</f>
        <v>0</v>
      </c>
      <c r="J126" s="7">
        <f>+'[1]Control obra'!EO131</f>
        <v>0</v>
      </c>
      <c r="K126" s="9">
        <f>+VLOOKUP(A126,[1]Torres!A:E,2,)</f>
        <v>5082551.5152000003</v>
      </c>
      <c r="L126" s="9">
        <f>+VLOOKUP(A126,[1]Torres!A:E,3,)</f>
        <v>2798284.1562000001</v>
      </c>
      <c r="M126" s="9" t="e">
        <f>VLOOKUP(GIS!B126,[1]Comunidades!A:E,1,FALSE)</f>
        <v>#N/A</v>
      </c>
    </row>
    <row r="127" spans="1:13" x14ac:dyDescent="0.2">
      <c r="A127" t="s">
        <v>175</v>
      </c>
      <c r="B127" s="10" t="s">
        <v>174</v>
      </c>
      <c r="C127" s="7" t="str">
        <f>IF(+'[1]Control obra'!AB132&gt;0,"SI","NO")</f>
        <v>NO</v>
      </c>
      <c r="D127" s="7">
        <f>+'[1]Control obra'!AZ132</f>
        <v>0</v>
      </c>
      <c r="E127" s="7">
        <f>+'[1]Control obra'!CA132</f>
        <v>0</v>
      </c>
      <c r="F127" s="7">
        <f>+'[1]Control obra'!CN132</f>
        <v>0</v>
      </c>
      <c r="G127" s="8">
        <f>+'[1]Control obra'!DB132</f>
        <v>0</v>
      </c>
      <c r="H127" s="7">
        <f>+'[1]Control obra'!DO132</f>
        <v>0</v>
      </c>
      <c r="I127" s="7">
        <f>+'[1]Control obra'!EB132</f>
        <v>0</v>
      </c>
      <c r="J127" s="7">
        <f>+'[1]Control obra'!EO132</f>
        <v>0</v>
      </c>
      <c r="K127" s="9">
        <f>+VLOOKUP(A127,[1]Torres!A:E,2,)</f>
        <v>5082286.1518999999</v>
      </c>
      <c r="L127" s="9">
        <f>+VLOOKUP(A127,[1]Torres!A:E,3,)</f>
        <v>2797999.7634999999</v>
      </c>
      <c r="M127" s="9" t="e">
        <f>VLOOKUP(GIS!B127,[1]Comunidades!A:E,1,FALSE)</f>
        <v>#N/A</v>
      </c>
    </row>
    <row r="128" spans="1:13" x14ac:dyDescent="0.2">
      <c r="A128" t="s">
        <v>176</v>
      </c>
      <c r="B128" s="10" t="s">
        <v>174</v>
      </c>
      <c r="C128" s="7" t="str">
        <f>IF(+'[1]Control obra'!AB133&gt;0,"SI","NO")</f>
        <v>NO</v>
      </c>
      <c r="D128" s="7">
        <f>+'[1]Control obra'!AZ133</f>
        <v>0</v>
      </c>
      <c r="E128" s="7">
        <f>+'[1]Control obra'!CA133</f>
        <v>0</v>
      </c>
      <c r="F128" s="7">
        <f>+'[1]Control obra'!CN133</f>
        <v>0</v>
      </c>
      <c r="G128" s="8">
        <f>+'[1]Control obra'!DB133</f>
        <v>0</v>
      </c>
      <c r="H128" s="7">
        <f>+'[1]Control obra'!DO133</f>
        <v>0</v>
      </c>
      <c r="I128" s="7">
        <f>+'[1]Control obra'!EB133</f>
        <v>0</v>
      </c>
      <c r="J128" s="7">
        <f>+'[1]Control obra'!EO133</f>
        <v>0</v>
      </c>
      <c r="K128" s="9">
        <f>+VLOOKUP(A128,[1]Torres!A:E,2,)</f>
        <v>5081980.7965000002</v>
      </c>
      <c r="L128" s="9">
        <f>+VLOOKUP(A128,[1]Torres!A:E,3,)</f>
        <v>2797672.5118999998</v>
      </c>
      <c r="M128" s="9" t="e">
        <f>VLOOKUP(GIS!B128,[1]Comunidades!A:E,1,FALSE)</f>
        <v>#N/A</v>
      </c>
    </row>
    <row r="129" spans="1:13" x14ac:dyDescent="0.2">
      <c r="A129" t="s">
        <v>177</v>
      </c>
      <c r="B129" s="10" t="s">
        <v>178</v>
      </c>
      <c r="C129" s="7" t="str">
        <f>IF(+'[1]Control obra'!AB134&gt;0,"SI","NO")</f>
        <v>NO</v>
      </c>
      <c r="D129" s="7">
        <f>+'[1]Control obra'!AZ134</f>
        <v>0</v>
      </c>
      <c r="E129" s="7">
        <f>+'[1]Control obra'!CA134</f>
        <v>0</v>
      </c>
      <c r="F129" s="7">
        <f>+'[1]Control obra'!CN134</f>
        <v>0</v>
      </c>
      <c r="G129" s="8">
        <f>+'[1]Control obra'!DB134</f>
        <v>0</v>
      </c>
      <c r="H129" s="7">
        <f>+'[1]Control obra'!DO134</f>
        <v>0</v>
      </c>
      <c r="I129" s="7">
        <f>+'[1]Control obra'!EB134</f>
        <v>0</v>
      </c>
      <c r="J129" s="7">
        <f>+'[1]Control obra'!EO134</f>
        <v>0</v>
      </c>
      <c r="K129" s="9">
        <f>+VLOOKUP(A129,[1]Torres!A:E,2,)</f>
        <v>5081611.3712999998</v>
      </c>
      <c r="L129" s="9">
        <f>+VLOOKUP(A129,[1]Torres!A:E,3,)</f>
        <v>2797276.5976</v>
      </c>
      <c r="M129" s="9" t="e">
        <f>VLOOKUP(GIS!B129,[1]Comunidades!A:E,1,FALSE)</f>
        <v>#N/A</v>
      </c>
    </row>
    <row r="130" spans="1:13" x14ac:dyDescent="0.2">
      <c r="A130" t="s">
        <v>179</v>
      </c>
      <c r="B130" s="10" t="s">
        <v>178</v>
      </c>
      <c r="C130" s="7" t="str">
        <f>IF(+'[1]Control obra'!AB135&gt;0,"SI","NO")</f>
        <v>NO</v>
      </c>
      <c r="D130" s="7">
        <f>+'[1]Control obra'!AZ135</f>
        <v>0</v>
      </c>
      <c r="E130" s="7">
        <f>+'[1]Control obra'!CA135</f>
        <v>0</v>
      </c>
      <c r="F130" s="7">
        <f>+'[1]Control obra'!CN135</f>
        <v>0</v>
      </c>
      <c r="G130" s="8">
        <f>+'[1]Control obra'!DB135</f>
        <v>0</v>
      </c>
      <c r="H130" s="7">
        <f>+'[1]Control obra'!DO135</f>
        <v>0</v>
      </c>
      <c r="I130" s="7">
        <f>+'[1]Control obra'!EB135</f>
        <v>0</v>
      </c>
      <c r="J130" s="7">
        <f>+'[1]Control obra'!EO135</f>
        <v>0</v>
      </c>
      <c r="K130" s="9">
        <f>+VLOOKUP(A130,[1]Torres!A:E,2,)</f>
        <v>5081345.4572000001</v>
      </c>
      <c r="L130" s="9">
        <f>+VLOOKUP(A130,[1]Torres!A:E,3,)</f>
        <v>2796991.6176999998</v>
      </c>
      <c r="M130" s="9" t="e">
        <f>VLOOKUP(GIS!B130,[1]Comunidades!A:E,1,FALSE)</f>
        <v>#N/A</v>
      </c>
    </row>
    <row r="131" spans="1:13" x14ac:dyDescent="0.2">
      <c r="A131" t="s">
        <v>180</v>
      </c>
      <c r="B131" s="10" t="s">
        <v>181</v>
      </c>
      <c r="C131" s="7" t="str">
        <f>IF(+'[1]Control obra'!AB136&gt;0,"SI","NO")</f>
        <v>NO</v>
      </c>
      <c r="D131" s="7">
        <f>+'[1]Control obra'!AZ136</f>
        <v>0</v>
      </c>
      <c r="E131" s="7">
        <f>+'[1]Control obra'!CA136</f>
        <v>0</v>
      </c>
      <c r="F131" s="7">
        <f>+'[1]Control obra'!CN136</f>
        <v>0</v>
      </c>
      <c r="G131" s="8">
        <f>+'[1]Control obra'!DB136</f>
        <v>0</v>
      </c>
      <c r="H131" s="7">
        <f>+'[1]Control obra'!DO136</f>
        <v>0</v>
      </c>
      <c r="I131" s="7">
        <f>+'[1]Control obra'!EB136</f>
        <v>0</v>
      </c>
      <c r="J131" s="7">
        <f>+'[1]Control obra'!EO136</f>
        <v>0</v>
      </c>
      <c r="K131" s="9">
        <f>+VLOOKUP(A131,[1]Torres!A:E,2,)</f>
        <v>5081094.6843999997</v>
      </c>
      <c r="L131" s="9">
        <f>+VLOOKUP(A131,[1]Torres!A:E,3,)</f>
        <v>2796722.8657</v>
      </c>
      <c r="M131" s="9" t="e">
        <f>VLOOKUP(GIS!B131,[1]Comunidades!A:E,1,FALSE)</f>
        <v>#N/A</v>
      </c>
    </row>
    <row r="132" spans="1:13" x14ac:dyDescent="0.2">
      <c r="A132" t="s">
        <v>182</v>
      </c>
      <c r="B132" s="10" t="s">
        <v>183</v>
      </c>
      <c r="C132" s="7" t="str">
        <f>IF(+'[1]Control obra'!AB137&gt;0,"SI","NO")</f>
        <v>NO</v>
      </c>
      <c r="D132" s="7">
        <f>+'[1]Control obra'!AZ137</f>
        <v>0</v>
      </c>
      <c r="E132" s="7">
        <f>+'[1]Control obra'!CA137</f>
        <v>0</v>
      </c>
      <c r="F132" s="7">
        <f>+'[1]Control obra'!CN137</f>
        <v>0</v>
      </c>
      <c r="G132" s="8">
        <f>+'[1]Control obra'!DB137</f>
        <v>0</v>
      </c>
      <c r="H132" s="7">
        <f>+'[1]Control obra'!DO137</f>
        <v>0</v>
      </c>
      <c r="I132" s="7">
        <f>+'[1]Control obra'!EB137</f>
        <v>0</v>
      </c>
      <c r="J132" s="7">
        <f>+'[1]Control obra'!EO137</f>
        <v>0</v>
      </c>
      <c r="K132" s="9">
        <f>+VLOOKUP(A132,[1]Torres!A:E,2,)</f>
        <v>5080770.9197000004</v>
      </c>
      <c r="L132" s="9">
        <f>+VLOOKUP(A132,[1]Torres!A:E,3,)</f>
        <v>2796342.2513000001</v>
      </c>
      <c r="M132" s="9" t="e">
        <f>VLOOKUP(GIS!B132,[1]Comunidades!A:E,1,FALSE)</f>
        <v>#N/A</v>
      </c>
    </row>
    <row r="133" spans="1:13" x14ac:dyDescent="0.2">
      <c r="A133" t="s">
        <v>184</v>
      </c>
      <c r="B133" s="10" t="s">
        <v>183</v>
      </c>
      <c r="C133" s="7" t="str">
        <f>IF(+'[1]Control obra'!AB138&gt;0,"SI","NO")</f>
        <v>NO</v>
      </c>
      <c r="D133" s="7">
        <f>+'[1]Control obra'!AZ138</f>
        <v>0</v>
      </c>
      <c r="E133" s="7">
        <f>+'[1]Control obra'!CA138</f>
        <v>0</v>
      </c>
      <c r="F133" s="7">
        <f>+'[1]Control obra'!CN138</f>
        <v>0</v>
      </c>
      <c r="G133" s="8">
        <f>+'[1]Control obra'!DB138</f>
        <v>0</v>
      </c>
      <c r="H133" s="7">
        <f>+'[1]Control obra'!DO138</f>
        <v>0</v>
      </c>
      <c r="I133" s="7">
        <f>+'[1]Control obra'!EB138</f>
        <v>0</v>
      </c>
      <c r="J133" s="7">
        <f>+'[1]Control obra'!EO138</f>
        <v>0</v>
      </c>
      <c r="K133" s="9">
        <f>+VLOOKUP(A133,[1]Torres!A:E,2,)</f>
        <v>5080475.8508000001</v>
      </c>
      <c r="L133" s="9">
        <f>+VLOOKUP(A133,[1]Torres!A:E,3,)</f>
        <v>2795995.3727000002</v>
      </c>
      <c r="M133" s="9" t="e">
        <f>VLOOKUP(GIS!B133,[1]Comunidades!A:E,1,FALSE)</f>
        <v>#N/A</v>
      </c>
    </row>
    <row r="134" spans="1:13" x14ac:dyDescent="0.2">
      <c r="A134" t="s">
        <v>185</v>
      </c>
      <c r="B134" s="10" t="s">
        <v>183</v>
      </c>
      <c r="C134" s="7" t="str">
        <f>IF(+'[1]Control obra'!AB139&gt;0,"SI","NO")</f>
        <v>NO</v>
      </c>
      <c r="D134" s="7">
        <f>+'[1]Control obra'!AZ139</f>
        <v>0</v>
      </c>
      <c r="E134" s="7">
        <f>+'[1]Control obra'!CA139</f>
        <v>0</v>
      </c>
      <c r="F134" s="7">
        <f>+'[1]Control obra'!CN139</f>
        <v>0</v>
      </c>
      <c r="G134" s="8">
        <f>+'[1]Control obra'!DB139</f>
        <v>0</v>
      </c>
      <c r="H134" s="7">
        <f>+'[1]Control obra'!DO139</f>
        <v>0</v>
      </c>
      <c r="I134" s="7">
        <f>+'[1]Control obra'!EB139</f>
        <v>0</v>
      </c>
      <c r="J134" s="7">
        <f>+'[1]Control obra'!EO139</f>
        <v>0</v>
      </c>
      <c r="K134" s="9">
        <f>+VLOOKUP(A134,[1]Torres!A:E,2,)</f>
        <v>5080132.6742000002</v>
      </c>
      <c r="L134" s="9">
        <f>+VLOOKUP(A134,[1]Torres!A:E,3,)</f>
        <v>2795591.9408</v>
      </c>
      <c r="M134" s="9" t="e">
        <f>VLOOKUP(GIS!B134,[1]Comunidades!A:E,1,FALSE)</f>
        <v>#N/A</v>
      </c>
    </row>
    <row r="135" spans="1:13" x14ac:dyDescent="0.2">
      <c r="A135" t="s">
        <v>186</v>
      </c>
      <c r="B135" s="10" t="s">
        <v>183</v>
      </c>
      <c r="C135" s="7" t="str">
        <f>IF(+'[1]Control obra'!AB140&gt;0,"SI","NO")</f>
        <v>NO</v>
      </c>
      <c r="D135" s="7">
        <f>+'[1]Control obra'!AZ140</f>
        <v>0</v>
      </c>
      <c r="E135" s="7">
        <f>+'[1]Control obra'!CA140</f>
        <v>0</v>
      </c>
      <c r="F135" s="7">
        <f>+'[1]Control obra'!CN140</f>
        <v>0</v>
      </c>
      <c r="G135" s="8">
        <f>+'[1]Control obra'!DB140</f>
        <v>0</v>
      </c>
      <c r="H135" s="7">
        <f>+'[1]Control obra'!DO140</f>
        <v>0</v>
      </c>
      <c r="I135" s="7">
        <f>+'[1]Control obra'!EB140</f>
        <v>0</v>
      </c>
      <c r="J135" s="7">
        <f>+'[1]Control obra'!EO140</f>
        <v>0</v>
      </c>
      <c r="K135" s="9">
        <f>+VLOOKUP(A135,[1]Torres!A:E,2,)</f>
        <v>5079851.9369999999</v>
      </c>
      <c r="L135" s="9">
        <f>+VLOOKUP(A135,[1]Torres!A:E,3,)</f>
        <v>2795261.9127000002</v>
      </c>
      <c r="M135" s="9" t="e">
        <f>VLOOKUP(GIS!B135,[1]Comunidades!A:E,1,FALSE)</f>
        <v>#N/A</v>
      </c>
    </row>
    <row r="136" spans="1:13" x14ac:dyDescent="0.2">
      <c r="A136" t="s">
        <v>187</v>
      </c>
      <c r="B136" s="10" t="s">
        <v>183</v>
      </c>
      <c r="C136" s="7" t="str">
        <f>IF(+'[1]Control obra'!AB141&gt;0,"SI","NO")</f>
        <v>NO</v>
      </c>
      <c r="D136" s="7">
        <f>+'[1]Control obra'!AZ141</f>
        <v>0</v>
      </c>
      <c r="E136" s="7">
        <f>+'[1]Control obra'!CA141</f>
        <v>0</v>
      </c>
      <c r="F136" s="7">
        <f>+'[1]Control obra'!CN141</f>
        <v>0</v>
      </c>
      <c r="G136" s="8">
        <f>+'[1]Control obra'!DB141</f>
        <v>0</v>
      </c>
      <c r="H136" s="7">
        <f>+'[1]Control obra'!DO141</f>
        <v>0</v>
      </c>
      <c r="I136" s="7">
        <f>+'[1]Control obra'!EB141</f>
        <v>0</v>
      </c>
      <c r="J136" s="7">
        <f>+'[1]Control obra'!EO141</f>
        <v>0</v>
      </c>
      <c r="K136" s="9">
        <f>+VLOOKUP(A136,[1]Torres!A:E,2,)</f>
        <v>5079491.9680000003</v>
      </c>
      <c r="L136" s="9">
        <f>+VLOOKUP(A136,[1]Torres!A:E,3,)</f>
        <v>2794838.7448999998</v>
      </c>
      <c r="M136" s="9" t="e">
        <f>VLOOKUP(GIS!B136,[1]Comunidades!A:E,1,FALSE)</f>
        <v>#N/A</v>
      </c>
    </row>
    <row r="137" spans="1:13" x14ac:dyDescent="0.2">
      <c r="A137" t="s">
        <v>188</v>
      </c>
      <c r="B137" s="10" t="s">
        <v>189</v>
      </c>
      <c r="C137" s="7" t="str">
        <f>IF(+'[1]Control obra'!AB142&gt;0,"SI","NO")</f>
        <v>NO</v>
      </c>
      <c r="D137" s="7">
        <f>+'[1]Control obra'!AZ142</f>
        <v>0</v>
      </c>
      <c r="E137" s="7">
        <f>+'[1]Control obra'!CA142</f>
        <v>0</v>
      </c>
      <c r="F137" s="7">
        <f>+'[1]Control obra'!CN142</f>
        <v>0</v>
      </c>
      <c r="G137" s="8">
        <f>+'[1]Control obra'!DB142</f>
        <v>0</v>
      </c>
      <c r="H137" s="7">
        <f>+'[1]Control obra'!DO142</f>
        <v>0</v>
      </c>
      <c r="I137" s="7">
        <f>+'[1]Control obra'!EB142</f>
        <v>0</v>
      </c>
      <c r="J137" s="7">
        <f>+'[1]Control obra'!EO142</f>
        <v>0</v>
      </c>
      <c r="K137" s="9">
        <f>+VLOOKUP(A137,[1]Torres!A:E,2,)</f>
        <v>5079207.0948999999</v>
      </c>
      <c r="L137" s="9">
        <f>+VLOOKUP(A137,[1]Torres!A:E,3,)</f>
        <v>2794503.8565000002</v>
      </c>
      <c r="M137" s="9" t="e">
        <f>VLOOKUP(GIS!B137,[1]Comunidades!A:E,1,FALSE)</f>
        <v>#N/A</v>
      </c>
    </row>
    <row r="138" spans="1:13" x14ac:dyDescent="0.2">
      <c r="A138" t="s">
        <v>190</v>
      </c>
      <c r="B138" s="10" t="s">
        <v>191</v>
      </c>
      <c r="C138" s="7" t="str">
        <f>IF(+'[1]Control obra'!AB143&gt;0,"SI","NO")</f>
        <v>NO</v>
      </c>
      <c r="D138" s="7">
        <f>+'[1]Control obra'!AZ143</f>
        <v>0</v>
      </c>
      <c r="E138" s="7">
        <f>+'[1]Control obra'!CA143</f>
        <v>0</v>
      </c>
      <c r="F138" s="7">
        <f>+'[1]Control obra'!CN143</f>
        <v>0</v>
      </c>
      <c r="G138" s="8">
        <f>+'[1]Control obra'!DB143</f>
        <v>0</v>
      </c>
      <c r="H138" s="7">
        <f>+'[1]Control obra'!DO143</f>
        <v>0</v>
      </c>
      <c r="I138" s="7">
        <f>+'[1]Control obra'!EB143</f>
        <v>0</v>
      </c>
      <c r="J138" s="7">
        <f>+'[1]Control obra'!EO143</f>
        <v>0</v>
      </c>
      <c r="K138" s="9">
        <f>+VLOOKUP(A138,[1]Torres!A:E,2,)</f>
        <v>5078881.1051000003</v>
      </c>
      <c r="L138" s="9">
        <f>+VLOOKUP(A138,[1]Torres!A:E,3,)</f>
        <v>2794120.6354</v>
      </c>
      <c r="M138" s="9" t="e">
        <f>VLOOKUP(GIS!B138,[1]Comunidades!A:E,1,FALSE)</f>
        <v>#N/A</v>
      </c>
    </row>
    <row r="139" spans="1:13" x14ac:dyDescent="0.2">
      <c r="A139" t="s">
        <v>192</v>
      </c>
      <c r="B139" s="10" t="s">
        <v>191</v>
      </c>
      <c r="C139" s="7" t="str">
        <f>IF(+'[1]Control obra'!AB144&gt;0,"SI","NO")</f>
        <v>NO</v>
      </c>
      <c r="D139" s="7">
        <f>+'[1]Control obra'!AZ144</f>
        <v>0</v>
      </c>
      <c r="E139" s="7">
        <f>+'[1]Control obra'!CA144</f>
        <v>0</v>
      </c>
      <c r="F139" s="7">
        <f>+'[1]Control obra'!CN144</f>
        <v>0</v>
      </c>
      <c r="G139" s="8">
        <f>+'[1]Control obra'!DB144</f>
        <v>0</v>
      </c>
      <c r="H139" s="7">
        <f>+'[1]Control obra'!DO144</f>
        <v>0</v>
      </c>
      <c r="I139" s="7">
        <f>+'[1]Control obra'!EB144</f>
        <v>0</v>
      </c>
      <c r="J139" s="7">
        <f>+'[1]Control obra'!EO144</f>
        <v>0</v>
      </c>
      <c r="K139" s="9">
        <f>+VLOOKUP(A139,[1]Torres!A:E,2,)</f>
        <v>5078704.1513</v>
      </c>
      <c r="L139" s="9">
        <f>+VLOOKUP(A139,[1]Torres!A:E,3,)</f>
        <v>2793912.6159999999</v>
      </c>
      <c r="M139" s="9" t="e">
        <f>VLOOKUP(GIS!B139,[1]Comunidades!A:E,1,FALSE)</f>
        <v>#N/A</v>
      </c>
    </row>
  </sheetData>
  <pageMargins left="0.7" right="0.7" top="0.75" bottom="0.75" header="0.3" footer="0.3"/>
  <pageSetup orientation="portrait" r:id="rId1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Andres Laverde Mera</dc:creator>
  <cp:lastModifiedBy>Efrain Andres Laverde Mera</cp:lastModifiedBy>
  <dcterms:created xsi:type="dcterms:W3CDTF">2026-09-04T13:21:28Z</dcterms:created>
  <dcterms:modified xsi:type="dcterms:W3CDTF">2026-09-04T13:22:10Z</dcterms:modified>
</cp:coreProperties>
</file>